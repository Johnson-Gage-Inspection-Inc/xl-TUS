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8.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54BE6A01-FC33-405F-9BD7-0D4C9BF91193}"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Header_Info!$A$1:$AK$414</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WorkItemDetails!$E$1:$BP$2</definedName>
    <definedName name="ExternalData_3" localSheetId="29" hidden="1">Alerts!$A$3:$J$4</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C9" i="4" a="1"/>
  <c r="C9" i="4"/>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J4" i="95"/>
  <c r="J5" i="95"/>
  <c r="J6" i="95"/>
  <c r="J7" i="95"/>
  <c r="J8" i="95"/>
  <c r="J9" i="95"/>
  <c r="J10" i="95"/>
  <c r="J11" i="95"/>
  <c r="J12" i="95"/>
  <c r="J13" i="95"/>
  <c r="J14" i="95"/>
  <c r="J15" i="95"/>
  <c r="J16" i="95"/>
  <c r="J17" i="95"/>
  <c r="K17" i="95" s="1"/>
  <c r="J18" i="95"/>
  <c r="K18" i="95" s="1"/>
  <c r="J19" i="95"/>
  <c r="K19" i="95" s="1"/>
  <c r="J20" i="95"/>
  <c r="K20" i="95" s="1"/>
  <c r="J21" i="95"/>
  <c r="K21" i="95" s="1"/>
  <c r="J22" i="95"/>
  <c r="K22" i="95" s="1"/>
  <c r="J23" i="95"/>
  <c r="K23" i="95" s="1"/>
  <c r="J24" i="95"/>
  <c r="K24" i="95" s="1"/>
  <c r="J25" i="95"/>
  <c r="K25" i="95" s="1"/>
  <c r="J26" i="95"/>
  <c r="J27" i="95"/>
  <c r="K27" i="95" s="1"/>
  <c r="J28" i="95"/>
  <c r="J29" i="95"/>
  <c r="K29" i="95" s="1"/>
  <c r="J30" i="95"/>
  <c r="K30" i="95" s="1"/>
  <c r="J31" i="95"/>
  <c r="J32" i="95"/>
  <c r="J33" i="95"/>
  <c r="J34" i="95"/>
  <c r="J35" i="95"/>
  <c r="J36" i="95"/>
  <c r="J37" i="95"/>
  <c r="J38" i="95"/>
  <c r="J39" i="95"/>
  <c r="K39" i="95" s="1"/>
  <c r="J40" i="95"/>
  <c r="K40" i="95" s="1"/>
  <c r="J41" i="95"/>
  <c r="K41" i="95" s="1"/>
  <c r="J42" i="95"/>
  <c r="K42" i="95" s="1"/>
  <c r="J43" i="95"/>
  <c r="K43" i="95" s="1"/>
  <c r="J44" i="95"/>
  <c r="J45" i="95"/>
  <c r="J46" i="95"/>
  <c r="J47" i="95"/>
  <c r="K47" i="95" s="1"/>
  <c r="J48" i="95"/>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K62" i="95" s="1"/>
  <c r="J63" i="95"/>
  <c r="J64" i="95"/>
  <c r="J65" i="95"/>
  <c r="J66" i="95"/>
  <c r="J67" i="95"/>
  <c r="J68" i="95"/>
  <c r="J69" i="95"/>
  <c r="J70" i="95"/>
  <c r="K70" i="95" s="1"/>
  <c r="J71" i="95"/>
  <c r="K71" i="95" s="1"/>
  <c r="J72" i="95"/>
  <c r="K72" i="95" s="1"/>
  <c r="J73" i="95"/>
  <c r="K73" i="95" s="1"/>
  <c r="J74" i="95"/>
  <c r="K74" i="95" s="1"/>
  <c r="J75" i="95"/>
  <c r="K75" i="95" s="1"/>
  <c r="J76" i="95"/>
  <c r="K76" i="95" s="1"/>
  <c r="J77" i="95"/>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K94" i="95" s="1"/>
  <c r="J95" i="95"/>
  <c r="J96" i="95"/>
  <c r="J97" i="95"/>
  <c r="J98" i="95"/>
  <c r="J99" i="95"/>
  <c r="J100" i="95"/>
  <c r="J101" i="95"/>
  <c r="J102" i="95"/>
  <c r="J103" i="95"/>
  <c r="J104" i="95"/>
  <c r="J105" i="95"/>
  <c r="J106" i="95"/>
  <c r="J107" i="95"/>
  <c r="J108" i="95"/>
  <c r="J109" i="95"/>
  <c r="J110" i="95"/>
  <c r="J111" i="95"/>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J123" i="95"/>
  <c r="K123" i="95" s="1"/>
  <c r="J124" i="95"/>
  <c r="J125" i="95"/>
  <c r="J126" i="95"/>
  <c r="K126" i="95" s="1"/>
  <c r="J127" i="95"/>
  <c r="J128" i="95"/>
  <c r="J129" i="95"/>
  <c r="J130" i="95"/>
  <c r="J131" i="95"/>
  <c r="J132" i="95"/>
  <c r="J133" i="95"/>
  <c r="J134" i="95"/>
  <c r="J135" i="95"/>
  <c r="K135" i="95" s="1"/>
  <c r="J136" i="95"/>
  <c r="J137" i="95"/>
  <c r="J138" i="95"/>
  <c r="J139" i="95"/>
  <c r="K139" i="95" s="1"/>
  <c r="J140" i="95"/>
  <c r="J141" i="95"/>
  <c r="J142" i="95"/>
  <c r="J143" i="95"/>
  <c r="J144" i="95"/>
  <c r="J145" i="95"/>
  <c r="K145" i="95" s="1"/>
  <c r="J146" i="95"/>
  <c r="K146" i="95" s="1"/>
  <c r="J147" i="95"/>
  <c r="K147" i="95" s="1"/>
  <c r="J148" i="95"/>
  <c r="K148" i="95" s="1"/>
  <c r="J149" i="95"/>
  <c r="K149" i="95" s="1"/>
  <c r="J150" i="95"/>
  <c r="K150" i="95" s="1"/>
  <c r="J151" i="95"/>
  <c r="K151" i="95" s="1"/>
  <c r="J152" i="95"/>
  <c r="K152" i="95" s="1"/>
  <c r="J153" i="95"/>
  <c r="K153" i="95" s="1"/>
  <c r="J154" i="95"/>
  <c r="J155" i="95"/>
  <c r="J156" i="95"/>
  <c r="J157" i="95"/>
  <c r="J158" i="95"/>
  <c r="K158" i="95" s="1"/>
  <c r="J159" i="95"/>
  <c r="J160" i="95"/>
  <c r="J161" i="95"/>
  <c r="J162" i="95"/>
  <c r="J163" i="95"/>
  <c r="J164" i="95"/>
  <c r="K164" i="95" s="1"/>
  <c r="J165" i="95"/>
  <c r="J166" i="95"/>
  <c r="K166" i="95" s="1"/>
  <c r="J167" i="95"/>
  <c r="K167" i="95" s="1"/>
  <c r="J168" i="95"/>
  <c r="K168" i="95" s="1"/>
  <c r="J169" i="95"/>
  <c r="K169" i="95" s="1"/>
  <c r="J170" i="95"/>
  <c r="K170" i="95" s="1"/>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K190" i="95" s="1"/>
  <c r="J191" i="95"/>
  <c r="J192" i="95"/>
  <c r="J193" i="95"/>
  <c r="J194" i="95"/>
  <c r="J195" i="95"/>
  <c r="J196" i="95"/>
  <c r="J197" i="95"/>
  <c r="J198" i="95"/>
  <c r="J199" i="95"/>
  <c r="J200" i="95"/>
  <c r="J201" i="95"/>
  <c r="J202" i="95"/>
  <c r="J203" i="95"/>
  <c r="J204" i="95"/>
  <c r="J205" i="95"/>
  <c r="J206" i="95"/>
  <c r="K206" i="95" s="1"/>
  <c r="J207" i="95"/>
  <c r="K207" i="95" s="1"/>
  <c r="J208" i="95"/>
  <c r="K208" i="95" s="1"/>
  <c r="J209" i="95"/>
  <c r="K209" i="95" s="1"/>
  <c r="J210" i="95"/>
  <c r="K210" i="95" s="1"/>
  <c r="J211" i="95"/>
  <c r="K211" i="95" s="1"/>
  <c r="J212" i="95"/>
  <c r="K212" i="95" s="1"/>
  <c r="J213" i="95"/>
  <c r="K213" i="95" s="1"/>
  <c r="J214" i="95"/>
  <c r="K214" i="95" s="1"/>
  <c r="J215" i="95"/>
  <c r="K215" i="95" s="1"/>
  <c r="J216" i="95"/>
  <c r="K216" i="95" s="1"/>
  <c r="J217" i="95"/>
  <c r="K217" i="95" s="1"/>
  <c r="J218" i="95"/>
  <c r="J219" i="95"/>
  <c r="J220" i="95"/>
  <c r="J221" i="95"/>
  <c r="J222" i="95"/>
  <c r="J223" i="95"/>
  <c r="J224" i="95"/>
  <c r="J225" i="95"/>
  <c r="J226" i="95"/>
  <c r="J227" i="95"/>
  <c r="J228" i="95"/>
  <c r="J229" i="95"/>
  <c r="J230" i="95"/>
  <c r="J231" i="95"/>
  <c r="J232" i="95"/>
  <c r="J233" i="95"/>
  <c r="K233" i="95" s="1"/>
  <c r="J234" i="95"/>
  <c r="K234" i="95" s="1"/>
  <c r="J235" i="95"/>
  <c r="K235" i="95" s="1"/>
  <c r="J236" i="95"/>
  <c r="J237" i="95"/>
  <c r="J238" i="95"/>
  <c r="J239" i="95"/>
  <c r="J240" i="95"/>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K254" i="95" s="1"/>
  <c r="J255" i="95"/>
  <c r="J256" i="95"/>
  <c r="J257" i="95"/>
  <c r="J258" i="95"/>
  <c r="J259" i="95"/>
  <c r="J260" i="95"/>
  <c r="J261" i="95"/>
  <c r="J262" i="95"/>
  <c r="K262" i="95" s="1"/>
  <c r="J263" i="95"/>
  <c r="K263" i="95" s="1"/>
  <c r="J264" i="95"/>
  <c r="K264" i="95" s="1"/>
  <c r="J265" i="95"/>
  <c r="K265" i="95" s="1"/>
  <c r="J266" i="95"/>
  <c r="K266" i="95" s="1"/>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K286" i="95" s="1"/>
  <c r="J287" i="95"/>
  <c r="J288" i="95"/>
  <c r="J289" i="95"/>
  <c r="J290" i="95"/>
  <c r="J291" i="95"/>
  <c r="J292" i="95"/>
  <c r="J293" i="95"/>
  <c r="J294" i="95"/>
  <c r="J295" i="95"/>
  <c r="J296" i="95"/>
  <c r="J297" i="95"/>
  <c r="J298" i="95"/>
  <c r="J299" i="95"/>
  <c r="J300" i="95"/>
  <c r="J301" i="95"/>
  <c r="J302" i="95"/>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J317" i="95"/>
  <c r="J318" i="95"/>
  <c r="J319" i="95"/>
  <c r="J320" i="95"/>
  <c r="J321" i="95"/>
  <c r="J322" i="95"/>
  <c r="J323" i="95"/>
  <c r="J324" i="95"/>
  <c r="K324" i="95" s="1"/>
  <c r="J325" i="95"/>
  <c r="J326" i="95"/>
  <c r="K326" i="95" s="1"/>
  <c r="J327" i="95"/>
  <c r="K327" i="95" s="1"/>
  <c r="J328" i="95"/>
  <c r="K328" i="95" s="1"/>
  <c r="J329" i="95"/>
  <c r="K329" i="95" s="1"/>
  <c r="J330" i="95"/>
  <c r="K330" i="95" s="1"/>
  <c r="J331" i="95"/>
  <c r="K331" i="95" s="1"/>
  <c r="J332" i="95"/>
  <c r="J333" i="95"/>
  <c r="J334" i="95"/>
  <c r="K334" i="95" s="1"/>
  <c r="J335" i="95"/>
  <c r="J336" i="95"/>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K350" i="95" s="1"/>
  <c r="J351" i="95"/>
  <c r="J352" i="95"/>
  <c r="J353" i="95"/>
  <c r="J354" i="95"/>
  <c r="J355" i="95"/>
  <c r="J356" i="95"/>
  <c r="J357" i="95"/>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K382" i="95" s="1"/>
  <c r="J383" i="95"/>
  <c r="J384" i="95"/>
  <c r="J385" i="95"/>
  <c r="J386" i="95"/>
  <c r="J387" i="95"/>
  <c r="J388" i="95"/>
  <c r="J389" i="95"/>
  <c r="J390" i="95"/>
  <c r="J391" i="95"/>
  <c r="J392" i="95"/>
  <c r="J393" i="95"/>
  <c r="J394" i="95"/>
  <c r="J395" i="95"/>
  <c r="J396" i="95"/>
  <c r="J397" i="95"/>
  <c r="J398" i="95"/>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K414" i="95" s="1"/>
  <c r="J415" i="95"/>
  <c r="K415" i="95" s="1"/>
  <c r="J416" i="95"/>
  <c r="J417" i="95"/>
  <c r="J418" i="95"/>
  <c r="K418" i="95" s="1"/>
  <c r="J419" i="95"/>
  <c r="J420" i="95"/>
  <c r="K420" i="95" s="1"/>
  <c r="J421" i="95"/>
  <c r="J422" i="95"/>
  <c r="J423" i="95"/>
  <c r="J424" i="95"/>
  <c r="J425" i="95"/>
  <c r="K2" i="95"/>
  <c r="K3" i="95"/>
  <c r="K4" i="95"/>
  <c r="K5" i="95"/>
  <c r="K6" i="95"/>
  <c r="K7" i="95"/>
  <c r="K8" i="95"/>
  <c r="K9" i="95"/>
  <c r="K10" i="95"/>
  <c r="K11" i="95"/>
  <c r="K12" i="95"/>
  <c r="K13" i="95"/>
  <c r="K14" i="95"/>
  <c r="K15" i="95"/>
  <c r="K16" i="95"/>
  <c r="K26" i="95"/>
  <c r="K28" i="95"/>
  <c r="K31" i="95"/>
  <c r="K32" i="95"/>
  <c r="K33" i="95"/>
  <c r="K34" i="95"/>
  <c r="K35" i="95"/>
  <c r="K36" i="95"/>
  <c r="K37" i="95"/>
  <c r="K38" i="95"/>
  <c r="K44" i="95"/>
  <c r="K45" i="95"/>
  <c r="K46" i="95"/>
  <c r="K48" i="95"/>
  <c r="K58" i="95"/>
  <c r="K59" i="95"/>
  <c r="K60" i="95"/>
  <c r="K61" i="95"/>
  <c r="K63" i="95"/>
  <c r="K64" i="95"/>
  <c r="K65" i="95"/>
  <c r="K66" i="95"/>
  <c r="K67" i="95"/>
  <c r="K68" i="95"/>
  <c r="K69" i="95"/>
  <c r="K77" i="95"/>
  <c r="K90" i="95"/>
  <c r="K91" i="95"/>
  <c r="K92" i="95"/>
  <c r="K93" i="95"/>
  <c r="K95" i="95"/>
  <c r="K96" i="95"/>
  <c r="K97" i="95"/>
  <c r="K98" i="95"/>
  <c r="K99" i="95"/>
  <c r="K100" i="95"/>
  <c r="K101" i="95"/>
  <c r="K102" i="95"/>
  <c r="K103" i="95"/>
  <c r="K104" i="95"/>
  <c r="K105" i="95"/>
  <c r="K106" i="95"/>
  <c r="K107" i="95"/>
  <c r="K108" i="95"/>
  <c r="K109" i="95"/>
  <c r="K110" i="95"/>
  <c r="K111" i="95"/>
  <c r="K122" i="95"/>
  <c r="K124" i="95"/>
  <c r="K125" i="95"/>
  <c r="K127" i="95"/>
  <c r="K128" i="95"/>
  <c r="K129" i="95"/>
  <c r="K130" i="95"/>
  <c r="K131" i="95"/>
  <c r="K132" i="95"/>
  <c r="K133" i="95"/>
  <c r="K134" i="95"/>
  <c r="K136" i="95"/>
  <c r="K137" i="95"/>
  <c r="K138" i="95"/>
  <c r="K140" i="95"/>
  <c r="K141" i="95"/>
  <c r="K142" i="95"/>
  <c r="K143" i="95"/>
  <c r="K144" i="95"/>
  <c r="K154" i="95"/>
  <c r="K155" i="95"/>
  <c r="K156" i="95"/>
  <c r="K157" i="95"/>
  <c r="K159" i="95"/>
  <c r="K160" i="95"/>
  <c r="K161" i="95"/>
  <c r="K162" i="95"/>
  <c r="K163" i="95"/>
  <c r="K165" i="95"/>
  <c r="K186" i="95"/>
  <c r="K187" i="95"/>
  <c r="K188" i="95"/>
  <c r="K189" i="95"/>
  <c r="K191" i="95"/>
  <c r="K192" i="95"/>
  <c r="K193" i="95"/>
  <c r="K194" i="95"/>
  <c r="K195" i="95"/>
  <c r="K196" i="95"/>
  <c r="K197" i="95"/>
  <c r="K198" i="95"/>
  <c r="K199" i="95"/>
  <c r="K200" i="95"/>
  <c r="K201" i="95"/>
  <c r="K202" i="95"/>
  <c r="K203" i="95"/>
  <c r="K204" i="95"/>
  <c r="K205" i="95"/>
  <c r="K218" i="95"/>
  <c r="K220" i="95"/>
  <c r="K223" i="95"/>
  <c r="K224" i="95"/>
  <c r="K225" i="95"/>
  <c r="K226" i="95"/>
  <c r="K227" i="95"/>
  <c r="K228" i="95"/>
  <c r="K229" i="95"/>
  <c r="K230" i="95"/>
  <c r="K231" i="95"/>
  <c r="K232" i="95"/>
  <c r="K236" i="95"/>
  <c r="K237" i="95"/>
  <c r="K238" i="95"/>
  <c r="K239" i="95"/>
  <c r="K240" i="95"/>
  <c r="K250" i="95"/>
  <c r="K251" i="95"/>
  <c r="K252" i="95"/>
  <c r="K253" i="95"/>
  <c r="K255" i="95"/>
  <c r="K257" i="95"/>
  <c r="K258" i="95"/>
  <c r="K259" i="95"/>
  <c r="K260" i="95"/>
  <c r="K261" i="95"/>
  <c r="K282" i="95"/>
  <c r="K283" i="95"/>
  <c r="K284" i="95"/>
  <c r="K285" i="95"/>
  <c r="K287" i="95"/>
  <c r="K288" i="95"/>
  <c r="K289" i="95"/>
  <c r="K290" i="95"/>
  <c r="K291" i="95"/>
  <c r="K292" i="95"/>
  <c r="K293" i="95"/>
  <c r="K294" i="95"/>
  <c r="K295" i="95"/>
  <c r="K296" i="95"/>
  <c r="K297" i="95"/>
  <c r="K298" i="95"/>
  <c r="K299" i="95"/>
  <c r="K300" i="95"/>
  <c r="K301" i="95"/>
  <c r="K302" i="95"/>
  <c r="K314" i="95"/>
  <c r="K315" i="95"/>
  <c r="K316" i="95"/>
  <c r="K317" i="95"/>
  <c r="K322" i="95"/>
  <c r="K323" i="95"/>
  <c r="K325" i="95"/>
  <c r="K332" i="95"/>
  <c r="K333" i="95"/>
  <c r="K335" i="95"/>
  <c r="K336" i="95"/>
  <c r="K346" i="95"/>
  <c r="K347" i="95"/>
  <c r="K348" i="95"/>
  <c r="K349" i="95"/>
  <c r="K351" i="95"/>
  <c r="K352" i="95"/>
  <c r="K353" i="95"/>
  <c r="K354" i="95"/>
  <c r="K355" i="95"/>
  <c r="K356" i="95"/>
  <c r="K357" i="95"/>
  <c r="K378" i="95"/>
  <c r="K379" i="95"/>
  <c r="K380" i="95"/>
  <c r="K381" i="95"/>
  <c r="K383" i="95"/>
  <c r="K384" i="95"/>
  <c r="K385" i="95"/>
  <c r="K386" i="95"/>
  <c r="K387" i="95"/>
  <c r="K388" i="95"/>
  <c r="K389" i="95"/>
  <c r="K390" i="95"/>
  <c r="K391" i="95"/>
  <c r="K392" i="95"/>
  <c r="K393" i="95"/>
  <c r="K394" i="95"/>
  <c r="K395" i="95"/>
  <c r="K396" i="95"/>
  <c r="K397" i="95"/>
  <c r="K398" i="95"/>
  <c r="K410" i="95"/>
  <c r="K411" i="95"/>
  <c r="K412" i="95"/>
  <c r="K413" i="95"/>
  <c r="K416" i="95"/>
  <c r="K417" i="95"/>
  <c r="K419" i="95"/>
  <c r="K421" i="95"/>
  <c r="K422" i="95"/>
  <c r="K423" i="95"/>
  <c r="K424" i="95"/>
  <c r="K425" i="95"/>
  <c r="L2" i="95"/>
  <c r="M2" i="95" s="1"/>
  <c r="L3" i="95"/>
  <c r="M3" i="95" s="1"/>
  <c r="L4" i="95"/>
  <c r="M4" i="95" s="1"/>
  <c r="L5" i="95"/>
  <c r="M5" i="95" s="1"/>
  <c r="L6" i="95"/>
  <c r="M6" i="95" s="1"/>
  <c r="L7" i="95"/>
  <c r="M7" i="95" s="1"/>
  <c r="L8" i="95"/>
  <c r="M8" i="95" s="1"/>
  <c r="L9" i="95"/>
  <c r="M9" i="95" s="1"/>
  <c r="L10" i="95"/>
  <c r="L11" i="95"/>
  <c r="L12" i="95"/>
  <c r="L13" i="95"/>
  <c r="L14" i="95"/>
  <c r="M14" i="95" s="1"/>
  <c r="L15" i="95"/>
  <c r="M15" i="95" s="1"/>
  <c r="L16" i="95"/>
  <c r="L17" i="95"/>
  <c r="L18" i="95"/>
  <c r="M18" i="95" s="1"/>
  <c r="L19" i="95"/>
  <c r="L20" i="95"/>
  <c r="M20" i="95" s="1"/>
  <c r="L21" i="95"/>
  <c r="M21" i="95" s="1"/>
  <c r="L22" i="95"/>
  <c r="L23" i="95"/>
  <c r="L24" i="95"/>
  <c r="M24" i="95" s="1"/>
  <c r="L25" i="95"/>
  <c r="L26" i="95"/>
  <c r="L27" i="95"/>
  <c r="M27" i="95" s="1"/>
  <c r="L28" i="95"/>
  <c r="L29" i="95"/>
  <c r="M29" i="95" s="1"/>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M47" i="95" s="1"/>
  <c r="L48" i="95"/>
  <c r="M48" i="95" s="1"/>
  <c r="L49" i="95"/>
  <c r="L50" i="95"/>
  <c r="L51" i="95"/>
  <c r="L52" i="95"/>
  <c r="L53" i="95"/>
  <c r="L54" i="95"/>
  <c r="L55" i="95"/>
  <c r="L56" i="95"/>
  <c r="L57" i="95"/>
  <c r="L58" i="95"/>
  <c r="L59" i="95"/>
  <c r="L60" i="95"/>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L82" i="95"/>
  <c r="L83" i="95"/>
  <c r="L84" i="95"/>
  <c r="L85" i="95"/>
  <c r="M85" i="95" s="1"/>
  <c r="L86" i="95"/>
  <c r="L87" i="95"/>
  <c r="L88" i="95"/>
  <c r="L89" i="95"/>
  <c r="L90" i="95"/>
  <c r="L91" i="95"/>
  <c r="L92" i="95"/>
  <c r="L93" i="95"/>
  <c r="L94" i="95"/>
  <c r="L95" i="95"/>
  <c r="L96" i="95"/>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L108" i="95"/>
  <c r="L109" i="95"/>
  <c r="L110" i="95"/>
  <c r="M110" i="95" s="1"/>
  <c r="L111" i="95"/>
  <c r="L112" i="95"/>
  <c r="L113" i="95"/>
  <c r="L114" i="95"/>
  <c r="L115" i="95"/>
  <c r="L116" i="95"/>
  <c r="L117" i="95"/>
  <c r="L118" i="95"/>
  <c r="L119" i="95"/>
  <c r="L120" i="95"/>
  <c r="L121" i="95"/>
  <c r="L122" i="95"/>
  <c r="L123" i="95"/>
  <c r="L124" i="95"/>
  <c r="L125" i="95"/>
  <c r="L126" i="95"/>
  <c r="L127" i="95"/>
  <c r="L128" i="95"/>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M139" i="95" s="1"/>
  <c r="L140" i="95"/>
  <c r="M140" i="95" s="1"/>
  <c r="L141" i="95"/>
  <c r="M141" i="95" s="1"/>
  <c r="L142" i="95"/>
  <c r="M142" i="95" s="1"/>
  <c r="L143" i="95"/>
  <c r="M143" i="95" s="1"/>
  <c r="L144" i="95"/>
  <c r="M144" i="95" s="1"/>
  <c r="L145" i="95"/>
  <c r="L146" i="95"/>
  <c r="L147" i="95"/>
  <c r="L148" i="95"/>
  <c r="L149" i="95"/>
  <c r="L150" i="95"/>
  <c r="L151" i="95"/>
  <c r="L152" i="95"/>
  <c r="L153" i="95"/>
  <c r="L154" i="95"/>
  <c r="L155" i="95"/>
  <c r="M155" i="95" s="1"/>
  <c r="L156" i="95"/>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M174" i="95" s="1"/>
  <c r="L175" i="95"/>
  <c r="M175" i="95" s="1"/>
  <c r="L176" i="95"/>
  <c r="M176" i="95" s="1"/>
  <c r="L177" i="95"/>
  <c r="L178" i="95"/>
  <c r="L179" i="95"/>
  <c r="L180" i="95"/>
  <c r="L181" i="95"/>
  <c r="L182" i="95"/>
  <c r="L183" i="95"/>
  <c r="L184" i="95"/>
  <c r="L185" i="95"/>
  <c r="L186" i="95"/>
  <c r="L187" i="95"/>
  <c r="L188" i="95"/>
  <c r="L189" i="95"/>
  <c r="L190" i="95"/>
  <c r="L191" i="95"/>
  <c r="L192" i="95"/>
  <c r="L193" i="95"/>
  <c r="M193" i="95" s="1"/>
  <c r="L194" i="95"/>
  <c r="M194" i="95" s="1"/>
  <c r="L195" i="95"/>
  <c r="M195" i="95" s="1"/>
  <c r="L196" i="95"/>
  <c r="M196" i="95" s="1"/>
  <c r="L197" i="95"/>
  <c r="M197" i="95" s="1"/>
  <c r="L198" i="95"/>
  <c r="M198" i="95" s="1"/>
  <c r="L199" i="95"/>
  <c r="M199" i="95" s="1"/>
  <c r="L200" i="95"/>
  <c r="M200" i="95" s="1"/>
  <c r="L201" i="95"/>
  <c r="M201" i="95" s="1"/>
  <c r="L202" i="95"/>
  <c r="L203" i="95"/>
  <c r="L204" i="95"/>
  <c r="L205" i="95"/>
  <c r="M205" i="95" s="1"/>
  <c r="L206" i="95"/>
  <c r="M206" i="95" s="1"/>
  <c r="L207" i="95"/>
  <c r="M207" i="95" s="1"/>
  <c r="L208" i="95"/>
  <c r="M208" i="95" s="1"/>
  <c r="L209" i="95"/>
  <c r="L210" i="95"/>
  <c r="L211" i="95"/>
  <c r="L212" i="95"/>
  <c r="L213" i="95"/>
  <c r="M213" i="95" s="1"/>
  <c r="L214" i="95"/>
  <c r="M214" i="95" s="1"/>
  <c r="L215" i="95"/>
  <c r="L216" i="95"/>
  <c r="M216" i="95" s="1"/>
  <c r="L217" i="95"/>
  <c r="M217" i="95" s="1"/>
  <c r="L218" i="95"/>
  <c r="L219" i="95"/>
  <c r="L220" i="95"/>
  <c r="L221" i="95"/>
  <c r="L222" i="95"/>
  <c r="L223" i="95"/>
  <c r="L224" i="95"/>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M239" i="95" s="1"/>
  <c r="L240" i="95"/>
  <c r="L241" i="95"/>
  <c r="L242" i="95"/>
  <c r="L243" i="95"/>
  <c r="L244" i="95"/>
  <c r="L245" i="95"/>
  <c r="L246" i="95"/>
  <c r="L247" i="95"/>
  <c r="L248" i="95"/>
  <c r="L249" i="95"/>
  <c r="M249" i="95" s="1"/>
  <c r="L250" i="95"/>
  <c r="L251" i="95"/>
  <c r="M251" i="95" s="1"/>
  <c r="L252" i="95"/>
  <c r="L253" i="95"/>
  <c r="L254" i="95"/>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M272" i="95" s="1"/>
  <c r="L273" i="95"/>
  <c r="L274" i="95"/>
  <c r="L275" i="95"/>
  <c r="L276" i="95"/>
  <c r="L277" i="95"/>
  <c r="L278" i="95"/>
  <c r="L279" i="95"/>
  <c r="L280" i="95"/>
  <c r="L281" i="95"/>
  <c r="L282" i="95"/>
  <c r="L283" i="95"/>
  <c r="L284" i="95"/>
  <c r="L285" i="95"/>
  <c r="L286" i="95"/>
  <c r="L287" i="95"/>
  <c r="L288" i="95"/>
  <c r="L289" i="95"/>
  <c r="M289" i="95" s="1"/>
  <c r="L290" i="95"/>
  <c r="M290" i="95" s="1"/>
  <c r="L291" i="95"/>
  <c r="M291" i="95" s="1"/>
  <c r="L292" i="95"/>
  <c r="M292" i="95" s="1"/>
  <c r="L293" i="95"/>
  <c r="M293" i="95" s="1"/>
  <c r="L294" i="95"/>
  <c r="M294" i="95" s="1"/>
  <c r="L295" i="95"/>
  <c r="M295" i="95" s="1"/>
  <c r="L296" i="95"/>
  <c r="M296" i="95" s="1"/>
  <c r="L297" i="95"/>
  <c r="M297" i="95" s="1"/>
  <c r="L298" i="95"/>
  <c r="L299" i="95"/>
  <c r="L300" i="95"/>
  <c r="M300" i="95" s="1"/>
  <c r="L301" i="95"/>
  <c r="M301" i="95" s="1"/>
  <c r="L302" i="95"/>
  <c r="M302" i="95" s="1"/>
  <c r="L303" i="95"/>
  <c r="M303" i="95" s="1"/>
  <c r="L304" i="95"/>
  <c r="M304" i="95" s="1"/>
  <c r="L305" i="95"/>
  <c r="L306" i="95"/>
  <c r="L307" i="95"/>
  <c r="L308" i="95"/>
  <c r="L309" i="95"/>
  <c r="M309" i="95" s="1"/>
  <c r="L310" i="95"/>
  <c r="M310" i="95" s="1"/>
  <c r="L311" i="95"/>
  <c r="M311" i="95" s="1"/>
  <c r="L312" i="95"/>
  <c r="M312" i="95" s="1"/>
  <c r="L313" i="95"/>
  <c r="M313" i="95" s="1"/>
  <c r="L314" i="95"/>
  <c r="L315" i="95"/>
  <c r="L316" i="95"/>
  <c r="L317" i="95"/>
  <c r="L318" i="95"/>
  <c r="L319" i="95"/>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M331" i="95" s="1"/>
  <c r="L332" i="95"/>
  <c r="M332" i="95" s="1"/>
  <c r="L333" i="95"/>
  <c r="M333" i="95" s="1"/>
  <c r="L334" i="95"/>
  <c r="M334" i="95" s="1"/>
  <c r="L335" i="95"/>
  <c r="M335" i="95" s="1"/>
  <c r="L336" i="95"/>
  <c r="L337" i="95"/>
  <c r="L338" i="95"/>
  <c r="L339" i="95"/>
  <c r="L340" i="95"/>
  <c r="L341" i="95"/>
  <c r="L342" i="95"/>
  <c r="L343" i="95"/>
  <c r="M343" i="95" s="1"/>
  <c r="L344" i="95"/>
  <c r="M344" i="95" s="1"/>
  <c r="L345" i="95"/>
  <c r="M345" i="95" s="1"/>
  <c r="L346" i="95"/>
  <c r="L347" i="95"/>
  <c r="L348" i="95"/>
  <c r="L349" i="95"/>
  <c r="L350" i="95"/>
  <c r="M350" i="95" s="1"/>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L370" i="95"/>
  <c r="L371" i="95"/>
  <c r="L372" i="95"/>
  <c r="L373" i="95"/>
  <c r="L374" i="95"/>
  <c r="L375" i="95"/>
  <c r="L376" i="95"/>
  <c r="L377" i="95"/>
  <c r="L378" i="95"/>
  <c r="L379" i="95"/>
  <c r="L380" i="95"/>
  <c r="L381" i="95"/>
  <c r="L382" i="95"/>
  <c r="L383" i="95"/>
  <c r="L384" i="95"/>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L402" i="95"/>
  <c r="L403" i="95"/>
  <c r="L404" i="95"/>
  <c r="M404" i="95" s="1"/>
  <c r="L405" i="95"/>
  <c r="M405" i="95" s="1"/>
  <c r="L406" i="95"/>
  <c r="M406" i="95" s="1"/>
  <c r="L407" i="95"/>
  <c r="L408" i="95"/>
  <c r="L409" i="95"/>
  <c r="L410" i="95"/>
  <c r="L411" i="95"/>
  <c r="L412" i="95"/>
  <c r="L413" i="95"/>
  <c r="L414" i="95"/>
  <c r="L415" i="95"/>
  <c r="L416" i="95"/>
  <c r="L417" i="95"/>
  <c r="M417" i="95" s="1"/>
  <c r="L418" i="95"/>
  <c r="M418" i="95" s="1"/>
  <c r="L419" i="95"/>
  <c r="M419" i="95" s="1"/>
  <c r="L420" i="95"/>
  <c r="M420" i="95" s="1"/>
  <c r="L421" i="95"/>
  <c r="M421" i="95" s="1"/>
  <c r="L422" i="95"/>
  <c r="M422" i="95" s="1"/>
  <c r="L423" i="95"/>
  <c r="M423" i="95" s="1"/>
  <c r="L424" i="95"/>
  <c r="M424" i="95" s="1"/>
  <c r="L425" i="95"/>
  <c r="M425" i="95" s="1"/>
  <c r="M10" i="95"/>
  <c r="M11" i="95"/>
  <c r="M12" i="95"/>
  <c r="M13" i="95"/>
  <c r="M16" i="95"/>
  <c r="M17" i="95"/>
  <c r="M19" i="95"/>
  <c r="M22" i="95"/>
  <c r="M23" i="95"/>
  <c r="M25" i="95"/>
  <c r="M26" i="95"/>
  <c r="M28" i="95"/>
  <c r="M49" i="95"/>
  <c r="M50" i="95"/>
  <c r="M51" i="95"/>
  <c r="M52" i="95"/>
  <c r="M53" i="95"/>
  <c r="M54" i="95"/>
  <c r="M55" i="95"/>
  <c r="M56" i="95"/>
  <c r="M57" i="95"/>
  <c r="M58" i="95"/>
  <c r="M59" i="95"/>
  <c r="M60" i="95"/>
  <c r="M81" i="95"/>
  <c r="M82" i="95"/>
  <c r="M83" i="95"/>
  <c r="M84" i="95"/>
  <c r="M86" i="95"/>
  <c r="M87" i="95"/>
  <c r="M88" i="95"/>
  <c r="M89" i="95"/>
  <c r="M90" i="95"/>
  <c r="M91" i="95"/>
  <c r="M92" i="95"/>
  <c r="M93" i="95"/>
  <c r="M94" i="95"/>
  <c r="M95" i="95"/>
  <c r="M96" i="95"/>
  <c r="M107" i="95"/>
  <c r="M108" i="95"/>
  <c r="M109" i="95"/>
  <c r="M111" i="95"/>
  <c r="M112" i="95"/>
  <c r="M113" i="95"/>
  <c r="M114" i="95"/>
  <c r="M115" i="95"/>
  <c r="M116" i="95"/>
  <c r="M117" i="95"/>
  <c r="M118" i="95"/>
  <c r="M119" i="95"/>
  <c r="M120" i="95"/>
  <c r="M121" i="95"/>
  <c r="M122" i="95"/>
  <c r="M123" i="95"/>
  <c r="M124" i="95"/>
  <c r="M125" i="95"/>
  <c r="M126" i="95"/>
  <c r="M127" i="95"/>
  <c r="M128" i="95"/>
  <c r="M145" i="95"/>
  <c r="M146" i="95"/>
  <c r="M147" i="95"/>
  <c r="M148" i="95"/>
  <c r="M149" i="95"/>
  <c r="M150" i="95"/>
  <c r="M151" i="95"/>
  <c r="M152" i="95"/>
  <c r="M153" i="95"/>
  <c r="M154" i="95"/>
  <c r="M156" i="95"/>
  <c r="M177" i="95"/>
  <c r="M178" i="95"/>
  <c r="M179" i="95"/>
  <c r="M180" i="95"/>
  <c r="M181" i="95"/>
  <c r="M182" i="95"/>
  <c r="M183" i="95"/>
  <c r="M184" i="95"/>
  <c r="M185" i="95"/>
  <c r="M186" i="95"/>
  <c r="M187" i="95"/>
  <c r="M188" i="95"/>
  <c r="M189" i="95"/>
  <c r="M190" i="95"/>
  <c r="M191" i="95"/>
  <c r="M192" i="95"/>
  <c r="M202" i="95"/>
  <c r="M203" i="95"/>
  <c r="M204" i="95"/>
  <c r="M209" i="95"/>
  <c r="M210" i="95"/>
  <c r="M211" i="95"/>
  <c r="M212" i="95"/>
  <c r="M215" i="95"/>
  <c r="M218" i="95"/>
  <c r="M219" i="95"/>
  <c r="M220" i="95"/>
  <c r="M221" i="95"/>
  <c r="M222" i="95"/>
  <c r="M223" i="95"/>
  <c r="M224" i="95"/>
  <c r="M240" i="95"/>
  <c r="M241" i="95"/>
  <c r="M242" i="95"/>
  <c r="M243" i="95"/>
  <c r="M244" i="95"/>
  <c r="M245" i="95"/>
  <c r="M246" i="95"/>
  <c r="M247" i="95"/>
  <c r="M248" i="95"/>
  <c r="M250" i="95"/>
  <c r="M252" i="95"/>
  <c r="M253" i="95"/>
  <c r="M254" i="95"/>
  <c r="M273" i="95"/>
  <c r="M274" i="95"/>
  <c r="M275" i="95"/>
  <c r="M276" i="95"/>
  <c r="M277" i="95"/>
  <c r="M278" i="95"/>
  <c r="M279" i="95"/>
  <c r="M280" i="95"/>
  <c r="M281" i="95"/>
  <c r="M282" i="95"/>
  <c r="M283" i="95"/>
  <c r="M284" i="95"/>
  <c r="M285" i="95"/>
  <c r="M286" i="95"/>
  <c r="M287" i="95"/>
  <c r="M288" i="95"/>
  <c r="M298" i="95"/>
  <c r="M299" i="95"/>
  <c r="M305" i="95"/>
  <c r="M306" i="95"/>
  <c r="M307" i="95"/>
  <c r="M308" i="95"/>
  <c r="M314" i="95"/>
  <c r="M315" i="95"/>
  <c r="M316" i="95"/>
  <c r="M317" i="95"/>
  <c r="M318" i="95"/>
  <c r="M319" i="95"/>
  <c r="M336" i="95"/>
  <c r="M337" i="95"/>
  <c r="M338" i="95"/>
  <c r="M339" i="95"/>
  <c r="M340" i="95"/>
  <c r="M341" i="95"/>
  <c r="M342" i="95"/>
  <c r="M346" i="95"/>
  <c r="M347" i="95"/>
  <c r="M348" i="95"/>
  <c r="M349" i="95"/>
  <c r="M369" i="95"/>
  <c r="M370" i="95"/>
  <c r="M371" i="95"/>
  <c r="M372" i="95"/>
  <c r="M373" i="95"/>
  <c r="M374" i="95"/>
  <c r="M375" i="95"/>
  <c r="M376" i="95"/>
  <c r="M377" i="95"/>
  <c r="M378" i="95"/>
  <c r="M379" i="95"/>
  <c r="M380" i="95"/>
  <c r="M381" i="95"/>
  <c r="M382" i="95"/>
  <c r="M383" i="95"/>
  <c r="M384" i="95"/>
  <c r="M401" i="95"/>
  <c r="M402" i="95"/>
  <c r="M403" i="95"/>
  <c r="M407" i="95"/>
  <c r="M408" i="95"/>
  <c r="M409" i="95"/>
  <c r="M410" i="95"/>
  <c r="M411" i="95"/>
  <c r="M412" i="95"/>
  <c r="M413" i="95"/>
  <c r="M414" i="95"/>
  <c r="M415" i="95"/>
  <c r="M416"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32" i="74"/>
  <c r="O33" i="74"/>
  <c r="O34" i="74"/>
  <c r="P34" i="74" s="1"/>
  <c r="O35" i="74"/>
  <c r="O23" i="74"/>
  <c r="P23" i="74" s="1"/>
  <c r="O24" i="74"/>
  <c r="O25" i="74"/>
  <c r="P25" i="74" s="1"/>
  <c r="O26" i="74"/>
  <c r="O27" i="74"/>
  <c r="P27" i="74" s="1"/>
  <c r="O28" i="74"/>
  <c r="P28" i="74" s="1"/>
  <c r="O29" i="74"/>
  <c r="P29" i="74" s="1"/>
  <c r="O30" i="74"/>
  <c r="P30" i="74" s="1"/>
  <c r="O31" i="74"/>
  <c r="O21" i="74"/>
  <c r="O22" i="74"/>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2" i="74"/>
  <c r="P33" i="74"/>
  <c r="P35" i="74"/>
  <c r="P24" i="74"/>
  <c r="P26" i="74"/>
  <c r="P31" i="74"/>
  <c r="P21" i="74"/>
  <c r="P22"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C2" i="71" a="1"/>
  <c r="C2" i="71" s="1"/>
  <c r="K318" i="95" l="1"/>
  <c r="K222" i="95"/>
  <c r="F30" i="8"/>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H15" i="26"/>
  <c r="H14" i="26" a="1"/>
  <c r="H14" i="26" s="1"/>
  <c r="AM2" i="77" a="1"/>
  <c r="B10" i="26" a="1"/>
  <c r="B11"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F31" i="8" s="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5" i="21" a="1"/>
  <c r="D14" i="21" a="1"/>
  <c r="D16" i="21" a="1"/>
  <c r="D12" i="21" a="1"/>
  <c r="D13"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<sst xmlns="http://schemas.openxmlformats.org/spreadsheetml/2006/main" count="1343" uniqueCount="774">
  <si>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</si>
  <si>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</si>
  <si>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</si>
  <si>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</si>
  <si>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</si>
  <si>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</si>
  <si>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</si>
  <si>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</si>
  <si>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</si>
  <si>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</si>
  <si>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</si>
  <si>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</si>
  <si>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</si>
  <si>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</si>
  <si>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</si>
  <si>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</si>
  <si>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</si>
  <si>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</si>
  <si>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</si>
  <si>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</si>
  <si>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</si>
  <si>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</si>
  <si>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</si>
  <si>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</si>
  <si>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</si>
  <si>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</si>
  <si>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</si>
  <si>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</si>
  <si>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</si>
  <si>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</si>
  <si>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</si>
  <si>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</si>
  <si>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</si>
  <si>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</si>
  <si>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</si>
  <si>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</si>
  <si>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</si>
  <si>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</si>
  <si>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</si>
  <si>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</si>
  <si>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</si>
  <si>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</si>
  <si>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</si>
  <si>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</si>
  <si>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</si>
  <si>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</si>
  <si>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</si>
  <si>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</si>
  <si>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</si>
  <si>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</si>
  <si>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</si>
  <si>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</si>
  <si>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</si>
  <si>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</si>
  <si>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</si>
  <si>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</si>
  <si>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</si>
  <si>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</si>
  <si>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</si>
  <si>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</si>
  <si>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</si>
  <si>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</si>
  <si>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</si>
  <si>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</si>
  <si>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</si>
  <si>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</si>
  <si>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</si>
  <si>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</si>
  <si>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</si>
  <si>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</si>
  <si>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</si>
  <si>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</si>
  <si>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</si>
  <si>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</si>
  <si>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</si>
  <si>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</si>
  <si>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</si>
  <si>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</si>
  <si>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</si>
  <si>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</si>
  <si>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</si>
  <si>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</si>
  <si>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</si>
  <si>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</si>
  <si>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</si>
  <si>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</si>
  <si>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</si>
  <si>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</si>
  <si>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</si>
  <si>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</si>
  <si>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</si>
  <si>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</si>
  <si>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</si>
  <si>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</si>
  <si>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</si>
  <si>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</si>
  <si>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</si>
  <si>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</si>
  <si>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</si>
  <si>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</si>
  <si>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</si>
  <si>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</si>
  <si>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</si>
  <si>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</si>
  <si>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</si>
  <si>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</si>
  <si>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</si>
  <si>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</si>
  <si>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</si>
  <si>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</si>
  <si>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</si>
  <si>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</si>
  <si>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</si>
  <si>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</si>
  <si>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</si>
  <si>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</si>
  <si>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</si>
  <si>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</si>
  <si>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</si>
  <si>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</si>
  <si>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</si>
  <si>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</si>
  <si>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</si>
  <si>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</si>
  <si>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</si>
  <si>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</si>
  <si>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</si>
  <si>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</si>
  <si>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</si>
  <si>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</si>
  <si>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</si>
  <si>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</si>
  <si>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</si>
  <si>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</si>
  <si>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</si>
  <si>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</si>
  <si>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</si>
  <si>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</si>
  <si>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</si>
  <si>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</si>
  <si>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</si>
  <si>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</si>
  <si>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</si>
  <si>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</si>
  <si>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</si>
  <si>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</si>
  <si>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</si>
  <si>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</si>
  <si>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</si>
  <si>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</si>
  <si>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</si>
  <si>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</si>
  <si>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</si>
  <si>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</si>
  <si>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</si>
  <si>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</si>
  <si>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</si>
  <si>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</si>
  <si>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</si>
  <si>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</si>
  <si>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</si>
  <si>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</si>
  <si>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</si>
  <si>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</si>
  <si>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</si>
  <si>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</si>
  <si>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</si>
  <si>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</si>
  <si>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</si>
  <si>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</si>
  <si>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</si>
  <si>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</si>
  <si>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</si>
  <si>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</si>
  <si>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</si>
  <si>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</si>
  <si>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</si>
  <si>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</si>
  <si>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</si>
  <si>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</si>
  <si>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</si>
  <si>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</si>
  <si>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</si>
  <si>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</si>
  <si>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</si>
  <si>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</si>
  <si>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</si>
  <si>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</si>
  <si>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</si>
  <si>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</si>
  <si>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</si>
  <si>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</si>
  <si>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</si>
  <si>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</si>
  <si>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</si>
  <si>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</si>
  <si>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</si>
  <si>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</si>
  <si>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</si>
  <si>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</si>
  <si>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</si>
  <si>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</si>
  <si>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</si>
  <si>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</si>
  <si>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</si>
  <si>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</si>
  <si>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</si>
  <si>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</si>
  <si>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</si>
  <si>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</si>
  <si>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</si>
  <si>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</si>
  <si>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</si>
  <si>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</si>
  <si>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</si>
  <si>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</si>
  <si>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</si>
  <si>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</si>
  <si>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</si>
  <si>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</si>
  <si>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</si>
  <si>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</si>
  <si>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</si>
  <si>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</si>
  <si>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</si>
  <si>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</si>
  <si>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</si>
  <si>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</si>
  <si>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</si>
  <si>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</si>
  <si>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</si>
  <si>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</si>
  <si>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</si>
  <si>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</si>
  <si>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</si>
  <si>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</si>
  <si>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</si>
  <si>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</si>
  <si>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</si>
  <si>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</si>
  <si>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</si>
  <si>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</si>
  <si>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</si>
  <si>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</si>
  <si>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</si>
  <si>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</si>
  <si>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</si>
  <si>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</si>
  <si>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</si>
  <si>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</si>
  <si>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</si>
  <si>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</si>
  <si>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</si>
  <si>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</si>
  <si>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</si>
  <si>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</si>
  <si>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</si>
  <si>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</si>
  <si>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</si>
  <si>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</si>
  <si>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</si>
  <si>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</si>
  <si>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</si>
  <si>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</si>
  <si>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</si>
  <si>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</si>
  <si>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</si>
  <si>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</si>
  <si>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</si>
  <si>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</si>
  <si>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</si>
  <si>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</si>
  <si>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</si>
  <si>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</si>
  <si>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</si>
  <si>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</si>
  <si>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</si>
  <si>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</si>
  <si>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</si>
  <si>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</si>
  <si>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</si>
  <si>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</si>
  <si>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</si>
  <si>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</si>
  <si>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</si>
  <si>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</si>
  <si>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</si>
  <si>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</si>
  <si>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</si>
  <si>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</si>
  <si>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</si>
  <si>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</si>
  <si>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</si>
  <si>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</si>
  <si>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</si>
  <si>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</si>
  <si>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</si>
  <si>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</si>
  <si>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</si>
  <si>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</si>
  <si>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</si>
  <si>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</si>
  <si>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</si>
  <si>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</si>
  <si>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</si>
  <si>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</si>
  <si>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</si>
  <si>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</si>
  <si>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</si>
  <si>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</si>
  <si>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</si>
  <si>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</si>
  <si>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</si>
  <si>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</si>
  <si>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</si>
  <si>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</si>
  <si>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</si>
  <si>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</si>
  <si>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</si>
  <si>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</si>
  <si>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</si>
  <si>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</si>
  <si>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</si>
  <si>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</si>
  <si>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</si>
  <si>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</si>
  <si>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</si>
  <si>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</si>
  <si>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</si>
  <si>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</si>
  <si>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</si>
  <si>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</si>
  <si>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</si>
  <si>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</si>
  <si>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</si>
  <si>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</si>
  <si>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</si>
  <si>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</si>
  <si>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</si>
  <si>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</si>
  <si>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</si>
  <si>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</si>
  <si>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</si>
  <si>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</si>
  <si>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</si>
  <si>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</si>
  <si>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</si>
  <si>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</si>
  <si>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</si>
  <si>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</si>
  <si>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</si>
  <si>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</si>
  <si>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</si>
  <si>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</si>
  <si>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</si>
  <si>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</si>
  <si>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</si>
  <si>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</si>
  <si>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</si>
  <si>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</si>
  <si>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</si>
  <si>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</si>
  <si>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</si>
  <si>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</si>
  <si>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</si>
  <si>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</si>
  <si>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</si>
  <si>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</si>
  <si>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</si>
  <si>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</si>
  <si>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</si>
  <si>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</si>
  <si>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</si>
  <si>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</si>
  <si>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</si>
  <si>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</si>
  <si>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</si>
  <si>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</si>
  <si>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</si>
  <si>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</si>
  <si>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</si>
  <si>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</si>
  <si>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</si>
  <si>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</si>
  <si>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</si>
  <si>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</si>
  <si>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</si>
  <si>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</si>
  <si>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</si>
  <si>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</si>
  <si>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</si>
  <si>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</si>
  <si>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</si>
  <si>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</si>
  <si>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</si>
  <si>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</si>
  <si>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</si>
  <si>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</si>
  <si>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</si>
  <si>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</si>
  <si>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</si>
  <si>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</si>
  <si>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</si>
  <si>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</si>
  <si>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</si>
  <si>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</si>
  <si>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</si>
  <si>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</si>
  <si>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</si>
  <si>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</si>
  <si>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</si>
  <si>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</si>
  <si>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</si>
  <si>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</si>
  <si>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</si>
  <si>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</si>
  <si>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</si>
  <si>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</si>
  <si>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</si>
  <si>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</si>
  <si>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</si>
  <si>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</si>
  <si>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</si>
  <si>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</si>
  <si>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</si>
  <si>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</si>
  <si>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</si>
  <si>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</si>
  <si>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</si>
  <si>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</si>
  <si>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</si>
  <si>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</si>
  <si>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</si>
  <si>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</si>
  <si>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</si>
  <si>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</si>
  <si>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</si>
  <si>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</si>
  <si>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</si>
  <si>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</si>
  <si>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</si>
  <si>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</si>
  <si>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</si>
  <si>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</si>
  <si>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</si>
  <si>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</si>
  <si>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</si>
  <si>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</si>
  <si>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</si>
  <si>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</si>
  <si>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</si>
  <si>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</si>
  <si>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</si>
  <si>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</si>
  <si>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</si>
  <si>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</si>
  <si>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</si>
  <si>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</si>
  <si>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</si>
  <si>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</si>
  <si>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</si>
  <si>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</si>
  <si>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</si>
  <si>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</si>
  <si>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</si>
  <si>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</si>
  <si>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</si>
  <si>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</si>
  <si>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</si>
  <si>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</si>
  <si>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</si>
  <si>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</si>
  <si>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</si>
  <si>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</si>
  <si>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</si>
  <si>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</si>
  <si>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</si>
  <si>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</si>
  <si>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</si>
  <si>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</si>
  <si>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</si>
  <si>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</si>
  <si>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</si>
  <si>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</si>
  <si>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</si>
  <si>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</si>
  <si>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</si>
  <si>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</si>
  <si>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</si>
  <si>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</si>
  <si>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</si>
  <si>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</si>
  <si>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</si>
  <si>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</si>
  <si>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</si>
  <si>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</si>
  <si>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</si>
  <si>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</si>
  <si>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</si>
  <si>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</si>
  <si>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</si>
  <si>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</si>
  <si>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</si>
  <si>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</si>
  <si>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</si>
  <si>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</si>
  <si>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</si>
  <si>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</si>
  <si>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</si>
  <si>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</si>
  <si>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</si>
  <si>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</si>
  <si>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</si>
  <si>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</si>
  <si>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</si>
  <si>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</si>
  <si>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</si>
  <si>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</si>
  <si>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</si>
  <si>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</si>
  <si>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</si>
  <si>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</si>
  <si>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</si>
  <si>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</si>
  <si>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</si>
  <si>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</si>
  <si>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</si>
  <si>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</si>
  <si>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</si>
  <si>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</si>
  <si>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</si>
  <si>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</si>
  <si>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</si>
  <si>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</si>
  <si>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</si>
  <si>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</si>
  <si>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</si>
  <si>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</si>
  <si>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</si>
  <si>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</si>
  <si>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</si>
  <si>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</si>
  <si>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</si>
  <si>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</si>
  <si>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</si>
  <si>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</si>
  <si>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</si>
  <si>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</si>
  <si>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</si>
  <si>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</si>
  <si>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</si>
  <si>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</si>
  <si>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</si>
  <si>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</si>
  <si>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</si>
  <si>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</si>
  <si>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</si>
  <si>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</si>
  <si>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</si>
  <si>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</si>
  <si>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</si>
  <si>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</si>
  <si>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</si>
  <si>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</si>
  <si>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</si>
  <si>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</si>
  <si>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</si>
  <si>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</si>
  <si>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</si>
  <si>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</si>
  <si>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</si>
  <si>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</si>
  <si>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</si>
  <si>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</si>
  <si>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</si>
  <si>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</si>
  <si>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</si>
  <si>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</si>
  <si>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</si>
  <si>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</si>
  <si>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</si>
  <si>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</si>
  <si>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</si>
  <si>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</si>
  <si>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</si>
  <si>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</si>
  <si>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</si>
  <si>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</si>
  <si>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</si>
  <si>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</si>
  <si>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</si>
  <si>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</si>
  <si>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</si>
  <si>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</si>
  <si>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</si>
  <si>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</si>
  <si>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</si>
  <si>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</si>
  <si>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</si>
  <si>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</si>
  <si>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</si>
  <si>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</si>
  <si>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</si>
  <si>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</si>
  <si>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</si>
  <si>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</si>
  <si>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</si>
  <si>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</si>
  <si>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</si>
  <si>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</si>
  <si>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</si>
  <si>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</si>
  <si>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</si>
  <si>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</si>
  <si>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</si>
  <si>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</si>
  <si>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</si>
  <si>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</si>
  <si>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</si>
  <si>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</si>
  <si>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</si>
  <si>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</si>
  <si>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</si>
  <si>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</si>
  <si>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</si>
  <si>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</si>
  <si>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</si>
  <si>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</si>
  <si>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</si>
  <si>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</si>
  <si>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</si>
  <si>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</si>
  <si>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</si>
  <si>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</si>
  <si>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</si>
  <si>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</si>
  <si>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</si>
  <si>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</si>
  <si>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</si>
  <si>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</si>
  <si>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</si>
  <si>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</si>
  <si>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</si>
  <si>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</si>
  <si>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</si>
  <si>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</si>
  <si>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</si>
  <si>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</si>
  <si>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</si>
  <si>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</si>
  <si>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</si>
  <si>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</si>
  <si>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</si>
  <si>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</si>
  <si>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</si>
  <si>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</si>
  <si>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</si>
  <si>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</si>
  <si>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</si>
  <si>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</si>
  <si>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</si>
  <si>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</si>
  <si>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</si>
  <si>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</si>
  <si>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</si>
  <si>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</si>
  <si>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</si>
  <si>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</si>
  <si>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</si>
  <si>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</si>
  <si>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</si>
  <si>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</si>
  <si>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</si>
  <si>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</si>
  <si>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</si>
  <si>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</si>
  <si>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</si>
  <si>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</si>
  <si>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</si>
  <si>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</si>
  <si>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</si>
  <si>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</si>
  <si>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</si>
  <si>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</si>
  <si>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</si>
  <si>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</si>
  <si>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</si>
  <si>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</si>
  <si>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</si>
  <si>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</si>
  <si>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</si>
  <si>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</si>
  <si>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</si>
  <si>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</si>
  <si>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</si>
  <si>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</si>
  <si>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</si>
  <si>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</si>
  <si>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</si>
  <si>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</si>
  <si>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</si>
  <si>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</si>
  <si>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</si>
  <si>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</si>
  <si>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</si>
  <si>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</si>
  <si>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</si>
  <si>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</si>
  <si>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</si>
  <si>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</si>
  <si>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</si>
  <si>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</si>
  <si>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</si>
  <si>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</si>
  <si>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</si>
  <si>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</si>
  <si>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</si>
  <si>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</si>
  <si>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</si>
  <si>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</si>
  <si>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</si>
  <si>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</si>
  <si>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</si>
  <si>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</si>
  <si>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</si>
  <si>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</si>
  <si>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</si>
  <si>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</si>
  <si>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</si>
  <si>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</si>
  <si>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</si>
  <si>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</si>
  <si>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</si>
  <si>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</si>
  <si>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</si>
  <si>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</si>
  <si>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</si>
  <si>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</si>
  <si>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</si>
  <si>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</si>
  <si>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</si>
  <si>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</si>
  <si>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</si>
  <si>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</si>
  <si>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</si>
  <si>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</si>
  <si>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</si>
  <si>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</si>
  <si>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</si>
  <si>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</si>
  <si>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</si>
  <si>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</si>
  <si>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</si>
  <si>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</si>
  <si>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</si>
  <si>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</si>
  <si>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</si>
  <si>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</si>
  <si>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</si>
  <si>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</si>
  <si>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</si>
  <si>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</si>
  <si>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</si>
  <si>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</si>
  <si>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</si>
  <si>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</si>
  <si>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</si>
  <si>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</si>
  <si>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</si>
  <si>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</si>
  <si>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</si>
  <si>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</si>
  <si>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</si>
  <si>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Ver. 04.03.26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</si>
</sst>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7" fillId="0" borderId="0" applyNumberFormat="0" applyFill="0" applyBorder="0" applyAlignment="0" applyProtection="0"/>
    <xf numFmtId="0" fontId="1" fillId="0" borderId="0"/>
  </cellStyleXfs>
  <cellXfs count="658">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70"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3" fillId="0" borderId="9" xfId="0" applyFont="1" applyBorder="1"/>
    <xf numFmtId="0" fontId="63" fillId="0" borderId="18" xfId="0" applyFont="1" applyBorder="1"/>
    <xf numFmtId="0" fontId="102" fillId="0" borderId="0" xfId="0" applyFont="1" applyAlignment="1">
      <alignment horizontal="center"/>
    </xf>
    <xf numFmtId="0" fontId="103" fillId="0" borderId="0" xfId="0" applyFont="1"/>
    <xf numFmtId="0" fontId="40"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5" fillId="0" borderId="0" xfId="0" applyFont="1" applyAlignment="1">
      <alignment horizontal="left"/>
    </xf>
    <xf numFmtId="180" fontId="52" fillId="0" borderId="0" xfId="1" applyNumberFormat="1" applyAlignment="1">
      <alignment horizontal="left"/>
    </xf>
    <xf numFmtId="0" fontId="116"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8" fillId="5" borderId="4" xfId="0" applyNumberFormat="1" applyFont="1" applyFill="1" applyBorder="1" applyAlignment="1">
      <alignment horizontal="left"/>
    </xf>
    <xf numFmtId="0" fontId="118"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3"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3"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170" fontId="81" fillId="2" borderId="0" xfId="0" applyNumberFormat="1" applyFont="1" applyFill="1"/>
    <xf numFmtId="176" fontId="77" fillId="2" borderId="0" xfId="0" applyNumberFormat="1" applyFont="1" applyFill="1"/>
    <xf numFmtId="173" fontId="113" fillId="2" borderId="0" xfId="0" applyNumberFormat="1" applyFont="1" applyFill="1"/>
    <xf numFmtId="1" fontId="73"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8" fillId="2" borderId="0" xfId="0" applyFont="1" applyFill="1"/>
    <xf numFmtId="0" fontId="27" fillId="9" borderId="0" xfId="0" applyFont="1" applyFill="1" applyAlignment="1">
      <alignment horizontal="center" vertical="top" wrapText="1"/>
    </xf>
    <xf numFmtId="0" fontId="93" fillId="2" borderId="0" xfId="0" applyFont="1" applyFill="1"/>
    <xf numFmtId="0" fontId="22" fillId="9" borderId="20" xfId="0" applyFont="1" applyFill="1" applyBorder="1" applyAlignment="1">
      <alignment horizontal="center"/>
    </xf>
    <xf numFmtId="0" fontId="92" fillId="2" borderId="0" xfId="0" applyFont="1" applyFill="1"/>
    <xf numFmtId="0" fontId="55"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7"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1"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1"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3"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2"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3" fillId="9" borderId="20" xfId="0" applyNumberFormat="1" applyFont="1" applyFill="1" applyBorder="1"/>
    <xf numFmtId="0" fontId="32"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8"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9" fillId="2" borderId="0" xfId="0" applyFont="1" applyFill="1"/>
    <xf numFmtId="0" fontId="130"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132"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6" fillId="0" borderId="0" xfId="7" applyFont="1"/>
    <xf numFmtId="0" fontId="1" fillId="0" borderId="0" xfId="7" applyProtection="1">
      <protection locked="0"/>
    </xf>
    <xf numFmtId="0" fontId="116" fillId="11" borderId="7" xfId="0" applyFont="1" applyFill="1" applyBorder="1" applyAlignment="1">
      <alignment horizontal="left" vertical="top"/>
    </xf>
    <xf numFmtId="0" fontId="54" fillId="2" borderId="0" xfId="0" applyFont="1" applyFill="1" applyAlignment="1">
      <alignment horizontal="left" vertical="top"/>
    </xf>
    <xf numFmtId="0" fontId="112" fillId="2" borderId="0" xfId="0" applyFont="1" applyFill="1" applyAlignment="1">
      <alignment horizontal="left" vertical="top"/>
    </xf>
    <xf numFmtId="0" fontId="97" fillId="2" borderId="0" xfId="6" applyFill="1" applyAlignment="1">
      <alignment horizontal="left" vertical="top"/>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8" fillId="0" borderId="0" xfId="0" applyFont="1" applyAlignment="1">
      <alignment horizontal="left" vertical="top" wrapText="1"/>
    </xf>
    <xf numFmtId="0" fontId="104" fillId="0" borderId="0" xfId="0" applyFont="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99" fillId="12" borderId="0" xfId="0" applyFont="1" applyFill="1" applyAlignment="1">
      <alignment horizontal="center"/>
    </xf>
    <xf numFmtId="0" fontId="40"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1"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99" fillId="12" borderId="21" xfId="0" applyFont="1" applyFill="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5" fillId="0" borderId="0" xfId="0" applyFont="1" applyAlignment="1">
      <alignment horizontal="right"/>
    </xf>
    <xf numFmtId="0" fontId="5"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7" fillId="0" borderId="12" xfId="0" applyFont="1" applyBorder="1" applyAlignment="1">
      <alignment horizontal="center"/>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 fillId="0" borderId="0" xfId="7" applyAlignment="1">
      <alignment horizontal="center"/>
    </xf>
    <xf numFmtId="0" fontId="0" fillId="0" borderId="20" xfId="0" applyBorder="1" applyAlignment="1">
      <alignment horizontal="center"/>
    </xf>
    <xf numFmtId="0" fontId="0" fillId="0" borderId="0" xfId="0" applyNumberFormat="1"/>
    <xf numFmtId="0" fontId="8" fillId="0" borderId="0" xfId="0" applyNumberFormat="1" applyFont="1"/>
    <xf numFmtId="180" fontId="98" fillId="0" borderId="0" xfId="0" applyNumberFormat="1" applyFont="1" applyAlignment="1">
      <alignment horizontal="left"/>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1">
    <dxf>
      <numFmt numFmtId="182"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0" formatCode="General"/>
    </dxf>
    <dxf>
      <numFmt numFmtId="0" formatCode="General"/>
    </dxf>
    <dxf>
      <numFmt numFmtId="0" formatCode="General"/>
    </dxf>
    <dxf>
      <numFmt numFmtId="0" formatCode="General"/>
    </dxf>
    <dxf>
      <numFmt numFmtId="0" formatCode="General"/>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7"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7" dataDxfId="216">
  <autoFilter ref="A4:K28" xr:uid="{2F912760-816C-4002-B982-1183C623C4D4}"/>
  <tableColumns count="11">
    <tableColumn id="1" xr3:uid="{4CB1C976-73DA-4579-B7F8-9D891581EA5A}" uniqueName="1" name="asset_id" queryTableFieldId="1" dataDxfId="215"/>
    <tableColumn id="2" xr3:uid="{D07D770F-21F7-425E-8CCA-AA85FFD513A3}" uniqueName="2" name="serial_number" queryTableFieldId="2" dataDxfId="214"/>
    <tableColumn id="3" xr3:uid="{D963BD5C-EE98-4CDD-ABAE-5315BBDA1135}" uniqueName="3" name="asset_tag" queryTableFieldId="3" dataDxfId="213"/>
    <tableColumn id="4" xr3:uid="{44F03B5B-6C09-4D5C-B2E2-D809B4EDF2B0}" uniqueName="4" name="custom_order_number" queryTableFieldId="4" dataDxfId="212"/>
    <tableColumn id="5" xr3:uid="{412A70E1-7452-417E-A3A9-BD3499EBD33C}" uniqueName="5" name="service_date" queryTableFieldId="5" dataDxfId="95"/>
    <tableColumn id="7" xr3:uid="{297A4F29-F6E9-4BD3-A7A2-5F1039480BAE}" uniqueName="7" name="certificate_number" queryTableFieldId="7" dataDxfId="211"/>
    <tableColumn id="6" xr3:uid="{7231074C-78F5-4F41-8E96-7068B6555E6F}" uniqueName="6" name="traceability_number" queryTableFieldId="61" dataDxfId="210"/>
    <tableColumn id="8" xr3:uid="{7C740CB9-37DA-435E-A87E-AF050E31623C}" uniqueName="8" name="wire_roll_cert_number" queryTableFieldId="8" dataDxfId="209"/>
    <tableColumn id="10" xr3:uid="{D46DFD3D-4FFF-4C46-B438-38B7E2ADB9AB}" uniqueName="10" name="Daqbook Compatibility" queryTableFieldId="81" dataDxfId="208">
      <calculatedColumnFormula>_xlfn.XLOOKUP(WireSets[[#This Row],[type]],Table6[TC Type],Table6[Daqbook Type],NA())</calculatedColumnFormula>
    </tableColumn>
    <tableColumn id="9" xr3:uid="{5B17E9FC-0D68-4EA9-9145-B5DC8FAF5A93}" uniqueName="9" name="type" queryTableFieldId="9" dataDxfId="207"/>
    <tableColumn id="11" xr3:uid="{2D3288D5-A49B-43E9-9125-CE335E115BBC}" uniqueName="11" name="daqbook_ok" queryTableFieldId="82" dataDxfId="20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5"/>
    <tableColumn id="2" xr3:uid="{482A691C-AB89-4876-8603-17E1B8A0060D}" uniqueName="2" name="Temp" queryTableFieldId="10" dataDxfId="204"/>
    <tableColumn id="3" xr3:uid="{C18C26D0-4A5B-4C1F-9EEC-A3DBCC51F857}" uniqueName="3" name="Offset" queryTableFieldId="11" dataDxfId="20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1"/>
    <tableColumn id="6" xr3:uid="{5062893C-BBB1-47DF-8675-99516DA753A8}" uniqueName="6" name="sort1" queryTableFieldId="6" dataDxfId="200">
      <calculatedColumnFormula>IFERROR(LEFT(AllWireRollCerts[[#This Row],[traceability_no]],6),"")</calculatedColumnFormula>
    </tableColumn>
    <tableColumn id="7" xr3:uid="{2A19E68F-29D7-404E-820F-E990CEF43BD1}" uniqueName="7" name="sort2" queryTableFieldId="7" dataDxfId="19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7">
      <calculatedColumnFormula>IF(Main!O3="","",Main!N3)</calculatedColumnFormula>
    </tableColumn>
    <tableColumn id="3" xr3:uid="{FCE5D856-7234-4CCA-97EE-22B74741E437}" name="Alert" dataDxfId="196">
      <calculatedColumnFormula array="1">_xlfn.TEXTJOIN("; ", TRUE, IF(Alerts[[#This Row],[Dropped]],"DROPPED",""),
    IF(Alerts[[#This Row],[High]:[Out Of Tolerance]] &lt;&gt; "",
        Alerts[[#Headers],[High]:[Out Of Tolerance]],
        "")
)</calculatedColumnFormula>
    </tableColumn>
    <tableColumn id="4" xr3:uid="{8AD94D64-1483-4168-80EC-0F5FF5FBFB54}" name="Temp" dataDxfId="195">
      <calculatedColumnFormula array="1">_xlfn.XLOOKUP(1,
  (Survey[TestPoint]=Alerts[[#This Row],[TestPoint]])*(Survey[Time]=--Alerts[[#This Row],[Time]]),
  Survey[RawTemp],
  "")</calculatedColumnFormula>
    </tableColumn>
    <tableColumn id="5" xr3:uid="{7F528BD7-7CA6-42E2-8288-BF3DEA461539}" name="Time" dataDxfId="194">
      <calculatedColumnFormula>IFERROR(IF(OR(Alerts[[#This Row],[High]],Alerts[[#This Row],[Low]]),VALUE(Alerts[[#This Row],[High]]&amp;Alerts[[#This Row],[Low]]),Alerts[[#This Row],[Out Of Tolerance]]),"")</calculatedColumnFormula>
    </tableColumn>
    <tableColumn id="6" xr3:uid="{C6C3F45B-0C03-4E9C-9412-DBABE4DA80B3}" name="Dropped" dataDxfId="193">
      <calculatedColumnFormula>IF(
  Main!O5 = "",
  FALSE,
  COUNTIF(Survey[TestPoint], Alerts[[#This Row],[TestPoint]]) = 0
)</calculatedColumnFormula>
    </tableColumn>
    <tableColumn id="8" xr3:uid="{96F3D492-9D35-4D95-988A-C7309D2CB11D}" name="High" dataDxfId="192">
      <calculatedColumnFormula array="1">_xlfn.XLOOKUP(1,
  (Survey[TestPoint]=Alerts[[#This Row],[TestPoint]])*Survey[High],
  Survey[Time],
  "")</calculatedColumnFormula>
    </tableColumn>
    <tableColumn id="9" xr3:uid="{FA598A09-68F3-4996-908B-720C01A5CB36}" name="Low" dataDxfId="191">
      <calculatedColumnFormula array="1">_xlfn.XLOOKUP(1,
  (Survey[TestPoint]=Alerts[[#This Row],[TestPoint]])*Survey[Low],
  Survey[Time],
  "")</calculatedColumnFormula>
    </tableColumn>
    <tableColumn id="10" xr3:uid="{8BF38346-ED30-41C4-A7C5-C5AD74EDAE4E}" name="Out Of Tolerance" dataDxfId="19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94"/>
    <tableColumn id="2" xr3:uid="{80F1DE28-79AD-483F-A7F0-673E715EECBE}" uniqueName="2" name="reading" queryTableFieldId="2" dataDxfId="93"/>
    <tableColumn id="1" xr3:uid="{B4839395-B86E-4AA6-ADFB-57CDD2F7F61D}" uniqueName="1" name="point" queryTableFieldId="1"/>
    <tableColumn id="3" xr3:uid="{2724CA85-C781-4E38-A0DA-097BFEEFE8B1}" uniqueName="3" name="Temp" queryTableFieldId="3" dataDxfId="92"/>
    <tableColumn id="5" xr3:uid="{D8FBA668-C3CE-41DC-B112-B2663A4558F7}" uniqueName="5" name="Offset" queryTableFieldId="5" dataDxfId="91"/>
    <tableColumn id="4" xr3:uid="{3984E3BA-ECF9-4974-BA1B-4E1212BB2A83}" uniqueName="4" name="AssetTag2" queryTableFieldId="8" dataDxfId="90">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9" headerRowBorderDxfId="188">
  <autoFilter ref="M1:T41" xr:uid="{26B6A9B0-C535-497C-80B0-B1E532DC9DFD}"/>
  <tableColumns count="8">
    <tableColumn id="2" xr3:uid="{AA763339-65AF-434D-A711-61DA35F163AD}" name="Point"/>
    <tableColumn id="3" xr3:uid="{3B356035-E587-4027-87A0-DE8E0B2FE7E1}" name="DaqbookInterp" dataDxfId="187">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6">
      <calculatedColumnFormula array="1">IF(DaqbookInterp[[#This Row],[Include]],QRound(N2),NA())</calculatedColumnFormula>
    </tableColumn>
    <tableColumn id="5" xr3:uid="{D54F6D03-3723-4E00-912E-150DF9F71E5B}" name="T/C Name" dataDxfId="185">
      <calculatedColumnFormula>IF(DaqbookInterp[[#This Row],[Include]],Main!O5, NA())</calculatedColumnFormula>
    </tableColumn>
    <tableColumn id="6" xr3:uid="{4A823077-65D9-48F8-825F-BAEBD9008EA4}" name="Include" dataDxfId="184">
      <calculatedColumnFormula>NOT(ISBLANK(Main!O5))</calculatedColumnFormula>
    </tableColumn>
    <tableColumn id="7" xr3:uid="{9B0EC045-52DF-4F3C-A037-09C5D494BF52}" name="WireSet" dataDxfId="183">
      <calculatedColumnFormula>LOOKUP(DaqbookInterp[[#This Row],[T/C Name]],_xlfn.ANCHORARRAY($Z$2))</calculatedColumnFormula>
    </tableColumn>
    <tableColumn id="8" xr3:uid="{FEFB3CF3-C3B5-4AEA-A75C-80F9610E9833}" name="Wire Lot #" dataDxfId="182">
      <calculatedColumnFormula>HLOOKUP(DaqbookInterp[[#This Row],[WireSet]],Main!$D$48:$I$55,8,0)</calculatedColumnFormula>
    </tableColumn>
    <tableColumn id="9" xr3:uid="{C4BC88F4-CA08-4EF4-9C53-A23F32164EA9}" name="TC CF" dataDxfId="181">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80"/>
    <tableColumn id="5" xr3:uid="{27363C9A-3D85-416E-8BCC-52B2C8D77A72}" uniqueName="5" name="Uncert Units" queryTableFieldId="5" dataDxfId="179"/>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89"/>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8"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4" tableType="queryTable" totalsRowShown="0">
  <autoFilter ref="A1:AK414" xr:uid="{8A28E51F-224F-4F5E-9D3E-A91A5A4DEDFC}"/>
  <tableColumns count="37">
    <tableColumn id="39" xr3:uid="{7AAACA38-72D4-4F11-8664-EC16A2DA6293}" uniqueName="39" name="AssetId" queryTableFieldId="164" dataDxfId="88"/>
    <tableColumn id="40" xr3:uid="{1FD78DD8-6141-4BCC-8B64-71669B160E7A}" uniqueName="40" name="ClientCompanyId" queryTableFieldId="165" dataDxfId="87"/>
    <tableColumn id="41" xr3:uid="{5BCE0CCA-D40E-445A-B69F-BF9E8EC302E6}" uniqueName="41" name="Furnace" queryTableFieldId="166"/>
    <tableColumn id="42" xr3:uid="{FE44BF6E-7160-4F10-BB7C-5C6B8F55C8DB}" uniqueName="42" name="FormNumber" queryTableFieldId="167" dataDxfId="86"/>
    <tableColumn id="43" xr3:uid="{EC576AA5-7F07-4B99-BBD1-C006A3FF4861}" uniqueName="43" name="CalibrationMethod" queryTableFieldId="168" dataDxfId="85"/>
    <tableColumn id="44" xr3:uid="{11784700-CE79-4C3A-B181-67F89C94AC89}" uniqueName="44" name="ToleranceSource" queryTableFieldId="169" dataDxfId="84"/>
    <tableColumn id="45" xr3:uid="{F8D57A3B-9D48-4C00-8E7C-AC29615D88F6}" uniqueName="45" name="Item" queryTableFieldId="170" dataDxfId="83"/>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82"/>
    <tableColumn id="51" xr3:uid="{5B79DBE7-7CAB-41DA-AF62-362ADDE2AED9}" uniqueName="51" name="WorkingZoneSize" queryTableFieldId="176" dataDxfId="81"/>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80"/>
    <tableColumn id="63" xr3:uid="{478884C5-ACFA-42A0-A5A5-3FD7354DF395}" uniqueName="63" name="TestLocation" queryTableFieldId="188" dataDxfId="79"/>
    <tableColumn id="64" xr3:uid="{8742E83A-8953-4A6F-B342-02A544F42A3E}" uniqueName="64" name="OvenLocation" queryTableFieldId="189" dataDxfId="78"/>
    <tableColumn id="65" xr3:uid="{D2C69FD9-EF22-4D46-9BCA-A04DCD92EC4B}" uniqueName="65" name="Condition" queryTableFieldId="190" dataDxfId="77"/>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76"/>
    <tableColumn id="73" xr3:uid="{5C1EA854-4A8F-420A-8A21-EED95DA3A02D}" uniqueName="73" name="LagLimit" queryTableFieldId="198" dataDxfId="75"/>
    <tableColumn id="74" xr3:uid="{E0D578AE-61B1-4F16-BC5A-DF5388800162}" uniqueName="74" name="RecoveryLimit" queryTableFieldId="199" dataDxfId="74"/>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77"/>
    <tableColumn id="8" xr3:uid="{6A970319-4DB4-4470-AD18-810376DE6248}" uniqueName="8" name="Flags" queryTableFieldId="8" dataDxfId="176"/>
    <tableColumn id="10" xr3:uid="{C036645E-37FD-4D8C-A495-9B7CD74F1924}" uniqueName="10" name="TolMinText" queryTableFieldId="10" dataDxfId="175">
      <calculatedColumnFormula>TEXT(UUTRangeTol[[#This Row],[TolMin]],SUBSTITUTE(UUTRangeTol[[#This Row],[TolResolution]],"1","0"))&amp;UUTRangeTol[[#This Row],[Unit]]</calculatedColumnFormula>
    </tableColumn>
    <tableColumn id="11" xr3:uid="{7185F013-BA2C-4D79-99A0-8DCC297E6118}" uniqueName="11" name="TolMaxText" queryTableFieldId="11" dataDxfId="174">
      <calculatedColumnFormula>TEXT(UUTRangeTol[[#This Row],[TolMax]],SUBSTITUTE(UUTRangeTol[[#This Row],[TolResolution]],"1","0"))&amp;UUTRangeTol[[#This Row],[Unit]]</calculatedColumnFormula>
    </tableColumn>
    <tableColumn id="12" xr3:uid="{EE0701A7-578C-482F-B1ED-DBCB9E95A0C6}" uniqueName="12" name="TolText" queryTableFieldId="12" dataDxfId="17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72">
      <calculatedColumnFormula>UUTRangeTol[[#This Row],[RangeMax]]&amp;UUTRangeTol[[#This Row],[Unit]]</calculatedColumnFormula>
    </tableColumn>
    <tableColumn id="14" xr3:uid="{EF348E52-D936-44CC-A058-66DD7A780488}" uniqueName="14" name="RangeText" queryTableFieldId="14" dataDxfId="17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70"/>
    <tableColumn id="2" xr3:uid="{4984B315-F281-4FCE-B730-0C7B248AA955}" uniqueName="2" name="nominal_temp" queryTableFieldId="2" dataDxfId="169"/>
    <tableColumn id="3" xr3:uid="{53D53435-D3FD-453C-A000-9DEF29CF77CD}" uniqueName="3" name="offset" queryTableFieldId="3" dataDxfId="168"/>
    <tableColumn id="4" xr3:uid="{71EBF38C-C2D5-457A-8BC4-1C726B409693}" uniqueName="4" name="probe_serial_number" queryTableFieldId="4" dataDxfId="167"/>
    <tableColumn id="5" xr3:uid="{264E3CB0-FEA8-40F6-AC5D-D574DD8CF263}" uniqueName="5" name="SBP_Set" queryTableFieldId="5" dataDxfId="16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0" dataCellStyle="Normal"/>
    <tableColumn id="2" xr3:uid="{18C84E6F-0395-44B7-82E8-3E3C3338D295}" name="TUS Tol" totalsRowDxfId="219" dataCellStyle="Normal"/>
    <tableColumn id="5" xr3:uid="{DB50C328-B2A6-44C5-853C-318053CB9F8D}" name="SAT Tol" totalsRowDxfId="21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65" dataDxfId="164" tableBorderDxfId="163">
  <autoFilter ref="AG2:AS3" xr:uid="{B114758F-16E1-4C54-AA0B-E7F64DE85242}"/>
  <tableColumns count="13">
    <tableColumn id="1" xr3:uid="{0D0312AF-C987-4CC8-97F8-A45434AD138A}" name="Time" dataDxfId="162" dataCellStyle="Normal 3"/>
    <tableColumn id="2" xr3:uid="{E5CD88A1-1988-41C9-8D07-30908E60C0B6}" name="29" dataDxfId="161" dataCellStyle="Normal 3"/>
    <tableColumn id="3" xr3:uid="{52334E52-C590-4A01-82BC-CCC9DA2C2817}" name="30" dataDxfId="160" dataCellStyle="Normal 3"/>
    <tableColumn id="4" xr3:uid="{145DAD22-055B-47E2-958D-C0E0B68ECCC8}" name="31" dataDxfId="159" dataCellStyle="Normal 3"/>
    <tableColumn id="5" xr3:uid="{09C3BF4E-C2AE-4497-AAA2-CF5A8A70B030}" name="32" dataDxfId="158" dataCellStyle="Normal 3"/>
    <tableColumn id="6" xr3:uid="{E9F444F5-7F75-4B80-BC2D-E9E92BB7C32D}" name="33" dataDxfId="157" dataCellStyle="Normal 3"/>
    <tableColumn id="7" xr3:uid="{C42F56B6-C38E-41DC-811A-50AF69D04B80}" name="34" dataDxfId="156" dataCellStyle="Normal 3"/>
    <tableColumn id="8" xr3:uid="{1930235F-D2C0-482D-8CC0-6B3AC765E7EA}" name="35" dataDxfId="155" dataCellStyle="Normal 3"/>
    <tableColumn id="9" xr3:uid="{6FCF613B-A86F-4DC6-9CC5-0A1E44E3DFE0}" name="36" dataDxfId="154" dataCellStyle="Normal 3"/>
    <tableColumn id="10" xr3:uid="{19EA3429-FD7E-4BA0-96B7-70F520D9FE0F}" name="37" dataDxfId="153" dataCellStyle="Normal 3"/>
    <tableColumn id="11" xr3:uid="{A5D0DAE1-1017-4DE3-AEA6-1BAF97E0FBDC}" name="38" dataDxfId="152" dataCellStyle="Normal 3"/>
    <tableColumn id="12" xr3:uid="{ABC8E507-1120-436F-9E9F-E3A8852E2E1A}" name="39" dataDxfId="151"/>
    <tableColumn id="13" xr3:uid="{C69AC669-10C2-4E64-9F60-B4AA135FB3DF}" name="40" dataDxfId="15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49" tableBorderDxfId="148">
  <autoFilter ref="Q2:AE3" xr:uid="{6D9D14EA-1966-4240-9028-DABDD72BB7BC}"/>
  <tableColumns count="15">
    <tableColumn id="1" xr3:uid="{F199066A-0899-4173-8784-FC618D5EFA3C}" name="Time" dataDxfId="147" dataCellStyle="Normal 3"/>
    <tableColumn id="2" xr3:uid="{DB040280-BEC7-49AA-A925-A050027B33E3}" name="15" dataDxfId="146" dataCellStyle="Normal 3"/>
    <tableColumn id="3" xr3:uid="{5D74EEBF-1FB4-4DF9-8EDD-C656F929ADA2}" name="16" dataDxfId="145" dataCellStyle="Normal 3"/>
    <tableColumn id="4" xr3:uid="{B1176DF8-22B4-4741-A534-22D0C72EF1F0}" name="17" dataDxfId="144" dataCellStyle="Normal 3"/>
    <tableColumn id="5" xr3:uid="{1E29EA65-5182-4B3E-817F-0D30B2884EC7}" name="18" dataDxfId="143" dataCellStyle="Normal 3"/>
    <tableColumn id="6" xr3:uid="{AF53AEFB-F310-4F08-91BC-82FB0F484ECA}" name="19" dataDxfId="142" dataCellStyle="Normal 3"/>
    <tableColumn id="7" xr3:uid="{EE472F61-D1B5-43CF-A661-FA1D47001C17}" name="20" dataDxfId="141" dataCellStyle="Normal 3"/>
    <tableColumn id="8" xr3:uid="{841D54C1-AB74-4CB1-8C7F-C38D11EFAD3F}" name="21" dataDxfId="140" dataCellStyle="Normal 3"/>
    <tableColumn id="9" xr3:uid="{F1FB485B-DEAA-4958-8C40-80934EA1437F}" name="22" dataDxfId="139" dataCellStyle="Normal 3"/>
    <tableColumn id="10" xr3:uid="{5C552A76-BD54-46C5-93AD-8F25289FA051}" name="23" dataDxfId="138" dataCellStyle="Normal 3"/>
    <tableColumn id="11" xr3:uid="{B20FA5F1-0522-49D0-9B5A-34570A8AE6EA}" name="24" dataDxfId="137" dataCellStyle="Normal 3"/>
    <tableColumn id="12" xr3:uid="{0BC87A98-B9AC-4CD6-9F9B-D04190073E2A}" name="25" dataDxfId="136"/>
    <tableColumn id="13" xr3:uid="{D62EA80B-BBE3-4A29-89AB-EE04C6E03547}" name="26" dataDxfId="135"/>
    <tableColumn id="14" xr3:uid="{6D7DE537-763F-40F1-AC16-33F228CBC8D1}" name="27" dataDxfId="134"/>
    <tableColumn id="15" xr3:uid="{F8FA9620-DB21-4BAE-8D97-FF38B70679C9}" name="28" dataDxfId="13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32" dataDxfId="131" tableBorderDxfId="130">
  <autoFilter ref="A2:O3" xr:uid="{73A9D9BA-FF58-4A3F-98F7-9A835492E25D}"/>
  <tableColumns count="15">
    <tableColumn id="1" xr3:uid="{73B888B4-4146-4E26-9B39-0FC537A113C8}" name="Time" dataDxfId="129" dataCellStyle="Normal 3"/>
    <tableColumn id="2" xr3:uid="{6F1EF879-7C87-4A56-A394-30C6E5BDB32A}" name="1" dataDxfId="128" dataCellStyle="Normal 3"/>
    <tableColumn id="3" xr3:uid="{B2FA8A6A-D50A-41E8-942A-379C757B6A2B}" name="2" dataDxfId="127" dataCellStyle="Normal 3"/>
    <tableColumn id="4" xr3:uid="{F92FE975-D84B-4B73-B49D-3B746FAA3D21}" name="3" dataDxfId="126" dataCellStyle="Normal 3"/>
    <tableColumn id="5" xr3:uid="{7820E0E9-F621-4361-A572-234B3CB7F864}" name="4" dataDxfId="125" dataCellStyle="Normal 3"/>
    <tableColumn id="6" xr3:uid="{A46C0BCA-2139-4CD3-B02F-C4D3F8E65309}" name="5" dataDxfId="124" dataCellStyle="Normal 3"/>
    <tableColumn id="7" xr3:uid="{334BDF50-1D79-41BC-BA09-7B69018332AE}" name="6" dataDxfId="123" dataCellStyle="Normal 3"/>
    <tableColumn id="8" xr3:uid="{6C11BC6A-3E21-4CDE-9CD4-C8EBCF50B6DB}" name="7" dataDxfId="122" dataCellStyle="Normal 3"/>
    <tableColumn id="9" xr3:uid="{1EEEA607-5177-4C19-A1BC-B12D19FF055B}" name="8" dataDxfId="121" dataCellStyle="Normal 3"/>
    <tableColumn id="10" xr3:uid="{ACF909CE-C221-4157-9298-18F2C140C147}" name="9" dataDxfId="120" dataCellStyle="Normal 3"/>
    <tableColumn id="11" xr3:uid="{182688D3-AD0D-4518-A7FE-0C281ABCDF76}" name="10" dataDxfId="119" dataCellStyle="Normal 3"/>
    <tableColumn id="12" xr3:uid="{54AFFA30-00C2-440A-92A2-139F62F751BE}" name="11" dataDxfId="118"/>
    <tableColumn id="13" xr3:uid="{DCF0B43C-F320-4031-91C6-8514285AF6CA}" name="12" dataDxfId="117"/>
    <tableColumn id="14" xr3:uid="{53A56FC8-0536-4D94-A335-FFCBCBEAF45E}" name="13" dataDxfId="116"/>
    <tableColumn id="15" xr3:uid="{F49FEB6E-05C2-4E90-A6CE-A0C9C694642A}" name="14" dataDxfId="11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114" dataDxfId="113">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112"/>
    <tableColumn id="3" xr3:uid="{5F5E8FED-27C7-498A-86F2-8DE1BF0A773A}" uniqueName="3" name="Address2" queryTableFieldId="82" dataDxfId="11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11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109" dataDxfId="10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107"/>
    <tableColumn id="1" xr3:uid="{5057086F-523D-4F8B-9A42-41FE3C8BBE96}" uniqueName="1" name="asset_id" queryTableFieldId="1"/>
    <tableColumn id="2" xr3:uid="{3726BB7E-1692-4770-A35E-9A744D09DBEF}" uniqueName="2" name="certificate_tn" queryTableFieldId="2" dataDxfId="106"/>
    <tableColumn id="3" xr3:uid="{629AF54F-0AD2-4FF2-858D-F1389CE1840E}" uniqueName="3" name="due_date" queryTableFieldId="3" dataDxfId="73"/>
    <tableColumn id="4" xr3:uid="{04C8F569-A520-43B3-A7E7-E09CFF80F449}" uniqueName="4" name="service_date" queryTableFieldId="4" dataDxfId="72"/>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105"/>
    <tableColumn id="3" xr3:uid="{A4F2902A-51C9-47F2-ABB5-33476BF6B798}" uniqueName="3" name="login_email" queryTableFieldId="5"/>
    <tableColumn id="4" xr3:uid="{93F361AC-D356-4A7B-A6F2-34FB0F71E2F6}" uniqueName="4" name="IsPyro" queryTableFieldId="7" dataDxfId="10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03" dataDxfId="102" headerRowCellStyle="Normal 2" dataCellStyle="Normal 2">
  <autoFilter ref="U11:V25" xr:uid="{DCCFF26E-EC5C-4962-98DB-A7DA1F3C8CE2}"/>
  <tableColumns count="2">
    <tableColumn id="1" xr3:uid="{DFC40837-B092-4826-9847-4A23BE22020F}" name="4" dataDxfId="101" dataCellStyle="Normal 2"/>
    <tableColumn id="2" xr3:uid="{0711DB07-19DA-4D5E-A417-C242A0304453}" name="10" dataDxfId="100"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99" dataDxfId="98">
  <autoFilter ref="A1:H25" xr:uid="{FA779040-C31C-471C-8328-05373E52699D}"/>
  <tableColumns count="8">
    <tableColumn id="29" xr3:uid="{9CA2ECB0-FD2B-46CE-B9E0-401FA597A18A}" uniqueName="29" name="asset_id" queryTableFieldId="29" dataDxfId="71" dataCellStyle="Normal 5"/>
    <tableColumn id="22" xr3:uid="{A5EA559D-5224-4583-9A43-B47439078CA1}" uniqueName="22" name="asset_tag" queryTableFieldId="22" dataDxfId="70" dataCellStyle="Normal 5"/>
    <tableColumn id="24" xr3:uid="{8DBBB763-1A78-4DCD-8200-8E69D481AF34}" uniqueName="24" name="certificate_number" queryTableFieldId="24" dataDxfId="69" dataCellStyle="Normal 5"/>
    <tableColumn id="23" xr3:uid="{7AB8F791-1519-4425-BD12-A72F2C4977C2}" uniqueName="23" name="serial_number" queryTableFieldId="23" dataDxfId="68" dataCellStyle="Normal 5"/>
    <tableColumn id="25" xr3:uid="{5F01AA16-2DC7-4474-BC41-91CA4EC14EBA}" uniqueName="25" name="service_date" queryTableFieldId="25" dataDxfId="67" dataCellStyle="Normal 5"/>
    <tableColumn id="26" xr3:uid="{4F1AE608-7AC1-4C9D-8198-1A708CCAC701}" uniqueName="26" name="traceability_number" queryTableFieldId="26" dataDxfId="66" dataCellStyle="Normal 5"/>
    <tableColumn id="27" xr3:uid="{28A300D7-6887-427A-AD68-0B621A919025}" uniqueName="27" name="wire_roll_cert_number" queryTableFieldId="27" dataDxfId="65" dataCellStyle="Normal 5"/>
    <tableColumn id="28" xr3:uid="{0282DC9A-51B0-4CC4-8B6E-41941531A4ED}" uniqueName="28" name="wire_set_group" queryTableFieldId="28" dataDxfId="64"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97" dataDxfId="96">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4" tableType="queryTable" totalsRowShown="0">
  <autoFilter ref="A3:J4" xr:uid="{5B08B6E9-72AA-4CBB-8204-E4E860782D81}"/>
  <sortState xmlns:xlrd2="http://schemas.microsoft.com/office/spreadsheetml/2017/richdata2" ref="A4:J4">
    <sortCondition ref="D3:D4"/>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6" Type="http://schemas.openxmlformats.org/officeDocument/2006/relationships/table" Target="../tables/table18.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6"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2"/>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2"/>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2"/>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2"/>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2"/>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2"/>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2"/>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2"/>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2"/>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2"/>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2"/>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2"/>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2"/>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2"/>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2"/>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2"/>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2"/>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2"/>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2"/>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2"/>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2"/>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2"/>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2"/>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2"/>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H20" sqref="H20"/>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6"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6" t="s">
        <v>383</v>
      </c>
      <c r="K1" s="557"/>
      <c r="M1" s="395" t="s">
        <v>378</v>
      </c>
      <c r="N1" s="396" t="s">
        <v>382</v>
      </c>
      <c r="O1" s="396" t="s">
        <v>374</v>
      </c>
      <c r="P1" s="396" t="s">
        <v>14</v>
      </c>
      <c r="Q1" s="447" t="s">
        <v>436</v>
      </c>
      <c r="R1" s="447" t="s">
        <v>201</v>
      </c>
      <c r="S1" s="447" t="s">
        <v>202</v>
      </c>
      <c r="T1" s="447" t="s">
        <v>437</v>
      </c>
    </row>
    <row r="2" spans="1:20" x14ac:dyDescent="0.2">
      <c r="A2" s="384"/>
      <c r="J2" s="398" t="s">
        <v>379</v>
      </c>
      <c r="K2" s="399">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4" t="str">
        <f>IFERROR(IF(OR(Alerts[[#This Row],[High]],Alerts[[#This Row],[Low]]),VALUE(Alerts[[#This Row],[High]]&amp;Alerts[[#This Row],[Low]]),Alerts[[#This Row],[Out Of Tolerance]]),"")</f>
        <v/>
      </c>
      <c r="Q2" t="b">
        <f>IF(
  Main!O5 = "",
  FALSE,
  COUNTIF(Survey[TestPoint], Alerts[[#This Row],[TestPoint]]) = 0
)</f>
        <v>0</v>
      </c>
      <c r="R2" s="384" t="str" cm="1">
        <f t="array" ref="R2">_xlfn.XLOOKUP(1,
  (Survey[TestPoint]=Alerts[[#This Row],[TestPoint]])*Survey[High],
  Survey[Time],
  "")</f>
        <v/>
      </c>
      <c r="S2" s="384" t="str" cm="1">
        <f t="array" ref="S2">_xlfn.XLOOKUP(1,
  (Survey[TestPoint]=Alerts[[#This Row],[TestPoint]])*Survey[Low],
  Survey[Time],
  "")</f>
        <v/>
      </c>
      <c r="T2" s="384" t="str" cm="1">
        <f t="array" ref="T2">_xlfn.XLOOKUP(1,
  (Survey[TestPoint]=Alerts[[#This Row],[TestPoint]])*Survey[OutOfTolerance],
  Survey[Time],
  "")</f>
        <v/>
      </c>
    </row>
    <row r="3" spans="1:20" x14ac:dyDescent="0.2">
      <c r="J3" s="404" t="s">
        <v>386</v>
      </c>
      <c r="K3" s="405">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4" t="str">
        <f>IFERROR(IF(OR(Alerts[[#This Row],[High]],Alerts[[#This Row],[Low]]),VALUE(Alerts[[#This Row],[High]]&amp;Alerts[[#This Row],[Low]]),Alerts[[#This Row],[Out Of Tolerance]]),"")</f>
        <v/>
      </c>
      <c r="Q3" t="b">
        <f>IF(
  Main!O6 = "",
  FALSE,
  COUNTIF(Survey[TestPoint], Alerts[[#This Row],[TestPoint]]) = 0
)</f>
        <v>0</v>
      </c>
      <c r="R3" s="384" t="str" cm="1">
        <f t="array" ref="R3">_xlfn.XLOOKUP(1,
  (Survey[TestPoint]=Alerts[[#This Row],[TestPoint]])*Survey[High],
  Survey[Time],
  "")</f>
        <v/>
      </c>
      <c r="S3" s="384" t="str" cm="1">
        <f t="array" ref="S3">_xlfn.XLOOKUP(1,
  (Survey[TestPoint]=Alerts[[#This Row],[TestPoint]])*Survey[Low],
  Survey[Time],
  "")</f>
        <v/>
      </c>
      <c r="T3" s="384" t="str" cm="1">
        <f t="array" ref="T3">_xlfn.XLOOKUP(1,
  (Survey[TestPoint]=Alerts[[#This Row],[TestPoint]])*Survey[OutOfTolerance],
  Survey[Time],
  "")</f>
        <v/>
      </c>
    </row>
    <row r="4" spans="1:20" x14ac:dyDescent="0.2">
      <c r="J4" s="400" t="s">
        <v>390</v>
      </c>
      <c r="K4" s="401"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4" t="str">
        <f>IFERROR(IF(OR(Alerts[[#This Row],[High]],Alerts[[#This Row],[Low]]),VALUE(Alerts[[#This Row],[High]]&amp;Alerts[[#This Row],[Low]]),Alerts[[#This Row],[Out Of Tolerance]]),"")</f>
        <v/>
      </c>
      <c r="Q4" t="b">
        <f>IF(
  Main!O7 = "",
  FALSE,
  COUNTIF(Survey[TestPoint], Alerts[[#This Row],[TestPoint]]) = 0
)</f>
        <v>0</v>
      </c>
      <c r="R4" s="384" t="str" cm="1">
        <f t="array" ref="R4">_xlfn.XLOOKUP(1,
  (Survey[TestPoint]=Alerts[[#This Row],[TestPoint]])*Survey[High],
  Survey[Time],
  "")</f>
        <v/>
      </c>
      <c r="S4" s="384" t="str" cm="1">
        <f t="array" ref="S4">_xlfn.XLOOKUP(1,
  (Survey[TestPoint]=Alerts[[#This Row],[TestPoint]])*Survey[Low],
  Survey[Time],
  "")</f>
        <v/>
      </c>
      <c r="T4" s="384" t="str" cm="1">
        <f t="array" ref="T4">_xlfn.XLOOKUP(1,
  (Survey[TestPoint]=Alerts[[#This Row],[TestPoint]])*Survey[OutOfTolerance],
  Survey[Time],
  "")</f>
        <v/>
      </c>
    </row>
    <row r="5" spans="1:20" x14ac:dyDescent="0.2">
      <c r="J5" s="404" t="s">
        <v>391</v>
      </c>
      <c r="K5" s="406"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4" t="str">
        <f>IFERROR(IF(OR(Alerts[[#This Row],[High]],Alerts[[#This Row],[Low]]),VALUE(Alerts[[#This Row],[High]]&amp;Alerts[[#This Row],[Low]]),Alerts[[#This Row],[Out Of Tolerance]]),"")</f>
        <v/>
      </c>
      <c r="Q5" t="b">
        <f>IF(
  Main!O8 = "",
  FALSE,
  COUNTIF(Survey[TestPoint], Alerts[[#This Row],[TestPoint]]) = 0
)</f>
        <v>0</v>
      </c>
      <c r="R5" s="384" t="str" cm="1">
        <f t="array" ref="R5">_xlfn.XLOOKUP(1,
  (Survey[TestPoint]=Alerts[[#This Row],[TestPoint]])*Survey[High],
  Survey[Time],
  "")</f>
        <v/>
      </c>
      <c r="S5" s="384" t="str" cm="1">
        <f t="array" ref="S5">_xlfn.XLOOKUP(1,
  (Survey[TestPoint]=Alerts[[#This Row],[TestPoint]])*Survey[Low],
  Survey[Time],
  "")</f>
        <v/>
      </c>
      <c r="T5" s="384" t="str" cm="1">
        <f t="array" ref="T5">_xlfn.XLOOKUP(1,
  (Survey[TestPoint]=Alerts[[#This Row],[TestPoint]])*Survey[OutOfTolerance],
  Survey[Time],
  "")</f>
        <v/>
      </c>
    </row>
    <row r="6" spans="1:20" x14ac:dyDescent="0.2">
      <c r="J6" s="400" t="s">
        <v>389</v>
      </c>
      <c r="K6" s="401">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4" t="str">
        <f>IFERROR(IF(OR(Alerts[[#This Row],[High]],Alerts[[#This Row],[Low]]),VALUE(Alerts[[#This Row],[High]]&amp;Alerts[[#This Row],[Low]]),Alerts[[#This Row],[Out Of Tolerance]]),"")</f>
        <v/>
      </c>
      <c r="Q6" t="b">
        <f>IF(
  Main!O9 = "",
  FALSE,
  COUNTIF(Survey[TestPoint], Alerts[[#This Row],[TestPoint]]) = 0
)</f>
        <v>0</v>
      </c>
      <c r="R6" s="384" t="str" cm="1">
        <f t="array" ref="R6">_xlfn.XLOOKUP(1,
  (Survey[TestPoint]=Alerts[[#This Row],[TestPoint]])*Survey[High],
  Survey[Time],
  "")</f>
        <v/>
      </c>
      <c r="S6" s="384" t="str" cm="1">
        <f t="array" ref="S6">_xlfn.XLOOKUP(1,
  (Survey[TestPoint]=Alerts[[#This Row],[TestPoint]])*Survey[Low],
  Survey[Time],
  "")</f>
        <v/>
      </c>
      <c r="T6" s="384" t="str" cm="1">
        <f t="array" ref="T6">_xlfn.XLOOKUP(1,
  (Survey[TestPoint]=Alerts[[#This Row],[TestPoint]])*Survey[OutOfTolerance],
  Survey[Time],
  "")</f>
        <v/>
      </c>
    </row>
    <row r="7" spans="1:20" x14ac:dyDescent="0.2">
      <c r="J7" s="404" t="s">
        <v>380</v>
      </c>
      <c r="K7" s="407">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4" t="str">
        <f>IFERROR(IF(OR(Alerts[[#This Row],[High]],Alerts[[#This Row],[Low]]),VALUE(Alerts[[#This Row],[High]]&amp;Alerts[[#This Row],[Low]]),Alerts[[#This Row],[Out Of Tolerance]]),"")</f>
        <v/>
      </c>
      <c r="Q7" t="b">
        <f>IF(
  Main!O10 = "",
  FALSE,
  COUNTIF(Survey[TestPoint], Alerts[[#This Row],[TestPoint]]) = 0
)</f>
        <v>0</v>
      </c>
      <c r="R7" s="384" t="str" cm="1">
        <f t="array" ref="R7">_xlfn.XLOOKUP(1,
  (Survey[TestPoint]=Alerts[[#This Row],[TestPoint]])*Survey[High],
  Survey[Time],
  "")</f>
        <v/>
      </c>
      <c r="S7" s="384" t="str" cm="1">
        <f t="array" ref="S7">_xlfn.XLOOKUP(1,
  (Survey[TestPoint]=Alerts[[#This Row],[TestPoint]])*Survey[Low],
  Survey[Time],
  "")</f>
        <v/>
      </c>
      <c r="T7" s="384" t="str" cm="1">
        <f t="array" ref="T7">_xlfn.XLOOKUP(1,
  (Survey[TestPoint]=Alerts[[#This Row],[TestPoint]])*Survey[OutOfTolerance],
  Survey[Time],
  "")</f>
        <v/>
      </c>
    </row>
    <row r="8" spans="1:20" ht="13.5" thickBot="1" x14ac:dyDescent="0.25">
      <c r="J8" s="402" t="s">
        <v>381</v>
      </c>
      <c r="K8" s="403">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4" t="str">
        <f>IFERROR(IF(OR(Alerts[[#This Row],[High]],Alerts[[#This Row],[Low]]),VALUE(Alerts[[#This Row],[High]]&amp;Alerts[[#This Row],[Low]]),Alerts[[#This Row],[Out Of Tolerance]]),"")</f>
        <v/>
      </c>
      <c r="Q8" t="b">
        <f>IF(
  Main!O11 = "",
  FALSE,
  COUNTIF(Survey[TestPoint], Alerts[[#This Row],[TestPoint]]) = 0
)</f>
        <v>0</v>
      </c>
      <c r="R8" s="384" t="str" cm="1">
        <f t="array" ref="R8">_xlfn.XLOOKUP(1,
  (Survey[TestPoint]=Alerts[[#This Row],[TestPoint]])*Survey[High],
  Survey[Time],
  "")</f>
        <v/>
      </c>
      <c r="S8" s="384" t="str" cm="1">
        <f t="array" ref="S8">_xlfn.XLOOKUP(1,
  (Survey[TestPoint]=Alerts[[#This Row],[TestPoint]])*Survey[Low],
  Survey[Time],
  "")</f>
        <v/>
      </c>
      <c r="T8" s="384" t="str" cm="1">
        <f t="array" ref="T8">_xlfn.XLOOKUP(1,
  (Survey[TestPoint]=Alerts[[#This Row],[TestPoint]])*Survey[OutOfTolerance],
  Survey[Time],
  "")</f>
        <v/>
      </c>
    </row>
    <row r="9" spans="1:20" ht="13.5" thickTop="1" x14ac:dyDescent="0.2">
      <c r="J9" s="408" t="s">
        <v>387</v>
      </c>
      <c r="K9" s="409">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4" t="str">
        <f>IFERROR(IF(OR(Alerts[[#This Row],[High]],Alerts[[#This Row],[Low]]),VALUE(Alerts[[#This Row],[High]]&amp;Alerts[[#This Row],[Low]]),Alerts[[#This Row],[Out Of Tolerance]]),"")</f>
        <v/>
      </c>
      <c r="Q9" t="b">
        <f>IF(
  Main!O12 = "",
  FALSE,
  COUNTIF(Survey[TestPoint], Alerts[[#This Row],[TestPoint]]) = 0
)</f>
        <v>0</v>
      </c>
      <c r="R9" s="384" t="str" cm="1">
        <f t="array" ref="R9">_xlfn.XLOOKUP(1,
  (Survey[TestPoint]=Alerts[[#This Row],[TestPoint]])*Survey[High],
  Survey[Time],
  "")</f>
        <v/>
      </c>
      <c r="S9" s="384" t="str" cm="1">
        <f t="array" ref="S9">_xlfn.XLOOKUP(1,
  (Survey[TestPoint]=Alerts[[#This Row],[TestPoint]])*Survey[Low],
  Survey[Time],
  "")</f>
        <v/>
      </c>
      <c r="T9" s="384"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4" t="str">
        <f>IFERROR(IF(OR(Alerts[[#This Row],[High]],Alerts[[#This Row],[Low]]),VALUE(Alerts[[#This Row],[High]]&amp;Alerts[[#This Row],[Low]]),Alerts[[#This Row],[Out Of Tolerance]]),"")</f>
        <v/>
      </c>
      <c r="Q10" t="b">
        <f>IF(
  Main!O13 = "",
  FALSE,
  COUNTIF(Survey[TestPoint], Alerts[[#This Row],[TestPoint]]) = 0
)</f>
        <v>0</v>
      </c>
      <c r="R10" s="384" t="str" cm="1">
        <f t="array" ref="R10">_xlfn.XLOOKUP(1,
  (Survey[TestPoint]=Alerts[[#This Row],[TestPoint]])*Survey[High],
  Survey[Time],
  "")</f>
        <v/>
      </c>
      <c r="S10" s="384" t="str" cm="1">
        <f t="array" ref="S10">_xlfn.XLOOKUP(1,
  (Survey[TestPoint]=Alerts[[#This Row],[TestPoint]])*Survey[Low],
  Survey[Time],
  "")</f>
        <v/>
      </c>
      <c r="T10" s="384"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4" t="str">
        <f>IFERROR(IF(OR(Alerts[[#This Row],[High]],Alerts[[#This Row],[Low]]),VALUE(Alerts[[#This Row],[High]]&amp;Alerts[[#This Row],[Low]]),Alerts[[#This Row],[Out Of Tolerance]]),"")</f>
        <v/>
      </c>
      <c r="Q11" t="b">
        <f>IF(
  Main!O14 = "",
  FALSE,
  COUNTIF(Survey[TestPoint], Alerts[[#This Row],[TestPoint]]) = 0
)</f>
        <v>0</v>
      </c>
      <c r="R11" s="384" t="str" cm="1">
        <f t="array" ref="R11">_xlfn.XLOOKUP(1,
  (Survey[TestPoint]=Alerts[[#This Row],[TestPoint]])*Survey[High],
  Survey[Time],
  "")</f>
        <v/>
      </c>
      <c r="S11" s="384" t="str" cm="1">
        <f t="array" ref="S11">_xlfn.XLOOKUP(1,
  (Survey[TestPoint]=Alerts[[#This Row],[TestPoint]])*Survey[Low],
  Survey[Time],
  "")</f>
        <v/>
      </c>
      <c r="T11" s="384"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4" t="str">
        <f>IFERROR(IF(OR(Alerts[[#This Row],[High]],Alerts[[#This Row],[Low]]),VALUE(Alerts[[#This Row],[High]]&amp;Alerts[[#This Row],[Low]]),Alerts[[#This Row],[Out Of Tolerance]]),"")</f>
        <v/>
      </c>
      <c r="Q12" t="b">
        <f>IF(
  Main!O15 = "",
  FALSE,
  COUNTIF(Survey[TestPoint], Alerts[[#This Row],[TestPoint]]) = 0
)</f>
        <v>0</v>
      </c>
      <c r="R12" s="384" t="str" cm="1">
        <f t="array" ref="R12">_xlfn.XLOOKUP(1,
  (Survey[TestPoint]=Alerts[[#This Row],[TestPoint]])*Survey[High],
  Survey[Time],
  "")</f>
        <v/>
      </c>
      <c r="S12" s="384" t="str" cm="1">
        <f t="array" ref="S12">_xlfn.XLOOKUP(1,
  (Survey[TestPoint]=Alerts[[#This Row],[TestPoint]])*Survey[Low],
  Survey[Time],
  "")</f>
        <v/>
      </c>
      <c r="T12" s="384"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4" t="str">
        <f>IFERROR(IF(OR(Alerts[[#This Row],[High]],Alerts[[#This Row],[Low]]),VALUE(Alerts[[#This Row],[High]]&amp;Alerts[[#This Row],[Low]]),Alerts[[#This Row],[Out Of Tolerance]]),"")</f>
        <v/>
      </c>
      <c r="Q13" t="b">
        <f>IF(
  Main!O16 = "",
  FALSE,
  COUNTIF(Survey[TestPoint], Alerts[[#This Row],[TestPoint]]) = 0
)</f>
        <v>0</v>
      </c>
      <c r="R13" s="384" t="str" cm="1">
        <f t="array" ref="R13">_xlfn.XLOOKUP(1,
  (Survey[TestPoint]=Alerts[[#This Row],[TestPoint]])*Survey[High],
  Survey[Time],
  "")</f>
        <v/>
      </c>
      <c r="S13" s="384" t="str" cm="1">
        <f t="array" ref="S13">_xlfn.XLOOKUP(1,
  (Survey[TestPoint]=Alerts[[#This Row],[TestPoint]])*Survey[Low],
  Survey[Time],
  "")</f>
        <v/>
      </c>
      <c r="T13" s="384"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4" t="str">
        <f>IFERROR(IF(OR(Alerts[[#This Row],[High]],Alerts[[#This Row],[Low]]),VALUE(Alerts[[#This Row],[High]]&amp;Alerts[[#This Row],[Low]]),Alerts[[#This Row],[Out Of Tolerance]]),"")</f>
        <v/>
      </c>
      <c r="Q14" t="b">
        <f>IF(
  Main!O17 = "",
  FALSE,
  COUNTIF(Survey[TestPoint], Alerts[[#This Row],[TestPoint]]) = 0
)</f>
        <v>0</v>
      </c>
      <c r="R14" s="384" t="str" cm="1">
        <f t="array" ref="R14">_xlfn.XLOOKUP(1,
  (Survey[TestPoint]=Alerts[[#This Row],[TestPoint]])*Survey[High],
  Survey[Time],
  "")</f>
        <v/>
      </c>
      <c r="S14" s="384" t="str" cm="1">
        <f t="array" ref="S14">_xlfn.XLOOKUP(1,
  (Survey[TestPoint]=Alerts[[#This Row],[TestPoint]])*Survey[Low],
  Survey[Time],
  "")</f>
        <v/>
      </c>
      <c r="T14" s="384"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4" t="str">
        <f>IFERROR(IF(OR(Alerts[[#This Row],[High]],Alerts[[#This Row],[Low]]),VALUE(Alerts[[#This Row],[High]]&amp;Alerts[[#This Row],[Low]]),Alerts[[#This Row],[Out Of Tolerance]]),"")</f>
        <v/>
      </c>
      <c r="Q15" t="b">
        <f>IF(
  Main!O18 = "",
  FALSE,
  COUNTIF(Survey[TestPoint], Alerts[[#This Row],[TestPoint]]) = 0
)</f>
        <v>0</v>
      </c>
      <c r="R15" s="384" t="str" cm="1">
        <f t="array" ref="R15">_xlfn.XLOOKUP(1,
  (Survey[TestPoint]=Alerts[[#This Row],[TestPoint]])*Survey[High],
  Survey[Time],
  "")</f>
        <v/>
      </c>
      <c r="S15" s="384" t="str" cm="1">
        <f t="array" ref="S15">_xlfn.XLOOKUP(1,
  (Survey[TestPoint]=Alerts[[#This Row],[TestPoint]])*Survey[Low],
  Survey[Time],
  "")</f>
        <v/>
      </c>
      <c r="T15" s="384"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4" t="str">
        <f>IFERROR(IF(OR(Alerts[[#This Row],[High]],Alerts[[#This Row],[Low]]),VALUE(Alerts[[#This Row],[High]]&amp;Alerts[[#This Row],[Low]]),Alerts[[#This Row],[Out Of Tolerance]]),"")</f>
        <v/>
      </c>
      <c r="Q16" t="b">
        <f>IF(
  Main!O19 = "",
  FALSE,
  COUNTIF(Survey[TestPoint], Alerts[[#This Row],[TestPoint]]) = 0
)</f>
        <v>0</v>
      </c>
      <c r="R16" s="384" t="str" cm="1">
        <f t="array" ref="R16">_xlfn.XLOOKUP(1,
  (Survey[TestPoint]=Alerts[[#This Row],[TestPoint]])*Survey[High],
  Survey[Time],
  "")</f>
        <v/>
      </c>
      <c r="S16" s="384" t="str" cm="1">
        <f t="array" ref="S16">_xlfn.XLOOKUP(1,
  (Survey[TestPoint]=Alerts[[#This Row],[TestPoint]])*Survey[Low],
  Survey[Time],
  "")</f>
        <v/>
      </c>
      <c r="T16" s="384"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4" t="str">
        <f>IFERROR(IF(OR(Alerts[[#This Row],[High]],Alerts[[#This Row],[Low]]),VALUE(Alerts[[#This Row],[High]]&amp;Alerts[[#This Row],[Low]]),Alerts[[#This Row],[Out Of Tolerance]]),"")</f>
        <v/>
      </c>
      <c r="Q17" t="b">
        <f>IF(
  Main!O20 = "",
  FALSE,
  COUNTIF(Survey[TestPoint], Alerts[[#This Row],[TestPoint]]) = 0
)</f>
        <v>0</v>
      </c>
      <c r="R17" s="384" t="str" cm="1">
        <f t="array" ref="R17">_xlfn.XLOOKUP(1,
  (Survey[TestPoint]=Alerts[[#This Row],[TestPoint]])*Survey[High],
  Survey[Time],
  "")</f>
        <v/>
      </c>
      <c r="S17" s="384" t="str" cm="1">
        <f t="array" ref="S17">_xlfn.XLOOKUP(1,
  (Survey[TestPoint]=Alerts[[#This Row],[TestPoint]])*Survey[Low],
  Survey[Time],
  "")</f>
        <v/>
      </c>
      <c r="T17" s="384"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4" t="str">
        <f>IFERROR(IF(OR(Alerts[[#This Row],[High]],Alerts[[#This Row],[Low]]),VALUE(Alerts[[#This Row],[High]]&amp;Alerts[[#This Row],[Low]]),Alerts[[#This Row],[Out Of Tolerance]]),"")</f>
        <v/>
      </c>
      <c r="Q18" t="b">
        <f>IF(
  Main!O21 = "",
  FALSE,
  COUNTIF(Survey[TestPoint], Alerts[[#This Row],[TestPoint]]) = 0
)</f>
        <v>0</v>
      </c>
      <c r="R18" s="384" t="str" cm="1">
        <f t="array" ref="R18">_xlfn.XLOOKUP(1,
  (Survey[TestPoint]=Alerts[[#This Row],[TestPoint]])*Survey[High],
  Survey[Time],
  "")</f>
        <v/>
      </c>
      <c r="S18" s="384" t="str" cm="1">
        <f t="array" ref="S18">_xlfn.XLOOKUP(1,
  (Survey[TestPoint]=Alerts[[#This Row],[TestPoint]])*Survey[Low],
  Survey[Time],
  "")</f>
        <v/>
      </c>
      <c r="T18" s="384"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4" t="str">
        <f>IFERROR(IF(OR(Alerts[[#This Row],[High]],Alerts[[#This Row],[Low]]),VALUE(Alerts[[#This Row],[High]]&amp;Alerts[[#This Row],[Low]]),Alerts[[#This Row],[Out Of Tolerance]]),"")</f>
        <v/>
      </c>
      <c r="Q19" t="b">
        <f>IF(
  Main!O22 = "",
  FALSE,
  COUNTIF(Survey[TestPoint], Alerts[[#This Row],[TestPoint]]) = 0
)</f>
        <v>0</v>
      </c>
      <c r="R19" s="384" t="str" cm="1">
        <f t="array" ref="R19">_xlfn.XLOOKUP(1,
  (Survey[TestPoint]=Alerts[[#This Row],[TestPoint]])*Survey[High],
  Survey[Time],
  "")</f>
        <v/>
      </c>
      <c r="S19" s="384" t="str" cm="1">
        <f t="array" ref="S19">_xlfn.XLOOKUP(1,
  (Survey[TestPoint]=Alerts[[#This Row],[TestPoint]])*Survey[Low],
  Survey[Time],
  "")</f>
        <v/>
      </c>
      <c r="T19" s="384"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4" t="str">
        <f>IFERROR(IF(OR(Alerts[[#This Row],[High]],Alerts[[#This Row],[Low]]),VALUE(Alerts[[#This Row],[High]]&amp;Alerts[[#This Row],[Low]]),Alerts[[#This Row],[Out Of Tolerance]]),"")</f>
        <v/>
      </c>
      <c r="Q20" t="b">
        <f>IF(
  Main!O23 = "",
  FALSE,
  COUNTIF(Survey[TestPoint], Alerts[[#This Row],[TestPoint]]) = 0
)</f>
        <v>0</v>
      </c>
      <c r="R20" s="384" t="str" cm="1">
        <f t="array" ref="R20">_xlfn.XLOOKUP(1,
  (Survey[TestPoint]=Alerts[[#This Row],[TestPoint]])*Survey[High],
  Survey[Time],
  "")</f>
        <v/>
      </c>
      <c r="S20" s="384" t="str" cm="1">
        <f t="array" ref="S20">_xlfn.XLOOKUP(1,
  (Survey[TestPoint]=Alerts[[#This Row],[TestPoint]])*Survey[Low],
  Survey[Time],
  "")</f>
        <v/>
      </c>
      <c r="T20" s="384"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4" t="str">
        <f>IFERROR(IF(OR(Alerts[[#This Row],[High]],Alerts[[#This Row],[Low]]),VALUE(Alerts[[#This Row],[High]]&amp;Alerts[[#This Row],[Low]]),Alerts[[#This Row],[Out Of Tolerance]]),"")</f>
        <v/>
      </c>
      <c r="Q21" t="b">
        <f>IF(
  Main!O24 = "",
  FALSE,
  COUNTIF(Survey[TestPoint], Alerts[[#This Row],[TestPoint]]) = 0
)</f>
        <v>0</v>
      </c>
      <c r="R21" s="384" t="str" cm="1">
        <f t="array" ref="R21">_xlfn.XLOOKUP(1,
  (Survey[TestPoint]=Alerts[[#This Row],[TestPoint]])*Survey[High],
  Survey[Time],
  "")</f>
        <v/>
      </c>
      <c r="S21" s="384" t="str" cm="1">
        <f t="array" ref="S21">_xlfn.XLOOKUP(1,
  (Survey[TestPoint]=Alerts[[#This Row],[TestPoint]])*Survey[Low],
  Survey[Time],
  "")</f>
        <v/>
      </c>
      <c r="T21" s="384"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4" t="str">
        <f>IFERROR(IF(OR(Alerts[[#This Row],[High]],Alerts[[#This Row],[Low]]),VALUE(Alerts[[#This Row],[High]]&amp;Alerts[[#This Row],[Low]]),Alerts[[#This Row],[Out Of Tolerance]]),"")</f>
        <v/>
      </c>
      <c r="Q22" t="b">
        <f>IF(
  Main!O25 = "",
  FALSE,
  COUNTIF(Survey[TestPoint], Alerts[[#This Row],[TestPoint]]) = 0
)</f>
        <v>0</v>
      </c>
      <c r="R22" s="384" t="str" cm="1">
        <f t="array" ref="R22">_xlfn.XLOOKUP(1,
  (Survey[TestPoint]=Alerts[[#This Row],[TestPoint]])*Survey[High],
  Survey[Time],
  "")</f>
        <v/>
      </c>
      <c r="S22" s="384" t="str" cm="1">
        <f t="array" ref="S22">_xlfn.XLOOKUP(1,
  (Survey[TestPoint]=Alerts[[#This Row],[TestPoint]])*Survey[Low],
  Survey[Time],
  "")</f>
        <v/>
      </c>
      <c r="T22" s="384"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4" t="str">
        <f>IFERROR(IF(OR(Alerts[[#This Row],[High]],Alerts[[#This Row],[Low]]),VALUE(Alerts[[#This Row],[High]]&amp;Alerts[[#This Row],[Low]]),Alerts[[#This Row],[Out Of Tolerance]]),"")</f>
        <v/>
      </c>
      <c r="Q23" t="b">
        <f>IF(
  Main!O26 = "",
  FALSE,
  COUNTIF(Survey[TestPoint], Alerts[[#This Row],[TestPoint]]) = 0
)</f>
        <v>0</v>
      </c>
      <c r="R23" s="384" t="str" cm="1">
        <f t="array" ref="R23">_xlfn.XLOOKUP(1,
  (Survey[TestPoint]=Alerts[[#This Row],[TestPoint]])*Survey[High],
  Survey[Time],
  "")</f>
        <v/>
      </c>
      <c r="S23" s="384" t="str" cm="1">
        <f t="array" ref="S23">_xlfn.XLOOKUP(1,
  (Survey[TestPoint]=Alerts[[#This Row],[TestPoint]])*Survey[Low],
  Survey[Time],
  "")</f>
        <v/>
      </c>
      <c r="T23" s="384"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4" t="str">
        <f>IFERROR(IF(OR(Alerts[[#This Row],[High]],Alerts[[#This Row],[Low]]),VALUE(Alerts[[#This Row],[High]]&amp;Alerts[[#This Row],[Low]]),Alerts[[#This Row],[Out Of Tolerance]]),"")</f>
        <v/>
      </c>
      <c r="Q24" t="b">
        <f>IF(
  Main!O27 = "",
  FALSE,
  COUNTIF(Survey[TestPoint], Alerts[[#This Row],[TestPoint]]) = 0
)</f>
        <v>0</v>
      </c>
      <c r="R24" s="384" t="str" cm="1">
        <f t="array" ref="R24">_xlfn.XLOOKUP(1,
  (Survey[TestPoint]=Alerts[[#This Row],[TestPoint]])*Survey[High],
  Survey[Time],
  "")</f>
        <v/>
      </c>
      <c r="S24" s="384" t="str" cm="1">
        <f t="array" ref="S24">_xlfn.XLOOKUP(1,
  (Survey[TestPoint]=Alerts[[#This Row],[TestPoint]])*Survey[Low],
  Survey[Time],
  "")</f>
        <v/>
      </c>
      <c r="T24" s="384"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4" t="str">
        <f>IFERROR(IF(OR(Alerts[[#This Row],[High]],Alerts[[#This Row],[Low]]),VALUE(Alerts[[#This Row],[High]]&amp;Alerts[[#This Row],[Low]]),Alerts[[#This Row],[Out Of Tolerance]]),"")</f>
        <v/>
      </c>
      <c r="Q25" t="b">
        <f>IF(
  Main!O28 = "",
  FALSE,
  COUNTIF(Survey[TestPoint], Alerts[[#This Row],[TestPoint]]) = 0
)</f>
        <v>0</v>
      </c>
      <c r="R25" s="384" t="str" cm="1">
        <f t="array" ref="R25">_xlfn.XLOOKUP(1,
  (Survey[TestPoint]=Alerts[[#This Row],[TestPoint]])*Survey[High],
  Survey[Time],
  "")</f>
        <v/>
      </c>
      <c r="S25" s="384" t="str" cm="1">
        <f t="array" ref="S25">_xlfn.XLOOKUP(1,
  (Survey[TestPoint]=Alerts[[#This Row],[TestPoint]])*Survey[Low],
  Survey[Time],
  "")</f>
        <v/>
      </c>
      <c r="T25" s="384"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4" t="str">
        <f>IFERROR(IF(OR(Alerts[[#This Row],[High]],Alerts[[#This Row],[Low]]),VALUE(Alerts[[#This Row],[High]]&amp;Alerts[[#This Row],[Low]]),Alerts[[#This Row],[Out Of Tolerance]]),"")</f>
        <v/>
      </c>
      <c r="Q26" t="b">
        <f>IF(
  Main!O29 = "",
  FALSE,
  COUNTIF(Survey[TestPoint], Alerts[[#This Row],[TestPoint]]) = 0
)</f>
        <v>0</v>
      </c>
      <c r="R26" s="384" t="str" cm="1">
        <f t="array" ref="R26">_xlfn.XLOOKUP(1,
  (Survey[TestPoint]=Alerts[[#This Row],[TestPoint]])*Survey[High],
  Survey[Time],
  "")</f>
        <v/>
      </c>
      <c r="S26" s="384" t="str" cm="1">
        <f t="array" ref="S26">_xlfn.XLOOKUP(1,
  (Survey[TestPoint]=Alerts[[#This Row],[TestPoint]])*Survey[Low],
  Survey[Time],
  "")</f>
        <v/>
      </c>
      <c r="T26" s="384"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4" t="str">
        <f>IFERROR(IF(OR(Alerts[[#This Row],[High]],Alerts[[#This Row],[Low]]),VALUE(Alerts[[#This Row],[High]]&amp;Alerts[[#This Row],[Low]]),Alerts[[#This Row],[Out Of Tolerance]]),"")</f>
        <v/>
      </c>
      <c r="Q27" t="b">
        <f>IF(
  Main!O30 = "",
  FALSE,
  COUNTIF(Survey[TestPoint], Alerts[[#This Row],[TestPoint]]) = 0
)</f>
        <v>0</v>
      </c>
      <c r="R27" s="384" t="str" cm="1">
        <f t="array" ref="R27">_xlfn.XLOOKUP(1,
  (Survey[TestPoint]=Alerts[[#This Row],[TestPoint]])*Survey[High],
  Survey[Time],
  "")</f>
        <v/>
      </c>
      <c r="S27" s="384" t="str" cm="1">
        <f t="array" ref="S27">_xlfn.XLOOKUP(1,
  (Survey[TestPoint]=Alerts[[#This Row],[TestPoint]])*Survey[Low],
  Survey[Time],
  "")</f>
        <v/>
      </c>
      <c r="T27" s="384"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4" t="str">
        <f>IFERROR(IF(OR(Alerts[[#This Row],[High]],Alerts[[#This Row],[Low]]),VALUE(Alerts[[#This Row],[High]]&amp;Alerts[[#This Row],[Low]]),Alerts[[#This Row],[Out Of Tolerance]]),"")</f>
        <v/>
      </c>
      <c r="Q28" t="b">
        <f>IF(
  Main!O31 = "",
  FALSE,
  COUNTIF(Survey[TestPoint], Alerts[[#This Row],[TestPoint]]) = 0
)</f>
        <v>0</v>
      </c>
      <c r="R28" s="384" t="str" cm="1">
        <f t="array" ref="R28">_xlfn.XLOOKUP(1,
  (Survey[TestPoint]=Alerts[[#This Row],[TestPoint]])*Survey[High],
  Survey[Time],
  "")</f>
        <v/>
      </c>
      <c r="S28" s="384" t="str" cm="1">
        <f t="array" ref="S28">_xlfn.XLOOKUP(1,
  (Survey[TestPoint]=Alerts[[#This Row],[TestPoint]])*Survey[Low],
  Survey[Time],
  "")</f>
        <v/>
      </c>
      <c r="T28" s="384"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4" t="str">
        <f>IFERROR(IF(OR(Alerts[[#This Row],[High]],Alerts[[#This Row],[Low]]),VALUE(Alerts[[#This Row],[High]]&amp;Alerts[[#This Row],[Low]]),Alerts[[#This Row],[Out Of Tolerance]]),"")</f>
        <v/>
      </c>
      <c r="Q29" t="b">
        <f>IF(
  Main!O32 = "",
  FALSE,
  COUNTIF(Survey[TestPoint], Alerts[[#This Row],[TestPoint]]) = 0
)</f>
        <v>0</v>
      </c>
      <c r="R29" s="384" t="str" cm="1">
        <f t="array" ref="R29">_xlfn.XLOOKUP(1,
  (Survey[TestPoint]=Alerts[[#This Row],[TestPoint]])*Survey[High],
  Survey[Time],
  "")</f>
        <v/>
      </c>
      <c r="S29" s="384" t="str" cm="1">
        <f t="array" ref="S29">_xlfn.XLOOKUP(1,
  (Survey[TestPoint]=Alerts[[#This Row],[TestPoint]])*Survey[Low],
  Survey[Time],
  "")</f>
        <v/>
      </c>
      <c r="T29" s="384"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4" t="str">
        <f>IFERROR(IF(OR(Alerts[[#This Row],[High]],Alerts[[#This Row],[Low]]),VALUE(Alerts[[#This Row],[High]]&amp;Alerts[[#This Row],[Low]]),Alerts[[#This Row],[Out Of Tolerance]]),"")</f>
        <v/>
      </c>
      <c r="Q30" t="b">
        <f>IF(
  Main!O33 = "",
  FALSE,
  COUNTIF(Survey[TestPoint], Alerts[[#This Row],[TestPoint]]) = 0
)</f>
        <v>0</v>
      </c>
      <c r="R30" s="384" t="str" cm="1">
        <f t="array" ref="R30">_xlfn.XLOOKUP(1,
  (Survey[TestPoint]=Alerts[[#This Row],[TestPoint]])*Survey[High],
  Survey[Time],
  "")</f>
        <v/>
      </c>
      <c r="S30" s="384" t="str" cm="1">
        <f t="array" ref="S30">_xlfn.XLOOKUP(1,
  (Survey[TestPoint]=Alerts[[#This Row],[TestPoint]])*Survey[Low],
  Survey[Time],
  "")</f>
        <v/>
      </c>
      <c r="T30" s="384"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4" t="str">
        <f>IFERROR(IF(OR(Alerts[[#This Row],[High]],Alerts[[#This Row],[Low]]),VALUE(Alerts[[#This Row],[High]]&amp;Alerts[[#This Row],[Low]]),Alerts[[#This Row],[Out Of Tolerance]]),"")</f>
        <v/>
      </c>
      <c r="Q31" t="b">
        <f>IF(
  Main!O34 = "",
  FALSE,
  COUNTIF(Survey[TestPoint], Alerts[[#This Row],[TestPoint]]) = 0
)</f>
        <v>0</v>
      </c>
      <c r="R31" s="384" t="str" cm="1">
        <f t="array" ref="R31">_xlfn.XLOOKUP(1,
  (Survey[TestPoint]=Alerts[[#This Row],[TestPoint]])*Survey[High],
  Survey[Time],
  "")</f>
        <v/>
      </c>
      <c r="S31" s="384" t="str" cm="1">
        <f t="array" ref="S31">_xlfn.XLOOKUP(1,
  (Survey[TestPoint]=Alerts[[#This Row],[TestPoint]])*Survey[Low],
  Survey[Time],
  "")</f>
        <v/>
      </c>
      <c r="T31" s="384"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4" t="str">
        <f>IFERROR(IF(OR(Alerts[[#This Row],[High]],Alerts[[#This Row],[Low]]),VALUE(Alerts[[#This Row],[High]]&amp;Alerts[[#This Row],[Low]]),Alerts[[#This Row],[Out Of Tolerance]]),"")</f>
        <v/>
      </c>
      <c r="Q32" t="b">
        <f>IF(
  Main!O35 = "",
  FALSE,
  COUNTIF(Survey[TestPoint], Alerts[[#This Row],[TestPoint]]) = 0
)</f>
        <v>0</v>
      </c>
      <c r="R32" s="384" t="str" cm="1">
        <f t="array" ref="R32">_xlfn.XLOOKUP(1,
  (Survey[TestPoint]=Alerts[[#This Row],[TestPoint]])*Survey[High],
  Survey[Time],
  "")</f>
        <v/>
      </c>
      <c r="S32" s="384" t="str" cm="1">
        <f t="array" ref="S32">_xlfn.XLOOKUP(1,
  (Survey[TestPoint]=Alerts[[#This Row],[TestPoint]])*Survey[Low],
  Survey[Time],
  "")</f>
        <v/>
      </c>
      <c r="T32" s="384"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4" t="str">
        <f>IFERROR(IF(OR(Alerts[[#This Row],[High]],Alerts[[#This Row],[Low]]),VALUE(Alerts[[#This Row],[High]]&amp;Alerts[[#This Row],[Low]]),Alerts[[#This Row],[Out Of Tolerance]]),"")</f>
        <v/>
      </c>
      <c r="Q33" t="b">
        <f>IF(
  Main!O36 = "",
  FALSE,
  COUNTIF(Survey[TestPoint], Alerts[[#This Row],[TestPoint]]) = 0
)</f>
        <v>0</v>
      </c>
      <c r="R33" s="384" t="str" cm="1">
        <f t="array" ref="R33">_xlfn.XLOOKUP(1,
  (Survey[TestPoint]=Alerts[[#This Row],[TestPoint]])*Survey[High],
  Survey[Time],
  "")</f>
        <v/>
      </c>
      <c r="S33" s="384" t="str" cm="1">
        <f t="array" ref="S33">_xlfn.XLOOKUP(1,
  (Survey[TestPoint]=Alerts[[#This Row],[TestPoint]])*Survey[Low],
  Survey[Time],
  "")</f>
        <v/>
      </c>
      <c r="T33" s="384"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4" t="str">
        <f>IFERROR(IF(OR(Alerts[[#This Row],[High]],Alerts[[#This Row],[Low]]),VALUE(Alerts[[#This Row],[High]]&amp;Alerts[[#This Row],[Low]]),Alerts[[#This Row],[Out Of Tolerance]]),"")</f>
        <v/>
      </c>
      <c r="Q34" t="b">
        <f>IF(
  Main!O37 = "",
  FALSE,
  COUNTIF(Survey[TestPoint], Alerts[[#This Row],[TestPoint]]) = 0
)</f>
        <v>0</v>
      </c>
      <c r="R34" s="384" t="str" cm="1">
        <f t="array" ref="R34">_xlfn.XLOOKUP(1,
  (Survey[TestPoint]=Alerts[[#This Row],[TestPoint]])*Survey[High],
  Survey[Time],
  "")</f>
        <v/>
      </c>
      <c r="S34" s="384" t="str" cm="1">
        <f t="array" ref="S34">_xlfn.XLOOKUP(1,
  (Survey[TestPoint]=Alerts[[#This Row],[TestPoint]])*Survey[Low],
  Survey[Time],
  "")</f>
        <v/>
      </c>
      <c r="T34" s="384"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4" t="str">
        <f>IFERROR(IF(OR(Alerts[[#This Row],[High]],Alerts[[#This Row],[Low]]),VALUE(Alerts[[#This Row],[High]]&amp;Alerts[[#This Row],[Low]]),Alerts[[#This Row],[Out Of Tolerance]]),"")</f>
        <v/>
      </c>
      <c r="Q35" t="b">
        <f>IF(
  Main!O38 = "",
  FALSE,
  COUNTIF(Survey[TestPoint], Alerts[[#This Row],[TestPoint]]) = 0
)</f>
        <v>0</v>
      </c>
      <c r="R35" s="384" t="str" cm="1">
        <f t="array" ref="R35">_xlfn.XLOOKUP(1,
  (Survey[TestPoint]=Alerts[[#This Row],[TestPoint]])*Survey[High],
  Survey[Time],
  "")</f>
        <v/>
      </c>
      <c r="S35" s="384" t="str" cm="1">
        <f t="array" ref="S35">_xlfn.XLOOKUP(1,
  (Survey[TestPoint]=Alerts[[#This Row],[TestPoint]])*Survey[Low],
  Survey[Time],
  "")</f>
        <v/>
      </c>
      <c r="T35" s="384"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4" t="str">
        <f>IFERROR(IF(OR(Alerts[[#This Row],[High]],Alerts[[#This Row],[Low]]),VALUE(Alerts[[#This Row],[High]]&amp;Alerts[[#This Row],[Low]]),Alerts[[#This Row],[Out Of Tolerance]]),"")</f>
        <v/>
      </c>
      <c r="Q36" t="b">
        <f>IF(
  Main!O39 = "",
  FALSE,
  COUNTIF(Survey[TestPoint], Alerts[[#This Row],[TestPoint]]) = 0
)</f>
        <v>0</v>
      </c>
      <c r="R36" s="384" t="str" cm="1">
        <f t="array" ref="R36">_xlfn.XLOOKUP(1,
  (Survey[TestPoint]=Alerts[[#This Row],[TestPoint]])*Survey[High],
  Survey[Time],
  "")</f>
        <v/>
      </c>
      <c r="S36" s="384" t="str" cm="1">
        <f t="array" ref="S36">_xlfn.XLOOKUP(1,
  (Survey[TestPoint]=Alerts[[#This Row],[TestPoint]])*Survey[Low],
  Survey[Time],
  "")</f>
        <v/>
      </c>
      <c r="T36" s="384"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4" t="str">
        <f>IFERROR(IF(OR(Alerts[[#This Row],[High]],Alerts[[#This Row],[Low]]),VALUE(Alerts[[#This Row],[High]]&amp;Alerts[[#This Row],[Low]]),Alerts[[#This Row],[Out Of Tolerance]]),"")</f>
        <v/>
      </c>
      <c r="Q37" t="b">
        <f>IF(
  Main!O40 = "",
  FALSE,
  COUNTIF(Survey[TestPoint], Alerts[[#This Row],[TestPoint]]) = 0
)</f>
        <v>0</v>
      </c>
      <c r="R37" s="384" t="str" cm="1">
        <f t="array" ref="R37">_xlfn.XLOOKUP(1,
  (Survey[TestPoint]=Alerts[[#This Row],[TestPoint]])*Survey[High],
  Survey[Time],
  "")</f>
        <v/>
      </c>
      <c r="S37" s="384" t="str" cm="1">
        <f t="array" ref="S37">_xlfn.XLOOKUP(1,
  (Survey[TestPoint]=Alerts[[#This Row],[TestPoint]])*Survey[Low],
  Survey[Time],
  "")</f>
        <v/>
      </c>
      <c r="T37" s="384"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4" t="str">
        <f>IFERROR(IF(OR(Alerts[[#This Row],[High]],Alerts[[#This Row],[Low]]),VALUE(Alerts[[#This Row],[High]]&amp;Alerts[[#This Row],[Low]]),Alerts[[#This Row],[Out Of Tolerance]]),"")</f>
        <v/>
      </c>
      <c r="Q38" t="b">
        <f>IF(
  Main!O41 = "",
  FALSE,
  COUNTIF(Survey[TestPoint], Alerts[[#This Row],[TestPoint]]) = 0
)</f>
        <v>0</v>
      </c>
      <c r="R38" s="384" t="str" cm="1">
        <f t="array" ref="R38">_xlfn.XLOOKUP(1,
  (Survey[TestPoint]=Alerts[[#This Row],[TestPoint]])*Survey[High],
  Survey[Time],
  "")</f>
        <v/>
      </c>
      <c r="S38" s="384" t="str" cm="1">
        <f t="array" ref="S38">_xlfn.XLOOKUP(1,
  (Survey[TestPoint]=Alerts[[#This Row],[TestPoint]])*Survey[Low],
  Survey[Time],
  "")</f>
        <v/>
      </c>
      <c r="T38" s="384"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4" t="str">
        <f>IFERROR(IF(OR(Alerts[[#This Row],[High]],Alerts[[#This Row],[Low]]),VALUE(Alerts[[#This Row],[High]]&amp;Alerts[[#This Row],[Low]]),Alerts[[#This Row],[Out Of Tolerance]]),"")</f>
        <v/>
      </c>
      <c r="Q39" t="b">
        <f>IF(
  Main!O42 = "",
  FALSE,
  COUNTIF(Survey[TestPoint], Alerts[[#This Row],[TestPoint]]) = 0
)</f>
        <v>0</v>
      </c>
      <c r="R39" s="384" t="str" cm="1">
        <f t="array" ref="R39">_xlfn.XLOOKUP(1,
  (Survey[TestPoint]=Alerts[[#This Row],[TestPoint]])*Survey[High],
  Survey[Time],
  "")</f>
        <v/>
      </c>
      <c r="S39" s="384" t="str" cm="1">
        <f t="array" ref="S39">_xlfn.XLOOKUP(1,
  (Survey[TestPoint]=Alerts[[#This Row],[TestPoint]])*Survey[Low],
  Survey[Time],
  "")</f>
        <v/>
      </c>
      <c r="T39" s="384"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4" t="str">
        <f>IFERROR(IF(OR(Alerts[[#This Row],[High]],Alerts[[#This Row],[Low]]),VALUE(Alerts[[#This Row],[High]]&amp;Alerts[[#This Row],[Low]]),Alerts[[#This Row],[Out Of Tolerance]]),"")</f>
        <v/>
      </c>
      <c r="Q40" t="b">
        <f>IF(
  Main!O43 = "",
  FALSE,
  COUNTIF(Survey[TestPoint], Alerts[[#This Row],[TestPoint]]) = 0
)</f>
        <v>0</v>
      </c>
      <c r="R40" s="384" t="str" cm="1">
        <f t="array" ref="R40">_xlfn.XLOOKUP(1,
  (Survey[TestPoint]=Alerts[[#This Row],[TestPoint]])*Survey[High],
  Survey[Time],
  "")</f>
        <v/>
      </c>
      <c r="S40" s="384" t="str" cm="1">
        <f t="array" ref="S40">_xlfn.XLOOKUP(1,
  (Survey[TestPoint]=Alerts[[#This Row],[TestPoint]])*Survey[Low],
  Survey[Time],
  "")</f>
        <v/>
      </c>
      <c r="T40" s="384"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4" t="str">
        <f>IFERROR(IF(OR(Alerts[[#This Row],[High]],Alerts[[#This Row],[Low]]),VALUE(Alerts[[#This Row],[High]]&amp;Alerts[[#This Row],[Low]]),Alerts[[#This Row],[Out Of Tolerance]]),"")</f>
        <v/>
      </c>
      <c r="Q41" t="b">
        <f>IF(
  Main!O44 = "",
  FALSE,
  COUNTIF(Survey[TestPoint], Alerts[[#This Row],[TestPoint]]) = 0
)</f>
        <v>0</v>
      </c>
      <c r="R41" s="384" t="str" cm="1">
        <f t="array" ref="R41">_xlfn.XLOOKUP(1,
  (Survey[TestPoint]=Alerts[[#This Row],[TestPoint]])*Survey[High],
  Survey[Time],
  "")</f>
        <v/>
      </c>
      <c r="S41" s="384" t="str" cm="1">
        <f t="array" ref="S41">_xlfn.XLOOKUP(1,
  (Survey[TestPoint]=Alerts[[#This Row],[TestPoint]])*Survey[Low],
  Survey[Time],
  "")</f>
        <v/>
      </c>
      <c r="T41" s="384"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705"/>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6"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0"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758</v>
      </c>
      <c r="I1" s="455" t="s">
        <v>439</v>
      </c>
      <c r="J1" s="455" t="s">
        <v>374</v>
      </c>
      <c r="K1" s="455" t="s">
        <v>438</v>
      </c>
      <c r="M1" s="455" t="s">
        <v>439</v>
      </c>
      <c r="N1" s="455" t="s">
        <v>722</v>
      </c>
      <c r="O1" s="455" t="s">
        <v>723</v>
      </c>
      <c r="P1" s="455" t="s">
        <v>85</v>
      </c>
      <c r="Q1" s="455" t="s">
        <v>459</v>
      </c>
      <c r="R1" s="455" t="s">
        <v>719</v>
      </c>
      <c r="S1" s="455" t="s">
        <v>720</v>
      </c>
      <c r="T1" s="455" t="s">
        <v>721</v>
      </c>
      <c r="W1" s="36" t="s">
        <v>724</v>
      </c>
      <c r="X1" s="36" t="s">
        <v>729</v>
      </c>
      <c r="Z1" s="461" t="s">
        <v>724</v>
      </c>
      <c r="AA1" s="462" t="s">
        <v>728</v>
      </c>
      <c r="AB1" s="470"/>
      <c r="AC1" s="470"/>
      <c r="AD1" s="470"/>
      <c r="AE1" s="470"/>
      <c r="AF1" s="1"/>
      <c r="AG1" s="463" t="s">
        <v>727</v>
      </c>
      <c r="AH1"/>
    </row>
    <row r="2" spans="1:34" ht="13.5" thickTop="1" x14ac:dyDescent="0.2">
      <c r="A2" s="655"/>
      <c r="B2" s="655"/>
      <c r="C2"/>
      <c r="D2" s="655"/>
      <c r="E2" s="655"/>
      <c r="F2" s="655" t="str">
        <f>LEFT(AllDaqbookOffsets[[#This Row],[traceability_no]],2)</f>
        <v>J1</v>
      </c>
      <c r="I2" t="e" cm="1" vm="1">
        <f t="array" ref="I2">_xlfn._xlws.FILTER(AllDaqbookOffsets[[point]:[Offset]],AllDaqbookOffsets[AssetTag2]=DaqbookAssetTag)</f>
        <v>#VALUE!</v>
      </c>
      <c r="M2">
        <v>1</v>
      </c>
      <c r="N2" s="458"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6"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0"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s="655"/>
      <c r="B3" s="655"/>
      <c r="C3"/>
      <c r="D3" s="655"/>
      <c r="E3" s="655"/>
      <c r="F3" s="655" t="str">
        <f>LEFT(AllDaqbookOffsets[[#This Row],[traceability_no]],2)</f>
        <v>J1</v>
      </c>
      <c r="M3">
        <v>2</v>
      </c>
      <c r="N3" s="458"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6"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0" t="str">
        <v>06B</v>
      </c>
      <c r="AA3" s="194" t="str">
        <v>SBP Set 1</v>
      </c>
      <c r="AB3"/>
      <c r="AG3" s="69" t="str">
        <v>06B</v>
      </c>
      <c r="AH3"/>
    </row>
    <row r="4" spans="1:34" x14ac:dyDescent="0.2">
      <c r="A4" s="655"/>
      <c r="B4" s="655"/>
      <c r="C4"/>
      <c r="D4" s="655"/>
      <c r="E4" s="655"/>
      <c r="F4" s="655" t="str">
        <f>LEFT(AllDaqbookOffsets[[#This Row],[traceability_no]],2)</f>
        <v>J1</v>
      </c>
      <c r="M4">
        <v>3</v>
      </c>
      <c r="N4" s="458"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6"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0" t="str">
        <v>06C</v>
      </c>
      <c r="AA4" s="194" t="str">
        <v>SBP Set 1</v>
      </c>
      <c r="AB4"/>
      <c r="AG4" s="69" t="str">
        <v>06C</v>
      </c>
      <c r="AH4"/>
    </row>
    <row r="5" spans="1:34" x14ac:dyDescent="0.2">
      <c r="A5" s="655"/>
      <c r="B5" s="655"/>
      <c r="C5"/>
      <c r="D5" s="655"/>
      <c r="E5" s="655"/>
      <c r="F5" s="655" t="str">
        <f>LEFT(AllDaqbookOffsets[[#This Row],[traceability_no]],2)</f>
        <v>J1</v>
      </c>
      <c r="M5">
        <v>4</v>
      </c>
      <c r="N5" s="458"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6"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0" t="str">
        <v>06D</v>
      </c>
      <c r="AA5" s="194" t="str">
        <v>SBP Set 1</v>
      </c>
      <c r="AB5"/>
      <c r="AG5" s="69" t="str">
        <v>06D</v>
      </c>
      <c r="AH5"/>
    </row>
    <row r="6" spans="1:34" x14ac:dyDescent="0.2">
      <c r="A6" s="655"/>
      <c r="B6" s="655"/>
      <c r="C6"/>
      <c r="D6" s="655"/>
      <c r="E6" s="655"/>
      <c r="F6" s="655" t="str">
        <f>LEFT(AllDaqbookOffsets[[#This Row],[traceability_no]],2)</f>
        <v>J1</v>
      </c>
      <c r="M6">
        <v>5</v>
      </c>
      <c r="N6" s="458"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6"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0" t="str">
        <v>06E</v>
      </c>
      <c r="AA6" s="194" t="str">
        <v>SBP Set 1</v>
      </c>
      <c r="AB6"/>
      <c r="AG6" s="69" t="str">
        <v>06E</v>
      </c>
      <c r="AH6"/>
    </row>
    <row r="7" spans="1:34" x14ac:dyDescent="0.2">
      <c r="A7" s="655"/>
      <c r="B7" s="655"/>
      <c r="C7"/>
      <c r="D7" s="655"/>
      <c r="E7" s="655"/>
      <c r="F7" s="655" t="str">
        <f>LEFT(AllDaqbookOffsets[[#This Row],[traceability_no]],2)</f>
        <v>J1</v>
      </c>
      <c r="M7">
        <v>6</v>
      </c>
      <c r="N7" s="458"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6"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0" t="str">
        <v>06F</v>
      </c>
      <c r="AA7" s="194" t="str">
        <v>SBP Set 1</v>
      </c>
      <c r="AB7"/>
      <c r="AG7" s="69" t="str">
        <v>06F</v>
      </c>
      <c r="AH7"/>
    </row>
    <row r="8" spans="1:34" x14ac:dyDescent="0.2">
      <c r="A8" s="655"/>
      <c r="B8" s="655"/>
      <c r="C8"/>
      <c r="D8" s="655"/>
      <c r="E8" s="655"/>
      <c r="F8" s="655" t="str">
        <f>LEFT(AllDaqbookOffsets[[#This Row],[traceability_no]],2)</f>
        <v>J1</v>
      </c>
      <c r="M8">
        <v>7</v>
      </c>
      <c r="N8" s="458"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6" t="e" cm="1">
        <f t="array" ref="O8">IF(DaqbookInterp[[#This Row],[Include]],QRound(N8),NA())</f>
        <v>#N/A</v>
      </c>
      <c r="P8" t="e">
        <f>IF(DaqbookInterp[[#This Row],[Include]],Main!O11, NA())</f>
        <v>#N/A</v>
      </c>
      <c r="Q8" s="458"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0" t="str">
        <v>10A</v>
      </c>
      <c r="AA8" s="194" t="str">
        <v>SBP Set 1</v>
      </c>
      <c r="AB8"/>
      <c r="AG8" s="69" t="str">
        <v>10A</v>
      </c>
      <c r="AH8"/>
    </row>
    <row r="9" spans="1:34" x14ac:dyDescent="0.2">
      <c r="A9" s="655"/>
      <c r="B9" s="655"/>
      <c r="C9"/>
      <c r="D9" s="655"/>
      <c r="E9" s="655"/>
      <c r="F9" s="655" t="str">
        <f>LEFT(AllDaqbookOffsets[[#This Row],[traceability_no]],2)</f>
        <v>J1</v>
      </c>
      <c r="M9">
        <v>8</v>
      </c>
      <c r="N9" s="458"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6" t="e" cm="1">
        <f t="array" ref="O9">IF(DaqbookInterp[[#This Row],[Include]],QRound(N9),NA())</f>
        <v>#N/A</v>
      </c>
      <c r="P9" s="458"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0" t="str">
        <v>10B</v>
      </c>
      <c r="AA9" s="194" t="str">
        <v>SBP Set 1</v>
      </c>
      <c r="AB9"/>
      <c r="AG9" s="69" t="str">
        <v>10B</v>
      </c>
      <c r="AH9"/>
    </row>
    <row r="10" spans="1:34" x14ac:dyDescent="0.2">
      <c r="A10" s="655"/>
      <c r="B10" s="655"/>
      <c r="C10"/>
      <c r="D10" s="655"/>
      <c r="E10" s="655"/>
      <c r="F10" s="655" t="str">
        <f>LEFT(AllDaqbookOffsets[[#This Row],[traceability_no]],2)</f>
        <v>J1</v>
      </c>
      <c r="M10">
        <v>9</v>
      </c>
      <c r="N10" s="458"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6"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0" t="str">
        <v>10C</v>
      </c>
      <c r="AA10" s="194" t="str">
        <v>SBP Set 1</v>
      </c>
      <c r="AB10"/>
      <c r="AG10" s="69" t="str">
        <v>10C</v>
      </c>
      <c r="AH10"/>
    </row>
    <row r="11" spans="1:34" x14ac:dyDescent="0.2">
      <c r="A11" s="655"/>
      <c r="B11" s="655"/>
      <c r="C11"/>
      <c r="D11" s="655"/>
      <c r="E11" s="655"/>
      <c r="F11" s="655" t="str">
        <f>LEFT(AllDaqbookOffsets[[#This Row],[traceability_no]],2)</f>
        <v>J1</v>
      </c>
      <c r="M11">
        <v>10</v>
      </c>
      <c r="N11" s="458"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6" t="e" cm="1">
        <f t="array" ref="O11">IF(DaqbookInterp[[#This Row],[Include]],QRound(N11),NA())</f>
        <v>#N/A</v>
      </c>
      <c r="P11" t="e">
        <f>IF(DaqbookInterp[[#This Row],[Include]],Main!O14, NA())</f>
        <v>#N/A</v>
      </c>
      <c r="Q11" s="458"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0" t="str">
        <v>10D</v>
      </c>
      <c r="AA11" s="194" t="str">
        <v>SBP Set 1</v>
      </c>
      <c r="AB11"/>
      <c r="AG11" s="69" t="str">
        <v>10D</v>
      </c>
      <c r="AH11"/>
    </row>
    <row r="12" spans="1:34" x14ac:dyDescent="0.2">
      <c r="A12" s="655"/>
      <c r="B12" s="655"/>
      <c r="C12"/>
      <c r="D12" s="655"/>
      <c r="E12" s="655"/>
      <c r="F12" s="655" t="str">
        <f>LEFT(AllDaqbookOffsets[[#This Row],[traceability_no]],2)</f>
        <v>J1</v>
      </c>
      <c r="M12">
        <v>11</v>
      </c>
      <c r="N12" s="458"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6"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0" t="str">
        <v>10E</v>
      </c>
      <c r="AA12" s="194" t="str">
        <v>SBP Set 1</v>
      </c>
      <c r="AB12"/>
      <c r="AG12" s="69" t="str">
        <v>10E</v>
      </c>
      <c r="AH12"/>
    </row>
    <row r="13" spans="1:34" x14ac:dyDescent="0.2">
      <c r="A13" s="655"/>
      <c r="B13" s="655"/>
      <c r="C13"/>
      <c r="D13" s="655"/>
      <c r="E13" s="655"/>
      <c r="F13" s="655" t="str">
        <f>LEFT(AllDaqbookOffsets[[#This Row],[traceability_no]],2)</f>
        <v>J1</v>
      </c>
      <c r="M13">
        <v>12</v>
      </c>
      <c r="N13" s="458"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6"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0" t="str">
        <v>210A</v>
      </c>
      <c r="AA13" s="194" t="str">
        <v>SBP Set 2</v>
      </c>
      <c r="AB13"/>
      <c r="AG13" s="69" t="str">
        <v>210A</v>
      </c>
      <c r="AH13"/>
    </row>
    <row r="14" spans="1:34" x14ac:dyDescent="0.2">
      <c r="A14" s="655"/>
      <c r="B14" s="655"/>
      <c r="C14"/>
      <c r="D14" s="655"/>
      <c r="E14" s="655"/>
      <c r="F14" s="655" t="str">
        <f>LEFT(AllDaqbookOffsets[[#This Row],[traceability_no]],2)</f>
        <v>J1</v>
      </c>
      <c r="M14">
        <v>13</v>
      </c>
      <c r="N14" s="458"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6"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0" t="str">
        <v>210B</v>
      </c>
      <c r="AA14" s="194" t="str">
        <v>SBP Set 2</v>
      </c>
      <c r="AB14"/>
      <c r="AG14" s="69" t="str">
        <v>210B</v>
      </c>
      <c r="AH14"/>
    </row>
    <row r="15" spans="1:34" x14ac:dyDescent="0.2">
      <c r="A15" s="655"/>
      <c r="B15" s="655"/>
      <c r="C15"/>
      <c r="D15" s="655"/>
      <c r="E15" s="655"/>
      <c r="F15" s="655" t="str">
        <f>LEFT(AllDaqbookOffsets[[#This Row],[traceability_no]],2)</f>
        <v>J1</v>
      </c>
      <c r="M15">
        <v>14</v>
      </c>
      <c r="N15" s="458"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6"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0" t="str">
        <v>210C</v>
      </c>
      <c r="AA15" s="194" t="str">
        <v>SBP Set 2</v>
      </c>
      <c r="AB15"/>
      <c r="AG15" s="69" t="str">
        <v>210C</v>
      </c>
      <c r="AH15"/>
    </row>
    <row r="16" spans="1:34" x14ac:dyDescent="0.2">
      <c r="A16" s="655"/>
      <c r="B16" s="655"/>
      <c r="C16"/>
      <c r="D16" s="655"/>
      <c r="E16" s="655"/>
      <c r="F16" s="655" t="str">
        <f>LEFT(AllDaqbookOffsets[[#This Row],[traceability_no]],2)</f>
        <v>J1</v>
      </c>
      <c r="M16">
        <v>15</v>
      </c>
      <c r="N16" s="458"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6"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0" t="str">
        <v>210D</v>
      </c>
      <c r="AA16" s="194" t="str">
        <v>SBP Set 2</v>
      </c>
      <c r="AB16"/>
      <c r="AG16" s="69" t="str">
        <v>210D</v>
      </c>
      <c r="AH16"/>
    </row>
    <row r="17" spans="1:34" x14ac:dyDescent="0.2">
      <c r="A17" s="655"/>
      <c r="B17" s="655"/>
      <c r="C17"/>
      <c r="D17" s="655"/>
      <c r="E17" s="655"/>
      <c r="F17" s="655" t="str">
        <f>LEFT(AllDaqbookOffsets[[#This Row],[traceability_no]],2)</f>
        <v>J1</v>
      </c>
      <c r="M17">
        <v>16</v>
      </c>
      <c r="N17" s="458"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6"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0" t="str">
        <v>210E</v>
      </c>
      <c r="AA17" s="194" t="str">
        <v>SBP Set 2</v>
      </c>
      <c r="AB17"/>
      <c r="AG17" s="69" t="str">
        <v>210E</v>
      </c>
      <c r="AH17"/>
    </row>
    <row r="18" spans="1:34" x14ac:dyDescent="0.2">
      <c r="A18" s="655"/>
      <c r="B18" s="655"/>
      <c r="C18"/>
      <c r="D18" s="655"/>
      <c r="E18" s="655"/>
      <c r="F18" s="655" t="str">
        <f>LEFT(AllDaqbookOffsets[[#This Row],[traceability_no]],2)</f>
        <v>J1</v>
      </c>
      <c r="M18">
        <v>17</v>
      </c>
      <c r="N18" s="458"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6"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0" t="str">
        <v>26A</v>
      </c>
      <c r="AA18" s="194" t="str">
        <v>SBP Set 2</v>
      </c>
      <c r="AB18"/>
      <c r="AG18" s="69" t="str">
        <v>26A</v>
      </c>
      <c r="AH18"/>
    </row>
    <row r="19" spans="1:34" x14ac:dyDescent="0.2">
      <c r="A19" s="655"/>
      <c r="B19" s="655"/>
      <c r="C19"/>
      <c r="D19" s="655"/>
      <c r="E19" s="655"/>
      <c r="F19" s="655" t="str">
        <f>LEFT(AllDaqbookOffsets[[#This Row],[traceability_no]],2)</f>
        <v>J1</v>
      </c>
      <c r="M19">
        <v>18</v>
      </c>
      <c r="N19" s="458"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6"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0" t="str">
        <v>26B</v>
      </c>
      <c r="AA19" s="194" t="str">
        <v>SBP Set 2</v>
      </c>
      <c r="AB19"/>
      <c r="AG19" s="69" t="str">
        <v>26B</v>
      </c>
      <c r="AH19"/>
    </row>
    <row r="20" spans="1:34" x14ac:dyDescent="0.2">
      <c r="A20" s="655"/>
      <c r="B20" s="655"/>
      <c r="C20"/>
      <c r="D20" s="655"/>
      <c r="E20" s="655"/>
      <c r="F20" s="655" t="str">
        <f>LEFT(AllDaqbookOffsets[[#This Row],[traceability_no]],2)</f>
        <v>J1</v>
      </c>
      <c r="M20">
        <v>19</v>
      </c>
      <c r="N20" s="458"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6"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0" t="str">
        <v>26C</v>
      </c>
      <c r="AA20" s="194" t="str">
        <v>SBP Set 2</v>
      </c>
      <c r="AB20"/>
      <c r="AG20" s="69" t="str">
        <v>26C</v>
      </c>
      <c r="AH20"/>
    </row>
    <row r="21" spans="1:34" x14ac:dyDescent="0.2">
      <c r="A21" s="655"/>
      <c r="B21" s="655"/>
      <c r="C21"/>
      <c r="D21" s="655"/>
      <c r="E21" s="655"/>
      <c r="F21" s="655" t="str">
        <f>LEFT(AllDaqbookOffsets[[#This Row],[traceability_no]],2)</f>
        <v>J1</v>
      </c>
      <c r="M21">
        <v>20</v>
      </c>
      <c r="N21" s="458"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6" t="e" cm="1">
        <f t="array" ref="O21">IF(DaqbookInterp[[#This Row],[Include]],QRound(N21),NA())</f>
        <v>#N/A</v>
      </c>
      <c r="P21" s="458"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0" t="str">
        <v>26D</v>
      </c>
      <c r="AA21" s="194" t="str">
        <v>SBP Set 2</v>
      </c>
      <c r="AB21"/>
      <c r="AG21" s="69" t="str">
        <v>26D</v>
      </c>
      <c r="AH21"/>
    </row>
    <row r="22" spans="1:34" x14ac:dyDescent="0.2">
      <c r="A22" s="655"/>
      <c r="B22" s="655"/>
      <c r="C22"/>
      <c r="D22" s="655"/>
      <c r="E22" s="655"/>
      <c r="F22" s="655" t="str">
        <f>LEFT(AllDaqbookOffsets[[#This Row],[traceability_no]],2)</f>
        <v>J1</v>
      </c>
      <c r="M22">
        <v>21</v>
      </c>
      <c r="N22" s="458"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6"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0" t="str">
        <v>26E</v>
      </c>
      <c r="AA22" s="194" t="str">
        <v>SBP Set 2</v>
      </c>
      <c r="AB22"/>
      <c r="AG22" s="69" t="str">
        <v>26E</v>
      </c>
      <c r="AH22"/>
    </row>
    <row r="23" spans="1:34" x14ac:dyDescent="0.2">
      <c r="A23" s="655"/>
      <c r="B23" s="655"/>
      <c r="C23"/>
      <c r="D23" s="655"/>
      <c r="E23" s="655"/>
      <c r="F23" s="655" t="str">
        <f>LEFT(AllDaqbookOffsets[[#This Row],[traceability_no]],2)</f>
        <v>J1</v>
      </c>
      <c r="M23">
        <v>22</v>
      </c>
      <c r="N23" s="458"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6"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0" t="str">
        <v>ENV101</v>
      </c>
      <c r="AA23" s="194" t="str">
        <v>ENV101</v>
      </c>
      <c r="AB23"/>
      <c r="AG23" s="69" t="str">
        <v>ENV101</v>
      </c>
      <c r="AH23"/>
    </row>
    <row r="24" spans="1:34" x14ac:dyDescent="0.2">
      <c r="A24" s="655"/>
      <c r="B24" s="655"/>
      <c r="C24"/>
      <c r="D24" s="655"/>
      <c r="E24" s="655"/>
      <c r="F24" s="655" t="str">
        <f>LEFT(AllDaqbookOffsets[[#This Row],[traceability_no]],2)</f>
        <v>J1</v>
      </c>
      <c r="M24">
        <v>23</v>
      </c>
      <c r="N24" s="458"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6"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0" t="str">
        <v>ENV102</v>
      </c>
      <c r="AA24" s="194" t="str">
        <v>ENV101</v>
      </c>
      <c r="AB24"/>
      <c r="AG24" s="69" t="str">
        <v>ENV102</v>
      </c>
      <c r="AH24"/>
    </row>
    <row r="25" spans="1:34" x14ac:dyDescent="0.2">
      <c r="A25" s="655"/>
      <c r="B25" s="655"/>
      <c r="C25"/>
      <c r="D25" s="655"/>
      <c r="E25" s="655"/>
      <c r="F25" s="655" t="str">
        <f>LEFT(AllDaqbookOffsets[[#This Row],[traceability_no]],2)</f>
        <v>J1</v>
      </c>
      <c r="M25">
        <v>24</v>
      </c>
      <c r="N25" s="458"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6"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0" t="str">
        <v>ENV103</v>
      </c>
      <c r="AA25" s="194" t="str">
        <v>ENV101</v>
      </c>
      <c r="AB25"/>
      <c r="AG25" s="69" t="str">
        <v>ENV103</v>
      </c>
      <c r="AH25"/>
    </row>
    <row r="26" spans="1:34" x14ac:dyDescent="0.2">
      <c r="A26" s="655"/>
      <c r="B26" s="655"/>
      <c r="C26"/>
      <c r="D26" s="655"/>
      <c r="E26" s="655"/>
      <c r="F26" s="655" t="str">
        <f>LEFT(AllDaqbookOffsets[[#This Row],[traceability_no]],2)</f>
        <v>J1</v>
      </c>
      <c r="M26">
        <v>25</v>
      </c>
      <c r="N26" s="458"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6"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0" t="str">
        <v>ENV104</v>
      </c>
      <c r="AA26" s="194" t="str">
        <v>ENV101</v>
      </c>
      <c r="AB26"/>
      <c r="AG26" s="69" t="str">
        <v>ENV104</v>
      </c>
      <c r="AH26"/>
    </row>
    <row r="27" spans="1:34" x14ac:dyDescent="0.2">
      <c r="A27" s="655"/>
      <c r="B27" s="655"/>
      <c r="C27"/>
      <c r="D27" s="655"/>
      <c r="E27" s="655"/>
      <c r="F27" s="655" t="str">
        <f>LEFT(AllDaqbookOffsets[[#This Row],[traceability_no]],2)</f>
        <v>J1</v>
      </c>
      <c r="M27">
        <v>26</v>
      </c>
      <c r="N27" s="458"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6" t="e" cm="1">
        <f t="array" ref="O27">IF(DaqbookInterp[[#This Row],[Include]],QRound(N27),NA())</f>
        <v>#N/A</v>
      </c>
      <c r="P27" s="458"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0" t="str">
        <v>ENV105</v>
      </c>
      <c r="AA27" s="194" t="str">
        <v>ENV101</v>
      </c>
      <c r="AB27"/>
      <c r="AG27" s="69" t="str">
        <v>ENV105</v>
      </c>
      <c r="AH27"/>
    </row>
    <row r="28" spans="1:34" x14ac:dyDescent="0.2">
      <c r="A28" s="655"/>
      <c r="B28" s="655"/>
      <c r="C28"/>
      <c r="D28" s="655"/>
      <c r="E28" s="655"/>
      <c r="F28" s="655" t="str">
        <f>LEFT(AllDaqbookOffsets[[#This Row],[traceability_no]],2)</f>
        <v>J1</v>
      </c>
      <c r="M28">
        <v>27</v>
      </c>
      <c r="N28" s="458"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6"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0" t="str">
        <v>ENV106</v>
      </c>
      <c r="AA28" s="194" t="str">
        <v>ENV101</v>
      </c>
      <c r="AB28"/>
      <c r="AG28" s="69" t="str">
        <v>ENV106</v>
      </c>
      <c r="AH28"/>
    </row>
    <row r="29" spans="1:34" x14ac:dyDescent="0.2">
      <c r="A29" s="655"/>
      <c r="B29" s="655"/>
      <c r="C29"/>
      <c r="D29" s="655"/>
      <c r="E29" s="655"/>
      <c r="F29" s="655" t="str">
        <f>LEFT(AllDaqbookOffsets[[#This Row],[traceability_no]],2)</f>
        <v>J1</v>
      </c>
      <c r="M29">
        <v>28</v>
      </c>
      <c r="N29" s="458"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6"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0" t="str">
        <v>ENV107</v>
      </c>
      <c r="AA29" s="194" t="str">
        <v>ENV101</v>
      </c>
      <c r="AB29"/>
      <c r="AG29" s="69" t="str">
        <v>ENV107</v>
      </c>
      <c r="AH29"/>
    </row>
    <row r="30" spans="1:34" x14ac:dyDescent="0.2">
      <c r="A30" s="655"/>
      <c r="B30" s="655"/>
      <c r="C30"/>
      <c r="D30" s="655"/>
      <c r="E30" s="655"/>
      <c r="F30" s="655" t="str">
        <f>LEFT(AllDaqbookOffsets[[#This Row],[traceability_no]],2)</f>
        <v>J1</v>
      </c>
      <c r="M30">
        <v>29</v>
      </c>
      <c r="N30" s="458"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6"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0" t="str">
        <v>ENV108</v>
      </c>
      <c r="AA30" s="194" t="str">
        <v>ENV101</v>
      </c>
      <c r="AB30"/>
      <c r="AG30" s="69" t="str">
        <v>ENV108</v>
      </c>
      <c r="AH30"/>
    </row>
    <row r="31" spans="1:34" x14ac:dyDescent="0.2">
      <c r="A31" s="655"/>
      <c r="B31" s="655"/>
      <c r="C31"/>
      <c r="D31" s="655"/>
      <c r="E31" s="655"/>
      <c r="F31" s="655" t="str">
        <f>LEFT(AllDaqbookOffsets[[#This Row],[traceability_no]],2)</f>
        <v>J1</v>
      </c>
      <c r="M31">
        <v>30</v>
      </c>
      <c r="N31" s="458"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6"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0" t="str">
        <v>ENV109</v>
      </c>
      <c r="AA31" s="194" t="str">
        <v>ENV101</v>
      </c>
      <c r="AB31"/>
      <c r="AG31" s="69" t="str">
        <v>ENV109</v>
      </c>
      <c r="AH31"/>
    </row>
    <row r="32" spans="1:34" x14ac:dyDescent="0.2">
      <c r="A32" s="655"/>
      <c r="B32" s="655"/>
      <c r="C32"/>
      <c r="D32" s="655"/>
      <c r="E32" s="655"/>
      <c r="F32" s="655" t="str">
        <f>LEFT(AllDaqbookOffsets[[#This Row],[traceability_no]],2)</f>
        <v>J1</v>
      </c>
      <c r="M32">
        <v>31</v>
      </c>
      <c r="N32" s="458"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6" t="e" cm="1">
        <f t="array" ref="O32">IF(DaqbookInterp[[#This Row],[Include]],QRound(N32),NA())</f>
        <v>#N/A</v>
      </c>
      <c r="P32" s="458"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0" t="str">
        <v>ENV110</v>
      </c>
      <c r="AA32" s="194" t="str">
        <v>ENV101</v>
      </c>
      <c r="AB32"/>
      <c r="AG32" s="69" t="str">
        <v>ENV110</v>
      </c>
      <c r="AH32"/>
    </row>
    <row r="33" spans="1:34" x14ac:dyDescent="0.2">
      <c r="A33" s="655"/>
      <c r="B33" s="655"/>
      <c r="C33"/>
      <c r="D33" s="655"/>
      <c r="E33" s="655"/>
      <c r="F33" s="655" t="str">
        <f>LEFT(AllDaqbookOffsets[[#This Row],[traceability_no]],2)</f>
        <v>J1</v>
      </c>
      <c r="M33">
        <v>32</v>
      </c>
      <c r="N33" s="458"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6"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0" t="str">
        <v>ENV111</v>
      </c>
      <c r="AA33" s="194" t="str">
        <v>ENV101</v>
      </c>
      <c r="AB33"/>
      <c r="AG33" s="69" t="str">
        <v>ENV111</v>
      </c>
      <c r="AH33"/>
    </row>
    <row r="34" spans="1:34" x14ac:dyDescent="0.2">
      <c r="A34" s="655"/>
      <c r="B34" s="655"/>
      <c r="C34"/>
      <c r="D34" s="655"/>
      <c r="E34" s="655"/>
      <c r="F34" s="655" t="str">
        <f>LEFT(AllDaqbookOffsets[[#This Row],[traceability_no]],2)</f>
        <v>J1</v>
      </c>
      <c r="M34">
        <v>33</v>
      </c>
      <c r="N34" s="458"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6"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0" t="str">
        <v>ENV112</v>
      </c>
      <c r="AA34" s="194" t="str">
        <v>ENV101</v>
      </c>
      <c r="AB34"/>
      <c r="AG34" s="69" t="str">
        <v>ENV112</v>
      </c>
      <c r="AH34"/>
    </row>
    <row r="35" spans="1:34" x14ac:dyDescent="0.2">
      <c r="A35" s="655"/>
      <c r="B35" s="655"/>
      <c r="C35"/>
      <c r="D35" s="655"/>
      <c r="E35" s="655"/>
      <c r="F35" s="655" t="str">
        <f>LEFT(AllDaqbookOffsets[[#This Row],[traceability_no]],2)</f>
        <v>J1</v>
      </c>
      <c r="M35">
        <v>34</v>
      </c>
      <c r="N35" s="458"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6"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0" t="str">
        <v>ENV113</v>
      </c>
      <c r="AA35" s="194" t="str">
        <v>ENV101</v>
      </c>
      <c r="AB35"/>
      <c r="AG35" s="69" t="str">
        <v>ENV113</v>
      </c>
      <c r="AH35"/>
    </row>
    <row r="36" spans="1:34" x14ac:dyDescent="0.2">
      <c r="A36" s="655"/>
      <c r="B36" s="655"/>
      <c r="C36"/>
      <c r="D36" s="655"/>
      <c r="E36" s="655"/>
      <c r="F36" s="655" t="str">
        <f>LEFT(AllDaqbookOffsets[[#This Row],[traceability_no]],2)</f>
        <v>J1</v>
      </c>
      <c r="M36">
        <v>35</v>
      </c>
      <c r="N36" s="458"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6"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0" t="str">
        <v>ENV114</v>
      </c>
      <c r="AA36" s="194" t="str">
        <v>ENV101</v>
      </c>
      <c r="AB36"/>
      <c r="AG36" s="69" t="str">
        <v>ENV114</v>
      </c>
      <c r="AH36"/>
    </row>
    <row r="37" spans="1:34" x14ac:dyDescent="0.2">
      <c r="A37" s="655"/>
      <c r="B37" s="655"/>
      <c r="C37"/>
      <c r="D37" s="655"/>
      <c r="E37" s="655"/>
      <c r="F37" s="655" t="str">
        <f>LEFT(AllDaqbookOffsets[[#This Row],[traceability_no]],2)</f>
        <v>J1</v>
      </c>
      <c r="M37">
        <v>36</v>
      </c>
      <c r="N37" s="458"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6"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0" t="str">
        <v>J01</v>
      </c>
      <c r="AA37" s="194" t="str">
        <v>J01-J24</v>
      </c>
      <c r="AB37"/>
      <c r="AG37" s="69" t="str">
        <v>J01</v>
      </c>
      <c r="AH37"/>
    </row>
    <row r="38" spans="1:34" x14ac:dyDescent="0.2">
      <c r="A38" s="655"/>
      <c r="B38" s="655"/>
      <c r="C38"/>
      <c r="D38" s="655"/>
      <c r="E38" s="655"/>
      <c r="F38" s="655" t="str">
        <f>LEFT(AllDaqbookOffsets[[#This Row],[traceability_no]],2)</f>
        <v>J1</v>
      </c>
      <c r="M38">
        <v>37</v>
      </c>
      <c r="N38" s="458"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6"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0" t="str">
        <v>J02</v>
      </c>
      <c r="AA38" s="194" t="str">
        <v>J01-J24</v>
      </c>
      <c r="AB38"/>
      <c r="AG38" s="69" t="str">
        <v>J02</v>
      </c>
      <c r="AH38"/>
    </row>
    <row r="39" spans="1:34" x14ac:dyDescent="0.2">
      <c r="A39" s="655"/>
      <c r="B39" s="655"/>
      <c r="C39"/>
      <c r="D39" s="655"/>
      <c r="E39" s="655"/>
      <c r="F39" s="655" t="str">
        <f>LEFT(AllDaqbookOffsets[[#This Row],[traceability_no]],2)</f>
        <v>J1</v>
      </c>
      <c r="M39">
        <v>38</v>
      </c>
      <c r="N39" s="458"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6"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0" t="str">
        <v>J03</v>
      </c>
      <c r="AA39" s="194" t="str">
        <v>J01-J24</v>
      </c>
      <c r="AB39"/>
      <c r="AG39" s="69" t="str">
        <v>J03</v>
      </c>
      <c r="AH39"/>
    </row>
    <row r="40" spans="1:34" x14ac:dyDescent="0.2">
      <c r="A40" s="655"/>
      <c r="B40" s="655"/>
      <c r="C40"/>
      <c r="D40" s="655"/>
      <c r="E40" s="655"/>
      <c r="F40" s="655" t="str">
        <f>LEFT(AllDaqbookOffsets[[#This Row],[traceability_no]],2)</f>
        <v>J1</v>
      </c>
      <c r="M40">
        <v>39</v>
      </c>
      <c r="N40" s="458"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6"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0" t="str">
        <v>J04</v>
      </c>
      <c r="AA40" s="194" t="str">
        <v>J01-J24</v>
      </c>
      <c r="AB40"/>
      <c r="AG40" s="69" t="str">
        <v>J04</v>
      </c>
      <c r="AH40"/>
    </row>
    <row r="41" spans="1:34" x14ac:dyDescent="0.2">
      <c r="A41" s="655"/>
      <c r="B41" s="655"/>
      <c r="C41"/>
      <c r="D41" s="655"/>
      <c r="E41" s="655"/>
      <c r="F41" s="655" t="str">
        <f>LEFT(AllDaqbookOffsets[[#This Row],[traceability_no]],2)</f>
        <v>J1</v>
      </c>
      <c r="M41">
        <v>40</v>
      </c>
      <c r="N41" s="458"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6"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0" t="str">
        <v>J05</v>
      </c>
      <c r="AA41" s="194" t="str">
        <v>J01-J24</v>
      </c>
      <c r="AB41"/>
      <c r="AG41" s="69" t="str">
        <v>J05</v>
      </c>
      <c r="AH41"/>
    </row>
    <row r="42" spans="1:34" x14ac:dyDescent="0.2">
      <c r="A42" s="655"/>
      <c r="B42" s="655"/>
      <c r="C42"/>
      <c r="D42" s="655"/>
      <c r="E42" s="655"/>
      <c r="F42" s="655" t="str">
        <f>LEFT(AllDaqbookOffsets[[#This Row],[traceability_no]],2)</f>
        <v>J1</v>
      </c>
      <c r="N42" s="456"/>
      <c r="O42"/>
      <c r="W42" t="s">
        <v>485</v>
      </c>
      <c r="X42" t="s">
        <v>167</v>
      </c>
      <c r="Z42" s="460" t="str">
        <v>J06</v>
      </c>
      <c r="AA42" s="194" t="str">
        <v>J01-J24</v>
      </c>
      <c r="AB42"/>
      <c r="AG42" s="69" t="str">
        <v>J06</v>
      </c>
      <c r="AH42"/>
    </row>
    <row r="43" spans="1:34" x14ac:dyDescent="0.2">
      <c r="A43" s="655"/>
      <c r="B43" s="655"/>
      <c r="C43"/>
      <c r="D43" s="655"/>
      <c r="E43" s="655"/>
      <c r="F43" s="655" t="str">
        <f>LEFT(AllDaqbookOffsets[[#This Row],[traceability_no]],2)</f>
        <v>J1</v>
      </c>
      <c r="N43" s="456"/>
      <c r="O43"/>
      <c r="W43" t="s">
        <v>486</v>
      </c>
      <c r="X43" t="s">
        <v>167</v>
      </c>
      <c r="Z43" s="460" t="str">
        <v>J07</v>
      </c>
      <c r="AA43" s="194" t="str">
        <v>J01-J24</v>
      </c>
      <c r="AB43"/>
      <c r="AG43" s="69" t="str">
        <v>J07</v>
      </c>
      <c r="AH43"/>
    </row>
    <row r="44" spans="1:34" x14ac:dyDescent="0.2">
      <c r="A44" s="655"/>
      <c r="B44" s="655"/>
      <c r="C44"/>
      <c r="D44" s="655"/>
      <c r="E44" s="655"/>
      <c r="F44" s="655" t="str">
        <f>LEFT(AllDaqbookOffsets[[#This Row],[traceability_no]],2)</f>
        <v>J1</v>
      </c>
      <c r="N44" s="456"/>
      <c r="O44"/>
      <c r="W44" t="s">
        <v>487</v>
      </c>
      <c r="X44" t="s">
        <v>167</v>
      </c>
      <c r="Z44" s="460" t="str">
        <v>J08</v>
      </c>
      <c r="AA44" s="194" t="str">
        <v>J01-J24</v>
      </c>
      <c r="AB44"/>
      <c r="AG44" s="69" t="str">
        <v>J08</v>
      </c>
      <c r="AH44"/>
    </row>
    <row r="45" spans="1:34" x14ac:dyDescent="0.2">
      <c r="A45" s="655"/>
      <c r="B45" s="655"/>
      <c r="C45"/>
      <c r="D45" s="655"/>
      <c r="E45" s="655"/>
      <c r="F45" s="655" t="str">
        <f>LEFT(AllDaqbookOffsets[[#This Row],[traceability_no]],2)</f>
        <v>J1</v>
      </c>
      <c r="N45" s="456"/>
      <c r="O45"/>
      <c r="W45" t="s">
        <v>488</v>
      </c>
      <c r="X45" t="s">
        <v>167</v>
      </c>
      <c r="Z45" s="460" t="str">
        <v>J09</v>
      </c>
      <c r="AA45" s="194" t="str">
        <v>J01-J24</v>
      </c>
      <c r="AB45"/>
      <c r="AG45" s="69" t="str">
        <v>J09</v>
      </c>
      <c r="AH45"/>
    </row>
    <row r="46" spans="1:34" x14ac:dyDescent="0.2">
      <c r="A46" s="655"/>
      <c r="B46" s="655"/>
      <c r="C46"/>
      <c r="D46" s="655"/>
      <c r="E46" s="655"/>
      <c r="F46" s="655" t="str">
        <f>LEFT(AllDaqbookOffsets[[#This Row],[traceability_no]],2)</f>
        <v>J1</v>
      </c>
      <c r="N46" s="456"/>
      <c r="O46"/>
      <c r="W46" t="s">
        <v>489</v>
      </c>
      <c r="X46" t="s">
        <v>167</v>
      </c>
      <c r="Z46" s="460" t="str">
        <v>J10</v>
      </c>
      <c r="AA46" s="194" t="str">
        <v>J01-J24</v>
      </c>
      <c r="AB46"/>
      <c r="AG46" s="69" t="str">
        <v>J10</v>
      </c>
      <c r="AH46"/>
    </row>
    <row r="47" spans="1:34" x14ac:dyDescent="0.2">
      <c r="A47" s="655"/>
      <c r="B47" s="655"/>
      <c r="C47"/>
      <c r="D47" s="655"/>
      <c r="E47" s="655"/>
      <c r="F47" s="655" t="str">
        <f>LEFT(AllDaqbookOffsets[[#This Row],[traceability_no]],2)</f>
        <v>J1</v>
      </c>
      <c r="N47" s="456"/>
      <c r="O47"/>
      <c r="W47" t="s">
        <v>490</v>
      </c>
      <c r="X47" t="s">
        <v>167</v>
      </c>
      <c r="Z47" s="460" t="str">
        <v>J101</v>
      </c>
      <c r="AA47" s="194" t="str">
        <v>J101-J110</v>
      </c>
      <c r="AB47"/>
      <c r="AG47" s="69" t="str">
        <v>J101</v>
      </c>
      <c r="AH47"/>
    </row>
    <row r="48" spans="1:34" x14ac:dyDescent="0.2">
      <c r="A48" s="655"/>
      <c r="B48" s="655"/>
      <c r="C48"/>
      <c r="D48" s="655"/>
      <c r="E48" s="655"/>
      <c r="F48" s="655" t="str">
        <f>LEFT(AllDaqbookOffsets[[#This Row],[traceability_no]],2)</f>
        <v>J1</v>
      </c>
      <c r="N48" s="456"/>
      <c r="O48"/>
      <c r="W48" t="s">
        <v>491</v>
      </c>
      <c r="X48" t="s">
        <v>167</v>
      </c>
      <c r="Z48" s="460" t="str">
        <v>J102</v>
      </c>
      <c r="AA48" s="194" t="str">
        <v>J101-J110</v>
      </c>
      <c r="AB48"/>
      <c r="AG48" s="69" t="str">
        <v>J102</v>
      </c>
      <c r="AH48"/>
    </row>
    <row r="49" spans="1:34" x14ac:dyDescent="0.2">
      <c r="A49" s="655"/>
      <c r="B49" s="655"/>
      <c r="C49"/>
      <c r="D49" s="655"/>
      <c r="E49" s="655"/>
      <c r="F49" s="655" t="str">
        <f>LEFT(AllDaqbookOffsets[[#This Row],[traceability_no]],2)</f>
        <v>J1</v>
      </c>
      <c r="N49" s="456"/>
      <c r="O49"/>
      <c r="W49" t="s">
        <v>492</v>
      </c>
      <c r="X49" t="s">
        <v>167</v>
      </c>
      <c r="Z49" s="460" t="str">
        <v>J103</v>
      </c>
      <c r="AA49" s="194" t="str">
        <v>J101-J110</v>
      </c>
      <c r="AB49"/>
      <c r="AG49" s="69" t="str">
        <v>J103</v>
      </c>
      <c r="AH49"/>
    </row>
    <row r="50" spans="1:34" x14ac:dyDescent="0.2">
      <c r="A50" s="655"/>
      <c r="B50" s="655"/>
      <c r="C50"/>
      <c r="D50" s="655"/>
      <c r="E50" s="655"/>
      <c r="F50" s="655" t="str">
        <f>LEFT(AllDaqbookOffsets[[#This Row],[traceability_no]],2)</f>
        <v>J1</v>
      </c>
      <c r="N50" s="456"/>
      <c r="O50"/>
      <c r="W50" t="s">
        <v>493</v>
      </c>
      <c r="X50" t="s">
        <v>167</v>
      </c>
      <c r="Z50" s="460" t="str">
        <v>J104</v>
      </c>
      <c r="AA50" s="194" t="str">
        <v>J101-J110</v>
      </c>
      <c r="AB50"/>
      <c r="AG50" s="69" t="str">
        <v>J104</v>
      </c>
      <c r="AH50"/>
    </row>
    <row r="51" spans="1:34" x14ac:dyDescent="0.2">
      <c r="A51" s="655"/>
      <c r="B51" s="655"/>
      <c r="C51"/>
      <c r="D51" s="655"/>
      <c r="E51" s="655"/>
      <c r="F51" s="655" t="str">
        <f>LEFT(AllDaqbookOffsets[[#This Row],[traceability_no]],2)</f>
        <v>J1</v>
      </c>
      <c r="N51" s="456"/>
      <c r="O51"/>
      <c r="W51" t="s">
        <v>468</v>
      </c>
      <c r="X51" t="s">
        <v>164</v>
      </c>
      <c r="Z51" s="460" t="str">
        <v>J105</v>
      </c>
      <c r="AA51" s="194" t="str">
        <v>J101-J110</v>
      </c>
      <c r="AB51"/>
      <c r="AG51" s="69" t="str">
        <v>J105</v>
      </c>
      <c r="AH51"/>
    </row>
    <row r="52" spans="1:34" x14ac:dyDescent="0.2">
      <c r="A52" s="655"/>
      <c r="B52" s="655"/>
      <c r="C52"/>
      <c r="D52" s="655"/>
      <c r="E52" s="655"/>
      <c r="F52" s="655" t="str">
        <f>LEFT(AllDaqbookOffsets[[#This Row],[traceability_no]],2)</f>
        <v>J1</v>
      </c>
      <c r="N52" s="456"/>
      <c r="O52"/>
      <c r="W52" t="s">
        <v>494</v>
      </c>
      <c r="X52" t="s">
        <v>167</v>
      </c>
      <c r="Z52" s="460" t="str">
        <v>J106</v>
      </c>
      <c r="AA52" s="194" t="str">
        <v>J101-J110</v>
      </c>
      <c r="AB52"/>
      <c r="AG52" s="69" t="str">
        <v>J106</v>
      </c>
      <c r="AH52"/>
    </row>
    <row r="53" spans="1:34" x14ac:dyDescent="0.2">
      <c r="A53" s="655"/>
      <c r="B53" s="655"/>
      <c r="C53"/>
      <c r="D53" s="655"/>
      <c r="E53" s="655"/>
      <c r="F53" s="655" t="str">
        <f>LEFT(AllDaqbookOffsets[[#This Row],[traceability_no]],2)</f>
        <v>J1</v>
      </c>
      <c r="N53" s="456"/>
      <c r="O53"/>
      <c r="W53" t="s">
        <v>495</v>
      </c>
      <c r="X53" t="s">
        <v>167</v>
      </c>
      <c r="Z53" s="460" t="str">
        <v>J107</v>
      </c>
      <c r="AA53" s="194" t="str">
        <v>J101-J110</v>
      </c>
      <c r="AB53"/>
      <c r="AG53" s="69" t="str">
        <v>J107</v>
      </c>
      <c r="AH53"/>
    </row>
    <row r="54" spans="1:34" x14ac:dyDescent="0.2">
      <c r="A54" s="655"/>
      <c r="B54" s="655"/>
      <c r="C54"/>
      <c r="D54" s="655"/>
      <c r="E54" s="655"/>
      <c r="F54" s="655" t="str">
        <f>LEFT(AllDaqbookOffsets[[#This Row],[traceability_no]],2)</f>
        <v>J1</v>
      </c>
      <c r="N54" s="456"/>
      <c r="O54"/>
      <c r="W54" t="s">
        <v>496</v>
      </c>
      <c r="X54" t="s">
        <v>167</v>
      </c>
      <c r="Z54" s="460" t="str">
        <v>J108</v>
      </c>
      <c r="AA54" s="194" t="str">
        <v>J101-J110</v>
      </c>
      <c r="AB54"/>
      <c r="AG54" s="69" t="str">
        <v>J108</v>
      </c>
      <c r="AH54"/>
    </row>
    <row r="55" spans="1:34" x14ac:dyDescent="0.2">
      <c r="A55" s="655"/>
      <c r="B55" s="655"/>
      <c r="C55"/>
      <c r="D55" s="655"/>
      <c r="E55" s="655"/>
      <c r="F55" s="655" t="str">
        <f>LEFT(AllDaqbookOffsets[[#This Row],[traceability_no]],2)</f>
        <v>J1</v>
      </c>
      <c r="N55" s="456"/>
      <c r="O55"/>
      <c r="W55" t="s">
        <v>497</v>
      </c>
      <c r="X55" t="s">
        <v>167</v>
      </c>
      <c r="Z55" s="460" t="str">
        <v>J109</v>
      </c>
      <c r="AA55" s="194" t="str">
        <v>J101-J110</v>
      </c>
      <c r="AB55"/>
      <c r="AG55" s="69" t="str">
        <v>J109</v>
      </c>
      <c r="AH55"/>
    </row>
    <row r="56" spans="1:34" x14ac:dyDescent="0.2">
      <c r="A56" s="655"/>
      <c r="B56" s="655"/>
      <c r="C56"/>
      <c r="D56" s="655"/>
      <c r="E56" s="655"/>
      <c r="F56" s="655" t="str">
        <f>LEFT(AllDaqbookOffsets[[#This Row],[traceability_no]],2)</f>
        <v>J1</v>
      </c>
      <c r="N56" s="456"/>
      <c r="O56"/>
      <c r="W56" t="s">
        <v>498</v>
      </c>
      <c r="X56" t="s">
        <v>167</v>
      </c>
      <c r="Z56" s="460" t="str">
        <v>J11</v>
      </c>
      <c r="AA56" s="194" t="str">
        <v>J01-J24</v>
      </c>
      <c r="AB56"/>
      <c r="AG56" s="69" t="str">
        <v>J11</v>
      </c>
      <c r="AH56"/>
    </row>
    <row r="57" spans="1:34" x14ac:dyDescent="0.2">
      <c r="A57" s="655"/>
      <c r="B57" s="655"/>
      <c r="C57"/>
      <c r="D57" s="655"/>
      <c r="E57" s="655"/>
      <c r="F57" s="655" t="str">
        <f>LEFT(AllDaqbookOffsets[[#This Row],[traceability_no]],2)</f>
        <v>J1</v>
      </c>
      <c r="N57" s="456"/>
      <c r="O57"/>
      <c r="W57" t="s">
        <v>469</v>
      </c>
      <c r="X57" t="s">
        <v>164</v>
      </c>
      <c r="Z57" s="460" t="str">
        <v>J110</v>
      </c>
      <c r="AA57" s="194" t="str">
        <v>J101-J110</v>
      </c>
      <c r="AB57"/>
      <c r="AG57" s="69" t="str">
        <v>J110</v>
      </c>
      <c r="AH57"/>
    </row>
    <row r="58" spans="1:34" x14ac:dyDescent="0.2">
      <c r="A58" s="655"/>
      <c r="B58" s="655"/>
      <c r="C58"/>
      <c r="D58" s="655"/>
      <c r="E58" s="655"/>
      <c r="F58" s="655" t="str">
        <f>LEFT(AllDaqbookOffsets[[#This Row],[traceability_no]],2)</f>
        <v>J1</v>
      </c>
      <c r="N58" s="456"/>
      <c r="O58"/>
      <c r="W58" t="s">
        <v>470</v>
      </c>
      <c r="X58" t="s">
        <v>164</v>
      </c>
      <c r="Z58" s="460" t="str">
        <v>J111</v>
      </c>
      <c r="AA58" s="194" t="str">
        <v>J111-J120</v>
      </c>
      <c r="AB58"/>
      <c r="AG58" s="69" t="str">
        <v>J111</v>
      </c>
      <c r="AH58"/>
    </row>
    <row r="59" spans="1:34" x14ac:dyDescent="0.2">
      <c r="A59" s="655"/>
      <c r="B59" s="655"/>
      <c r="C59"/>
      <c r="D59" s="655"/>
      <c r="E59" s="655"/>
      <c r="F59" s="655" t="str">
        <f>LEFT(AllDaqbookOffsets[[#This Row],[traceability_no]],2)</f>
        <v>J1</v>
      </c>
      <c r="N59" s="456"/>
      <c r="O59"/>
      <c r="W59" t="s">
        <v>471</v>
      </c>
      <c r="X59" t="s">
        <v>164</v>
      </c>
      <c r="Z59" s="460" t="str">
        <v>J112</v>
      </c>
      <c r="AA59" s="194" t="str">
        <v>J111-J120</v>
      </c>
      <c r="AB59"/>
      <c r="AG59" s="69" t="str">
        <v>J112</v>
      </c>
      <c r="AH59"/>
    </row>
    <row r="60" spans="1:34" x14ac:dyDescent="0.2">
      <c r="A60" s="655"/>
      <c r="B60" s="655"/>
      <c r="C60"/>
      <c r="D60" s="655"/>
      <c r="E60" s="655"/>
      <c r="F60" s="655" t="str">
        <f>LEFT(AllDaqbookOffsets[[#This Row],[traceability_no]],2)</f>
        <v>J1</v>
      </c>
      <c r="N60" s="456"/>
      <c r="O60"/>
      <c r="W60" t="s">
        <v>499</v>
      </c>
      <c r="X60" t="s">
        <v>168</v>
      </c>
      <c r="Z60" s="460" t="str">
        <v>J113</v>
      </c>
      <c r="AA60" s="194" t="str">
        <v>J111-J120</v>
      </c>
      <c r="AB60"/>
      <c r="AG60" s="69" t="str">
        <v>J113</v>
      </c>
      <c r="AH60"/>
    </row>
    <row r="61" spans="1:34" x14ac:dyDescent="0.2">
      <c r="A61" s="655"/>
      <c r="B61" s="655"/>
      <c r="C61"/>
      <c r="D61" s="655"/>
      <c r="E61" s="655"/>
      <c r="F61" s="655" t="str">
        <f>LEFT(AllDaqbookOffsets[[#This Row],[traceability_no]],2)</f>
        <v>J1</v>
      </c>
      <c r="N61" s="456"/>
      <c r="O61"/>
      <c r="W61" t="s">
        <v>500</v>
      </c>
      <c r="X61" t="s">
        <v>168</v>
      </c>
      <c r="Z61" s="460" t="str">
        <v>J114</v>
      </c>
      <c r="AA61" s="194" t="str">
        <v>J111-J120</v>
      </c>
      <c r="AB61"/>
      <c r="AG61" s="69" t="str">
        <v>J114</v>
      </c>
      <c r="AH61"/>
    </row>
    <row r="62" spans="1:34" x14ac:dyDescent="0.2">
      <c r="A62" s="655"/>
      <c r="B62" s="655"/>
      <c r="C62"/>
      <c r="D62" s="655"/>
      <c r="E62" s="655"/>
      <c r="F62" s="655" t="str">
        <f>LEFT(AllDaqbookOffsets[[#This Row],[traceability_no]],2)</f>
        <v>J1</v>
      </c>
      <c r="N62" s="456"/>
      <c r="O62"/>
      <c r="W62" t="s">
        <v>501</v>
      </c>
      <c r="X62" t="s">
        <v>168</v>
      </c>
      <c r="Z62" s="460" t="str">
        <v>J115</v>
      </c>
      <c r="AA62" s="194" t="str">
        <v>J111-J120</v>
      </c>
      <c r="AB62"/>
      <c r="AG62" s="69" t="str">
        <v>J115</v>
      </c>
      <c r="AH62"/>
    </row>
    <row r="63" spans="1:34" x14ac:dyDescent="0.2">
      <c r="A63" s="655"/>
      <c r="B63" s="655"/>
      <c r="C63"/>
      <c r="D63" s="655"/>
      <c r="E63" s="655"/>
      <c r="F63" s="655" t="str">
        <f>LEFT(AllDaqbookOffsets[[#This Row],[traceability_no]],2)</f>
        <v>J1</v>
      </c>
      <c r="N63" s="456"/>
      <c r="O63"/>
      <c r="W63" t="s">
        <v>502</v>
      </c>
      <c r="X63" t="s">
        <v>168</v>
      </c>
      <c r="Z63" s="460" t="str">
        <v>J116</v>
      </c>
      <c r="AA63" s="194" t="str">
        <v>J111-J120</v>
      </c>
      <c r="AB63"/>
      <c r="AG63" s="69" t="str">
        <v>J116</v>
      </c>
      <c r="AH63"/>
    </row>
    <row r="64" spans="1:34" x14ac:dyDescent="0.2">
      <c r="A64" s="655"/>
      <c r="B64" s="655"/>
      <c r="C64"/>
      <c r="D64" s="655"/>
      <c r="E64" s="655"/>
      <c r="F64" s="655" t="str">
        <f>LEFT(AllDaqbookOffsets[[#This Row],[traceability_no]],2)</f>
        <v>J1</v>
      </c>
      <c r="N64" s="456"/>
      <c r="O64"/>
      <c r="W64" t="s">
        <v>503</v>
      </c>
      <c r="X64" t="s">
        <v>168</v>
      </c>
      <c r="Z64" s="460" t="str">
        <v>J117</v>
      </c>
      <c r="AA64" s="194" t="str">
        <v>J111-J120</v>
      </c>
      <c r="AB64"/>
      <c r="AG64" s="69" t="str">
        <v>J117</v>
      </c>
      <c r="AH64"/>
    </row>
    <row r="65" spans="1:34" x14ac:dyDescent="0.2">
      <c r="A65" s="655"/>
      <c r="B65" s="655"/>
      <c r="C65"/>
      <c r="D65" s="655"/>
      <c r="E65" s="655"/>
      <c r="F65" s="655" t="str">
        <f>LEFT(AllDaqbookOffsets[[#This Row],[traceability_no]],2)</f>
        <v>J1</v>
      </c>
      <c r="N65" s="456"/>
      <c r="O65"/>
      <c r="W65" t="s">
        <v>504</v>
      </c>
      <c r="X65" t="s">
        <v>168</v>
      </c>
      <c r="Z65" s="460" t="str">
        <v>J118</v>
      </c>
      <c r="AA65" s="194" t="str">
        <v>J111-J120</v>
      </c>
      <c r="AB65"/>
      <c r="AG65" s="69" t="str">
        <v>J118</v>
      </c>
      <c r="AH65"/>
    </row>
    <row r="66" spans="1:34" x14ac:dyDescent="0.2">
      <c r="A66" s="655"/>
      <c r="B66" s="655"/>
      <c r="C66"/>
      <c r="D66" s="655"/>
      <c r="E66" s="655"/>
      <c r="F66" s="655" t="str">
        <f>LEFT(AllDaqbookOffsets[[#This Row],[traceability_no]],2)</f>
        <v>J1</v>
      </c>
      <c r="N66" s="456"/>
      <c r="O66"/>
      <c r="W66" t="s">
        <v>505</v>
      </c>
      <c r="X66" t="s">
        <v>168</v>
      </c>
      <c r="Z66" s="460" t="str">
        <v>J119</v>
      </c>
      <c r="AA66" s="194" t="str">
        <v>J111-J120</v>
      </c>
      <c r="AB66"/>
      <c r="AG66" s="69" t="str">
        <v>J119</v>
      </c>
      <c r="AH66"/>
    </row>
    <row r="67" spans="1:34" x14ac:dyDescent="0.2">
      <c r="A67" s="655"/>
      <c r="B67" s="655"/>
      <c r="C67"/>
      <c r="D67" s="655"/>
      <c r="E67" s="655"/>
      <c r="F67" s="655" t="str">
        <f>LEFT(AllDaqbookOffsets[[#This Row],[traceability_no]],2)</f>
        <v>J1</v>
      </c>
      <c r="N67" s="456"/>
      <c r="O67"/>
      <c r="W67" t="s">
        <v>506</v>
      </c>
      <c r="X67" t="s">
        <v>168</v>
      </c>
      <c r="Z67" s="460" t="str">
        <v>J12</v>
      </c>
      <c r="AA67" s="194" t="str">
        <v>J01-J24</v>
      </c>
      <c r="AB67"/>
      <c r="AG67" s="69" t="str">
        <v>J12</v>
      </c>
      <c r="AH67"/>
    </row>
    <row r="68" spans="1:34" x14ac:dyDescent="0.2">
      <c r="A68" s="655"/>
      <c r="B68" s="655"/>
      <c r="C68"/>
      <c r="D68" s="655"/>
      <c r="E68" s="655"/>
      <c r="F68" s="655" t="str">
        <f>LEFT(AllDaqbookOffsets[[#This Row],[traceability_no]],2)</f>
        <v>J1</v>
      </c>
      <c r="N68" s="456"/>
      <c r="O68"/>
      <c r="W68" t="s">
        <v>507</v>
      </c>
      <c r="X68" t="s">
        <v>168</v>
      </c>
      <c r="Z68" s="460" t="str">
        <v>J120</v>
      </c>
      <c r="AA68" s="194" t="str">
        <v>J111-J120</v>
      </c>
      <c r="AB68"/>
      <c r="AG68" s="69" t="str">
        <v>J120</v>
      </c>
      <c r="AH68"/>
    </row>
    <row r="69" spans="1:34" x14ac:dyDescent="0.2">
      <c r="A69" s="655"/>
      <c r="B69" s="655"/>
      <c r="C69"/>
      <c r="D69" s="655"/>
      <c r="E69" s="655"/>
      <c r="F69" s="655" t="str">
        <f>LEFT(AllDaqbookOffsets[[#This Row],[traceability_no]],2)</f>
        <v>J1</v>
      </c>
      <c r="N69" s="456"/>
      <c r="O69"/>
      <c r="W69" t="s">
        <v>508</v>
      </c>
      <c r="X69" t="s">
        <v>168</v>
      </c>
      <c r="Z69" s="460" t="str">
        <v>J13</v>
      </c>
      <c r="AA69" s="194" t="str">
        <v>J01-J24</v>
      </c>
      <c r="AB69"/>
      <c r="AG69" s="69" t="str">
        <v>J13</v>
      </c>
      <c r="AH69"/>
    </row>
    <row r="70" spans="1:34" x14ac:dyDescent="0.2">
      <c r="A70" s="655"/>
      <c r="B70" s="655"/>
      <c r="C70"/>
      <c r="D70" s="655"/>
      <c r="E70" s="655"/>
      <c r="F70" s="655" t="str">
        <f>LEFT(AllDaqbookOffsets[[#This Row],[traceability_no]],2)</f>
        <v>J1</v>
      </c>
      <c r="N70" s="456"/>
      <c r="O70"/>
      <c r="W70" t="s">
        <v>509</v>
      </c>
      <c r="X70" t="s">
        <v>168</v>
      </c>
      <c r="Z70" s="460" t="str">
        <v>J14</v>
      </c>
      <c r="AA70" s="194" t="str">
        <v>J01-J24</v>
      </c>
      <c r="AB70"/>
      <c r="AG70" s="69" t="str">
        <v>J14</v>
      </c>
      <c r="AH70"/>
    </row>
    <row r="71" spans="1:34" x14ac:dyDescent="0.2">
      <c r="A71" s="655"/>
      <c r="B71" s="655"/>
      <c r="C71"/>
      <c r="D71" s="655"/>
      <c r="E71" s="655"/>
      <c r="F71" s="655" t="str">
        <f>LEFT(AllDaqbookOffsets[[#This Row],[traceability_no]],2)</f>
        <v>J1</v>
      </c>
      <c r="N71" s="456"/>
      <c r="O71"/>
      <c r="W71" t="s">
        <v>510</v>
      </c>
      <c r="X71" t="s">
        <v>168</v>
      </c>
      <c r="Z71" s="460" t="str">
        <v>J15</v>
      </c>
      <c r="AA71" s="194" t="str">
        <v>J01-J24</v>
      </c>
      <c r="AB71"/>
      <c r="AG71" s="69" t="str">
        <v>J15</v>
      </c>
      <c r="AH71"/>
    </row>
    <row r="72" spans="1:34" x14ac:dyDescent="0.2">
      <c r="A72" s="655"/>
      <c r="B72" s="655"/>
      <c r="C72"/>
      <c r="D72" s="655"/>
      <c r="E72" s="655"/>
      <c r="F72" s="655" t="str">
        <f>LEFT(AllDaqbookOffsets[[#This Row],[traceability_no]],2)</f>
        <v>J1</v>
      </c>
      <c r="N72" s="456"/>
      <c r="O72"/>
      <c r="W72" t="s">
        <v>511</v>
      </c>
      <c r="X72" t="s">
        <v>168</v>
      </c>
      <c r="Z72" s="460" t="str">
        <v>J16</v>
      </c>
      <c r="AA72" s="194" t="str">
        <v>J01-J24</v>
      </c>
      <c r="AB72"/>
      <c r="AG72" s="69" t="str">
        <v>J16</v>
      </c>
      <c r="AH72"/>
    </row>
    <row r="73" spans="1:34" x14ac:dyDescent="0.2">
      <c r="A73" s="655"/>
      <c r="B73" s="655"/>
      <c r="C73"/>
      <c r="D73" s="655"/>
      <c r="E73" s="655"/>
      <c r="F73" s="655" t="str">
        <f>LEFT(AllDaqbookOffsets[[#This Row],[traceability_no]],2)</f>
        <v>J1</v>
      </c>
      <c r="N73" s="456"/>
      <c r="O73"/>
      <c r="W73" t="s">
        <v>512</v>
      </c>
      <c r="X73" t="s">
        <v>168</v>
      </c>
      <c r="Z73" s="460" t="str">
        <v>J17</v>
      </c>
      <c r="AA73" s="194" t="str">
        <v>J01-J24</v>
      </c>
      <c r="AB73"/>
      <c r="AG73" s="69" t="str">
        <v>J17</v>
      </c>
      <c r="AH73"/>
    </row>
    <row r="74" spans="1:34" x14ac:dyDescent="0.2">
      <c r="A74" s="655"/>
      <c r="B74" s="655"/>
      <c r="C74"/>
      <c r="D74" s="655"/>
      <c r="E74" s="655"/>
      <c r="F74" s="655" t="str">
        <f>LEFT(AllDaqbookOffsets[[#This Row],[traceability_no]],2)</f>
        <v>J1</v>
      </c>
      <c r="N74" s="456"/>
      <c r="O74"/>
      <c r="W74" t="s">
        <v>513</v>
      </c>
      <c r="X74" t="s">
        <v>169</v>
      </c>
      <c r="Z74" s="460" t="str">
        <v>J18</v>
      </c>
      <c r="AA74" s="194" t="str">
        <v>J01-J24</v>
      </c>
      <c r="AB74"/>
      <c r="AG74" s="69" t="str">
        <v>J18</v>
      </c>
      <c r="AH74"/>
    </row>
    <row r="75" spans="1:34" x14ac:dyDescent="0.2">
      <c r="A75" s="655"/>
      <c r="B75" s="655"/>
      <c r="C75"/>
      <c r="D75" s="655"/>
      <c r="E75" s="655"/>
      <c r="F75" s="655" t="str">
        <f>LEFT(AllDaqbookOffsets[[#This Row],[traceability_no]],2)</f>
        <v>J1</v>
      </c>
      <c r="N75" s="456"/>
      <c r="O75"/>
      <c r="W75" t="s">
        <v>514</v>
      </c>
      <c r="X75" t="s">
        <v>169</v>
      </c>
      <c r="Z75" s="460" t="str">
        <v>J19</v>
      </c>
      <c r="AA75" s="194" t="str">
        <v>J01-J24</v>
      </c>
      <c r="AB75"/>
      <c r="AG75" s="69" t="str">
        <v>J19</v>
      </c>
      <c r="AH75"/>
    </row>
    <row r="76" spans="1:34" x14ac:dyDescent="0.2">
      <c r="A76" s="655"/>
      <c r="B76" s="655"/>
      <c r="C76"/>
      <c r="D76" s="655"/>
      <c r="E76" s="655"/>
      <c r="F76" s="655" t="str">
        <f>LEFT(AllDaqbookOffsets[[#This Row],[traceability_no]],2)</f>
        <v>J1</v>
      </c>
      <c r="N76" s="456"/>
      <c r="O76"/>
      <c r="W76" t="s">
        <v>515</v>
      </c>
      <c r="X76" t="s">
        <v>169</v>
      </c>
      <c r="Z76" s="460" t="str">
        <v>J20</v>
      </c>
      <c r="AA76" s="194" t="str">
        <v>J01-J24</v>
      </c>
      <c r="AB76"/>
      <c r="AG76" s="69" t="str">
        <v>J20</v>
      </c>
      <c r="AH76"/>
    </row>
    <row r="77" spans="1:34" x14ac:dyDescent="0.2">
      <c r="A77" s="655"/>
      <c r="B77" s="655"/>
      <c r="C77"/>
      <c r="D77" s="655"/>
      <c r="E77" s="655"/>
      <c r="F77" s="655" t="str">
        <f>LEFT(AllDaqbookOffsets[[#This Row],[traceability_no]],2)</f>
        <v>J1</v>
      </c>
      <c r="N77" s="456"/>
      <c r="O77"/>
      <c r="W77" t="s">
        <v>516</v>
      </c>
      <c r="X77" t="s">
        <v>169</v>
      </c>
      <c r="Z77" s="460" t="str">
        <v>J201</v>
      </c>
      <c r="AA77" s="194" t="str">
        <v>J201-J214</v>
      </c>
      <c r="AB77"/>
      <c r="AG77" s="69" t="str">
        <v>J201</v>
      </c>
      <c r="AH77"/>
    </row>
    <row r="78" spans="1:34" x14ac:dyDescent="0.2">
      <c r="A78" s="655"/>
      <c r="B78" s="655"/>
      <c r="C78"/>
      <c r="D78" s="655"/>
      <c r="E78" s="655"/>
      <c r="F78" s="655" t="str">
        <f>LEFT(AllDaqbookOffsets[[#This Row],[traceability_no]],2)</f>
        <v>J1</v>
      </c>
      <c r="N78" s="456"/>
      <c r="O78"/>
      <c r="W78" t="s">
        <v>517</v>
      </c>
      <c r="X78" t="s">
        <v>169</v>
      </c>
      <c r="Z78" s="460" t="str">
        <v>J202</v>
      </c>
      <c r="AA78" s="194" t="str">
        <v>J201-J214</v>
      </c>
      <c r="AB78"/>
      <c r="AG78" s="69" t="str">
        <v>J202</v>
      </c>
      <c r="AH78"/>
    </row>
    <row r="79" spans="1:34" x14ac:dyDescent="0.2">
      <c r="A79" s="655"/>
      <c r="B79" s="655"/>
      <c r="C79"/>
      <c r="D79" s="655"/>
      <c r="E79" s="655"/>
      <c r="F79" s="655" t="str">
        <f>LEFT(AllDaqbookOffsets[[#This Row],[traceability_no]],2)</f>
        <v>J1</v>
      </c>
      <c r="N79" s="456"/>
      <c r="O79"/>
      <c r="W79" t="s">
        <v>518</v>
      </c>
      <c r="X79" t="s">
        <v>169</v>
      </c>
      <c r="Z79" s="460" t="str">
        <v>J203</v>
      </c>
      <c r="AA79" s="194" t="str">
        <v>J201-J214</v>
      </c>
      <c r="AB79"/>
      <c r="AG79" s="69" t="str">
        <v>J203</v>
      </c>
      <c r="AH79"/>
    </row>
    <row r="80" spans="1:34" x14ac:dyDescent="0.2">
      <c r="A80" s="655"/>
      <c r="B80" s="655"/>
      <c r="C80"/>
      <c r="D80" s="655"/>
      <c r="E80" s="655"/>
      <c r="F80" s="655" t="str">
        <f>LEFT(AllDaqbookOffsets[[#This Row],[traceability_no]],2)</f>
        <v>J1</v>
      </c>
      <c r="N80" s="456"/>
      <c r="O80"/>
      <c r="W80" t="s">
        <v>519</v>
      </c>
      <c r="X80" t="s">
        <v>169</v>
      </c>
      <c r="Z80" s="460" t="str">
        <v>J204</v>
      </c>
      <c r="AA80" s="194" t="str">
        <v>J201-J214</v>
      </c>
      <c r="AB80"/>
      <c r="AG80" s="69" t="str">
        <v>J204</v>
      </c>
      <c r="AH80"/>
    </row>
    <row r="81" spans="1:34" x14ac:dyDescent="0.2">
      <c r="A81" s="655"/>
      <c r="B81" s="655"/>
      <c r="C81"/>
      <c r="D81" s="655"/>
      <c r="E81" s="655"/>
      <c r="F81" s="655" t="str">
        <f>LEFT(AllDaqbookOffsets[[#This Row],[traceability_no]],2)</f>
        <v>J1</v>
      </c>
      <c r="N81" s="456"/>
      <c r="O81"/>
      <c r="W81" t="s">
        <v>520</v>
      </c>
      <c r="X81" t="s">
        <v>169</v>
      </c>
      <c r="Z81" s="460" t="str">
        <v>J205</v>
      </c>
      <c r="AA81" s="194" t="str">
        <v>J201-J214</v>
      </c>
      <c r="AB81"/>
      <c r="AG81" s="69" t="str">
        <v>J205</v>
      </c>
      <c r="AH81"/>
    </row>
    <row r="82" spans="1:34" x14ac:dyDescent="0.2">
      <c r="A82" s="655"/>
      <c r="B82" s="655"/>
      <c r="C82"/>
      <c r="D82" s="655"/>
      <c r="E82" s="655"/>
      <c r="F82" s="655" t="str">
        <f>LEFT(AllDaqbookOffsets[[#This Row],[traceability_no]],2)</f>
        <v>J1</v>
      </c>
      <c r="N82" s="456"/>
      <c r="O82"/>
      <c r="W82" t="s">
        <v>521</v>
      </c>
      <c r="X82" t="s">
        <v>169</v>
      </c>
      <c r="Z82" s="460" t="str">
        <v>J206</v>
      </c>
      <c r="AA82" s="194" t="str">
        <v>J201-J214</v>
      </c>
      <c r="AB82"/>
      <c r="AG82" s="69" t="str">
        <v>J206</v>
      </c>
      <c r="AH82"/>
    </row>
    <row r="83" spans="1:34" x14ac:dyDescent="0.2">
      <c r="A83" s="655"/>
      <c r="B83" s="655"/>
      <c r="C83"/>
      <c r="D83" s="655"/>
      <c r="E83" s="655"/>
      <c r="F83" s="655" t="str">
        <f>LEFT(AllDaqbookOffsets[[#This Row],[traceability_no]],2)</f>
        <v>J1</v>
      </c>
      <c r="N83" s="456"/>
      <c r="O83"/>
      <c r="W83" t="s">
        <v>522</v>
      </c>
      <c r="X83" t="s">
        <v>169</v>
      </c>
      <c r="Z83" s="460" t="str">
        <v>J207</v>
      </c>
      <c r="AA83" s="194" t="str">
        <v>J201-J214</v>
      </c>
      <c r="AB83"/>
      <c r="AG83" s="69" t="str">
        <v>J207</v>
      </c>
      <c r="AH83"/>
    </row>
    <row r="84" spans="1:34" x14ac:dyDescent="0.2">
      <c r="A84" s="655"/>
      <c r="B84" s="655"/>
      <c r="C84"/>
      <c r="D84" s="655"/>
      <c r="E84" s="655"/>
      <c r="F84" s="655" t="str">
        <f>LEFT(AllDaqbookOffsets[[#This Row],[traceability_no]],2)</f>
        <v>J1</v>
      </c>
      <c r="N84" s="456"/>
      <c r="O84"/>
      <c r="W84" t="s">
        <v>523</v>
      </c>
      <c r="X84" t="s">
        <v>169</v>
      </c>
      <c r="Z84" s="460" t="str">
        <v>J208</v>
      </c>
      <c r="AA84" s="194" t="str">
        <v>J201-J214</v>
      </c>
      <c r="AB84"/>
      <c r="AG84" s="69" t="str">
        <v>J208</v>
      </c>
      <c r="AH84"/>
    </row>
    <row r="85" spans="1:34" x14ac:dyDescent="0.2">
      <c r="A85" s="655"/>
      <c r="B85" s="655"/>
      <c r="C85"/>
      <c r="D85" s="655"/>
      <c r="E85" s="655"/>
      <c r="F85" s="655" t="str">
        <f>LEFT(AllDaqbookOffsets[[#This Row],[traceability_no]],2)</f>
        <v>J1</v>
      </c>
      <c r="N85" s="456"/>
      <c r="O85"/>
      <c r="W85" t="s">
        <v>524</v>
      </c>
      <c r="X85" t="s">
        <v>169</v>
      </c>
      <c r="Z85" s="460" t="str">
        <v>J209</v>
      </c>
      <c r="AA85" s="194" t="str">
        <v>J201-J214</v>
      </c>
      <c r="AB85"/>
      <c r="AG85" s="69" t="str">
        <v>J209</v>
      </c>
      <c r="AH85"/>
    </row>
    <row r="86" spans="1:34" x14ac:dyDescent="0.2">
      <c r="A86" s="655"/>
      <c r="B86" s="655"/>
      <c r="C86"/>
      <c r="D86" s="655"/>
      <c r="E86" s="655"/>
      <c r="F86" s="655" t="str">
        <f>LEFT(AllDaqbookOffsets[[#This Row],[traceability_no]],2)</f>
        <v>J1</v>
      </c>
      <c r="N86" s="456"/>
      <c r="O86"/>
      <c r="W86" t="s">
        <v>525</v>
      </c>
      <c r="X86" t="s">
        <v>169</v>
      </c>
      <c r="Z86" s="460" t="str">
        <v>J21</v>
      </c>
      <c r="AA86" s="194" t="str">
        <v>J01-J24</v>
      </c>
      <c r="AB86"/>
      <c r="AG86" s="69" t="str">
        <v>J21</v>
      </c>
      <c r="AH86"/>
    </row>
    <row r="87" spans="1:34" x14ac:dyDescent="0.2">
      <c r="A87" s="655"/>
      <c r="B87" s="655"/>
      <c r="C87"/>
      <c r="D87" s="655"/>
      <c r="E87" s="655"/>
      <c r="F87" s="655" t="str">
        <f>LEFT(AllDaqbookOffsets[[#This Row],[traceability_no]],2)</f>
        <v>J1</v>
      </c>
      <c r="N87" s="456"/>
      <c r="O87"/>
      <c r="W87" t="s">
        <v>526</v>
      </c>
      <c r="X87" t="s">
        <v>169</v>
      </c>
      <c r="Z87" s="460" t="str">
        <v>J210</v>
      </c>
      <c r="AA87" s="194" t="str">
        <v>J201-J214</v>
      </c>
      <c r="AB87"/>
      <c r="AG87" s="69" t="str">
        <v>J210</v>
      </c>
      <c r="AH87"/>
    </row>
    <row r="88" spans="1:34" x14ac:dyDescent="0.2">
      <c r="A88" s="655"/>
      <c r="B88" s="655"/>
      <c r="C88"/>
      <c r="D88" s="655"/>
      <c r="E88" s="655"/>
      <c r="F88" s="655" t="str">
        <f>LEFT(AllDaqbookOffsets[[#This Row],[traceability_no]],2)</f>
        <v>J1</v>
      </c>
      <c r="N88" s="456"/>
      <c r="O88"/>
      <c r="W88" t="s">
        <v>527</v>
      </c>
      <c r="X88" t="s">
        <v>170</v>
      </c>
      <c r="Z88" s="460" t="str">
        <v>J211</v>
      </c>
      <c r="AA88" s="194" t="str">
        <v>J201-J214</v>
      </c>
      <c r="AB88"/>
      <c r="AG88" s="69" t="str">
        <v>J211</v>
      </c>
      <c r="AH88"/>
    </row>
    <row r="89" spans="1:34" x14ac:dyDescent="0.2">
      <c r="A89" s="655"/>
      <c r="B89" s="655"/>
      <c r="C89"/>
      <c r="D89" s="655"/>
      <c r="E89" s="655"/>
      <c r="F89" s="655" t="str">
        <f>LEFT(AllDaqbookOffsets[[#This Row],[traceability_no]],2)</f>
        <v>J1</v>
      </c>
      <c r="N89" s="456"/>
      <c r="O89"/>
      <c r="W89" t="s">
        <v>528</v>
      </c>
      <c r="X89" t="s">
        <v>170</v>
      </c>
      <c r="Z89" s="460" t="str">
        <v>J212</v>
      </c>
      <c r="AA89" s="194" t="str">
        <v>J201-J214</v>
      </c>
      <c r="AB89"/>
      <c r="AG89" s="69" t="str">
        <v>J212</v>
      </c>
      <c r="AH89"/>
    </row>
    <row r="90" spans="1:34" x14ac:dyDescent="0.2">
      <c r="A90" s="655"/>
      <c r="B90" s="655"/>
      <c r="C90"/>
      <c r="D90" s="655"/>
      <c r="E90" s="655"/>
      <c r="F90" s="655" t="str">
        <f>LEFT(AllDaqbookOffsets[[#This Row],[traceability_no]],2)</f>
        <v>J1</v>
      </c>
      <c r="N90" s="456"/>
      <c r="O90"/>
      <c r="W90" t="s">
        <v>529</v>
      </c>
      <c r="X90" t="s">
        <v>170</v>
      </c>
      <c r="Z90" s="460" t="str">
        <v>J213</v>
      </c>
      <c r="AA90" s="194" t="str">
        <v>J201-J214</v>
      </c>
      <c r="AB90"/>
      <c r="AG90" s="69" t="str">
        <v>J213</v>
      </c>
      <c r="AH90"/>
    </row>
    <row r="91" spans="1:34" x14ac:dyDescent="0.2">
      <c r="A91" s="655"/>
      <c r="B91" s="655"/>
      <c r="C91"/>
      <c r="D91" s="655"/>
      <c r="E91" s="655"/>
      <c r="F91" s="655" t="str">
        <f>LEFT(AllDaqbookOffsets[[#This Row],[traceability_no]],2)</f>
        <v>J1</v>
      </c>
      <c r="N91" s="456"/>
      <c r="O91"/>
      <c r="W91" t="s">
        <v>530</v>
      </c>
      <c r="X91" t="s">
        <v>170</v>
      </c>
      <c r="Z91" s="460" t="str">
        <v>J214</v>
      </c>
      <c r="AA91" s="194" t="str">
        <v>J201-J214</v>
      </c>
      <c r="AB91"/>
      <c r="AG91" s="69" t="str">
        <v>J214</v>
      </c>
      <c r="AH91"/>
    </row>
    <row r="92" spans="1:34" x14ac:dyDescent="0.2">
      <c r="A92" s="655"/>
      <c r="B92" s="655"/>
      <c r="C92"/>
      <c r="D92" s="655"/>
      <c r="E92" s="655"/>
      <c r="F92" s="655" t="str">
        <f>LEFT(AllDaqbookOffsets[[#This Row],[traceability_no]],2)</f>
        <v>J1</v>
      </c>
      <c r="N92" s="456"/>
      <c r="O92"/>
      <c r="W92" t="s">
        <v>531</v>
      </c>
      <c r="X92" t="s">
        <v>170</v>
      </c>
      <c r="Z92" s="460" t="str">
        <v>J22</v>
      </c>
      <c r="AA92" s="194" t="str">
        <v>J01-J24</v>
      </c>
      <c r="AB92"/>
      <c r="AG92" s="69" t="str">
        <v>J22</v>
      </c>
      <c r="AH92"/>
    </row>
    <row r="93" spans="1:34" x14ac:dyDescent="0.2">
      <c r="A93" s="655"/>
      <c r="B93" s="655"/>
      <c r="C93"/>
      <c r="D93" s="655"/>
      <c r="E93" s="655"/>
      <c r="F93" s="655" t="str">
        <f>LEFT(AllDaqbookOffsets[[#This Row],[traceability_no]],2)</f>
        <v>J1</v>
      </c>
      <c r="N93" s="456"/>
      <c r="O93"/>
      <c r="W93" t="s">
        <v>532</v>
      </c>
      <c r="X93" t="s">
        <v>170</v>
      </c>
      <c r="Z93" s="460" t="str">
        <v>J23</v>
      </c>
      <c r="AA93" s="194" t="str">
        <v>J01-J24</v>
      </c>
      <c r="AB93"/>
      <c r="AG93" s="69" t="str">
        <v>J23</v>
      </c>
      <c r="AH93"/>
    </row>
    <row r="94" spans="1:34" x14ac:dyDescent="0.2">
      <c r="A94" s="655"/>
      <c r="B94" s="655"/>
      <c r="C94"/>
      <c r="D94" s="655"/>
      <c r="E94" s="655"/>
      <c r="F94" s="655" t="str">
        <f>LEFT(AllDaqbookOffsets[[#This Row],[traceability_no]],2)</f>
        <v>J1</v>
      </c>
      <c r="N94" s="456"/>
      <c r="O94"/>
      <c r="W94" t="s">
        <v>533</v>
      </c>
      <c r="X94" t="s">
        <v>170</v>
      </c>
      <c r="Z94" s="460" t="str">
        <v>J24</v>
      </c>
      <c r="AA94" s="194" t="str">
        <v>J01-J24</v>
      </c>
      <c r="AB94"/>
      <c r="AG94" s="69" t="str">
        <v>J24</v>
      </c>
      <c r="AH94"/>
    </row>
    <row r="95" spans="1:34" x14ac:dyDescent="0.2">
      <c r="A95" s="655"/>
      <c r="B95" s="655"/>
      <c r="C95"/>
      <c r="D95" s="655"/>
      <c r="E95" s="655"/>
      <c r="F95" s="655" t="str">
        <f>LEFT(AllDaqbookOffsets[[#This Row],[traceability_no]],2)</f>
        <v>J1</v>
      </c>
      <c r="N95" s="456"/>
      <c r="O95"/>
      <c r="W95" t="s">
        <v>534</v>
      </c>
      <c r="X95" t="s">
        <v>170</v>
      </c>
      <c r="Z95" s="460" t="str">
        <v>J301</v>
      </c>
      <c r="AA95" s="194" t="str">
        <v>J301-J314</v>
      </c>
      <c r="AB95"/>
      <c r="AG95" s="69" t="str">
        <v>J301</v>
      </c>
      <c r="AH95"/>
    </row>
    <row r="96" spans="1:34" x14ac:dyDescent="0.2">
      <c r="A96" s="655"/>
      <c r="B96" s="655"/>
      <c r="C96"/>
      <c r="D96" s="655"/>
      <c r="E96" s="655"/>
      <c r="F96" s="655" t="str">
        <f>LEFT(AllDaqbookOffsets[[#This Row],[traceability_no]],2)</f>
        <v>J1</v>
      </c>
      <c r="N96" s="456"/>
      <c r="O96"/>
      <c r="W96" t="s">
        <v>535</v>
      </c>
      <c r="X96" t="s">
        <v>170</v>
      </c>
      <c r="Z96" s="460" t="str">
        <v>J302</v>
      </c>
      <c r="AA96" s="194" t="str">
        <v>J301-J314</v>
      </c>
      <c r="AB96"/>
      <c r="AG96" s="69" t="str">
        <v>J302</v>
      </c>
      <c r="AH96"/>
    </row>
    <row r="97" spans="1:34" x14ac:dyDescent="0.2">
      <c r="A97" s="655"/>
      <c r="B97" s="655"/>
      <c r="C97"/>
      <c r="D97" s="655"/>
      <c r="E97" s="655"/>
      <c r="F97" s="655" t="str">
        <f>LEFT(AllDaqbookOffsets[[#This Row],[traceability_no]],2)</f>
        <v>J1</v>
      </c>
      <c r="N97" s="456"/>
      <c r="O97"/>
      <c r="W97" t="s">
        <v>536</v>
      </c>
      <c r="X97" t="s">
        <v>170</v>
      </c>
      <c r="Z97" s="460" t="str">
        <v>J303</v>
      </c>
      <c r="AA97" s="194" t="str">
        <v>J301-J314</v>
      </c>
      <c r="AB97"/>
      <c r="AG97" s="69" t="str">
        <v>J303</v>
      </c>
      <c r="AH97"/>
    </row>
    <row r="98" spans="1:34" x14ac:dyDescent="0.2">
      <c r="A98" s="655"/>
      <c r="B98" s="655"/>
      <c r="C98"/>
      <c r="D98" s="655"/>
      <c r="E98" s="655"/>
      <c r="F98" s="655" t="str">
        <f>LEFT(AllDaqbookOffsets[[#This Row],[traceability_no]],2)</f>
        <v>J1</v>
      </c>
      <c r="N98" s="456"/>
      <c r="O98"/>
      <c r="W98" t="s">
        <v>537</v>
      </c>
      <c r="X98" t="s">
        <v>171</v>
      </c>
      <c r="Z98" s="460" t="str">
        <v>J304</v>
      </c>
      <c r="AA98" s="194" t="str">
        <v>J301-J314</v>
      </c>
      <c r="AB98"/>
      <c r="AG98" s="69" t="str">
        <v>J304</v>
      </c>
      <c r="AH98"/>
    </row>
    <row r="99" spans="1:34" x14ac:dyDescent="0.2">
      <c r="A99" s="655"/>
      <c r="B99" s="655"/>
      <c r="C99"/>
      <c r="D99" s="655"/>
      <c r="E99" s="655"/>
      <c r="F99" s="655" t="str">
        <f>LEFT(AllDaqbookOffsets[[#This Row],[traceability_no]],2)</f>
        <v>J1</v>
      </c>
      <c r="N99" s="456"/>
      <c r="O99"/>
      <c r="W99" t="s">
        <v>538</v>
      </c>
      <c r="X99" t="s">
        <v>171</v>
      </c>
      <c r="Z99" s="460" t="str">
        <v>J305</v>
      </c>
      <c r="AA99" s="194" t="str">
        <v>J301-J314</v>
      </c>
      <c r="AB99"/>
      <c r="AG99" s="69" t="str">
        <v>J305</v>
      </c>
      <c r="AH99"/>
    </row>
    <row r="100" spans="1:34" x14ac:dyDescent="0.2">
      <c r="A100" s="655"/>
      <c r="B100" s="655"/>
      <c r="C100"/>
      <c r="D100" s="655"/>
      <c r="E100" s="655"/>
      <c r="F100" s="655" t="str">
        <f>LEFT(AllDaqbookOffsets[[#This Row],[traceability_no]],2)</f>
        <v>J1</v>
      </c>
      <c r="N100" s="456"/>
      <c r="O100"/>
      <c r="W100" t="s">
        <v>539</v>
      </c>
      <c r="X100" t="s">
        <v>171</v>
      </c>
      <c r="Z100" s="460" t="str">
        <v>J306</v>
      </c>
      <c r="AA100" s="194" t="str">
        <v>J301-J314</v>
      </c>
      <c r="AB100"/>
      <c r="AG100" s="69" t="str">
        <v>J306</v>
      </c>
      <c r="AH100"/>
    </row>
    <row r="101" spans="1:34" x14ac:dyDescent="0.2">
      <c r="A101" s="655"/>
      <c r="B101" s="655"/>
      <c r="C101"/>
      <c r="D101" s="655"/>
      <c r="E101" s="655"/>
      <c r="F101" s="655" t="str">
        <f>LEFT(AllDaqbookOffsets[[#This Row],[traceability_no]],2)</f>
        <v>J1</v>
      </c>
      <c r="N101" s="456"/>
      <c r="O101"/>
      <c r="W101" t="s">
        <v>540</v>
      </c>
      <c r="X101" t="s">
        <v>171</v>
      </c>
      <c r="Z101" s="460" t="str">
        <v>J307</v>
      </c>
      <c r="AA101" s="194" t="str">
        <v>J301-J314</v>
      </c>
      <c r="AB101"/>
      <c r="AG101" s="69" t="str">
        <v>J307</v>
      </c>
      <c r="AH101"/>
    </row>
    <row r="102" spans="1:34" x14ac:dyDescent="0.2">
      <c r="A102" s="655"/>
      <c r="B102" s="655"/>
      <c r="C102"/>
      <c r="D102" s="655"/>
      <c r="E102" s="655"/>
      <c r="F102" s="655" t="str">
        <f>LEFT(AllDaqbookOffsets[[#This Row],[traceability_no]],2)</f>
        <v>J1</v>
      </c>
      <c r="N102" s="456"/>
      <c r="O102"/>
      <c r="W102" t="s">
        <v>541</v>
      </c>
      <c r="X102" t="s">
        <v>171</v>
      </c>
      <c r="Z102" s="460" t="str">
        <v>J308</v>
      </c>
      <c r="AA102" s="194" t="str">
        <v>J301-J314</v>
      </c>
      <c r="AB102"/>
      <c r="AG102" s="69" t="str">
        <v>J308</v>
      </c>
      <c r="AH102"/>
    </row>
    <row r="103" spans="1:34" x14ac:dyDescent="0.2">
      <c r="A103" s="655"/>
      <c r="B103" s="655"/>
      <c r="C103"/>
      <c r="D103" s="655"/>
      <c r="E103" s="655"/>
      <c r="F103" s="655" t="str">
        <f>LEFT(AllDaqbookOffsets[[#This Row],[traceability_no]],2)</f>
        <v>J1</v>
      </c>
      <c r="N103" s="456"/>
      <c r="O103"/>
      <c r="W103" t="s">
        <v>542</v>
      </c>
      <c r="X103" t="s">
        <v>171</v>
      </c>
      <c r="Z103" s="460" t="str">
        <v>J309</v>
      </c>
      <c r="AA103" s="194" t="str">
        <v>J301-J314</v>
      </c>
      <c r="AB103"/>
      <c r="AG103" s="69" t="str">
        <v>J309</v>
      </c>
      <c r="AH103"/>
    </row>
    <row r="104" spans="1:34" x14ac:dyDescent="0.2">
      <c r="A104" s="655"/>
      <c r="B104" s="655"/>
      <c r="C104"/>
      <c r="D104" s="655"/>
      <c r="E104" s="655"/>
      <c r="F104" s="655" t="str">
        <f>LEFT(AllDaqbookOffsets[[#This Row],[traceability_no]],2)</f>
        <v>J1</v>
      </c>
      <c r="N104" s="456"/>
      <c r="O104"/>
      <c r="W104" t="s">
        <v>543</v>
      </c>
      <c r="X104" t="s">
        <v>171</v>
      </c>
      <c r="Z104" s="460" t="str">
        <v>J310</v>
      </c>
      <c r="AA104" s="194" t="str">
        <v>J301-J314</v>
      </c>
      <c r="AB104"/>
      <c r="AG104" s="69" t="str">
        <v>J310</v>
      </c>
      <c r="AH104"/>
    </row>
    <row r="105" spans="1:34" x14ac:dyDescent="0.2">
      <c r="A105" s="655"/>
      <c r="B105" s="655"/>
      <c r="C105"/>
      <c r="D105" s="655"/>
      <c r="E105" s="655"/>
      <c r="F105" s="655" t="str">
        <f>LEFT(AllDaqbookOffsets[[#This Row],[traceability_no]],2)</f>
        <v>J1</v>
      </c>
      <c r="N105" s="456"/>
      <c r="O105"/>
      <c r="W105" t="s">
        <v>544</v>
      </c>
      <c r="X105" t="s">
        <v>171</v>
      </c>
      <c r="Z105" s="460" t="str">
        <v>J311</v>
      </c>
      <c r="AA105" s="194" t="str">
        <v>J301-J314</v>
      </c>
      <c r="AB105"/>
      <c r="AG105" s="69" t="str">
        <v>J311</v>
      </c>
      <c r="AH105"/>
    </row>
    <row r="106" spans="1:34" x14ac:dyDescent="0.2">
      <c r="A106" s="655"/>
      <c r="B106" s="655"/>
      <c r="C106"/>
      <c r="D106" s="655"/>
      <c r="E106" s="655"/>
      <c r="F106" s="655" t="str">
        <f>LEFT(AllDaqbookOffsets[[#This Row],[traceability_no]],2)</f>
        <v>J1</v>
      </c>
      <c r="N106" s="456"/>
      <c r="O106"/>
      <c r="W106" t="s">
        <v>545</v>
      </c>
      <c r="X106" t="s">
        <v>171</v>
      </c>
      <c r="Z106" s="460" t="str">
        <v>J312</v>
      </c>
      <c r="AA106" s="194" t="str">
        <v>J301-J314</v>
      </c>
      <c r="AB106"/>
      <c r="AG106" s="69" t="str">
        <v>J312</v>
      </c>
      <c r="AH106"/>
    </row>
    <row r="107" spans="1:34" x14ac:dyDescent="0.2">
      <c r="A107" s="655"/>
      <c r="B107" s="655"/>
      <c r="C107"/>
      <c r="D107" s="655"/>
      <c r="E107" s="655"/>
      <c r="F107" s="655" t="str">
        <f>LEFT(AllDaqbookOffsets[[#This Row],[traceability_no]],2)</f>
        <v>J1</v>
      </c>
      <c r="N107" s="456"/>
      <c r="O107"/>
      <c r="W107" t="s">
        <v>546</v>
      </c>
      <c r="X107" t="s">
        <v>171</v>
      </c>
      <c r="Z107" s="460" t="str">
        <v>J313</v>
      </c>
      <c r="AA107" s="194" t="str">
        <v>J301-J314</v>
      </c>
      <c r="AB107"/>
      <c r="AG107" s="69" t="str">
        <v>J313</v>
      </c>
      <c r="AH107"/>
    </row>
    <row r="108" spans="1:34" x14ac:dyDescent="0.2">
      <c r="A108" s="655"/>
      <c r="B108" s="655"/>
      <c r="C108"/>
      <c r="D108" s="655"/>
      <c r="E108" s="655"/>
      <c r="F108" s="655" t="str">
        <f>LEFT(AllDaqbookOffsets[[#This Row],[traceability_no]],2)</f>
        <v>J1</v>
      </c>
      <c r="N108" s="456"/>
      <c r="O108"/>
      <c r="W108" t="s">
        <v>547</v>
      </c>
      <c r="X108" t="s">
        <v>295</v>
      </c>
      <c r="Z108" s="460" t="str">
        <v>J314</v>
      </c>
      <c r="AA108" s="194" t="str">
        <v>J301-J314</v>
      </c>
      <c r="AB108"/>
      <c r="AG108" s="69" t="str">
        <v>J314</v>
      </c>
      <c r="AH108"/>
    </row>
    <row r="109" spans="1:34" x14ac:dyDescent="0.2">
      <c r="A109" s="655"/>
      <c r="B109" s="655"/>
      <c r="C109"/>
      <c r="D109" s="655"/>
      <c r="E109" s="655"/>
      <c r="F109" s="655" t="str">
        <f>LEFT(AllDaqbookOffsets[[#This Row],[traceability_no]],2)</f>
        <v>J1</v>
      </c>
      <c r="N109" s="456"/>
      <c r="O109"/>
      <c r="W109" t="s">
        <v>548</v>
      </c>
      <c r="X109" t="s">
        <v>295</v>
      </c>
      <c r="Z109" s="460" t="str">
        <v>J501</v>
      </c>
      <c r="AA109" s="194" t="str">
        <v>J501-J514</v>
      </c>
      <c r="AB109"/>
      <c r="AG109" s="69" t="str">
        <v>J501</v>
      </c>
      <c r="AH109"/>
    </row>
    <row r="110" spans="1:34" x14ac:dyDescent="0.2">
      <c r="A110" s="655"/>
      <c r="B110" s="655"/>
      <c r="C110"/>
      <c r="D110" s="655"/>
      <c r="E110" s="655"/>
      <c r="F110" s="655" t="str">
        <f>LEFT(AllDaqbookOffsets[[#This Row],[traceability_no]],2)</f>
        <v>J1</v>
      </c>
      <c r="N110" s="456"/>
      <c r="O110"/>
      <c r="W110" t="s">
        <v>549</v>
      </c>
      <c r="X110" t="s">
        <v>295</v>
      </c>
      <c r="Z110" s="460" t="str">
        <v>J502</v>
      </c>
      <c r="AA110" s="194" t="str">
        <v>J501-J514</v>
      </c>
      <c r="AB110"/>
      <c r="AG110" s="69" t="str">
        <v>J502</v>
      </c>
      <c r="AH110"/>
    </row>
    <row r="111" spans="1:34" x14ac:dyDescent="0.2">
      <c r="A111" s="655"/>
      <c r="B111" s="655"/>
      <c r="C111"/>
      <c r="D111" s="655"/>
      <c r="E111" s="655"/>
      <c r="F111" s="655" t="str">
        <f>LEFT(AllDaqbookOffsets[[#This Row],[traceability_no]],2)</f>
        <v>J1</v>
      </c>
      <c r="N111" s="456"/>
      <c r="O111"/>
      <c r="W111" t="s">
        <v>550</v>
      </c>
      <c r="X111" t="s">
        <v>295</v>
      </c>
      <c r="Z111" s="460" t="str">
        <v>J503</v>
      </c>
      <c r="AA111" s="194" t="str">
        <v>J501-J514</v>
      </c>
      <c r="AB111"/>
      <c r="AG111" s="69" t="str">
        <v>J503</v>
      </c>
      <c r="AH111"/>
    </row>
    <row r="112" spans="1:34" x14ac:dyDescent="0.2">
      <c r="A112" s="655"/>
      <c r="B112" s="655"/>
      <c r="C112"/>
      <c r="D112" s="655"/>
      <c r="E112" s="655"/>
      <c r="F112" s="655" t="str">
        <f>LEFT(AllDaqbookOffsets[[#This Row],[traceability_no]],2)</f>
        <v>J1</v>
      </c>
      <c r="N112" s="456"/>
      <c r="O112"/>
      <c r="W112" t="s">
        <v>551</v>
      </c>
      <c r="X112" t="s">
        <v>295</v>
      </c>
      <c r="Z112" s="460" t="str">
        <v>J504</v>
      </c>
      <c r="AA112" s="194" t="str">
        <v>J501-J514</v>
      </c>
      <c r="AB112"/>
      <c r="AG112" s="69" t="str">
        <v>J504</v>
      </c>
      <c r="AH112"/>
    </row>
    <row r="113" spans="1:34" x14ac:dyDescent="0.2">
      <c r="A113" s="655"/>
      <c r="B113" s="655"/>
      <c r="C113"/>
      <c r="D113" s="655"/>
      <c r="E113" s="655"/>
      <c r="F113" s="655" t="str">
        <f>LEFT(AllDaqbookOffsets[[#This Row],[traceability_no]],2)</f>
        <v>J1</v>
      </c>
      <c r="N113" s="456"/>
      <c r="O113"/>
      <c r="W113" t="s">
        <v>552</v>
      </c>
      <c r="X113" t="s">
        <v>295</v>
      </c>
      <c r="Z113" s="460" t="str">
        <v>J505</v>
      </c>
      <c r="AA113" s="194" t="str">
        <v>J501-J514</v>
      </c>
      <c r="AB113"/>
      <c r="AG113" s="69" t="str">
        <v>J505</v>
      </c>
      <c r="AH113"/>
    </row>
    <row r="114" spans="1:34" x14ac:dyDescent="0.2">
      <c r="A114" s="655"/>
      <c r="B114" s="655"/>
      <c r="C114"/>
      <c r="D114" s="655"/>
      <c r="E114" s="655"/>
      <c r="F114" s="655" t="str">
        <f>LEFT(AllDaqbookOffsets[[#This Row],[traceability_no]],2)</f>
        <v>J1</v>
      </c>
      <c r="N114" s="456"/>
      <c r="O114"/>
      <c r="W114" t="s">
        <v>553</v>
      </c>
      <c r="X114" t="s">
        <v>295</v>
      </c>
      <c r="Z114" s="460" t="str">
        <v>J506</v>
      </c>
      <c r="AA114" s="194" t="str">
        <v>J501-J514</v>
      </c>
      <c r="AB114"/>
      <c r="AG114" s="69" t="str">
        <v>J506</v>
      </c>
      <c r="AH114"/>
    </row>
    <row r="115" spans="1:34" x14ac:dyDescent="0.2">
      <c r="A115" s="655"/>
      <c r="B115" s="655"/>
      <c r="C115"/>
      <c r="D115" s="655"/>
      <c r="E115" s="655"/>
      <c r="F115" s="655" t="str">
        <f>LEFT(AllDaqbookOffsets[[#This Row],[traceability_no]],2)</f>
        <v>J1</v>
      </c>
      <c r="N115" s="456"/>
      <c r="O115"/>
      <c r="W115" t="s">
        <v>554</v>
      </c>
      <c r="X115" t="s">
        <v>295</v>
      </c>
      <c r="Z115" s="460" t="str">
        <v>J507</v>
      </c>
      <c r="AA115" s="194" t="str">
        <v>J501-J514</v>
      </c>
      <c r="AB115"/>
      <c r="AG115" s="69" t="str">
        <v>J507</v>
      </c>
      <c r="AH115"/>
    </row>
    <row r="116" spans="1:34" x14ac:dyDescent="0.2">
      <c r="A116" s="655"/>
      <c r="B116" s="655"/>
      <c r="C116"/>
      <c r="D116" s="655"/>
      <c r="E116" s="655"/>
      <c r="F116" s="655" t="str">
        <f>LEFT(AllDaqbookOffsets[[#This Row],[traceability_no]],2)</f>
        <v>J1</v>
      </c>
      <c r="N116" s="456"/>
      <c r="O116"/>
      <c r="W116" t="s">
        <v>555</v>
      </c>
      <c r="X116" t="s">
        <v>295</v>
      </c>
      <c r="Z116" s="460" t="str">
        <v>J508</v>
      </c>
      <c r="AA116" s="194" t="str">
        <v>J501-J514</v>
      </c>
      <c r="AB116"/>
      <c r="AG116" s="69" t="str">
        <v>J508</v>
      </c>
      <c r="AH116"/>
    </row>
    <row r="117" spans="1:34" x14ac:dyDescent="0.2">
      <c r="A117" s="655"/>
      <c r="B117" s="655"/>
      <c r="C117"/>
      <c r="D117" s="655"/>
      <c r="E117" s="655"/>
      <c r="F117" s="655" t="str">
        <f>LEFT(AllDaqbookOffsets[[#This Row],[traceability_no]],2)</f>
        <v>J1</v>
      </c>
      <c r="N117" s="456"/>
      <c r="O117"/>
      <c r="W117" t="s">
        <v>556</v>
      </c>
      <c r="X117" t="s">
        <v>295</v>
      </c>
      <c r="Z117" s="460" t="str">
        <v>J509</v>
      </c>
      <c r="AA117" s="194" t="str">
        <v>J501-J514</v>
      </c>
      <c r="AB117"/>
      <c r="AG117" s="69" t="str">
        <v>J509</v>
      </c>
      <c r="AH117"/>
    </row>
    <row r="118" spans="1:34" x14ac:dyDescent="0.2">
      <c r="A118" s="655"/>
      <c r="B118" s="655"/>
      <c r="C118"/>
      <c r="D118" s="655"/>
      <c r="E118" s="655"/>
      <c r="F118" s="655" t="str">
        <f>LEFT(AllDaqbookOffsets[[#This Row],[traceability_no]],2)</f>
        <v>J1</v>
      </c>
      <c r="N118" s="456"/>
      <c r="O118"/>
      <c r="W118" t="s">
        <v>563</v>
      </c>
      <c r="X118" t="s">
        <v>173</v>
      </c>
      <c r="Z118" s="460" t="str">
        <v>J510</v>
      </c>
      <c r="AA118" s="194" t="str">
        <v>J501-J514</v>
      </c>
      <c r="AB118"/>
      <c r="AG118" s="69" t="str">
        <v>J510</v>
      </c>
      <c r="AH118"/>
    </row>
    <row r="119" spans="1:34" x14ac:dyDescent="0.2">
      <c r="A119" s="655"/>
      <c r="B119" s="655"/>
      <c r="C119"/>
      <c r="D119" s="655"/>
      <c r="E119" s="655"/>
      <c r="F119" s="655" t="str">
        <f>LEFT(AllDaqbookOffsets[[#This Row],[traceability_no]],2)</f>
        <v>J1</v>
      </c>
      <c r="N119" s="456"/>
      <c r="O119"/>
      <c r="W119" t="s">
        <v>564</v>
      </c>
      <c r="X119" t="s">
        <v>173</v>
      </c>
      <c r="Z119" s="460" t="str">
        <v>J511</v>
      </c>
      <c r="AA119" s="194" t="str">
        <v>J501-J514</v>
      </c>
      <c r="AB119"/>
      <c r="AG119" s="69" t="str">
        <v>J511</v>
      </c>
      <c r="AH119"/>
    </row>
    <row r="120" spans="1:34" x14ac:dyDescent="0.2">
      <c r="A120" s="655"/>
      <c r="B120" s="655"/>
      <c r="C120"/>
      <c r="D120" s="655"/>
      <c r="E120" s="655"/>
      <c r="F120" s="655" t="str">
        <f>LEFT(AllDaqbookOffsets[[#This Row],[traceability_no]],2)</f>
        <v>J1</v>
      </c>
      <c r="N120" s="456"/>
      <c r="O120"/>
      <c r="W120" t="s">
        <v>565</v>
      </c>
      <c r="X120" t="s">
        <v>173</v>
      </c>
      <c r="Z120" s="460" t="str">
        <v>J512</v>
      </c>
      <c r="AA120" s="194" t="str">
        <v>J501-J514</v>
      </c>
      <c r="AB120"/>
      <c r="AG120" s="69" t="str">
        <v>J512</v>
      </c>
      <c r="AH120"/>
    </row>
    <row r="121" spans="1:34" x14ac:dyDescent="0.2">
      <c r="A121" s="655"/>
      <c r="B121" s="655"/>
      <c r="C121"/>
      <c r="D121" s="655"/>
      <c r="E121" s="655"/>
      <c r="F121" s="655" t="str">
        <f>LEFT(AllDaqbookOffsets[[#This Row],[traceability_no]],2)</f>
        <v>J1</v>
      </c>
      <c r="N121" s="456"/>
      <c r="O121"/>
      <c r="W121" t="s">
        <v>566</v>
      </c>
      <c r="X121" t="s">
        <v>173</v>
      </c>
      <c r="Z121" s="460" t="str">
        <v>J513</v>
      </c>
      <c r="AA121" s="194" t="str">
        <v>J501-J514</v>
      </c>
      <c r="AB121"/>
      <c r="AG121" s="69" t="str">
        <v>J513</v>
      </c>
      <c r="AH121"/>
    </row>
    <row r="122" spans="1:34" x14ac:dyDescent="0.2">
      <c r="A122" s="655"/>
      <c r="B122" s="655"/>
      <c r="C122"/>
      <c r="D122" s="655"/>
      <c r="E122" s="655"/>
      <c r="F122" s="655" t="str">
        <f>LEFT(AllDaqbookOffsets[[#This Row],[traceability_no]],2)</f>
        <v>J1</v>
      </c>
      <c r="N122" s="456"/>
      <c r="O122"/>
      <c r="W122" t="s">
        <v>567</v>
      </c>
      <c r="X122" t="s">
        <v>173</v>
      </c>
      <c r="Z122" s="460" t="str">
        <v>J514</v>
      </c>
      <c r="AA122" s="194" t="str">
        <v>J501-J514</v>
      </c>
      <c r="AB122"/>
      <c r="AG122" s="69" t="str">
        <v>J514</v>
      </c>
      <c r="AH122"/>
    </row>
    <row r="123" spans="1:34" x14ac:dyDescent="0.2">
      <c r="A123" s="655"/>
      <c r="B123" s="655"/>
      <c r="C123"/>
      <c r="D123" s="655"/>
      <c r="E123" s="655"/>
      <c r="F123" s="655" t="str">
        <f>LEFT(AllDaqbookOffsets[[#This Row],[traceability_no]],2)</f>
        <v>J1</v>
      </c>
      <c r="N123" s="456"/>
      <c r="O123"/>
      <c r="W123" t="s">
        <v>568</v>
      </c>
      <c r="X123" t="s">
        <v>173</v>
      </c>
      <c r="Z123" s="460" t="str">
        <v>J601</v>
      </c>
      <c r="AA123" s="194" t="str">
        <v>J601-J610</v>
      </c>
      <c r="AB123"/>
      <c r="AG123" s="69" t="str">
        <v>J601</v>
      </c>
      <c r="AH123"/>
    </row>
    <row r="124" spans="1:34" x14ac:dyDescent="0.2">
      <c r="A124" s="655"/>
      <c r="B124" s="655"/>
      <c r="C124"/>
      <c r="D124" s="655"/>
      <c r="E124" s="655"/>
      <c r="F124" s="655" t="str">
        <f>LEFT(AllDaqbookOffsets[[#This Row],[traceability_no]],2)</f>
        <v>J1</v>
      </c>
      <c r="N124" s="456"/>
      <c r="O124"/>
      <c r="W124" t="s">
        <v>569</v>
      </c>
      <c r="X124" t="s">
        <v>173</v>
      </c>
      <c r="Z124" s="460" t="str">
        <v>J602</v>
      </c>
      <c r="AA124" s="194" t="str">
        <v>J601-J610</v>
      </c>
      <c r="AB124"/>
      <c r="AG124" s="69" t="str">
        <v>J602</v>
      </c>
      <c r="AH124"/>
    </row>
    <row r="125" spans="1:34" x14ac:dyDescent="0.2">
      <c r="A125" s="655"/>
      <c r="B125" s="655"/>
      <c r="C125"/>
      <c r="D125" s="655"/>
      <c r="E125" s="655"/>
      <c r="F125" s="655" t="str">
        <f>LEFT(AllDaqbookOffsets[[#This Row],[traceability_no]],2)</f>
        <v>J1</v>
      </c>
      <c r="N125" s="456"/>
      <c r="O125"/>
      <c r="W125" t="s">
        <v>570</v>
      </c>
      <c r="X125" t="s">
        <v>173</v>
      </c>
      <c r="Z125" s="460" t="str">
        <v>J603</v>
      </c>
      <c r="AA125" s="194" t="str">
        <v>J601-J610</v>
      </c>
      <c r="AB125"/>
      <c r="AG125" s="69" t="str">
        <v>J603</v>
      </c>
      <c r="AH125"/>
    </row>
    <row r="126" spans="1:34" x14ac:dyDescent="0.2">
      <c r="A126" s="655"/>
      <c r="B126" s="655"/>
      <c r="C126"/>
      <c r="D126" s="655"/>
      <c r="E126" s="655"/>
      <c r="F126" s="655" t="str">
        <f>LEFT(AllDaqbookOffsets[[#This Row],[traceability_no]],2)</f>
        <v>J1</v>
      </c>
      <c r="N126" s="456"/>
      <c r="O126"/>
      <c r="W126" t="s">
        <v>571</v>
      </c>
      <c r="X126" t="s">
        <v>173</v>
      </c>
      <c r="Z126" s="460" t="str">
        <v>J604</v>
      </c>
      <c r="AA126" s="194" t="str">
        <v>J601-J610</v>
      </c>
      <c r="AB126"/>
      <c r="AG126" s="69" t="str">
        <v>J604</v>
      </c>
      <c r="AH126"/>
    </row>
    <row r="127" spans="1:34" x14ac:dyDescent="0.2">
      <c r="A127" s="655"/>
      <c r="B127" s="655"/>
      <c r="C127"/>
      <c r="D127" s="655"/>
      <c r="E127" s="655"/>
      <c r="F127" s="655" t="str">
        <f>LEFT(AllDaqbookOffsets[[#This Row],[traceability_no]],2)</f>
        <v>J1</v>
      </c>
      <c r="N127" s="456"/>
      <c r="O127"/>
      <c r="W127" t="s">
        <v>557</v>
      </c>
      <c r="X127" t="s">
        <v>295</v>
      </c>
      <c r="Z127" s="460" t="str">
        <v>J605</v>
      </c>
      <c r="AA127" s="194" t="str">
        <v>J601-J610</v>
      </c>
      <c r="AB127"/>
      <c r="AG127" s="69" t="str">
        <v>J605</v>
      </c>
      <c r="AH127"/>
    </row>
    <row r="128" spans="1:34" x14ac:dyDescent="0.2">
      <c r="A128" s="655"/>
      <c r="B128" s="655"/>
      <c r="C128"/>
      <c r="D128" s="655"/>
      <c r="E128" s="655"/>
      <c r="F128" s="655" t="str">
        <f>LEFT(AllDaqbookOffsets[[#This Row],[traceability_no]],2)</f>
        <v>J1</v>
      </c>
      <c r="N128" s="456"/>
      <c r="O128"/>
      <c r="W128" t="s">
        <v>572</v>
      </c>
      <c r="X128" t="s">
        <v>173</v>
      </c>
      <c r="Z128" s="460" t="str">
        <v>J606</v>
      </c>
      <c r="AA128" s="194" t="str">
        <v>J601-J610</v>
      </c>
      <c r="AB128"/>
      <c r="AG128" s="69" t="str">
        <v>J606</v>
      </c>
      <c r="AH128"/>
    </row>
    <row r="129" spans="1:34" x14ac:dyDescent="0.2">
      <c r="A129" s="655"/>
      <c r="B129" s="655"/>
      <c r="C129"/>
      <c r="D129" s="655"/>
      <c r="E129" s="655"/>
      <c r="F129" s="655" t="str">
        <f>LEFT(AllDaqbookOffsets[[#This Row],[traceability_no]],2)</f>
        <v>J1</v>
      </c>
      <c r="N129" s="456"/>
      <c r="O129"/>
      <c r="W129" t="s">
        <v>558</v>
      </c>
      <c r="X129" t="s">
        <v>295</v>
      </c>
      <c r="Z129" s="460" t="str">
        <v>J607</v>
      </c>
      <c r="AA129" s="194" t="str">
        <v>J601-J610</v>
      </c>
      <c r="AB129"/>
      <c r="AG129" s="69" t="str">
        <v>J607</v>
      </c>
      <c r="AH129"/>
    </row>
    <row r="130" spans="1:34" x14ac:dyDescent="0.2">
      <c r="A130" s="655"/>
      <c r="B130" s="655"/>
      <c r="C130"/>
      <c r="D130" s="655"/>
      <c r="E130" s="655"/>
      <c r="F130" s="655" t="str">
        <f>LEFT(AllDaqbookOffsets[[#This Row],[traceability_no]],2)</f>
        <v>J1</v>
      </c>
      <c r="N130" s="456"/>
      <c r="O130"/>
      <c r="W130" t="s">
        <v>559</v>
      </c>
      <c r="X130" t="s">
        <v>295</v>
      </c>
      <c r="Z130" s="460" t="str">
        <v>J608</v>
      </c>
      <c r="AA130" s="194" t="str">
        <v>J601-J610</v>
      </c>
      <c r="AB130"/>
      <c r="AG130" s="69" t="str">
        <v>J608</v>
      </c>
      <c r="AH130"/>
    </row>
    <row r="131" spans="1:34" x14ac:dyDescent="0.2">
      <c r="A131" s="655"/>
      <c r="B131" s="655"/>
      <c r="C131"/>
      <c r="D131" s="655"/>
      <c r="E131" s="655"/>
      <c r="F131" s="655" t="str">
        <f>LEFT(AllDaqbookOffsets[[#This Row],[traceability_no]],2)</f>
        <v>J1</v>
      </c>
      <c r="N131" s="456"/>
      <c r="O131"/>
      <c r="W131" t="s">
        <v>560</v>
      </c>
      <c r="X131" t="s">
        <v>295</v>
      </c>
      <c r="Z131" s="460" t="str">
        <v>J609</v>
      </c>
      <c r="AA131" s="194" t="str">
        <v>J601-J610</v>
      </c>
      <c r="AB131"/>
      <c r="AG131" s="69" t="str">
        <v>J609</v>
      </c>
      <c r="AH131"/>
    </row>
    <row r="132" spans="1:34" x14ac:dyDescent="0.2">
      <c r="A132" s="655"/>
      <c r="B132" s="655"/>
      <c r="C132"/>
      <c r="D132" s="655"/>
      <c r="E132" s="655"/>
      <c r="F132" s="655" t="str">
        <f>LEFT(AllDaqbookOffsets[[#This Row],[traceability_no]],2)</f>
        <v>J1</v>
      </c>
      <c r="N132" s="456"/>
      <c r="O132"/>
      <c r="W132" t="s">
        <v>561</v>
      </c>
      <c r="X132" t="s">
        <v>295</v>
      </c>
      <c r="Z132" s="460" t="str">
        <v>J610</v>
      </c>
      <c r="AA132" s="194" t="str">
        <v>J601-J610</v>
      </c>
      <c r="AB132"/>
      <c r="AG132" s="69" t="str">
        <v>J610</v>
      </c>
      <c r="AH132"/>
    </row>
    <row r="133" spans="1:34" x14ac:dyDescent="0.2">
      <c r="A133" s="655"/>
      <c r="B133" s="655"/>
      <c r="C133"/>
      <c r="D133" s="655"/>
      <c r="E133" s="655"/>
      <c r="F133" s="655" t="str">
        <f>LEFT(AllDaqbookOffsets[[#This Row],[traceability_no]],2)</f>
        <v>J1</v>
      </c>
      <c r="N133" s="456"/>
      <c r="O133"/>
      <c r="W133" t="s">
        <v>562</v>
      </c>
      <c r="X133" t="s">
        <v>295</v>
      </c>
      <c r="Z133" s="460" t="str">
        <v>J701</v>
      </c>
      <c r="AA133" s="194" t="str">
        <v>J701-J710</v>
      </c>
      <c r="AB133"/>
      <c r="AG133" s="69" t="str">
        <v>J701</v>
      </c>
      <c r="AH133"/>
    </row>
    <row r="134" spans="1:34" x14ac:dyDescent="0.2">
      <c r="A134" s="655"/>
      <c r="B134" s="655"/>
      <c r="C134"/>
      <c r="D134" s="655"/>
      <c r="E134" s="655"/>
      <c r="F134" s="655" t="str">
        <f>LEFT(AllDaqbookOffsets[[#This Row],[traceability_no]],2)</f>
        <v>J1</v>
      </c>
      <c r="N134" s="456"/>
      <c r="O134"/>
      <c r="W134" t="s">
        <v>573</v>
      </c>
      <c r="X134" t="s">
        <v>174</v>
      </c>
      <c r="Z134" s="460" t="str">
        <v>J702</v>
      </c>
      <c r="AA134" s="194" t="str">
        <v>J701-J710</v>
      </c>
      <c r="AB134"/>
      <c r="AG134" s="69" t="str">
        <v>J702</v>
      </c>
      <c r="AH134"/>
    </row>
    <row r="135" spans="1:34" x14ac:dyDescent="0.2">
      <c r="A135" s="655"/>
      <c r="B135" s="655"/>
      <c r="C135"/>
      <c r="D135" s="655"/>
      <c r="E135" s="655"/>
      <c r="F135" s="655" t="str">
        <f>LEFT(AllDaqbookOffsets[[#This Row],[traceability_no]],2)</f>
        <v>J1</v>
      </c>
      <c r="N135" s="456"/>
      <c r="O135"/>
      <c r="W135" t="s">
        <v>574</v>
      </c>
      <c r="X135" t="s">
        <v>174</v>
      </c>
      <c r="Z135" s="460" t="str">
        <v>J703</v>
      </c>
      <c r="AA135" s="194" t="str">
        <v>J701-J710</v>
      </c>
      <c r="AB135"/>
      <c r="AG135" s="69" t="str">
        <v>J703</v>
      </c>
      <c r="AH135"/>
    </row>
    <row r="136" spans="1:34" x14ac:dyDescent="0.2">
      <c r="A136" s="655"/>
      <c r="B136" s="655"/>
      <c r="C136"/>
      <c r="D136" s="655"/>
      <c r="E136" s="655"/>
      <c r="F136" s="655" t="str">
        <f>LEFT(AllDaqbookOffsets[[#This Row],[traceability_no]],2)</f>
        <v>J1</v>
      </c>
      <c r="N136" s="456"/>
      <c r="O136"/>
      <c r="W136" t="s">
        <v>575</v>
      </c>
      <c r="X136" t="s">
        <v>174</v>
      </c>
      <c r="Z136" s="460" t="str">
        <v>J704</v>
      </c>
      <c r="AA136" s="194" t="str">
        <v>J701-J710</v>
      </c>
      <c r="AB136"/>
      <c r="AG136" s="69" t="str">
        <v>J704</v>
      </c>
      <c r="AH136"/>
    </row>
    <row r="137" spans="1:34" x14ac:dyDescent="0.2">
      <c r="A137" s="655"/>
      <c r="B137" s="655"/>
      <c r="C137"/>
      <c r="D137" s="655"/>
      <c r="E137" s="655"/>
      <c r="F137" s="655" t="str">
        <f>LEFT(AllDaqbookOffsets[[#This Row],[traceability_no]],2)</f>
        <v>J1</v>
      </c>
      <c r="N137" s="456"/>
      <c r="O137"/>
      <c r="W137" t="s">
        <v>576</v>
      </c>
      <c r="X137" t="s">
        <v>174</v>
      </c>
      <c r="Z137" s="460" t="str">
        <v>J705</v>
      </c>
      <c r="AA137" s="194" t="str">
        <v>J701-J710</v>
      </c>
      <c r="AB137"/>
      <c r="AG137" s="69" t="str">
        <v>J705</v>
      </c>
      <c r="AH137"/>
    </row>
    <row r="138" spans="1:34" x14ac:dyDescent="0.2">
      <c r="A138" s="655"/>
      <c r="B138" s="655"/>
      <c r="C138"/>
      <c r="D138" s="655"/>
      <c r="E138" s="655"/>
      <c r="F138" s="655" t="str">
        <f>LEFT(AllDaqbookOffsets[[#This Row],[traceability_no]],2)</f>
        <v>J1</v>
      </c>
      <c r="N138" s="456"/>
      <c r="O138"/>
      <c r="W138" t="s">
        <v>577</v>
      </c>
      <c r="X138" t="s">
        <v>174</v>
      </c>
      <c r="Z138" s="460" t="str">
        <v>J706</v>
      </c>
      <c r="AA138" s="194" t="str">
        <v>J701-J710</v>
      </c>
      <c r="AB138"/>
      <c r="AG138" s="69" t="str">
        <v>J706</v>
      </c>
      <c r="AH138"/>
    </row>
    <row r="139" spans="1:34" x14ac:dyDescent="0.2">
      <c r="A139" s="655"/>
      <c r="B139" s="655"/>
      <c r="C139"/>
      <c r="D139" s="655"/>
      <c r="E139" s="655"/>
      <c r="F139" s="655" t="str">
        <f>LEFT(AllDaqbookOffsets[[#This Row],[traceability_no]],2)</f>
        <v>J1</v>
      </c>
      <c r="N139" s="456"/>
      <c r="O139"/>
      <c r="W139" t="s">
        <v>578</v>
      </c>
      <c r="X139" t="s">
        <v>174</v>
      </c>
      <c r="Z139" s="460" t="str">
        <v>J707</v>
      </c>
      <c r="AA139" s="194" t="str">
        <v>J701-J710</v>
      </c>
      <c r="AB139"/>
      <c r="AG139" s="69" t="str">
        <v>J707</v>
      </c>
      <c r="AH139"/>
    </row>
    <row r="140" spans="1:34" x14ac:dyDescent="0.2">
      <c r="A140" s="655"/>
      <c r="B140" s="655"/>
      <c r="C140"/>
      <c r="D140" s="655"/>
      <c r="E140" s="655"/>
      <c r="F140" s="655" t="str">
        <f>LEFT(AllDaqbookOffsets[[#This Row],[traceability_no]],2)</f>
        <v>J1</v>
      </c>
      <c r="N140" s="456"/>
      <c r="O140"/>
      <c r="W140" t="s">
        <v>579</v>
      </c>
      <c r="X140" t="s">
        <v>174</v>
      </c>
      <c r="Z140" s="460" t="str">
        <v>J708</v>
      </c>
      <c r="AA140" s="194" t="str">
        <v>J701-J710</v>
      </c>
      <c r="AB140"/>
      <c r="AG140" s="69" t="str">
        <v>J708</v>
      </c>
      <c r="AH140"/>
    </row>
    <row r="141" spans="1:34" x14ac:dyDescent="0.2">
      <c r="A141" s="655"/>
      <c r="B141" s="655"/>
      <c r="C141"/>
      <c r="D141" s="655"/>
      <c r="E141" s="655"/>
      <c r="F141" s="655" t="str">
        <f>LEFT(AllDaqbookOffsets[[#This Row],[traceability_no]],2)</f>
        <v>J1</v>
      </c>
      <c r="N141" s="456"/>
      <c r="O141"/>
      <c r="W141" t="s">
        <v>580</v>
      </c>
      <c r="X141" t="s">
        <v>174</v>
      </c>
      <c r="Z141" s="460" t="str">
        <v>J709</v>
      </c>
      <c r="AA141" s="194" t="str">
        <v>J701-J710</v>
      </c>
      <c r="AB141"/>
      <c r="AG141" s="69" t="str">
        <v>J709</v>
      </c>
      <c r="AH141"/>
    </row>
    <row r="142" spans="1:34" x14ac:dyDescent="0.2">
      <c r="A142" s="655"/>
      <c r="B142" s="655"/>
      <c r="C142"/>
      <c r="D142" s="655"/>
      <c r="E142" s="655"/>
      <c r="F142" s="655" t="str">
        <f>LEFT(AllDaqbookOffsets[[#This Row],[traceability_no]],2)</f>
        <v>J1</v>
      </c>
      <c r="N142" s="456"/>
      <c r="O142"/>
      <c r="W142" t="s">
        <v>581</v>
      </c>
      <c r="X142" t="s">
        <v>174</v>
      </c>
      <c r="Z142" s="460" t="str">
        <v>J710</v>
      </c>
      <c r="AA142" s="194" t="str">
        <v>J701-J710</v>
      </c>
      <c r="AB142"/>
      <c r="AG142" s="69" t="str">
        <v>J710</v>
      </c>
      <c r="AH142"/>
    </row>
    <row r="143" spans="1:34" x14ac:dyDescent="0.2">
      <c r="A143" s="655"/>
      <c r="B143" s="655"/>
      <c r="C143"/>
      <c r="D143" s="655"/>
      <c r="E143" s="655"/>
      <c r="F143" s="655" t="str">
        <f>LEFT(AllDaqbookOffsets[[#This Row],[traceability_no]],2)</f>
        <v>J1</v>
      </c>
      <c r="N143" s="456"/>
      <c r="O143"/>
      <c r="W143" t="s">
        <v>582</v>
      </c>
      <c r="X143" t="s">
        <v>174</v>
      </c>
      <c r="Z143" s="460" t="str">
        <v>K01</v>
      </c>
      <c r="AA143" s="194" t="str">
        <v>K01-K16</v>
      </c>
      <c r="AB143"/>
      <c r="AG143" s="69" t="str">
        <v>K01</v>
      </c>
      <c r="AH143"/>
    </row>
    <row r="144" spans="1:34" x14ac:dyDescent="0.2">
      <c r="A144" s="655"/>
      <c r="B144" s="655"/>
      <c r="C144"/>
      <c r="D144" s="655"/>
      <c r="E144" s="655"/>
      <c r="F144" s="655" t="str">
        <f>LEFT(AllDaqbookOffsets[[#This Row],[traceability_no]],2)</f>
        <v>J1</v>
      </c>
      <c r="N144" s="456"/>
      <c r="O144"/>
      <c r="W144" t="s">
        <v>583</v>
      </c>
      <c r="X144" t="s">
        <v>174</v>
      </c>
      <c r="Z144" s="460" t="str">
        <v>K02</v>
      </c>
      <c r="AA144" s="194" t="str">
        <v>K01-K16</v>
      </c>
      <c r="AB144"/>
      <c r="AG144" s="69" t="str">
        <v>K02</v>
      </c>
      <c r="AH144"/>
    </row>
    <row r="145" spans="1:34" x14ac:dyDescent="0.2">
      <c r="A145" s="655"/>
      <c r="B145" s="655"/>
      <c r="C145"/>
      <c r="D145" s="655"/>
      <c r="E145" s="655"/>
      <c r="F145" s="655" t="str">
        <f>LEFT(AllDaqbookOffsets[[#This Row],[traceability_no]],2)</f>
        <v>J1</v>
      </c>
      <c r="N145" s="456"/>
      <c r="O145"/>
      <c r="W145" t="s">
        <v>584</v>
      </c>
      <c r="X145" t="s">
        <v>174</v>
      </c>
      <c r="Z145" s="460" t="str">
        <v>K03</v>
      </c>
      <c r="AA145" s="194" t="str">
        <v>K01-K16</v>
      </c>
      <c r="AB145"/>
      <c r="AG145" s="69" t="str">
        <v>K03</v>
      </c>
      <c r="AH145"/>
    </row>
    <row r="146" spans="1:34" x14ac:dyDescent="0.2">
      <c r="A146" s="655"/>
      <c r="B146" s="655"/>
      <c r="C146"/>
      <c r="D146" s="655"/>
      <c r="E146" s="655"/>
      <c r="F146" s="655" t="str">
        <f>LEFT(AllDaqbookOffsets[[#This Row],[traceability_no]],2)</f>
        <v>J1</v>
      </c>
      <c r="N146" s="456"/>
      <c r="O146"/>
      <c r="W146" t="s">
        <v>585</v>
      </c>
      <c r="X146" t="s">
        <v>174</v>
      </c>
      <c r="Z146" s="460" t="str">
        <v>K04</v>
      </c>
      <c r="AA146" s="194" t="str">
        <v>K01-K16</v>
      </c>
      <c r="AB146"/>
      <c r="AG146" s="69" t="str">
        <v>K04</v>
      </c>
      <c r="AH146"/>
    </row>
    <row r="147" spans="1:34" x14ac:dyDescent="0.2">
      <c r="A147" s="655"/>
      <c r="B147" s="655"/>
      <c r="C147"/>
      <c r="D147" s="655"/>
      <c r="E147" s="655"/>
      <c r="F147" s="655" t="str">
        <f>LEFT(AllDaqbookOffsets[[#This Row],[traceability_no]],2)</f>
        <v>J1</v>
      </c>
      <c r="N147" s="456"/>
      <c r="O147"/>
      <c r="W147" t="s">
        <v>586</v>
      </c>
      <c r="X147" t="s">
        <v>174</v>
      </c>
      <c r="Z147" s="460" t="str">
        <v>K05</v>
      </c>
      <c r="AA147" s="194" t="str">
        <v>K01-K16</v>
      </c>
      <c r="AB147"/>
      <c r="AG147" s="69" t="str">
        <v>K05</v>
      </c>
      <c r="AH147"/>
    </row>
    <row r="148" spans="1:34" x14ac:dyDescent="0.2">
      <c r="A148" s="655"/>
      <c r="B148" s="655"/>
      <c r="C148"/>
      <c r="D148" s="655"/>
      <c r="E148" s="655"/>
      <c r="F148" s="655" t="str">
        <f>LEFT(AllDaqbookOffsets[[#This Row],[traceability_no]],2)</f>
        <v>J1</v>
      </c>
      <c r="N148" s="456"/>
      <c r="O148"/>
      <c r="W148" t="s">
        <v>587</v>
      </c>
      <c r="X148" t="s">
        <v>175</v>
      </c>
      <c r="Z148" s="460" t="str">
        <v>K06</v>
      </c>
      <c r="AA148" s="194" t="str">
        <v>K01-K16</v>
      </c>
      <c r="AB148"/>
      <c r="AG148" s="69" t="str">
        <v>K06</v>
      </c>
      <c r="AH148"/>
    </row>
    <row r="149" spans="1:34" x14ac:dyDescent="0.2">
      <c r="A149" s="655"/>
      <c r="B149" s="655"/>
      <c r="C149"/>
      <c r="D149" s="655"/>
      <c r="E149" s="655"/>
      <c r="F149" s="655" t="str">
        <f>LEFT(AllDaqbookOffsets[[#This Row],[traceability_no]],2)</f>
        <v>J1</v>
      </c>
      <c r="N149" s="456"/>
      <c r="O149"/>
      <c r="W149" t="s">
        <v>588</v>
      </c>
      <c r="X149" t="s">
        <v>175</v>
      </c>
      <c r="Z149" s="460" t="str">
        <v>K07</v>
      </c>
      <c r="AA149" s="194" t="str">
        <v>K01-K16</v>
      </c>
      <c r="AB149"/>
      <c r="AG149" s="69" t="str">
        <v>K07</v>
      </c>
      <c r="AH149"/>
    </row>
    <row r="150" spans="1:34" x14ac:dyDescent="0.2">
      <c r="A150" s="655"/>
      <c r="B150" s="655"/>
      <c r="C150"/>
      <c r="D150" s="655"/>
      <c r="E150" s="655"/>
      <c r="F150" s="655" t="str">
        <f>LEFT(AllDaqbookOffsets[[#This Row],[traceability_no]],2)</f>
        <v>J1</v>
      </c>
      <c r="N150" s="456"/>
      <c r="O150"/>
      <c r="W150" t="s">
        <v>589</v>
      </c>
      <c r="X150" t="s">
        <v>175</v>
      </c>
      <c r="Z150" s="460" t="str">
        <v>K08</v>
      </c>
      <c r="AA150" s="194" t="str">
        <v>K01-K16</v>
      </c>
      <c r="AB150"/>
      <c r="AG150" s="69" t="str">
        <v>K08</v>
      </c>
      <c r="AH150"/>
    </row>
    <row r="151" spans="1:34" x14ac:dyDescent="0.2">
      <c r="A151" s="655"/>
      <c r="B151" s="655"/>
      <c r="C151"/>
      <c r="D151" s="655"/>
      <c r="E151" s="655"/>
      <c r="F151" s="655" t="str">
        <f>LEFT(AllDaqbookOffsets[[#This Row],[traceability_no]],2)</f>
        <v>J1</v>
      </c>
      <c r="N151" s="456"/>
      <c r="O151"/>
      <c r="W151" t="s">
        <v>590</v>
      </c>
      <c r="X151" t="s">
        <v>175</v>
      </c>
      <c r="Z151" s="460" t="str">
        <v>K09</v>
      </c>
      <c r="AA151" s="194" t="str">
        <v>K01-K16</v>
      </c>
      <c r="AB151"/>
      <c r="AG151" s="69" t="str">
        <v>K09</v>
      </c>
      <c r="AH151"/>
    </row>
    <row r="152" spans="1:34" x14ac:dyDescent="0.2">
      <c r="A152" s="655"/>
      <c r="B152" s="655"/>
      <c r="C152"/>
      <c r="D152" s="655"/>
      <c r="E152" s="655"/>
      <c r="F152" s="655" t="str">
        <f>LEFT(AllDaqbookOffsets[[#This Row],[traceability_no]],2)</f>
        <v>J1</v>
      </c>
      <c r="N152" s="456"/>
      <c r="O152"/>
      <c r="W152" t="s">
        <v>591</v>
      </c>
      <c r="X152" t="s">
        <v>175</v>
      </c>
      <c r="Z152" s="460" t="str">
        <v>K10</v>
      </c>
      <c r="AA152" s="194" t="str">
        <v>K01-K16</v>
      </c>
      <c r="AB152"/>
      <c r="AG152" s="69" t="str">
        <v>K10</v>
      </c>
      <c r="AH152"/>
    </row>
    <row r="153" spans="1:34" x14ac:dyDescent="0.2">
      <c r="A153" s="655"/>
      <c r="B153" s="655"/>
      <c r="C153"/>
      <c r="D153" s="655"/>
      <c r="E153" s="655"/>
      <c r="F153" s="655" t="str">
        <f>LEFT(AllDaqbookOffsets[[#This Row],[traceability_no]],2)</f>
        <v>J1</v>
      </c>
      <c r="N153" s="456"/>
      <c r="O153"/>
      <c r="W153" t="s">
        <v>592</v>
      </c>
      <c r="X153" t="s">
        <v>175</v>
      </c>
      <c r="Z153" s="460" t="str">
        <v>K101</v>
      </c>
      <c r="AA153" s="194" t="str">
        <v>K101 - K110</v>
      </c>
      <c r="AB153"/>
      <c r="AG153" s="69" t="str">
        <v>K101</v>
      </c>
      <c r="AH153"/>
    </row>
    <row r="154" spans="1:34" x14ac:dyDescent="0.2">
      <c r="A154" s="655"/>
      <c r="B154" s="655"/>
      <c r="C154"/>
      <c r="D154" s="655"/>
      <c r="E154" s="655"/>
      <c r="F154" s="655" t="str">
        <f>LEFT(AllDaqbookOffsets[[#This Row],[traceability_no]],2)</f>
        <v>J1</v>
      </c>
      <c r="N154" s="456"/>
      <c r="O154"/>
      <c r="W154" t="s">
        <v>593</v>
      </c>
      <c r="X154" t="s">
        <v>175</v>
      </c>
      <c r="Z154" s="460" t="str">
        <v>K102</v>
      </c>
      <c r="AA154" s="194" t="str">
        <v>K101 - K110</v>
      </c>
      <c r="AB154"/>
      <c r="AG154" s="69" t="str">
        <v>K102</v>
      </c>
      <c r="AH154"/>
    </row>
    <row r="155" spans="1:34" x14ac:dyDescent="0.2">
      <c r="A155" s="655"/>
      <c r="B155" s="655"/>
      <c r="C155"/>
      <c r="D155" s="655"/>
      <c r="E155" s="655"/>
      <c r="F155" s="655" t="str">
        <f>LEFT(AllDaqbookOffsets[[#This Row],[traceability_no]],2)</f>
        <v>J1</v>
      </c>
      <c r="N155" s="456"/>
      <c r="O155"/>
      <c r="W155" t="s">
        <v>594</v>
      </c>
      <c r="X155" t="s">
        <v>175</v>
      </c>
      <c r="Z155" s="460" t="str">
        <v>K103</v>
      </c>
      <c r="AA155" s="194" t="str">
        <v>K101 - K110</v>
      </c>
      <c r="AB155"/>
      <c r="AG155" s="69" t="str">
        <v>K103</v>
      </c>
      <c r="AH155"/>
    </row>
    <row r="156" spans="1:34" x14ac:dyDescent="0.2">
      <c r="A156" s="655"/>
      <c r="B156" s="655"/>
      <c r="C156"/>
      <c r="D156" s="655"/>
      <c r="E156" s="655"/>
      <c r="F156" s="655" t="str">
        <f>LEFT(AllDaqbookOffsets[[#This Row],[traceability_no]],2)</f>
        <v>J1</v>
      </c>
      <c r="N156" s="456"/>
      <c r="O156"/>
      <c r="W156" t="s">
        <v>595</v>
      </c>
      <c r="X156" t="s">
        <v>175</v>
      </c>
      <c r="Z156" s="460" t="str">
        <v>K104</v>
      </c>
      <c r="AA156" s="194" t="str">
        <v>K101 - K110</v>
      </c>
      <c r="AB156"/>
      <c r="AG156" s="69" t="str">
        <v>K104</v>
      </c>
      <c r="AH156"/>
    </row>
    <row r="157" spans="1:34" x14ac:dyDescent="0.2">
      <c r="A157" s="655"/>
      <c r="B157" s="655"/>
      <c r="C157"/>
      <c r="D157" s="655"/>
      <c r="E157" s="655"/>
      <c r="F157" s="655" t="str">
        <f>LEFT(AllDaqbookOffsets[[#This Row],[traceability_no]],2)</f>
        <v>J1</v>
      </c>
      <c r="N157" s="456"/>
      <c r="O157"/>
      <c r="W157" t="s">
        <v>596</v>
      </c>
      <c r="X157" t="s">
        <v>175</v>
      </c>
      <c r="Z157" s="460" t="str">
        <v>K105</v>
      </c>
      <c r="AA157" s="194" t="str">
        <v>K101 - K110</v>
      </c>
      <c r="AB157"/>
      <c r="AG157" s="69" t="str">
        <v>K105</v>
      </c>
      <c r="AH157"/>
    </row>
    <row r="158" spans="1:34" x14ac:dyDescent="0.2">
      <c r="A158" s="655"/>
      <c r="B158" s="655"/>
      <c r="C158"/>
      <c r="D158" s="655"/>
      <c r="E158" s="655"/>
      <c r="F158" s="655" t="str">
        <f>LEFT(AllDaqbookOffsets[[#This Row],[traceability_no]],2)</f>
        <v>J1</v>
      </c>
      <c r="N158" s="456"/>
      <c r="O158"/>
      <c r="W158" t="s">
        <v>597</v>
      </c>
      <c r="X158" t="s">
        <v>175</v>
      </c>
      <c r="Z158" s="460" t="str">
        <v>K106</v>
      </c>
      <c r="AA158" s="194" t="str">
        <v>K101 - K110</v>
      </c>
      <c r="AB158"/>
      <c r="AG158" s="69" t="str">
        <v>K106</v>
      </c>
      <c r="AH158"/>
    </row>
    <row r="159" spans="1:34" x14ac:dyDescent="0.2">
      <c r="A159" s="655"/>
      <c r="B159" s="655"/>
      <c r="C159"/>
      <c r="D159" s="655"/>
      <c r="E159" s="655"/>
      <c r="F159" s="655" t="str">
        <f>LEFT(AllDaqbookOffsets[[#This Row],[traceability_no]],2)</f>
        <v>J1</v>
      </c>
      <c r="N159" s="456"/>
      <c r="O159"/>
      <c r="W159" t="s">
        <v>598</v>
      </c>
      <c r="X159" t="s">
        <v>175</v>
      </c>
      <c r="Z159" s="460" t="str">
        <v>K107</v>
      </c>
      <c r="AA159" s="194" t="str">
        <v>K101 - K110</v>
      </c>
      <c r="AB159"/>
      <c r="AG159" s="69" t="str">
        <v>K107</v>
      </c>
      <c r="AH159"/>
    </row>
    <row r="160" spans="1:34" x14ac:dyDescent="0.2">
      <c r="A160" s="655"/>
      <c r="B160" s="655"/>
      <c r="C160"/>
      <c r="D160" s="655"/>
      <c r="E160" s="655"/>
      <c r="F160" s="655" t="str">
        <f>LEFT(AllDaqbookOffsets[[#This Row],[traceability_no]],2)</f>
        <v>J1</v>
      </c>
      <c r="N160" s="456"/>
      <c r="O160"/>
      <c r="W160" t="s">
        <v>599</v>
      </c>
      <c r="X160" t="s">
        <v>175</v>
      </c>
      <c r="Z160" s="460" t="str">
        <v>K108</v>
      </c>
      <c r="AA160" s="194" t="str">
        <v>K101 - K110</v>
      </c>
      <c r="AB160"/>
      <c r="AG160" s="69" t="str">
        <v>K108</v>
      </c>
      <c r="AH160"/>
    </row>
    <row r="161" spans="1:34" x14ac:dyDescent="0.2">
      <c r="A161" s="655"/>
      <c r="B161" s="655"/>
      <c r="C161"/>
      <c r="D161" s="655"/>
      <c r="E161" s="655"/>
      <c r="F161" s="655" t="str">
        <f>LEFT(AllDaqbookOffsets[[#This Row],[traceability_no]],2)</f>
        <v>J1</v>
      </c>
      <c r="N161" s="456"/>
      <c r="O161"/>
      <c r="W161" t="s">
        <v>600</v>
      </c>
      <c r="X161" t="s">
        <v>175</v>
      </c>
      <c r="Z161" s="460" t="str">
        <v>K109</v>
      </c>
      <c r="AA161" s="194" t="str">
        <v>K101 - K110</v>
      </c>
      <c r="AB161"/>
      <c r="AG161" s="69" t="str">
        <v>K109</v>
      </c>
      <c r="AH161"/>
    </row>
    <row r="162" spans="1:34" x14ac:dyDescent="0.2">
      <c r="A162" s="655"/>
      <c r="B162" s="655"/>
      <c r="C162"/>
      <c r="D162" s="655"/>
      <c r="E162" s="655"/>
      <c r="F162" s="655" t="str">
        <f>LEFT(AllDaqbookOffsets[[#This Row],[traceability_no]],2)</f>
        <v>J1</v>
      </c>
      <c r="N162" s="456"/>
      <c r="O162"/>
      <c r="W162" t="s">
        <v>601</v>
      </c>
      <c r="X162" t="s">
        <v>176</v>
      </c>
      <c r="Z162" s="460" t="str">
        <v>K11</v>
      </c>
      <c r="AA162" s="194" t="str">
        <v>K01-K16</v>
      </c>
      <c r="AB162"/>
      <c r="AG162" s="69" t="str">
        <v>K11</v>
      </c>
      <c r="AH162"/>
    </row>
    <row r="163" spans="1:34" x14ac:dyDescent="0.2">
      <c r="A163" s="655"/>
      <c r="B163" s="655"/>
      <c r="C163"/>
      <c r="D163" s="655"/>
      <c r="E163" s="655"/>
      <c r="F163" s="655" t="str">
        <f>LEFT(AllDaqbookOffsets[[#This Row],[traceability_no]],2)</f>
        <v>J1</v>
      </c>
      <c r="N163" s="456"/>
      <c r="O163"/>
      <c r="W163" t="s">
        <v>602</v>
      </c>
      <c r="X163" t="s">
        <v>176</v>
      </c>
      <c r="Z163" s="460" t="str">
        <v>K110</v>
      </c>
      <c r="AA163" s="194" t="str">
        <v>K101 - K110</v>
      </c>
      <c r="AB163"/>
      <c r="AG163" s="69" t="str">
        <v>K110</v>
      </c>
      <c r="AH163"/>
    </row>
    <row r="164" spans="1:34" x14ac:dyDescent="0.2">
      <c r="A164" s="655"/>
      <c r="B164" s="655"/>
      <c r="C164"/>
      <c r="D164" s="655"/>
      <c r="E164" s="655"/>
      <c r="F164" s="655" t="str">
        <f>LEFT(AllDaqbookOffsets[[#This Row],[traceability_no]],2)</f>
        <v>J1</v>
      </c>
      <c r="N164" s="456"/>
      <c r="O164"/>
      <c r="W164" t="s">
        <v>603</v>
      </c>
      <c r="X164" t="s">
        <v>176</v>
      </c>
      <c r="Z164" s="460" t="str">
        <v>K12</v>
      </c>
      <c r="AA164" s="194" t="str">
        <v>K01-K16</v>
      </c>
      <c r="AB164"/>
      <c r="AG164" s="69" t="str">
        <v>K12</v>
      </c>
      <c r="AH164"/>
    </row>
    <row r="165" spans="1:34" x14ac:dyDescent="0.2">
      <c r="A165" s="655"/>
      <c r="B165" s="655"/>
      <c r="C165"/>
      <c r="D165" s="655"/>
      <c r="E165" s="655"/>
      <c r="F165" s="655" t="str">
        <f>LEFT(AllDaqbookOffsets[[#This Row],[traceability_no]],2)</f>
        <v>J1</v>
      </c>
      <c r="N165" s="456"/>
      <c r="O165"/>
      <c r="W165" t="s">
        <v>604</v>
      </c>
      <c r="X165" t="s">
        <v>176</v>
      </c>
      <c r="Z165" s="460" t="str">
        <v>K13</v>
      </c>
      <c r="AA165" s="194" t="str">
        <v>K01-K16</v>
      </c>
      <c r="AB165"/>
      <c r="AG165" s="69" t="str">
        <v>K13</v>
      </c>
      <c r="AH165"/>
    </row>
    <row r="166" spans="1:34" x14ac:dyDescent="0.2">
      <c r="A166" s="655"/>
      <c r="B166" s="655"/>
      <c r="C166"/>
      <c r="D166" s="655"/>
      <c r="E166" s="655"/>
      <c r="F166" s="655" t="str">
        <f>LEFT(AllDaqbookOffsets[[#This Row],[traceability_no]],2)</f>
        <v>J1</v>
      </c>
      <c r="N166" s="456"/>
      <c r="O166"/>
      <c r="W166" t="s">
        <v>605</v>
      </c>
      <c r="X166" t="s">
        <v>176</v>
      </c>
      <c r="Z166" s="460" t="str">
        <v>K14</v>
      </c>
      <c r="AA166" s="194" t="str">
        <v>K01-K16</v>
      </c>
      <c r="AB166"/>
      <c r="AG166" s="69" t="str">
        <v>K14</v>
      </c>
      <c r="AH166"/>
    </row>
    <row r="167" spans="1:34" x14ac:dyDescent="0.2">
      <c r="A167" s="655"/>
      <c r="B167" s="655"/>
      <c r="C167"/>
      <c r="D167" s="655"/>
      <c r="E167" s="655"/>
      <c r="F167" s="655" t="str">
        <f>LEFT(AllDaqbookOffsets[[#This Row],[traceability_no]],2)</f>
        <v>J1</v>
      </c>
      <c r="N167" s="456"/>
      <c r="O167"/>
      <c r="W167" t="s">
        <v>606</v>
      </c>
      <c r="X167" t="s">
        <v>176</v>
      </c>
      <c r="Z167" s="460" t="str">
        <v>K15</v>
      </c>
      <c r="AA167" s="194" t="str">
        <v>K01-K16</v>
      </c>
      <c r="AB167"/>
      <c r="AG167" s="69" t="str">
        <v>K15</v>
      </c>
      <c r="AH167"/>
    </row>
    <row r="168" spans="1:34" x14ac:dyDescent="0.2">
      <c r="A168" s="655"/>
      <c r="B168" s="655"/>
      <c r="C168"/>
      <c r="D168" s="655"/>
      <c r="E168" s="655"/>
      <c r="F168" s="655" t="str">
        <f>LEFT(AllDaqbookOffsets[[#This Row],[traceability_no]],2)</f>
        <v>J1</v>
      </c>
      <c r="N168" s="456"/>
      <c r="O168"/>
      <c r="W168" t="s">
        <v>607</v>
      </c>
      <c r="X168" t="s">
        <v>176</v>
      </c>
      <c r="Z168" s="460" t="str">
        <v>K16</v>
      </c>
      <c r="AA168" s="194" t="str">
        <v>K01-K16</v>
      </c>
      <c r="AB168"/>
      <c r="AG168" s="69" t="str">
        <v>K16</v>
      </c>
      <c r="AH168"/>
    </row>
    <row r="169" spans="1:34" x14ac:dyDescent="0.2">
      <c r="A169" s="655"/>
      <c r="B169" s="655"/>
      <c r="C169"/>
      <c r="D169" s="655"/>
      <c r="E169" s="655"/>
      <c r="F169" s="655" t="str">
        <f>LEFT(AllDaqbookOffsets[[#This Row],[traceability_no]],2)</f>
        <v>J1</v>
      </c>
      <c r="N169" s="456"/>
      <c r="O169"/>
      <c r="W169" t="s">
        <v>608</v>
      </c>
      <c r="X169" t="s">
        <v>176</v>
      </c>
      <c r="Z169" s="460" t="str">
        <v>K201</v>
      </c>
      <c r="AA169" s="194" t="str">
        <v>K201-K214</v>
      </c>
      <c r="AB169"/>
      <c r="AG169" s="69" t="str">
        <v>K201</v>
      </c>
      <c r="AH169"/>
    </row>
    <row r="170" spans="1:34" x14ac:dyDescent="0.2">
      <c r="A170" s="655"/>
      <c r="B170" s="655"/>
      <c r="C170"/>
      <c r="D170" s="655"/>
      <c r="E170" s="655"/>
      <c r="F170" s="655" t="str">
        <f>LEFT(AllDaqbookOffsets[[#This Row],[traceability_no]],2)</f>
        <v>J1</v>
      </c>
      <c r="N170" s="456"/>
      <c r="O170"/>
      <c r="W170" t="s">
        <v>609</v>
      </c>
      <c r="X170" t="s">
        <v>176</v>
      </c>
      <c r="Z170" s="460" t="str">
        <v>K202</v>
      </c>
      <c r="AA170" s="194" t="str">
        <v>K201-K214</v>
      </c>
      <c r="AB170"/>
      <c r="AG170" s="69" t="str">
        <v>K202</v>
      </c>
      <c r="AH170"/>
    </row>
    <row r="171" spans="1:34" x14ac:dyDescent="0.2">
      <c r="A171" s="655"/>
      <c r="B171" s="655"/>
      <c r="C171"/>
      <c r="D171" s="655"/>
      <c r="E171" s="655"/>
      <c r="F171" s="655" t="str">
        <f>LEFT(AllDaqbookOffsets[[#This Row],[traceability_no]],2)</f>
        <v>J1</v>
      </c>
      <c r="N171" s="456"/>
      <c r="O171"/>
      <c r="W171" t="s">
        <v>610</v>
      </c>
      <c r="X171" t="s">
        <v>176</v>
      </c>
      <c r="Z171" s="460" t="str">
        <v>K203</v>
      </c>
      <c r="AA171" s="194" t="str">
        <v>K201-K214</v>
      </c>
      <c r="AB171"/>
      <c r="AG171" s="69" t="str">
        <v>K203</v>
      </c>
      <c r="AH171"/>
    </row>
    <row r="172" spans="1:34" x14ac:dyDescent="0.2">
      <c r="A172" s="655"/>
      <c r="B172" s="655"/>
      <c r="C172"/>
      <c r="D172" s="655"/>
      <c r="E172" s="655"/>
      <c r="F172" s="655" t="str">
        <f>LEFT(AllDaqbookOffsets[[#This Row],[traceability_no]],2)</f>
        <v>J1</v>
      </c>
      <c r="N172" s="456"/>
      <c r="O172"/>
      <c r="W172" t="s">
        <v>611</v>
      </c>
      <c r="X172" t="s">
        <v>176</v>
      </c>
      <c r="Z172" s="460" t="str">
        <v>K204</v>
      </c>
      <c r="AA172" s="194" t="str">
        <v>K201-K214</v>
      </c>
      <c r="AB172"/>
      <c r="AG172" s="69" t="str">
        <v>K204</v>
      </c>
      <c r="AH172"/>
    </row>
    <row r="173" spans="1:34" x14ac:dyDescent="0.2">
      <c r="A173" s="655"/>
      <c r="B173" s="655"/>
      <c r="C173"/>
      <c r="D173" s="655"/>
      <c r="E173" s="655"/>
      <c r="F173" s="655" t="str">
        <f>LEFT(AllDaqbookOffsets[[#This Row],[traceability_no]],2)</f>
        <v>J1</v>
      </c>
      <c r="N173" s="456"/>
      <c r="O173"/>
      <c r="W173" t="s">
        <v>612</v>
      </c>
      <c r="X173" t="s">
        <v>176</v>
      </c>
      <c r="Z173" s="460" t="str">
        <v>K205</v>
      </c>
      <c r="AA173" s="194" t="str">
        <v>K201-K214</v>
      </c>
      <c r="AB173"/>
      <c r="AG173" s="69" t="str">
        <v>K205</v>
      </c>
      <c r="AH173"/>
    </row>
    <row r="174" spans="1:34" x14ac:dyDescent="0.2">
      <c r="A174" s="655"/>
      <c r="B174" s="655"/>
      <c r="C174"/>
      <c r="D174" s="655"/>
      <c r="E174" s="655"/>
      <c r="F174" s="655" t="str">
        <f>LEFT(AllDaqbookOffsets[[#This Row],[traceability_no]],2)</f>
        <v>J1</v>
      </c>
      <c r="N174" s="456"/>
      <c r="O174"/>
      <c r="W174" t="s">
        <v>613</v>
      </c>
      <c r="X174" t="s">
        <v>176</v>
      </c>
      <c r="Z174" s="460" t="str">
        <v>K206</v>
      </c>
      <c r="AA174" s="194" t="str">
        <v>K201-K214</v>
      </c>
      <c r="AB174"/>
      <c r="AG174" s="69" t="str">
        <v>K206</v>
      </c>
      <c r="AH174"/>
    </row>
    <row r="175" spans="1:34" x14ac:dyDescent="0.2">
      <c r="A175" s="655"/>
      <c r="B175" s="655"/>
      <c r="C175"/>
      <c r="D175" s="655"/>
      <c r="E175" s="655"/>
      <c r="F175" s="655" t="str">
        <f>LEFT(AllDaqbookOffsets[[#This Row],[traceability_no]],2)</f>
        <v>J1</v>
      </c>
      <c r="N175" s="456"/>
      <c r="O175"/>
      <c r="W175" t="s">
        <v>614</v>
      </c>
      <c r="X175" t="s">
        <v>176</v>
      </c>
      <c r="Z175" s="460" t="str">
        <v>K207</v>
      </c>
      <c r="AA175" s="194" t="str">
        <v>K201-K214</v>
      </c>
      <c r="AB175"/>
      <c r="AG175" s="69" t="str">
        <v>K207</v>
      </c>
      <c r="AH175"/>
    </row>
    <row r="176" spans="1:34" x14ac:dyDescent="0.2">
      <c r="A176" s="655"/>
      <c r="B176" s="655"/>
      <c r="C176"/>
      <c r="D176" s="655"/>
      <c r="E176" s="655"/>
      <c r="F176" s="655" t="str">
        <f>LEFT(AllDaqbookOffsets[[#This Row],[traceability_no]],2)</f>
        <v>J1</v>
      </c>
      <c r="N176" s="456"/>
      <c r="O176"/>
      <c r="W176" t="s">
        <v>615</v>
      </c>
      <c r="X176" t="s">
        <v>176</v>
      </c>
      <c r="Z176" s="460" t="str">
        <v>K208</v>
      </c>
      <c r="AA176" s="194" t="str">
        <v>K201-K214</v>
      </c>
      <c r="AB176"/>
      <c r="AG176" s="69" t="str">
        <v>K208</v>
      </c>
      <c r="AH176"/>
    </row>
    <row r="177" spans="1:34" x14ac:dyDescent="0.2">
      <c r="A177" s="655"/>
      <c r="B177" s="655"/>
      <c r="C177"/>
      <c r="D177" s="655"/>
      <c r="E177" s="655"/>
      <c r="F177" s="655" t="str">
        <f>LEFT(AllDaqbookOffsets[[#This Row],[traceability_no]],2)</f>
        <v>J1</v>
      </c>
      <c r="N177" s="456"/>
      <c r="O177"/>
      <c r="W177" t="s">
        <v>616</v>
      </c>
      <c r="X177" t="s">
        <v>176</v>
      </c>
      <c r="Z177" s="460" t="str">
        <v>K209</v>
      </c>
      <c r="AA177" s="194" t="str">
        <v>K201-K214</v>
      </c>
      <c r="AB177"/>
      <c r="AG177" s="69" t="str">
        <v>K209</v>
      </c>
      <c r="AH177"/>
    </row>
    <row r="178" spans="1:34" x14ac:dyDescent="0.2">
      <c r="A178" s="655"/>
      <c r="B178" s="655"/>
      <c r="C178"/>
      <c r="D178" s="655"/>
      <c r="E178" s="655"/>
      <c r="F178" s="655" t="str">
        <f>LEFT(AllDaqbookOffsets[[#This Row],[traceability_no]],2)</f>
        <v>J1</v>
      </c>
      <c r="N178" s="456"/>
      <c r="O178"/>
      <c r="W178" t="s">
        <v>617</v>
      </c>
      <c r="X178" t="s">
        <v>177</v>
      </c>
      <c r="Z178" s="460" t="str">
        <v>K210</v>
      </c>
      <c r="AA178" s="194" t="str">
        <v>K201-K214</v>
      </c>
      <c r="AB178"/>
      <c r="AG178" s="69" t="str">
        <v>K210</v>
      </c>
      <c r="AH178"/>
    </row>
    <row r="179" spans="1:34" x14ac:dyDescent="0.2">
      <c r="A179" s="655"/>
      <c r="B179" s="655"/>
      <c r="C179"/>
      <c r="D179" s="655"/>
      <c r="E179" s="655"/>
      <c r="F179" s="655" t="str">
        <f>LEFT(AllDaqbookOffsets[[#This Row],[traceability_no]],2)</f>
        <v>J1</v>
      </c>
      <c r="N179" s="456"/>
      <c r="O179"/>
      <c r="W179" t="s">
        <v>618</v>
      </c>
      <c r="X179" t="s">
        <v>177</v>
      </c>
      <c r="Z179" s="460" t="str">
        <v>K211</v>
      </c>
      <c r="AA179" s="194" t="str">
        <v>K201-K214</v>
      </c>
      <c r="AB179"/>
      <c r="AG179" s="69" t="str">
        <v>K211</v>
      </c>
      <c r="AH179"/>
    </row>
    <row r="180" spans="1:34" x14ac:dyDescent="0.2">
      <c r="A180" s="655"/>
      <c r="B180" s="655"/>
      <c r="C180"/>
      <c r="D180" s="655"/>
      <c r="E180" s="655"/>
      <c r="F180" s="655" t="str">
        <f>LEFT(AllDaqbookOffsets[[#This Row],[traceability_no]],2)</f>
        <v>J1</v>
      </c>
      <c r="N180" s="456"/>
      <c r="O180"/>
      <c r="W180" t="s">
        <v>619</v>
      </c>
      <c r="X180" t="s">
        <v>177</v>
      </c>
      <c r="Z180" s="460" t="str">
        <v>K212</v>
      </c>
      <c r="AA180" s="194" t="str">
        <v>K201-K214</v>
      </c>
      <c r="AB180"/>
      <c r="AG180" s="69" t="str">
        <v>K212</v>
      </c>
      <c r="AH180"/>
    </row>
    <row r="181" spans="1:34" x14ac:dyDescent="0.2">
      <c r="A181" s="655"/>
      <c r="B181" s="655"/>
      <c r="C181"/>
      <c r="D181" s="655"/>
      <c r="E181" s="655"/>
      <c r="F181" s="655" t="str">
        <f>LEFT(AllDaqbookOffsets[[#This Row],[traceability_no]],2)</f>
        <v>J1</v>
      </c>
      <c r="N181" s="456"/>
      <c r="O181"/>
      <c r="W181" t="s">
        <v>620</v>
      </c>
      <c r="X181" t="s">
        <v>177</v>
      </c>
      <c r="Z181" s="460" t="str">
        <v>K213</v>
      </c>
      <c r="AA181" s="194" t="str">
        <v>K201-K214</v>
      </c>
      <c r="AB181"/>
      <c r="AG181" s="69" t="str">
        <v>K213</v>
      </c>
      <c r="AH181"/>
    </row>
    <row r="182" spans="1:34" x14ac:dyDescent="0.2">
      <c r="A182" s="655"/>
      <c r="B182" s="655"/>
      <c r="C182"/>
      <c r="D182" s="655"/>
      <c r="E182" s="655"/>
      <c r="F182" s="655" t="str">
        <f>LEFT(AllDaqbookOffsets[[#This Row],[traceability_no]],2)</f>
        <v>J1</v>
      </c>
      <c r="N182" s="456"/>
      <c r="O182"/>
      <c r="W182" t="s">
        <v>621</v>
      </c>
      <c r="X182" t="s">
        <v>177</v>
      </c>
      <c r="Z182" s="460" t="str">
        <v>K214</v>
      </c>
      <c r="AA182" s="194" t="str">
        <v>K201-K214</v>
      </c>
      <c r="AB182"/>
      <c r="AG182" s="69" t="str">
        <v>K214</v>
      </c>
      <c r="AH182"/>
    </row>
    <row r="183" spans="1:34" x14ac:dyDescent="0.2">
      <c r="A183" s="655"/>
      <c r="B183" s="655"/>
      <c r="C183"/>
      <c r="D183" s="655"/>
      <c r="E183" s="655"/>
      <c r="F183" s="655" t="str">
        <f>LEFT(AllDaqbookOffsets[[#This Row],[traceability_no]],2)</f>
        <v>J1</v>
      </c>
      <c r="N183" s="456"/>
      <c r="O183"/>
      <c r="W183" t="s">
        <v>622</v>
      </c>
      <c r="X183" t="s">
        <v>177</v>
      </c>
      <c r="Z183" s="460" t="str">
        <v>K301</v>
      </c>
      <c r="AA183" s="194" t="str">
        <v>K301-K314</v>
      </c>
      <c r="AB183"/>
      <c r="AG183" s="69" t="str">
        <v>K301</v>
      </c>
      <c r="AH183"/>
    </row>
    <row r="184" spans="1:34" x14ac:dyDescent="0.2">
      <c r="A184" s="655"/>
      <c r="B184" s="655"/>
      <c r="C184"/>
      <c r="D184" s="655"/>
      <c r="E184" s="655"/>
      <c r="F184" s="655" t="str">
        <f>LEFT(AllDaqbookOffsets[[#This Row],[traceability_no]],2)</f>
        <v>J1</v>
      </c>
      <c r="N184" s="456"/>
      <c r="O184"/>
      <c r="W184" t="s">
        <v>623</v>
      </c>
      <c r="X184" t="s">
        <v>177</v>
      </c>
      <c r="Z184" s="460" t="str">
        <v>K302</v>
      </c>
      <c r="AA184" s="194" t="str">
        <v>K301-K314</v>
      </c>
      <c r="AB184"/>
      <c r="AG184" s="69" t="str">
        <v>K302</v>
      </c>
      <c r="AH184"/>
    </row>
    <row r="185" spans="1:34" x14ac:dyDescent="0.2">
      <c r="A185" s="655"/>
      <c r="B185" s="655"/>
      <c r="C185"/>
      <c r="D185" s="655"/>
      <c r="E185" s="655"/>
      <c r="F185" s="655" t="str">
        <f>LEFT(AllDaqbookOffsets[[#This Row],[traceability_no]],2)</f>
        <v>J1</v>
      </c>
      <c r="N185" s="456"/>
      <c r="O185"/>
      <c r="W185" t="s">
        <v>624</v>
      </c>
      <c r="X185" t="s">
        <v>177</v>
      </c>
      <c r="Z185" s="460" t="str">
        <v>K303</v>
      </c>
      <c r="AA185" s="194" t="str">
        <v>K301-K314</v>
      </c>
      <c r="AB185"/>
      <c r="AG185" s="69" t="str">
        <v>K303</v>
      </c>
      <c r="AH185"/>
    </row>
    <row r="186" spans="1:34" x14ac:dyDescent="0.2">
      <c r="A186" s="655"/>
      <c r="B186" s="655"/>
      <c r="C186"/>
      <c r="D186" s="655"/>
      <c r="E186" s="655"/>
      <c r="F186" s="655" t="str">
        <f>LEFT(AllDaqbookOffsets[[#This Row],[traceability_no]],2)</f>
        <v>J1</v>
      </c>
      <c r="N186" s="456"/>
      <c r="O186"/>
      <c r="W186" t="s">
        <v>625</v>
      </c>
      <c r="X186" t="s">
        <v>177</v>
      </c>
      <c r="Z186" s="460" t="str">
        <v>K304</v>
      </c>
      <c r="AA186" s="194" t="str">
        <v>K301-K314</v>
      </c>
      <c r="AB186"/>
      <c r="AG186" s="69" t="str">
        <v>K304</v>
      </c>
      <c r="AH186"/>
    </row>
    <row r="187" spans="1:34" x14ac:dyDescent="0.2">
      <c r="A187" s="655"/>
      <c r="B187" s="655"/>
      <c r="C187"/>
      <c r="D187" s="655"/>
      <c r="E187" s="655"/>
      <c r="F187" s="655" t="str">
        <f>LEFT(AllDaqbookOffsets[[#This Row],[traceability_no]],2)</f>
        <v>J1</v>
      </c>
      <c r="N187" s="456"/>
      <c r="O187"/>
      <c r="W187" t="s">
        <v>626</v>
      </c>
      <c r="X187" t="s">
        <v>177</v>
      </c>
      <c r="Z187" s="460" t="str">
        <v>K305</v>
      </c>
      <c r="AA187" s="194" t="str">
        <v>K301-K314</v>
      </c>
      <c r="AB187"/>
      <c r="AG187" s="69" t="str">
        <v>K305</v>
      </c>
      <c r="AH187"/>
    </row>
    <row r="188" spans="1:34" x14ac:dyDescent="0.2">
      <c r="A188" s="655"/>
      <c r="B188" s="655"/>
      <c r="C188"/>
      <c r="D188" s="655"/>
      <c r="E188" s="655"/>
      <c r="F188" s="655" t="str">
        <f>LEFT(AllDaqbookOffsets[[#This Row],[traceability_no]],2)</f>
        <v>J1</v>
      </c>
      <c r="N188" s="456"/>
      <c r="O188"/>
      <c r="W188" t="s">
        <v>627</v>
      </c>
      <c r="X188" t="s">
        <v>177</v>
      </c>
      <c r="Z188" s="460" t="str">
        <v>K306</v>
      </c>
      <c r="AA188" s="194" t="str">
        <v>K301-K314</v>
      </c>
      <c r="AB188"/>
      <c r="AG188" s="69" t="str">
        <v>K306</v>
      </c>
      <c r="AH188"/>
    </row>
    <row r="189" spans="1:34" x14ac:dyDescent="0.2">
      <c r="A189" s="655"/>
      <c r="B189" s="655"/>
      <c r="C189"/>
      <c r="D189" s="655"/>
      <c r="E189" s="655"/>
      <c r="F189" s="655" t="str">
        <f>LEFT(AllDaqbookOffsets[[#This Row],[traceability_no]],2)</f>
        <v>J1</v>
      </c>
      <c r="N189" s="456"/>
      <c r="O189"/>
      <c r="W189" t="s">
        <v>628</v>
      </c>
      <c r="X189" t="s">
        <v>177</v>
      </c>
      <c r="Z189" s="460" t="str">
        <v>K307</v>
      </c>
      <c r="AA189" s="194" t="str">
        <v>K301-K314</v>
      </c>
      <c r="AB189"/>
      <c r="AG189" s="69" t="str">
        <v>K307</v>
      </c>
      <c r="AH189"/>
    </row>
    <row r="190" spans="1:34" x14ac:dyDescent="0.2">
      <c r="A190" s="655"/>
      <c r="B190" s="655"/>
      <c r="C190"/>
      <c r="D190" s="655"/>
      <c r="E190" s="655"/>
      <c r="F190" s="655" t="str">
        <f>LEFT(AllDaqbookOffsets[[#This Row],[traceability_no]],2)</f>
        <v>J1</v>
      </c>
      <c r="N190" s="456"/>
      <c r="O190"/>
      <c r="W190" t="s">
        <v>629</v>
      </c>
      <c r="X190" t="s">
        <v>177</v>
      </c>
      <c r="Z190" s="460" t="str">
        <v>K308</v>
      </c>
      <c r="AA190" s="194" t="str">
        <v>K301-K314</v>
      </c>
      <c r="AB190"/>
      <c r="AG190" s="69" t="str">
        <v>K308</v>
      </c>
      <c r="AH190"/>
    </row>
    <row r="191" spans="1:34" x14ac:dyDescent="0.2">
      <c r="A191" s="655"/>
      <c r="B191" s="655"/>
      <c r="C191"/>
      <c r="D191" s="655"/>
      <c r="E191" s="655"/>
      <c r="F191" s="655" t="str">
        <f>LEFT(AllDaqbookOffsets[[#This Row],[traceability_no]],2)</f>
        <v>J1</v>
      </c>
      <c r="N191" s="456"/>
      <c r="O191"/>
      <c r="W191" t="s">
        <v>630</v>
      </c>
      <c r="X191" t="s">
        <v>177</v>
      </c>
      <c r="Z191" s="460" t="str">
        <v>K309</v>
      </c>
      <c r="AA191" s="194" t="str">
        <v>K301-K314</v>
      </c>
      <c r="AB191"/>
      <c r="AG191" s="69" t="str">
        <v>K309</v>
      </c>
      <c r="AH191"/>
    </row>
    <row r="192" spans="1:34" x14ac:dyDescent="0.2">
      <c r="A192" s="655"/>
      <c r="B192" s="655"/>
      <c r="C192"/>
      <c r="D192" s="655"/>
      <c r="E192" s="655"/>
      <c r="F192" s="655" t="str">
        <f>LEFT(AllDaqbookOffsets[[#This Row],[traceability_no]],2)</f>
        <v>J1</v>
      </c>
      <c r="N192" s="456"/>
      <c r="O192"/>
      <c r="W192" t="s">
        <v>631</v>
      </c>
      <c r="X192" t="s">
        <v>178</v>
      </c>
      <c r="Z192" s="460" t="str">
        <v>K310</v>
      </c>
      <c r="AA192" s="194" t="str">
        <v>K301-K314</v>
      </c>
      <c r="AB192"/>
      <c r="AG192" s="69" t="str">
        <v>K310</v>
      </c>
      <c r="AH192"/>
    </row>
    <row r="193" spans="1:34" x14ac:dyDescent="0.2">
      <c r="A193" s="655"/>
      <c r="B193" s="655"/>
      <c r="C193"/>
      <c r="D193" s="655"/>
      <c r="E193" s="655"/>
      <c r="F193" s="655" t="str">
        <f>LEFT(AllDaqbookOffsets[[#This Row],[traceability_no]],2)</f>
        <v>J1</v>
      </c>
      <c r="N193" s="456"/>
      <c r="O193"/>
      <c r="W193" t="s">
        <v>632</v>
      </c>
      <c r="X193" t="s">
        <v>178</v>
      </c>
      <c r="Z193" s="460" t="str">
        <v>K311</v>
      </c>
      <c r="AA193" s="194" t="str">
        <v>K301-K314</v>
      </c>
      <c r="AB193"/>
      <c r="AG193" s="69" t="str">
        <v>K311</v>
      </c>
      <c r="AH193"/>
    </row>
    <row r="194" spans="1:34" x14ac:dyDescent="0.2">
      <c r="A194" s="655"/>
      <c r="B194" s="655"/>
      <c r="C194"/>
      <c r="D194" s="655"/>
      <c r="E194" s="655"/>
      <c r="F194" s="655" t="str">
        <f>LEFT(AllDaqbookOffsets[[#This Row],[traceability_no]],2)</f>
        <v>J1</v>
      </c>
      <c r="N194" s="456"/>
      <c r="O194"/>
      <c r="W194" t="s">
        <v>633</v>
      </c>
      <c r="X194" t="s">
        <v>178</v>
      </c>
      <c r="Z194" s="460" t="str">
        <v>K312</v>
      </c>
      <c r="AA194" s="194" t="str">
        <v>K301-K314</v>
      </c>
      <c r="AB194"/>
      <c r="AG194" s="69" t="str">
        <v>K312</v>
      </c>
      <c r="AH194"/>
    </row>
    <row r="195" spans="1:34" x14ac:dyDescent="0.2">
      <c r="A195" s="655"/>
      <c r="B195" s="655"/>
      <c r="C195"/>
      <c r="D195" s="655"/>
      <c r="E195" s="655"/>
      <c r="F195" s="655" t="str">
        <f>LEFT(AllDaqbookOffsets[[#This Row],[traceability_no]],2)</f>
        <v>J1</v>
      </c>
      <c r="N195" s="456"/>
      <c r="O195"/>
      <c r="W195" t="s">
        <v>634</v>
      </c>
      <c r="X195" t="s">
        <v>178</v>
      </c>
      <c r="Z195" s="460" t="str">
        <v>K313</v>
      </c>
      <c r="AA195" s="194" t="str">
        <v>K301-K314</v>
      </c>
      <c r="AB195"/>
      <c r="AG195" s="69" t="str">
        <v>K313</v>
      </c>
      <c r="AH195"/>
    </row>
    <row r="196" spans="1:34" x14ac:dyDescent="0.2">
      <c r="A196" s="655"/>
      <c r="B196" s="655"/>
      <c r="C196"/>
      <c r="D196" s="655"/>
      <c r="E196" s="655"/>
      <c r="F196" s="655" t="str">
        <f>LEFT(AllDaqbookOffsets[[#This Row],[traceability_no]],2)</f>
        <v>J1</v>
      </c>
      <c r="N196" s="456"/>
      <c r="O196"/>
      <c r="W196" t="s">
        <v>635</v>
      </c>
      <c r="X196" t="s">
        <v>178</v>
      </c>
      <c r="Z196" s="460" t="str">
        <v>K314</v>
      </c>
      <c r="AA196" s="194" t="str">
        <v>K301-K314</v>
      </c>
      <c r="AB196"/>
      <c r="AG196" s="69" t="str">
        <v>K314</v>
      </c>
      <c r="AH196"/>
    </row>
    <row r="197" spans="1:34" x14ac:dyDescent="0.2">
      <c r="A197" s="655"/>
      <c r="B197" s="655"/>
      <c r="C197"/>
      <c r="D197" s="655"/>
      <c r="E197" s="655"/>
      <c r="F197" s="655" t="str">
        <f>LEFT(AllDaqbookOffsets[[#This Row],[traceability_no]],2)</f>
        <v>J1</v>
      </c>
      <c r="N197" s="456"/>
      <c r="O197"/>
      <c r="W197" t="s">
        <v>636</v>
      </c>
      <c r="X197" t="s">
        <v>178</v>
      </c>
      <c r="Z197" s="460" t="str">
        <v>K401</v>
      </c>
      <c r="AA197" s="194" t="str">
        <v>K401-K416</v>
      </c>
      <c r="AB197"/>
      <c r="AG197" s="69" t="str">
        <v>K401</v>
      </c>
      <c r="AH197"/>
    </row>
    <row r="198" spans="1:34" x14ac:dyDescent="0.2">
      <c r="A198" s="655"/>
      <c r="B198" s="655"/>
      <c r="C198"/>
      <c r="D198" s="655"/>
      <c r="E198" s="655"/>
      <c r="F198" s="655" t="str">
        <f>LEFT(AllDaqbookOffsets[[#This Row],[traceability_no]],2)</f>
        <v>J1</v>
      </c>
      <c r="N198" s="456"/>
      <c r="O198"/>
      <c r="W198" t="s">
        <v>637</v>
      </c>
      <c r="X198" t="s">
        <v>178</v>
      </c>
      <c r="Z198" s="460" t="str">
        <v>K402</v>
      </c>
      <c r="AA198" s="194" t="str">
        <v>K401-K416</v>
      </c>
      <c r="AB198"/>
      <c r="AG198" s="69" t="str">
        <v>K402</v>
      </c>
      <c r="AH198"/>
    </row>
    <row r="199" spans="1:34" x14ac:dyDescent="0.2">
      <c r="A199" s="655"/>
      <c r="B199" s="655"/>
      <c r="C199"/>
      <c r="D199" s="655"/>
      <c r="E199" s="655"/>
      <c r="F199" s="655" t="str">
        <f>LEFT(AllDaqbookOffsets[[#This Row],[traceability_no]],2)</f>
        <v>J1</v>
      </c>
      <c r="N199" s="456"/>
      <c r="O199"/>
      <c r="W199" t="s">
        <v>638</v>
      </c>
      <c r="X199" t="s">
        <v>178</v>
      </c>
      <c r="Z199" s="460" t="str">
        <v>K403</v>
      </c>
      <c r="AA199" s="194" t="str">
        <v>K401-K416</v>
      </c>
      <c r="AB199"/>
      <c r="AG199" s="69" t="str">
        <v>K403</v>
      </c>
      <c r="AH199"/>
    </row>
    <row r="200" spans="1:34" x14ac:dyDescent="0.2">
      <c r="A200" s="655"/>
      <c r="B200" s="655"/>
      <c r="C200"/>
      <c r="D200" s="655"/>
      <c r="E200" s="655"/>
      <c r="F200" s="655" t="str">
        <f>LEFT(AllDaqbookOffsets[[#This Row],[traceability_no]],2)</f>
        <v>J1</v>
      </c>
      <c r="N200" s="456"/>
      <c r="O200"/>
      <c r="W200" t="s">
        <v>639</v>
      </c>
      <c r="X200" t="s">
        <v>178</v>
      </c>
      <c r="Z200" s="460" t="str">
        <v>K404</v>
      </c>
      <c r="AA200" s="194" t="str">
        <v>K401-K416</v>
      </c>
      <c r="AB200"/>
      <c r="AG200" s="69" t="str">
        <v>K404</v>
      </c>
      <c r="AH200"/>
    </row>
    <row r="201" spans="1:34" x14ac:dyDescent="0.2">
      <c r="A201" s="655"/>
      <c r="B201" s="655"/>
      <c r="C201"/>
      <c r="D201" s="655"/>
      <c r="E201" s="655"/>
      <c r="F201" s="655" t="str">
        <f>LEFT(AllDaqbookOffsets[[#This Row],[traceability_no]],2)</f>
        <v>J1</v>
      </c>
      <c r="N201" s="456"/>
      <c r="O201"/>
      <c r="W201" t="s">
        <v>640</v>
      </c>
      <c r="X201" t="s">
        <v>178</v>
      </c>
      <c r="Z201" s="460" t="str">
        <v>K405</v>
      </c>
      <c r="AA201" s="194" t="str">
        <v>K401-K416</v>
      </c>
      <c r="AB201"/>
      <c r="AG201" s="69" t="str">
        <v>K405</v>
      </c>
      <c r="AH201"/>
    </row>
    <row r="202" spans="1:34" x14ac:dyDescent="0.2">
      <c r="A202" s="655"/>
      <c r="B202" s="655"/>
      <c r="C202"/>
      <c r="D202" s="655"/>
      <c r="E202" s="655"/>
      <c r="F202" s="655" t="str">
        <f>LEFT(AllDaqbookOffsets[[#This Row],[traceability_no]],2)</f>
        <v>J1</v>
      </c>
      <c r="N202" s="456"/>
      <c r="O202"/>
      <c r="W202" t="s">
        <v>641</v>
      </c>
      <c r="X202" t="s">
        <v>179</v>
      </c>
      <c r="Z202" s="460" t="str">
        <v>K406</v>
      </c>
      <c r="AA202" s="194" t="str">
        <v>K401-K416</v>
      </c>
      <c r="AB202"/>
      <c r="AG202" s="69" t="str">
        <v>K406</v>
      </c>
      <c r="AH202"/>
    </row>
    <row r="203" spans="1:34" x14ac:dyDescent="0.2">
      <c r="A203" s="655"/>
      <c r="B203" s="655"/>
      <c r="C203"/>
      <c r="D203" s="655"/>
      <c r="E203" s="655"/>
      <c r="F203" s="655" t="str">
        <f>LEFT(AllDaqbookOffsets[[#This Row],[traceability_no]],2)</f>
        <v>J1</v>
      </c>
      <c r="N203" s="456"/>
      <c r="O203"/>
      <c r="W203" t="s">
        <v>642</v>
      </c>
      <c r="X203" t="s">
        <v>179</v>
      </c>
      <c r="Z203" s="460" t="str">
        <v>K407</v>
      </c>
      <c r="AA203" s="194" t="str">
        <v>K401-K416</v>
      </c>
      <c r="AB203"/>
      <c r="AG203" s="69" t="str">
        <v>K407</v>
      </c>
      <c r="AH203"/>
    </row>
    <row r="204" spans="1:34" x14ac:dyDescent="0.2">
      <c r="A204" s="655"/>
      <c r="B204" s="655"/>
      <c r="C204"/>
      <c r="D204" s="655"/>
      <c r="E204" s="655"/>
      <c r="F204" s="655" t="str">
        <f>LEFT(AllDaqbookOffsets[[#This Row],[traceability_no]],2)</f>
        <v>J1</v>
      </c>
      <c r="N204" s="456"/>
      <c r="O204"/>
      <c r="W204" t="s">
        <v>643</v>
      </c>
      <c r="X204" t="s">
        <v>179</v>
      </c>
      <c r="Z204" s="460" t="str">
        <v>K408</v>
      </c>
      <c r="AA204" s="194" t="str">
        <v>K401-K416</v>
      </c>
      <c r="AB204"/>
      <c r="AG204" s="69" t="str">
        <v>K408</v>
      </c>
      <c r="AH204"/>
    </row>
    <row r="205" spans="1:34" x14ac:dyDescent="0.2">
      <c r="A205" s="655"/>
      <c r="B205" s="655"/>
      <c r="C205"/>
      <c r="D205" s="655"/>
      <c r="E205" s="655"/>
      <c r="F205" s="655" t="str">
        <f>LEFT(AllDaqbookOffsets[[#This Row],[traceability_no]],2)</f>
        <v>J1</v>
      </c>
      <c r="N205" s="456"/>
      <c r="O205"/>
      <c r="W205" t="s">
        <v>644</v>
      </c>
      <c r="X205" t="s">
        <v>179</v>
      </c>
      <c r="Z205" s="460" t="str">
        <v>K409</v>
      </c>
      <c r="AA205" s="194" t="str">
        <v>K401-K416</v>
      </c>
      <c r="AB205"/>
      <c r="AG205" s="69" t="str">
        <v>K409</v>
      </c>
      <c r="AH205"/>
    </row>
    <row r="206" spans="1:34" x14ac:dyDescent="0.2">
      <c r="A206" s="655"/>
      <c r="B206" s="655"/>
      <c r="C206"/>
      <c r="D206" s="655"/>
      <c r="E206" s="655"/>
      <c r="F206" s="655" t="str">
        <f>LEFT(AllDaqbookOffsets[[#This Row],[traceability_no]],2)</f>
        <v>J1</v>
      </c>
      <c r="N206" s="456"/>
      <c r="O206"/>
      <c r="W206" t="s">
        <v>645</v>
      </c>
      <c r="X206" t="s">
        <v>179</v>
      </c>
      <c r="Z206" s="460" t="str">
        <v>K410</v>
      </c>
      <c r="AA206" s="194" t="str">
        <v>K401-K416</v>
      </c>
      <c r="AB206"/>
      <c r="AG206" s="69" t="str">
        <v>K410</v>
      </c>
      <c r="AH206"/>
    </row>
    <row r="207" spans="1:34" x14ac:dyDescent="0.2">
      <c r="A207" s="655"/>
      <c r="B207" s="655"/>
      <c r="C207"/>
      <c r="D207" s="655"/>
      <c r="E207" s="655"/>
      <c r="F207" s="655" t="str">
        <f>LEFT(AllDaqbookOffsets[[#This Row],[traceability_no]],2)</f>
        <v>J1</v>
      </c>
      <c r="N207" s="456"/>
      <c r="O207"/>
      <c r="W207" t="s">
        <v>646</v>
      </c>
      <c r="X207" t="s">
        <v>179</v>
      </c>
      <c r="Z207" s="460" t="str">
        <v>K411</v>
      </c>
      <c r="AA207" s="194" t="str">
        <v>K401-K416</v>
      </c>
      <c r="AB207"/>
      <c r="AG207" s="69" t="str">
        <v>K411</v>
      </c>
      <c r="AH207"/>
    </row>
    <row r="208" spans="1:34" x14ac:dyDescent="0.2">
      <c r="A208" s="655"/>
      <c r="B208" s="655"/>
      <c r="C208"/>
      <c r="D208" s="655"/>
      <c r="E208" s="655"/>
      <c r="F208" s="655" t="str">
        <f>LEFT(AllDaqbookOffsets[[#This Row],[traceability_no]],2)</f>
        <v>J1</v>
      </c>
      <c r="N208" s="456"/>
      <c r="O208"/>
      <c r="W208" t="s">
        <v>647</v>
      </c>
      <c r="X208" t="s">
        <v>179</v>
      </c>
      <c r="Z208" s="460" t="str">
        <v>K412</v>
      </c>
      <c r="AA208" s="194" t="str">
        <v>K401-K416</v>
      </c>
      <c r="AB208"/>
      <c r="AG208" s="69" t="str">
        <v>K412</v>
      </c>
      <c r="AH208"/>
    </row>
    <row r="209" spans="1:34" x14ac:dyDescent="0.2">
      <c r="A209" s="655"/>
      <c r="B209" s="655"/>
      <c r="C209"/>
      <c r="D209" s="655"/>
      <c r="E209" s="655"/>
      <c r="F209" s="655" t="str">
        <f>LEFT(AllDaqbookOffsets[[#This Row],[traceability_no]],2)</f>
        <v>J1</v>
      </c>
      <c r="N209" s="456"/>
      <c r="O209"/>
      <c r="W209" t="s">
        <v>648</v>
      </c>
      <c r="X209" t="s">
        <v>179</v>
      </c>
      <c r="Z209" s="460" t="str">
        <v>K413</v>
      </c>
      <c r="AA209" s="194" t="str">
        <v>K401-K416</v>
      </c>
      <c r="AB209"/>
      <c r="AG209" s="69" t="str">
        <v>K413</v>
      </c>
      <c r="AH209"/>
    </row>
    <row r="210" spans="1:34" x14ac:dyDescent="0.2">
      <c r="A210" s="655"/>
      <c r="B210" s="655"/>
      <c r="C210"/>
      <c r="D210" s="655"/>
      <c r="E210" s="655"/>
      <c r="F210" s="655" t="str">
        <f>LEFT(AllDaqbookOffsets[[#This Row],[traceability_no]],2)</f>
        <v>J1</v>
      </c>
      <c r="N210" s="456"/>
      <c r="O210"/>
      <c r="W210" t="s">
        <v>649</v>
      </c>
      <c r="X210" t="s">
        <v>179</v>
      </c>
      <c r="Z210" s="460" t="str">
        <v>K414</v>
      </c>
      <c r="AA210" s="194" t="str">
        <v>K401-K416</v>
      </c>
      <c r="AB210"/>
      <c r="AG210" s="69" t="str">
        <v>K414</v>
      </c>
      <c r="AH210"/>
    </row>
    <row r="211" spans="1:34" x14ac:dyDescent="0.2">
      <c r="A211" s="655"/>
      <c r="B211" s="655"/>
      <c r="C211"/>
      <c r="D211" s="655"/>
      <c r="E211" s="655"/>
      <c r="F211" s="655" t="str">
        <f>LEFT(AllDaqbookOffsets[[#This Row],[traceability_no]],2)</f>
        <v>J1</v>
      </c>
      <c r="N211" s="456"/>
      <c r="O211"/>
      <c r="W211" t="s">
        <v>650</v>
      </c>
      <c r="X211" t="s">
        <v>179</v>
      </c>
      <c r="Z211" s="460" t="str">
        <v>K415</v>
      </c>
      <c r="AA211" s="194" t="str">
        <v>K401-K416</v>
      </c>
      <c r="AB211"/>
      <c r="AG211" s="69" t="str">
        <v>K415</v>
      </c>
      <c r="AH211"/>
    </row>
    <row r="212" spans="1:34" x14ac:dyDescent="0.2">
      <c r="A212" s="655"/>
      <c r="B212" s="655"/>
      <c r="C212"/>
      <c r="D212" s="655"/>
      <c r="E212" s="655"/>
      <c r="F212" s="655" t="str">
        <f>LEFT(AllDaqbookOffsets[[#This Row],[traceability_no]],2)</f>
        <v>J1</v>
      </c>
      <c r="N212" s="456"/>
      <c r="O212"/>
      <c r="W212" t="s">
        <v>651</v>
      </c>
      <c r="X212" t="s">
        <v>180</v>
      </c>
      <c r="Z212" s="460" t="str">
        <v>K416</v>
      </c>
      <c r="AA212" s="194" t="str">
        <v>K401-K416</v>
      </c>
      <c r="AB212"/>
      <c r="AG212" s="69" t="str">
        <v>K416</v>
      </c>
      <c r="AH212"/>
    </row>
    <row r="213" spans="1:34" x14ac:dyDescent="0.2">
      <c r="A213" s="655"/>
      <c r="B213" s="655"/>
      <c r="C213"/>
      <c r="D213" s="655"/>
      <c r="E213" s="655"/>
      <c r="F213" s="655" t="str">
        <f>LEFT(AllDaqbookOffsets[[#This Row],[traceability_no]],2)</f>
        <v>J1</v>
      </c>
      <c r="N213" s="456"/>
      <c r="O213"/>
      <c r="W213" t="s">
        <v>652</v>
      </c>
      <c r="X213" t="s">
        <v>180</v>
      </c>
      <c r="Z213" s="460" t="str">
        <v>K521</v>
      </c>
      <c r="AA213" s="194" t="str">
        <v>K521-K534</v>
      </c>
      <c r="AB213"/>
      <c r="AG213" s="69" t="str">
        <v>K521</v>
      </c>
      <c r="AH213"/>
    </row>
    <row r="214" spans="1:34" x14ac:dyDescent="0.2">
      <c r="A214" s="655"/>
      <c r="B214" s="655"/>
      <c r="C214"/>
      <c r="D214" s="655"/>
      <c r="E214" s="655"/>
      <c r="F214" s="655" t="str">
        <f>LEFT(AllDaqbookOffsets[[#This Row],[traceability_no]],2)</f>
        <v>J1</v>
      </c>
      <c r="N214" s="456"/>
      <c r="O214"/>
      <c r="W214" t="s">
        <v>653</v>
      </c>
      <c r="X214" t="s">
        <v>180</v>
      </c>
      <c r="Z214" s="460" t="str">
        <v>K522</v>
      </c>
      <c r="AA214" s="194" t="str">
        <v>K521-K534</v>
      </c>
      <c r="AB214"/>
      <c r="AG214" s="69" t="str">
        <v>K522</v>
      </c>
      <c r="AH214"/>
    </row>
    <row r="215" spans="1:34" x14ac:dyDescent="0.2">
      <c r="A215" s="655"/>
      <c r="B215" s="655"/>
      <c r="C215"/>
      <c r="D215" s="655"/>
      <c r="E215" s="655"/>
      <c r="F215" s="655" t="str">
        <f>LEFT(AllDaqbookOffsets[[#This Row],[traceability_no]],2)</f>
        <v>J1</v>
      </c>
      <c r="N215" s="456"/>
      <c r="O215"/>
      <c r="W215" t="s">
        <v>654</v>
      </c>
      <c r="X215" t="s">
        <v>180</v>
      </c>
      <c r="Z215" s="460" t="str">
        <v>K523</v>
      </c>
      <c r="AA215" s="194" t="str">
        <v>K521-K534</v>
      </c>
      <c r="AB215"/>
      <c r="AG215" s="69" t="str">
        <v>K523</v>
      </c>
      <c r="AH215"/>
    </row>
    <row r="216" spans="1:34" x14ac:dyDescent="0.2">
      <c r="A216" s="655"/>
      <c r="B216" s="655"/>
      <c r="C216"/>
      <c r="D216" s="655"/>
      <c r="E216" s="655"/>
      <c r="F216" s="655" t="str">
        <f>LEFT(AllDaqbookOffsets[[#This Row],[traceability_no]],2)</f>
        <v>J1</v>
      </c>
      <c r="N216" s="456"/>
      <c r="O216"/>
      <c r="W216" t="s">
        <v>655</v>
      </c>
      <c r="X216" t="s">
        <v>180</v>
      </c>
      <c r="Z216" s="460" t="str">
        <v>K524</v>
      </c>
      <c r="AA216" s="194" t="str">
        <v>K521-K534</v>
      </c>
      <c r="AB216"/>
      <c r="AG216" s="69" t="str">
        <v>K524</v>
      </c>
      <c r="AH216"/>
    </row>
    <row r="217" spans="1:34" x14ac:dyDescent="0.2">
      <c r="A217" s="655"/>
      <c r="B217" s="655"/>
      <c r="C217"/>
      <c r="D217" s="655"/>
      <c r="E217" s="655"/>
      <c r="F217" s="655" t="str">
        <f>LEFT(AllDaqbookOffsets[[#This Row],[traceability_no]],2)</f>
        <v>J1</v>
      </c>
      <c r="N217" s="456"/>
      <c r="O217"/>
      <c r="W217" t="s">
        <v>656</v>
      </c>
      <c r="X217" t="s">
        <v>180</v>
      </c>
      <c r="Z217" s="460" t="str">
        <v>K525</v>
      </c>
      <c r="AA217" s="194" t="str">
        <v>K521-K534</v>
      </c>
      <c r="AB217"/>
      <c r="AG217" s="69" t="str">
        <v>K525</v>
      </c>
      <c r="AH217"/>
    </row>
    <row r="218" spans="1:34" x14ac:dyDescent="0.2">
      <c r="A218" s="655"/>
      <c r="B218" s="655"/>
      <c r="C218"/>
      <c r="D218" s="655"/>
      <c r="E218" s="655"/>
      <c r="F218" s="655" t="str">
        <f>LEFT(AllDaqbookOffsets[[#This Row],[traceability_no]],2)</f>
        <v>J1</v>
      </c>
      <c r="N218" s="456"/>
      <c r="O218"/>
      <c r="W218" t="s">
        <v>657</v>
      </c>
      <c r="X218" t="s">
        <v>180</v>
      </c>
      <c r="Z218" s="460" t="str">
        <v>K526</v>
      </c>
      <c r="AA218" s="194" t="str">
        <v>K521-K534</v>
      </c>
      <c r="AB218"/>
      <c r="AG218" s="69" t="str">
        <v>K526</v>
      </c>
      <c r="AH218"/>
    </row>
    <row r="219" spans="1:34" x14ac:dyDescent="0.2">
      <c r="A219" s="655"/>
      <c r="B219" s="655"/>
      <c r="C219"/>
      <c r="D219" s="655"/>
      <c r="E219" s="655"/>
      <c r="F219" s="655" t="str">
        <f>LEFT(AllDaqbookOffsets[[#This Row],[traceability_no]],2)</f>
        <v>J1</v>
      </c>
      <c r="N219" s="456"/>
      <c r="O219"/>
      <c r="W219" t="s">
        <v>658</v>
      </c>
      <c r="X219" t="s">
        <v>180</v>
      </c>
      <c r="Z219" s="460" t="str">
        <v>K527</v>
      </c>
      <c r="AA219" s="194" t="str">
        <v>K521-K534</v>
      </c>
      <c r="AB219"/>
      <c r="AG219" s="69" t="str">
        <v>K527</v>
      </c>
      <c r="AH219"/>
    </row>
    <row r="220" spans="1:34" x14ac:dyDescent="0.2">
      <c r="A220" s="655"/>
      <c r="B220" s="655"/>
      <c r="C220"/>
      <c r="D220" s="655"/>
      <c r="E220" s="655"/>
      <c r="F220" s="655" t="str">
        <f>LEFT(AllDaqbookOffsets[[#This Row],[traceability_no]],2)</f>
        <v>J1</v>
      </c>
      <c r="N220" s="456"/>
      <c r="O220"/>
      <c r="W220" t="s">
        <v>659</v>
      </c>
      <c r="X220" t="s">
        <v>180</v>
      </c>
      <c r="Z220" s="460" t="str">
        <v>K528</v>
      </c>
      <c r="AA220" s="194" t="str">
        <v>K521-K534</v>
      </c>
      <c r="AB220"/>
      <c r="AG220" s="69" t="str">
        <v>K528</v>
      </c>
      <c r="AH220"/>
    </row>
    <row r="221" spans="1:34" x14ac:dyDescent="0.2">
      <c r="A221" s="655"/>
      <c r="B221" s="655"/>
      <c r="C221"/>
      <c r="D221" s="655"/>
      <c r="E221" s="655"/>
      <c r="F221" s="655" t="str">
        <f>LEFT(AllDaqbookOffsets[[#This Row],[traceability_no]],2)</f>
        <v>J1</v>
      </c>
      <c r="N221" s="456"/>
      <c r="O221"/>
      <c r="W221" t="s">
        <v>660</v>
      </c>
      <c r="X221" t="s">
        <v>180</v>
      </c>
      <c r="Z221" s="460" t="str">
        <v>K529</v>
      </c>
      <c r="AA221" s="194" t="str">
        <v>K521-K534</v>
      </c>
      <c r="AB221"/>
      <c r="AG221" s="69" t="str">
        <v>K529</v>
      </c>
      <c r="AH221"/>
    </row>
    <row r="222" spans="1:34" x14ac:dyDescent="0.2">
      <c r="A222" s="655"/>
      <c r="B222" s="655"/>
      <c r="C222"/>
      <c r="D222" s="655"/>
      <c r="E222" s="655"/>
      <c r="F222" s="655" t="str">
        <f>LEFT(AllDaqbookOffsets[[#This Row],[traceability_no]],2)</f>
        <v>J1</v>
      </c>
      <c r="N222" s="456"/>
      <c r="O222"/>
      <c r="W222" t="s">
        <v>661</v>
      </c>
      <c r="X222" t="s">
        <v>180</v>
      </c>
      <c r="Z222" s="460" t="str">
        <v>K530</v>
      </c>
      <c r="AA222" s="194" t="str">
        <v>K521-K534</v>
      </c>
      <c r="AB222"/>
      <c r="AG222" s="69" t="str">
        <v>K530</v>
      </c>
      <c r="AH222"/>
    </row>
    <row r="223" spans="1:34" x14ac:dyDescent="0.2">
      <c r="A223" s="655"/>
      <c r="B223" s="655"/>
      <c r="C223"/>
      <c r="D223" s="655"/>
      <c r="E223" s="655"/>
      <c r="F223" s="655" t="str">
        <f>LEFT(AllDaqbookOffsets[[#This Row],[traceability_no]],2)</f>
        <v>J1</v>
      </c>
      <c r="N223" s="456"/>
      <c r="O223"/>
      <c r="W223" t="s">
        <v>662</v>
      </c>
      <c r="X223" t="s">
        <v>180</v>
      </c>
      <c r="Z223" s="460" t="str">
        <v>K531</v>
      </c>
      <c r="AA223" s="194" t="str">
        <v>K521-K534</v>
      </c>
      <c r="AB223"/>
      <c r="AG223" s="69" t="str">
        <v>K531</v>
      </c>
      <c r="AH223"/>
    </row>
    <row r="224" spans="1:34" x14ac:dyDescent="0.2">
      <c r="A224" s="655"/>
      <c r="B224" s="655"/>
      <c r="C224"/>
      <c r="D224" s="655"/>
      <c r="E224" s="655"/>
      <c r="F224" s="655" t="str">
        <f>LEFT(AllDaqbookOffsets[[#This Row],[traceability_no]],2)</f>
        <v>J1</v>
      </c>
      <c r="N224" s="456"/>
      <c r="O224"/>
      <c r="W224" t="s">
        <v>663</v>
      </c>
      <c r="X224" t="s">
        <v>180</v>
      </c>
      <c r="Z224" s="460" t="str">
        <v>K532</v>
      </c>
      <c r="AA224" s="194" t="str">
        <v>K521-K534</v>
      </c>
      <c r="AB224"/>
      <c r="AG224" s="69" t="str">
        <v>K532</v>
      </c>
      <c r="AH224"/>
    </row>
    <row r="225" spans="1:34" x14ac:dyDescent="0.2">
      <c r="A225" s="655"/>
      <c r="B225" s="655"/>
      <c r="C225"/>
      <c r="D225" s="655"/>
      <c r="E225" s="655"/>
      <c r="F225" s="655" t="str">
        <f>LEFT(AllDaqbookOffsets[[#This Row],[traceability_no]],2)</f>
        <v>J1</v>
      </c>
      <c r="N225" s="456"/>
      <c r="O225"/>
      <c r="W225" t="s">
        <v>664</v>
      </c>
      <c r="X225" t="s">
        <v>180</v>
      </c>
      <c r="Z225" s="460" t="str">
        <v>K533</v>
      </c>
      <c r="AA225" s="194" t="str">
        <v>K521-K534</v>
      </c>
      <c r="AB225"/>
      <c r="AG225" s="69" t="str">
        <v>K533</v>
      </c>
      <c r="AH225"/>
    </row>
    <row r="226" spans="1:34" x14ac:dyDescent="0.2">
      <c r="A226" s="655"/>
      <c r="B226" s="655"/>
      <c r="C226"/>
      <c r="D226" s="655"/>
      <c r="E226" s="655"/>
      <c r="F226" s="655" t="str">
        <f>LEFT(AllDaqbookOffsets[[#This Row],[traceability_no]],2)</f>
        <v>J1</v>
      </c>
      <c r="N226" s="456"/>
      <c r="O226"/>
      <c r="W226" t="s">
        <v>665</v>
      </c>
      <c r="X226" t="s">
        <v>180</v>
      </c>
      <c r="Z226" s="460" t="str">
        <v>K534</v>
      </c>
      <c r="AA226" s="194" t="str">
        <v>K521-K534</v>
      </c>
      <c r="AB226"/>
      <c r="AG226" s="69" t="str">
        <v>K534</v>
      </c>
      <c r="AH226"/>
    </row>
    <row r="227" spans="1:34" x14ac:dyDescent="0.2">
      <c r="A227" s="655"/>
      <c r="B227" s="655"/>
      <c r="C227"/>
      <c r="D227" s="655"/>
      <c r="E227" s="655"/>
      <c r="F227" s="655" t="str">
        <f>LEFT(AllDaqbookOffsets[[#This Row],[traceability_no]],2)</f>
        <v>J1</v>
      </c>
      <c r="N227" s="456"/>
      <c r="O227"/>
      <c r="W227" t="s">
        <v>666</v>
      </c>
      <c r="X227" t="s">
        <v>180</v>
      </c>
      <c r="Z227" s="460" t="str">
        <v>K601</v>
      </c>
      <c r="AA227" s="194" t="str">
        <v>K601-K610</v>
      </c>
      <c r="AB227"/>
      <c r="AG227" s="69" t="str">
        <v>K601</v>
      </c>
      <c r="AH227"/>
    </row>
    <row r="228" spans="1:34" x14ac:dyDescent="0.2">
      <c r="A228" s="655"/>
      <c r="B228" s="655"/>
      <c r="C228"/>
      <c r="D228" s="655"/>
      <c r="E228" s="655"/>
      <c r="F228" s="655" t="str">
        <f>LEFT(AllDaqbookOffsets[[#This Row],[traceability_no]],2)</f>
        <v>J1</v>
      </c>
      <c r="N228" s="456"/>
      <c r="O228"/>
      <c r="W228" t="s">
        <v>667</v>
      </c>
      <c r="X228" t="s">
        <v>181</v>
      </c>
      <c r="Z228" s="460" t="str">
        <v>K602</v>
      </c>
      <c r="AA228" s="194" t="str">
        <v>K601-K610</v>
      </c>
      <c r="AB228"/>
      <c r="AG228" s="69" t="str">
        <v>K602</v>
      </c>
      <c r="AH228"/>
    </row>
    <row r="229" spans="1:34" x14ac:dyDescent="0.2">
      <c r="A229" s="655"/>
      <c r="B229" s="655"/>
      <c r="C229"/>
      <c r="D229" s="655"/>
      <c r="E229" s="655"/>
      <c r="F229" s="655" t="str">
        <f>LEFT(AllDaqbookOffsets[[#This Row],[traceability_no]],2)</f>
        <v>J1</v>
      </c>
      <c r="N229" s="456"/>
      <c r="O229"/>
      <c r="W229" t="s">
        <v>668</v>
      </c>
      <c r="X229" t="s">
        <v>181</v>
      </c>
      <c r="Z229" s="460" t="str">
        <v>K603</v>
      </c>
      <c r="AA229" s="194" t="str">
        <v>K601-K610</v>
      </c>
      <c r="AB229"/>
      <c r="AG229" s="69" t="str">
        <v>K603</v>
      </c>
      <c r="AH229"/>
    </row>
    <row r="230" spans="1:34" x14ac:dyDescent="0.2">
      <c r="A230" s="655"/>
      <c r="B230" s="655"/>
      <c r="C230"/>
      <c r="D230" s="655"/>
      <c r="E230" s="655"/>
      <c r="F230" s="655" t="str">
        <f>LEFT(AllDaqbookOffsets[[#This Row],[traceability_no]],2)</f>
        <v>J1</v>
      </c>
      <c r="N230" s="456"/>
      <c r="O230"/>
      <c r="W230" t="s">
        <v>669</v>
      </c>
      <c r="X230" t="s">
        <v>181</v>
      </c>
      <c r="Z230" s="460" t="str">
        <v>K604</v>
      </c>
      <c r="AA230" s="194" t="str">
        <v>K601-K610</v>
      </c>
      <c r="AB230"/>
      <c r="AG230" s="69" t="str">
        <v>K604</v>
      </c>
      <c r="AH230"/>
    </row>
    <row r="231" spans="1:34" x14ac:dyDescent="0.2">
      <c r="A231" s="655"/>
      <c r="B231" s="655"/>
      <c r="C231"/>
      <c r="D231" s="655"/>
      <c r="E231" s="655"/>
      <c r="F231" s="655" t="str">
        <f>LEFT(AllDaqbookOffsets[[#This Row],[traceability_no]],2)</f>
        <v>J1</v>
      </c>
      <c r="N231" s="456"/>
      <c r="O231"/>
      <c r="W231" t="s">
        <v>670</v>
      </c>
      <c r="X231" t="s">
        <v>181</v>
      </c>
      <c r="Z231" s="460" t="str">
        <v>K605</v>
      </c>
      <c r="AA231" s="194" t="str">
        <v>K601-K610</v>
      </c>
      <c r="AB231"/>
      <c r="AG231" s="69" t="str">
        <v>K605</v>
      </c>
      <c r="AH231"/>
    </row>
    <row r="232" spans="1:34" x14ac:dyDescent="0.2">
      <c r="A232" s="655"/>
      <c r="B232" s="655"/>
      <c r="C232"/>
      <c r="D232" s="655"/>
      <c r="E232" s="655"/>
      <c r="F232" s="655" t="str">
        <f>LEFT(AllDaqbookOffsets[[#This Row],[traceability_no]],2)</f>
        <v>J1</v>
      </c>
      <c r="N232" s="456"/>
      <c r="O232"/>
      <c r="W232" t="s">
        <v>671</v>
      </c>
      <c r="X232" t="s">
        <v>181</v>
      </c>
      <c r="Z232" s="460" t="str">
        <v>K606</v>
      </c>
      <c r="AA232" s="194" t="str">
        <v>K601-K610</v>
      </c>
      <c r="AB232"/>
      <c r="AG232" s="69" t="str">
        <v>K606</v>
      </c>
      <c r="AH232"/>
    </row>
    <row r="233" spans="1:34" x14ac:dyDescent="0.2">
      <c r="A233" s="655"/>
      <c r="B233" s="655"/>
      <c r="C233"/>
      <c r="D233" s="655"/>
      <c r="E233" s="655"/>
      <c r="F233" s="655" t="str">
        <f>LEFT(AllDaqbookOffsets[[#This Row],[traceability_no]],2)</f>
        <v>J1</v>
      </c>
      <c r="N233" s="456"/>
      <c r="O233"/>
      <c r="W233" t="s">
        <v>672</v>
      </c>
      <c r="X233" t="s">
        <v>181</v>
      </c>
      <c r="Z233" s="460" t="str">
        <v>K607</v>
      </c>
      <c r="AA233" s="194" t="str">
        <v>K601-K610</v>
      </c>
      <c r="AB233"/>
      <c r="AG233" s="69" t="str">
        <v>K607</v>
      </c>
      <c r="AH233"/>
    </row>
    <row r="234" spans="1:34" x14ac:dyDescent="0.2">
      <c r="A234" s="655"/>
      <c r="B234" s="655"/>
      <c r="C234"/>
      <c r="D234" s="655"/>
      <c r="E234" s="655"/>
      <c r="F234" s="655" t="str">
        <f>LEFT(AllDaqbookOffsets[[#This Row],[traceability_no]],2)</f>
        <v>J1</v>
      </c>
      <c r="N234" s="456"/>
      <c r="O234"/>
      <c r="W234" t="s">
        <v>673</v>
      </c>
      <c r="X234" t="s">
        <v>181</v>
      </c>
      <c r="Z234" s="460" t="str">
        <v>K608</v>
      </c>
      <c r="AA234" s="194" t="str">
        <v>K601-K610</v>
      </c>
      <c r="AB234"/>
      <c r="AG234" s="69" t="str">
        <v>K608</v>
      </c>
      <c r="AH234"/>
    </row>
    <row r="235" spans="1:34" x14ac:dyDescent="0.2">
      <c r="A235" s="655"/>
      <c r="B235" s="655"/>
      <c r="C235"/>
      <c r="D235" s="655"/>
      <c r="E235" s="655"/>
      <c r="F235" s="655" t="str">
        <f>LEFT(AllDaqbookOffsets[[#This Row],[traceability_no]],2)</f>
        <v>J1</v>
      </c>
      <c r="N235" s="456"/>
      <c r="O235"/>
      <c r="W235" t="s">
        <v>674</v>
      </c>
      <c r="X235" t="s">
        <v>181</v>
      </c>
      <c r="Z235" s="460" t="str">
        <v>K609</v>
      </c>
      <c r="AA235" s="194" t="str">
        <v>K601-K610</v>
      </c>
      <c r="AB235"/>
      <c r="AG235" s="69" t="str">
        <v>K609</v>
      </c>
      <c r="AH235"/>
    </row>
    <row r="236" spans="1:34" x14ac:dyDescent="0.2">
      <c r="A236" s="655"/>
      <c r="B236" s="655"/>
      <c r="C236"/>
      <c r="D236" s="655"/>
      <c r="E236" s="655"/>
      <c r="F236" s="655" t="str">
        <f>LEFT(AllDaqbookOffsets[[#This Row],[traceability_no]],2)</f>
        <v>J1</v>
      </c>
      <c r="N236" s="456"/>
      <c r="O236"/>
      <c r="W236" t="s">
        <v>675</v>
      </c>
      <c r="X236" t="s">
        <v>181</v>
      </c>
      <c r="Z236" s="460" t="str">
        <v>K610</v>
      </c>
      <c r="AA236" s="194" t="str">
        <v>K601-K610</v>
      </c>
      <c r="AB236"/>
      <c r="AG236" s="69" t="str">
        <v>K610</v>
      </c>
      <c r="AH236"/>
    </row>
    <row r="237" spans="1:34" x14ac:dyDescent="0.2">
      <c r="A237" s="655"/>
      <c r="B237" s="655"/>
      <c r="C237"/>
      <c r="D237" s="655"/>
      <c r="E237" s="655"/>
      <c r="F237" s="655" t="str">
        <f>LEFT(AllDaqbookOffsets[[#This Row],[traceability_no]],2)</f>
        <v>J1</v>
      </c>
      <c r="N237" s="456"/>
      <c r="O237"/>
      <c r="W237" t="s">
        <v>676</v>
      </c>
      <c r="X237" t="s">
        <v>181</v>
      </c>
      <c r="Z237" s="460" t="str">
        <v>K701</v>
      </c>
      <c r="AA237" s="194" t="str">
        <v>K701-K710</v>
      </c>
      <c r="AB237"/>
      <c r="AG237" s="69" t="str">
        <v>K701</v>
      </c>
      <c r="AH237"/>
    </row>
    <row r="238" spans="1:34" x14ac:dyDescent="0.2">
      <c r="A238" s="655"/>
      <c r="B238" s="655"/>
      <c r="C238"/>
      <c r="D238" s="655"/>
      <c r="E238" s="655"/>
      <c r="F238" s="655" t="str">
        <f>LEFT(AllDaqbookOffsets[[#This Row],[traceability_no]],2)</f>
        <v>J1</v>
      </c>
      <c r="N238" s="456"/>
      <c r="O238"/>
      <c r="W238" t="s">
        <v>677</v>
      </c>
      <c r="X238" t="s">
        <v>257</v>
      </c>
      <c r="Z238" s="460" t="str">
        <v>K702</v>
      </c>
      <c r="AA238" s="194" t="str">
        <v>K701-K710</v>
      </c>
      <c r="AB238"/>
      <c r="AG238" s="69" t="str">
        <v>K702</v>
      </c>
      <c r="AH238"/>
    </row>
    <row r="239" spans="1:34" x14ac:dyDescent="0.2">
      <c r="A239" s="655"/>
      <c r="B239" s="655"/>
      <c r="C239"/>
      <c r="D239" s="655"/>
      <c r="E239" s="655"/>
      <c r="F239" s="655" t="str">
        <f>LEFT(AllDaqbookOffsets[[#This Row],[traceability_no]],2)</f>
        <v>J1</v>
      </c>
      <c r="N239" s="456"/>
      <c r="O239"/>
      <c r="W239" t="s">
        <v>678</v>
      </c>
      <c r="X239" t="s">
        <v>257</v>
      </c>
      <c r="Z239" s="460" t="str">
        <v>K703</v>
      </c>
      <c r="AA239" s="194" t="str">
        <v>K701-K710</v>
      </c>
      <c r="AB239"/>
      <c r="AG239" s="69" t="str">
        <v>K703</v>
      </c>
      <c r="AH239"/>
    </row>
    <row r="240" spans="1:34" x14ac:dyDescent="0.2">
      <c r="A240" s="655"/>
      <c r="B240" s="655"/>
      <c r="C240"/>
      <c r="D240" s="655"/>
      <c r="E240" s="655"/>
      <c r="F240" s="655" t="str">
        <f>LEFT(AllDaqbookOffsets[[#This Row],[traceability_no]],2)</f>
        <v>J1</v>
      </c>
      <c r="N240" s="456"/>
      <c r="O240"/>
      <c r="W240" t="s">
        <v>679</v>
      </c>
      <c r="X240" t="s">
        <v>257</v>
      </c>
      <c r="Z240" s="460" t="str">
        <v>K704</v>
      </c>
      <c r="AA240" s="194" t="str">
        <v>K701-K710</v>
      </c>
      <c r="AB240"/>
      <c r="AG240" s="69" t="str">
        <v>K704</v>
      </c>
      <c r="AH240"/>
    </row>
    <row r="241" spans="1:34" x14ac:dyDescent="0.2">
      <c r="A241" s="655"/>
      <c r="B241" s="655"/>
      <c r="C241"/>
      <c r="D241" s="655"/>
      <c r="E241" s="655"/>
      <c r="F241" s="655" t="str">
        <f>LEFT(AllDaqbookOffsets[[#This Row],[traceability_no]],2)</f>
        <v>J1</v>
      </c>
      <c r="N241" s="456"/>
      <c r="O241"/>
      <c r="W241" t="s">
        <v>680</v>
      </c>
      <c r="X241" t="s">
        <v>257</v>
      </c>
      <c r="Z241" s="460" t="str">
        <v>K705</v>
      </c>
      <c r="AA241" s="194" t="str">
        <v>K701-K710</v>
      </c>
      <c r="AB241"/>
      <c r="AG241" s="69" t="str">
        <v>K705</v>
      </c>
      <c r="AH241"/>
    </row>
    <row r="242" spans="1:34" x14ac:dyDescent="0.2">
      <c r="A242" s="655"/>
      <c r="B242" s="655"/>
      <c r="C242"/>
      <c r="D242" s="655"/>
      <c r="E242" s="655"/>
      <c r="F242" s="655" t="str">
        <f>LEFT(AllDaqbookOffsets[[#This Row],[traceability_no]],2)</f>
        <v>J2</v>
      </c>
      <c r="N242" s="456"/>
      <c r="O242"/>
      <c r="W242" t="s">
        <v>681</v>
      </c>
      <c r="X242" t="s">
        <v>257</v>
      </c>
      <c r="Z242" s="460" t="str">
        <v>K706</v>
      </c>
      <c r="AA242" s="194" t="str">
        <v>K701-K710</v>
      </c>
      <c r="AB242"/>
      <c r="AG242" s="69" t="str">
        <v>K706</v>
      </c>
      <c r="AH242"/>
    </row>
    <row r="243" spans="1:34" x14ac:dyDescent="0.2">
      <c r="A243" s="655"/>
      <c r="B243" s="655"/>
      <c r="C243"/>
      <c r="D243" s="655"/>
      <c r="E243" s="655"/>
      <c r="F243" s="655" t="str">
        <f>LEFT(AllDaqbookOffsets[[#This Row],[traceability_no]],2)</f>
        <v>J2</v>
      </c>
      <c r="N243" s="456"/>
      <c r="O243"/>
      <c r="W243" t="s">
        <v>682</v>
      </c>
      <c r="X243" t="s">
        <v>257</v>
      </c>
      <c r="Z243" s="460" t="str">
        <v>K707</v>
      </c>
      <c r="AA243" s="194" t="str">
        <v>K701-K710</v>
      </c>
      <c r="AB243"/>
      <c r="AG243" s="69" t="str">
        <v>K707</v>
      </c>
      <c r="AH243"/>
    </row>
    <row r="244" spans="1:34" x14ac:dyDescent="0.2">
      <c r="A244" s="655"/>
      <c r="B244" s="655"/>
      <c r="C244"/>
      <c r="D244" s="655"/>
      <c r="E244" s="655"/>
      <c r="F244" s="655" t="str">
        <f>LEFT(AllDaqbookOffsets[[#This Row],[traceability_no]],2)</f>
        <v>J2</v>
      </c>
      <c r="N244" s="456"/>
      <c r="O244"/>
      <c r="W244" t="s">
        <v>683</v>
      </c>
      <c r="X244" t="s">
        <v>257</v>
      </c>
      <c r="Z244" s="460" t="str">
        <v>K708</v>
      </c>
      <c r="AA244" s="194" t="str">
        <v>K701-K710</v>
      </c>
      <c r="AB244"/>
      <c r="AG244" s="69" t="str">
        <v>K708</v>
      </c>
      <c r="AH244"/>
    </row>
    <row r="245" spans="1:34" x14ac:dyDescent="0.2">
      <c r="A245" s="655"/>
      <c r="B245" s="655"/>
      <c r="C245"/>
      <c r="D245" s="655"/>
      <c r="E245" s="655"/>
      <c r="F245" s="655" t="str">
        <f>LEFT(AllDaqbookOffsets[[#This Row],[traceability_no]],2)</f>
        <v>J2</v>
      </c>
      <c r="N245" s="456"/>
      <c r="O245"/>
      <c r="W245" t="s">
        <v>684</v>
      </c>
      <c r="X245" t="s">
        <v>257</v>
      </c>
      <c r="Z245" s="460" t="str">
        <v>K709</v>
      </c>
      <c r="AA245" s="194" t="str">
        <v>K701-K710</v>
      </c>
      <c r="AB245"/>
      <c r="AG245" s="69" t="str">
        <v>K709</v>
      </c>
      <c r="AH245"/>
    </row>
    <row r="246" spans="1:34" x14ac:dyDescent="0.2">
      <c r="A246" s="655"/>
      <c r="B246" s="655"/>
      <c r="C246"/>
      <c r="D246" s="655"/>
      <c r="E246" s="655"/>
      <c r="F246" s="655" t="str">
        <f>LEFT(AllDaqbookOffsets[[#This Row],[traceability_no]],2)</f>
        <v>J2</v>
      </c>
      <c r="N246" s="456"/>
      <c r="O246"/>
      <c r="W246" t="s">
        <v>685</v>
      </c>
      <c r="X246" t="s">
        <v>257</v>
      </c>
      <c r="Z246" s="460" t="str">
        <v>K710</v>
      </c>
      <c r="AA246" s="194" t="str">
        <v>K701-K710</v>
      </c>
      <c r="AB246"/>
      <c r="AG246" s="69" t="str">
        <v>K710</v>
      </c>
      <c r="AH246"/>
    </row>
    <row r="247" spans="1:34" x14ac:dyDescent="0.2">
      <c r="A247" s="655"/>
      <c r="B247" s="655"/>
      <c r="C247"/>
      <c r="D247" s="655"/>
      <c r="E247" s="655"/>
      <c r="F247" s="655" t="str">
        <f>LEFT(AllDaqbookOffsets[[#This Row],[traceability_no]],2)</f>
        <v>J2</v>
      </c>
      <c r="N247" s="456"/>
      <c r="O247"/>
      <c r="W247" t="s">
        <v>686</v>
      </c>
      <c r="X247" t="s">
        <v>257</v>
      </c>
      <c r="Z247" s="460" t="str">
        <v>K801</v>
      </c>
      <c r="AA247" s="194" t="str">
        <v>K801-K816</v>
      </c>
      <c r="AB247"/>
      <c r="AG247" s="69" t="str">
        <v>K801</v>
      </c>
      <c r="AH247"/>
    </row>
    <row r="248" spans="1:34" x14ac:dyDescent="0.2">
      <c r="A248" s="655"/>
      <c r="B248" s="655"/>
      <c r="C248"/>
      <c r="D248" s="655"/>
      <c r="E248" s="655"/>
      <c r="F248" s="655" t="str">
        <f>LEFT(AllDaqbookOffsets[[#This Row],[traceability_no]],2)</f>
        <v>J2</v>
      </c>
      <c r="N248" s="456"/>
      <c r="O248"/>
      <c r="W248" t="s">
        <v>693</v>
      </c>
      <c r="X248" t="s">
        <v>182</v>
      </c>
      <c r="Z248" s="460" t="str">
        <v>K802</v>
      </c>
      <c r="AA248" s="194" t="str">
        <v>K801-K816</v>
      </c>
      <c r="AB248"/>
      <c r="AG248" s="69" t="str">
        <v>K802</v>
      </c>
      <c r="AH248"/>
    </row>
    <row r="249" spans="1:34" x14ac:dyDescent="0.2">
      <c r="A249" s="655"/>
      <c r="B249" s="655"/>
      <c r="C249"/>
      <c r="D249" s="655"/>
      <c r="E249" s="655"/>
      <c r="F249" s="655" t="str">
        <f>LEFT(AllDaqbookOffsets[[#This Row],[traceability_no]],2)</f>
        <v>J2</v>
      </c>
      <c r="N249" s="456"/>
      <c r="O249"/>
      <c r="W249" t="s">
        <v>694</v>
      </c>
      <c r="X249" t="s">
        <v>182</v>
      </c>
      <c r="Z249" s="460" t="str">
        <v>K803</v>
      </c>
      <c r="AA249" s="194" t="str">
        <v>K801-K816</v>
      </c>
      <c r="AB249"/>
      <c r="AG249" s="69" t="str">
        <v>K803</v>
      </c>
      <c r="AH249"/>
    </row>
    <row r="250" spans="1:34" x14ac:dyDescent="0.2">
      <c r="A250" s="655"/>
      <c r="B250" s="655"/>
      <c r="C250"/>
      <c r="D250" s="655"/>
      <c r="E250" s="655"/>
      <c r="F250" s="655" t="str">
        <f>LEFT(AllDaqbookOffsets[[#This Row],[traceability_no]],2)</f>
        <v>J2</v>
      </c>
      <c r="N250" s="456"/>
      <c r="O250"/>
      <c r="W250" t="s">
        <v>695</v>
      </c>
      <c r="X250" t="s">
        <v>182</v>
      </c>
      <c r="Z250" s="460" t="str">
        <v>K804</v>
      </c>
      <c r="AA250" s="194" t="str">
        <v>K801-K816</v>
      </c>
      <c r="AB250"/>
      <c r="AG250" s="69" t="str">
        <v>K804</v>
      </c>
      <c r="AH250"/>
    </row>
    <row r="251" spans="1:34" x14ac:dyDescent="0.2">
      <c r="A251" s="655"/>
      <c r="B251" s="655"/>
      <c r="C251"/>
      <c r="D251" s="655"/>
      <c r="E251" s="655"/>
      <c r="F251" s="655" t="str">
        <f>LEFT(AllDaqbookOffsets[[#This Row],[traceability_no]],2)</f>
        <v>J2</v>
      </c>
      <c r="N251" s="456"/>
      <c r="O251"/>
      <c r="W251" t="s">
        <v>696</v>
      </c>
      <c r="X251" t="s">
        <v>182</v>
      </c>
      <c r="Z251" s="460" t="str">
        <v>K805</v>
      </c>
      <c r="AA251" s="194" t="str">
        <v>K801-K816</v>
      </c>
      <c r="AB251"/>
      <c r="AG251" s="69" t="str">
        <v>K805</v>
      </c>
      <c r="AH251"/>
    </row>
    <row r="252" spans="1:34" x14ac:dyDescent="0.2">
      <c r="A252" s="655"/>
      <c r="B252" s="655"/>
      <c r="C252"/>
      <c r="D252" s="655"/>
      <c r="E252" s="655"/>
      <c r="F252" s="655" t="str">
        <f>LEFT(AllDaqbookOffsets[[#This Row],[traceability_no]],2)</f>
        <v>J2</v>
      </c>
      <c r="N252" s="456"/>
      <c r="O252"/>
      <c r="W252" t="s">
        <v>697</v>
      </c>
      <c r="X252" t="s">
        <v>182</v>
      </c>
      <c r="Z252" s="460" t="str">
        <v>K806</v>
      </c>
      <c r="AA252" s="194" t="str">
        <v>K801-K816</v>
      </c>
      <c r="AB252"/>
      <c r="AG252" s="69" t="str">
        <v>K806</v>
      </c>
      <c r="AH252"/>
    </row>
    <row r="253" spans="1:34" x14ac:dyDescent="0.2">
      <c r="A253" s="655"/>
      <c r="B253" s="655"/>
      <c r="C253"/>
      <c r="D253" s="655"/>
      <c r="E253" s="655"/>
      <c r="F253" s="655" t="str">
        <f>LEFT(AllDaqbookOffsets[[#This Row],[traceability_no]],2)</f>
        <v>J2</v>
      </c>
      <c r="N253" s="456"/>
      <c r="O253"/>
      <c r="W253" t="s">
        <v>698</v>
      </c>
      <c r="X253" t="s">
        <v>182</v>
      </c>
      <c r="Z253" s="460" t="str">
        <v>K807</v>
      </c>
      <c r="AA253" s="194" t="str">
        <v>K801-K816</v>
      </c>
      <c r="AB253"/>
      <c r="AG253" s="69" t="str">
        <v>K807</v>
      </c>
      <c r="AH253"/>
    </row>
    <row r="254" spans="1:34" x14ac:dyDescent="0.2">
      <c r="A254" s="655"/>
      <c r="B254" s="655"/>
      <c r="C254"/>
      <c r="D254" s="655"/>
      <c r="E254" s="655"/>
      <c r="F254" s="655" t="str">
        <f>LEFT(AllDaqbookOffsets[[#This Row],[traceability_no]],2)</f>
        <v>J2</v>
      </c>
      <c r="N254" s="456"/>
      <c r="O254"/>
      <c r="W254" t="s">
        <v>699</v>
      </c>
      <c r="X254" t="s">
        <v>182</v>
      </c>
      <c r="Z254" s="460" t="str">
        <v>K808</v>
      </c>
      <c r="AA254" s="194" t="str">
        <v>K801-K816</v>
      </c>
      <c r="AB254"/>
      <c r="AG254" s="69" t="str">
        <v>K808</v>
      </c>
      <c r="AH254"/>
    </row>
    <row r="255" spans="1:34" x14ac:dyDescent="0.2">
      <c r="A255" s="655"/>
      <c r="B255" s="655"/>
      <c r="C255"/>
      <c r="D255" s="655"/>
      <c r="E255" s="655"/>
      <c r="F255" s="655" t="str">
        <f>LEFT(AllDaqbookOffsets[[#This Row],[traceability_no]],2)</f>
        <v>J2</v>
      </c>
      <c r="N255" s="456"/>
      <c r="O255"/>
      <c r="W255" t="s">
        <v>700</v>
      </c>
      <c r="X255" t="s">
        <v>182</v>
      </c>
      <c r="Z255" s="460" t="str">
        <v>K809</v>
      </c>
      <c r="AA255" s="194" t="str">
        <v>K801-K816</v>
      </c>
      <c r="AB255"/>
      <c r="AG255" s="69" t="str">
        <v>K809</v>
      </c>
      <c r="AH255"/>
    </row>
    <row r="256" spans="1:34" x14ac:dyDescent="0.2">
      <c r="A256" s="655"/>
      <c r="B256" s="655"/>
      <c r="C256"/>
      <c r="D256" s="655"/>
      <c r="E256" s="655"/>
      <c r="F256" s="655" t="str">
        <f>LEFT(AllDaqbookOffsets[[#This Row],[traceability_no]],2)</f>
        <v>J2</v>
      </c>
      <c r="N256" s="456"/>
      <c r="O256"/>
      <c r="W256" t="s">
        <v>701</v>
      </c>
      <c r="X256" t="s">
        <v>182</v>
      </c>
      <c r="Z256" s="460" t="str">
        <v>K810</v>
      </c>
      <c r="AA256" s="194" t="str">
        <v>K801-K816</v>
      </c>
      <c r="AB256"/>
      <c r="AG256" s="69" t="str">
        <v>K810</v>
      </c>
      <c r="AH256"/>
    </row>
    <row r="257" spans="1:34" x14ac:dyDescent="0.2">
      <c r="A257" s="655"/>
      <c r="B257" s="655"/>
      <c r="C257"/>
      <c r="D257" s="655"/>
      <c r="E257" s="655"/>
      <c r="F257" s="655" t="str">
        <f>LEFT(AllDaqbookOffsets[[#This Row],[traceability_no]],2)</f>
        <v>J2</v>
      </c>
      <c r="N257" s="456"/>
      <c r="O257"/>
      <c r="W257" t="s">
        <v>687</v>
      </c>
      <c r="X257" t="s">
        <v>257</v>
      </c>
      <c r="Z257" s="460" t="str">
        <v>K811</v>
      </c>
      <c r="AA257" s="194" t="str">
        <v>K801-K816</v>
      </c>
      <c r="AB257"/>
      <c r="AG257" s="69" t="str">
        <v>K811</v>
      </c>
      <c r="AH257"/>
    </row>
    <row r="258" spans="1:34" x14ac:dyDescent="0.2">
      <c r="A258" s="655"/>
      <c r="B258" s="655"/>
      <c r="C258"/>
      <c r="D258" s="655"/>
      <c r="E258" s="655"/>
      <c r="F258" s="655" t="str">
        <f>LEFT(AllDaqbookOffsets[[#This Row],[traceability_no]],2)</f>
        <v>J2</v>
      </c>
      <c r="N258" s="456"/>
      <c r="O258"/>
      <c r="W258" t="s">
        <v>702</v>
      </c>
      <c r="X258" t="s">
        <v>182</v>
      </c>
      <c r="Z258" s="460" t="str">
        <v>K812</v>
      </c>
      <c r="AA258" s="194" t="str">
        <v>K801-K816</v>
      </c>
      <c r="AB258"/>
      <c r="AG258" s="69" t="str">
        <v>K812</v>
      </c>
      <c r="AH258"/>
    </row>
    <row r="259" spans="1:34" x14ac:dyDescent="0.2">
      <c r="A259" s="655"/>
      <c r="B259" s="655"/>
      <c r="C259"/>
      <c r="D259" s="655"/>
      <c r="E259" s="655"/>
      <c r="F259" s="655" t="str">
        <f>LEFT(AllDaqbookOffsets[[#This Row],[traceability_no]],2)</f>
        <v>J2</v>
      </c>
      <c r="N259" s="456"/>
      <c r="O259"/>
      <c r="W259" t="s">
        <v>703</v>
      </c>
      <c r="X259" t="s">
        <v>182</v>
      </c>
      <c r="Z259" s="460" t="str">
        <v>K813</v>
      </c>
      <c r="AA259" s="194" t="str">
        <v>K801-K816</v>
      </c>
      <c r="AB259"/>
      <c r="AG259" s="69" t="str">
        <v>K813</v>
      </c>
      <c r="AH259"/>
    </row>
    <row r="260" spans="1:34" x14ac:dyDescent="0.2">
      <c r="A260" s="655"/>
      <c r="B260" s="655"/>
      <c r="C260"/>
      <c r="D260" s="655"/>
      <c r="E260" s="655"/>
      <c r="F260" s="655" t="str">
        <f>LEFT(AllDaqbookOffsets[[#This Row],[traceability_no]],2)</f>
        <v>J2</v>
      </c>
      <c r="N260" s="456"/>
      <c r="O260"/>
      <c r="W260" t="s">
        <v>704</v>
      </c>
      <c r="X260" t="s">
        <v>182</v>
      </c>
      <c r="Z260" s="460" t="str">
        <v>K814</v>
      </c>
      <c r="AA260" s="194" t="str">
        <v>K801-K816</v>
      </c>
      <c r="AB260"/>
      <c r="AG260" s="69" t="str">
        <v>K814</v>
      </c>
      <c r="AH260"/>
    </row>
    <row r="261" spans="1:34" x14ac:dyDescent="0.2">
      <c r="A261" s="655"/>
      <c r="B261" s="655"/>
      <c r="C261"/>
      <c r="D261" s="655"/>
      <c r="E261" s="655"/>
      <c r="F261" s="655" t="str">
        <f>LEFT(AllDaqbookOffsets[[#This Row],[traceability_no]],2)</f>
        <v>J2</v>
      </c>
      <c r="N261" s="456"/>
      <c r="O261"/>
      <c r="W261" t="s">
        <v>688</v>
      </c>
      <c r="X261" t="s">
        <v>257</v>
      </c>
      <c r="Z261" s="460" t="str">
        <v>K815</v>
      </c>
      <c r="AA261" s="194" t="str">
        <v>K801-K816</v>
      </c>
      <c r="AB261"/>
      <c r="AG261" s="69" t="str">
        <v>K815</v>
      </c>
      <c r="AH261"/>
    </row>
    <row r="262" spans="1:34" x14ac:dyDescent="0.2">
      <c r="A262" s="655"/>
      <c r="B262" s="655"/>
      <c r="C262"/>
      <c r="D262" s="655"/>
      <c r="E262" s="655"/>
      <c r="F262" s="655" t="str">
        <f>LEFT(AllDaqbookOffsets[[#This Row],[traceability_no]],2)</f>
        <v>J2</v>
      </c>
      <c r="N262" s="456"/>
      <c r="O262"/>
      <c r="W262" t="s">
        <v>689</v>
      </c>
      <c r="X262" t="s">
        <v>257</v>
      </c>
      <c r="Z262" s="460" t="str">
        <v>K816</v>
      </c>
      <c r="AA262" s="194" t="str">
        <v>K801-K816</v>
      </c>
      <c r="AB262"/>
      <c r="AG262" s="69" t="str">
        <v>K816</v>
      </c>
      <c r="AH262"/>
    </row>
    <row r="263" spans="1:34" x14ac:dyDescent="0.2">
      <c r="A263" s="655"/>
      <c r="B263" s="655"/>
      <c r="C263"/>
      <c r="D263" s="655"/>
      <c r="E263" s="655"/>
      <c r="F263" s="655" t="str">
        <f>LEFT(AllDaqbookOffsets[[#This Row],[traceability_no]],2)</f>
        <v>J2</v>
      </c>
      <c r="N263" s="456"/>
      <c r="O263"/>
      <c r="W263" t="s">
        <v>690</v>
      </c>
      <c r="X263" t="s">
        <v>257</v>
      </c>
      <c r="Z263" s="460" t="str">
        <v>K901</v>
      </c>
      <c r="AA263" s="194" t="str">
        <v>K901-K910</v>
      </c>
      <c r="AB263"/>
      <c r="AG263" s="69" t="str">
        <v>K901</v>
      </c>
      <c r="AH263"/>
    </row>
    <row r="264" spans="1:34" x14ac:dyDescent="0.2">
      <c r="A264" s="655"/>
      <c r="B264" s="655"/>
      <c r="C264"/>
      <c r="D264" s="655"/>
      <c r="E264" s="655"/>
      <c r="F264" s="655" t="str">
        <f>LEFT(AllDaqbookOffsets[[#This Row],[traceability_no]],2)</f>
        <v>J2</v>
      </c>
      <c r="N264" s="456"/>
      <c r="O264"/>
      <c r="W264" t="s">
        <v>691</v>
      </c>
      <c r="X264" t="s">
        <v>257</v>
      </c>
      <c r="Z264" s="460" t="str">
        <v>K902</v>
      </c>
      <c r="AA264" s="194" t="str">
        <v>K901-K910</v>
      </c>
      <c r="AB264"/>
      <c r="AG264" s="69" t="str">
        <v>K902</v>
      </c>
      <c r="AH264"/>
    </row>
    <row r="265" spans="1:34" x14ac:dyDescent="0.2">
      <c r="A265" s="655"/>
      <c r="B265" s="655"/>
      <c r="C265"/>
      <c r="D265" s="655"/>
      <c r="E265" s="655"/>
      <c r="F265" s="655" t="str">
        <f>LEFT(AllDaqbookOffsets[[#This Row],[traceability_no]],2)</f>
        <v>J2</v>
      </c>
      <c r="N265" s="456"/>
      <c r="O265"/>
      <c r="W265" t="s">
        <v>692</v>
      </c>
      <c r="X265" t="s">
        <v>257</v>
      </c>
      <c r="Z265" s="460" t="str">
        <v>K903</v>
      </c>
      <c r="AA265" s="194" t="str">
        <v>K901-K910</v>
      </c>
      <c r="AB265"/>
      <c r="AG265" s="69" t="str">
        <v>K903</v>
      </c>
      <c r="AH265"/>
    </row>
    <row r="266" spans="1:34" x14ac:dyDescent="0.2">
      <c r="A266" s="655"/>
      <c r="B266" s="655"/>
      <c r="C266"/>
      <c r="D266" s="655"/>
      <c r="E266" s="655"/>
      <c r="F266" s="655" t="str">
        <f>LEFT(AllDaqbookOffsets[[#This Row],[traceability_no]],2)</f>
        <v>J2</v>
      </c>
      <c r="N266" s="456"/>
      <c r="O266"/>
      <c r="W266" t="s">
        <v>705</v>
      </c>
      <c r="X266" t="s">
        <v>183</v>
      </c>
      <c r="Z266" s="460" t="str">
        <v>K904</v>
      </c>
      <c r="AA266" s="194" t="str">
        <v>K901-K910</v>
      </c>
      <c r="AB266"/>
      <c r="AG266" s="69" t="str">
        <v>K904</v>
      </c>
      <c r="AH266"/>
    </row>
    <row r="267" spans="1:34" x14ac:dyDescent="0.2">
      <c r="A267" s="655"/>
      <c r="B267" s="655"/>
      <c r="C267"/>
      <c r="D267" s="655"/>
      <c r="E267" s="655"/>
      <c r="F267" s="655" t="str">
        <f>LEFT(AllDaqbookOffsets[[#This Row],[traceability_no]],2)</f>
        <v>J2</v>
      </c>
      <c r="N267" s="456"/>
      <c r="O267"/>
      <c r="W267" t="s">
        <v>706</v>
      </c>
      <c r="X267" t="s">
        <v>183</v>
      </c>
      <c r="Z267" s="460" t="str">
        <v>K905</v>
      </c>
      <c r="AA267" s="194" t="str">
        <v>K901-K910</v>
      </c>
      <c r="AB267"/>
      <c r="AG267" s="69" t="str">
        <v>K905</v>
      </c>
      <c r="AH267"/>
    </row>
    <row r="268" spans="1:34" x14ac:dyDescent="0.2">
      <c r="A268" s="655"/>
      <c r="B268" s="655"/>
      <c r="C268"/>
      <c r="D268" s="655"/>
      <c r="E268" s="655"/>
      <c r="F268" s="655" t="str">
        <f>LEFT(AllDaqbookOffsets[[#This Row],[traceability_no]],2)</f>
        <v>J2</v>
      </c>
      <c r="N268" s="456"/>
      <c r="O268"/>
      <c r="W268" t="s">
        <v>707</v>
      </c>
      <c r="X268" t="s">
        <v>183</v>
      </c>
      <c r="Z268" s="460" t="str">
        <v>K906</v>
      </c>
      <c r="AA268" s="194" t="str">
        <v>K901-K910</v>
      </c>
      <c r="AB268"/>
      <c r="AG268" s="69" t="str">
        <v>K906</v>
      </c>
      <c r="AH268"/>
    </row>
    <row r="269" spans="1:34" x14ac:dyDescent="0.2">
      <c r="A269" s="655"/>
      <c r="B269" s="655"/>
      <c r="C269"/>
      <c r="D269" s="655"/>
      <c r="E269" s="655"/>
      <c r="F269" s="655" t="str">
        <f>LEFT(AllDaqbookOffsets[[#This Row],[traceability_no]],2)</f>
        <v>J2</v>
      </c>
      <c r="N269" s="456"/>
      <c r="O269"/>
      <c r="W269" t="s">
        <v>708</v>
      </c>
      <c r="X269" t="s">
        <v>183</v>
      </c>
      <c r="Z269" s="460" t="str">
        <v>K907</v>
      </c>
      <c r="AA269" s="194" t="str">
        <v>K901-K910</v>
      </c>
      <c r="AB269"/>
      <c r="AG269" s="69" t="str">
        <v>K907</v>
      </c>
      <c r="AH269"/>
    </row>
    <row r="270" spans="1:34" x14ac:dyDescent="0.2">
      <c r="A270" s="655"/>
      <c r="B270" s="655"/>
      <c r="C270"/>
      <c r="D270" s="655"/>
      <c r="E270" s="655"/>
      <c r="F270" s="655" t="str">
        <f>LEFT(AllDaqbookOffsets[[#This Row],[traceability_no]],2)</f>
        <v>J2</v>
      </c>
      <c r="N270" s="456"/>
      <c r="O270"/>
      <c r="W270" t="s">
        <v>709</v>
      </c>
      <c r="X270" t="s">
        <v>183</v>
      </c>
      <c r="Z270" s="460" t="str">
        <v>K908</v>
      </c>
      <c r="AA270" s="194" t="str">
        <v>K901-K910</v>
      </c>
      <c r="AB270"/>
      <c r="AG270" s="69" t="str">
        <v>K908</v>
      </c>
      <c r="AH270"/>
    </row>
    <row r="271" spans="1:34" x14ac:dyDescent="0.2">
      <c r="A271" s="655"/>
      <c r="B271" s="655"/>
      <c r="C271"/>
      <c r="D271" s="655"/>
      <c r="E271" s="655"/>
      <c r="F271" s="655" t="str">
        <f>LEFT(AllDaqbookOffsets[[#This Row],[traceability_no]],2)</f>
        <v>J2</v>
      </c>
      <c r="N271" s="456"/>
      <c r="O271"/>
      <c r="W271" t="s">
        <v>710</v>
      </c>
      <c r="X271" t="s">
        <v>183</v>
      </c>
      <c r="Z271" s="460" t="str">
        <v>K909</v>
      </c>
      <c r="AA271" s="194" t="str">
        <v>K901-K910</v>
      </c>
      <c r="AB271"/>
      <c r="AG271" s="69" t="str">
        <v>K909</v>
      </c>
      <c r="AH271"/>
    </row>
    <row r="272" spans="1:34" x14ac:dyDescent="0.2">
      <c r="A272" s="655"/>
      <c r="B272" s="655"/>
      <c r="C272"/>
      <c r="D272" s="655"/>
      <c r="E272" s="655"/>
      <c r="F272" s="655" t="str">
        <f>LEFT(AllDaqbookOffsets[[#This Row],[traceability_no]],2)</f>
        <v>J2</v>
      </c>
      <c r="N272" s="456"/>
      <c r="O272"/>
      <c r="W272" t="s">
        <v>711</v>
      </c>
      <c r="X272" t="s">
        <v>183</v>
      </c>
      <c r="Z272" s="460" t="str">
        <v>K910</v>
      </c>
      <c r="AA272" s="194" t="str">
        <v>K901-K910</v>
      </c>
      <c r="AB272"/>
      <c r="AG272" s="69" t="str">
        <v>K910</v>
      </c>
      <c r="AH272"/>
    </row>
    <row r="273" spans="1:34" x14ac:dyDescent="0.2">
      <c r="A273" s="655"/>
      <c r="B273" s="655"/>
      <c r="C273"/>
      <c r="D273" s="655"/>
      <c r="E273" s="655"/>
      <c r="F273" s="655" t="str">
        <f>LEFT(AllDaqbookOffsets[[#This Row],[traceability_no]],2)</f>
        <v>J2</v>
      </c>
      <c r="N273" s="456"/>
      <c r="O273"/>
      <c r="W273" t="s">
        <v>712</v>
      </c>
      <c r="X273" t="s">
        <v>183</v>
      </c>
      <c r="Z273" s="460" t="str">
        <v>N01</v>
      </c>
      <c r="AA273" s="194" t="str">
        <v>N01-N16</v>
      </c>
      <c r="AB273"/>
      <c r="AG273" s="69" t="str">
        <v>N01</v>
      </c>
      <c r="AH273"/>
    </row>
    <row r="274" spans="1:34" x14ac:dyDescent="0.2">
      <c r="A274" s="655"/>
      <c r="B274" s="655"/>
      <c r="C274"/>
      <c r="D274" s="655"/>
      <c r="E274" s="655"/>
      <c r="F274" s="655" t="str">
        <f>LEFT(AllDaqbookOffsets[[#This Row],[traceability_no]],2)</f>
        <v>J2</v>
      </c>
      <c r="N274" s="456"/>
      <c r="O274"/>
      <c r="W274" t="s">
        <v>713</v>
      </c>
      <c r="X274" t="s">
        <v>183</v>
      </c>
      <c r="Z274" s="460" t="str">
        <v>N02</v>
      </c>
      <c r="AA274" s="194" t="str">
        <v>N01-N16</v>
      </c>
      <c r="AB274"/>
      <c r="AG274" s="69" t="str">
        <v>N02</v>
      </c>
      <c r="AH274"/>
    </row>
    <row r="275" spans="1:34" x14ac:dyDescent="0.2">
      <c r="A275" s="655"/>
      <c r="B275" s="655"/>
      <c r="C275"/>
      <c r="D275" s="655"/>
      <c r="E275" s="655"/>
      <c r="F275" s="655" t="str">
        <f>LEFT(AllDaqbookOffsets[[#This Row],[traceability_no]],2)</f>
        <v>J2</v>
      </c>
      <c r="N275" s="456"/>
      <c r="O275"/>
      <c r="W275" t="s">
        <v>714</v>
      </c>
      <c r="X275" t="s">
        <v>183</v>
      </c>
      <c r="Z275" s="460" t="str">
        <v>N03</v>
      </c>
      <c r="AA275" s="194" t="str">
        <v>N01-N16</v>
      </c>
      <c r="AB275"/>
      <c r="AG275" s="69" t="str">
        <v>N03</v>
      </c>
      <c r="AH275"/>
    </row>
    <row r="276" spans="1:34" x14ac:dyDescent="0.2">
      <c r="A276" s="655"/>
      <c r="B276" s="655"/>
      <c r="C276"/>
      <c r="D276" s="655"/>
      <c r="E276" s="655"/>
      <c r="F276" s="655" t="str">
        <f>LEFT(AllDaqbookOffsets[[#This Row],[traceability_no]],2)</f>
        <v>J2</v>
      </c>
      <c r="N276" s="456"/>
      <c r="O276"/>
      <c r="W276" t="s">
        <v>715</v>
      </c>
      <c r="X276" t="s">
        <v>183</v>
      </c>
      <c r="Z276" s="460" t="str">
        <v>N04</v>
      </c>
      <c r="AA276" s="194" t="str">
        <v>N01-N16</v>
      </c>
      <c r="AB276"/>
      <c r="AG276" s="69" t="str">
        <v>N04</v>
      </c>
      <c r="AH276"/>
    </row>
    <row r="277" spans="1:34" x14ac:dyDescent="0.2">
      <c r="A277" s="655"/>
      <c r="B277" s="655"/>
      <c r="C277"/>
      <c r="D277" s="655"/>
      <c r="E277" s="655"/>
      <c r="F277" s="655" t="str">
        <f>LEFT(AllDaqbookOffsets[[#This Row],[traceability_no]],2)</f>
        <v>J2</v>
      </c>
      <c r="N277" s="456"/>
      <c r="O277"/>
      <c r="W277" t="s">
        <v>716</v>
      </c>
      <c r="X277" t="s">
        <v>183</v>
      </c>
      <c r="Z277" s="460" t="str">
        <v>N05</v>
      </c>
      <c r="AA277" s="194" t="str">
        <v>N01-N16</v>
      </c>
      <c r="AB277"/>
      <c r="AG277" s="69" t="str">
        <v>N05</v>
      </c>
      <c r="AH277"/>
    </row>
    <row r="278" spans="1:34" x14ac:dyDescent="0.2">
      <c r="A278" s="655"/>
      <c r="B278" s="655"/>
      <c r="C278"/>
      <c r="D278" s="655"/>
      <c r="E278" s="655"/>
      <c r="F278" s="655" t="str">
        <f>LEFT(AllDaqbookOffsets[[#This Row],[traceability_no]],2)</f>
        <v>J2</v>
      </c>
      <c r="N278" s="456"/>
      <c r="O278"/>
      <c r="W278" t="s">
        <v>717</v>
      </c>
      <c r="X278" t="s">
        <v>183</v>
      </c>
      <c r="Z278" s="460" t="str">
        <v>N06</v>
      </c>
      <c r="AA278" s="194" t="str">
        <v>N01-N16</v>
      </c>
      <c r="AB278"/>
      <c r="AG278" s="69" t="str">
        <v>N06</v>
      </c>
      <c r="AH278"/>
    </row>
    <row r="279" spans="1:34" x14ac:dyDescent="0.2">
      <c r="A279" s="655"/>
      <c r="B279" s="655"/>
      <c r="C279"/>
      <c r="D279" s="655"/>
      <c r="E279" s="655"/>
      <c r="F279" s="655" t="str">
        <f>LEFT(AllDaqbookOffsets[[#This Row],[traceability_no]],2)</f>
        <v>J2</v>
      </c>
      <c r="N279" s="456"/>
      <c r="O279"/>
      <c r="W279" t="s">
        <v>718</v>
      </c>
      <c r="X279" t="s">
        <v>183</v>
      </c>
      <c r="Z279" s="460" t="str">
        <v>N07</v>
      </c>
      <c r="AA279" s="194" t="str">
        <v>N01-N16</v>
      </c>
      <c r="AB279"/>
      <c r="AG279" s="69" t="str">
        <v>N07</v>
      </c>
      <c r="AH279"/>
    </row>
    <row r="280" spans="1:34" x14ac:dyDescent="0.2">
      <c r="A280" s="655"/>
      <c r="B280" s="655"/>
      <c r="C280"/>
      <c r="D280" s="655"/>
      <c r="E280" s="655"/>
      <c r="F280" s="655" t="str">
        <f>LEFT(AllDaqbookOffsets[[#This Row],[traceability_no]],2)</f>
        <v>J2</v>
      </c>
      <c r="N280" s="456"/>
      <c r="O280"/>
      <c r="W280" s="36" t="s">
        <v>743</v>
      </c>
      <c r="X280" t="s">
        <v>743</v>
      </c>
      <c r="Z280" s="460" t="str">
        <v>N08</v>
      </c>
      <c r="AA280" s="194" t="str">
        <v>N01-N16</v>
      </c>
      <c r="AB280"/>
      <c r="AG280" s="69" t="str">
        <v>N08</v>
      </c>
      <c r="AH280"/>
    </row>
    <row r="281" spans="1:34" x14ac:dyDescent="0.2">
      <c r="A281" s="655"/>
      <c r="B281" s="655"/>
      <c r="C281"/>
      <c r="D281" s="655"/>
      <c r="E281" s="655"/>
      <c r="F281" s="655" t="str">
        <f>LEFT(AllDaqbookOffsets[[#This Row],[traceability_no]],2)</f>
        <v>J2</v>
      </c>
      <c r="N281" s="456"/>
      <c r="O281"/>
      <c r="W281" s="36" t="s">
        <v>744</v>
      </c>
      <c r="X281" t="s">
        <v>743</v>
      </c>
      <c r="Z281" s="460" t="str">
        <v>N09</v>
      </c>
      <c r="AA281" s="194" t="str">
        <v>N01-N16</v>
      </c>
      <c r="AB281"/>
      <c r="AG281" s="69" t="str">
        <v>N09</v>
      </c>
      <c r="AH281"/>
    </row>
    <row r="282" spans="1:34" x14ac:dyDescent="0.2">
      <c r="A282" s="655"/>
      <c r="B282" s="655"/>
      <c r="C282"/>
      <c r="D282" s="655"/>
      <c r="E282" s="655"/>
      <c r="F282" s="655" t="str">
        <f>LEFT(AllDaqbookOffsets[[#This Row],[traceability_no]],2)</f>
        <v>J2</v>
      </c>
      <c r="N282" s="456"/>
      <c r="O282"/>
      <c r="W282" s="36" t="s">
        <v>745</v>
      </c>
      <c r="X282" t="s">
        <v>743</v>
      </c>
      <c r="Z282" s="460" t="str">
        <v>N10</v>
      </c>
      <c r="AA282" s="194" t="str">
        <v>N01-N16</v>
      </c>
      <c r="AB282"/>
      <c r="AG282" s="69" t="str">
        <v>N10</v>
      </c>
      <c r="AH282"/>
    </row>
    <row r="283" spans="1:34" x14ac:dyDescent="0.2">
      <c r="A283" s="655"/>
      <c r="B283" s="655"/>
      <c r="C283"/>
      <c r="D283" s="655"/>
      <c r="E283" s="655"/>
      <c r="F283" s="655" t="str">
        <f>LEFT(AllDaqbookOffsets[[#This Row],[traceability_no]],2)</f>
        <v>J2</v>
      </c>
      <c r="N283" s="456"/>
      <c r="O283"/>
      <c r="W283" s="36" t="s">
        <v>746</v>
      </c>
      <c r="X283" t="s">
        <v>743</v>
      </c>
      <c r="Z283" s="460" t="str">
        <v>N101</v>
      </c>
      <c r="AA283" s="194" t="str">
        <v>N101-N112</v>
      </c>
      <c r="AB283"/>
      <c r="AG283" s="69" t="str">
        <v>N101</v>
      </c>
      <c r="AH283"/>
    </row>
    <row r="284" spans="1:34" x14ac:dyDescent="0.2">
      <c r="A284" s="655"/>
      <c r="B284" s="655"/>
      <c r="C284"/>
      <c r="D284" s="655"/>
      <c r="E284" s="655"/>
      <c r="F284" s="655" t="str">
        <f>LEFT(AllDaqbookOffsets[[#This Row],[traceability_no]],2)</f>
        <v>J2</v>
      </c>
      <c r="N284" s="456"/>
      <c r="O284"/>
      <c r="W284" s="36" t="s">
        <v>747</v>
      </c>
      <c r="X284" t="s">
        <v>743</v>
      </c>
      <c r="Z284" s="460" t="str">
        <v>N102</v>
      </c>
      <c r="AA284" s="194" t="str">
        <v>N101-N112</v>
      </c>
      <c r="AB284"/>
      <c r="AG284" s="69" t="str">
        <v>N102</v>
      </c>
      <c r="AH284"/>
    </row>
    <row r="285" spans="1:34" x14ac:dyDescent="0.2">
      <c r="A285" s="655"/>
      <c r="B285" s="655"/>
      <c r="C285"/>
      <c r="D285" s="655"/>
      <c r="E285" s="655"/>
      <c r="F285" s="655" t="str">
        <f>LEFT(AllDaqbookOffsets[[#This Row],[traceability_no]],2)</f>
        <v>J2</v>
      </c>
      <c r="N285" s="456"/>
      <c r="O285"/>
      <c r="W285" s="36" t="s">
        <v>748</v>
      </c>
      <c r="X285" t="s">
        <v>743</v>
      </c>
      <c r="Z285" s="460" t="str">
        <v>N103</v>
      </c>
      <c r="AA285" s="194" t="str">
        <v>N101-N112</v>
      </c>
      <c r="AB285"/>
      <c r="AG285" s="69" t="str">
        <v>N103</v>
      </c>
      <c r="AH285"/>
    </row>
    <row r="286" spans="1:34" x14ac:dyDescent="0.2">
      <c r="A286" s="655"/>
      <c r="B286" s="655"/>
      <c r="C286"/>
      <c r="D286" s="655"/>
      <c r="E286" s="655"/>
      <c r="F286" s="655" t="str">
        <f>LEFT(AllDaqbookOffsets[[#This Row],[traceability_no]],2)</f>
        <v>J2</v>
      </c>
      <c r="N286" s="456"/>
      <c r="O286"/>
      <c r="W286" s="36" t="s">
        <v>749</v>
      </c>
      <c r="X286" t="s">
        <v>743</v>
      </c>
      <c r="Z286" s="460" t="str">
        <v>N104</v>
      </c>
      <c r="AA286" s="194" t="str">
        <v>N101-N112</v>
      </c>
      <c r="AB286"/>
      <c r="AG286" s="69" t="str">
        <v>N104</v>
      </c>
      <c r="AH286"/>
    </row>
    <row r="287" spans="1:34" x14ac:dyDescent="0.2">
      <c r="A287" s="655"/>
      <c r="B287" s="655"/>
      <c r="C287"/>
      <c r="D287" s="655"/>
      <c r="E287" s="655"/>
      <c r="F287" s="655" t="str">
        <f>LEFT(AllDaqbookOffsets[[#This Row],[traceability_no]],2)</f>
        <v>J2</v>
      </c>
      <c r="N287" s="456"/>
      <c r="O287"/>
      <c r="W287" s="36" t="s">
        <v>750</v>
      </c>
      <c r="X287" t="s">
        <v>743</v>
      </c>
      <c r="Z287" s="460" t="str">
        <v>N105</v>
      </c>
      <c r="AA287" s="194" t="str">
        <v>N101-N112</v>
      </c>
      <c r="AB287"/>
      <c r="AG287" s="69" t="str">
        <v>N105</v>
      </c>
      <c r="AH287"/>
    </row>
    <row r="288" spans="1:34" x14ac:dyDescent="0.2">
      <c r="A288" s="655"/>
      <c r="B288" s="655"/>
      <c r="C288"/>
      <c r="D288" s="655"/>
      <c r="E288" s="655"/>
      <c r="F288" s="655" t="str">
        <f>LEFT(AllDaqbookOffsets[[#This Row],[traceability_no]],2)</f>
        <v>J2</v>
      </c>
      <c r="N288" s="456"/>
      <c r="O288"/>
      <c r="W288" s="36" t="s">
        <v>751</v>
      </c>
      <c r="X288" t="s">
        <v>743</v>
      </c>
      <c r="Z288" s="460" t="str">
        <v>N106</v>
      </c>
      <c r="AA288" s="194" t="str">
        <v>N101-N112</v>
      </c>
      <c r="AB288"/>
      <c r="AG288" s="69" t="str">
        <v>N106</v>
      </c>
      <c r="AH288"/>
    </row>
    <row r="289" spans="1:34" x14ac:dyDescent="0.2">
      <c r="A289" s="655"/>
      <c r="B289" s="655"/>
      <c r="C289"/>
      <c r="D289" s="655"/>
      <c r="E289" s="655"/>
      <c r="F289" s="655" t="str">
        <f>LEFT(AllDaqbookOffsets[[#This Row],[traceability_no]],2)</f>
        <v>J2</v>
      </c>
      <c r="N289" s="456"/>
      <c r="O289"/>
      <c r="W289" s="36" t="s">
        <v>752</v>
      </c>
      <c r="X289" t="s">
        <v>743</v>
      </c>
      <c r="Z289" s="460" t="str">
        <v>N107</v>
      </c>
      <c r="AA289" s="194" t="str">
        <v>N101-N112</v>
      </c>
      <c r="AB289"/>
      <c r="AG289" s="69" t="str">
        <v>N107</v>
      </c>
      <c r="AH289"/>
    </row>
    <row r="290" spans="1:34" x14ac:dyDescent="0.2">
      <c r="A290" s="655"/>
      <c r="B290" s="655"/>
      <c r="C290"/>
      <c r="D290" s="655"/>
      <c r="E290" s="655"/>
      <c r="F290" s="655" t="str">
        <f>LEFT(AllDaqbookOffsets[[#This Row],[traceability_no]],2)</f>
        <v>J2</v>
      </c>
      <c r="N290" s="456"/>
      <c r="O290"/>
      <c r="W290" s="36" t="s">
        <v>753</v>
      </c>
      <c r="X290" t="s">
        <v>743</v>
      </c>
      <c r="Z290" s="460" t="str">
        <v>N108</v>
      </c>
      <c r="AA290" s="194" t="str">
        <v>N101-N112</v>
      </c>
      <c r="AB290"/>
      <c r="AG290" s="69" t="str">
        <v>N108</v>
      </c>
      <c r="AH290"/>
    </row>
    <row r="291" spans="1:34" x14ac:dyDescent="0.2">
      <c r="A291" s="655"/>
      <c r="B291" s="655"/>
      <c r="C291"/>
      <c r="D291" s="655"/>
      <c r="E291" s="655"/>
      <c r="F291" s="655" t="str">
        <f>LEFT(AllDaqbookOffsets[[#This Row],[traceability_no]],2)</f>
        <v>J2</v>
      </c>
      <c r="N291" s="456"/>
      <c r="O291"/>
      <c r="W291" s="36" t="s">
        <v>754</v>
      </c>
      <c r="X291" t="s">
        <v>743</v>
      </c>
      <c r="Z291" s="460" t="str">
        <v>N109</v>
      </c>
      <c r="AA291" s="194" t="str">
        <v>N101-N112</v>
      </c>
      <c r="AB291"/>
      <c r="AG291" s="69" t="str">
        <v>N109</v>
      </c>
      <c r="AH291"/>
    </row>
    <row r="292" spans="1:34" x14ac:dyDescent="0.2">
      <c r="A292" s="655"/>
      <c r="B292" s="655"/>
      <c r="C292"/>
      <c r="D292" s="655"/>
      <c r="E292" s="655"/>
      <c r="F292" s="655" t="str">
        <f>LEFT(AllDaqbookOffsets[[#This Row],[traceability_no]],2)</f>
        <v>J2</v>
      </c>
      <c r="N292" s="456"/>
      <c r="O292"/>
      <c r="W292" s="36" t="s">
        <v>755</v>
      </c>
      <c r="X292" t="s">
        <v>743</v>
      </c>
      <c r="Z292" s="460" t="str">
        <v>N11</v>
      </c>
      <c r="AA292" s="194" t="str">
        <v>N01-N16</v>
      </c>
      <c r="AB292"/>
      <c r="AG292" s="69" t="str">
        <v>N11</v>
      </c>
      <c r="AH292"/>
    </row>
    <row r="293" spans="1:34" x14ac:dyDescent="0.2">
      <c r="A293" s="655"/>
      <c r="B293" s="655"/>
      <c r="C293"/>
      <c r="D293" s="655"/>
      <c r="E293" s="655"/>
      <c r="F293" s="655" t="str">
        <f>LEFT(AllDaqbookOffsets[[#This Row],[traceability_no]],2)</f>
        <v>J2</v>
      </c>
      <c r="N293" s="456"/>
      <c r="O293"/>
      <c r="W293" s="36" t="s">
        <v>756</v>
      </c>
      <c r="X293" t="s">
        <v>743</v>
      </c>
      <c r="Z293" s="460" t="str">
        <v>N110</v>
      </c>
      <c r="AA293" s="194" t="str">
        <v>N101-N112</v>
      </c>
      <c r="AB293"/>
      <c r="AG293" s="69" t="str">
        <v>N110</v>
      </c>
      <c r="AH293"/>
    </row>
    <row r="294" spans="1:34" x14ac:dyDescent="0.2">
      <c r="A294" s="655"/>
      <c r="B294" s="655"/>
      <c r="C294"/>
      <c r="D294" s="655"/>
      <c r="E294" s="655"/>
      <c r="F294" s="655" t="str">
        <f>LEFT(AllDaqbookOffsets[[#This Row],[traceability_no]],2)</f>
        <v>J2</v>
      </c>
      <c r="N294" s="456"/>
      <c r="O294"/>
      <c r="Z294" s="460" t="str">
        <v>N111</v>
      </c>
      <c r="AA294" s="194" t="str">
        <v>N101-N112</v>
      </c>
      <c r="AB294"/>
      <c r="AG294" s="69" t="str">
        <v>N111</v>
      </c>
      <c r="AH294"/>
    </row>
    <row r="295" spans="1:34" x14ac:dyDescent="0.2">
      <c r="A295" s="655"/>
      <c r="B295" s="655"/>
      <c r="C295"/>
      <c r="D295" s="655"/>
      <c r="E295" s="655"/>
      <c r="F295" s="655" t="str">
        <f>LEFT(AllDaqbookOffsets[[#This Row],[traceability_no]],2)</f>
        <v>J2</v>
      </c>
      <c r="N295" s="456"/>
      <c r="O295"/>
      <c r="Z295" s="460" t="str">
        <v>N112</v>
      </c>
      <c r="AA295" s="194" t="str">
        <v>N101-N112</v>
      </c>
      <c r="AB295"/>
      <c r="AG295" s="69" t="str">
        <v>N112</v>
      </c>
      <c r="AH295"/>
    </row>
    <row r="296" spans="1:34" x14ac:dyDescent="0.2">
      <c r="A296" s="655"/>
      <c r="B296" s="655"/>
      <c r="C296"/>
      <c r="D296" s="655"/>
      <c r="E296" s="655"/>
      <c r="F296" s="655" t="str">
        <f>LEFT(AllDaqbookOffsets[[#This Row],[traceability_no]],2)</f>
        <v>J2</v>
      </c>
      <c r="N296" s="456"/>
      <c r="O296"/>
      <c r="Z296" s="460" t="str">
        <v>N12</v>
      </c>
      <c r="AA296" s="194" t="str">
        <v>N01-N16</v>
      </c>
      <c r="AB296"/>
      <c r="AG296" s="69" t="str">
        <v>N12</v>
      </c>
      <c r="AH296"/>
    </row>
    <row r="297" spans="1:34" x14ac:dyDescent="0.2">
      <c r="A297" s="655"/>
      <c r="B297" s="655"/>
      <c r="C297"/>
      <c r="D297" s="655"/>
      <c r="E297" s="655"/>
      <c r="F297" s="655" t="str">
        <f>LEFT(AllDaqbookOffsets[[#This Row],[traceability_no]],2)</f>
        <v>J2</v>
      </c>
      <c r="N297" s="456"/>
      <c r="O297"/>
      <c r="Z297" s="460" t="str">
        <v>N13</v>
      </c>
      <c r="AA297" s="194" t="str">
        <v>N01-N16</v>
      </c>
      <c r="AB297"/>
      <c r="AG297" s="69" t="str">
        <v>N13</v>
      </c>
      <c r="AH297"/>
    </row>
    <row r="298" spans="1:34" x14ac:dyDescent="0.2">
      <c r="A298" s="655"/>
      <c r="B298" s="655"/>
      <c r="C298"/>
      <c r="D298" s="655"/>
      <c r="E298" s="655"/>
      <c r="F298" s="655" t="str">
        <f>LEFT(AllDaqbookOffsets[[#This Row],[traceability_no]],2)</f>
        <v>J2</v>
      </c>
      <c r="N298" s="456"/>
      <c r="O298"/>
      <c r="Z298" s="460" t="str">
        <v>N14</v>
      </c>
      <c r="AA298" s="194" t="str">
        <v>N01-N16</v>
      </c>
      <c r="AB298"/>
      <c r="AG298" s="69" t="str">
        <v>N14</v>
      </c>
      <c r="AH298"/>
    </row>
    <row r="299" spans="1:34" x14ac:dyDescent="0.2">
      <c r="A299" s="655"/>
      <c r="B299" s="655"/>
      <c r="C299"/>
      <c r="D299" s="655"/>
      <c r="E299" s="655"/>
      <c r="F299" s="655" t="str">
        <f>LEFT(AllDaqbookOffsets[[#This Row],[traceability_no]],2)</f>
        <v>J2</v>
      </c>
      <c r="N299" s="456"/>
      <c r="O299"/>
      <c r="Z299" s="460" t="str">
        <v>N15</v>
      </c>
      <c r="AA299" s="194" t="str">
        <v>N01-N16</v>
      </c>
      <c r="AB299"/>
      <c r="AG299" s="69" t="str">
        <v>N15</v>
      </c>
      <c r="AH299"/>
    </row>
    <row r="300" spans="1:34" x14ac:dyDescent="0.2">
      <c r="A300" s="655"/>
      <c r="B300" s="655"/>
      <c r="C300"/>
      <c r="D300" s="655"/>
      <c r="E300" s="655"/>
      <c r="F300" s="655" t="str">
        <f>LEFT(AllDaqbookOffsets[[#This Row],[traceability_no]],2)</f>
        <v>J2</v>
      </c>
      <c r="N300" s="456"/>
      <c r="O300"/>
      <c r="Z300" s="460" t="str">
        <v>N16</v>
      </c>
      <c r="AA300" s="194" t="str">
        <v>N01-N16</v>
      </c>
      <c r="AB300"/>
      <c r="AG300" s="69" t="str">
        <v>N16</v>
      </c>
      <c r="AH300"/>
    </row>
    <row r="301" spans="1:34" x14ac:dyDescent="0.2">
      <c r="A301" s="655"/>
      <c r="B301" s="655"/>
      <c r="C301"/>
      <c r="D301" s="655"/>
      <c r="E301" s="655"/>
      <c r="F301" s="655" t="str">
        <f>LEFT(AllDaqbookOffsets[[#This Row],[traceability_no]],2)</f>
        <v>J2</v>
      </c>
      <c r="N301" s="456"/>
      <c r="O301"/>
      <c r="Z301" s="460" t="str">
        <v>N21</v>
      </c>
      <c r="AA301" s="194" t="str">
        <v>N21-N34</v>
      </c>
      <c r="AB301"/>
      <c r="AG301" s="69" t="str">
        <v>N21</v>
      </c>
      <c r="AH301"/>
    </row>
    <row r="302" spans="1:34" x14ac:dyDescent="0.2">
      <c r="A302" s="655"/>
      <c r="B302" s="655"/>
      <c r="C302"/>
      <c r="D302" s="655"/>
      <c r="E302" s="655"/>
      <c r="F302" s="655" t="str">
        <f>LEFT(AllDaqbookOffsets[[#This Row],[traceability_no]],2)</f>
        <v>J2</v>
      </c>
      <c r="N302" s="456"/>
      <c r="O302"/>
      <c r="Z302" s="460" t="str">
        <v>N22</v>
      </c>
      <c r="AA302" s="194" t="str">
        <v>N21-N34</v>
      </c>
      <c r="AB302"/>
      <c r="AG302" s="69" t="str">
        <v>N22</v>
      </c>
      <c r="AH302"/>
    </row>
    <row r="303" spans="1:34" x14ac:dyDescent="0.2">
      <c r="A303" s="655"/>
      <c r="B303" s="655"/>
      <c r="C303"/>
      <c r="D303" s="655"/>
      <c r="E303" s="655"/>
      <c r="F303" s="655" t="str">
        <f>LEFT(AllDaqbookOffsets[[#This Row],[traceability_no]],2)</f>
        <v>J2</v>
      </c>
      <c r="N303" s="456"/>
      <c r="O303"/>
      <c r="Z303" s="460" t="str">
        <v>N23</v>
      </c>
      <c r="AA303" s="194" t="str">
        <v>N21-N34</v>
      </c>
      <c r="AB303"/>
      <c r="AG303" s="69" t="str">
        <v>N23</v>
      </c>
      <c r="AH303"/>
    </row>
    <row r="304" spans="1:34" x14ac:dyDescent="0.2">
      <c r="A304" s="655"/>
      <c r="B304" s="655"/>
      <c r="C304"/>
      <c r="D304" s="655"/>
      <c r="E304" s="655"/>
      <c r="F304" s="655" t="str">
        <f>LEFT(AllDaqbookOffsets[[#This Row],[traceability_no]],2)</f>
        <v>J2</v>
      </c>
      <c r="N304" s="456"/>
      <c r="O304"/>
      <c r="Z304" s="460" t="str">
        <v>N24</v>
      </c>
      <c r="AA304" s="194" t="str">
        <v>N21-N34</v>
      </c>
      <c r="AB304"/>
      <c r="AG304" s="69" t="str">
        <v>N24</v>
      </c>
      <c r="AH304"/>
    </row>
    <row r="305" spans="1:34" x14ac:dyDescent="0.2">
      <c r="A305" s="655"/>
      <c r="B305" s="655"/>
      <c r="C305"/>
      <c r="D305" s="655"/>
      <c r="E305" s="655"/>
      <c r="F305" s="655" t="str">
        <f>LEFT(AllDaqbookOffsets[[#This Row],[traceability_no]],2)</f>
        <v>J2</v>
      </c>
      <c r="N305" s="456"/>
      <c r="O305"/>
      <c r="Z305" s="460" t="str">
        <v>N25</v>
      </c>
      <c r="AA305" s="194" t="str">
        <v>N21-N34</v>
      </c>
      <c r="AB305"/>
      <c r="AG305" s="69" t="str">
        <v>N25</v>
      </c>
      <c r="AH305"/>
    </row>
    <row r="306" spans="1:34" x14ac:dyDescent="0.2">
      <c r="A306" s="655"/>
      <c r="B306" s="655"/>
      <c r="C306"/>
      <c r="D306" s="655"/>
      <c r="E306" s="655"/>
      <c r="F306" s="655" t="str">
        <f>LEFT(AllDaqbookOffsets[[#This Row],[traceability_no]],2)</f>
        <v>J2</v>
      </c>
      <c r="N306" s="456"/>
      <c r="O306"/>
      <c r="Z306" s="460" t="str">
        <v>N26</v>
      </c>
      <c r="AA306" s="194" t="str">
        <v>N21-N34</v>
      </c>
      <c r="AB306"/>
      <c r="AG306" s="69" t="str">
        <v>N26</v>
      </c>
      <c r="AH306"/>
    </row>
    <row r="307" spans="1:34" x14ac:dyDescent="0.2">
      <c r="A307" s="655"/>
      <c r="B307" s="655"/>
      <c r="C307"/>
      <c r="D307" s="655"/>
      <c r="E307" s="655"/>
      <c r="F307" s="655" t="str">
        <f>LEFT(AllDaqbookOffsets[[#This Row],[traceability_no]],2)</f>
        <v>J2</v>
      </c>
      <c r="N307" s="456"/>
      <c r="O307"/>
      <c r="Z307" s="460" t="str">
        <v>N27</v>
      </c>
      <c r="AA307" s="194" t="str">
        <v>N21-N34</v>
      </c>
      <c r="AB307"/>
      <c r="AG307" s="69" t="str">
        <v>N27</v>
      </c>
      <c r="AH307"/>
    </row>
    <row r="308" spans="1:34" x14ac:dyDescent="0.2">
      <c r="A308" s="655"/>
      <c r="B308" s="655"/>
      <c r="C308"/>
      <c r="D308" s="655"/>
      <c r="E308" s="655"/>
      <c r="F308" s="655" t="str">
        <f>LEFT(AllDaqbookOffsets[[#This Row],[traceability_no]],2)</f>
        <v>J2</v>
      </c>
      <c r="N308" s="456"/>
      <c r="O308"/>
      <c r="Z308" s="460" t="str">
        <v>N28</v>
      </c>
      <c r="AA308" s="194" t="str">
        <v>N21-N34</v>
      </c>
      <c r="AB308"/>
      <c r="AG308" s="69" t="str">
        <v>N28</v>
      </c>
      <c r="AH308"/>
    </row>
    <row r="309" spans="1:34" x14ac:dyDescent="0.2">
      <c r="A309" s="655"/>
      <c r="B309" s="655"/>
      <c r="C309"/>
      <c r="D309" s="655"/>
      <c r="E309" s="655"/>
      <c r="F309" s="655" t="str">
        <f>LEFT(AllDaqbookOffsets[[#This Row],[traceability_no]],2)</f>
        <v>J2</v>
      </c>
      <c r="N309" s="456"/>
      <c r="O309"/>
      <c r="Z309" s="460" t="str">
        <v>N29</v>
      </c>
      <c r="AA309" s="194" t="str">
        <v>N21-N34</v>
      </c>
      <c r="AB309"/>
      <c r="AG309" s="69" t="str">
        <v>N29</v>
      </c>
      <c r="AH309"/>
    </row>
    <row r="310" spans="1:34" x14ac:dyDescent="0.2">
      <c r="A310" s="655"/>
      <c r="B310" s="655"/>
      <c r="C310"/>
      <c r="D310" s="655"/>
      <c r="E310" s="655"/>
      <c r="F310" s="655" t="str">
        <f>LEFT(AllDaqbookOffsets[[#This Row],[traceability_no]],2)</f>
        <v>J2</v>
      </c>
      <c r="N310" s="456"/>
      <c r="O310"/>
      <c r="Z310" s="460" t="str">
        <v>N30</v>
      </c>
      <c r="AA310" s="194" t="str">
        <v>N21-N34</v>
      </c>
      <c r="AB310"/>
      <c r="AG310" s="69" t="str">
        <v>N30</v>
      </c>
      <c r="AH310"/>
    </row>
    <row r="311" spans="1:34" x14ac:dyDescent="0.2">
      <c r="A311" s="655"/>
      <c r="B311" s="655"/>
      <c r="C311"/>
      <c r="D311" s="655"/>
      <c r="E311" s="655"/>
      <c r="F311" s="655" t="str">
        <f>LEFT(AllDaqbookOffsets[[#This Row],[traceability_no]],2)</f>
        <v>J2</v>
      </c>
      <c r="N311" s="456"/>
      <c r="O311"/>
      <c r="Z311" s="460" t="str">
        <v>N31</v>
      </c>
      <c r="AA311" s="194" t="str">
        <v>N21-N34</v>
      </c>
      <c r="AB311"/>
      <c r="AG311" s="69" t="str">
        <v>N31</v>
      </c>
      <c r="AH311"/>
    </row>
    <row r="312" spans="1:34" x14ac:dyDescent="0.2">
      <c r="A312" s="655"/>
      <c r="B312" s="655"/>
      <c r="C312"/>
      <c r="D312" s="655"/>
      <c r="E312" s="655"/>
      <c r="F312" s="655" t="str">
        <f>LEFT(AllDaqbookOffsets[[#This Row],[traceability_no]],2)</f>
        <v>J2</v>
      </c>
      <c r="N312" s="456"/>
      <c r="O312"/>
      <c r="Z312" s="460" t="str">
        <v>N32</v>
      </c>
      <c r="AA312" s="194" t="str">
        <v>N21-N34</v>
      </c>
      <c r="AB312"/>
      <c r="AG312" s="69" t="str">
        <v>N32</v>
      </c>
      <c r="AH312"/>
    </row>
    <row r="313" spans="1:34" x14ac:dyDescent="0.2">
      <c r="A313" s="655"/>
      <c r="B313" s="655"/>
      <c r="C313"/>
      <c r="D313" s="655"/>
      <c r="E313" s="655"/>
      <c r="F313" s="655" t="str">
        <f>LEFT(AllDaqbookOffsets[[#This Row],[traceability_no]],2)</f>
        <v>J2</v>
      </c>
      <c r="N313" s="456"/>
      <c r="O313"/>
      <c r="Z313" s="460" t="str">
        <v>N33</v>
      </c>
      <c r="AA313" s="194" t="str">
        <v>N21-N34</v>
      </c>
      <c r="AB313"/>
      <c r="AG313" s="69" t="str">
        <v>N33</v>
      </c>
      <c r="AH313"/>
    </row>
    <row r="314" spans="1:34" x14ac:dyDescent="0.2">
      <c r="A314" s="655"/>
      <c r="B314" s="655"/>
      <c r="C314"/>
      <c r="D314" s="655"/>
      <c r="E314" s="655"/>
      <c r="F314" s="655" t="str">
        <f>LEFT(AllDaqbookOffsets[[#This Row],[traceability_no]],2)</f>
        <v>J2</v>
      </c>
      <c r="N314" s="456"/>
      <c r="O314"/>
      <c r="Z314" s="460" t="str">
        <v>N34</v>
      </c>
      <c r="AA314" s="194" t="str">
        <v>N21-N34</v>
      </c>
      <c r="AB314"/>
      <c r="AG314" s="69" t="str">
        <v>N34</v>
      </c>
      <c r="AH314"/>
    </row>
    <row r="315" spans="1:34" x14ac:dyDescent="0.2">
      <c r="A315" s="655"/>
      <c r="B315" s="655"/>
      <c r="C315"/>
      <c r="D315" s="655"/>
      <c r="E315" s="655"/>
      <c r="F315" s="655" t="str">
        <f>LEFT(AllDaqbookOffsets[[#This Row],[traceability_no]],2)</f>
        <v>J2</v>
      </c>
      <c r="N315" s="456"/>
      <c r="O315"/>
      <c r="Z315" s="460"/>
      <c r="AA315" s="194"/>
      <c r="AB315"/>
      <c r="AG315" s="69"/>
      <c r="AH315"/>
    </row>
    <row r="316" spans="1:34" x14ac:dyDescent="0.2">
      <c r="A316" s="655"/>
      <c r="B316" s="655"/>
      <c r="C316"/>
      <c r="D316" s="655"/>
      <c r="E316" s="655"/>
      <c r="F316" s="655" t="str">
        <f>LEFT(AllDaqbookOffsets[[#This Row],[traceability_no]],2)</f>
        <v>J2</v>
      </c>
      <c r="N316" s="456"/>
      <c r="O316"/>
      <c r="Z316" s="460"/>
      <c r="AA316" s="194"/>
      <c r="AB316"/>
      <c r="AG316" s="69"/>
      <c r="AH316"/>
    </row>
    <row r="317" spans="1:34" x14ac:dyDescent="0.2">
      <c r="A317" s="655"/>
      <c r="B317" s="655"/>
      <c r="C317"/>
      <c r="D317" s="655"/>
      <c r="E317" s="655"/>
      <c r="F317" s="655" t="str">
        <f>LEFT(AllDaqbookOffsets[[#This Row],[traceability_no]],2)</f>
        <v>J2</v>
      </c>
      <c r="N317" s="456"/>
      <c r="O317"/>
      <c r="Z317" s="460"/>
      <c r="AA317" s="194"/>
      <c r="AB317"/>
      <c r="AG317" s="69"/>
      <c r="AH317"/>
    </row>
    <row r="318" spans="1:34" x14ac:dyDescent="0.2">
      <c r="A318" s="655"/>
      <c r="B318" s="655"/>
      <c r="C318"/>
      <c r="D318" s="655"/>
      <c r="E318" s="655"/>
      <c r="F318" s="655" t="str">
        <f>LEFT(AllDaqbookOffsets[[#This Row],[traceability_no]],2)</f>
        <v>J2</v>
      </c>
      <c r="N318" s="456"/>
      <c r="O318"/>
      <c r="Z318" s="460"/>
      <c r="AA318" s="194"/>
      <c r="AB318"/>
      <c r="AG318" s="69"/>
      <c r="AH318"/>
    </row>
    <row r="319" spans="1:34" x14ac:dyDescent="0.2">
      <c r="A319" s="655"/>
      <c r="B319" s="655"/>
      <c r="C319"/>
      <c r="D319" s="655"/>
      <c r="E319" s="655"/>
      <c r="F319" s="655" t="str">
        <f>LEFT(AllDaqbookOffsets[[#This Row],[traceability_no]],2)</f>
        <v>J2</v>
      </c>
      <c r="N319" s="456"/>
      <c r="O319"/>
      <c r="Z319" s="460"/>
      <c r="AA319" s="194"/>
      <c r="AB319"/>
      <c r="AG319" s="69"/>
      <c r="AH319"/>
    </row>
    <row r="320" spans="1:34" x14ac:dyDescent="0.2">
      <c r="A320" s="655"/>
      <c r="B320" s="655"/>
      <c r="C320"/>
      <c r="D320" s="655"/>
      <c r="E320" s="655"/>
      <c r="F320" s="655" t="str">
        <f>LEFT(AllDaqbookOffsets[[#This Row],[traceability_no]],2)</f>
        <v>J2</v>
      </c>
      <c r="N320" s="456"/>
      <c r="O320"/>
      <c r="Z320" s="460"/>
      <c r="AA320" s="194"/>
      <c r="AB320"/>
      <c r="AG320" s="69"/>
      <c r="AH320"/>
    </row>
    <row r="321" spans="1:34" x14ac:dyDescent="0.2">
      <c r="A321" s="655"/>
      <c r="B321" s="655"/>
      <c r="C321"/>
      <c r="D321" s="655"/>
      <c r="E321" s="655"/>
      <c r="F321" s="655" t="str">
        <f>LEFT(AllDaqbookOffsets[[#This Row],[traceability_no]],2)</f>
        <v>J2</v>
      </c>
      <c r="N321" s="456"/>
      <c r="O321"/>
      <c r="Z321" s="460"/>
      <c r="AA321" s="194"/>
      <c r="AB321"/>
      <c r="AG321" s="69"/>
      <c r="AH321"/>
    </row>
    <row r="322" spans="1:34" x14ac:dyDescent="0.2">
      <c r="A322" s="655"/>
      <c r="B322" s="655"/>
      <c r="C322"/>
      <c r="D322" s="655"/>
      <c r="E322" s="655"/>
      <c r="F322" s="655" t="str">
        <f>LEFT(AllDaqbookOffsets[[#This Row],[traceability_no]],2)</f>
        <v>J2</v>
      </c>
      <c r="N322" s="456"/>
      <c r="O322"/>
      <c r="Z322" s="460"/>
      <c r="AA322" s="194"/>
      <c r="AB322"/>
      <c r="AG322" s="69"/>
      <c r="AH322"/>
    </row>
    <row r="323" spans="1:34" x14ac:dyDescent="0.2">
      <c r="A323" s="655"/>
      <c r="B323" s="655"/>
      <c r="C323"/>
      <c r="D323" s="655"/>
      <c r="E323" s="655"/>
      <c r="F323" s="655" t="str">
        <f>LEFT(AllDaqbookOffsets[[#This Row],[traceability_no]],2)</f>
        <v>J2</v>
      </c>
      <c r="N323" s="456"/>
      <c r="O323"/>
      <c r="Z323" s="460"/>
      <c r="AA323" s="194"/>
      <c r="AB323"/>
      <c r="AG323" s="69"/>
      <c r="AH323"/>
    </row>
    <row r="324" spans="1:34" x14ac:dyDescent="0.2">
      <c r="A324" s="655"/>
      <c r="B324" s="655"/>
      <c r="C324"/>
      <c r="D324" s="655"/>
      <c r="E324" s="655"/>
      <c r="F324" s="655" t="str">
        <f>LEFT(AllDaqbookOffsets[[#This Row],[traceability_no]],2)</f>
        <v>J2</v>
      </c>
      <c r="N324" s="456"/>
      <c r="O324"/>
      <c r="Z324" s="460"/>
      <c r="AA324" s="194"/>
      <c r="AB324"/>
      <c r="AG324" s="69"/>
      <c r="AH324"/>
    </row>
    <row r="325" spans="1:34" x14ac:dyDescent="0.2">
      <c r="A325" s="655"/>
      <c r="B325" s="655"/>
      <c r="C325"/>
      <c r="D325" s="655"/>
      <c r="E325" s="655"/>
      <c r="F325" s="655" t="str">
        <f>LEFT(AllDaqbookOffsets[[#This Row],[traceability_no]],2)</f>
        <v>J2</v>
      </c>
      <c r="N325" s="456"/>
      <c r="O325"/>
      <c r="Z325" s="460"/>
      <c r="AA325" s="194"/>
      <c r="AB325"/>
      <c r="AG325" s="69"/>
      <c r="AH325"/>
    </row>
    <row r="326" spans="1:34" x14ac:dyDescent="0.2">
      <c r="A326" s="655"/>
      <c r="B326" s="655"/>
      <c r="C326"/>
      <c r="D326" s="655"/>
      <c r="E326" s="655"/>
      <c r="F326" s="655" t="str">
        <f>LEFT(AllDaqbookOffsets[[#This Row],[traceability_no]],2)</f>
        <v>J2</v>
      </c>
      <c r="N326" s="456"/>
      <c r="O326"/>
      <c r="Z326" s="460"/>
      <c r="AA326" s="194"/>
      <c r="AB326"/>
      <c r="AG326" s="69"/>
      <c r="AH326"/>
    </row>
    <row r="327" spans="1:34" x14ac:dyDescent="0.2">
      <c r="A327" s="655"/>
      <c r="B327" s="655"/>
      <c r="C327"/>
      <c r="D327" s="655"/>
      <c r="E327" s="655"/>
      <c r="F327" s="655" t="str">
        <f>LEFT(AllDaqbookOffsets[[#This Row],[traceability_no]],2)</f>
        <v>J2</v>
      </c>
      <c r="N327" s="456"/>
      <c r="O327"/>
      <c r="Z327" s="460"/>
      <c r="AA327" s="194"/>
      <c r="AB327"/>
      <c r="AG327" s="69"/>
      <c r="AH327"/>
    </row>
    <row r="328" spans="1:34" x14ac:dyDescent="0.2">
      <c r="A328" s="655"/>
      <c r="B328" s="655"/>
      <c r="C328"/>
      <c r="D328" s="655"/>
      <c r="E328" s="655"/>
      <c r="F328" s="655" t="str">
        <f>LEFT(AllDaqbookOffsets[[#This Row],[traceability_no]],2)</f>
        <v>J2</v>
      </c>
      <c r="N328" s="456"/>
      <c r="O328"/>
      <c r="Z328" s="460"/>
      <c r="AA328" s="194"/>
      <c r="AB328"/>
      <c r="AG328" s="69"/>
      <c r="AH328"/>
    </row>
    <row r="329" spans="1:34" x14ac:dyDescent="0.2">
      <c r="A329" s="655"/>
      <c r="B329" s="655"/>
      <c r="C329"/>
      <c r="D329" s="655"/>
      <c r="E329" s="655"/>
      <c r="F329" s="655" t="str">
        <f>LEFT(AllDaqbookOffsets[[#This Row],[traceability_no]],2)</f>
        <v>J2</v>
      </c>
      <c r="N329" s="456"/>
      <c r="O329"/>
      <c r="Z329" s="460"/>
      <c r="AA329" s="194"/>
      <c r="AB329"/>
      <c r="AG329" s="69"/>
      <c r="AH329"/>
    </row>
    <row r="330" spans="1:34" x14ac:dyDescent="0.2">
      <c r="A330" s="655"/>
      <c r="B330" s="655"/>
      <c r="C330"/>
      <c r="D330" s="655"/>
      <c r="E330" s="655"/>
      <c r="F330" s="655" t="str">
        <f>LEFT(AllDaqbookOffsets[[#This Row],[traceability_no]],2)</f>
        <v>J2</v>
      </c>
      <c r="N330" s="456"/>
      <c r="O330"/>
      <c r="Z330" s="460"/>
      <c r="AA330" s="194"/>
      <c r="AB330"/>
      <c r="AG330" s="69"/>
      <c r="AH330"/>
    </row>
    <row r="331" spans="1:34" x14ac:dyDescent="0.2">
      <c r="A331" s="655"/>
      <c r="B331" s="655"/>
      <c r="C331"/>
      <c r="D331" s="655"/>
      <c r="E331" s="655"/>
      <c r="F331" s="655" t="str">
        <f>LEFT(AllDaqbookOffsets[[#This Row],[traceability_no]],2)</f>
        <v>J2</v>
      </c>
      <c r="N331" s="456"/>
      <c r="O331"/>
      <c r="Z331" s="460"/>
      <c r="AA331" s="194"/>
      <c r="AB331"/>
      <c r="AG331" s="69"/>
      <c r="AH331"/>
    </row>
    <row r="332" spans="1:34" x14ac:dyDescent="0.2">
      <c r="A332" s="655"/>
      <c r="B332" s="655"/>
      <c r="C332"/>
      <c r="D332" s="655"/>
      <c r="E332" s="655"/>
      <c r="F332" s="655" t="str">
        <f>LEFT(AllDaqbookOffsets[[#This Row],[traceability_no]],2)</f>
        <v>J2</v>
      </c>
      <c r="N332" s="456"/>
      <c r="O332"/>
      <c r="Z332" s="460"/>
      <c r="AA332" s="194"/>
      <c r="AB332"/>
      <c r="AG332" s="69"/>
      <c r="AH332"/>
    </row>
    <row r="333" spans="1:34" x14ac:dyDescent="0.2">
      <c r="A333" s="655"/>
      <c r="B333" s="655"/>
      <c r="C333"/>
      <c r="D333" s="655"/>
      <c r="E333" s="655"/>
      <c r="F333" s="655" t="str">
        <f>LEFT(AllDaqbookOffsets[[#This Row],[traceability_no]],2)</f>
        <v>J2</v>
      </c>
      <c r="N333" s="456"/>
      <c r="O333"/>
      <c r="Z333" s="460"/>
      <c r="AA333" s="194"/>
      <c r="AB333"/>
      <c r="AG333" s="69"/>
      <c r="AH333"/>
    </row>
    <row r="334" spans="1:34" x14ac:dyDescent="0.2">
      <c r="A334" s="655"/>
      <c r="B334" s="655"/>
      <c r="C334"/>
      <c r="D334" s="655"/>
      <c r="E334" s="655"/>
      <c r="F334" s="655" t="str">
        <f>LEFT(AllDaqbookOffsets[[#This Row],[traceability_no]],2)</f>
        <v>J2</v>
      </c>
      <c r="N334" s="456"/>
      <c r="O334"/>
      <c r="Z334" s="460"/>
      <c r="AA334" s="194"/>
      <c r="AB334"/>
      <c r="AG334" s="69"/>
      <c r="AH334"/>
    </row>
    <row r="335" spans="1:34" x14ac:dyDescent="0.2">
      <c r="A335" s="655"/>
      <c r="B335" s="655"/>
      <c r="C335"/>
      <c r="D335" s="655"/>
      <c r="E335" s="655"/>
      <c r="F335" s="655" t="str">
        <f>LEFT(AllDaqbookOffsets[[#This Row],[traceability_no]],2)</f>
        <v>J2</v>
      </c>
      <c r="N335" s="456"/>
      <c r="O335"/>
      <c r="Z335" s="460"/>
      <c r="AA335" s="194"/>
      <c r="AB335"/>
      <c r="AG335" s="69"/>
      <c r="AH335"/>
    </row>
    <row r="336" spans="1:34" x14ac:dyDescent="0.2">
      <c r="A336" s="655"/>
      <c r="B336" s="655"/>
      <c r="C336"/>
      <c r="D336" s="655"/>
      <c r="E336" s="655"/>
      <c r="F336" s="655" t="str">
        <f>LEFT(AllDaqbookOffsets[[#This Row],[traceability_no]],2)</f>
        <v>J2</v>
      </c>
      <c r="N336" s="456"/>
      <c r="O336"/>
      <c r="Z336" s="460"/>
      <c r="AA336" s="194"/>
      <c r="AB336"/>
      <c r="AG336" s="69"/>
      <c r="AH336"/>
    </row>
    <row r="337" spans="1:34" x14ac:dyDescent="0.2">
      <c r="A337" s="655"/>
      <c r="B337" s="655"/>
      <c r="C337"/>
      <c r="D337" s="655"/>
      <c r="E337" s="655"/>
      <c r="F337" s="655" t="str">
        <f>LEFT(AllDaqbookOffsets[[#This Row],[traceability_no]],2)</f>
        <v>J2</v>
      </c>
      <c r="N337" s="456"/>
      <c r="O337"/>
      <c r="Z337" s="460"/>
      <c r="AA337" s="194"/>
      <c r="AB337"/>
      <c r="AG337" s="69"/>
      <c r="AH337"/>
    </row>
    <row r="338" spans="1:34" x14ac:dyDescent="0.2">
      <c r="A338" s="655"/>
      <c r="B338" s="655"/>
      <c r="C338"/>
      <c r="D338" s="655"/>
      <c r="E338" s="655"/>
      <c r="F338" s="655" t="str">
        <f>LEFT(AllDaqbookOffsets[[#This Row],[traceability_no]],2)</f>
        <v>J2</v>
      </c>
      <c r="N338" s="456"/>
      <c r="O338"/>
      <c r="Z338" s="460"/>
      <c r="AA338" s="194"/>
      <c r="AB338"/>
      <c r="AG338" s="69"/>
      <c r="AH338"/>
    </row>
    <row r="339" spans="1:34" x14ac:dyDescent="0.2">
      <c r="A339" s="655"/>
      <c r="B339" s="655"/>
      <c r="C339"/>
      <c r="D339" s="655"/>
      <c r="E339" s="655"/>
      <c r="F339" s="655" t="str">
        <f>LEFT(AllDaqbookOffsets[[#This Row],[traceability_no]],2)</f>
        <v>J2</v>
      </c>
      <c r="N339" s="456"/>
      <c r="O339"/>
      <c r="Z339" s="460"/>
      <c r="AA339" s="194"/>
      <c r="AB339"/>
      <c r="AG339" s="69"/>
      <c r="AH339"/>
    </row>
    <row r="340" spans="1:34" x14ac:dyDescent="0.2">
      <c r="A340" s="655"/>
      <c r="B340" s="655"/>
      <c r="C340"/>
      <c r="D340" s="655"/>
      <c r="E340" s="655"/>
      <c r="F340" s="655" t="str">
        <f>LEFT(AllDaqbookOffsets[[#This Row],[traceability_no]],2)</f>
        <v>J2</v>
      </c>
      <c r="N340" s="456"/>
      <c r="O340"/>
      <c r="Z340" s="460"/>
      <c r="AA340" s="194"/>
      <c r="AB340"/>
      <c r="AG340" s="69"/>
      <c r="AH340"/>
    </row>
    <row r="341" spans="1:34" x14ac:dyDescent="0.2">
      <c r="A341" s="655"/>
      <c r="B341" s="655"/>
      <c r="C341"/>
      <c r="D341" s="655"/>
      <c r="E341" s="655"/>
      <c r="F341" s="655" t="str">
        <f>LEFT(AllDaqbookOffsets[[#This Row],[traceability_no]],2)</f>
        <v>J2</v>
      </c>
      <c r="N341" s="456"/>
      <c r="O341"/>
      <c r="Z341" s="460"/>
      <c r="AA341" s="194"/>
      <c r="AB341"/>
      <c r="AG341" s="69"/>
      <c r="AH341"/>
    </row>
    <row r="342" spans="1:34" x14ac:dyDescent="0.2">
      <c r="A342" s="655"/>
      <c r="B342" s="655"/>
      <c r="C342"/>
      <c r="D342" s="655"/>
      <c r="E342" s="655"/>
      <c r="F342" s="655" t="str">
        <f>LEFT(AllDaqbookOffsets[[#This Row],[traceability_no]],2)</f>
        <v>J2</v>
      </c>
      <c r="N342" s="456"/>
      <c r="O342"/>
      <c r="Z342" s="460"/>
      <c r="AA342" s="194"/>
      <c r="AB342"/>
      <c r="AG342" s="69"/>
      <c r="AH342"/>
    </row>
    <row r="343" spans="1:34" x14ac:dyDescent="0.2">
      <c r="A343" s="655"/>
      <c r="B343" s="655"/>
      <c r="C343"/>
      <c r="D343" s="655"/>
      <c r="E343" s="655"/>
      <c r="F343" s="655" t="str">
        <f>LEFT(AllDaqbookOffsets[[#This Row],[traceability_no]],2)</f>
        <v>J2</v>
      </c>
      <c r="N343" s="456"/>
      <c r="O343"/>
      <c r="Z343" s="460"/>
      <c r="AA343" s="194"/>
      <c r="AB343"/>
      <c r="AG343" s="69"/>
      <c r="AH343"/>
    </row>
    <row r="344" spans="1:34" x14ac:dyDescent="0.2">
      <c r="A344" s="655"/>
      <c r="B344" s="655"/>
      <c r="C344"/>
      <c r="D344" s="655"/>
      <c r="E344" s="655"/>
      <c r="F344" s="655" t="str">
        <f>LEFT(AllDaqbookOffsets[[#This Row],[traceability_no]],2)</f>
        <v>J2</v>
      </c>
      <c r="N344" s="456"/>
      <c r="O344"/>
      <c r="Z344" s="460"/>
      <c r="AA344" s="194"/>
      <c r="AB344"/>
      <c r="AG344" s="69"/>
      <c r="AH344"/>
    </row>
    <row r="345" spans="1:34" x14ac:dyDescent="0.2">
      <c r="A345" s="655"/>
      <c r="B345" s="655"/>
      <c r="C345"/>
      <c r="D345" s="655"/>
      <c r="E345" s="655"/>
      <c r="F345" s="655" t="str">
        <f>LEFT(AllDaqbookOffsets[[#This Row],[traceability_no]],2)</f>
        <v>J2</v>
      </c>
      <c r="N345" s="456"/>
      <c r="O345"/>
      <c r="Z345" s="460"/>
      <c r="AA345" s="194"/>
      <c r="AB345"/>
      <c r="AG345" s="69"/>
      <c r="AH345"/>
    </row>
    <row r="346" spans="1:34" x14ac:dyDescent="0.2">
      <c r="A346" s="655"/>
      <c r="B346" s="655"/>
      <c r="C346"/>
      <c r="D346" s="655"/>
      <c r="E346" s="655"/>
      <c r="F346" s="655" t="str">
        <f>LEFT(AllDaqbookOffsets[[#This Row],[traceability_no]],2)</f>
        <v>J2</v>
      </c>
      <c r="N346" s="456"/>
      <c r="O346"/>
      <c r="Z346" s="460"/>
      <c r="AA346" s="194"/>
      <c r="AB346"/>
      <c r="AG346" s="69"/>
      <c r="AH346"/>
    </row>
    <row r="347" spans="1:34" x14ac:dyDescent="0.2">
      <c r="A347" s="655"/>
      <c r="B347" s="655"/>
      <c r="C347"/>
      <c r="D347" s="655"/>
      <c r="E347" s="655"/>
      <c r="F347" s="655" t="str">
        <f>LEFT(AllDaqbookOffsets[[#This Row],[traceability_no]],2)</f>
        <v>J2</v>
      </c>
      <c r="N347" s="456"/>
      <c r="O347"/>
      <c r="Z347" s="460"/>
      <c r="AA347" s="194"/>
      <c r="AB347"/>
      <c r="AG347" s="69"/>
      <c r="AH347"/>
    </row>
    <row r="348" spans="1:34" x14ac:dyDescent="0.2">
      <c r="A348" s="655"/>
      <c r="B348" s="655"/>
      <c r="C348"/>
      <c r="D348" s="655"/>
      <c r="E348" s="655"/>
      <c r="F348" s="655" t="str">
        <f>LEFT(AllDaqbookOffsets[[#This Row],[traceability_no]],2)</f>
        <v>J2</v>
      </c>
      <c r="N348" s="456"/>
      <c r="O348"/>
      <c r="Z348" s="460"/>
      <c r="AA348" s="194"/>
      <c r="AB348"/>
      <c r="AG348" s="69"/>
      <c r="AH348"/>
    </row>
    <row r="349" spans="1:34" x14ac:dyDescent="0.2">
      <c r="A349" s="655"/>
      <c r="B349" s="655"/>
      <c r="C349"/>
      <c r="D349" s="655"/>
      <c r="E349" s="655"/>
      <c r="F349" s="655" t="str">
        <f>LEFT(AllDaqbookOffsets[[#This Row],[traceability_no]],2)</f>
        <v>J2</v>
      </c>
      <c r="N349" s="456"/>
      <c r="O349"/>
      <c r="Z349" s="460"/>
      <c r="AA349" s="194"/>
      <c r="AB349"/>
      <c r="AG349" s="69"/>
      <c r="AH349"/>
    </row>
    <row r="350" spans="1:34" x14ac:dyDescent="0.2">
      <c r="A350" s="655"/>
      <c r="B350" s="655"/>
      <c r="C350"/>
      <c r="D350" s="655"/>
      <c r="E350" s="655"/>
      <c r="F350" s="655" t="str">
        <f>LEFT(AllDaqbookOffsets[[#This Row],[traceability_no]],2)</f>
        <v>J2</v>
      </c>
      <c r="N350" s="456"/>
      <c r="O350"/>
      <c r="Z350" s="460"/>
      <c r="AA350" s="194"/>
      <c r="AB350"/>
      <c r="AG350" s="69"/>
      <c r="AH350"/>
    </row>
    <row r="351" spans="1:34" x14ac:dyDescent="0.2">
      <c r="A351" s="655"/>
      <c r="B351" s="655"/>
      <c r="C351"/>
      <c r="D351" s="655"/>
      <c r="E351" s="655"/>
      <c r="F351" s="655" t="str">
        <f>LEFT(AllDaqbookOffsets[[#This Row],[traceability_no]],2)</f>
        <v>J2</v>
      </c>
      <c r="N351" s="456"/>
      <c r="O351"/>
      <c r="Z351" s="460"/>
      <c r="AA351" s="194"/>
      <c r="AB351"/>
      <c r="AG351" s="69"/>
      <c r="AH351"/>
    </row>
    <row r="352" spans="1:34" x14ac:dyDescent="0.2">
      <c r="A352" s="655"/>
      <c r="B352" s="655"/>
      <c r="C352"/>
      <c r="D352" s="655"/>
      <c r="E352" s="655"/>
      <c r="F352" s="655" t="str">
        <f>LEFT(AllDaqbookOffsets[[#This Row],[traceability_no]],2)</f>
        <v>J2</v>
      </c>
      <c r="N352" s="456"/>
      <c r="O352"/>
      <c r="Z352" s="460"/>
      <c r="AA352" s="194"/>
      <c r="AB352"/>
      <c r="AG352" s="69"/>
      <c r="AH352"/>
    </row>
    <row r="353" spans="1:34" x14ac:dyDescent="0.2">
      <c r="A353" s="655"/>
      <c r="B353" s="655"/>
      <c r="C353"/>
      <c r="D353" s="655"/>
      <c r="E353" s="655"/>
      <c r="F353" s="655" t="str">
        <f>LEFT(AllDaqbookOffsets[[#This Row],[traceability_no]],2)</f>
        <v>J2</v>
      </c>
      <c r="N353" s="456"/>
      <c r="O353"/>
      <c r="Z353" s="460"/>
      <c r="AA353" s="194"/>
      <c r="AB353"/>
      <c r="AG353" s="69"/>
      <c r="AH353"/>
    </row>
    <row r="354" spans="1:34" x14ac:dyDescent="0.2">
      <c r="A354" s="655"/>
      <c r="B354" s="655"/>
      <c r="C354"/>
      <c r="D354" s="655"/>
      <c r="E354" s="655"/>
      <c r="F354" s="655" t="str">
        <f>LEFT(AllDaqbookOffsets[[#This Row],[traceability_no]],2)</f>
        <v>J2</v>
      </c>
      <c r="N354" s="456"/>
      <c r="O354"/>
      <c r="Z354" s="460"/>
      <c r="AA354" s="194"/>
      <c r="AB354"/>
      <c r="AG354" s="69"/>
      <c r="AH354"/>
    </row>
    <row r="355" spans="1:34" x14ac:dyDescent="0.2">
      <c r="A355" s="655"/>
      <c r="B355" s="655"/>
      <c r="C355"/>
      <c r="D355" s="655"/>
      <c r="E355" s="655"/>
      <c r="F355" s="655" t="str">
        <f>LEFT(AllDaqbookOffsets[[#This Row],[traceability_no]],2)</f>
        <v>J2</v>
      </c>
      <c r="N355" s="456"/>
      <c r="O355"/>
      <c r="Z355" s="460"/>
      <c r="AA355" s="194"/>
      <c r="AB355"/>
      <c r="AG355" s="69"/>
      <c r="AH355"/>
    </row>
    <row r="356" spans="1:34" x14ac:dyDescent="0.2">
      <c r="A356" s="655"/>
      <c r="B356" s="655"/>
      <c r="C356"/>
      <c r="D356" s="655"/>
      <c r="E356" s="655"/>
      <c r="F356" s="655" t="str">
        <f>LEFT(AllDaqbookOffsets[[#This Row],[traceability_no]],2)</f>
        <v>J2</v>
      </c>
      <c r="N356" s="456"/>
      <c r="O356"/>
      <c r="Z356" s="460"/>
      <c r="AA356" s="194"/>
      <c r="AB356"/>
      <c r="AG356" s="69"/>
      <c r="AH356"/>
    </row>
    <row r="357" spans="1:34" x14ac:dyDescent="0.2">
      <c r="A357" s="655"/>
      <c r="B357" s="655"/>
      <c r="C357"/>
      <c r="D357" s="655"/>
      <c r="E357" s="655"/>
      <c r="F357" s="655" t="str">
        <f>LEFT(AllDaqbookOffsets[[#This Row],[traceability_no]],2)</f>
        <v>J2</v>
      </c>
      <c r="N357" s="456"/>
      <c r="O357"/>
      <c r="Z357" s="460"/>
      <c r="AA357" s="194"/>
      <c r="AB357"/>
      <c r="AG357" s="69"/>
      <c r="AH357"/>
    </row>
    <row r="358" spans="1:34" x14ac:dyDescent="0.2">
      <c r="A358" s="655"/>
      <c r="B358" s="655"/>
      <c r="C358"/>
      <c r="D358" s="655"/>
      <c r="E358" s="655"/>
      <c r="F358" s="655" t="str">
        <f>LEFT(AllDaqbookOffsets[[#This Row],[traceability_no]],2)</f>
        <v>J2</v>
      </c>
      <c r="N358" s="456"/>
      <c r="O358"/>
      <c r="Z358" s="460"/>
      <c r="AA358" s="194"/>
      <c r="AB358"/>
      <c r="AG358" s="69"/>
      <c r="AH358"/>
    </row>
    <row r="359" spans="1:34" x14ac:dyDescent="0.2">
      <c r="A359" s="655"/>
      <c r="B359" s="655"/>
      <c r="C359"/>
      <c r="D359" s="655"/>
      <c r="E359" s="655"/>
      <c r="F359" s="655" t="str">
        <f>LEFT(AllDaqbookOffsets[[#This Row],[traceability_no]],2)</f>
        <v>J2</v>
      </c>
      <c r="N359" s="456"/>
      <c r="O359"/>
      <c r="Z359" s="460"/>
      <c r="AA359" s="194"/>
      <c r="AB359"/>
      <c r="AG359" s="69"/>
      <c r="AH359"/>
    </row>
    <row r="360" spans="1:34" x14ac:dyDescent="0.2">
      <c r="A360" s="655"/>
      <c r="B360" s="655"/>
      <c r="C360"/>
      <c r="D360" s="655"/>
      <c r="E360" s="655"/>
      <c r="F360" s="655" t="str">
        <f>LEFT(AllDaqbookOffsets[[#This Row],[traceability_no]],2)</f>
        <v>J2</v>
      </c>
      <c r="N360" s="456"/>
      <c r="O360"/>
      <c r="Z360" s="460"/>
      <c r="AA360" s="194"/>
      <c r="AB360"/>
      <c r="AG360" s="69"/>
      <c r="AH360"/>
    </row>
    <row r="361" spans="1:34" x14ac:dyDescent="0.2">
      <c r="A361" s="655"/>
      <c r="B361" s="655"/>
      <c r="C361"/>
      <c r="D361" s="655"/>
      <c r="E361" s="655"/>
      <c r="F361" s="655" t="str">
        <f>LEFT(AllDaqbookOffsets[[#This Row],[traceability_no]],2)</f>
        <v>J2</v>
      </c>
      <c r="N361" s="456"/>
      <c r="O361"/>
      <c r="Z361" s="460"/>
      <c r="AA361" s="194"/>
      <c r="AB361"/>
      <c r="AG361" s="69"/>
      <c r="AH361"/>
    </row>
    <row r="362" spans="1:34" x14ac:dyDescent="0.2">
      <c r="A362" s="655"/>
      <c r="B362" s="655"/>
      <c r="C362"/>
      <c r="D362" s="655"/>
      <c r="E362" s="655"/>
      <c r="F362" s="655" t="str">
        <f>LEFT(AllDaqbookOffsets[[#This Row],[traceability_no]],2)</f>
        <v>J2</v>
      </c>
      <c r="N362" s="456"/>
      <c r="O362"/>
      <c r="Z362" s="460"/>
      <c r="AA362" s="194"/>
      <c r="AB362"/>
      <c r="AG362" s="69"/>
      <c r="AH362"/>
    </row>
    <row r="363" spans="1:34" x14ac:dyDescent="0.2">
      <c r="A363" s="655"/>
      <c r="B363" s="655"/>
      <c r="C363"/>
      <c r="D363" s="655"/>
      <c r="E363" s="655"/>
      <c r="F363" s="655" t="str">
        <f>LEFT(AllDaqbookOffsets[[#This Row],[traceability_no]],2)</f>
        <v>J2</v>
      </c>
      <c r="N363" s="456"/>
      <c r="O363"/>
      <c r="Z363" s="460"/>
      <c r="AA363" s="194"/>
      <c r="AB363"/>
      <c r="AG363" s="69"/>
      <c r="AH363"/>
    </row>
    <row r="364" spans="1:34" x14ac:dyDescent="0.2">
      <c r="A364" s="655"/>
      <c r="B364" s="655"/>
      <c r="C364"/>
      <c r="D364" s="655"/>
      <c r="E364" s="655"/>
      <c r="F364" s="655" t="str">
        <f>LEFT(AllDaqbookOffsets[[#This Row],[traceability_no]],2)</f>
        <v>J2</v>
      </c>
      <c r="N364" s="456"/>
      <c r="O364"/>
      <c r="Z364" s="460"/>
      <c r="AA364" s="194"/>
      <c r="AB364"/>
      <c r="AG364" s="69"/>
      <c r="AH364"/>
    </row>
    <row r="365" spans="1:34" x14ac:dyDescent="0.2">
      <c r="A365" s="655"/>
      <c r="B365" s="655"/>
      <c r="C365"/>
      <c r="D365" s="655"/>
      <c r="E365" s="655"/>
      <c r="F365" s="655" t="str">
        <f>LEFT(AllDaqbookOffsets[[#This Row],[traceability_no]],2)</f>
        <v>J2</v>
      </c>
      <c r="N365" s="456"/>
      <c r="O365"/>
      <c r="Z365" s="460"/>
      <c r="AA365" s="194"/>
      <c r="AB365"/>
      <c r="AG365" s="69"/>
      <c r="AH365"/>
    </row>
    <row r="366" spans="1:34" x14ac:dyDescent="0.2">
      <c r="A366" s="655"/>
      <c r="B366" s="655"/>
      <c r="C366"/>
      <c r="D366" s="655"/>
      <c r="E366" s="655"/>
      <c r="F366" s="655" t="str">
        <f>LEFT(AllDaqbookOffsets[[#This Row],[traceability_no]],2)</f>
        <v>J2</v>
      </c>
      <c r="N366" s="456"/>
      <c r="O366"/>
      <c r="Z366" s="460"/>
      <c r="AA366" s="194"/>
      <c r="AB366"/>
      <c r="AG366" s="69"/>
      <c r="AH366"/>
    </row>
    <row r="367" spans="1:34" x14ac:dyDescent="0.2">
      <c r="A367" s="655"/>
      <c r="B367" s="655"/>
      <c r="C367"/>
      <c r="D367" s="655"/>
      <c r="E367" s="655"/>
      <c r="F367" s="655" t="str">
        <f>LEFT(AllDaqbookOffsets[[#This Row],[traceability_no]],2)</f>
        <v>J2</v>
      </c>
      <c r="N367" s="456"/>
      <c r="O367"/>
      <c r="Z367" s="460"/>
      <c r="AA367" s="194"/>
      <c r="AB367"/>
      <c r="AG367" s="69"/>
      <c r="AH367"/>
    </row>
    <row r="368" spans="1:34" x14ac:dyDescent="0.2">
      <c r="A368" s="655"/>
      <c r="B368" s="655"/>
      <c r="C368"/>
      <c r="D368" s="655"/>
      <c r="E368" s="655"/>
      <c r="F368" s="655" t="str">
        <f>LEFT(AllDaqbookOffsets[[#This Row],[traceability_no]],2)</f>
        <v>J2</v>
      </c>
      <c r="N368" s="456"/>
      <c r="O368"/>
      <c r="Z368" s="460"/>
      <c r="AA368" s="194"/>
      <c r="AB368"/>
      <c r="AG368" s="69"/>
      <c r="AH368"/>
    </row>
    <row r="369" spans="1:34" x14ac:dyDescent="0.2">
      <c r="A369" s="655"/>
      <c r="B369" s="655"/>
      <c r="C369"/>
      <c r="D369" s="655"/>
      <c r="E369" s="655"/>
      <c r="F369" s="655" t="str">
        <f>LEFT(AllDaqbookOffsets[[#This Row],[traceability_no]],2)</f>
        <v>J2</v>
      </c>
      <c r="N369" s="456"/>
      <c r="O369"/>
      <c r="Z369" s="460"/>
      <c r="AA369" s="194"/>
      <c r="AB369"/>
      <c r="AG369" s="69"/>
      <c r="AH369"/>
    </row>
    <row r="370" spans="1:34" x14ac:dyDescent="0.2">
      <c r="A370" s="655"/>
      <c r="B370" s="655"/>
      <c r="C370"/>
      <c r="D370" s="655"/>
      <c r="E370" s="655"/>
      <c r="F370" s="655" t="str">
        <f>LEFT(AllDaqbookOffsets[[#This Row],[traceability_no]],2)</f>
        <v>J2</v>
      </c>
      <c r="N370" s="456"/>
      <c r="O370"/>
      <c r="Z370" s="460"/>
      <c r="AA370" s="194"/>
      <c r="AB370"/>
      <c r="AG370" s="69"/>
      <c r="AH370"/>
    </row>
    <row r="371" spans="1:34" x14ac:dyDescent="0.2">
      <c r="A371" s="655"/>
      <c r="B371" s="655"/>
      <c r="C371"/>
      <c r="D371" s="655"/>
      <c r="E371" s="655"/>
      <c r="F371" s="655" t="str">
        <f>LEFT(AllDaqbookOffsets[[#This Row],[traceability_no]],2)</f>
        <v>J2</v>
      </c>
      <c r="N371" s="456"/>
      <c r="O371"/>
      <c r="Z371" s="460"/>
      <c r="AA371" s="194"/>
      <c r="AB371"/>
      <c r="AG371" s="69"/>
      <c r="AH371"/>
    </row>
    <row r="372" spans="1:34" x14ac:dyDescent="0.2">
      <c r="A372" s="655"/>
      <c r="B372" s="655"/>
      <c r="C372"/>
      <c r="D372" s="655"/>
      <c r="E372" s="655"/>
      <c r="F372" s="655" t="str">
        <f>LEFT(AllDaqbookOffsets[[#This Row],[traceability_no]],2)</f>
        <v>J2</v>
      </c>
      <c r="N372" s="456"/>
      <c r="O372"/>
      <c r="Z372" s="460"/>
      <c r="AA372" s="194"/>
      <c r="AB372"/>
      <c r="AG372" s="69"/>
      <c r="AH372"/>
    </row>
    <row r="373" spans="1:34" x14ac:dyDescent="0.2">
      <c r="A373" s="655"/>
      <c r="B373" s="655"/>
      <c r="C373"/>
      <c r="D373" s="655"/>
      <c r="E373" s="655"/>
      <c r="F373" s="655" t="str">
        <f>LEFT(AllDaqbookOffsets[[#This Row],[traceability_no]],2)</f>
        <v>J2</v>
      </c>
      <c r="N373" s="456"/>
      <c r="O373"/>
      <c r="Z373" s="460"/>
      <c r="AA373" s="194"/>
      <c r="AB373"/>
      <c r="AG373" s="69"/>
      <c r="AH373"/>
    </row>
    <row r="374" spans="1:34" x14ac:dyDescent="0.2">
      <c r="A374" s="655"/>
      <c r="B374" s="655"/>
      <c r="C374"/>
      <c r="D374" s="655"/>
      <c r="E374" s="655"/>
      <c r="F374" s="655" t="str">
        <f>LEFT(AllDaqbookOffsets[[#This Row],[traceability_no]],2)</f>
        <v>J2</v>
      </c>
      <c r="N374" s="456"/>
      <c r="O374"/>
      <c r="Z374" s="460"/>
      <c r="AA374" s="194"/>
      <c r="AB374"/>
      <c r="AG374" s="69"/>
      <c r="AH374"/>
    </row>
    <row r="375" spans="1:34" x14ac:dyDescent="0.2">
      <c r="A375" s="655"/>
      <c r="B375" s="655"/>
      <c r="C375"/>
      <c r="D375" s="655"/>
      <c r="E375" s="655"/>
      <c r="F375" s="655" t="str">
        <f>LEFT(AllDaqbookOffsets[[#This Row],[traceability_no]],2)</f>
        <v>J2</v>
      </c>
      <c r="N375" s="456"/>
      <c r="O375"/>
      <c r="Z375" s="460"/>
      <c r="AA375" s="194"/>
      <c r="AB375"/>
      <c r="AG375" s="69"/>
      <c r="AH375"/>
    </row>
    <row r="376" spans="1:34" x14ac:dyDescent="0.2">
      <c r="A376" s="655"/>
      <c r="B376" s="655"/>
      <c r="C376"/>
      <c r="D376" s="655"/>
      <c r="E376" s="655"/>
      <c r="F376" s="655" t="str">
        <f>LEFT(AllDaqbookOffsets[[#This Row],[traceability_no]],2)</f>
        <v>J2</v>
      </c>
      <c r="N376" s="456"/>
      <c r="O376"/>
      <c r="Z376" s="460"/>
      <c r="AA376" s="194"/>
      <c r="AB376"/>
      <c r="AG376" s="69"/>
      <c r="AH376"/>
    </row>
    <row r="377" spans="1:34" x14ac:dyDescent="0.2">
      <c r="A377" s="655"/>
      <c r="B377" s="655"/>
      <c r="C377"/>
      <c r="D377" s="655"/>
      <c r="E377" s="655"/>
      <c r="F377" s="655" t="str">
        <f>LEFT(AllDaqbookOffsets[[#This Row],[traceability_no]],2)</f>
        <v>J2</v>
      </c>
      <c r="N377" s="456"/>
      <c r="O377"/>
      <c r="Z377" s="460"/>
      <c r="AA377" s="194"/>
      <c r="AB377"/>
      <c r="AG377" s="69"/>
      <c r="AH377"/>
    </row>
    <row r="378" spans="1:34" x14ac:dyDescent="0.2">
      <c r="A378" s="655"/>
      <c r="B378" s="655"/>
      <c r="C378"/>
      <c r="D378" s="655"/>
      <c r="E378" s="655"/>
      <c r="F378" s="655" t="str">
        <f>LEFT(AllDaqbookOffsets[[#This Row],[traceability_no]],2)</f>
        <v>J2</v>
      </c>
      <c r="N378" s="456"/>
      <c r="O378"/>
      <c r="Z378" s="460"/>
      <c r="AA378" s="194"/>
      <c r="AB378"/>
      <c r="AG378" s="69"/>
      <c r="AH378"/>
    </row>
    <row r="379" spans="1:34" x14ac:dyDescent="0.2">
      <c r="A379" s="655"/>
      <c r="B379" s="655"/>
      <c r="C379"/>
      <c r="D379" s="655"/>
      <c r="E379" s="655"/>
      <c r="F379" s="655" t="str">
        <f>LEFT(AllDaqbookOffsets[[#This Row],[traceability_no]],2)</f>
        <v>J2</v>
      </c>
      <c r="N379" s="456"/>
      <c r="O379"/>
      <c r="Z379" s="460"/>
      <c r="AA379" s="194"/>
      <c r="AB379"/>
      <c r="AG379" s="69"/>
      <c r="AH379"/>
    </row>
    <row r="380" spans="1:34" x14ac:dyDescent="0.2">
      <c r="A380" s="655"/>
      <c r="B380" s="655"/>
      <c r="C380"/>
      <c r="D380" s="655"/>
      <c r="E380" s="655"/>
      <c r="F380" s="655" t="str">
        <f>LEFT(AllDaqbookOffsets[[#This Row],[traceability_no]],2)</f>
        <v>J2</v>
      </c>
      <c r="N380" s="456"/>
      <c r="O380"/>
      <c r="Z380" s="460"/>
      <c r="AA380" s="194"/>
      <c r="AB380"/>
      <c r="AG380" s="69"/>
      <c r="AH380"/>
    </row>
    <row r="381" spans="1:34" x14ac:dyDescent="0.2">
      <c r="A381" s="655"/>
      <c r="B381" s="655"/>
      <c r="C381"/>
      <c r="D381" s="655"/>
      <c r="E381" s="655"/>
      <c r="F381" s="655" t="str">
        <f>LEFT(AllDaqbookOffsets[[#This Row],[traceability_no]],2)</f>
        <v>J2</v>
      </c>
      <c r="N381" s="456"/>
      <c r="O381"/>
      <c r="Z381" s="460"/>
      <c r="AA381" s="194"/>
      <c r="AB381"/>
      <c r="AG381" s="69"/>
      <c r="AH381"/>
    </row>
    <row r="382" spans="1:34" x14ac:dyDescent="0.2">
      <c r="A382" s="655"/>
      <c r="B382" s="655"/>
      <c r="C382"/>
      <c r="D382" s="655"/>
      <c r="E382" s="655"/>
      <c r="F382" s="655" t="str">
        <f>LEFT(AllDaqbookOffsets[[#This Row],[traceability_no]],2)</f>
        <v>J2</v>
      </c>
      <c r="N382" s="456"/>
      <c r="O382"/>
      <c r="Z382" s="460"/>
      <c r="AA382" s="194"/>
      <c r="AB382"/>
      <c r="AG382" s="69"/>
      <c r="AH382"/>
    </row>
    <row r="383" spans="1:34" x14ac:dyDescent="0.2">
      <c r="A383" s="655"/>
      <c r="B383" s="655"/>
      <c r="C383"/>
      <c r="D383" s="655"/>
      <c r="E383" s="655"/>
      <c r="F383" s="655" t="str">
        <f>LEFT(AllDaqbookOffsets[[#This Row],[traceability_no]],2)</f>
        <v>J2</v>
      </c>
      <c r="N383" s="456"/>
      <c r="O383"/>
      <c r="Z383" s="460"/>
      <c r="AA383" s="194"/>
      <c r="AB383"/>
      <c r="AG383" s="69"/>
      <c r="AH383"/>
    </row>
    <row r="384" spans="1:34" x14ac:dyDescent="0.2">
      <c r="A384" s="655"/>
      <c r="B384" s="655"/>
      <c r="C384"/>
      <c r="D384" s="655"/>
      <c r="E384" s="655"/>
      <c r="F384" s="655" t="str">
        <f>LEFT(AllDaqbookOffsets[[#This Row],[traceability_no]],2)</f>
        <v>J2</v>
      </c>
      <c r="N384" s="456"/>
      <c r="O384"/>
      <c r="Z384" s="460"/>
      <c r="AA384" s="194"/>
      <c r="AB384"/>
      <c r="AG384" s="69"/>
      <c r="AH384"/>
    </row>
    <row r="385" spans="1:34" x14ac:dyDescent="0.2">
      <c r="A385" s="655"/>
      <c r="B385" s="655"/>
      <c r="C385"/>
      <c r="D385" s="655"/>
      <c r="E385" s="655"/>
      <c r="F385" s="655" t="str">
        <f>LEFT(AllDaqbookOffsets[[#This Row],[traceability_no]],2)</f>
        <v>J2</v>
      </c>
      <c r="N385" s="456"/>
      <c r="O385"/>
      <c r="Z385" s="460"/>
      <c r="AA385" s="194"/>
      <c r="AB385"/>
      <c r="AG385" s="69"/>
      <c r="AH385"/>
    </row>
    <row r="386" spans="1:34" x14ac:dyDescent="0.2">
      <c r="A386" s="655"/>
      <c r="B386" s="655"/>
      <c r="C386"/>
      <c r="D386" s="655"/>
      <c r="E386" s="655"/>
      <c r="F386" s="655" t="str">
        <f>LEFT(AllDaqbookOffsets[[#This Row],[traceability_no]],2)</f>
        <v>J2</v>
      </c>
      <c r="N386" s="456"/>
      <c r="O386"/>
      <c r="Z386" s="460"/>
      <c r="AA386" s="194"/>
      <c r="AB386"/>
      <c r="AG386" s="69"/>
      <c r="AH386"/>
    </row>
    <row r="387" spans="1:34" x14ac:dyDescent="0.2">
      <c r="A387" s="655"/>
      <c r="B387" s="655"/>
      <c r="C387"/>
      <c r="D387" s="655"/>
      <c r="E387" s="655"/>
      <c r="F387" s="655" t="str">
        <f>LEFT(AllDaqbookOffsets[[#This Row],[traceability_no]],2)</f>
        <v>J2</v>
      </c>
      <c r="N387" s="456"/>
      <c r="O387"/>
      <c r="Z387" s="460"/>
      <c r="AA387" s="194"/>
      <c r="AB387"/>
      <c r="AG387" s="69"/>
      <c r="AH387"/>
    </row>
    <row r="388" spans="1:34" x14ac:dyDescent="0.2">
      <c r="A388" s="655"/>
      <c r="B388" s="655"/>
      <c r="C388"/>
      <c r="D388" s="655"/>
      <c r="E388" s="655"/>
      <c r="F388" s="655" t="str">
        <f>LEFT(AllDaqbookOffsets[[#This Row],[traceability_no]],2)</f>
        <v>J2</v>
      </c>
      <c r="N388" s="456"/>
      <c r="O388"/>
      <c r="Z388" s="460"/>
      <c r="AA388" s="194"/>
      <c r="AB388"/>
      <c r="AG388" s="69"/>
      <c r="AH388"/>
    </row>
    <row r="389" spans="1:34" x14ac:dyDescent="0.2">
      <c r="A389" s="655"/>
      <c r="B389" s="655"/>
      <c r="C389"/>
      <c r="D389" s="655"/>
      <c r="E389" s="655"/>
      <c r="F389" s="655" t="str">
        <f>LEFT(AllDaqbookOffsets[[#This Row],[traceability_no]],2)</f>
        <v>J2</v>
      </c>
      <c r="N389" s="456"/>
      <c r="O389"/>
      <c r="Z389" s="460"/>
      <c r="AA389" s="194"/>
      <c r="AB389"/>
      <c r="AG389" s="69"/>
      <c r="AH389"/>
    </row>
    <row r="390" spans="1:34" x14ac:dyDescent="0.2">
      <c r="A390" s="655"/>
      <c r="B390" s="655"/>
      <c r="C390"/>
      <c r="D390" s="655"/>
      <c r="E390" s="655"/>
      <c r="F390" s="655" t="str">
        <f>LEFT(AllDaqbookOffsets[[#This Row],[traceability_no]],2)</f>
        <v>J2</v>
      </c>
      <c r="N390" s="456"/>
      <c r="O390"/>
      <c r="Z390" s="460"/>
      <c r="AA390" s="194"/>
      <c r="AB390"/>
      <c r="AG390" s="69"/>
      <c r="AH390"/>
    </row>
    <row r="391" spans="1:34" x14ac:dyDescent="0.2">
      <c r="A391" s="655"/>
      <c r="B391" s="655"/>
      <c r="C391"/>
      <c r="D391" s="655"/>
      <c r="E391" s="655"/>
      <c r="F391" s="655" t="str">
        <f>LEFT(AllDaqbookOffsets[[#This Row],[traceability_no]],2)</f>
        <v>J2</v>
      </c>
      <c r="N391" s="456"/>
      <c r="O391"/>
      <c r="Z391" s="460"/>
      <c r="AA391" s="194"/>
      <c r="AB391"/>
      <c r="AG391" s="69"/>
      <c r="AH391"/>
    </row>
    <row r="392" spans="1:34" x14ac:dyDescent="0.2">
      <c r="A392" s="655"/>
      <c r="B392" s="655"/>
      <c r="C392"/>
      <c r="D392" s="655"/>
      <c r="E392" s="655"/>
      <c r="F392" s="655" t="str">
        <f>LEFT(AllDaqbookOffsets[[#This Row],[traceability_no]],2)</f>
        <v>J2</v>
      </c>
      <c r="N392" s="456"/>
      <c r="O392"/>
      <c r="Z392" s="460"/>
      <c r="AA392" s="194"/>
      <c r="AB392"/>
      <c r="AG392" s="69"/>
      <c r="AH392"/>
    </row>
    <row r="393" spans="1:34" x14ac:dyDescent="0.2">
      <c r="A393" s="655"/>
      <c r="B393" s="655"/>
      <c r="C393"/>
      <c r="D393" s="655"/>
      <c r="E393" s="655"/>
      <c r="F393" s="655" t="str">
        <f>LEFT(AllDaqbookOffsets[[#This Row],[traceability_no]],2)</f>
        <v>J2</v>
      </c>
      <c r="N393" s="456"/>
      <c r="O393"/>
      <c r="Z393" s="460"/>
      <c r="AA393" s="194"/>
      <c r="AB393"/>
      <c r="AG393" s="69"/>
      <c r="AH393"/>
    </row>
    <row r="394" spans="1:34" x14ac:dyDescent="0.2">
      <c r="A394" s="655"/>
      <c r="B394" s="655"/>
      <c r="C394"/>
      <c r="D394" s="655"/>
      <c r="E394" s="655"/>
      <c r="F394" s="655" t="str">
        <f>LEFT(AllDaqbookOffsets[[#This Row],[traceability_no]],2)</f>
        <v>J2</v>
      </c>
      <c r="N394" s="456"/>
      <c r="O394"/>
      <c r="Z394" s="460"/>
      <c r="AA394" s="194"/>
      <c r="AB394"/>
      <c r="AG394" s="69"/>
      <c r="AH394"/>
    </row>
    <row r="395" spans="1:34" x14ac:dyDescent="0.2">
      <c r="A395" s="655"/>
      <c r="B395" s="655"/>
      <c r="C395"/>
      <c r="D395" s="655"/>
      <c r="E395" s="655"/>
      <c r="F395" s="655" t="str">
        <f>LEFT(AllDaqbookOffsets[[#This Row],[traceability_no]],2)</f>
        <v>J2</v>
      </c>
      <c r="N395" s="456"/>
      <c r="O395"/>
      <c r="Z395" s="460"/>
      <c r="AA395" s="194"/>
      <c r="AB395"/>
      <c r="AG395" s="69"/>
      <c r="AH395"/>
    </row>
    <row r="396" spans="1:34" x14ac:dyDescent="0.2">
      <c r="A396" s="655"/>
      <c r="B396" s="655"/>
      <c r="C396"/>
      <c r="D396" s="655"/>
      <c r="E396" s="655"/>
      <c r="F396" s="655" t="str">
        <f>LEFT(AllDaqbookOffsets[[#This Row],[traceability_no]],2)</f>
        <v>J2</v>
      </c>
      <c r="N396" s="456"/>
      <c r="O396"/>
      <c r="Z396" s="460"/>
      <c r="AA396" s="194"/>
      <c r="AB396"/>
      <c r="AG396" s="69"/>
      <c r="AH396"/>
    </row>
    <row r="397" spans="1:34" x14ac:dyDescent="0.2">
      <c r="A397" s="655"/>
      <c r="B397" s="655"/>
      <c r="C397"/>
      <c r="D397" s="655"/>
      <c r="E397" s="655"/>
      <c r="F397" s="655" t="str">
        <f>LEFT(AllDaqbookOffsets[[#This Row],[traceability_no]],2)</f>
        <v>J2</v>
      </c>
      <c r="N397" s="456"/>
      <c r="O397"/>
      <c r="Z397" s="460"/>
      <c r="AA397" s="194"/>
      <c r="AB397"/>
      <c r="AG397" s="69"/>
      <c r="AH397"/>
    </row>
    <row r="398" spans="1:34" x14ac:dyDescent="0.2">
      <c r="A398" s="655"/>
      <c r="B398" s="655"/>
      <c r="C398"/>
      <c r="D398" s="655"/>
      <c r="E398" s="655"/>
      <c r="F398" s="655" t="str">
        <f>LEFT(AllDaqbookOffsets[[#This Row],[traceability_no]],2)</f>
        <v>J2</v>
      </c>
      <c r="N398" s="456"/>
      <c r="O398"/>
      <c r="Z398" s="460"/>
      <c r="AA398" s="194"/>
      <c r="AB398"/>
      <c r="AG398" s="69"/>
      <c r="AH398"/>
    </row>
    <row r="399" spans="1:34" x14ac:dyDescent="0.2">
      <c r="A399" s="655"/>
      <c r="B399" s="655"/>
      <c r="C399"/>
      <c r="D399" s="655"/>
      <c r="E399" s="655"/>
      <c r="F399" s="655" t="str">
        <f>LEFT(AllDaqbookOffsets[[#This Row],[traceability_no]],2)</f>
        <v>J2</v>
      </c>
      <c r="N399" s="456"/>
      <c r="O399"/>
      <c r="Z399" s="460"/>
      <c r="AA399" s="194"/>
      <c r="AB399"/>
      <c r="AG399" s="69"/>
      <c r="AH399"/>
    </row>
    <row r="400" spans="1:34" x14ac:dyDescent="0.2">
      <c r="A400" s="655"/>
      <c r="B400" s="655"/>
      <c r="C400"/>
      <c r="D400" s="655"/>
      <c r="E400" s="655"/>
      <c r="F400" s="655" t="str">
        <f>LEFT(AllDaqbookOffsets[[#This Row],[traceability_no]],2)</f>
        <v>J2</v>
      </c>
      <c r="N400" s="456"/>
      <c r="O400"/>
      <c r="Z400" s="460"/>
      <c r="AA400" s="194"/>
      <c r="AB400"/>
      <c r="AG400" s="69"/>
      <c r="AH400"/>
    </row>
    <row r="401" spans="1:34" x14ac:dyDescent="0.2">
      <c r="A401" s="655"/>
      <c r="B401" s="655"/>
      <c r="C401"/>
      <c r="D401" s="655"/>
      <c r="E401" s="655"/>
      <c r="F401" s="655" t="str">
        <f>LEFT(AllDaqbookOffsets[[#This Row],[traceability_no]],2)</f>
        <v>J2</v>
      </c>
      <c r="N401" s="456"/>
      <c r="O401"/>
      <c r="Z401" s="460"/>
      <c r="AA401" s="194"/>
      <c r="AB401"/>
      <c r="AG401" s="69"/>
      <c r="AH401"/>
    </row>
    <row r="402" spans="1:34" x14ac:dyDescent="0.2">
      <c r="A402" s="655"/>
      <c r="B402" s="655"/>
      <c r="C402"/>
      <c r="D402" s="655"/>
      <c r="E402" s="655"/>
      <c r="F402" s="655" t="str">
        <f>LEFT(AllDaqbookOffsets[[#This Row],[traceability_no]],2)</f>
        <v>J2</v>
      </c>
      <c r="N402" s="456"/>
      <c r="O402"/>
      <c r="Z402" s="460"/>
      <c r="AA402" s="194"/>
      <c r="AB402"/>
      <c r="AG402" s="69"/>
      <c r="AH402"/>
    </row>
    <row r="403" spans="1:34" x14ac:dyDescent="0.2">
      <c r="A403" s="655"/>
      <c r="B403" s="655"/>
      <c r="C403"/>
      <c r="D403" s="655"/>
      <c r="E403" s="655"/>
      <c r="F403" s="655" t="str">
        <f>LEFT(AllDaqbookOffsets[[#This Row],[traceability_no]],2)</f>
        <v>J2</v>
      </c>
      <c r="N403" s="456"/>
      <c r="O403"/>
      <c r="Z403" s="460"/>
      <c r="AA403" s="194"/>
      <c r="AB403"/>
      <c r="AG403" s="69"/>
      <c r="AH403"/>
    </row>
    <row r="404" spans="1:34" x14ac:dyDescent="0.2">
      <c r="A404" s="655"/>
      <c r="B404" s="655"/>
      <c r="C404"/>
      <c r="D404" s="655"/>
      <c r="E404" s="655"/>
      <c r="F404" s="655" t="str">
        <f>LEFT(AllDaqbookOffsets[[#This Row],[traceability_no]],2)</f>
        <v>J2</v>
      </c>
      <c r="N404" s="456"/>
      <c r="O404"/>
      <c r="Z404" s="460"/>
      <c r="AA404" s="194"/>
      <c r="AB404"/>
      <c r="AG404" s="69"/>
      <c r="AH404"/>
    </row>
    <row r="405" spans="1:34" x14ac:dyDescent="0.2">
      <c r="A405" s="655"/>
      <c r="B405" s="655"/>
      <c r="C405"/>
      <c r="D405" s="655"/>
      <c r="E405" s="655"/>
      <c r="F405" s="655" t="str">
        <f>LEFT(AllDaqbookOffsets[[#This Row],[traceability_no]],2)</f>
        <v>J2</v>
      </c>
      <c r="N405" s="456"/>
      <c r="O405"/>
      <c r="Z405" s="460"/>
      <c r="AA405" s="194"/>
      <c r="AB405"/>
      <c r="AG405" s="69"/>
      <c r="AH405"/>
    </row>
    <row r="406" spans="1:34" x14ac:dyDescent="0.2">
      <c r="A406" s="655"/>
      <c r="B406" s="655"/>
      <c r="C406"/>
      <c r="D406" s="655"/>
      <c r="E406" s="655"/>
      <c r="F406" s="655" t="str">
        <f>LEFT(AllDaqbookOffsets[[#This Row],[traceability_no]],2)</f>
        <v>J2</v>
      </c>
      <c r="N406" s="456"/>
      <c r="O406"/>
      <c r="Z406" s="460"/>
      <c r="AA406" s="194"/>
      <c r="AB406"/>
      <c r="AG406" s="69"/>
      <c r="AH406"/>
    </row>
    <row r="407" spans="1:34" x14ac:dyDescent="0.2">
      <c r="A407" s="655"/>
      <c r="B407" s="655"/>
      <c r="C407"/>
      <c r="D407" s="655"/>
      <c r="E407" s="655"/>
      <c r="F407" s="655" t="str">
        <f>LEFT(AllDaqbookOffsets[[#This Row],[traceability_no]],2)</f>
        <v>J2</v>
      </c>
      <c r="N407" s="456"/>
      <c r="O407"/>
      <c r="Z407" s="460"/>
      <c r="AA407" s="194"/>
      <c r="AB407"/>
      <c r="AG407" s="69"/>
      <c r="AH407"/>
    </row>
    <row r="408" spans="1:34" x14ac:dyDescent="0.2">
      <c r="A408" s="655"/>
      <c r="B408" s="655"/>
      <c r="C408"/>
      <c r="D408" s="655"/>
      <c r="E408" s="655"/>
      <c r="F408" s="655" t="str">
        <f>LEFT(AllDaqbookOffsets[[#This Row],[traceability_no]],2)</f>
        <v>J2</v>
      </c>
      <c r="N408" s="456"/>
      <c r="O408"/>
      <c r="Z408" s="460"/>
      <c r="AA408" s="194"/>
      <c r="AB408"/>
      <c r="AG408" s="69"/>
      <c r="AH408"/>
    </row>
    <row r="409" spans="1:34" x14ac:dyDescent="0.2">
      <c r="A409" s="655"/>
      <c r="B409" s="655"/>
      <c r="C409"/>
      <c r="D409" s="655"/>
      <c r="E409" s="655"/>
      <c r="F409" s="655" t="str">
        <f>LEFT(AllDaqbookOffsets[[#This Row],[traceability_no]],2)</f>
        <v>J2</v>
      </c>
      <c r="N409" s="456"/>
      <c r="O409"/>
      <c r="Z409" s="460"/>
      <c r="AA409" s="194"/>
      <c r="AB409"/>
      <c r="AG409" s="69"/>
      <c r="AH409"/>
    </row>
    <row r="410" spans="1:34" x14ac:dyDescent="0.2">
      <c r="A410" s="655"/>
      <c r="B410" s="655"/>
      <c r="C410"/>
      <c r="D410" s="655"/>
      <c r="E410" s="655"/>
      <c r="F410" s="655" t="str">
        <f>LEFT(AllDaqbookOffsets[[#This Row],[traceability_no]],2)</f>
        <v>J2</v>
      </c>
      <c r="N410" s="456"/>
      <c r="O410"/>
      <c r="Z410" s="460"/>
      <c r="AA410" s="194"/>
      <c r="AB410"/>
      <c r="AG410" s="69"/>
      <c r="AH410"/>
    </row>
    <row r="411" spans="1:34" x14ac:dyDescent="0.2">
      <c r="A411" s="655"/>
      <c r="B411" s="655"/>
      <c r="C411"/>
      <c r="D411" s="655"/>
      <c r="E411" s="655"/>
      <c r="F411" s="655" t="str">
        <f>LEFT(AllDaqbookOffsets[[#This Row],[traceability_no]],2)</f>
        <v>J2</v>
      </c>
      <c r="N411" s="456"/>
      <c r="O411"/>
      <c r="Z411" s="460"/>
      <c r="AA411" s="194"/>
      <c r="AB411"/>
      <c r="AG411" s="69"/>
      <c r="AH411"/>
    </row>
    <row r="412" spans="1:34" x14ac:dyDescent="0.2">
      <c r="A412" s="655"/>
      <c r="B412" s="655"/>
      <c r="C412"/>
      <c r="D412" s="655"/>
      <c r="E412" s="655"/>
      <c r="F412" s="655" t="str">
        <f>LEFT(AllDaqbookOffsets[[#This Row],[traceability_no]],2)</f>
        <v>J2</v>
      </c>
      <c r="N412" s="456"/>
      <c r="O412"/>
      <c r="Z412" s="460"/>
      <c r="AA412" s="194"/>
      <c r="AB412"/>
      <c r="AG412" s="69"/>
      <c r="AH412"/>
    </row>
    <row r="413" spans="1:34" x14ac:dyDescent="0.2">
      <c r="A413" s="655"/>
      <c r="B413" s="655"/>
      <c r="C413"/>
      <c r="D413" s="655"/>
      <c r="E413" s="655"/>
      <c r="F413" s="655" t="str">
        <f>LEFT(AllDaqbookOffsets[[#This Row],[traceability_no]],2)</f>
        <v>J2</v>
      </c>
      <c r="N413" s="456"/>
      <c r="O413"/>
      <c r="Z413" s="460"/>
      <c r="AA413" s="194"/>
      <c r="AB413"/>
      <c r="AG413" s="69"/>
      <c r="AH413"/>
    </row>
    <row r="414" spans="1:34" x14ac:dyDescent="0.2">
      <c r="A414" s="655"/>
      <c r="B414" s="655"/>
      <c r="C414"/>
      <c r="D414" s="655"/>
      <c r="E414" s="655"/>
      <c r="F414" s="655" t="str">
        <f>LEFT(AllDaqbookOffsets[[#This Row],[traceability_no]],2)</f>
        <v>J2</v>
      </c>
      <c r="N414" s="456"/>
      <c r="O414"/>
      <c r="Z414" s="460"/>
      <c r="AA414" s="194"/>
      <c r="AB414"/>
      <c r="AG414" s="69"/>
      <c r="AH414"/>
    </row>
    <row r="415" spans="1:34" x14ac:dyDescent="0.2">
      <c r="A415" s="655"/>
      <c r="B415" s="655"/>
      <c r="C415"/>
      <c r="D415" s="655"/>
      <c r="E415" s="655"/>
      <c r="F415" s="655" t="str">
        <f>LEFT(AllDaqbookOffsets[[#This Row],[traceability_no]],2)</f>
        <v>J2</v>
      </c>
      <c r="N415" s="456"/>
      <c r="O415"/>
      <c r="Z415" s="460"/>
      <c r="AA415" s="194"/>
      <c r="AB415"/>
      <c r="AG415" s="69"/>
      <c r="AH415"/>
    </row>
    <row r="416" spans="1:34" x14ac:dyDescent="0.2">
      <c r="A416" s="655"/>
      <c r="B416" s="655"/>
      <c r="C416"/>
      <c r="D416" s="655"/>
      <c r="E416" s="655"/>
      <c r="F416" s="655" t="str">
        <f>LEFT(AllDaqbookOffsets[[#This Row],[traceability_no]],2)</f>
        <v>J2</v>
      </c>
      <c r="N416" s="456"/>
      <c r="O416"/>
      <c r="Z416" s="460"/>
      <c r="AA416" s="194"/>
      <c r="AB416"/>
      <c r="AG416" s="69"/>
      <c r="AH416"/>
    </row>
    <row r="417" spans="1:34" x14ac:dyDescent="0.2">
      <c r="A417" s="655"/>
      <c r="B417" s="655"/>
      <c r="C417"/>
      <c r="D417" s="655"/>
      <c r="E417" s="655"/>
      <c r="F417" s="655" t="str">
        <f>LEFT(AllDaqbookOffsets[[#This Row],[traceability_no]],2)</f>
        <v>J2</v>
      </c>
      <c r="N417" s="456"/>
      <c r="O417"/>
      <c r="Z417" s="460"/>
      <c r="AA417" s="194"/>
      <c r="AB417"/>
      <c r="AG417" s="69"/>
      <c r="AH417"/>
    </row>
    <row r="418" spans="1:34" x14ac:dyDescent="0.2">
      <c r="A418" s="655"/>
      <c r="B418" s="655"/>
      <c r="C418"/>
      <c r="D418" s="655"/>
      <c r="E418" s="655"/>
      <c r="F418" s="655" t="str">
        <f>LEFT(AllDaqbookOffsets[[#This Row],[traceability_no]],2)</f>
        <v>J2</v>
      </c>
      <c r="N418" s="456"/>
      <c r="O418"/>
      <c r="Z418" s="460"/>
      <c r="AA418" s="194"/>
      <c r="AB418"/>
      <c r="AG418" s="69"/>
      <c r="AH418"/>
    </row>
    <row r="419" spans="1:34" x14ac:dyDescent="0.2">
      <c r="A419" s="655"/>
      <c r="B419" s="655"/>
      <c r="C419"/>
      <c r="D419" s="655"/>
      <c r="E419" s="655"/>
      <c r="F419" s="655" t="str">
        <f>LEFT(AllDaqbookOffsets[[#This Row],[traceability_no]],2)</f>
        <v>J2</v>
      </c>
      <c r="N419" s="456"/>
      <c r="O419"/>
      <c r="Z419" s="460"/>
      <c r="AA419" s="194"/>
      <c r="AB419"/>
      <c r="AG419" s="69"/>
      <c r="AH419"/>
    </row>
    <row r="420" spans="1:34" x14ac:dyDescent="0.2">
      <c r="A420" s="655"/>
      <c r="B420" s="655"/>
      <c r="C420"/>
      <c r="D420" s="655"/>
      <c r="E420" s="655"/>
      <c r="F420" s="655" t="str">
        <f>LEFT(AllDaqbookOffsets[[#This Row],[traceability_no]],2)</f>
        <v>J2</v>
      </c>
      <c r="N420" s="456"/>
      <c r="O420"/>
      <c r="Z420" s="460"/>
      <c r="AA420" s="194"/>
      <c r="AB420"/>
      <c r="AG420" s="69"/>
      <c r="AH420"/>
    </row>
    <row r="421" spans="1:34" x14ac:dyDescent="0.2">
      <c r="A421" s="655"/>
      <c r="B421" s="655"/>
      <c r="C421"/>
      <c r="D421" s="655"/>
      <c r="E421" s="655"/>
      <c r="F421" s="655" t="str">
        <f>LEFT(AllDaqbookOffsets[[#This Row],[traceability_no]],2)</f>
        <v>J2</v>
      </c>
      <c r="N421" s="456"/>
      <c r="O421"/>
      <c r="Z421" s="460"/>
      <c r="AA421" s="194"/>
      <c r="AB421"/>
      <c r="AG421" s="69"/>
      <c r="AH421"/>
    </row>
    <row r="422" spans="1:34" x14ac:dyDescent="0.2">
      <c r="A422" s="655"/>
      <c r="B422" s="655"/>
      <c r="C422"/>
      <c r="D422" s="655"/>
      <c r="E422" s="655"/>
      <c r="F422" s="655" t="str">
        <f>LEFT(AllDaqbookOffsets[[#This Row],[traceability_no]],2)</f>
        <v>J2</v>
      </c>
      <c r="N422" s="456"/>
      <c r="O422"/>
      <c r="Z422" s="460"/>
      <c r="AA422" s="194"/>
      <c r="AB422"/>
      <c r="AG422" s="69"/>
      <c r="AH422"/>
    </row>
    <row r="423" spans="1:34" x14ac:dyDescent="0.2">
      <c r="A423" s="655"/>
      <c r="B423" s="655"/>
      <c r="C423"/>
      <c r="D423" s="655"/>
      <c r="E423" s="655"/>
      <c r="F423" s="655" t="str">
        <f>LEFT(AllDaqbookOffsets[[#This Row],[traceability_no]],2)</f>
        <v>J2</v>
      </c>
      <c r="N423" s="456"/>
      <c r="O423"/>
      <c r="Z423" s="460"/>
      <c r="AA423" s="194"/>
      <c r="AB423"/>
      <c r="AG423" s="69"/>
      <c r="AH423"/>
    </row>
    <row r="424" spans="1:34" x14ac:dyDescent="0.2">
      <c r="A424" s="655"/>
      <c r="B424" s="655"/>
      <c r="C424"/>
      <c r="D424" s="655"/>
      <c r="E424" s="655"/>
      <c r="F424" s="655" t="str">
        <f>LEFT(AllDaqbookOffsets[[#This Row],[traceability_no]],2)</f>
        <v>J2</v>
      </c>
      <c r="N424" s="456"/>
      <c r="O424"/>
      <c r="Z424" s="460"/>
      <c r="AA424" s="194"/>
      <c r="AB424"/>
      <c r="AG424" s="69"/>
      <c r="AH424"/>
    </row>
    <row r="425" spans="1:34" x14ac:dyDescent="0.2">
      <c r="A425" s="655"/>
      <c r="B425" s="655"/>
      <c r="C425"/>
      <c r="D425" s="655"/>
      <c r="E425" s="655"/>
      <c r="F425" s="655" t="str">
        <f>LEFT(AllDaqbookOffsets[[#This Row],[traceability_no]],2)</f>
        <v>J2</v>
      </c>
      <c r="N425" s="456"/>
      <c r="O425"/>
      <c r="Z425" s="460"/>
      <c r="AA425" s="194"/>
      <c r="AB425"/>
      <c r="AG425" s="69"/>
      <c r="AH425"/>
    </row>
    <row r="426" spans="1:34" x14ac:dyDescent="0.2">
      <c r="A426" s="655"/>
      <c r="B426" s="655"/>
      <c r="C426"/>
      <c r="D426" s="655"/>
      <c r="E426" s="655"/>
      <c r="F426" s="655" t="str">
        <f>LEFT(AllDaqbookOffsets[[#This Row],[traceability_no]],2)</f>
        <v>J2</v>
      </c>
      <c r="N426" s="456"/>
      <c r="O426"/>
      <c r="Z426" s="460"/>
      <c r="AA426" s="194"/>
      <c r="AB426"/>
      <c r="AG426" s="69"/>
      <c r="AH426"/>
    </row>
    <row r="427" spans="1:34" x14ac:dyDescent="0.2">
      <c r="A427" s="655"/>
      <c r="B427" s="655"/>
      <c r="C427"/>
      <c r="D427" s="655"/>
      <c r="E427" s="655"/>
      <c r="F427" s="655" t="str">
        <f>LEFT(AllDaqbookOffsets[[#This Row],[traceability_no]],2)</f>
        <v>J2</v>
      </c>
      <c r="N427" s="456"/>
      <c r="O427"/>
      <c r="Z427" s="460"/>
      <c r="AA427" s="194"/>
      <c r="AB427"/>
      <c r="AG427" s="69"/>
      <c r="AH427"/>
    </row>
    <row r="428" spans="1:34" x14ac:dyDescent="0.2">
      <c r="A428" s="655"/>
      <c r="B428" s="655"/>
      <c r="C428"/>
      <c r="D428" s="655"/>
      <c r="E428" s="655"/>
      <c r="F428" s="655" t="str">
        <f>LEFT(AllDaqbookOffsets[[#This Row],[traceability_no]],2)</f>
        <v>J2</v>
      </c>
      <c r="N428" s="456"/>
      <c r="O428"/>
      <c r="Z428" s="460"/>
      <c r="AA428" s="194"/>
      <c r="AB428"/>
      <c r="AG428" s="69"/>
      <c r="AH428"/>
    </row>
    <row r="429" spans="1:34" x14ac:dyDescent="0.2">
      <c r="A429" s="655"/>
      <c r="B429" s="655"/>
      <c r="C429"/>
      <c r="D429" s="655"/>
      <c r="E429" s="655"/>
      <c r="F429" s="655" t="str">
        <f>LEFT(AllDaqbookOffsets[[#This Row],[traceability_no]],2)</f>
        <v>J2</v>
      </c>
      <c r="N429" s="456"/>
      <c r="O429"/>
      <c r="Z429" s="460"/>
      <c r="AA429" s="194"/>
      <c r="AB429"/>
      <c r="AG429" s="69"/>
      <c r="AH429"/>
    </row>
    <row r="430" spans="1:34" x14ac:dyDescent="0.2">
      <c r="A430" s="655"/>
      <c r="B430" s="655"/>
      <c r="C430"/>
      <c r="D430" s="655"/>
      <c r="E430" s="655"/>
      <c r="F430" s="655" t="str">
        <f>LEFT(AllDaqbookOffsets[[#This Row],[traceability_no]],2)</f>
        <v>J2</v>
      </c>
      <c r="N430" s="456"/>
      <c r="O430"/>
      <c r="Z430" s="460"/>
      <c r="AA430" s="194"/>
      <c r="AB430"/>
      <c r="AG430" s="69"/>
      <c r="AH430"/>
    </row>
    <row r="431" spans="1:34" x14ac:dyDescent="0.2">
      <c r="A431" s="655"/>
      <c r="B431" s="655"/>
      <c r="C431"/>
      <c r="D431" s="655"/>
      <c r="E431" s="655"/>
      <c r="F431" s="655" t="str">
        <f>LEFT(AllDaqbookOffsets[[#This Row],[traceability_no]],2)</f>
        <v>J2</v>
      </c>
      <c r="N431" s="456"/>
      <c r="O431"/>
      <c r="Z431" s="460"/>
      <c r="AA431" s="194"/>
      <c r="AB431"/>
      <c r="AG431" s="69"/>
      <c r="AH431"/>
    </row>
    <row r="432" spans="1:34" x14ac:dyDescent="0.2">
      <c r="A432" s="655"/>
      <c r="B432" s="655"/>
      <c r="C432"/>
      <c r="D432" s="655"/>
      <c r="E432" s="655"/>
      <c r="F432" s="655" t="str">
        <f>LEFT(AllDaqbookOffsets[[#This Row],[traceability_no]],2)</f>
        <v>J2</v>
      </c>
      <c r="N432" s="456"/>
      <c r="O432"/>
      <c r="Z432" s="460"/>
      <c r="AA432" s="194"/>
      <c r="AB432"/>
      <c r="AG432" s="69"/>
      <c r="AH432"/>
    </row>
    <row r="433" spans="1:34" x14ac:dyDescent="0.2">
      <c r="A433" s="655"/>
      <c r="B433" s="655"/>
      <c r="C433"/>
      <c r="D433" s="655"/>
      <c r="E433" s="655"/>
      <c r="F433" s="655" t="str">
        <f>LEFT(AllDaqbookOffsets[[#This Row],[traceability_no]],2)</f>
        <v>J2</v>
      </c>
      <c r="N433" s="456"/>
      <c r="O433"/>
      <c r="Z433" s="460"/>
      <c r="AA433" s="194"/>
      <c r="AB433"/>
      <c r="AG433" s="69"/>
      <c r="AH433"/>
    </row>
    <row r="434" spans="1:34" x14ac:dyDescent="0.2">
      <c r="A434" s="655"/>
      <c r="B434" s="655"/>
      <c r="C434"/>
      <c r="D434" s="655"/>
      <c r="E434" s="655"/>
      <c r="F434" s="655" t="str">
        <f>LEFT(AllDaqbookOffsets[[#This Row],[traceability_no]],2)</f>
        <v>J2</v>
      </c>
      <c r="N434" s="456"/>
      <c r="O434"/>
      <c r="Z434" s="460"/>
      <c r="AA434" s="194"/>
      <c r="AB434"/>
      <c r="AG434" s="69"/>
      <c r="AH434"/>
    </row>
    <row r="435" spans="1:34" x14ac:dyDescent="0.2">
      <c r="A435" s="655"/>
      <c r="B435" s="655"/>
      <c r="C435"/>
      <c r="D435" s="655"/>
      <c r="E435" s="655"/>
      <c r="F435" s="655" t="str">
        <f>LEFT(AllDaqbookOffsets[[#This Row],[traceability_no]],2)</f>
        <v>J2</v>
      </c>
      <c r="N435" s="456"/>
      <c r="O435"/>
      <c r="Z435" s="460"/>
      <c r="AA435" s="194"/>
      <c r="AB435"/>
      <c r="AG435" s="69"/>
      <c r="AH435"/>
    </row>
    <row r="436" spans="1:34" x14ac:dyDescent="0.2">
      <c r="A436" s="655"/>
      <c r="B436" s="655"/>
      <c r="C436"/>
      <c r="D436" s="655"/>
      <c r="E436" s="655"/>
      <c r="F436" s="655" t="str">
        <f>LEFT(AllDaqbookOffsets[[#This Row],[traceability_no]],2)</f>
        <v>J2</v>
      </c>
      <c r="N436" s="456"/>
      <c r="O436"/>
      <c r="Z436" s="460"/>
      <c r="AA436" s="194"/>
      <c r="AB436"/>
      <c r="AG436" s="69"/>
      <c r="AH436"/>
    </row>
    <row r="437" spans="1:34" x14ac:dyDescent="0.2">
      <c r="A437" s="655"/>
      <c r="B437" s="655"/>
      <c r="C437"/>
      <c r="D437" s="655"/>
      <c r="E437" s="655"/>
      <c r="F437" s="655" t="str">
        <f>LEFT(AllDaqbookOffsets[[#This Row],[traceability_no]],2)</f>
        <v>J2</v>
      </c>
      <c r="N437" s="456"/>
      <c r="O437"/>
      <c r="Z437" s="460"/>
      <c r="AA437" s="194"/>
      <c r="AB437"/>
      <c r="AG437" s="69"/>
      <c r="AH437"/>
    </row>
    <row r="438" spans="1:34" x14ac:dyDescent="0.2">
      <c r="A438" s="655"/>
      <c r="B438" s="655"/>
      <c r="C438"/>
      <c r="D438" s="655"/>
      <c r="E438" s="655"/>
      <c r="F438" s="655" t="str">
        <f>LEFT(AllDaqbookOffsets[[#This Row],[traceability_no]],2)</f>
        <v>J2</v>
      </c>
      <c r="N438" s="456"/>
      <c r="O438"/>
      <c r="Z438" s="460"/>
      <c r="AA438" s="194"/>
      <c r="AB438"/>
      <c r="AG438" s="69"/>
      <c r="AH438"/>
    </row>
    <row r="439" spans="1:34" x14ac:dyDescent="0.2">
      <c r="A439" s="655"/>
      <c r="B439" s="655"/>
      <c r="C439"/>
      <c r="D439" s="655"/>
      <c r="E439" s="655"/>
      <c r="F439" s="655" t="str">
        <f>LEFT(AllDaqbookOffsets[[#This Row],[traceability_no]],2)</f>
        <v>J2</v>
      </c>
      <c r="N439" s="456"/>
      <c r="O439"/>
      <c r="Z439" s="460"/>
      <c r="AA439" s="194"/>
      <c r="AB439"/>
      <c r="AG439" s="69"/>
      <c r="AH439"/>
    </row>
    <row r="440" spans="1:34" x14ac:dyDescent="0.2">
      <c r="A440" s="655"/>
      <c r="B440" s="655"/>
      <c r="C440"/>
      <c r="D440" s="655"/>
      <c r="E440" s="655"/>
      <c r="F440" s="655" t="str">
        <f>LEFT(AllDaqbookOffsets[[#This Row],[traceability_no]],2)</f>
        <v>J2</v>
      </c>
      <c r="N440" s="456"/>
      <c r="O440"/>
      <c r="Z440" s="460"/>
      <c r="AA440" s="194"/>
      <c r="AB440"/>
      <c r="AG440" s="69"/>
      <c r="AH440"/>
    </row>
    <row r="441" spans="1:34" x14ac:dyDescent="0.2">
      <c r="A441" s="655"/>
      <c r="B441" s="655"/>
      <c r="C441"/>
      <c r="D441" s="655"/>
      <c r="E441" s="655"/>
      <c r="F441" s="655" t="str">
        <f>LEFT(AllDaqbookOffsets[[#This Row],[traceability_no]],2)</f>
        <v>J2</v>
      </c>
      <c r="N441" s="456"/>
      <c r="O441"/>
      <c r="Z441" s="460"/>
      <c r="AA441" s="194"/>
      <c r="AB441"/>
      <c r="AG441" s="69"/>
      <c r="AH441"/>
    </row>
    <row r="442" spans="1:34" x14ac:dyDescent="0.2">
      <c r="A442" s="655"/>
      <c r="B442" s="655"/>
      <c r="C442"/>
      <c r="D442" s="655"/>
      <c r="E442" s="655"/>
      <c r="F442" s="655" t="str">
        <f>LEFT(AllDaqbookOffsets[[#This Row],[traceability_no]],2)</f>
        <v>J2</v>
      </c>
      <c r="N442" s="456"/>
      <c r="O442"/>
      <c r="Z442" s="460"/>
      <c r="AA442" s="194"/>
      <c r="AB442"/>
      <c r="AG442" s="69"/>
      <c r="AH442"/>
    </row>
    <row r="443" spans="1:34" x14ac:dyDescent="0.2">
      <c r="A443" s="655"/>
      <c r="B443" s="655"/>
      <c r="C443"/>
      <c r="D443" s="655"/>
      <c r="E443" s="655"/>
      <c r="F443" s="655" t="str">
        <f>LEFT(AllDaqbookOffsets[[#This Row],[traceability_no]],2)</f>
        <v>J2</v>
      </c>
      <c r="N443" s="456"/>
      <c r="O443"/>
      <c r="Z443" s="460"/>
      <c r="AA443" s="194"/>
      <c r="AB443"/>
      <c r="AG443" s="69"/>
      <c r="AH443"/>
    </row>
    <row r="444" spans="1:34" x14ac:dyDescent="0.2">
      <c r="A444" s="655"/>
      <c r="B444" s="655"/>
      <c r="C444"/>
      <c r="D444" s="655"/>
      <c r="E444" s="655"/>
      <c r="F444" s="655" t="str">
        <f>LEFT(AllDaqbookOffsets[[#This Row],[traceability_no]],2)</f>
        <v>J2</v>
      </c>
      <c r="N444" s="456"/>
      <c r="O444"/>
      <c r="Z444" s="460"/>
      <c r="AA444" s="194"/>
      <c r="AB444"/>
      <c r="AG444" s="69"/>
      <c r="AH444"/>
    </row>
    <row r="445" spans="1:34" x14ac:dyDescent="0.2">
      <c r="A445" s="655"/>
      <c r="B445" s="655"/>
      <c r="C445"/>
      <c r="D445" s="655"/>
      <c r="E445" s="655"/>
      <c r="F445" s="655" t="str">
        <f>LEFT(AllDaqbookOffsets[[#This Row],[traceability_no]],2)</f>
        <v>J2</v>
      </c>
      <c r="N445" s="456"/>
      <c r="O445"/>
      <c r="Z445" s="460"/>
      <c r="AA445" s="194"/>
      <c r="AB445"/>
      <c r="AG445" s="69"/>
      <c r="AH445"/>
    </row>
    <row r="446" spans="1:34" x14ac:dyDescent="0.2">
      <c r="A446" s="655"/>
      <c r="B446" s="655"/>
      <c r="C446"/>
      <c r="D446" s="655"/>
      <c r="E446" s="655"/>
      <c r="F446" s="655" t="str">
        <f>LEFT(AllDaqbookOffsets[[#This Row],[traceability_no]],2)</f>
        <v>J2</v>
      </c>
      <c r="N446" s="456"/>
      <c r="O446"/>
      <c r="Z446" s="460"/>
      <c r="AA446" s="194"/>
      <c r="AB446"/>
      <c r="AG446" s="69"/>
      <c r="AH446"/>
    </row>
    <row r="447" spans="1:34" x14ac:dyDescent="0.2">
      <c r="A447" s="655"/>
      <c r="B447" s="655"/>
      <c r="C447"/>
      <c r="D447" s="655"/>
      <c r="E447" s="655"/>
      <c r="F447" s="655" t="str">
        <f>LEFT(AllDaqbookOffsets[[#This Row],[traceability_no]],2)</f>
        <v>J2</v>
      </c>
      <c r="N447" s="456"/>
      <c r="O447"/>
      <c r="Z447" s="460"/>
      <c r="AA447" s="194"/>
      <c r="AB447"/>
      <c r="AG447" s="69"/>
      <c r="AH447"/>
    </row>
    <row r="448" spans="1:34" x14ac:dyDescent="0.2">
      <c r="A448" s="655"/>
      <c r="B448" s="655"/>
      <c r="C448"/>
      <c r="D448" s="655"/>
      <c r="E448" s="655"/>
      <c r="F448" s="655" t="str">
        <f>LEFT(AllDaqbookOffsets[[#This Row],[traceability_no]],2)</f>
        <v>J2</v>
      </c>
      <c r="N448" s="456"/>
      <c r="O448"/>
      <c r="Z448" s="460"/>
      <c r="AA448" s="194"/>
      <c r="AB448"/>
      <c r="AG448" s="69"/>
      <c r="AH448"/>
    </row>
    <row r="449" spans="1:34" x14ac:dyDescent="0.2">
      <c r="A449" s="655"/>
      <c r="B449" s="655"/>
      <c r="C449"/>
      <c r="D449" s="655"/>
      <c r="E449" s="655"/>
      <c r="F449" s="655" t="str">
        <f>LEFT(AllDaqbookOffsets[[#This Row],[traceability_no]],2)</f>
        <v>J2</v>
      </c>
      <c r="N449" s="456"/>
      <c r="O449"/>
      <c r="Z449" s="460"/>
      <c r="AA449" s="194"/>
      <c r="AB449"/>
      <c r="AG449" s="69"/>
      <c r="AH449"/>
    </row>
    <row r="450" spans="1:34" x14ac:dyDescent="0.2">
      <c r="A450" s="655"/>
      <c r="B450" s="655"/>
      <c r="C450"/>
      <c r="D450" s="655"/>
      <c r="E450" s="655"/>
      <c r="F450" s="655" t="str">
        <f>LEFT(AllDaqbookOffsets[[#This Row],[traceability_no]],2)</f>
        <v>J2</v>
      </c>
      <c r="N450" s="456"/>
      <c r="O450"/>
      <c r="Z450" s="460"/>
      <c r="AA450" s="194"/>
      <c r="AB450"/>
      <c r="AG450" s="69"/>
      <c r="AH450"/>
    </row>
    <row r="451" spans="1:34" x14ac:dyDescent="0.2">
      <c r="A451" s="655"/>
      <c r="B451" s="655"/>
      <c r="C451"/>
      <c r="D451" s="655"/>
      <c r="E451" s="655"/>
      <c r="F451" s="655" t="str">
        <f>LEFT(AllDaqbookOffsets[[#This Row],[traceability_no]],2)</f>
        <v>J2</v>
      </c>
      <c r="N451" s="456"/>
      <c r="O451"/>
      <c r="Z451" s="460"/>
      <c r="AA451" s="194"/>
      <c r="AB451"/>
      <c r="AG451" s="69"/>
      <c r="AH451"/>
    </row>
    <row r="452" spans="1:34" x14ac:dyDescent="0.2">
      <c r="A452" s="655"/>
      <c r="B452" s="655"/>
      <c r="C452"/>
      <c r="D452" s="655"/>
      <c r="E452" s="655"/>
      <c r="F452" s="655" t="str">
        <f>LEFT(AllDaqbookOffsets[[#This Row],[traceability_no]],2)</f>
        <v>J2</v>
      </c>
      <c r="N452" s="456"/>
      <c r="O452"/>
      <c r="Z452" s="460"/>
      <c r="AA452" s="194"/>
      <c r="AB452"/>
      <c r="AG452" s="69"/>
      <c r="AH452"/>
    </row>
    <row r="453" spans="1:34" x14ac:dyDescent="0.2">
      <c r="A453" s="655"/>
      <c r="B453" s="655"/>
      <c r="C453"/>
      <c r="D453" s="655"/>
      <c r="E453" s="655"/>
      <c r="F453" s="655" t="str">
        <f>LEFT(AllDaqbookOffsets[[#This Row],[traceability_no]],2)</f>
        <v>J2</v>
      </c>
      <c r="N453" s="456"/>
      <c r="O453"/>
      <c r="Z453" s="460"/>
      <c r="AA453" s="194"/>
      <c r="AB453"/>
      <c r="AG453" s="69"/>
      <c r="AH453"/>
    </row>
    <row r="454" spans="1:34" x14ac:dyDescent="0.2">
      <c r="A454" s="655"/>
      <c r="B454" s="655"/>
      <c r="C454"/>
      <c r="D454" s="655"/>
      <c r="E454" s="655"/>
      <c r="F454" s="655" t="str">
        <f>LEFT(AllDaqbookOffsets[[#This Row],[traceability_no]],2)</f>
        <v>J2</v>
      </c>
      <c r="N454" s="456"/>
      <c r="O454"/>
      <c r="Z454" s="460"/>
      <c r="AA454" s="194"/>
      <c r="AB454"/>
      <c r="AG454" s="69"/>
      <c r="AH454"/>
    </row>
    <row r="455" spans="1:34" x14ac:dyDescent="0.2">
      <c r="A455" s="655"/>
      <c r="B455" s="655"/>
      <c r="C455"/>
      <c r="D455" s="655"/>
      <c r="E455" s="655"/>
      <c r="F455" s="655" t="str">
        <f>LEFT(AllDaqbookOffsets[[#This Row],[traceability_no]],2)</f>
        <v>J2</v>
      </c>
      <c r="N455" s="456"/>
      <c r="O455"/>
      <c r="Z455" s="460"/>
      <c r="AA455" s="194"/>
      <c r="AB455"/>
      <c r="AG455" s="69"/>
      <c r="AH455"/>
    </row>
    <row r="456" spans="1:34" x14ac:dyDescent="0.2">
      <c r="A456" s="655"/>
      <c r="B456" s="655"/>
      <c r="C456"/>
      <c r="D456" s="655"/>
      <c r="E456" s="655"/>
      <c r="F456" s="655" t="str">
        <f>LEFT(AllDaqbookOffsets[[#This Row],[traceability_no]],2)</f>
        <v>J2</v>
      </c>
      <c r="N456" s="456"/>
      <c r="O456"/>
      <c r="Z456" s="460"/>
      <c r="AA456" s="194"/>
      <c r="AB456"/>
      <c r="AG456" s="69"/>
      <c r="AH456"/>
    </row>
    <row r="457" spans="1:34" x14ac:dyDescent="0.2">
      <c r="A457" s="655"/>
      <c r="B457" s="655"/>
      <c r="C457"/>
      <c r="D457" s="655"/>
      <c r="E457" s="655"/>
      <c r="F457" s="655" t="str">
        <f>LEFT(AllDaqbookOffsets[[#This Row],[traceability_no]],2)</f>
        <v>J2</v>
      </c>
      <c r="N457" s="456"/>
      <c r="O457"/>
      <c r="Z457" s="460"/>
      <c r="AA457" s="194"/>
      <c r="AB457"/>
      <c r="AG457" s="69"/>
      <c r="AH457"/>
    </row>
    <row r="458" spans="1:34" x14ac:dyDescent="0.2">
      <c r="A458" s="655"/>
      <c r="B458" s="655"/>
      <c r="C458"/>
      <c r="D458" s="655"/>
      <c r="E458" s="655"/>
      <c r="F458" s="655" t="str">
        <f>LEFT(AllDaqbookOffsets[[#This Row],[traceability_no]],2)</f>
        <v>J2</v>
      </c>
      <c r="N458" s="456"/>
      <c r="O458"/>
      <c r="Z458" s="460"/>
      <c r="AA458" s="194"/>
      <c r="AB458"/>
      <c r="AG458" s="69"/>
      <c r="AH458"/>
    </row>
    <row r="459" spans="1:34" x14ac:dyDescent="0.2">
      <c r="A459" s="655"/>
      <c r="B459" s="655"/>
      <c r="C459"/>
      <c r="D459" s="655"/>
      <c r="E459" s="655"/>
      <c r="F459" s="655" t="str">
        <f>LEFT(AllDaqbookOffsets[[#This Row],[traceability_no]],2)</f>
        <v>J2</v>
      </c>
      <c r="N459" s="456"/>
      <c r="O459"/>
      <c r="Z459" s="460"/>
      <c r="AA459" s="194"/>
      <c r="AB459"/>
      <c r="AG459" s="69"/>
      <c r="AH459"/>
    </row>
    <row r="460" spans="1:34" x14ac:dyDescent="0.2">
      <c r="A460" s="655"/>
      <c r="B460" s="655"/>
      <c r="C460"/>
      <c r="D460" s="655"/>
      <c r="E460" s="655"/>
      <c r="F460" s="655" t="str">
        <f>LEFT(AllDaqbookOffsets[[#This Row],[traceability_no]],2)</f>
        <v>J2</v>
      </c>
      <c r="N460" s="456"/>
      <c r="O460"/>
      <c r="Z460" s="460"/>
      <c r="AA460" s="194"/>
      <c r="AB460"/>
      <c r="AG460" s="69"/>
      <c r="AH460"/>
    </row>
    <row r="461" spans="1:34" x14ac:dyDescent="0.2">
      <c r="A461" s="655"/>
      <c r="B461" s="655"/>
      <c r="C461"/>
      <c r="D461" s="655"/>
      <c r="E461" s="655"/>
      <c r="F461" s="655" t="str">
        <f>LEFT(AllDaqbookOffsets[[#This Row],[traceability_no]],2)</f>
        <v>J2</v>
      </c>
      <c r="N461" s="456"/>
      <c r="O461"/>
      <c r="Z461" s="460"/>
      <c r="AA461" s="194"/>
      <c r="AB461"/>
      <c r="AG461" s="69"/>
      <c r="AH461"/>
    </row>
    <row r="462" spans="1:34" x14ac:dyDescent="0.2">
      <c r="A462" s="655"/>
      <c r="B462" s="655"/>
      <c r="C462"/>
      <c r="D462" s="655"/>
      <c r="E462" s="655"/>
      <c r="F462" s="655" t="str">
        <f>LEFT(AllDaqbookOffsets[[#This Row],[traceability_no]],2)</f>
        <v>J2</v>
      </c>
      <c r="N462" s="456"/>
      <c r="O462"/>
      <c r="Z462" s="460"/>
      <c r="AA462" s="194"/>
      <c r="AB462"/>
      <c r="AG462" s="69"/>
      <c r="AH462"/>
    </row>
    <row r="463" spans="1:34" x14ac:dyDescent="0.2">
      <c r="A463" s="655"/>
      <c r="B463" s="655"/>
      <c r="C463"/>
      <c r="D463" s="655"/>
      <c r="E463" s="655"/>
      <c r="F463" s="655" t="str">
        <f>LEFT(AllDaqbookOffsets[[#This Row],[traceability_no]],2)</f>
        <v>J2</v>
      </c>
      <c r="N463" s="456"/>
      <c r="O463"/>
      <c r="Z463" s="460"/>
      <c r="AA463" s="194"/>
      <c r="AB463"/>
      <c r="AG463" s="69"/>
      <c r="AH463"/>
    </row>
    <row r="464" spans="1:34" x14ac:dyDescent="0.2">
      <c r="A464" s="655"/>
      <c r="B464" s="655"/>
      <c r="C464"/>
      <c r="D464" s="655"/>
      <c r="E464" s="655"/>
      <c r="F464" s="655" t="str">
        <f>LEFT(AllDaqbookOffsets[[#This Row],[traceability_no]],2)</f>
        <v>J2</v>
      </c>
      <c r="N464" s="456"/>
      <c r="O464"/>
      <c r="Z464" s="460"/>
      <c r="AA464" s="194"/>
      <c r="AB464"/>
      <c r="AG464" s="69"/>
      <c r="AH464"/>
    </row>
    <row r="465" spans="1:34" x14ac:dyDescent="0.2">
      <c r="A465" s="655"/>
      <c r="B465" s="655"/>
      <c r="C465"/>
      <c r="D465" s="655"/>
      <c r="E465" s="655"/>
      <c r="F465" s="655" t="str">
        <f>LEFT(AllDaqbookOffsets[[#This Row],[traceability_no]],2)</f>
        <v>J2</v>
      </c>
      <c r="N465" s="456"/>
      <c r="O465"/>
      <c r="Z465" s="460"/>
      <c r="AA465" s="194"/>
      <c r="AB465"/>
      <c r="AG465" s="69"/>
      <c r="AH465"/>
    </row>
    <row r="466" spans="1:34" x14ac:dyDescent="0.2">
      <c r="A466" s="655"/>
      <c r="B466" s="655"/>
      <c r="C466"/>
      <c r="D466" s="655"/>
      <c r="E466" s="655"/>
      <c r="F466" s="655" t="str">
        <f>LEFT(AllDaqbookOffsets[[#This Row],[traceability_no]],2)</f>
        <v>J2</v>
      </c>
      <c r="N466" s="456"/>
      <c r="O466"/>
      <c r="Z466" s="460"/>
      <c r="AA466" s="194"/>
      <c r="AB466"/>
      <c r="AG466" s="69"/>
      <c r="AH466"/>
    </row>
    <row r="467" spans="1:34" x14ac:dyDescent="0.2">
      <c r="A467" s="655"/>
      <c r="B467" s="655"/>
      <c r="C467"/>
      <c r="D467" s="655"/>
      <c r="E467" s="655"/>
      <c r="F467" s="655" t="str">
        <f>LEFT(AllDaqbookOffsets[[#This Row],[traceability_no]],2)</f>
        <v>J2</v>
      </c>
      <c r="N467" s="456"/>
      <c r="O467"/>
      <c r="Z467" s="460"/>
      <c r="AA467" s="194"/>
      <c r="AB467"/>
      <c r="AG467" s="69"/>
      <c r="AH467"/>
    </row>
    <row r="468" spans="1:34" x14ac:dyDescent="0.2">
      <c r="A468" s="655"/>
      <c r="B468" s="655"/>
      <c r="C468"/>
      <c r="D468" s="655"/>
      <c r="E468" s="655"/>
      <c r="F468" s="655" t="str">
        <f>LEFT(AllDaqbookOffsets[[#This Row],[traceability_no]],2)</f>
        <v>J2</v>
      </c>
      <c r="N468" s="456"/>
      <c r="O468"/>
      <c r="Z468" s="460"/>
      <c r="AA468" s="194"/>
      <c r="AB468"/>
      <c r="AG468" s="69"/>
      <c r="AH468"/>
    </row>
    <row r="469" spans="1:34" x14ac:dyDescent="0.2">
      <c r="A469" s="655"/>
      <c r="B469" s="655"/>
      <c r="C469"/>
      <c r="D469" s="655"/>
      <c r="E469" s="655"/>
      <c r="F469" s="655" t="str">
        <f>LEFT(AllDaqbookOffsets[[#This Row],[traceability_no]],2)</f>
        <v>J2</v>
      </c>
      <c r="N469" s="456"/>
      <c r="O469"/>
      <c r="Z469" s="460"/>
      <c r="AA469" s="194"/>
      <c r="AB469"/>
      <c r="AG469" s="69"/>
      <c r="AH469"/>
    </row>
    <row r="470" spans="1:34" x14ac:dyDescent="0.2">
      <c r="A470" s="655"/>
      <c r="B470" s="655"/>
      <c r="C470"/>
      <c r="D470" s="655"/>
      <c r="E470" s="655"/>
      <c r="F470" s="655" t="str">
        <f>LEFT(AllDaqbookOffsets[[#This Row],[traceability_no]],2)</f>
        <v>J2</v>
      </c>
      <c r="N470" s="456"/>
      <c r="O470"/>
      <c r="Z470" s="460"/>
      <c r="AA470" s="194"/>
      <c r="AB470"/>
      <c r="AG470" s="69"/>
      <c r="AH470"/>
    </row>
    <row r="471" spans="1:34" x14ac:dyDescent="0.2">
      <c r="A471" s="655"/>
      <c r="B471" s="655"/>
      <c r="C471"/>
      <c r="D471" s="655"/>
      <c r="E471" s="655"/>
      <c r="F471" s="655" t="str">
        <f>LEFT(AllDaqbookOffsets[[#This Row],[traceability_no]],2)</f>
        <v>J2</v>
      </c>
      <c r="N471" s="456"/>
      <c r="O471"/>
      <c r="Z471" s="460"/>
      <c r="AA471" s="194"/>
      <c r="AB471"/>
      <c r="AG471" s="69"/>
      <c r="AH471"/>
    </row>
    <row r="472" spans="1:34" x14ac:dyDescent="0.2">
      <c r="A472" s="655"/>
      <c r="B472" s="655"/>
      <c r="C472"/>
      <c r="D472" s="655"/>
      <c r="E472" s="655"/>
      <c r="F472" s="655" t="str">
        <f>LEFT(AllDaqbookOffsets[[#This Row],[traceability_no]],2)</f>
        <v>J2</v>
      </c>
      <c r="N472" s="456"/>
      <c r="O472"/>
      <c r="Z472" s="460"/>
      <c r="AA472" s="194"/>
      <c r="AB472"/>
      <c r="AG472" s="69"/>
      <c r="AH472"/>
    </row>
    <row r="473" spans="1:34" x14ac:dyDescent="0.2">
      <c r="A473" s="655"/>
      <c r="B473" s="655"/>
      <c r="C473"/>
      <c r="D473" s="655"/>
      <c r="E473" s="655"/>
      <c r="F473" s="655" t="str">
        <f>LEFT(AllDaqbookOffsets[[#This Row],[traceability_no]],2)</f>
        <v>J2</v>
      </c>
      <c r="N473" s="456"/>
      <c r="O473"/>
      <c r="Z473" s="460"/>
      <c r="AA473" s="194"/>
      <c r="AB473"/>
      <c r="AG473" s="69"/>
      <c r="AH473"/>
    </row>
    <row r="474" spans="1:34" x14ac:dyDescent="0.2">
      <c r="A474" s="655"/>
      <c r="B474" s="655"/>
      <c r="C474"/>
      <c r="D474" s="655"/>
      <c r="E474" s="655"/>
      <c r="F474" s="655" t="str">
        <f>LEFT(AllDaqbookOffsets[[#This Row],[traceability_no]],2)</f>
        <v>J2</v>
      </c>
      <c r="N474" s="456"/>
      <c r="O474"/>
      <c r="Z474" s="460"/>
      <c r="AA474" s="194"/>
      <c r="AB474"/>
      <c r="AG474" s="69"/>
      <c r="AH474"/>
    </row>
    <row r="475" spans="1:34" x14ac:dyDescent="0.2">
      <c r="A475" s="655"/>
      <c r="B475" s="655"/>
      <c r="C475"/>
      <c r="D475" s="655"/>
      <c r="E475" s="655"/>
      <c r="F475" s="655" t="str">
        <f>LEFT(AllDaqbookOffsets[[#This Row],[traceability_no]],2)</f>
        <v>J2</v>
      </c>
      <c r="N475" s="456"/>
      <c r="O475"/>
      <c r="Z475" s="460"/>
      <c r="AA475" s="194"/>
      <c r="AB475"/>
      <c r="AG475" s="69"/>
      <c r="AH475"/>
    </row>
    <row r="476" spans="1:34" x14ac:dyDescent="0.2">
      <c r="A476" s="655"/>
      <c r="B476" s="655"/>
      <c r="C476"/>
      <c r="D476" s="655"/>
      <c r="E476" s="655"/>
      <c r="F476" s="655" t="str">
        <f>LEFT(AllDaqbookOffsets[[#This Row],[traceability_no]],2)</f>
        <v>J2</v>
      </c>
      <c r="N476" s="456"/>
      <c r="O476"/>
      <c r="Z476" s="460"/>
      <c r="AA476" s="194"/>
      <c r="AB476"/>
      <c r="AG476" s="69"/>
      <c r="AH476"/>
    </row>
    <row r="477" spans="1:34" x14ac:dyDescent="0.2">
      <c r="A477" s="655"/>
      <c r="B477" s="655"/>
      <c r="C477"/>
      <c r="D477" s="655"/>
      <c r="E477" s="655"/>
      <c r="F477" s="655" t="str">
        <f>LEFT(AllDaqbookOffsets[[#This Row],[traceability_no]],2)</f>
        <v>J2</v>
      </c>
      <c r="N477" s="456"/>
      <c r="O477"/>
      <c r="Z477" s="460"/>
      <c r="AA477" s="194"/>
      <c r="AB477"/>
      <c r="AG477" s="69"/>
      <c r="AH477"/>
    </row>
    <row r="478" spans="1:34" x14ac:dyDescent="0.2">
      <c r="A478" s="655"/>
      <c r="B478" s="655"/>
      <c r="C478"/>
      <c r="D478" s="655"/>
      <c r="E478" s="655"/>
      <c r="F478" s="655" t="str">
        <f>LEFT(AllDaqbookOffsets[[#This Row],[traceability_no]],2)</f>
        <v>J2</v>
      </c>
      <c r="N478" s="456"/>
      <c r="O478"/>
      <c r="Z478" s="460"/>
      <c r="AA478" s="194"/>
      <c r="AB478"/>
      <c r="AG478" s="69"/>
      <c r="AH478"/>
    </row>
    <row r="479" spans="1:34" x14ac:dyDescent="0.2">
      <c r="A479" s="655"/>
      <c r="B479" s="655"/>
      <c r="C479"/>
      <c r="D479" s="655"/>
      <c r="E479" s="655"/>
      <c r="F479" s="655" t="str">
        <f>LEFT(AllDaqbookOffsets[[#This Row],[traceability_no]],2)</f>
        <v>J2</v>
      </c>
      <c r="N479" s="456"/>
      <c r="O479"/>
      <c r="Z479" s="460"/>
      <c r="AA479" s="194"/>
      <c r="AB479"/>
      <c r="AG479" s="69"/>
      <c r="AH479"/>
    </row>
    <row r="480" spans="1:34" x14ac:dyDescent="0.2">
      <c r="A480" s="655"/>
      <c r="B480" s="655"/>
      <c r="C480"/>
      <c r="D480" s="655"/>
      <c r="E480" s="655"/>
      <c r="F480" s="655" t="str">
        <f>LEFT(AllDaqbookOffsets[[#This Row],[traceability_no]],2)</f>
        <v>J2</v>
      </c>
      <c r="N480" s="456"/>
      <c r="O480"/>
      <c r="Z480" s="460"/>
      <c r="AA480" s="194"/>
      <c r="AB480"/>
      <c r="AG480" s="69"/>
      <c r="AH480"/>
    </row>
    <row r="481" spans="1:34" x14ac:dyDescent="0.2">
      <c r="A481" s="655"/>
      <c r="B481" s="655"/>
      <c r="C481"/>
      <c r="D481" s="655"/>
      <c r="E481" s="655"/>
      <c r="F481" s="655" t="str">
        <f>LEFT(AllDaqbookOffsets[[#This Row],[traceability_no]],2)</f>
        <v>J2</v>
      </c>
      <c r="N481" s="456"/>
      <c r="O481"/>
      <c r="Z481" s="460"/>
      <c r="AA481" s="194"/>
      <c r="AB481"/>
      <c r="AG481" s="69"/>
      <c r="AH481"/>
    </row>
    <row r="482" spans="1:34" x14ac:dyDescent="0.2">
      <c r="A482" s="655"/>
      <c r="B482" s="655"/>
      <c r="C482"/>
      <c r="D482" s="655"/>
      <c r="E482" s="655"/>
      <c r="F482" s="655" t="str">
        <f>LEFT(AllDaqbookOffsets[[#This Row],[traceability_no]],2)</f>
        <v>J3</v>
      </c>
      <c r="N482" s="456"/>
      <c r="O482"/>
      <c r="Z482" s="460"/>
      <c r="AA482" s="194"/>
      <c r="AB482"/>
      <c r="AG482" s="69"/>
      <c r="AH482"/>
    </row>
    <row r="483" spans="1:34" x14ac:dyDescent="0.2">
      <c r="A483" s="655"/>
      <c r="B483" s="655"/>
      <c r="C483"/>
      <c r="D483" s="655"/>
      <c r="E483" s="655"/>
      <c r="F483" s="655" t="str">
        <f>LEFT(AllDaqbookOffsets[[#This Row],[traceability_no]],2)</f>
        <v>J3</v>
      </c>
      <c r="N483" s="456"/>
      <c r="O483"/>
      <c r="Z483" s="460"/>
      <c r="AA483" s="194"/>
      <c r="AB483"/>
      <c r="AG483" s="69"/>
      <c r="AH483"/>
    </row>
    <row r="484" spans="1:34" x14ac:dyDescent="0.2">
      <c r="A484" s="655"/>
      <c r="B484" s="655"/>
      <c r="C484"/>
      <c r="D484" s="655"/>
      <c r="E484" s="655"/>
      <c r="F484" s="655" t="str">
        <f>LEFT(AllDaqbookOffsets[[#This Row],[traceability_no]],2)</f>
        <v>J3</v>
      </c>
      <c r="N484" s="456"/>
      <c r="O484"/>
      <c r="Z484" s="460"/>
      <c r="AA484" s="194"/>
      <c r="AB484"/>
      <c r="AG484" s="69"/>
      <c r="AH484"/>
    </row>
    <row r="485" spans="1:34" x14ac:dyDescent="0.2">
      <c r="A485" s="655"/>
      <c r="B485" s="655"/>
      <c r="C485"/>
      <c r="D485" s="655"/>
      <c r="E485" s="655"/>
      <c r="F485" s="655" t="str">
        <f>LEFT(AllDaqbookOffsets[[#This Row],[traceability_no]],2)</f>
        <v>J3</v>
      </c>
      <c r="N485" s="456"/>
      <c r="O485"/>
      <c r="Z485" s="460"/>
      <c r="AA485" s="194"/>
      <c r="AB485"/>
      <c r="AG485" s="69"/>
      <c r="AH485"/>
    </row>
    <row r="486" spans="1:34" x14ac:dyDescent="0.2">
      <c r="A486" s="655"/>
      <c r="B486" s="655"/>
      <c r="C486"/>
      <c r="D486" s="655"/>
      <c r="E486" s="655"/>
      <c r="F486" s="655" t="str">
        <f>LEFT(AllDaqbookOffsets[[#This Row],[traceability_no]],2)</f>
        <v>J3</v>
      </c>
      <c r="N486" s="456"/>
      <c r="O486"/>
      <c r="Z486" s="460"/>
      <c r="AA486" s="194"/>
      <c r="AB486"/>
      <c r="AG486" s="69"/>
      <c r="AH486"/>
    </row>
    <row r="487" spans="1:34" x14ac:dyDescent="0.2">
      <c r="A487" s="655"/>
      <c r="B487" s="655"/>
      <c r="C487"/>
      <c r="D487" s="655"/>
      <c r="E487" s="655"/>
      <c r="F487" s="655" t="str">
        <f>LEFT(AllDaqbookOffsets[[#This Row],[traceability_no]],2)</f>
        <v>J3</v>
      </c>
      <c r="N487" s="456"/>
      <c r="O487"/>
      <c r="Z487" s="460"/>
      <c r="AA487" s="194"/>
      <c r="AB487"/>
      <c r="AG487" s="69"/>
      <c r="AH487"/>
    </row>
    <row r="488" spans="1:34" x14ac:dyDescent="0.2">
      <c r="A488" s="655"/>
      <c r="B488" s="655"/>
      <c r="C488"/>
      <c r="D488" s="655"/>
      <c r="E488" s="655"/>
      <c r="F488" s="655" t="str">
        <f>LEFT(AllDaqbookOffsets[[#This Row],[traceability_no]],2)</f>
        <v>J3</v>
      </c>
      <c r="N488" s="456"/>
      <c r="O488"/>
      <c r="Z488" s="460"/>
      <c r="AA488" s="194"/>
      <c r="AB488"/>
      <c r="AG488" s="69"/>
      <c r="AH488"/>
    </row>
    <row r="489" spans="1:34" x14ac:dyDescent="0.2">
      <c r="A489" s="655"/>
      <c r="B489" s="655"/>
      <c r="C489"/>
      <c r="D489" s="655"/>
      <c r="E489" s="655"/>
      <c r="F489" s="655" t="str">
        <f>LEFT(AllDaqbookOffsets[[#This Row],[traceability_no]],2)</f>
        <v>J3</v>
      </c>
      <c r="N489" s="456"/>
      <c r="O489"/>
      <c r="Z489" s="460"/>
      <c r="AA489" s="194"/>
      <c r="AB489"/>
      <c r="AG489" s="69"/>
      <c r="AH489"/>
    </row>
    <row r="490" spans="1:34" x14ac:dyDescent="0.2">
      <c r="A490" s="655"/>
      <c r="B490" s="655"/>
      <c r="C490"/>
      <c r="D490" s="655"/>
      <c r="E490" s="655"/>
      <c r="F490" s="655" t="str">
        <f>LEFT(AllDaqbookOffsets[[#This Row],[traceability_no]],2)</f>
        <v>J3</v>
      </c>
      <c r="N490" s="456"/>
      <c r="O490"/>
      <c r="Z490" s="460"/>
      <c r="AA490" s="194"/>
      <c r="AB490"/>
      <c r="AG490" s="69"/>
      <c r="AH490"/>
    </row>
    <row r="491" spans="1:34" x14ac:dyDescent="0.2">
      <c r="A491" s="655"/>
      <c r="B491" s="655"/>
      <c r="C491"/>
      <c r="D491" s="655"/>
      <c r="E491" s="655"/>
      <c r="F491" s="655" t="str">
        <f>LEFT(AllDaqbookOffsets[[#This Row],[traceability_no]],2)</f>
        <v>J3</v>
      </c>
      <c r="N491" s="456"/>
      <c r="O491"/>
      <c r="Z491" s="460"/>
      <c r="AA491" s="194"/>
      <c r="AB491"/>
      <c r="AG491" s="69"/>
      <c r="AH491"/>
    </row>
    <row r="492" spans="1:34" x14ac:dyDescent="0.2">
      <c r="A492" s="655"/>
      <c r="B492" s="655"/>
      <c r="C492"/>
      <c r="D492" s="655"/>
      <c r="E492" s="655"/>
      <c r="F492" s="655" t="str">
        <f>LEFT(AllDaqbookOffsets[[#This Row],[traceability_no]],2)</f>
        <v>J3</v>
      </c>
      <c r="N492" s="456"/>
      <c r="O492"/>
      <c r="Z492" s="460"/>
      <c r="AA492" s="194"/>
      <c r="AB492"/>
      <c r="AG492" s="69"/>
      <c r="AH492"/>
    </row>
    <row r="493" spans="1:34" x14ac:dyDescent="0.2">
      <c r="A493" s="655"/>
      <c r="B493" s="655"/>
      <c r="C493"/>
      <c r="D493" s="655"/>
      <c r="E493" s="655"/>
      <c r="F493" s="655" t="str">
        <f>LEFT(AllDaqbookOffsets[[#This Row],[traceability_no]],2)</f>
        <v>J3</v>
      </c>
      <c r="N493" s="456"/>
      <c r="O493"/>
      <c r="Z493" s="460"/>
      <c r="AA493" s="194"/>
      <c r="AB493"/>
      <c r="AG493" s="69"/>
      <c r="AH493"/>
    </row>
    <row r="494" spans="1:34" x14ac:dyDescent="0.2">
      <c r="A494" s="655"/>
      <c r="B494" s="655"/>
      <c r="C494"/>
      <c r="D494" s="655"/>
      <c r="E494" s="655"/>
      <c r="F494" s="655" t="str">
        <f>LEFT(AllDaqbookOffsets[[#This Row],[traceability_no]],2)</f>
        <v>J3</v>
      </c>
      <c r="N494" s="456"/>
      <c r="O494"/>
      <c r="Z494" s="460"/>
      <c r="AA494" s="194"/>
      <c r="AB494"/>
      <c r="AG494" s="69"/>
      <c r="AH494"/>
    </row>
    <row r="495" spans="1:34" x14ac:dyDescent="0.2">
      <c r="A495" s="655"/>
      <c r="B495" s="655"/>
      <c r="C495"/>
      <c r="D495" s="655"/>
      <c r="E495" s="655"/>
      <c r="F495" s="655" t="str">
        <f>LEFT(AllDaqbookOffsets[[#This Row],[traceability_no]],2)</f>
        <v>J3</v>
      </c>
      <c r="N495" s="456"/>
      <c r="O495"/>
      <c r="Z495" s="460"/>
      <c r="AA495" s="194"/>
      <c r="AB495"/>
      <c r="AG495" s="69"/>
      <c r="AH495"/>
    </row>
    <row r="496" spans="1:34" x14ac:dyDescent="0.2">
      <c r="A496" s="655"/>
      <c r="B496" s="655"/>
      <c r="C496"/>
      <c r="D496" s="655"/>
      <c r="E496" s="655"/>
      <c r="F496" s="655" t="str">
        <f>LEFT(AllDaqbookOffsets[[#This Row],[traceability_no]],2)</f>
        <v>J3</v>
      </c>
      <c r="N496" s="456"/>
      <c r="O496"/>
      <c r="Z496" s="460"/>
      <c r="AA496" s="194"/>
      <c r="AB496"/>
      <c r="AG496" s="69"/>
      <c r="AH496"/>
    </row>
    <row r="497" spans="1:34" x14ac:dyDescent="0.2">
      <c r="A497" s="655"/>
      <c r="B497" s="655"/>
      <c r="C497"/>
      <c r="D497" s="655"/>
      <c r="E497" s="655"/>
      <c r="F497" s="655" t="str">
        <f>LEFT(AllDaqbookOffsets[[#This Row],[traceability_no]],2)</f>
        <v>J3</v>
      </c>
      <c r="N497" s="456"/>
      <c r="O497"/>
      <c r="Z497" s="460"/>
      <c r="AA497" s="194"/>
      <c r="AB497"/>
      <c r="AG497" s="69"/>
      <c r="AH497"/>
    </row>
    <row r="498" spans="1:34" x14ac:dyDescent="0.2">
      <c r="A498" s="655"/>
      <c r="B498" s="655"/>
      <c r="C498"/>
      <c r="D498" s="655"/>
      <c r="E498" s="655"/>
      <c r="F498" s="655" t="str">
        <f>LEFT(AllDaqbookOffsets[[#This Row],[traceability_no]],2)</f>
        <v>J3</v>
      </c>
      <c r="N498" s="456"/>
      <c r="O498"/>
      <c r="Z498" s="460"/>
      <c r="AA498" s="194"/>
      <c r="AB498"/>
      <c r="AG498" s="69"/>
      <c r="AH498"/>
    </row>
    <row r="499" spans="1:34" x14ac:dyDescent="0.2">
      <c r="A499" s="655"/>
      <c r="B499" s="655"/>
      <c r="C499"/>
      <c r="D499" s="655"/>
      <c r="E499" s="655"/>
      <c r="F499" s="655" t="str">
        <f>LEFT(AllDaqbookOffsets[[#This Row],[traceability_no]],2)</f>
        <v>J3</v>
      </c>
      <c r="N499" s="456"/>
      <c r="O499"/>
      <c r="Z499" s="460"/>
      <c r="AA499" s="194"/>
      <c r="AB499"/>
      <c r="AG499" s="69"/>
      <c r="AH499"/>
    </row>
    <row r="500" spans="1:34" x14ac:dyDescent="0.2">
      <c r="A500" s="655"/>
      <c r="B500" s="655"/>
      <c r="C500"/>
      <c r="D500" s="655"/>
      <c r="E500" s="655"/>
      <c r="F500" s="655" t="str">
        <f>LEFT(AllDaqbookOffsets[[#This Row],[traceability_no]],2)</f>
        <v>J3</v>
      </c>
      <c r="N500" s="456"/>
      <c r="O500"/>
      <c r="Z500" s="460"/>
      <c r="AA500" s="194"/>
      <c r="AB500"/>
      <c r="AG500" s="69"/>
      <c r="AH500"/>
    </row>
    <row r="501" spans="1:34" x14ac:dyDescent="0.2">
      <c r="A501" s="655"/>
      <c r="B501" s="655"/>
      <c r="C501"/>
      <c r="D501" s="655"/>
      <c r="E501" s="655"/>
      <c r="F501" s="655" t="str">
        <f>LEFT(AllDaqbookOffsets[[#This Row],[traceability_no]],2)</f>
        <v>J3</v>
      </c>
      <c r="N501" s="456"/>
      <c r="O501"/>
      <c r="Z501" s="460"/>
      <c r="AA501" s="194"/>
      <c r="AB501"/>
      <c r="AG501" s="69"/>
      <c r="AH501"/>
    </row>
    <row r="502" spans="1:34" x14ac:dyDescent="0.2">
      <c r="A502" s="655"/>
      <c r="B502" s="655"/>
      <c r="C502"/>
      <c r="D502" s="655"/>
      <c r="E502" s="655"/>
      <c r="F502" s="655" t="str">
        <f>LEFT(AllDaqbookOffsets[[#This Row],[traceability_no]],2)</f>
        <v>J3</v>
      </c>
      <c r="N502" s="456"/>
      <c r="O502"/>
      <c r="Z502" s="460"/>
      <c r="AA502" s="194"/>
      <c r="AB502"/>
      <c r="AG502" s="69"/>
      <c r="AH502"/>
    </row>
    <row r="503" spans="1:34" x14ac:dyDescent="0.2">
      <c r="A503" s="655"/>
      <c r="B503" s="655"/>
      <c r="C503"/>
      <c r="D503" s="655"/>
      <c r="E503" s="655"/>
      <c r="F503" s="655" t="str">
        <f>LEFT(AllDaqbookOffsets[[#This Row],[traceability_no]],2)</f>
        <v>J3</v>
      </c>
      <c r="N503" s="456"/>
      <c r="O503"/>
      <c r="Z503" s="460"/>
      <c r="AA503" s="194"/>
      <c r="AB503"/>
      <c r="AG503" s="69"/>
      <c r="AH503"/>
    </row>
    <row r="504" spans="1:34" x14ac:dyDescent="0.2">
      <c r="A504" s="655"/>
      <c r="B504" s="655"/>
      <c r="C504"/>
      <c r="D504" s="655"/>
      <c r="E504" s="655"/>
      <c r="F504" s="655" t="str">
        <f>LEFT(AllDaqbookOffsets[[#This Row],[traceability_no]],2)</f>
        <v>J3</v>
      </c>
      <c r="N504" s="456"/>
      <c r="O504"/>
      <c r="Z504" s="460"/>
      <c r="AA504" s="194"/>
      <c r="AB504"/>
      <c r="AG504" s="69"/>
      <c r="AH504"/>
    </row>
    <row r="505" spans="1:34" x14ac:dyDescent="0.2">
      <c r="A505" s="655"/>
      <c r="B505" s="655"/>
      <c r="C505"/>
      <c r="D505" s="655"/>
      <c r="E505" s="655"/>
      <c r="F505" s="655" t="str">
        <f>LEFT(AllDaqbookOffsets[[#This Row],[traceability_no]],2)</f>
        <v>J3</v>
      </c>
      <c r="N505" s="456"/>
      <c r="O505"/>
      <c r="Z505" s="460"/>
      <c r="AA505" s="194"/>
      <c r="AB505"/>
      <c r="AG505" s="69"/>
      <c r="AH505"/>
    </row>
    <row r="506" spans="1:34" x14ac:dyDescent="0.2">
      <c r="A506" s="655"/>
      <c r="B506" s="655"/>
      <c r="C506"/>
      <c r="D506" s="655"/>
      <c r="E506" s="655"/>
      <c r="F506" s="655" t="str">
        <f>LEFT(AllDaqbookOffsets[[#This Row],[traceability_no]],2)</f>
        <v>J3</v>
      </c>
      <c r="N506" s="456"/>
      <c r="O506"/>
      <c r="Z506" s="460"/>
      <c r="AA506" s="194"/>
      <c r="AB506"/>
      <c r="AG506" s="69"/>
      <c r="AH506"/>
    </row>
    <row r="507" spans="1:34" x14ac:dyDescent="0.2">
      <c r="A507" s="655"/>
      <c r="B507" s="655"/>
      <c r="C507"/>
      <c r="D507" s="655"/>
      <c r="E507" s="655"/>
      <c r="F507" s="655" t="str">
        <f>LEFT(AllDaqbookOffsets[[#This Row],[traceability_no]],2)</f>
        <v>J3</v>
      </c>
      <c r="N507" s="456"/>
      <c r="O507"/>
      <c r="Z507" s="460"/>
      <c r="AA507" s="194"/>
      <c r="AB507"/>
      <c r="AG507" s="69"/>
      <c r="AH507"/>
    </row>
    <row r="508" spans="1:34" x14ac:dyDescent="0.2">
      <c r="A508" s="655"/>
      <c r="B508" s="655"/>
      <c r="C508"/>
      <c r="D508" s="655"/>
      <c r="E508" s="655"/>
      <c r="F508" s="655" t="str">
        <f>LEFT(AllDaqbookOffsets[[#This Row],[traceability_no]],2)</f>
        <v>J3</v>
      </c>
      <c r="N508" s="456"/>
      <c r="O508"/>
      <c r="Z508" s="460"/>
      <c r="AA508" s="194"/>
      <c r="AB508"/>
      <c r="AG508" s="69"/>
      <c r="AH508"/>
    </row>
    <row r="509" spans="1:34" x14ac:dyDescent="0.2">
      <c r="A509" s="655"/>
      <c r="B509" s="655"/>
      <c r="C509"/>
      <c r="D509" s="655"/>
      <c r="E509" s="655"/>
      <c r="F509" s="655" t="str">
        <f>LEFT(AllDaqbookOffsets[[#This Row],[traceability_no]],2)</f>
        <v>J3</v>
      </c>
      <c r="N509" s="456"/>
      <c r="O509"/>
      <c r="Z509" s="460"/>
      <c r="AA509" s="194"/>
      <c r="AB509"/>
      <c r="AG509" s="69"/>
      <c r="AH509"/>
    </row>
    <row r="510" spans="1:34" x14ac:dyDescent="0.2">
      <c r="A510" s="655"/>
      <c r="B510" s="655"/>
      <c r="C510"/>
      <c r="D510" s="655"/>
      <c r="E510" s="655"/>
      <c r="F510" s="655" t="str">
        <f>LEFT(AllDaqbookOffsets[[#This Row],[traceability_no]],2)</f>
        <v>J3</v>
      </c>
      <c r="N510" s="456"/>
      <c r="O510"/>
      <c r="Z510" s="460"/>
      <c r="AA510" s="194"/>
      <c r="AB510"/>
      <c r="AG510" s="69"/>
      <c r="AH510"/>
    </row>
    <row r="511" spans="1:34" x14ac:dyDescent="0.2">
      <c r="A511" s="655"/>
      <c r="B511" s="655"/>
      <c r="C511"/>
      <c r="D511" s="655"/>
      <c r="E511" s="655"/>
      <c r="F511" s="655" t="str">
        <f>LEFT(AllDaqbookOffsets[[#This Row],[traceability_no]],2)</f>
        <v>J3</v>
      </c>
      <c r="N511" s="456"/>
      <c r="O511"/>
      <c r="Z511" s="460"/>
      <c r="AA511" s="194"/>
      <c r="AB511"/>
      <c r="AG511" s="69"/>
      <c r="AH511"/>
    </row>
    <row r="512" spans="1:34" x14ac:dyDescent="0.2">
      <c r="A512" s="655"/>
      <c r="B512" s="655"/>
      <c r="C512"/>
      <c r="D512" s="655"/>
      <c r="E512" s="655"/>
      <c r="F512" s="655" t="str">
        <f>LEFT(AllDaqbookOffsets[[#This Row],[traceability_no]],2)</f>
        <v>J3</v>
      </c>
      <c r="N512" s="456"/>
      <c r="O512"/>
      <c r="Z512" s="460"/>
      <c r="AA512" s="194"/>
      <c r="AB512"/>
      <c r="AG512" s="69"/>
      <c r="AH512"/>
    </row>
    <row r="513" spans="1:34" x14ac:dyDescent="0.2">
      <c r="A513" s="655"/>
      <c r="B513" s="655"/>
      <c r="C513"/>
      <c r="D513" s="655"/>
      <c r="E513" s="655"/>
      <c r="F513" s="655" t="str">
        <f>LEFT(AllDaqbookOffsets[[#This Row],[traceability_no]],2)</f>
        <v>J3</v>
      </c>
      <c r="N513" s="456"/>
      <c r="O513"/>
      <c r="Z513" s="460"/>
      <c r="AA513" s="194"/>
      <c r="AB513"/>
      <c r="AG513" s="69"/>
      <c r="AH513"/>
    </row>
    <row r="514" spans="1:34" x14ac:dyDescent="0.2">
      <c r="A514" s="655"/>
      <c r="B514" s="655"/>
      <c r="C514"/>
      <c r="D514" s="655"/>
      <c r="E514" s="655"/>
      <c r="F514" s="655" t="str">
        <f>LEFT(AllDaqbookOffsets[[#This Row],[traceability_no]],2)</f>
        <v>J3</v>
      </c>
      <c r="N514" s="456"/>
      <c r="O514"/>
      <c r="Z514" s="460"/>
      <c r="AA514" s="194"/>
      <c r="AB514"/>
      <c r="AG514" s="69"/>
      <c r="AH514"/>
    </row>
    <row r="515" spans="1:34" x14ac:dyDescent="0.2">
      <c r="A515" s="655"/>
      <c r="B515" s="655"/>
      <c r="C515"/>
      <c r="D515" s="655"/>
      <c r="E515" s="655"/>
      <c r="F515" s="655" t="str">
        <f>LEFT(AllDaqbookOffsets[[#This Row],[traceability_no]],2)</f>
        <v>J3</v>
      </c>
      <c r="N515" s="456"/>
      <c r="O515"/>
      <c r="Z515" s="460"/>
      <c r="AA515" s="194"/>
      <c r="AB515"/>
      <c r="AG515" s="69"/>
      <c r="AH515"/>
    </row>
    <row r="516" spans="1:34" x14ac:dyDescent="0.2">
      <c r="A516" s="655"/>
      <c r="B516" s="655"/>
      <c r="C516"/>
      <c r="D516" s="655"/>
      <c r="E516" s="655"/>
      <c r="F516" s="655" t="str">
        <f>LEFT(AllDaqbookOffsets[[#This Row],[traceability_no]],2)</f>
        <v>J3</v>
      </c>
      <c r="N516" s="456"/>
      <c r="O516"/>
      <c r="Z516" s="460"/>
      <c r="AA516" s="194"/>
      <c r="AB516"/>
      <c r="AG516" s="69"/>
      <c r="AH516"/>
    </row>
    <row r="517" spans="1:34" x14ac:dyDescent="0.2">
      <c r="A517" s="655"/>
      <c r="B517" s="655"/>
      <c r="C517"/>
      <c r="D517" s="655"/>
      <c r="E517" s="655"/>
      <c r="F517" s="655" t="str">
        <f>LEFT(AllDaqbookOffsets[[#This Row],[traceability_no]],2)</f>
        <v>J3</v>
      </c>
      <c r="N517" s="456"/>
      <c r="O517"/>
      <c r="Z517" s="460"/>
      <c r="AA517" s="194"/>
      <c r="AB517"/>
      <c r="AG517" s="69"/>
      <c r="AH517"/>
    </row>
    <row r="518" spans="1:34" x14ac:dyDescent="0.2">
      <c r="A518" s="655"/>
      <c r="B518" s="655"/>
      <c r="C518"/>
      <c r="D518" s="655"/>
      <c r="E518" s="655"/>
      <c r="F518" s="655" t="str">
        <f>LEFT(AllDaqbookOffsets[[#This Row],[traceability_no]],2)</f>
        <v>J3</v>
      </c>
      <c r="N518" s="456"/>
      <c r="O518"/>
      <c r="Z518" s="460"/>
      <c r="AA518" s="194"/>
      <c r="AB518"/>
      <c r="AG518" s="69"/>
      <c r="AH518"/>
    </row>
    <row r="519" spans="1:34" x14ac:dyDescent="0.2">
      <c r="A519" s="655"/>
      <c r="B519" s="655"/>
      <c r="C519"/>
      <c r="D519" s="655"/>
      <c r="E519" s="655"/>
      <c r="F519" s="655" t="str">
        <f>LEFT(AllDaqbookOffsets[[#This Row],[traceability_no]],2)</f>
        <v>J3</v>
      </c>
      <c r="N519" s="456"/>
      <c r="O519"/>
      <c r="Z519" s="460"/>
      <c r="AA519" s="194"/>
      <c r="AB519"/>
      <c r="AG519" s="69"/>
      <c r="AH519"/>
    </row>
    <row r="520" spans="1:34" x14ac:dyDescent="0.2">
      <c r="A520" s="655"/>
      <c r="B520" s="655"/>
      <c r="C520"/>
      <c r="D520" s="655"/>
      <c r="E520" s="655"/>
      <c r="F520" s="655" t="str">
        <f>LEFT(AllDaqbookOffsets[[#This Row],[traceability_no]],2)</f>
        <v>J3</v>
      </c>
      <c r="N520" s="456"/>
      <c r="O520"/>
      <c r="Z520" s="460"/>
      <c r="AA520" s="194"/>
      <c r="AB520"/>
      <c r="AG520" s="69"/>
      <c r="AH520"/>
    </row>
    <row r="521" spans="1:34" x14ac:dyDescent="0.2">
      <c r="A521" s="655"/>
      <c r="B521" s="655"/>
      <c r="C521"/>
      <c r="D521" s="655"/>
      <c r="E521" s="655"/>
      <c r="F521" s="655" t="str">
        <f>LEFT(AllDaqbookOffsets[[#This Row],[traceability_no]],2)</f>
        <v>J3</v>
      </c>
      <c r="N521" s="456"/>
      <c r="O521"/>
      <c r="Z521" s="460"/>
      <c r="AA521" s="194"/>
      <c r="AB521"/>
      <c r="AG521" s="69"/>
      <c r="AH521"/>
    </row>
    <row r="522" spans="1:34" x14ac:dyDescent="0.2">
      <c r="A522" s="655"/>
      <c r="B522" s="655"/>
      <c r="C522"/>
      <c r="D522" s="655"/>
      <c r="E522" s="655"/>
      <c r="F522" s="655" t="str">
        <f>LEFT(AllDaqbookOffsets[[#This Row],[traceability_no]],2)</f>
        <v>J3</v>
      </c>
      <c r="N522" s="456"/>
      <c r="O522"/>
      <c r="Z522" s="460"/>
      <c r="AA522" s="194"/>
      <c r="AB522"/>
      <c r="AG522" s="69"/>
      <c r="AH522"/>
    </row>
    <row r="523" spans="1:34" x14ac:dyDescent="0.2">
      <c r="A523" s="655"/>
      <c r="B523" s="655"/>
      <c r="C523"/>
      <c r="D523" s="655"/>
      <c r="E523" s="655"/>
      <c r="F523" s="655" t="str">
        <f>LEFT(AllDaqbookOffsets[[#This Row],[traceability_no]],2)</f>
        <v>J3</v>
      </c>
      <c r="N523" s="456"/>
      <c r="O523"/>
      <c r="Z523" s="460"/>
      <c r="AA523" s="194"/>
      <c r="AB523"/>
      <c r="AG523" s="69"/>
      <c r="AH523"/>
    </row>
    <row r="524" spans="1:34" x14ac:dyDescent="0.2">
      <c r="A524" s="655"/>
      <c r="B524" s="655"/>
      <c r="C524"/>
      <c r="D524" s="655"/>
      <c r="E524" s="655"/>
      <c r="F524" s="655" t="str">
        <f>LEFT(AllDaqbookOffsets[[#This Row],[traceability_no]],2)</f>
        <v>J3</v>
      </c>
      <c r="N524" s="456"/>
      <c r="O524"/>
      <c r="Z524" s="460"/>
      <c r="AA524" s="194"/>
      <c r="AB524"/>
      <c r="AG524" s="69"/>
      <c r="AH524"/>
    </row>
    <row r="525" spans="1:34" x14ac:dyDescent="0.2">
      <c r="A525" s="655"/>
      <c r="B525" s="655"/>
      <c r="C525"/>
      <c r="D525" s="655"/>
      <c r="E525" s="655"/>
      <c r="F525" s="655" t="str">
        <f>LEFT(AllDaqbookOffsets[[#This Row],[traceability_no]],2)</f>
        <v>J3</v>
      </c>
      <c r="N525" s="456"/>
      <c r="O525"/>
      <c r="Z525" s="460"/>
      <c r="AA525" s="194"/>
      <c r="AB525"/>
      <c r="AG525" s="69"/>
      <c r="AH525"/>
    </row>
    <row r="526" spans="1:34" x14ac:dyDescent="0.2">
      <c r="A526" s="655"/>
      <c r="B526" s="655"/>
      <c r="C526"/>
      <c r="D526" s="655"/>
      <c r="E526" s="655"/>
      <c r="F526" s="655" t="str">
        <f>LEFT(AllDaqbookOffsets[[#This Row],[traceability_no]],2)</f>
        <v>J3</v>
      </c>
      <c r="N526" s="456"/>
      <c r="O526"/>
      <c r="Z526" s="460"/>
      <c r="AA526" s="194"/>
      <c r="AB526"/>
      <c r="AG526" s="69"/>
      <c r="AH526"/>
    </row>
    <row r="527" spans="1:34" x14ac:dyDescent="0.2">
      <c r="A527" s="655"/>
      <c r="B527" s="655"/>
      <c r="C527"/>
      <c r="D527" s="655"/>
      <c r="E527" s="655"/>
      <c r="F527" s="655" t="str">
        <f>LEFT(AllDaqbookOffsets[[#This Row],[traceability_no]],2)</f>
        <v>J3</v>
      </c>
      <c r="N527" s="456"/>
      <c r="O527"/>
      <c r="Z527" s="460"/>
      <c r="AA527" s="194"/>
      <c r="AB527"/>
      <c r="AG527" s="69"/>
      <c r="AH527"/>
    </row>
    <row r="528" spans="1:34" x14ac:dyDescent="0.2">
      <c r="A528" s="655"/>
      <c r="B528" s="655"/>
      <c r="C528"/>
      <c r="D528" s="655"/>
      <c r="E528" s="655"/>
      <c r="F528" s="655" t="str">
        <f>LEFT(AllDaqbookOffsets[[#This Row],[traceability_no]],2)</f>
        <v>J3</v>
      </c>
      <c r="N528" s="456"/>
      <c r="O528"/>
      <c r="Z528" s="460"/>
      <c r="AA528" s="194"/>
      <c r="AB528"/>
      <c r="AG528" s="69"/>
      <c r="AH528"/>
    </row>
    <row r="529" spans="1:34" x14ac:dyDescent="0.2">
      <c r="A529" s="655"/>
      <c r="B529" s="655"/>
      <c r="C529"/>
      <c r="D529" s="655"/>
      <c r="E529" s="655"/>
      <c r="F529" s="655" t="str">
        <f>LEFT(AllDaqbookOffsets[[#This Row],[traceability_no]],2)</f>
        <v>J3</v>
      </c>
      <c r="N529" s="456"/>
      <c r="O529"/>
      <c r="Z529" s="460"/>
      <c r="AA529" s="194"/>
      <c r="AB529"/>
      <c r="AG529" s="69"/>
      <c r="AH529"/>
    </row>
    <row r="530" spans="1:34" x14ac:dyDescent="0.2">
      <c r="A530" s="655"/>
      <c r="B530" s="655"/>
      <c r="C530"/>
      <c r="D530" s="655"/>
      <c r="E530" s="655"/>
      <c r="F530" s="655" t="str">
        <f>LEFT(AllDaqbookOffsets[[#This Row],[traceability_no]],2)</f>
        <v>J3</v>
      </c>
      <c r="N530" s="456"/>
      <c r="O530"/>
      <c r="Z530" s="460"/>
      <c r="AA530" s="194"/>
      <c r="AB530"/>
      <c r="AG530" s="69"/>
      <c r="AH530"/>
    </row>
    <row r="531" spans="1:34" x14ac:dyDescent="0.2">
      <c r="A531" s="655"/>
      <c r="B531" s="655"/>
      <c r="C531"/>
      <c r="D531" s="655"/>
      <c r="E531" s="655"/>
      <c r="F531" s="655" t="str">
        <f>LEFT(AllDaqbookOffsets[[#This Row],[traceability_no]],2)</f>
        <v>J3</v>
      </c>
      <c r="N531" s="456"/>
      <c r="O531"/>
      <c r="Z531" s="460"/>
      <c r="AA531" s="194"/>
      <c r="AB531"/>
      <c r="AG531" s="69"/>
      <c r="AH531"/>
    </row>
    <row r="532" spans="1:34" x14ac:dyDescent="0.2">
      <c r="A532" s="655"/>
      <c r="B532" s="655"/>
      <c r="C532"/>
      <c r="D532" s="655"/>
      <c r="E532" s="655"/>
      <c r="F532" s="655" t="str">
        <f>LEFT(AllDaqbookOffsets[[#This Row],[traceability_no]],2)</f>
        <v>J3</v>
      </c>
      <c r="N532" s="456"/>
      <c r="O532"/>
      <c r="Z532" s="460"/>
      <c r="AA532" s="194"/>
      <c r="AB532"/>
      <c r="AG532" s="69"/>
      <c r="AH532"/>
    </row>
    <row r="533" spans="1:34" x14ac:dyDescent="0.2">
      <c r="A533" s="655"/>
      <c r="B533" s="655"/>
      <c r="C533"/>
      <c r="D533" s="655"/>
      <c r="E533" s="655"/>
      <c r="F533" s="655" t="str">
        <f>LEFT(AllDaqbookOffsets[[#This Row],[traceability_no]],2)</f>
        <v>J3</v>
      </c>
      <c r="N533" s="456"/>
      <c r="O533"/>
      <c r="Z533" s="460"/>
      <c r="AA533" s="194"/>
      <c r="AB533"/>
      <c r="AG533" s="69"/>
      <c r="AH533"/>
    </row>
    <row r="534" spans="1:34" x14ac:dyDescent="0.2">
      <c r="A534" s="655"/>
      <c r="B534" s="655"/>
      <c r="C534"/>
      <c r="D534" s="655"/>
      <c r="E534" s="655"/>
      <c r="F534" s="655" t="str">
        <f>LEFT(AllDaqbookOffsets[[#This Row],[traceability_no]],2)</f>
        <v>J3</v>
      </c>
      <c r="N534" s="456"/>
      <c r="O534"/>
      <c r="Z534" s="460"/>
      <c r="AA534" s="194"/>
      <c r="AB534"/>
      <c r="AG534" s="69"/>
      <c r="AH534"/>
    </row>
    <row r="535" spans="1:34" x14ac:dyDescent="0.2">
      <c r="A535" s="655"/>
      <c r="B535" s="655"/>
      <c r="C535"/>
      <c r="D535" s="655"/>
      <c r="E535" s="655"/>
      <c r="F535" s="655" t="str">
        <f>LEFT(AllDaqbookOffsets[[#This Row],[traceability_no]],2)</f>
        <v>J3</v>
      </c>
      <c r="N535" s="456"/>
      <c r="O535"/>
      <c r="Z535" s="460"/>
      <c r="AA535" s="194"/>
      <c r="AB535"/>
      <c r="AG535" s="69"/>
      <c r="AH535"/>
    </row>
    <row r="536" spans="1:34" x14ac:dyDescent="0.2">
      <c r="A536" s="655"/>
      <c r="B536" s="655"/>
      <c r="C536"/>
      <c r="D536" s="655"/>
      <c r="E536" s="655"/>
      <c r="F536" s="655" t="str">
        <f>LEFT(AllDaqbookOffsets[[#This Row],[traceability_no]],2)</f>
        <v>J3</v>
      </c>
      <c r="N536" s="456"/>
      <c r="O536"/>
      <c r="Z536" s="460"/>
      <c r="AA536" s="194"/>
      <c r="AB536"/>
      <c r="AG536" s="69"/>
      <c r="AH536"/>
    </row>
    <row r="537" spans="1:34" x14ac:dyDescent="0.2">
      <c r="A537" s="655"/>
      <c r="B537" s="655"/>
      <c r="C537"/>
      <c r="D537" s="655"/>
      <c r="E537" s="655"/>
      <c r="F537" s="655" t="str">
        <f>LEFT(AllDaqbookOffsets[[#This Row],[traceability_no]],2)</f>
        <v>J3</v>
      </c>
      <c r="N537" s="456"/>
      <c r="O537"/>
      <c r="Z537" s="460"/>
      <c r="AA537" s="194"/>
      <c r="AB537"/>
      <c r="AG537" s="69"/>
      <c r="AH537"/>
    </row>
    <row r="538" spans="1:34" x14ac:dyDescent="0.2">
      <c r="A538" s="655"/>
      <c r="B538" s="655"/>
      <c r="C538"/>
      <c r="D538" s="655"/>
      <c r="E538" s="655"/>
      <c r="F538" s="655" t="str">
        <f>LEFT(AllDaqbookOffsets[[#This Row],[traceability_no]],2)</f>
        <v>J3</v>
      </c>
      <c r="N538" s="456"/>
      <c r="O538"/>
      <c r="Z538" s="460"/>
      <c r="AA538" s="194"/>
      <c r="AB538"/>
      <c r="AG538" s="69"/>
      <c r="AH538"/>
    </row>
    <row r="539" spans="1:34" x14ac:dyDescent="0.2">
      <c r="A539" s="655"/>
      <c r="B539" s="655"/>
      <c r="C539"/>
      <c r="D539" s="655"/>
      <c r="E539" s="655"/>
      <c r="F539" s="655" t="str">
        <f>LEFT(AllDaqbookOffsets[[#This Row],[traceability_no]],2)</f>
        <v>J3</v>
      </c>
      <c r="N539" s="456"/>
      <c r="O539"/>
      <c r="Z539" s="460"/>
      <c r="AA539" s="194"/>
      <c r="AB539"/>
      <c r="AG539" s="69"/>
      <c r="AH539"/>
    </row>
    <row r="540" spans="1:34" x14ac:dyDescent="0.2">
      <c r="A540" s="655"/>
      <c r="B540" s="655"/>
      <c r="C540"/>
      <c r="D540" s="655"/>
      <c r="E540" s="655"/>
      <c r="F540" s="655" t="str">
        <f>LEFT(AllDaqbookOffsets[[#This Row],[traceability_no]],2)</f>
        <v>J3</v>
      </c>
      <c r="N540" s="456"/>
      <c r="O540"/>
      <c r="Z540" s="460"/>
      <c r="AA540" s="194"/>
      <c r="AB540"/>
      <c r="AG540" s="69"/>
      <c r="AH540"/>
    </row>
    <row r="541" spans="1:34" x14ac:dyDescent="0.2">
      <c r="A541" s="655"/>
      <c r="B541" s="655"/>
      <c r="C541"/>
      <c r="D541" s="655"/>
      <c r="E541" s="655"/>
      <c r="F541" s="655" t="str">
        <f>LEFT(AllDaqbookOffsets[[#This Row],[traceability_no]],2)</f>
        <v>J3</v>
      </c>
      <c r="N541" s="456"/>
      <c r="O541"/>
      <c r="Z541" s="460"/>
      <c r="AA541" s="194"/>
      <c r="AB541"/>
      <c r="AG541" s="69"/>
      <c r="AH541"/>
    </row>
    <row r="542" spans="1:34" x14ac:dyDescent="0.2">
      <c r="A542" s="655"/>
      <c r="B542" s="655"/>
      <c r="C542"/>
      <c r="D542" s="655"/>
      <c r="E542" s="655"/>
      <c r="F542" s="655" t="str">
        <f>LEFT(AllDaqbookOffsets[[#This Row],[traceability_no]],2)</f>
        <v>J3</v>
      </c>
      <c r="N542" s="456"/>
      <c r="O542"/>
      <c r="Z542" s="460"/>
      <c r="AA542" s="194"/>
      <c r="AB542"/>
      <c r="AG542" s="69"/>
      <c r="AH542"/>
    </row>
    <row r="543" spans="1:34" x14ac:dyDescent="0.2">
      <c r="A543" s="655"/>
      <c r="B543" s="655"/>
      <c r="C543"/>
      <c r="D543" s="655"/>
      <c r="E543" s="655"/>
      <c r="F543" s="655" t="str">
        <f>LEFT(AllDaqbookOffsets[[#This Row],[traceability_no]],2)</f>
        <v>J3</v>
      </c>
      <c r="N543" s="456"/>
      <c r="O543"/>
      <c r="Z543" s="460"/>
      <c r="AA543" s="194"/>
      <c r="AB543"/>
      <c r="AG543" s="69"/>
      <c r="AH543"/>
    </row>
    <row r="544" spans="1:34" x14ac:dyDescent="0.2">
      <c r="A544" s="655"/>
      <c r="B544" s="655"/>
      <c r="C544"/>
      <c r="D544" s="655"/>
      <c r="E544" s="655"/>
      <c r="F544" s="655" t="str">
        <f>LEFT(AllDaqbookOffsets[[#This Row],[traceability_no]],2)</f>
        <v>J3</v>
      </c>
      <c r="N544" s="456"/>
      <c r="O544"/>
      <c r="Z544" s="460"/>
      <c r="AA544" s="194"/>
      <c r="AB544"/>
      <c r="AG544" s="69"/>
      <c r="AH544"/>
    </row>
    <row r="545" spans="1:34" x14ac:dyDescent="0.2">
      <c r="A545" s="655"/>
      <c r="B545" s="655"/>
      <c r="C545"/>
      <c r="D545" s="655"/>
      <c r="E545" s="655"/>
      <c r="F545" s="655" t="str">
        <f>LEFT(AllDaqbookOffsets[[#This Row],[traceability_no]],2)</f>
        <v>J3</v>
      </c>
      <c r="N545" s="456"/>
      <c r="O545"/>
      <c r="Z545" s="460"/>
      <c r="AA545" s="194"/>
      <c r="AB545"/>
      <c r="AG545" s="69"/>
      <c r="AH545"/>
    </row>
    <row r="546" spans="1:34" x14ac:dyDescent="0.2">
      <c r="A546" s="655"/>
      <c r="B546" s="655"/>
      <c r="C546"/>
      <c r="D546" s="655"/>
      <c r="E546" s="655"/>
      <c r="F546" s="655" t="str">
        <f>LEFT(AllDaqbookOffsets[[#This Row],[traceability_no]],2)</f>
        <v>J3</v>
      </c>
      <c r="N546" s="456"/>
      <c r="O546"/>
      <c r="Z546" s="460"/>
      <c r="AA546" s="194"/>
      <c r="AB546"/>
      <c r="AG546" s="69"/>
      <c r="AH546"/>
    </row>
    <row r="547" spans="1:34" x14ac:dyDescent="0.2">
      <c r="A547" s="655"/>
      <c r="B547" s="655"/>
      <c r="C547"/>
      <c r="D547" s="655"/>
      <c r="E547" s="655"/>
      <c r="F547" s="655" t="str">
        <f>LEFT(AllDaqbookOffsets[[#This Row],[traceability_no]],2)</f>
        <v>J3</v>
      </c>
      <c r="N547" s="456"/>
      <c r="O547"/>
      <c r="Z547" s="460"/>
      <c r="AA547" s="194"/>
      <c r="AB547"/>
      <c r="AG547" s="69"/>
      <c r="AH547"/>
    </row>
    <row r="548" spans="1:34" x14ac:dyDescent="0.2">
      <c r="A548" s="655"/>
      <c r="B548" s="655"/>
      <c r="C548"/>
      <c r="D548" s="655"/>
      <c r="E548" s="655"/>
      <c r="F548" s="655" t="str">
        <f>LEFT(AllDaqbookOffsets[[#This Row],[traceability_no]],2)</f>
        <v>J3</v>
      </c>
      <c r="N548" s="456"/>
      <c r="O548"/>
      <c r="Z548" s="460"/>
      <c r="AA548" s="194"/>
      <c r="AB548"/>
      <c r="AG548" s="69"/>
      <c r="AH548"/>
    </row>
    <row r="549" spans="1:34" x14ac:dyDescent="0.2">
      <c r="A549" s="655"/>
      <c r="B549" s="655"/>
      <c r="C549"/>
      <c r="D549" s="655"/>
      <c r="E549" s="655"/>
      <c r="F549" s="655" t="str">
        <f>LEFT(AllDaqbookOffsets[[#This Row],[traceability_no]],2)</f>
        <v>J3</v>
      </c>
      <c r="N549" s="456"/>
      <c r="O549"/>
      <c r="Z549" s="460"/>
      <c r="AA549" s="194"/>
      <c r="AB549"/>
      <c r="AG549" s="69"/>
      <c r="AH549"/>
    </row>
    <row r="550" spans="1:34" x14ac:dyDescent="0.2">
      <c r="A550" s="655"/>
      <c r="B550" s="655"/>
      <c r="C550"/>
      <c r="D550" s="655"/>
      <c r="E550" s="655"/>
      <c r="F550" s="655" t="str">
        <f>LEFT(AllDaqbookOffsets[[#This Row],[traceability_no]],2)</f>
        <v>J3</v>
      </c>
      <c r="N550" s="456"/>
      <c r="O550"/>
      <c r="Z550" s="460"/>
      <c r="AA550" s="194"/>
      <c r="AB550"/>
      <c r="AG550" s="69"/>
      <c r="AH550"/>
    </row>
    <row r="551" spans="1:34" x14ac:dyDescent="0.2">
      <c r="A551" s="655"/>
      <c r="B551" s="655"/>
      <c r="C551"/>
      <c r="D551" s="655"/>
      <c r="E551" s="655"/>
      <c r="F551" s="655" t="str">
        <f>LEFT(AllDaqbookOffsets[[#This Row],[traceability_no]],2)</f>
        <v>J3</v>
      </c>
      <c r="N551" s="456"/>
      <c r="O551"/>
      <c r="Z551" s="460"/>
      <c r="AA551" s="194"/>
      <c r="AB551"/>
      <c r="AG551" s="69"/>
      <c r="AH551"/>
    </row>
    <row r="552" spans="1:34" x14ac:dyDescent="0.2">
      <c r="A552" s="655"/>
      <c r="B552" s="655"/>
      <c r="C552"/>
      <c r="D552" s="655"/>
      <c r="E552" s="655"/>
      <c r="F552" s="655" t="str">
        <f>LEFT(AllDaqbookOffsets[[#This Row],[traceability_no]],2)</f>
        <v>J3</v>
      </c>
      <c r="N552" s="456"/>
      <c r="O552"/>
      <c r="Z552" s="460"/>
      <c r="AA552" s="194"/>
      <c r="AB552"/>
      <c r="AG552" s="69"/>
      <c r="AH552"/>
    </row>
    <row r="553" spans="1:34" x14ac:dyDescent="0.2">
      <c r="A553" s="655"/>
      <c r="B553" s="655"/>
      <c r="C553"/>
      <c r="D553" s="655"/>
      <c r="E553" s="655"/>
      <c r="F553" s="655" t="str">
        <f>LEFT(AllDaqbookOffsets[[#This Row],[traceability_no]],2)</f>
        <v>J3</v>
      </c>
      <c r="N553" s="456"/>
      <c r="O553"/>
      <c r="Z553" s="460"/>
      <c r="AA553" s="194"/>
      <c r="AB553"/>
      <c r="AG553" s="69"/>
      <c r="AH553"/>
    </row>
    <row r="554" spans="1:34" x14ac:dyDescent="0.2">
      <c r="A554" s="655"/>
      <c r="B554" s="655"/>
      <c r="C554"/>
      <c r="D554" s="655"/>
      <c r="E554" s="655"/>
      <c r="F554" s="655" t="str">
        <f>LEFT(AllDaqbookOffsets[[#This Row],[traceability_no]],2)</f>
        <v>J3</v>
      </c>
      <c r="N554" s="456"/>
      <c r="O554"/>
      <c r="Z554" s="460"/>
      <c r="AA554" s="194"/>
      <c r="AB554"/>
      <c r="AG554" s="69"/>
      <c r="AH554"/>
    </row>
    <row r="555" spans="1:34" x14ac:dyDescent="0.2">
      <c r="A555" s="655"/>
      <c r="B555" s="655"/>
      <c r="C555"/>
      <c r="D555" s="655"/>
      <c r="E555" s="655"/>
      <c r="F555" s="655" t="str">
        <f>LEFT(AllDaqbookOffsets[[#This Row],[traceability_no]],2)</f>
        <v>J3</v>
      </c>
      <c r="N555" s="456"/>
      <c r="O555"/>
      <c r="Z555" s="460"/>
      <c r="AA555" s="194"/>
      <c r="AB555"/>
      <c r="AG555" s="69"/>
      <c r="AH555"/>
    </row>
    <row r="556" spans="1:34" x14ac:dyDescent="0.2">
      <c r="A556" s="655"/>
      <c r="B556" s="655"/>
      <c r="C556"/>
      <c r="D556" s="655"/>
      <c r="E556" s="655"/>
      <c r="F556" s="655" t="str">
        <f>LEFT(AllDaqbookOffsets[[#This Row],[traceability_no]],2)</f>
        <v>J3</v>
      </c>
      <c r="N556" s="456"/>
      <c r="O556"/>
      <c r="Z556" s="460"/>
      <c r="AA556" s="194"/>
      <c r="AB556"/>
      <c r="AG556" s="69"/>
      <c r="AH556"/>
    </row>
    <row r="557" spans="1:34" x14ac:dyDescent="0.2">
      <c r="A557" s="655"/>
      <c r="B557" s="655"/>
      <c r="C557"/>
      <c r="D557" s="655"/>
      <c r="E557" s="655"/>
      <c r="F557" s="655" t="str">
        <f>LEFT(AllDaqbookOffsets[[#This Row],[traceability_no]],2)</f>
        <v>J3</v>
      </c>
      <c r="N557" s="456"/>
      <c r="O557"/>
      <c r="Z557" s="460"/>
      <c r="AA557" s="194"/>
      <c r="AB557"/>
      <c r="AG557" s="69"/>
      <c r="AH557"/>
    </row>
    <row r="558" spans="1:34" x14ac:dyDescent="0.2">
      <c r="A558" s="655"/>
      <c r="B558" s="655"/>
      <c r="C558"/>
      <c r="D558" s="655"/>
      <c r="E558" s="655"/>
      <c r="F558" s="655" t="str">
        <f>LEFT(AllDaqbookOffsets[[#This Row],[traceability_no]],2)</f>
        <v>J3</v>
      </c>
      <c r="N558" s="456"/>
      <c r="O558"/>
      <c r="Z558" s="460"/>
      <c r="AA558" s="194"/>
      <c r="AB558"/>
      <c r="AG558" s="69"/>
      <c r="AH558"/>
    </row>
    <row r="559" spans="1:34" x14ac:dyDescent="0.2">
      <c r="A559" s="655"/>
      <c r="B559" s="655"/>
      <c r="C559"/>
      <c r="D559" s="655"/>
      <c r="E559" s="655"/>
      <c r="F559" s="655" t="str">
        <f>LEFT(AllDaqbookOffsets[[#This Row],[traceability_no]],2)</f>
        <v>J3</v>
      </c>
      <c r="N559" s="456"/>
      <c r="O559"/>
      <c r="Z559" s="460"/>
      <c r="AA559" s="194"/>
      <c r="AB559"/>
      <c r="AG559" s="69"/>
      <c r="AH559"/>
    </row>
    <row r="560" spans="1:34" x14ac:dyDescent="0.2">
      <c r="A560" s="655"/>
      <c r="B560" s="655"/>
      <c r="C560"/>
      <c r="D560" s="655"/>
      <c r="E560" s="655"/>
      <c r="F560" s="655" t="str">
        <f>LEFT(AllDaqbookOffsets[[#This Row],[traceability_no]],2)</f>
        <v>J3</v>
      </c>
      <c r="N560" s="456"/>
      <c r="O560"/>
      <c r="Z560" s="460"/>
      <c r="AA560" s="194"/>
      <c r="AB560"/>
      <c r="AG560" s="69"/>
      <c r="AH560"/>
    </row>
    <row r="561" spans="1:34" x14ac:dyDescent="0.2">
      <c r="A561" s="655"/>
      <c r="B561" s="655"/>
      <c r="C561"/>
      <c r="D561" s="655"/>
      <c r="E561" s="655"/>
      <c r="F561" s="655" t="str">
        <f>LEFT(AllDaqbookOffsets[[#This Row],[traceability_no]],2)</f>
        <v>J3</v>
      </c>
      <c r="N561" s="456"/>
      <c r="O561"/>
      <c r="Z561" s="460"/>
      <c r="AA561" s="194"/>
      <c r="AB561"/>
      <c r="AG561" s="69"/>
      <c r="AH561"/>
    </row>
    <row r="562" spans="1:34" x14ac:dyDescent="0.2">
      <c r="A562" s="655"/>
      <c r="B562" s="655"/>
      <c r="C562"/>
      <c r="D562" s="655"/>
      <c r="E562" s="655"/>
      <c r="F562" s="655" t="str">
        <f>LEFT(AllDaqbookOffsets[[#This Row],[traceability_no]],2)</f>
        <v>J3</v>
      </c>
      <c r="N562" s="456"/>
      <c r="O562"/>
      <c r="Z562" s="460"/>
      <c r="AA562" s="194"/>
      <c r="AB562"/>
      <c r="AG562" s="69"/>
      <c r="AH562"/>
    </row>
    <row r="563" spans="1:34" x14ac:dyDescent="0.2">
      <c r="A563" s="655"/>
      <c r="B563" s="655"/>
      <c r="C563"/>
      <c r="D563" s="655"/>
      <c r="E563" s="655"/>
      <c r="F563" s="655" t="str">
        <f>LEFT(AllDaqbookOffsets[[#This Row],[traceability_no]],2)</f>
        <v>J3</v>
      </c>
      <c r="N563" s="456"/>
      <c r="O563"/>
      <c r="Z563" s="460"/>
      <c r="AA563" s="194"/>
      <c r="AB563"/>
      <c r="AG563" s="69"/>
      <c r="AH563"/>
    </row>
    <row r="564" spans="1:34" x14ac:dyDescent="0.2">
      <c r="A564" s="655"/>
      <c r="B564" s="655"/>
      <c r="C564"/>
      <c r="D564" s="655"/>
      <c r="E564" s="655"/>
      <c r="F564" s="655" t="str">
        <f>LEFT(AllDaqbookOffsets[[#This Row],[traceability_no]],2)</f>
        <v>J3</v>
      </c>
      <c r="N564" s="456"/>
      <c r="O564"/>
      <c r="Z564" s="460"/>
      <c r="AA564" s="194"/>
      <c r="AB564"/>
      <c r="AG564" s="69"/>
      <c r="AH564"/>
    </row>
    <row r="565" spans="1:34" x14ac:dyDescent="0.2">
      <c r="A565" s="655"/>
      <c r="B565" s="655"/>
      <c r="C565"/>
      <c r="D565" s="655"/>
      <c r="E565" s="655"/>
      <c r="F565" s="655" t="str">
        <f>LEFT(AllDaqbookOffsets[[#This Row],[traceability_no]],2)</f>
        <v>J3</v>
      </c>
      <c r="N565" s="456"/>
      <c r="O565"/>
      <c r="Z565" s="460"/>
      <c r="AA565" s="194"/>
      <c r="AB565"/>
      <c r="AG565" s="69"/>
      <c r="AH565"/>
    </row>
    <row r="566" spans="1:34" x14ac:dyDescent="0.2">
      <c r="A566" s="655"/>
      <c r="B566" s="655"/>
      <c r="C566"/>
      <c r="D566" s="655"/>
      <c r="E566" s="655"/>
      <c r="F566" s="655" t="str">
        <f>LEFT(AllDaqbookOffsets[[#This Row],[traceability_no]],2)</f>
        <v>J3</v>
      </c>
      <c r="N566" s="456"/>
      <c r="O566"/>
      <c r="Z566" s="460"/>
      <c r="AA566" s="194"/>
      <c r="AB566"/>
      <c r="AG566" s="69"/>
      <c r="AH566"/>
    </row>
    <row r="567" spans="1:34" x14ac:dyDescent="0.2">
      <c r="A567" s="655"/>
      <c r="B567" s="655"/>
      <c r="C567"/>
      <c r="D567" s="655"/>
      <c r="E567" s="655"/>
      <c r="F567" s="655" t="str">
        <f>LEFT(AllDaqbookOffsets[[#This Row],[traceability_no]],2)</f>
        <v>J3</v>
      </c>
      <c r="N567" s="456"/>
      <c r="O567"/>
      <c r="Z567" s="460"/>
      <c r="AA567" s="194"/>
      <c r="AB567"/>
      <c r="AG567" s="69"/>
      <c r="AH567"/>
    </row>
    <row r="568" spans="1:34" x14ac:dyDescent="0.2">
      <c r="A568" s="655"/>
      <c r="B568" s="655"/>
      <c r="C568"/>
      <c r="D568" s="655"/>
      <c r="E568" s="655"/>
      <c r="F568" s="655" t="str">
        <f>LEFT(AllDaqbookOffsets[[#This Row],[traceability_no]],2)</f>
        <v>J3</v>
      </c>
      <c r="N568" s="456"/>
      <c r="O568"/>
      <c r="Z568" s="460"/>
      <c r="AA568" s="194"/>
      <c r="AB568"/>
      <c r="AG568" s="69"/>
      <c r="AH568"/>
    </row>
    <row r="569" spans="1:34" x14ac:dyDescent="0.2">
      <c r="A569" s="655"/>
      <c r="B569" s="655"/>
      <c r="C569"/>
      <c r="D569" s="655"/>
      <c r="E569" s="655"/>
      <c r="F569" s="655" t="str">
        <f>LEFT(AllDaqbookOffsets[[#This Row],[traceability_no]],2)</f>
        <v>J3</v>
      </c>
      <c r="N569" s="456"/>
      <c r="O569"/>
      <c r="Z569" s="460"/>
      <c r="AA569" s="194"/>
      <c r="AB569"/>
      <c r="AG569" s="69"/>
      <c r="AH569"/>
    </row>
    <row r="570" spans="1:34" x14ac:dyDescent="0.2">
      <c r="A570" s="655"/>
      <c r="B570" s="655"/>
      <c r="C570"/>
      <c r="D570" s="655"/>
      <c r="E570" s="655"/>
      <c r="F570" s="655" t="str">
        <f>LEFT(AllDaqbookOffsets[[#This Row],[traceability_no]],2)</f>
        <v>J3</v>
      </c>
      <c r="N570" s="456"/>
      <c r="O570"/>
      <c r="Z570" s="460"/>
      <c r="AA570" s="194"/>
      <c r="AB570"/>
      <c r="AG570" s="69"/>
      <c r="AH570"/>
    </row>
    <row r="571" spans="1:34" x14ac:dyDescent="0.2">
      <c r="A571" s="655"/>
      <c r="B571" s="655"/>
      <c r="C571"/>
      <c r="D571" s="655"/>
      <c r="E571" s="655"/>
      <c r="F571" s="655" t="str">
        <f>LEFT(AllDaqbookOffsets[[#This Row],[traceability_no]],2)</f>
        <v>J3</v>
      </c>
      <c r="N571" s="456"/>
      <c r="O571"/>
      <c r="Z571" s="460"/>
      <c r="AA571" s="194"/>
      <c r="AB571"/>
      <c r="AG571" s="69"/>
      <c r="AH571"/>
    </row>
    <row r="572" spans="1:34" x14ac:dyDescent="0.2">
      <c r="A572" s="655"/>
      <c r="B572" s="655"/>
      <c r="C572"/>
      <c r="D572" s="655"/>
      <c r="E572" s="655"/>
      <c r="F572" s="655" t="str">
        <f>LEFT(AllDaqbookOffsets[[#This Row],[traceability_no]],2)</f>
        <v>J3</v>
      </c>
      <c r="N572" s="456"/>
      <c r="O572"/>
      <c r="Z572" s="460"/>
      <c r="AA572" s="194"/>
      <c r="AB572"/>
      <c r="AG572" s="69"/>
      <c r="AH572"/>
    </row>
    <row r="573" spans="1:34" x14ac:dyDescent="0.2">
      <c r="A573" s="655"/>
      <c r="B573" s="655"/>
      <c r="C573"/>
      <c r="D573" s="655"/>
      <c r="E573" s="655"/>
      <c r="F573" s="655" t="str">
        <f>LEFT(AllDaqbookOffsets[[#This Row],[traceability_no]],2)</f>
        <v>J3</v>
      </c>
      <c r="N573" s="456"/>
      <c r="O573"/>
      <c r="Z573" s="460"/>
      <c r="AA573" s="194"/>
      <c r="AB573"/>
      <c r="AG573" s="69"/>
      <c r="AH573"/>
    </row>
    <row r="574" spans="1:34" x14ac:dyDescent="0.2">
      <c r="A574" s="655"/>
      <c r="B574" s="655"/>
      <c r="C574"/>
      <c r="D574" s="655"/>
      <c r="E574" s="655"/>
      <c r="F574" s="655" t="str">
        <f>LEFT(AllDaqbookOffsets[[#This Row],[traceability_no]],2)</f>
        <v>J3</v>
      </c>
      <c r="N574" s="456"/>
      <c r="O574"/>
      <c r="Z574" s="460"/>
      <c r="AA574" s="194"/>
      <c r="AB574"/>
      <c r="AG574" s="69"/>
      <c r="AH574"/>
    </row>
    <row r="575" spans="1:34" x14ac:dyDescent="0.2">
      <c r="A575" s="655"/>
      <c r="B575" s="655"/>
      <c r="C575"/>
      <c r="D575" s="655"/>
      <c r="E575" s="655"/>
      <c r="F575" s="655" t="str">
        <f>LEFT(AllDaqbookOffsets[[#This Row],[traceability_no]],2)</f>
        <v>J3</v>
      </c>
      <c r="N575" s="456"/>
      <c r="O575"/>
      <c r="Z575" s="460"/>
      <c r="AA575" s="194"/>
      <c r="AB575"/>
      <c r="AG575" s="69"/>
      <c r="AH575"/>
    </row>
    <row r="576" spans="1:34" x14ac:dyDescent="0.2">
      <c r="A576" s="655"/>
      <c r="B576" s="655"/>
      <c r="C576"/>
      <c r="D576" s="655"/>
      <c r="E576" s="655"/>
      <c r="F576" s="655" t="str">
        <f>LEFT(AllDaqbookOffsets[[#This Row],[traceability_no]],2)</f>
        <v>J3</v>
      </c>
      <c r="N576" s="456"/>
      <c r="O576"/>
      <c r="Z576" s="460"/>
      <c r="AA576" s="194"/>
      <c r="AB576"/>
      <c r="AG576" s="69"/>
      <c r="AH576"/>
    </row>
    <row r="577" spans="1:34" x14ac:dyDescent="0.2">
      <c r="A577" s="655"/>
      <c r="B577" s="655"/>
      <c r="C577"/>
      <c r="D577" s="655"/>
      <c r="E577" s="655"/>
      <c r="F577" s="655" t="str">
        <f>LEFT(AllDaqbookOffsets[[#This Row],[traceability_no]],2)</f>
        <v>J3</v>
      </c>
      <c r="N577" s="456"/>
      <c r="O577"/>
      <c r="Z577" s="460"/>
      <c r="AA577" s="194"/>
      <c r="AB577"/>
      <c r="AG577" s="69"/>
      <c r="AH577"/>
    </row>
    <row r="578" spans="1:34" x14ac:dyDescent="0.2">
      <c r="A578" s="655"/>
      <c r="B578" s="655"/>
      <c r="C578"/>
      <c r="D578" s="655"/>
      <c r="E578" s="655"/>
      <c r="F578" s="655" t="str">
        <f>LEFT(AllDaqbookOffsets[[#This Row],[traceability_no]],2)</f>
        <v>J3</v>
      </c>
      <c r="N578" s="456"/>
      <c r="O578"/>
      <c r="Z578" s="460"/>
      <c r="AA578" s="194"/>
      <c r="AB578"/>
      <c r="AG578" s="69"/>
      <c r="AH578"/>
    </row>
    <row r="579" spans="1:34" x14ac:dyDescent="0.2">
      <c r="A579" s="655"/>
      <c r="B579" s="655"/>
      <c r="C579"/>
      <c r="D579" s="655"/>
      <c r="E579" s="655"/>
      <c r="F579" s="655" t="str">
        <f>LEFT(AllDaqbookOffsets[[#This Row],[traceability_no]],2)</f>
        <v>J3</v>
      </c>
      <c r="N579" s="456"/>
      <c r="O579"/>
      <c r="Z579" s="460"/>
      <c r="AA579" s="194"/>
      <c r="AB579"/>
      <c r="AG579" s="69"/>
      <c r="AH579"/>
    </row>
    <row r="580" spans="1:34" x14ac:dyDescent="0.2">
      <c r="A580" s="655"/>
      <c r="B580" s="655"/>
      <c r="C580"/>
      <c r="D580" s="655"/>
      <c r="E580" s="655"/>
      <c r="F580" s="655" t="str">
        <f>LEFT(AllDaqbookOffsets[[#This Row],[traceability_no]],2)</f>
        <v>J3</v>
      </c>
      <c r="N580" s="456"/>
      <c r="O580"/>
      <c r="Z580" s="460"/>
      <c r="AA580" s="194"/>
      <c r="AB580"/>
      <c r="AG580" s="69"/>
      <c r="AH580"/>
    </row>
    <row r="581" spans="1:34" x14ac:dyDescent="0.2">
      <c r="A581" s="655"/>
      <c r="B581" s="655"/>
      <c r="C581"/>
      <c r="D581" s="655"/>
      <c r="E581" s="655"/>
      <c r="F581" s="655" t="str">
        <f>LEFT(AllDaqbookOffsets[[#This Row],[traceability_no]],2)</f>
        <v>J3</v>
      </c>
      <c r="N581" s="456"/>
      <c r="O581"/>
      <c r="Z581" s="460"/>
      <c r="AA581" s="194"/>
      <c r="AB581"/>
      <c r="AG581" s="69"/>
      <c r="AH581"/>
    </row>
    <row r="582" spans="1:34" x14ac:dyDescent="0.2">
      <c r="A582" s="655"/>
      <c r="B582" s="655"/>
      <c r="C582"/>
      <c r="D582" s="655"/>
      <c r="E582" s="655"/>
      <c r="F582" s="655" t="str">
        <f>LEFT(AllDaqbookOffsets[[#This Row],[traceability_no]],2)</f>
        <v>J3</v>
      </c>
      <c r="N582" s="456"/>
      <c r="O582"/>
      <c r="Z582" s="460"/>
      <c r="AA582" s="194"/>
      <c r="AB582"/>
      <c r="AG582" s="69"/>
      <c r="AH582"/>
    </row>
    <row r="583" spans="1:34" x14ac:dyDescent="0.2">
      <c r="A583" s="655"/>
      <c r="B583" s="655"/>
      <c r="C583"/>
      <c r="D583" s="655"/>
      <c r="E583" s="655"/>
      <c r="F583" s="655" t="str">
        <f>LEFT(AllDaqbookOffsets[[#This Row],[traceability_no]],2)</f>
        <v>J3</v>
      </c>
      <c r="N583" s="456"/>
      <c r="O583"/>
      <c r="Z583" s="460"/>
      <c r="AA583" s="194"/>
      <c r="AB583"/>
      <c r="AG583" s="69"/>
      <c r="AH583"/>
    </row>
    <row r="584" spans="1:34" x14ac:dyDescent="0.2">
      <c r="A584" s="655"/>
      <c r="B584" s="655"/>
      <c r="C584"/>
      <c r="D584" s="655"/>
      <c r="E584" s="655"/>
      <c r="F584" s="655" t="str">
        <f>LEFT(AllDaqbookOffsets[[#This Row],[traceability_no]],2)</f>
        <v>J3</v>
      </c>
      <c r="N584" s="456"/>
      <c r="O584"/>
      <c r="Z584" s="460"/>
      <c r="AA584" s="194"/>
      <c r="AB584"/>
      <c r="AG584" s="69"/>
      <c r="AH584"/>
    </row>
    <row r="585" spans="1:34" x14ac:dyDescent="0.2">
      <c r="A585" s="655"/>
      <c r="B585" s="655"/>
      <c r="C585"/>
      <c r="D585" s="655"/>
      <c r="E585" s="655"/>
      <c r="F585" s="655" t="str">
        <f>LEFT(AllDaqbookOffsets[[#This Row],[traceability_no]],2)</f>
        <v>J3</v>
      </c>
      <c r="N585" s="456"/>
      <c r="O585"/>
      <c r="Z585" s="460"/>
      <c r="AA585" s="194"/>
      <c r="AB585"/>
      <c r="AG585" s="69"/>
      <c r="AH585"/>
    </row>
    <row r="586" spans="1:34" x14ac:dyDescent="0.2">
      <c r="A586" s="655"/>
      <c r="B586" s="655"/>
      <c r="C586"/>
      <c r="D586" s="655"/>
      <c r="E586" s="655"/>
      <c r="F586" s="655" t="str">
        <f>LEFT(AllDaqbookOffsets[[#This Row],[traceability_no]],2)</f>
        <v>J3</v>
      </c>
      <c r="N586" s="456"/>
      <c r="O586"/>
      <c r="Z586" s="460"/>
      <c r="AA586" s="194"/>
      <c r="AB586"/>
      <c r="AG586" s="69"/>
      <c r="AH586"/>
    </row>
    <row r="587" spans="1:34" x14ac:dyDescent="0.2">
      <c r="A587" s="655"/>
      <c r="B587" s="655"/>
      <c r="C587"/>
      <c r="D587" s="655"/>
      <c r="E587" s="655"/>
      <c r="F587" s="655" t="str">
        <f>LEFT(AllDaqbookOffsets[[#This Row],[traceability_no]],2)</f>
        <v>J3</v>
      </c>
      <c r="N587" s="456"/>
      <c r="O587"/>
      <c r="Z587" s="460"/>
      <c r="AA587" s="194"/>
      <c r="AB587"/>
      <c r="AG587" s="69"/>
      <c r="AH587"/>
    </row>
    <row r="588" spans="1:34" x14ac:dyDescent="0.2">
      <c r="A588" s="655"/>
      <c r="B588" s="655"/>
      <c r="C588"/>
      <c r="D588" s="655"/>
      <c r="E588" s="655"/>
      <c r="F588" s="655" t="str">
        <f>LEFT(AllDaqbookOffsets[[#This Row],[traceability_no]],2)</f>
        <v>J3</v>
      </c>
      <c r="N588" s="456"/>
      <c r="O588"/>
      <c r="Z588" s="460"/>
      <c r="AA588" s="194"/>
      <c r="AB588"/>
      <c r="AG588" s="69"/>
      <c r="AH588"/>
    </row>
    <row r="589" spans="1:34" x14ac:dyDescent="0.2">
      <c r="A589" s="655"/>
      <c r="B589" s="655"/>
      <c r="C589"/>
      <c r="D589" s="655"/>
      <c r="E589" s="655"/>
      <c r="F589" s="655" t="str">
        <f>LEFT(AllDaqbookOffsets[[#This Row],[traceability_no]],2)</f>
        <v>J3</v>
      </c>
      <c r="N589" s="456"/>
      <c r="O589"/>
      <c r="Z589" s="460"/>
      <c r="AA589" s="194"/>
      <c r="AB589"/>
      <c r="AG589" s="69"/>
      <c r="AH589"/>
    </row>
    <row r="590" spans="1:34" x14ac:dyDescent="0.2">
      <c r="A590" s="655"/>
      <c r="B590" s="655"/>
      <c r="C590"/>
      <c r="D590" s="655"/>
      <c r="E590" s="655"/>
      <c r="F590" s="655" t="str">
        <f>LEFT(AllDaqbookOffsets[[#This Row],[traceability_no]],2)</f>
        <v>J3</v>
      </c>
      <c r="N590" s="456"/>
      <c r="O590"/>
      <c r="Z590" s="460"/>
      <c r="AA590" s="194"/>
      <c r="AB590"/>
      <c r="AG590" s="69"/>
      <c r="AH590"/>
    </row>
    <row r="591" spans="1:34" x14ac:dyDescent="0.2">
      <c r="A591" s="655"/>
      <c r="B591" s="655"/>
      <c r="C591"/>
      <c r="D591" s="655"/>
      <c r="E591" s="655"/>
      <c r="F591" s="655" t="str">
        <f>LEFT(AllDaqbookOffsets[[#This Row],[traceability_no]],2)</f>
        <v>J3</v>
      </c>
      <c r="N591" s="456"/>
      <c r="O591"/>
      <c r="Z591" s="460"/>
      <c r="AA591" s="194"/>
      <c r="AB591"/>
      <c r="AG591" s="69"/>
      <c r="AH591"/>
    </row>
    <row r="592" spans="1:34" x14ac:dyDescent="0.2">
      <c r="A592" s="655"/>
      <c r="B592" s="655"/>
      <c r="C592"/>
      <c r="D592" s="655"/>
      <c r="E592" s="655"/>
      <c r="F592" s="655" t="str">
        <f>LEFT(AllDaqbookOffsets[[#This Row],[traceability_no]],2)</f>
        <v>J3</v>
      </c>
      <c r="N592" s="456"/>
      <c r="O592"/>
      <c r="Z592" s="460"/>
      <c r="AA592" s="194"/>
      <c r="AB592"/>
      <c r="AG592" s="69"/>
      <c r="AH592"/>
    </row>
    <row r="593" spans="1:34" x14ac:dyDescent="0.2">
      <c r="A593" s="655"/>
      <c r="B593" s="655"/>
      <c r="C593"/>
      <c r="D593" s="655"/>
      <c r="E593" s="655"/>
      <c r="F593" s="655" t="str">
        <f>LEFT(AllDaqbookOffsets[[#This Row],[traceability_no]],2)</f>
        <v>J3</v>
      </c>
      <c r="N593" s="456"/>
      <c r="O593"/>
      <c r="Z593" s="460"/>
      <c r="AA593" s="194"/>
      <c r="AB593"/>
      <c r="AG593" s="69"/>
      <c r="AH593"/>
    </row>
    <row r="594" spans="1:34" x14ac:dyDescent="0.2">
      <c r="A594" s="655"/>
      <c r="B594" s="655"/>
      <c r="C594"/>
      <c r="D594" s="655"/>
      <c r="E594" s="655"/>
      <c r="F594" s="655" t="str">
        <f>LEFT(AllDaqbookOffsets[[#This Row],[traceability_no]],2)</f>
        <v>J3</v>
      </c>
      <c r="N594" s="456"/>
      <c r="O594"/>
      <c r="Z594" s="460"/>
      <c r="AA594" s="194"/>
      <c r="AB594"/>
      <c r="AG594" s="69"/>
      <c r="AH594"/>
    </row>
    <row r="595" spans="1:34" x14ac:dyDescent="0.2">
      <c r="A595" s="655"/>
      <c r="B595" s="655"/>
      <c r="C595"/>
      <c r="D595" s="655"/>
      <c r="E595" s="655"/>
      <c r="F595" s="655" t="str">
        <f>LEFT(AllDaqbookOffsets[[#This Row],[traceability_no]],2)</f>
        <v>J3</v>
      </c>
      <c r="N595" s="456"/>
      <c r="O595"/>
      <c r="Z595" s="460"/>
      <c r="AA595" s="194"/>
      <c r="AB595"/>
      <c r="AG595" s="69"/>
      <c r="AH595"/>
    </row>
    <row r="596" spans="1:34" x14ac:dyDescent="0.2">
      <c r="A596" s="655"/>
      <c r="B596" s="655"/>
      <c r="C596"/>
      <c r="D596" s="655"/>
      <c r="E596" s="655"/>
      <c r="F596" s="655" t="str">
        <f>LEFT(AllDaqbookOffsets[[#This Row],[traceability_no]],2)</f>
        <v>J3</v>
      </c>
      <c r="N596" s="456"/>
      <c r="O596"/>
      <c r="Z596" s="460"/>
      <c r="AA596" s="194"/>
      <c r="AB596"/>
      <c r="AG596" s="69"/>
      <c r="AH596"/>
    </row>
    <row r="597" spans="1:34" x14ac:dyDescent="0.2">
      <c r="A597" s="655"/>
      <c r="B597" s="655"/>
      <c r="C597"/>
      <c r="D597" s="655"/>
      <c r="E597" s="655"/>
      <c r="F597" s="655" t="str">
        <f>LEFT(AllDaqbookOffsets[[#This Row],[traceability_no]],2)</f>
        <v>J3</v>
      </c>
      <c r="N597" s="456"/>
      <c r="O597"/>
      <c r="Z597" s="460"/>
      <c r="AA597" s="194"/>
      <c r="AB597"/>
      <c r="AG597" s="69"/>
      <c r="AH597"/>
    </row>
    <row r="598" spans="1:34" x14ac:dyDescent="0.2">
      <c r="A598" s="655"/>
      <c r="B598" s="655"/>
      <c r="C598"/>
      <c r="D598" s="655"/>
      <c r="E598" s="655"/>
      <c r="F598" s="655" t="str">
        <f>LEFT(AllDaqbookOffsets[[#This Row],[traceability_no]],2)</f>
        <v>J3</v>
      </c>
      <c r="N598" s="456"/>
      <c r="O598"/>
      <c r="Z598" s="460"/>
      <c r="AA598" s="194"/>
      <c r="AB598"/>
      <c r="AG598" s="69"/>
      <c r="AH598"/>
    </row>
    <row r="599" spans="1:34" x14ac:dyDescent="0.2">
      <c r="A599" s="655"/>
      <c r="B599" s="655"/>
      <c r="C599"/>
      <c r="D599" s="655"/>
      <c r="E599" s="655"/>
      <c r="F599" s="655" t="str">
        <f>LEFT(AllDaqbookOffsets[[#This Row],[traceability_no]],2)</f>
        <v>J3</v>
      </c>
      <c r="N599" s="456"/>
      <c r="O599"/>
      <c r="Z599" s="460"/>
      <c r="AA599" s="194"/>
      <c r="AB599"/>
      <c r="AG599" s="69"/>
      <c r="AH599"/>
    </row>
    <row r="600" spans="1:34" x14ac:dyDescent="0.2">
      <c r="A600" s="655"/>
      <c r="B600" s="655"/>
      <c r="C600"/>
      <c r="D600" s="655"/>
      <c r="E600" s="655"/>
      <c r="F600" s="655" t="str">
        <f>LEFT(AllDaqbookOffsets[[#This Row],[traceability_no]],2)</f>
        <v>J3</v>
      </c>
      <c r="N600" s="456"/>
      <c r="O600"/>
      <c r="Z600" s="460"/>
      <c r="AA600" s="194"/>
      <c r="AB600"/>
      <c r="AG600" s="69"/>
      <c r="AH600"/>
    </row>
    <row r="601" spans="1:34" x14ac:dyDescent="0.2">
      <c r="A601" s="655"/>
      <c r="B601" s="655"/>
      <c r="C601"/>
      <c r="D601" s="655"/>
      <c r="E601" s="655"/>
      <c r="F601" s="655" t="str">
        <f>LEFT(AllDaqbookOffsets[[#This Row],[traceability_no]],2)</f>
        <v>J3</v>
      </c>
      <c r="N601" s="456"/>
      <c r="O601"/>
      <c r="Z601" s="460"/>
      <c r="AA601" s="194"/>
      <c r="AB601"/>
      <c r="AG601" s="69"/>
      <c r="AH601"/>
    </row>
    <row r="602" spans="1:34" x14ac:dyDescent="0.2">
      <c r="A602" s="655"/>
      <c r="B602" s="655"/>
      <c r="C602"/>
      <c r="D602" s="655"/>
      <c r="E602" s="655"/>
      <c r="F602" s="655" t="str">
        <f>LEFT(AllDaqbookOffsets[[#This Row],[traceability_no]],2)</f>
        <v>J3</v>
      </c>
      <c r="N602" s="456"/>
      <c r="O602"/>
      <c r="Z602" s="460"/>
      <c r="AA602" s="194"/>
      <c r="AB602"/>
      <c r="AG602" s="69"/>
      <c r="AH602"/>
    </row>
    <row r="603" spans="1:34" x14ac:dyDescent="0.2">
      <c r="A603" s="655"/>
      <c r="B603" s="655"/>
      <c r="C603"/>
      <c r="D603" s="655"/>
      <c r="E603" s="655"/>
      <c r="F603" s="655" t="str">
        <f>LEFT(AllDaqbookOffsets[[#This Row],[traceability_no]],2)</f>
        <v>J3</v>
      </c>
      <c r="N603" s="456"/>
      <c r="O603"/>
      <c r="Z603" s="460"/>
      <c r="AA603" s="194"/>
      <c r="AB603"/>
      <c r="AG603" s="69"/>
      <c r="AH603"/>
    </row>
    <row r="604" spans="1:34" x14ac:dyDescent="0.2">
      <c r="A604" s="655"/>
      <c r="B604" s="655"/>
      <c r="C604"/>
      <c r="D604" s="655"/>
      <c r="E604" s="655"/>
      <c r="F604" s="655" t="str">
        <f>LEFT(AllDaqbookOffsets[[#This Row],[traceability_no]],2)</f>
        <v>J3</v>
      </c>
      <c r="N604" s="456"/>
      <c r="O604"/>
      <c r="Z604" s="460"/>
      <c r="AA604" s="194"/>
      <c r="AB604"/>
      <c r="AG604" s="69"/>
      <c r="AH604"/>
    </row>
    <row r="605" spans="1:34" x14ac:dyDescent="0.2">
      <c r="A605" s="655"/>
      <c r="B605" s="655"/>
      <c r="C605"/>
      <c r="D605" s="655"/>
      <c r="E605" s="655"/>
      <c r="F605" s="655" t="str">
        <f>LEFT(AllDaqbookOffsets[[#This Row],[traceability_no]],2)</f>
        <v>J3</v>
      </c>
      <c r="N605" s="456"/>
      <c r="O605"/>
      <c r="Z605" s="460"/>
      <c r="AA605" s="194"/>
      <c r="AB605"/>
      <c r="AG605" s="69"/>
      <c r="AH605"/>
    </row>
    <row r="606" spans="1:34" x14ac:dyDescent="0.2">
      <c r="A606" s="655"/>
      <c r="B606" s="655"/>
      <c r="C606"/>
      <c r="D606" s="655"/>
      <c r="E606" s="655"/>
      <c r="F606" s="655" t="str">
        <f>LEFT(AllDaqbookOffsets[[#This Row],[traceability_no]],2)</f>
        <v>J3</v>
      </c>
      <c r="N606" s="456"/>
      <c r="O606"/>
      <c r="Z606" s="460"/>
      <c r="AA606" s="194"/>
      <c r="AB606"/>
      <c r="AG606" s="69"/>
      <c r="AH606"/>
    </row>
    <row r="607" spans="1:34" x14ac:dyDescent="0.2">
      <c r="A607" s="655"/>
      <c r="B607" s="655"/>
      <c r="C607"/>
      <c r="D607" s="655"/>
      <c r="E607" s="655"/>
      <c r="F607" s="655" t="str">
        <f>LEFT(AllDaqbookOffsets[[#This Row],[traceability_no]],2)</f>
        <v>J3</v>
      </c>
      <c r="N607" s="456"/>
      <c r="O607"/>
      <c r="Z607" s="460"/>
      <c r="AA607" s="194"/>
      <c r="AB607"/>
      <c r="AG607" s="69"/>
      <c r="AH607"/>
    </row>
    <row r="608" spans="1:34" x14ac:dyDescent="0.2">
      <c r="A608" s="655"/>
      <c r="B608" s="655"/>
      <c r="C608"/>
      <c r="D608" s="655"/>
      <c r="E608" s="655"/>
      <c r="F608" s="655" t="str">
        <f>LEFT(AllDaqbookOffsets[[#This Row],[traceability_no]],2)</f>
        <v>J3</v>
      </c>
      <c r="N608" s="456"/>
      <c r="O608"/>
      <c r="Z608" s="460"/>
      <c r="AA608" s="194"/>
      <c r="AB608"/>
      <c r="AG608" s="69"/>
      <c r="AH608"/>
    </row>
    <row r="609" spans="1:34" x14ac:dyDescent="0.2">
      <c r="A609" s="655"/>
      <c r="B609" s="655"/>
      <c r="C609"/>
      <c r="D609" s="655"/>
      <c r="E609" s="655"/>
      <c r="F609" s="655" t="str">
        <f>LEFT(AllDaqbookOffsets[[#This Row],[traceability_no]],2)</f>
        <v>J3</v>
      </c>
      <c r="N609" s="456"/>
      <c r="O609"/>
      <c r="Z609" s="460"/>
      <c r="AA609" s="194"/>
      <c r="AB609"/>
      <c r="AG609" s="69"/>
      <c r="AH609"/>
    </row>
    <row r="610" spans="1:34" x14ac:dyDescent="0.2">
      <c r="A610" s="655"/>
      <c r="B610" s="655"/>
      <c r="C610"/>
      <c r="D610" s="655"/>
      <c r="E610" s="655"/>
      <c r="F610" s="655" t="str">
        <f>LEFT(AllDaqbookOffsets[[#This Row],[traceability_no]],2)</f>
        <v>J3</v>
      </c>
      <c r="N610" s="456"/>
      <c r="O610"/>
      <c r="Z610" s="460"/>
      <c r="AA610" s="194"/>
      <c r="AB610"/>
      <c r="AG610" s="69"/>
      <c r="AH610"/>
    </row>
    <row r="611" spans="1:34" x14ac:dyDescent="0.2">
      <c r="A611" s="655"/>
      <c r="B611" s="655"/>
      <c r="C611"/>
      <c r="D611" s="655"/>
      <c r="E611" s="655"/>
      <c r="F611" s="655" t="str">
        <f>LEFT(AllDaqbookOffsets[[#This Row],[traceability_no]],2)</f>
        <v>J3</v>
      </c>
      <c r="N611" s="456"/>
      <c r="O611"/>
      <c r="Z611" s="460"/>
      <c r="AA611" s="194"/>
      <c r="AB611"/>
      <c r="AG611" s="69"/>
      <c r="AH611"/>
    </row>
    <row r="612" spans="1:34" x14ac:dyDescent="0.2">
      <c r="A612" s="655"/>
      <c r="B612" s="655"/>
      <c r="C612"/>
      <c r="D612" s="655"/>
      <c r="E612" s="655"/>
      <c r="F612" s="655" t="str">
        <f>LEFT(AllDaqbookOffsets[[#This Row],[traceability_no]],2)</f>
        <v>J3</v>
      </c>
      <c r="N612" s="456"/>
      <c r="O612"/>
      <c r="Z612" s="460"/>
      <c r="AA612" s="194"/>
      <c r="AB612"/>
      <c r="AG612" s="69"/>
      <c r="AH612"/>
    </row>
    <row r="613" spans="1:34" x14ac:dyDescent="0.2">
      <c r="A613" s="655"/>
      <c r="B613" s="655"/>
      <c r="C613"/>
      <c r="D613" s="655"/>
      <c r="E613" s="655"/>
      <c r="F613" s="655" t="str">
        <f>LEFT(AllDaqbookOffsets[[#This Row],[traceability_no]],2)</f>
        <v>J3</v>
      </c>
      <c r="N613" s="456"/>
      <c r="O613"/>
      <c r="Z613" s="460"/>
      <c r="AA613" s="194"/>
      <c r="AB613"/>
      <c r="AG613" s="69"/>
      <c r="AH613"/>
    </row>
    <row r="614" spans="1:34" x14ac:dyDescent="0.2">
      <c r="A614" s="655"/>
      <c r="B614" s="655"/>
      <c r="C614"/>
      <c r="D614" s="655"/>
      <c r="E614" s="655"/>
      <c r="F614" s="655" t="str">
        <f>LEFT(AllDaqbookOffsets[[#This Row],[traceability_no]],2)</f>
        <v>J3</v>
      </c>
      <c r="N614" s="456"/>
      <c r="O614"/>
      <c r="Z614" s="460"/>
      <c r="AA614" s="194"/>
      <c r="AB614"/>
      <c r="AG614" s="69"/>
      <c r="AH614"/>
    </row>
    <row r="615" spans="1:34" x14ac:dyDescent="0.2">
      <c r="A615" s="655"/>
      <c r="B615" s="655"/>
      <c r="C615"/>
      <c r="D615" s="655"/>
      <c r="E615" s="655"/>
      <c r="F615" s="655" t="str">
        <f>LEFT(AllDaqbookOffsets[[#This Row],[traceability_no]],2)</f>
        <v>J3</v>
      </c>
      <c r="N615" s="456"/>
      <c r="O615"/>
      <c r="Z615" s="460"/>
      <c r="AA615" s="194"/>
      <c r="AB615"/>
      <c r="AG615" s="69"/>
      <c r="AH615"/>
    </row>
    <row r="616" spans="1:34" x14ac:dyDescent="0.2">
      <c r="A616" s="655"/>
      <c r="B616" s="655"/>
      <c r="C616"/>
      <c r="D616" s="655"/>
      <c r="E616" s="655"/>
      <c r="F616" s="655" t="str">
        <f>LEFT(AllDaqbookOffsets[[#This Row],[traceability_no]],2)</f>
        <v>J3</v>
      </c>
      <c r="N616" s="456"/>
      <c r="O616"/>
      <c r="Z616" s="460"/>
      <c r="AA616" s="194"/>
      <c r="AB616"/>
      <c r="AG616" s="69"/>
      <c r="AH616"/>
    </row>
    <row r="617" spans="1:34" x14ac:dyDescent="0.2">
      <c r="A617" s="655"/>
      <c r="B617" s="655"/>
      <c r="C617"/>
      <c r="D617" s="655"/>
      <c r="E617" s="655"/>
      <c r="F617" s="655" t="str">
        <f>LEFT(AllDaqbookOffsets[[#This Row],[traceability_no]],2)</f>
        <v>J3</v>
      </c>
      <c r="N617" s="456"/>
      <c r="O617"/>
      <c r="Z617" s="460"/>
      <c r="AA617" s="194"/>
      <c r="AB617"/>
      <c r="AG617" s="69"/>
      <c r="AH617"/>
    </row>
    <row r="618" spans="1:34" x14ac:dyDescent="0.2">
      <c r="A618" s="655"/>
      <c r="B618" s="655"/>
      <c r="C618"/>
      <c r="D618" s="655"/>
      <c r="E618" s="655"/>
      <c r="F618" s="655" t="str">
        <f>LEFT(AllDaqbookOffsets[[#This Row],[traceability_no]],2)</f>
        <v>J3</v>
      </c>
      <c r="N618" s="456"/>
      <c r="O618"/>
      <c r="Z618" s="460"/>
      <c r="AA618" s="194"/>
      <c r="AB618"/>
      <c r="AG618" s="69"/>
      <c r="AH618"/>
    </row>
    <row r="619" spans="1:34" x14ac:dyDescent="0.2">
      <c r="A619" s="655"/>
      <c r="B619" s="655"/>
      <c r="C619"/>
      <c r="D619" s="655"/>
      <c r="E619" s="655"/>
      <c r="F619" s="655" t="str">
        <f>LEFT(AllDaqbookOffsets[[#This Row],[traceability_no]],2)</f>
        <v>J3</v>
      </c>
      <c r="N619" s="456"/>
      <c r="O619"/>
      <c r="Z619" s="460"/>
      <c r="AA619" s="194"/>
      <c r="AB619"/>
      <c r="AG619" s="69"/>
      <c r="AH619"/>
    </row>
    <row r="620" spans="1:34" x14ac:dyDescent="0.2">
      <c r="A620" s="655"/>
      <c r="B620" s="655"/>
      <c r="C620"/>
      <c r="D620" s="655"/>
      <c r="E620" s="655"/>
      <c r="F620" s="655" t="str">
        <f>LEFT(AllDaqbookOffsets[[#This Row],[traceability_no]],2)</f>
        <v>J3</v>
      </c>
      <c r="N620" s="456"/>
      <c r="O620"/>
      <c r="Z620" s="460"/>
      <c r="AA620" s="194"/>
      <c r="AB620"/>
      <c r="AG620" s="69"/>
      <c r="AH620"/>
    </row>
    <row r="621" spans="1:34" x14ac:dyDescent="0.2">
      <c r="A621" s="655"/>
      <c r="B621" s="655"/>
      <c r="C621"/>
      <c r="D621" s="655"/>
      <c r="E621" s="655"/>
      <c r="F621" s="655" t="str">
        <f>LEFT(AllDaqbookOffsets[[#This Row],[traceability_no]],2)</f>
        <v>J3</v>
      </c>
      <c r="N621" s="456"/>
      <c r="O621"/>
      <c r="Z621" s="460"/>
      <c r="AA621" s="194"/>
      <c r="AB621"/>
      <c r="AG621" s="69"/>
      <c r="AH621"/>
    </row>
    <row r="622" spans="1:34" x14ac:dyDescent="0.2">
      <c r="A622" s="655"/>
      <c r="B622" s="655"/>
      <c r="C622"/>
      <c r="D622" s="655"/>
      <c r="E622" s="655"/>
      <c r="F622" s="655" t="str">
        <f>LEFT(AllDaqbookOffsets[[#This Row],[traceability_no]],2)</f>
        <v>J3</v>
      </c>
      <c r="N622" s="456"/>
      <c r="O622"/>
      <c r="Z622" s="460"/>
      <c r="AA622" s="194"/>
      <c r="AB622"/>
      <c r="AG622" s="69"/>
      <c r="AH622"/>
    </row>
    <row r="623" spans="1:34" x14ac:dyDescent="0.2">
      <c r="A623" s="655"/>
      <c r="B623" s="655"/>
      <c r="C623"/>
      <c r="D623" s="655"/>
      <c r="E623" s="655"/>
      <c r="F623" s="655" t="str">
        <f>LEFT(AllDaqbookOffsets[[#This Row],[traceability_no]],2)</f>
        <v>J3</v>
      </c>
      <c r="N623" s="456"/>
      <c r="O623"/>
      <c r="Z623" s="460"/>
      <c r="AA623" s="194"/>
      <c r="AB623"/>
      <c r="AG623" s="69"/>
      <c r="AH623"/>
    </row>
    <row r="624" spans="1:34" x14ac:dyDescent="0.2">
      <c r="A624" s="655"/>
      <c r="B624" s="655"/>
      <c r="C624"/>
      <c r="D624" s="655"/>
      <c r="E624" s="655"/>
      <c r="F624" s="655" t="str">
        <f>LEFT(AllDaqbookOffsets[[#This Row],[traceability_no]],2)</f>
        <v>J3</v>
      </c>
      <c r="N624" s="456"/>
      <c r="O624"/>
      <c r="Z624" s="460"/>
      <c r="AA624" s="194"/>
      <c r="AB624"/>
      <c r="AG624" s="69"/>
      <c r="AH624"/>
    </row>
    <row r="625" spans="1:34" x14ac:dyDescent="0.2">
      <c r="A625" s="655"/>
      <c r="B625" s="655"/>
      <c r="C625"/>
      <c r="D625" s="655"/>
      <c r="E625" s="655"/>
      <c r="F625" s="655" t="str">
        <f>LEFT(AllDaqbookOffsets[[#This Row],[traceability_no]],2)</f>
        <v>J3</v>
      </c>
      <c r="N625" s="456"/>
      <c r="O625"/>
      <c r="Z625" s="460"/>
      <c r="AA625" s="194"/>
      <c r="AB625"/>
      <c r="AG625" s="69"/>
      <c r="AH625"/>
    </row>
    <row r="626" spans="1:34" x14ac:dyDescent="0.2">
      <c r="A626" s="655"/>
      <c r="B626" s="655"/>
      <c r="C626"/>
      <c r="D626" s="655"/>
      <c r="E626" s="655"/>
      <c r="F626" s="655" t="str">
        <f>LEFT(AllDaqbookOffsets[[#This Row],[traceability_no]],2)</f>
        <v>J3</v>
      </c>
      <c r="N626" s="456"/>
      <c r="O626"/>
      <c r="Z626" s="460"/>
      <c r="AA626" s="194"/>
      <c r="AB626"/>
      <c r="AG626" s="69"/>
      <c r="AH626"/>
    </row>
    <row r="627" spans="1:34" x14ac:dyDescent="0.2">
      <c r="A627" s="655"/>
      <c r="B627" s="655"/>
      <c r="C627"/>
      <c r="D627" s="655"/>
      <c r="E627" s="655"/>
      <c r="F627" s="655" t="str">
        <f>LEFT(AllDaqbookOffsets[[#This Row],[traceability_no]],2)</f>
        <v>J3</v>
      </c>
      <c r="N627" s="456"/>
      <c r="O627"/>
      <c r="Z627" s="460"/>
      <c r="AA627" s="194"/>
      <c r="AB627"/>
      <c r="AG627" s="69"/>
      <c r="AH627"/>
    </row>
    <row r="628" spans="1:34" x14ac:dyDescent="0.2">
      <c r="A628" s="655"/>
      <c r="B628" s="655"/>
      <c r="C628"/>
      <c r="D628" s="655"/>
      <c r="E628" s="655"/>
      <c r="F628" s="655" t="str">
        <f>LEFT(AllDaqbookOffsets[[#This Row],[traceability_no]],2)</f>
        <v>J3</v>
      </c>
      <c r="N628" s="456"/>
      <c r="O628"/>
      <c r="Z628" s="460"/>
      <c r="AA628" s="194"/>
      <c r="AB628"/>
      <c r="AG628" s="69"/>
      <c r="AH628"/>
    </row>
    <row r="629" spans="1:34" x14ac:dyDescent="0.2">
      <c r="A629" s="655"/>
      <c r="B629" s="655"/>
      <c r="C629"/>
      <c r="D629" s="655"/>
      <c r="E629" s="655"/>
      <c r="F629" s="655" t="str">
        <f>LEFT(AllDaqbookOffsets[[#This Row],[traceability_no]],2)</f>
        <v>J3</v>
      </c>
      <c r="N629" s="456"/>
      <c r="O629"/>
      <c r="Z629" s="460"/>
      <c r="AA629" s="194"/>
      <c r="AB629"/>
      <c r="AG629" s="69"/>
      <c r="AH629"/>
    </row>
    <row r="630" spans="1:34" x14ac:dyDescent="0.2">
      <c r="A630" s="655"/>
      <c r="B630" s="655"/>
      <c r="C630"/>
      <c r="D630" s="655"/>
      <c r="E630" s="655"/>
      <c r="F630" s="655" t="str">
        <f>LEFT(AllDaqbookOffsets[[#This Row],[traceability_no]],2)</f>
        <v>J3</v>
      </c>
      <c r="N630" s="456"/>
      <c r="O630"/>
      <c r="Z630" s="460"/>
      <c r="AA630" s="194"/>
      <c r="AB630"/>
      <c r="AG630" s="69"/>
      <c r="AH630"/>
    </row>
    <row r="631" spans="1:34" x14ac:dyDescent="0.2">
      <c r="A631" s="655"/>
      <c r="B631" s="655"/>
      <c r="C631"/>
      <c r="D631" s="655"/>
      <c r="E631" s="655"/>
      <c r="F631" s="655" t="str">
        <f>LEFT(AllDaqbookOffsets[[#This Row],[traceability_no]],2)</f>
        <v>J3</v>
      </c>
      <c r="N631" s="456"/>
      <c r="O631"/>
      <c r="Z631" s="460"/>
      <c r="AA631" s="194"/>
      <c r="AB631"/>
      <c r="AG631" s="69"/>
      <c r="AH631"/>
    </row>
    <row r="632" spans="1:34" x14ac:dyDescent="0.2">
      <c r="A632" s="655"/>
      <c r="B632" s="655"/>
      <c r="C632"/>
      <c r="D632" s="655"/>
      <c r="E632" s="655"/>
      <c r="F632" s="655" t="str">
        <f>LEFT(AllDaqbookOffsets[[#This Row],[traceability_no]],2)</f>
        <v>J3</v>
      </c>
      <c r="N632" s="456"/>
      <c r="O632"/>
      <c r="Z632" s="460"/>
      <c r="AA632" s="194"/>
      <c r="AB632"/>
      <c r="AG632" s="69"/>
      <c r="AH632"/>
    </row>
    <row r="633" spans="1:34" x14ac:dyDescent="0.2">
      <c r="A633" s="655"/>
      <c r="B633" s="655"/>
      <c r="C633"/>
      <c r="D633" s="655"/>
      <c r="E633" s="655"/>
      <c r="F633" s="655" t="str">
        <f>LEFT(AllDaqbookOffsets[[#This Row],[traceability_no]],2)</f>
        <v>J3</v>
      </c>
      <c r="N633" s="456"/>
      <c r="O633"/>
      <c r="Z633" s="460"/>
      <c r="AA633" s="194"/>
      <c r="AB633"/>
      <c r="AG633" s="69"/>
      <c r="AH633"/>
    </row>
    <row r="634" spans="1:34" x14ac:dyDescent="0.2">
      <c r="A634" s="655"/>
      <c r="B634" s="655"/>
      <c r="C634"/>
      <c r="D634" s="655"/>
      <c r="E634" s="655"/>
      <c r="F634" s="655" t="str">
        <f>LEFT(AllDaqbookOffsets[[#This Row],[traceability_no]],2)</f>
        <v>J3</v>
      </c>
      <c r="N634" s="456"/>
      <c r="O634"/>
      <c r="Z634" s="460"/>
      <c r="AA634" s="194"/>
      <c r="AB634"/>
      <c r="AG634" s="69"/>
      <c r="AH634"/>
    </row>
    <row r="635" spans="1:34" x14ac:dyDescent="0.2">
      <c r="A635" s="655"/>
      <c r="B635" s="655"/>
      <c r="C635"/>
      <c r="D635" s="655"/>
      <c r="E635" s="655"/>
      <c r="F635" s="655" t="str">
        <f>LEFT(AllDaqbookOffsets[[#This Row],[traceability_no]],2)</f>
        <v>J3</v>
      </c>
      <c r="N635" s="456"/>
      <c r="O635"/>
      <c r="Z635" s="460"/>
      <c r="AA635" s="194"/>
      <c r="AB635"/>
      <c r="AG635" s="69"/>
      <c r="AH635"/>
    </row>
    <row r="636" spans="1:34" x14ac:dyDescent="0.2">
      <c r="A636" s="655"/>
      <c r="B636" s="655"/>
      <c r="C636"/>
      <c r="D636" s="655"/>
      <c r="E636" s="655"/>
      <c r="F636" s="655" t="str">
        <f>LEFT(AllDaqbookOffsets[[#This Row],[traceability_no]],2)</f>
        <v>J3</v>
      </c>
      <c r="N636" s="456"/>
      <c r="O636"/>
      <c r="Z636" s="460"/>
      <c r="AA636" s="194"/>
      <c r="AB636"/>
      <c r="AG636" s="69"/>
      <c r="AH636"/>
    </row>
    <row r="637" spans="1:34" x14ac:dyDescent="0.2">
      <c r="A637" s="655"/>
      <c r="B637" s="655"/>
      <c r="C637"/>
      <c r="D637" s="655"/>
      <c r="E637" s="655"/>
      <c r="F637" s="655" t="str">
        <f>LEFT(AllDaqbookOffsets[[#This Row],[traceability_no]],2)</f>
        <v>J3</v>
      </c>
      <c r="N637" s="456"/>
      <c r="O637"/>
      <c r="Z637" s="460"/>
      <c r="AA637" s="194"/>
      <c r="AB637"/>
      <c r="AG637" s="69"/>
      <c r="AH637"/>
    </row>
    <row r="638" spans="1:34" x14ac:dyDescent="0.2">
      <c r="A638" s="655"/>
      <c r="B638" s="655"/>
      <c r="C638"/>
      <c r="D638" s="655"/>
      <c r="E638" s="655"/>
      <c r="F638" s="655" t="str">
        <f>LEFT(AllDaqbookOffsets[[#This Row],[traceability_no]],2)</f>
        <v>J3</v>
      </c>
      <c r="N638" s="456"/>
      <c r="O638"/>
      <c r="Z638" s="460"/>
      <c r="AA638" s="194"/>
      <c r="AB638"/>
      <c r="AG638" s="69"/>
      <c r="AH638"/>
    </row>
    <row r="639" spans="1:34" x14ac:dyDescent="0.2">
      <c r="A639" s="655"/>
      <c r="B639" s="655"/>
      <c r="C639"/>
      <c r="D639" s="655"/>
      <c r="E639" s="655"/>
      <c r="F639" s="655" t="str">
        <f>LEFT(AllDaqbookOffsets[[#This Row],[traceability_no]],2)</f>
        <v>J3</v>
      </c>
      <c r="N639" s="456"/>
      <c r="O639"/>
      <c r="Z639" s="460"/>
      <c r="AA639" s="194"/>
      <c r="AB639"/>
      <c r="AG639" s="69"/>
      <c r="AH639"/>
    </row>
    <row r="640" spans="1:34" x14ac:dyDescent="0.2">
      <c r="A640" s="655"/>
      <c r="B640" s="655"/>
      <c r="C640"/>
      <c r="D640" s="655"/>
      <c r="E640" s="655"/>
      <c r="F640" s="655" t="str">
        <f>LEFT(AllDaqbookOffsets[[#This Row],[traceability_no]],2)</f>
        <v>J3</v>
      </c>
      <c r="N640" s="456"/>
      <c r="O640"/>
      <c r="Z640" s="460"/>
      <c r="AA640" s="194"/>
      <c r="AB640"/>
      <c r="AG640" s="69"/>
      <c r="AH640"/>
    </row>
    <row r="641" spans="1:34" x14ac:dyDescent="0.2">
      <c r="A641" s="655"/>
      <c r="B641" s="655"/>
      <c r="C641"/>
      <c r="D641" s="655"/>
      <c r="E641" s="655"/>
      <c r="F641" s="655" t="str">
        <f>LEFT(AllDaqbookOffsets[[#This Row],[traceability_no]],2)</f>
        <v>J3</v>
      </c>
      <c r="N641" s="456"/>
      <c r="O641"/>
      <c r="Z641" s="460"/>
      <c r="AA641" s="194"/>
      <c r="AB641"/>
      <c r="AG641" s="69"/>
      <c r="AH641"/>
    </row>
    <row r="642" spans="1:34" x14ac:dyDescent="0.2">
      <c r="A642" s="655"/>
      <c r="B642" s="655"/>
      <c r="C642"/>
      <c r="D642" s="655"/>
      <c r="E642" s="655"/>
      <c r="F642" s="655" t="str">
        <f>LEFT(AllDaqbookOffsets[[#This Row],[traceability_no]],2)</f>
        <v>J3</v>
      </c>
      <c r="N642" s="456"/>
      <c r="O642"/>
      <c r="Z642" s="460"/>
      <c r="AA642" s="194"/>
      <c r="AB642"/>
      <c r="AG642" s="69"/>
      <c r="AH642"/>
    </row>
    <row r="643" spans="1:34" x14ac:dyDescent="0.2">
      <c r="A643" s="655"/>
      <c r="B643" s="655"/>
      <c r="C643"/>
      <c r="D643" s="655"/>
      <c r="E643" s="655"/>
      <c r="F643" s="655" t="str">
        <f>LEFT(AllDaqbookOffsets[[#This Row],[traceability_no]],2)</f>
        <v>J3</v>
      </c>
      <c r="N643" s="456"/>
      <c r="O643"/>
      <c r="Z643" s="460"/>
      <c r="AA643" s="194"/>
      <c r="AB643"/>
      <c r="AG643" s="69"/>
      <c r="AH643"/>
    </row>
    <row r="644" spans="1:34" x14ac:dyDescent="0.2">
      <c r="A644" s="655"/>
      <c r="B644" s="655"/>
      <c r="C644"/>
      <c r="D644" s="655"/>
      <c r="E644" s="655"/>
      <c r="F644" s="655" t="str">
        <f>LEFT(AllDaqbookOffsets[[#This Row],[traceability_no]],2)</f>
        <v>J3</v>
      </c>
      <c r="N644" s="456"/>
      <c r="O644"/>
      <c r="Z644" s="460"/>
      <c r="AA644" s="194"/>
      <c r="AB644"/>
      <c r="AG644" s="69"/>
      <c r="AH644"/>
    </row>
    <row r="645" spans="1:34" x14ac:dyDescent="0.2">
      <c r="A645" s="655"/>
      <c r="B645" s="655"/>
      <c r="C645"/>
      <c r="D645" s="655"/>
      <c r="E645" s="655"/>
      <c r="F645" s="655" t="str">
        <f>LEFT(AllDaqbookOffsets[[#This Row],[traceability_no]],2)</f>
        <v>J3</v>
      </c>
      <c r="N645" s="456"/>
      <c r="O645"/>
      <c r="Z645" s="460"/>
      <c r="AA645" s="194"/>
      <c r="AB645"/>
      <c r="AG645" s="69"/>
      <c r="AH645"/>
    </row>
    <row r="646" spans="1:34" x14ac:dyDescent="0.2">
      <c r="A646" s="655"/>
      <c r="B646" s="655"/>
      <c r="C646"/>
      <c r="D646" s="655"/>
      <c r="E646" s="655"/>
      <c r="F646" s="655" t="str">
        <f>LEFT(AllDaqbookOffsets[[#This Row],[traceability_no]],2)</f>
        <v>J3</v>
      </c>
      <c r="N646" s="456"/>
      <c r="O646"/>
      <c r="Z646" s="460"/>
      <c r="AA646" s="194"/>
      <c r="AB646"/>
      <c r="AG646" s="69"/>
      <c r="AH646"/>
    </row>
    <row r="647" spans="1:34" x14ac:dyDescent="0.2">
      <c r="A647" s="655"/>
      <c r="B647" s="655"/>
      <c r="C647"/>
      <c r="D647" s="655"/>
      <c r="E647" s="655"/>
      <c r="F647" s="655" t="str">
        <f>LEFT(AllDaqbookOffsets[[#This Row],[traceability_no]],2)</f>
        <v>J3</v>
      </c>
      <c r="N647" s="456"/>
      <c r="O647"/>
      <c r="Z647" s="460"/>
      <c r="AA647" s="194"/>
      <c r="AB647"/>
      <c r="AG647" s="69"/>
      <c r="AH647"/>
    </row>
    <row r="648" spans="1:34" x14ac:dyDescent="0.2">
      <c r="A648" s="655"/>
      <c r="B648" s="655"/>
      <c r="C648"/>
      <c r="D648" s="655"/>
      <c r="E648" s="655"/>
      <c r="F648" s="655" t="str">
        <f>LEFT(AllDaqbookOffsets[[#This Row],[traceability_no]],2)</f>
        <v>J3</v>
      </c>
      <c r="N648" s="456"/>
      <c r="O648"/>
      <c r="Z648" s="460"/>
      <c r="AA648" s="194"/>
      <c r="AB648"/>
      <c r="AG648" s="69"/>
      <c r="AH648"/>
    </row>
    <row r="649" spans="1:34" x14ac:dyDescent="0.2">
      <c r="A649" s="655"/>
      <c r="B649" s="655"/>
      <c r="C649"/>
      <c r="D649" s="655"/>
      <c r="E649" s="655"/>
      <c r="F649" s="655" t="str">
        <f>LEFT(AllDaqbookOffsets[[#This Row],[traceability_no]],2)</f>
        <v>J3</v>
      </c>
      <c r="N649" s="456"/>
      <c r="O649"/>
      <c r="Z649" s="460"/>
      <c r="AA649" s="194"/>
      <c r="AB649"/>
      <c r="AG649" s="69"/>
      <c r="AH649"/>
    </row>
    <row r="650" spans="1:34" x14ac:dyDescent="0.2">
      <c r="A650" s="655"/>
      <c r="B650" s="655"/>
      <c r="C650"/>
      <c r="D650" s="655"/>
      <c r="E650" s="655"/>
      <c r="F650" s="655" t="str">
        <f>LEFT(AllDaqbookOffsets[[#This Row],[traceability_no]],2)</f>
        <v>J3</v>
      </c>
      <c r="N650" s="456"/>
      <c r="O650"/>
      <c r="Z650" s="460"/>
      <c r="AA650" s="194"/>
      <c r="AB650"/>
      <c r="AG650" s="69"/>
      <c r="AH650"/>
    </row>
    <row r="651" spans="1:34" x14ac:dyDescent="0.2">
      <c r="A651" s="655"/>
      <c r="B651" s="655"/>
      <c r="C651"/>
      <c r="D651" s="655"/>
      <c r="E651" s="655"/>
      <c r="F651" s="655" t="str">
        <f>LEFT(AllDaqbookOffsets[[#This Row],[traceability_no]],2)</f>
        <v>J3</v>
      </c>
      <c r="N651" s="456"/>
      <c r="O651"/>
      <c r="Z651" s="460"/>
      <c r="AA651" s="194"/>
      <c r="AB651"/>
      <c r="AG651" s="69"/>
      <c r="AH651"/>
    </row>
    <row r="652" spans="1:34" x14ac:dyDescent="0.2">
      <c r="A652" s="655"/>
      <c r="B652" s="655"/>
      <c r="C652"/>
      <c r="D652" s="655"/>
      <c r="E652" s="655"/>
      <c r="F652" s="655" t="str">
        <f>LEFT(AllDaqbookOffsets[[#This Row],[traceability_no]],2)</f>
        <v>J3</v>
      </c>
      <c r="N652" s="456"/>
      <c r="O652"/>
      <c r="Z652" s="460"/>
      <c r="AA652" s="194"/>
      <c r="AB652"/>
      <c r="AG652" s="69"/>
      <c r="AH652"/>
    </row>
    <row r="653" spans="1:34" x14ac:dyDescent="0.2">
      <c r="A653" s="655"/>
      <c r="B653" s="655"/>
      <c r="C653"/>
      <c r="D653" s="655"/>
      <c r="E653" s="655"/>
      <c r="F653" s="655" t="str">
        <f>LEFT(AllDaqbookOffsets[[#This Row],[traceability_no]],2)</f>
        <v>J3</v>
      </c>
      <c r="N653" s="456"/>
      <c r="O653"/>
      <c r="Z653" s="460"/>
      <c r="AA653" s="194"/>
      <c r="AB653"/>
      <c r="AG653" s="69"/>
      <c r="AH653"/>
    </row>
    <row r="654" spans="1:34" x14ac:dyDescent="0.2">
      <c r="A654" s="655"/>
      <c r="B654" s="655"/>
      <c r="C654"/>
      <c r="D654" s="655"/>
      <c r="E654" s="655"/>
      <c r="F654" s="655" t="str">
        <f>LEFT(AllDaqbookOffsets[[#This Row],[traceability_no]],2)</f>
        <v>J3</v>
      </c>
      <c r="N654" s="456"/>
      <c r="O654"/>
      <c r="Z654" s="460"/>
      <c r="AA654" s="194"/>
      <c r="AB654"/>
      <c r="AG654" s="69"/>
      <c r="AH654"/>
    </row>
    <row r="655" spans="1:34" x14ac:dyDescent="0.2">
      <c r="A655" s="655"/>
      <c r="B655" s="655"/>
      <c r="C655"/>
      <c r="D655" s="655"/>
      <c r="E655" s="655"/>
      <c r="F655" s="655" t="str">
        <f>LEFT(AllDaqbookOffsets[[#This Row],[traceability_no]],2)</f>
        <v>J3</v>
      </c>
      <c r="N655" s="456"/>
      <c r="O655"/>
      <c r="Z655" s="460"/>
      <c r="AA655" s="194"/>
      <c r="AB655"/>
      <c r="AG655" s="69"/>
      <c r="AH655"/>
    </row>
    <row r="656" spans="1:34" x14ac:dyDescent="0.2">
      <c r="A656" s="655"/>
      <c r="B656" s="655"/>
      <c r="C656"/>
      <c r="D656" s="655"/>
      <c r="E656" s="655"/>
      <c r="F656" s="655" t="str">
        <f>LEFT(AllDaqbookOffsets[[#This Row],[traceability_no]],2)</f>
        <v>J3</v>
      </c>
      <c r="N656" s="456"/>
      <c r="O656"/>
      <c r="Z656" s="460"/>
      <c r="AA656" s="194"/>
      <c r="AB656"/>
      <c r="AG656" s="69"/>
      <c r="AH656"/>
    </row>
    <row r="657" spans="1:34" x14ac:dyDescent="0.2">
      <c r="A657" s="655"/>
      <c r="B657" s="655"/>
      <c r="C657"/>
      <c r="D657" s="655"/>
      <c r="E657" s="655"/>
      <c r="F657" s="655" t="str">
        <f>LEFT(AllDaqbookOffsets[[#This Row],[traceability_no]],2)</f>
        <v>J3</v>
      </c>
      <c r="N657" s="456"/>
      <c r="O657"/>
      <c r="Z657" s="460"/>
      <c r="AA657" s="194"/>
      <c r="AB657"/>
      <c r="AG657" s="69"/>
      <c r="AH657"/>
    </row>
    <row r="658" spans="1:34" x14ac:dyDescent="0.2">
      <c r="A658" s="655"/>
      <c r="B658" s="655"/>
      <c r="C658"/>
      <c r="D658" s="655"/>
      <c r="E658" s="655"/>
      <c r="F658" s="655" t="str">
        <f>LEFT(AllDaqbookOffsets[[#This Row],[traceability_no]],2)</f>
        <v>J3</v>
      </c>
      <c r="N658" s="456"/>
      <c r="O658"/>
      <c r="Z658" s="460"/>
      <c r="AA658" s="194"/>
      <c r="AB658"/>
      <c r="AG658" s="69"/>
      <c r="AH658"/>
    </row>
    <row r="659" spans="1:34" x14ac:dyDescent="0.2">
      <c r="A659" s="655"/>
      <c r="B659" s="655"/>
      <c r="C659"/>
      <c r="D659" s="655"/>
      <c r="E659" s="655"/>
      <c r="F659" s="655" t="str">
        <f>LEFT(AllDaqbookOffsets[[#This Row],[traceability_no]],2)</f>
        <v>J3</v>
      </c>
      <c r="N659" s="456"/>
      <c r="O659"/>
      <c r="Z659" s="460"/>
      <c r="AA659" s="194"/>
      <c r="AB659"/>
      <c r="AG659" s="69"/>
      <c r="AH659"/>
    </row>
    <row r="660" spans="1:34" x14ac:dyDescent="0.2">
      <c r="A660" s="655"/>
      <c r="B660" s="655"/>
      <c r="C660"/>
      <c r="D660" s="655"/>
      <c r="E660" s="655"/>
      <c r="F660" s="655" t="str">
        <f>LEFT(AllDaqbookOffsets[[#This Row],[traceability_no]],2)</f>
        <v>J3</v>
      </c>
      <c r="N660" s="456"/>
      <c r="O660"/>
      <c r="Z660" s="460"/>
      <c r="AA660" s="194"/>
      <c r="AB660"/>
      <c r="AG660" s="69"/>
      <c r="AH660"/>
    </row>
    <row r="661" spans="1:34" x14ac:dyDescent="0.2">
      <c r="A661" s="655"/>
      <c r="B661" s="655"/>
      <c r="C661"/>
      <c r="D661" s="655"/>
      <c r="E661" s="655"/>
      <c r="F661" s="655" t="str">
        <f>LEFT(AllDaqbookOffsets[[#This Row],[traceability_no]],2)</f>
        <v>J3</v>
      </c>
      <c r="N661" s="456"/>
      <c r="O661"/>
      <c r="Z661" s="460"/>
      <c r="AA661" s="194"/>
      <c r="AB661"/>
      <c r="AG661" s="69"/>
      <c r="AH661"/>
    </row>
    <row r="662" spans="1:34" x14ac:dyDescent="0.2">
      <c r="A662" s="655"/>
      <c r="B662" s="655"/>
      <c r="C662"/>
      <c r="D662" s="655"/>
      <c r="E662" s="655"/>
      <c r="F662" s="655" t="str">
        <f>LEFT(AllDaqbookOffsets[[#This Row],[traceability_no]],2)</f>
        <v>J3</v>
      </c>
      <c r="N662" s="456"/>
      <c r="O662"/>
      <c r="Z662" s="460"/>
      <c r="AA662" s="194"/>
      <c r="AB662"/>
      <c r="AG662" s="69"/>
      <c r="AH662"/>
    </row>
    <row r="663" spans="1:34" x14ac:dyDescent="0.2">
      <c r="A663" s="655"/>
      <c r="B663" s="655"/>
      <c r="C663"/>
      <c r="D663" s="655"/>
      <c r="E663" s="655"/>
      <c r="F663" s="655" t="str">
        <f>LEFT(AllDaqbookOffsets[[#This Row],[traceability_no]],2)</f>
        <v>J3</v>
      </c>
      <c r="N663" s="456"/>
      <c r="O663"/>
      <c r="Z663" s="460"/>
      <c r="AA663" s="194"/>
      <c r="AB663"/>
      <c r="AG663" s="69"/>
      <c r="AH663"/>
    </row>
    <row r="664" spans="1:34" x14ac:dyDescent="0.2">
      <c r="A664" s="655"/>
      <c r="B664" s="655"/>
      <c r="C664"/>
      <c r="D664" s="655"/>
      <c r="E664" s="655"/>
      <c r="F664" s="655" t="str">
        <f>LEFT(AllDaqbookOffsets[[#This Row],[traceability_no]],2)</f>
        <v>J3</v>
      </c>
      <c r="N664" s="456"/>
      <c r="O664"/>
      <c r="Z664" s="460"/>
      <c r="AA664" s="194"/>
      <c r="AB664"/>
      <c r="AG664" s="69"/>
      <c r="AH664"/>
    </row>
    <row r="665" spans="1:34" x14ac:dyDescent="0.2">
      <c r="A665" s="655"/>
      <c r="B665" s="655"/>
      <c r="C665"/>
      <c r="D665" s="655"/>
      <c r="E665" s="655"/>
      <c r="F665" s="655" t="str">
        <f>LEFT(AllDaqbookOffsets[[#This Row],[traceability_no]],2)</f>
        <v>J3</v>
      </c>
      <c r="N665" s="456"/>
      <c r="O665"/>
      <c r="Z665" s="460"/>
      <c r="AA665" s="194"/>
      <c r="AB665"/>
      <c r="AG665" s="69"/>
      <c r="AH665"/>
    </row>
    <row r="666" spans="1:34" x14ac:dyDescent="0.2">
      <c r="A666" s="655"/>
      <c r="B666" s="655"/>
      <c r="C666"/>
      <c r="D666" s="655"/>
      <c r="E666" s="655"/>
      <c r="F666" s="655" t="str">
        <f>LEFT(AllDaqbookOffsets[[#This Row],[traceability_no]],2)</f>
        <v>J3</v>
      </c>
      <c r="N666" s="456"/>
      <c r="O666"/>
      <c r="Z666" s="460"/>
      <c r="AA666" s="194"/>
      <c r="AB666"/>
      <c r="AG666" s="69"/>
      <c r="AH666"/>
    </row>
    <row r="667" spans="1:34" x14ac:dyDescent="0.2">
      <c r="A667" s="655"/>
      <c r="B667" s="655"/>
      <c r="C667"/>
      <c r="D667" s="655"/>
      <c r="E667" s="655"/>
      <c r="F667" s="655" t="str">
        <f>LEFT(AllDaqbookOffsets[[#This Row],[traceability_no]],2)</f>
        <v>J3</v>
      </c>
      <c r="N667" s="456"/>
      <c r="O667"/>
      <c r="Z667" s="460"/>
      <c r="AA667" s="194"/>
      <c r="AB667"/>
      <c r="AG667" s="69"/>
      <c r="AH667"/>
    </row>
    <row r="668" spans="1:34" x14ac:dyDescent="0.2">
      <c r="A668" s="655"/>
      <c r="B668" s="655"/>
      <c r="C668"/>
      <c r="D668" s="655"/>
      <c r="E668" s="655"/>
      <c r="F668" s="655" t="str">
        <f>LEFT(AllDaqbookOffsets[[#This Row],[traceability_no]],2)</f>
        <v>J3</v>
      </c>
      <c r="N668" s="456"/>
      <c r="O668"/>
      <c r="Z668" s="460"/>
      <c r="AA668" s="194"/>
      <c r="AB668"/>
      <c r="AG668" s="69"/>
      <c r="AH668"/>
    </row>
    <row r="669" spans="1:34" x14ac:dyDescent="0.2">
      <c r="A669" s="655"/>
      <c r="B669" s="655"/>
      <c r="C669"/>
      <c r="D669" s="655"/>
      <c r="E669" s="655"/>
      <c r="F669" s="655" t="str">
        <f>LEFT(AllDaqbookOffsets[[#This Row],[traceability_no]],2)</f>
        <v>J3</v>
      </c>
      <c r="N669" s="456"/>
      <c r="O669"/>
      <c r="Z669" s="460"/>
      <c r="AA669" s="194"/>
      <c r="AB669"/>
      <c r="AG669" s="69"/>
      <c r="AH669"/>
    </row>
    <row r="670" spans="1:34" x14ac:dyDescent="0.2">
      <c r="A670" s="655"/>
      <c r="B670" s="655"/>
      <c r="C670"/>
      <c r="D670" s="655"/>
      <c r="E670" s="655"/>
      <c r="F670" s="655" t="str">
        <f>LEFT(AllDaqbookOffsets[[#This Row],[traceability_no]],2)</f>
        <v>J3</v>
      </c>
      <c r="N670" s="456"/>
      <c r="O670"/>
      <c r="Z670" s="460"/>
      <c r="AA670" s="194"/>
      <c r="AB670"/>
      <c r="AG670" s="69"/>
      <c r="AH670"/>
    </row>
    <row r="671" spans="1:34" x14ac:dyDescent="0.2">
      <c r="A671" s="655"/>
      <c r="B671" s="655"/>
      <c r="C671"/>
      <c r="D671" s="655"/>
      <c r="E671" s="655"/>
      <c r="F671" s="655" t="str">
        <f>LEFT(AllDaqbookOffsets[[#This Row],[traceability_no]],2)</f>
        <v>J3</v>
      </c>
      <c r="N671" s="456"/>
      <c r="O671"/>
      <c r="Z671" s="460"/>
      <c r="AA671" s="194"/>
      <c r="AB671"/>
      <c r="AG671" s="69"/>
      <c r="AH671"/>
    </row>
    <row r="672" spans="1:34" x14ac:dyDescent="0.2">
      <c r="A672" s="655"/>
      <c r="B672" s="655"/>
      <c r="C672"/>
      <c r="D672" s="655"/>
      <c r="E672" s="655"/>
      <c r="F672" s="655" t="str">
        <f>LEFT(AllDaqbookOffsets[[#This Row],[traceability_no]],2)</f>
        <v>J3</v>
      </c>
      <c r="N672" s="456"/>
      <c r="O672"/>
      <c r="Z672" s="460"/>
      <c r="AA672" s="194"/>
      <c r="AB672"/>
      <c r="AG672" s="69"/>
      <c r="AH672"/>
    </row>
    <row r="673" spans="1:34" x14ac:dyDescent="0.2">
      <c r="A673" s="655"/>
      <c r="B673" s="655"/>
      <c r="C673"/>
      <c r="D673" s="655"/>
      <c r="E673" s="655"/>
      <c r="F673" s="655" t="str">
        <f>LEFT(AllDaqbookOffsets[[#This Row],[traceability_no]],2)</f>
        <v>J3</v>
      </c>
      <c r="N673" s="456"/>
      <c r="O673"/>
      <c r="Z673" s="460"/>
      <c r="AA673" s="194"/>
      <c r="AB673"/>
      <c r="AG673" s="69"/>
      <c r="AH673"/>
    </row>
    <row r="674" spans="1:34" x14ac:dyDescent="0.2">
      <c r="A674" s="655"/>
      <c r="B674" s="655"/>
      <c r="C674"/>
      <c r="D674" s="655"/>
      <c r="E674" s="655"/>
      <c r="F674" s="655" t="str">
        <f>LEFT(AllDaqbookOffsets[[#This Row],[traceability_no]],2)</f>
        <v>J3</v>
      </c>
      <c r="N674" s="456"/>
      <c r="O674"/>
      <c r="Z674" s="460"/>
      <c r="AA674" s="194"/>
      <c r="AB674"/>
      <c r="AG674" s="69"/>
      <c r="AH674"/>
    </row>
    <row r="675" spans="1:34" x14ac:dyDescent="0.2">
      <c r="A675" s="655"/>
      <c r="B675" s="655"/>
      <c r="C675"/>
      <c r="D675" s="655"/>
      <c r="E675" s="655"/>
      <c r="F675" s="655" t="str">
        <f>LEFT(AllDaqbookOffsets[[#This Row],[traceability_no]],2)</f>
        <v>J3</v>
      </c>
      <c r="N675" s="456"/>
      <c r="O675"/>
      <c r="Z675" s="460"/>
      <c r="AA675" s="194"/>
      <c r="AB675"/>
      <c r="AG675" s="69"/>
      <c r="AH675"/>
    </row>
    <row r="676" spans="1:34" x14ac:dyDescent="0.2">
      <c r="A676" s="655"/>
      <c r="B676" s="655"/>
      <c r="C676"/>
      <c r="D676" s="655"/>
      <c r="E676" s="655"/>
      <c r="F676" s="655" t="str">
        <f>LEFT(AllDaqbookOffsets[[#This Row],[traceability_no]],2)</f>
        <v>J3</v>
      </c>
      <c r="N676" s="456"/>
      <c r="O676"/>
      <c r="Z676" s="460"/>
      <c r="AA676" s="194"/>
      <c r="AB676"/>
      <c r="AG676" s="69"/>
      <c r="AH676"/>
    </row>
    <row r="677" spans="1:34" x14ac:dyDescent="0.2">
      <c r="A677" s="655"/>
      <c r="B677" s="655"/>
      <c r="C677"/>
      <c r="D677" s="655"/>
      <c r="E677" s="655"/>
      <c r="F677" s="655" t="str">
        <f>LEFT(AllDaqbookOffsets[[#This Row],[traceability_no]],2)</f>
        <v>J3</v>
      </c>
      <c r="N677" s="456"/>
      <c r="O677"/>
      <c r="Z677" s="460"/>
      <c r="AA677" s="194"/>
      <c r="AB677"/>
      <c r="AG677" s="69"/>
      <c r="AH677"/>
    </row>
    <row r="678" spans="1:34" x14ac:dyDescent="0.2">
      <c r="A678" s="655"/>
      <c r="B678" s="655"/>
      <c r="C678"/>
      <c r="D678" s="655"/>
      <c r="E678" s="655"/>
      <c r="F678" s="655" t="str">
        <f>LEFT(AllDaqbookOffsets[[#This Row],[traceability_no]],2)</f>
        <v>J3</v>
      </c>
      <c r="N678" s="456"/>
      <c r="O678"/>
      <c r="Z678" s="460"/>
      <c r="AA678" s="194"/>
      <c r="AB678"/>
      <c r="AG678" s="69"/>
      <c r="AH678"/>
    </row>
    <row r="679" spans="1:34" x14ac:dyDescent="0.2">
      <c r="A679" s="655"/>
      <c r="B679" s="655"/>
      <c r="C679"/>
      <c r="D679" s="655"/>
      <c r="E679" s="655"/>
      <c r="F679" s="655" t="str">
        <f>LEFT(AllDaqbookOffsets[[#This Row],[traceability_no]],2)</f>
        <v>J3</v>
      </c>
      <c r="N679" s="456"/>
      <c r="O679"/>
      <c r="Z679" s="460"/>
      <c r="AA679" s="194"/>
      <c r="AB679"/>
      <c r="AG679" s="69"/>
      <c r="AH679"/>
    </row>
    <row r="680" spans="1:34" x14ac:dyDescent="0.2">
      <c r="A680" s="655"/>
      <c r="B680" s="655"/>
      <c r="C680"/>
      <c r="D680" s="655"/>
      <c r="E680" s="655"/>
      <c r="F680" s="655" t="str">
        <f>LEFT(AllDaqbookOffsets[[#This Row],[traceability_no]],2)</f>
        <v>J3</v>
      </c>
      <c r="N680" s="456"/>
      <c r="O680"/>
      <c r="Z680" s="460"/>
      <c r="AA680" s="194"/>
      <c r="AB680"/>
      <c r="AG680" s="69"/>
      <c r="AH680"/>
    </row>
    <row r="681" spans="1:34" x14ac:dyDescent="0.2">
      <c r="A681" s="655"/>
      <c r="B681" s="655"/>
      <c r="C681"/>
      <c r="D681" s="655"/>
      <c r="E681" s="655"/>
      <c r="F681" s="655" t="str">
        <f>LEFT(AllDaqbookOffsets[[#This Row],[traceability_no]],2)</f>
        <v>J3</v>
      </c>
      <c r="N681" s="456"/>
      <c r="O681"/>
      <c r="Z681" s="460"/>
      <c r="AA681" s="194"/>
      <c r="AB681"/>
      <c r="AG681" s="69"/>
      <c r="AH681"/>
    </row>
    <row r="682" spans="1:34" x14ac:dyDescent="0.2">
      <c r="A682" s="655"/>
      <c r="B682" s="655"/>
      <c r="C682"/>
      <c r="D682" s="655"/>
      <c r="E682" s="655"/>
      <c r="F682" s="655" t="str">
        <f>LEFT(AllDaqbookOffsets[[#This Row],[traceability_no]],2)</f>
        <v>J3</v>
      </c>
      <c r="N682" s="456"/>
      <c r="O682"/>
      <c r="Z682" s="460"/>
      <c r="AA682" s="194"/>
      <c r="AB682"/>
      <c r="AG682" s="69"/>
      <c r="AH682"/>
    </row>
    <row r="683" spans="1:34" x14ac:dyDescent="0.2">
      <c r="A683" s="655"/>
      <c r="B683" s="655"/>
      <c r="C683"/>
      <c r="D683" s="655"/>
      <c r="E683" s="655"/>
      <c r="F683" s="655" t="str">
        <f>LEFT(AllDaqbookOffsets[[#This Row],[traceability_no]],2)</f>
        <v>J3</v>
      </c>
      <c r="N683" s="456"/>
      <c r="O683"/>
      <c r="Z683" s="460"/>
      <c r="AA683" s="194"/>
      <c r="AB683"/>
      <c r="AG683" s="69"/>
      <c r="AH683"/>
    </row>
    <row r="684" spans="1:34" x14ac:dyDescent="0.2">
      <c r="A684" s="655"/>
      <c r="B684" s="655"/>
      <c r="C684"/>
      <c r="D684" s="655"/>
      <c r="E684" s="655"/>
      <c r="F684" s="655" t="str">
        <f>LEFT(AllDaqbookOffsets[[#This Row],[traceability_no]],2)</f>
        <v>J3</v>
      </c>
      <c r="N684" s="456"/>
      <c r="O684"/>
      <c r="Z684" s="460"/>
      <c r="AA684" s="194"/>
      <c r="AB684"/>
      <c r="AG684" s="69"/>
      <c r="AH684"/>
    </row>
    <row r="685" spans="1:34" x14ac:dyDescent="0.2">
      <c r="A685" s="655"/>
      <c r="B685" s="655"/>
      <c r="C685"/>
      <c r="D685" s="655"/>
      <c r="E685" s="655"/>
      <c r="F685" s="655" t="str">
        <f>LEFT(AllDaqbookOffsets[[#This Row],[traceability_no]],2)</f>
        <v>J3</v>
      </c>
      <c r="N685" s="456"/>
      <c r="O685"/>
      <c r="Z685" s="460"/>
      <c r="AA685" s="194"/>
      <c r="AB685"/>
      <c r="AG685" s="69"/>
      <c r="AH685"/>
    </row>
    <row r="686" spans="1:34" x14ac:dyDescent="0.2">
      <c r="A686" s="655"/>
      <c r="B686" s="655"/>
      <c r="C686"/>
      <c r="D686" s="655"/>
      <c r="E686" s="655"/>
      <c r="F686" s="655" t="str">
        <f>LEFT(AllDaqbookOffsets[[#This Row],[traceability_no]],2)</f>
        <v>J3</v>
      </c>
      <c r="N686" s="456"/>
      <c r="O686"/>
      <c r="Z686" s="460"/>
      <c r="AA686" s="194"/>
      <c r="AB686"/>
      <c r="AG686" s="69"/>
      <c r="AH686"/>
    </row>
    <row r="687" spans="1:34" x14ac:dyDescent="0.2">
      <c r="A687" s="655"/>
      <c r="B687" s="655"/>
      <c r="C687"/>
      <c r="D687" s="655"/>
      <c r="E687" s="655"/>
      <c r="F687" s="655" t="str">
        <f>LEFT(AllDaqbookOffsets[[#This Row],[traceability_no]],2)</f>
        <v>J3</v>
      </c>
      <c r="N687" s="456"/>
      <c r="O687"/>
      <c r="Z687" s="460"/>
      <c r="AA687" s="194"/>
      <c r="AB687"/>
      <c r="AG687" s="69"/>
      <c r="AH687"/>
    </row>
    <row r="688" spans="1:34" x14ac:dyDescent="0.2">
      <c r="A688" s="655"/>
      <c r="B688" s="655"/>
      <c r="C688"/>
      <c r="D688" s="655"/>
      <c r="E688" s="655"/>
      <c r="F688" s="655" t="str">
        <f>LEFT(AllDaqbookOffsets[[#This Row],[traceability_no]],2)</f>
        <v>J3</v>
      </c>
      <c r="N688" s="456"/>
      <c r="O688"/>
      <c r="Z688" s="460"/>
      <c r="AA688" s="194"/>
      <c r="AB688"/>
      <c r="AG688" s="69"/>
      <c r="AH688"/>
    </row>
    <row r="689" spans="1:34" x14ac:dyDescent="0.2">
      <c r="A689" s="655"/>
      <c r="B689" s="655"/>
      <c r="C689"/>
      <c r="D689" s="655"/>
      <c r="E689" s="655"/>
      <c r="F689" s="655" t="str">
        <f>LEFT(AllDaqbookOffsets[[#This Row],[traceability_no]],2)</f>
        <v>J3</v>
      </c>
      <c r="N689" s="456"/>
      <c r="O689"/>
      <c r="Z689" s="460"/>
      <c r="AA689" s="194"/>
      <c r="AB689"/>
      <c r="AG689" s="69"/>
      <c r="AH689"/>
    </row>
    <row r="690" spans="1:34" x14ac:dyDescent="0.2">
      <c r="A690" s="655"/>
      <c r="B690" s="655"/>
      <c r="C690"/>
      <c r="D690" s="655"/>
      <c r="E690" s="655"/>
      <c r="F690" s="655" t="str">
        <f>LEFT(AllDaqbookOffsets[[#This Row],[traceability_no]],2)</f>
        <v>J3</v>
      </c>
      <c r="N690" s="456"/>
      <c r="O690"/>
      <c r="Z690" s="460"/>
      <c r="AA690" s="194"/>
      <c r="AB690"/>
      <c r="AG690" s="69"/>
      <c r="AH690"/>
    </row>
    <row r="691" spans="1:34" x14ac:dyDescent="0.2">
      <c r="A691" s="655"/>
      <c r="B691" s="655"/>
      <c r="C691"/>
      <c r="D691" s="655"/>
      <c r="E691" s="655"/>
      <c r="F691" s="655" t="str">
        <f>LEFT(AllDaqbookOffsets[[#This Row],[traceability_no]],2)</f>
        <v>J3</v>
      </c>
      <c r="N691" s="456"/>
      <c r="O691"/>
      <c r="Z691" s="460"/>
      <c r="AA691" s="194"/>
      <c r="AB691"/>
      <c r="AG691" s="69"/>
      <c r="AH691"/>
    </row>
    <row r="692" spans="1:34" x14ac:dyDescent="0.2">
      <c r="A692" s="655"/>
      <c r="B692" s="655"/>
      <c r="C692"/>
      <c r="D692" s="655"/>
      <c r="E692" s="655"/>
      <c r="F692" s="655" t="str">
        <f>LEFT(AllDaqbookOffsets[[#This Row],[traceability_no]],2)</f>
        <v>J3</v>
      </c>
      <c r="N692" s="456"/>
      <c r="O692"/>
      <c r="Z692" s="460"/>
      <c r="AA692" s="194"/>
      <c r="AB692"/>
      <c r="AG692" s="69"/>
      <c r="AH692"/>
    </row>
    <row r="693" spans="1:34" x14ac:dyDescent="0.2">
      <c r="A693" s="655"/>
      <c r="B693" s="655"/>
      <c r="C693"/>
      <c r="D693" s="655"/>
      <c r="E693" s="655"/>
      <c r="F693" s="655" t="str">
        <f>LEFT(AllDaqbookOffsets[[#This Row],[traceability_no]],2)</f>
        <v>J3</v>
      </c>
      <c r="N693" s="456"/>
      <c r="O693"/>
      <c r="Z693" s="460"/>
      <c r="AA693" s="194"/>
      <c r="AB693"/>
      <c r="AG693" s="69"/>
      <c r="AH693"/>
    </row>
    <row r="694" spans="1:34" x14ac:dyDescent="0.2">
      <c r="A694" s="655"/>
      <c r="B694" s="655"/>
      <c r="C694"/>
      <c r="D694" s="655"/>
      <c r="E694" s="655"/>
      <c r="F694" s="655" t="str">
        <f>LEFT(AllDaqbookOffsets[[#This Row],[traceability_no]],2)</f>
        <v>J3</v>
      </c>
      <c r="N694" s="456"/>
      <c r="O694"/>
      <c r="Z694" s="460"/>
      <c r="AA694" s="194"/>
      <c r="AB694"/>
      <c r="AG694" s="69"/>
      <c r="AH694"/>
    </row>
    <row r="695" spans="1:34" x14ac:dyDescent="0.2">
      <c r="A695" s="655"/>
      <c r="B695" s="655"/>
      <c r="C695"/>
      <c r="D695" s="655"/>
      <c r="E695" s="655"/>
      <c r="F695" s="655" t="str">
        <f>LEFT(AllDaqbookOffsets[[#This Row],[traceability_no]],2)</f>
        <v>J3</v>
      </c>
      <c r="N695" s="456"/>
      <c r="O695"/>
      <c r="Z695" s="460"/>
      <c r="AA695" s="194"/>
      <c r="AB695"/>
      <c r="AG695" s="69"/>
      <c r="AH695"/>
    </row>
    <row r="696" spans="1:34" x14ac:dyDescent="0.2">
      <c r="A696" s="655"/>
      <c r="B696" s="655"/>
      <c r="C696"/>
      <c r="D696" s="655"/>
      <c r="E696" s="655"/>
      <c r="F696" s="655" t="str">
        <f>LEFT(AllDaqbookOffsets[[#This Row],[traceability_no]],2)</f>
        <v>J3</v>
      </c>
      <c r="N696" s="456"/>
      <c r="O696"/>
      <c r="Z696" s="460"/>
      <c r="AA696" s="194"/>
      <c r="AB696"/>
      <c r="AG696" s="69"/>
      <c r="AH696"/>
    </row>
    <row r="697" spans="1:34" x14ac:dyDescent="0.2">
      <c r="A697" s="655"/>
      <c r="B697" s="655"/>
      <c r="C697"/>
      <c r="D697" s="655"/>
      <c r="E697" s="655"/>
      <c r="F697" s="655" t="str">
        <f>LEFT(AllDaqbookOffsets[[#This Row],[traceability_no]],2)</f>
        <v>J3</v>
      </c>
      <c r="N697" s="456"/>
      <c r="O697"/>
      <c r="Z697" s="460"/>
      <c r="AA697" s="194"/>
      <c r="AB697"/>
      <c r="AG697" s="69"/>
      <c r="AH697"/>
    </row>
    <row r="698" spans="1:34" x14ac:dyDescent="0.2">
      <c r="A698" s="655"/>
      <c r="B698" s="655"/>
      <c r="C698"/>
      <c r="D698" s="655"/>
      <c r="E698" s="655"/>
      <c r="F698" s="655" t="str">
        <f>LEFT(AllDaqbookOffsets[[#This Row],[traceability_no]],2)</f>
        <v>J3</v>
      </c>
      <c r="N698" s="456"/>
      <c r="O698"/>
      <c r="Z698" s="460"/>
      <c r="AA698" s="194"/>
      <c r="AB698"/>
      <c r="AG698" s="69"/>
      <c r="AH698"/>
    </row>
    <row r="699" spans="1:34" x14ac:dyDescent="0.2">
      <c r="A699" s="655"/>
      <c r="B699" s="655"/>
      <c r="C699"/>
      <c r="D699" s="655"/>
      <c r="E699" s="655"/>
      <c r="F699" s="655" t="str">
        <f>LEFT(AllDaqbookOffsets[[#This Row],[traceability_no]],2)</f>
        <v>J3</v>
      </c>
      <c r="N699" s="456"/>
      <c r="O699"/>
      <c r="Z699" s="460"/>
      <c r="AA699" s="194"/>
      <c r="AB699"/>
      <c r="AG699" s="69"/>
      <c r="AH699"/>
    </row>
    <row r="700" spans="1:34" x14ac:dyDescent="0.2">
      <c r="A700" s="655"/>
      <c r="B700" s="655"/>
      <c r="C700"/>
      <c r="D700" s="655"/>
      <c r="E700" s="655"/>
      <c r="F700" s="655" t="str">
        <f>LEFT(AllDaqbookOffsets[[#This Row],[traceability_no]],2)</f>
        <v>J3</v>
      </c>
      <c r="N700" s="456"/>
      <c r="O700"/>
      <c r="Z700" s="460"/>
      <c r="AA700" s="194"/>
      <c r="AB700"/>
      <c r="AG700" s="69"/>
      <c r="AH700"/>
    </row>
    <row r="701" spans="1:34" x14ac:dyDescent="0.2">
      <c r="A701" s="655"/>
      <c r="B701" s="655"/>
      <c r="C701"/>
      <c r="D701" s="655"/>
      <c r="E701" s="655"/>
      <c r="F701" s="655" t="str">
        <f>LEFT(AllDaqbookOffsets[[#This Row],[traceability_no]],2)</f>
        <v>J3</v>
      </c>
      <c r="N701" s="456"/>
      <c r="O701"/>
      <c r="Z701" s="460"/>
      <c r="AA701" s="194"/>
      <c r="AB701"/>
      <c r="AG701" s="69"/>
      <c r="AH701"/>
    </row>
    <row r="702" spans="1:34" x14ac:dyDescent="0.2">
      <c r="A702" s="655"/>
      <c r="B702" s="655"/>
      <c r="C702"/>
      <c r="D702" s="655"/>
      <c r="E702" s="655"/>
      <c r="F702" s="655" t="str">
        <f>LEFT(AllDaqbookOffsets[[#This Row],[traceability_no]],2)</f>
        <v>J3</v>
      </c>
      <c r="N702" s="456"/>
      <c r="O702"/>
      <c r="Z702" s="460"/>
      <c r="AA702" s="194"/>
      <c r="AB702"/>
      <c r="AG702" s="69"/>
      <c r="AH702"/>
    </row>
    <row r="703" spans="1:34" x14ac:dyDescent="0.2">
      <c r="A703" s="655"/>
      <c r="B703" s="655"/>
      <c r="C703"/>
      <c r="D703" s="655"/>
      <c r="E703" s="655"/>
      <c r="F703" s="655" t="str">
        <f>LEFT(AllDaqbookOffsets[[#This Row],[traceability_no]],2)</f>
        <v>J3</v>
      </c>
      <c r="N703" s="456"/>
      <c r="O703"/>
      <c r="Z703" s="460"/>
      <c r="AA703" s="194"/>
      <c r="AB703"/>
      <c r="AG703" s="69"/>
      <c r="AH703"/>
    </row>
    <row r="704" spans="1:34" x14ac:dyDescent="0.2">
      <c r="A704" s="655"/>
      <c r="B704" s="655"/>
      <c r="C704"/>
      <c r="D704" s="655"/>
      <c r="E704" s="655"/>
      <c r="F704" s="655" t="str">
        <f>LEFT(AllDaqbookOffsets[[#This Row],[traceability_no]],2)</f>
        <v>J3</v>
      </c>
      <c r="N704" s="456"/>
      <c r="O704"/>
      <c r="Z704" s="460"/>
      <c r="AA704" s="194"/>
      <c r="AB704"/>
      <c r="AG704" s="69"/>
      <c r="AH704"/>
    </row>
    <row r="705" spans="1:34" x14ac:dyDescent="0.2">
      <c r="A705" s="655"/>
      <c r="B705" s="655"/>
      <c r="C705"/>
      <c r="D705" s="655"/>
      <c r="E705" s="655"/>
      <c r="F705" s="655" t="str">
        <f>LEFT(AllDaqbookOffsets[[#This Row],[traceability_no]],2)</f>
        <v>J3</v>
      </c>
      <c r="N705" s="456"/>
      <c r="O705"/>
      <c r="Z705" s="460"/>
      <c r="AA705" s="194"/>
      <c r="AB705"/>
      <c r="AG705" s="69"/>
      <c r="AH705"/>
    </row>
    <row r="706" spans="1:34" x14ac:dyDescent="0.2">
      <c r="A706" s="655"/>
      <c r="B706" s="655"/>
      <c r="C706"/>
      <c r="D706" s="655"/>
      <c r="E706" s="655"/>
      <c r="F706" s="655" t="str">
        <f>LEFT(AllDaqbookOffsets[[#This Row],[traceability_no]],2)</f>
        <v>J3</v>
      </c>
      <c r="N706" s="456"/>
      <c r="O706"/>
      <c r="Z706" s="460"/>
      <c r="AA706" s="194"/>
      <c r="AB706"/>
      <c r="AG706" s="69"/>
      <c r="AH706"/>
    </row>
    <row r="707" spans="1:34" x14ac:dyDescent="0.2">
      <c r="A707" s="655"/>
      <c r="B707" s="655"/>
      <c r="C707"/>
      <c r="D707" s="655"/>
      <c r="E707" s="655"/>
      <c r="F707" s="655" t="str">
        <f>LEFT(AllDaqbookOffsets[[#This Row],[traceability_no]],2)</f>
        <v>J3</v>
      </c>
      <c r="N707" s="456"/>
      <c r="O707"/>
      <c r="Z707" s="460"/>
      <c r="AA707" s="194"/>
      <c r="AB707"/>
      <c r="AG707" s="69"/>
      <c r="AH707"/>
    </row>
    <row r="708" spans="1:34" x14ac:dyDescent="0.2">
      <c r="A708" s="655"/>
      <c r="B708" s="655"/>
      <c r="C708"/>
      <c r="D708" s="655"/>
      <c r="E708" s="655"/>
      <c r="F708" s="655" t="str">
        <f>LEFT(AllDaqbookOffsets[[#This Row],[traceability_no]],2)</f>
        <v>J3</v>
      </c>
      <c r="N708" s="456"/>
      <c r="O708"/>
      <c r="Z708" s="460"/>
      <c r="AA708" s="194"/>
      <c r="AB708"/>
      <c r="AG708" s="69"/>
      <c r="AH708"/>
    </row>
    <row r="709" spans="1:34" x14ac:dyDescent="0.2">
      <c r="A709" s="655"/>
      <c r="B709" s="655"/>
      <c r="C709"/>
      <c r="D709" s="655"/>
      <c r="E709" s="655"/>
      <c r="F709" s="655" t="str">
        <f>LEFT(AllDaqbookOffsets[[#This Row],[traceability_no]],2)</f>
        <v>J3</v>
      </c>
      <c r="N709" s="456"/>
      <c r="O709"/>
      <c r="Z709" s="460"/>
      <c r="AA709" s="194"/>
      <c r="AB709"/>
      <c r="AG709" s="69"/>
      <c r="AH709"/>
    </row>
    <row r="710" spans="1:34" x14ac:dyDescent="0.2">
      <c r="A710" s="655"/>
      <c r="B710" s="655"/>
      <c r="C710"/>
      <c r="D710" s="655"/>
      <c r="E710" s="655"/>
      <c r="F710" s="655" t="str">
        <f>LEFT(AllDaqbookOffsets[[#This Row],[traceability_no]],2)</f>
        <v>J3</v>
      </c>
      <c r="N710" s="456"/>
      <c r="O710"/>
      <c r="Z710" s="460"/>
      <c r="AA710" s="194"/>
      <c r="AB710"/>
      <c r="AG710" s="69"/>
      <c r="AH710"/>
    </row>
    <row r="711" spans="1:34" x14ac:dyDescent="0.2">
      <c r="A711" s="655"/>
      <c r="B711" s="655"/>
      <c r="C711"/>
      <c r="D711" s="655"/>
      <c r="E711" s="655"/>
      <c r="F711" s="655" t="str">
        <f>LEFT(AllDaqbookOffsets[[#This Row],[traceability_no]],2)</f>
        <v>J3</v>
      </c>
      <c r="N711" s="456"/>
      <c r="O711"/>
      <c r="Z711" s="460"/>
      <c r="AA711" s="194"/>
      <c r="AB711"/>
      <c r="AG711" s="69"/>
      <c r="AH711"/>
    </row>
    <row r="712" spans="1:34" x14ac:dyDescent="0.2">
      <c r="A712" s="655"/>
      <c r="B712" s="655"/>
      <c r="C712"/>
      <c r="D712" s="655"/>
      <c r="E712" s="655"/>
      <c r="F712" s="655" t="str">
        <f>LEFT(AllDaqbookOffsets[[#This Row],[traceability_no]],2)</f>
        <v>J3</v>
      </c>
      <c r="N712" s="456"/>
      <c r="O712"/>
      <c r="Z712" s="460"/>
      <c r="AA712" s="194"/>
      <c r="AB712"/>
      <c r="AG712" s="69"/>
      <c r="AH712"/>
    </row>
    <row r="713" spans="1:34" x14ac:dyDescent="0.2">
      <c r="A713" s="655"/>
      <c r="B713" s="655"/>
      <c r="C713"/>
      <c r="D713" s="655"/>
      <c r="E713" s="655"/>
      <c r="F713" s="655" t="str">
        <f>LEFT(AllDaqbookOffsets[[#This Row],[traceability_no]],2)</f>
        <v>J3</v>
      </c>
      <c r="N713" s="456"/>
      <c r="O713"/>
      <c r="Z713" s="460"/>
      <c r="AA713" s="194"/>
      <c r="AB713"/>
      <c r="AG713" s="69"/>
      <c r="AH713"/>
    </row>
    <row r="714" spans="1:34" x14ac:dyDescent="0.2">
      <c r="A714" s="655"/>
      <c r="B714" s="655"/>
      <c r="C714"/>
      <c r="D714" s="655"/>
      <c r="E714" s="655"/>
      <c r="F714" s="655" t="str">
        <f>LEFT(AllDaqbookOffsets[[#This Row],[traceability_no]],2)</f>
        <v>J3</v>
      </c>
      <c r="N714" s="456"/>
      <c r="O714"/>
      <c r="Z714" s="460"/>
      <c r="AA714" s="194"/>
      <c r="AB714"/>
      <c r="AG714" s="69"/>
      <c r="AH714"/>
    </row>
    <row r="715" spans="1:34" x14ac:dyDescent="0.2">
      <c r="A715" s="655"/>
      <c r="B715" s="655"/>
      <c r="C715"/>
      <c r="D715" s="655"/>
      <c r="E715" s="655"/>
      <c r="F715" s="655" t="str">
        <f>LEFT(AllDaqbookOffsets[[#This Row],[traceability_no]],2)</f>
        <v>J3</v>
      </c>
      <c r="N715" s="456"/>
      <c r="O715"/>
      <c r="Z715" s="460"/>
      <c r="AA715" s="194"/>
      <c r="AB715"/>
      <c r="AG715" s="69"/>
      <c r="AH715"/>
    </row>
    <row r="716" spans="1:34" x14ac:dyDescent="0.2">
      <c r="A716" s="655"/>
      <c r="B716" s="655"/>
      <c r="C716"/>
      <c r="D716" s="655"/>
      <c r="E716" s="655"/>
      <c r="F716" s="655" t="str">
        <f>LEFT(AllDaqbookOffsets[[#This Row],[traceability_no]],2)</f>
        <v>J3</v>
      </c>
      <c r="N716" s="456"/>
      <c r="O716"/>
      <c r="Z716" s="460"/>
      <c r="AA716" s="194"/>
      <c r="AB716"/>
      <c r="AG716" s="69"/>
      <c r="AH716"/>
    </row>
    <row r="717" spans="1:34" x14ac:dyDescent="0.2">
      <c r="A717" s="655"/>
      <c r="B717" s="655"/>
      <c r="C717"/>
      <c r="D717" s="655"/>
      <c r="E717" s="655"/>
      <c r="F717" s="655" t="str">
        <f>LEFT(AllDaqbookOffsets[[#This Row],[traceability_no]],2)</f>
        <v>J3</v>
      </c>
      <c r="N717" s="456"/>
      <c r="O717"/>
      <c r="Z717" s="460"/>
      <c r="AA717" s="194"/>
      <c r="AB717"/>
      <c r="AG717" s="69"/>
      <c r="AH717"/>
    </row>
    <row r="718" spans="1:34" x14ac:dyDescent="0.2">
      <c r="A718" s="655"/>
      <c r="B718" s="655"/>
      <c r="C718"/>
      <c r="D718" s="655"/>
      <c r="E718" s="655"/>
      <c r="F718" s="655" t="str">
        <f>LEFT(AllDaqbookOffsets[[#This Row],[traceability_no]],2)</f>
        <v>J3</v>
      </c>
      <c r="N718" s="456"/>
      <c r="O718"/>
      <c r="Z718" s="460"/>
      <c r="AA718" s="194"/>
      <c r="AB718"/>
      <c r="AG718" s="69"/>
      <c r="AH718"/>
    </row>
    <row r="719" spans="1:34" x14ac:dyDescent="0.2">
      <c r="A719" s="655"/>
      <c r="B719" s="655"/>
      <c r="C719"/>
      <c r="D719" s="655"/>
      <c r="E719" s="655"/>
      <c r="F719" s="655" t="str">
        <f>LEFT(AllDaqbookOffsets[[#This Row],[traceability_no]],2)</f>
        <v>J3</v>
      </c>
      <c r="N719" s="456"/>
      <c r="O719"/>
      <c r="Z719" s="460"/>
      <c r="AA719" s="194"/>
      <c r="AB719"/>
      <c r="AG719" s="69"/>
      <c r="AH719"/>
    </row>
    <row r="720" spans="1:34" x14ac:dyDescent="0.2">
      <c r="A720" s="655"/>
      <c r="B720" s="655"/>
      <c r="C720"/>
      <c r="D720" s="655"/>
      <c r="E720" s="655"/>
      <c r="F720" s="655" t="str">
        <f>LEFT(AllDaqbookOffsets[[#This Row],[traceability_no]],2)</f>
        <v>J3</v>
      </c>
      <c r="N720" s="456"/>
      <c r="O720"/>
      <c r="Z720" s="460"/>
      <c r="AA720" s="194"/>
      <c r="AB720"/>
      <c r="AG720" s="69"/>
      <c r="AH720"/>
    </row>
    <row r="721" spans="1:34" x14ac:dyDescent="0.2">
      <c r="A721" s="655"/>
      <c r="B721" s="655"/>
      <c r="C721"/>
      <c r="D721" s="655"/>
      <c r="E721" s="655"/>
      <c r="F721" s="655" t="str">
        <f>LEFT(AllDaqbookOffsets[[#This Row],[traceability_no]],2)</f>
        <v>J3</v>
      </c>
      <c r="N721" s="456"/>
      <c r="O721"/>
      <c r="Z721" s="460"/>
      <c r="AA721" s="194"/>
      <c r="AB721"/>
      <c r="AG721" s="69"/>
      <c r="AH721"/>
    </row>
    <row r="722" spans="1:34" x14ac:dyDescent="0.2">
      <c r="A722" s="655"/>
      <c r="B722" s="655"/>
      <c r="C722"/>
      <c r="D722" s="655"/>
      <c r="E722" s="655"/>
      <c r="F722" s="655" t="str">
        <f>LEFT(AllDaqbookOffsets[[#This Row],[traceability_no]],2)</f>
        <v>K4</v>
      </c>
      <c r="N722" s="456"/>
      <c r="O722"/>
      <c r="Z722" s="460"/>
      <c r="AA722" s="194"/>
      <c r="AB722"/>
      <c r="AG722" s="69"/>
      <c r="AH722"/>
    </row>
    <row r="723" spans="1:34" x14ac:dyDescent="0.2">
      <c r="A723" s="655"/>
      <c r="B723" s="655"/>
      <c r="C723"/>
      <c r="D723" s="655"/>
      <c r="E723" s="655"/>
      <c r="F723" s="655" t="str">
        <f>LEFT(AllDaqbookOffsets[[#This Row],[traceability_no]],2)</f>
        <v>K4</v>
      </c>
      <c r="N723" s="456"/>
      <c r="O723"/>
      <c r="Z723" s="460"/>
      <c r="AA723" s="194"/>
      <c r="AB723"/>
      <c r="AG723" s="69"/>
      <c r="AH723"/>
    </row>
    <row r="724" spans="1:34" x14ac:dyDescent="0.2">
      <c r="A724" s="655"/>
      <c r="B724" s="655"/>
      <c r="C724"/>
      <c r="D724" s="655"/>
      <c r="E724" s="655"/>
      <c r="F724" s="655" t="str">
        <f>LEFT(AllDaqbookOffsets[[#This Row],[traceability_no]],2)</f>
        <v>K4</v>
      </c>
      <c r="N724" s="456"/>
      <c r="O724"/>
      <c r="Z724" s="460"/>
      <c r="AA724" s="194"/>
      <c r="AB724"/>
      <c r="AG724" s="69"/>
      <c r="AH724"/>
    </row>
    <row r="725" spans="1:34" x14ac:dyDescent="0.2">
      <c r="A725" s="655"/>
      <c r="B725" s="655"/>
      <c r="C725"/>
      <c r="D725" s="655"/>
      <c r="E725" s="655"/>
      <c r="F725" s="655" t="str">
        <f>LEFT(AllDaqbookOffsets[[#This Row],[traceability_no]],2)</f>
        <v>K4</v>
      </c>
      <c r="N725" s="456"/>
      <c r="O725"/>
      <c r="Z725" s="460"/>
      <c r="AA725" s="194"/>
      <c r="AB725"/>
      <c r="AG725" s="69"/>
      <c r="AH725"/>
    </row>
    <row r="726" spans="1:34" x14ac:dyDescent="0.2">
      <c r="A726" s="655"/>
      <c r="B726" s="655"/>
      <c r="C726"/>
      <c r="D726" s="655"/>
      <c r="E726" s="655"/>
      <c r="F726" s="655" t="str">
        <f>LEFT(AllDaqbookOffsets[[#This Row],[traceability_no]],2)</f>
        <v>K4</v>
      </c>
      <c r="N726" s="456"/>
      <c r="O726"/>
      <c r="Z726" s="460"/>
      <c r="AA726" s="194"/>
      <c r="AB726"/>
      <c r="AG726" s="69"/>
      <c r="AH726"/>
    </row>
    <row r="727" spans="1:34" x14ac:dyDescent="0.2">
      <c r="A727" s="655"/>
      <c r="B727" s="655"/>
      <c r="C727"/>
      <c r="D727" s="655"/>
      <c r="E727" s="655"/>
      <c r="F727" s="655" t="str">
        <f>LEFT(AllDaqbookOffsets[[#This Row],[traceability_no]],2)</f>
        <v>K4</v>
      </c>
      <c r="N727" s="456"/>
      <c r="O727"/>
      <c r="Z727" s="460"/>
      <c r="AA727" s="194"/>
      <c r="AB727"/>
      <c r="AG727" s="69"/>
      <c r="AH727"/>
    </row>
    <row r="728" spans="1:34" x14ac:dyDescent="0.2">
      <c r="A728" s="655"/>
      <c r="B728" s="655"/>
      <c r="C728"/>
      <c r="D728" s="655"/>
      <c r="E728" s="655"/>
      <c r="F728" s="655" t="str">
        <f>LEFT(AllDaqbookOffsets[[#This Row],[traceability_no]],2)</f>
        <v>K4</v>
      </c>
      <c r="N728" s="456"/>
      <c r="O728"/>
      <c r="Z728" s="460"/>
      <c r="AA728" s="194"/>
      <c r="AB728"/>
      <c r="AG728" s="69"/>
      <c r="AH728"/>
    </row>
    <row r="729" spans="1:34" x14ac:dyDescent="0.2">
      <c r="A729" s="655"/>
      <c r="B729" s="655"/>
      <c r="C729"/>
      <c r="D729" s="655"/>
      <c r="E729" s="655"/>
      <c r="F729" s="655" t="str">
        <f>LEFT(AllDaqbookOffsets[[#This Row],[traceability_no]],2)</f>
        <v>K4</v>
      </c>
      <c r="N729" s="456"/>
      <c r="O729"/>
      <c r="Z729" s="460"/>
      <c r="AA729" s="194"/>
      <c r="AB729"/>
      <c r="AG729" s="69"/>
      <c r="AH729"/>
    </row>
    <row r="730" spans="1:34" x14ac:dyDescent="0.2">
      <c r="A730" s="655"/>
      <c r="B730" s="655"/>
      <c r="C730"/>
      <c r="D730" s="655"/>
      <c r="E730" s="655"/>
      <c r="F730" s="655" t="str">
        <f>LEFT(AllDaqbookOffsets[[#This Row],[traceability_no]],2)</f>
        <v>K4</v>
      </c>
      <c r="N730" s="456"/>
      <c r="O730"/>
      <c r="Z730" s="460"/>
      <c r="AA730" s="194"/>
      <c r="AB730"/>
      <c r="AG730" s="69"/>
      <c r="AH730"/>
    </row>
    <row r="731" spans="1:34" x14ac:dyDescent="0.2">
      <c r="A731" s="655"/>
      <c r="B731" s="655"/>
      <c r="C731"/>
      <c r="D731" s="655"/>
      <c r="E731" s="655"/>
      <c r="F731" s="655" t="str">
        <f>LEFT(AllDaqbookOffsets[[#This Row],[traceability_no]],2)</f>
        <v>K4</v>
      </c>
      <c r="N731" s="456"/>
      <c r="O731"/>
      <c r="Z731" s="460"/>
      <c r="AA731" s="194"/>
      <c r="AB731"/>
      <c r="AG731" s="69"/>
      <c r="AH731"/>
    </row>
    <row r="732" spans="1:34" x14ac:dyDescent="0.2">
      <c r="A732" s="655"/>
      <c r="B732" s="655"/>
      <c r="C732"/>
      <c r="D732" s="655"/>
      <c r="E732" s="655"/>
      <c r="F732" s="655" t="str">
        <f>LEFT(AllDaqbookOffsets[[#This Row],[traceability_no]],2)</f>
        <v>K4</v>
      </c>
      <c r="N732" s="456"/>
      <c r="O732"/>
      <c r="Z732" s="460"/>
      <c r="AA732" s="194"/>
      <c r="AB732"/>
      <c r="AG732" s="69"/>
      <c r="AH732"/>
    </row>
    <row r="733" spans="1:34" x14ac:dyDescent="0.2">
      <c r="A733" s="655"/>
      <c r="B733" s="655"/>
      <c r="C733"/>
      <c r="D733" s="655"/>
      <c r="E733" s="655"/>
      <c r="F733" s="655" t="str">
        <f>LEFT(AllDaqbookOffsets[[#This Row],[traceability_no]],2)</f>
        <v>K4</v>
      </c>
      <c r="N733" s="456"/>
      <c r="O733"/>
      <c r="Z733" s="460"/>
      <c r="AA733" s="194"/>
      <c r="AB733"/>
      <c r="AG733" s="69"/>
      <c r="AH733"/>
    </row>
    <row r="734" spans="1:34" x14ac:dyDescent="0.2">
      <c r="A734" s="655"/>
      <c r="B734" s="655"/>
      <c r="C734"/>
      <c r="D734" s="655"/>
      <c r="E734" s="655"/>
      <c r="F734" s="655" t="str">
        <f>LEFT(AllDaqbookOffsets[[#This Row],[traceability_no]],2)</f>
        <v>K4</v>
      </c>
      <c r="N734" s="456"/>
      <c r="O734"/>
      <c r="Z734" s="460"/>
      <c r="AA734" s="194"/>
      <c r="AB734"/>
      <c r="AG734" s="69"/>
      <c r="AH734"/>
    </row>
    <row r="735" spans="1:34" x14ac:dyDescent="0.2">
      <c r="A735" s="655"/>
      <c r="B735" s="655"/>
      <c r="C735"/>
      <c r="D735" s="655"/>
      <c r="E735" s="655"/>
      <c r="F735" s="655" t="str">
        <f>LEFT(AllDaqbookOffsets[[#This Row],[traceability_no]],2)</f>
        <v>K4</v>
      </c>
      <c r="N735" s="456"/>
      <c r="O735"/>
      <c r="Z735" s="460"/>
      <c r="AA735" s="194"/>
      <c r="AB735"/>
      <c r="AG735" s="69"/>
      <c r="AH735"/>
    </row>
    <row r="736" spans="1:34" x14ac:dyDescent="0.2">
      <c r="A736" s="655"/>
      <c r="B736" s="655"/>
      <c r="C736"/>
      <c r="D736" s="655"/>
      <c r="E736" s="655"/>
      <c r="F736" s="655" t="str">
        <f>LEFT(AllDaqbookOffsets[[#This Row],[traceability_no]],2)</f>
        <v>K4</v>
      </c>
      <c r="N736" s="456"/>
      <c r="O736"/>
      <c r="Z736" s="460"/>
      <c r="AA736" s="194"/>
      <c r="AB736"/>
      <c r="AG736" s="69"/>
      <c r="AH736"/>
    </row>
    <row r="737" spans="1:34" x14ac:dyDescent="0.2">
      <c r="A737" s="655"/>
      <c r="B737" s="655"/>
      <c r="C737"/>
      <c r="D737" s="655"/>
      <c r="E737" s="655"/>
      <c r="F737" s="655" t="str">
        <f>LEFT(AllDaqbookOffsets[[#This Row],[traceability_no]],2)</f>
        <v>K4</v>
      </c>
      <c r="N737" s="456"/>
      <c r="O737"/>
      <c r="Z737" s="460"/>
      <c r="AA737" s="194"/>
      <c r="AB737"/>
      <c r="AG737" s="69"/>
      <c r="AH737"/>
    </row>
    <row r="738" spans="1:34" x14ac:dyDescent="0.2">
      <c r="A738" s="655"/>
      <c r="B738" s="655"/>
      <c r="C738"/>
      <c r="D738" s="655"/>
      <c r="E738" s="655"/>
      <c r="F738" s="655" t="str">
        <f>LEFT(AllDaqbookOffsets[[#This Row],[traceability_no]],2)</f>
        <v>K4</v>
      </c>
      <c r="N738" s="456"/>
      <c r="O738"/>
      <c r="Z738" s="460"/>
      <c r="AA738" s="194"/>
      <c r="AB738"/>
      <c r="AG738" s="69"/>
      <c r="AH738"/>
    </row>
    <row r="739" spans="1:34" x14ac:dyDescent="0.2">
      <c r="A739" s="655"/>
      <c r="B739" s="655"/>
      <c r="C739"/>
      <c r="D739" s="655"/>
      <c r="E739" s="655"/>
      <c r="F739" s="655" t="str">
        <f>LEFT(AllDaqbookOffsets[[#This Row],[traceability_no]],2)</f>
        <v>K4</v>
      </c>
      <c r="N739" s="456"/>
      <c r="O739"/>
      <c r="Z739" s="460"/>
      <c r="AA739" s="194"/>
      <c r="AB739"/>
      <c r="AG739" s="69"/>
      <c r="AH739"/>
    </row>
    <row r="740" spans="1:34" x14ac:dyDescent="0.2">
      <c r="A740" s="655"/>
      <c r="B740" s="655"/>
      <c r="C740"/>
      <c r="D740" s="655"/>
      <c r="E740" s="655"/>
      <c r="F740" s="655" t="str">
        <f>LEFT(AllDaqbookOffsets[[#This Row],[traceability_no]],2)</f>
        <v>K4</v>
      </c>
      <c r="N740" s="456"/>
      <c r="O740"/>
      <c r="Z740" s="460"/>
      <c r="AA740" s="194"/>
      <c r="AB740"/>
      <c r="AG740" s="69"/>
      <c r="AH740"/>
    </row>
    <row r="741" spans="1:34" x14ac:dyDescent="0.2">
      <c r="A741" s="655"/>
      <c r="B741" s="655"/>
      <c r="C741"/>
      <c r="D741" s="655"/>
      <c r="E741" s="655"/>
      <c r="F741" s="655" t="str">
        <f>LEFT(AllDaqbookOffsets[[#This Row],[traceability_no]],2)</f>
        <v>K4</v>
      </c>
      <c r="N741" s="456"/>
      <c r="O741"/>
      <c r="Z741" s="460"/>
      <c r="AA741" s="194"/>
      <c r="AB741"/>
      <c r="AG741" s="69"/>
      <c r="AH741"/>
    </row>
    <row r="742" spans="1:34" x14ac:dyDescent="0.2">
      <c r="A742" s="655"/>
      <c r="B742" s="655"/>
      <c r="C742"/>
      <c r="D742" s="655"/>
      <c r="E742" s="655"/>
      <c r="F742" s="655" t="str">
        <f>LEFT(AllDaqbookOffsets[[#This Row],[traceability_no]],2)</f>
        <v>K4</v>
      </c>
      <c r="N742" s="456"/>
      <c r="O742"/>
      <c r="Z742" s="460"/>
      <c r="AA742" s="194"/>
      <c r="AB742"/>
      <c r="AG742" s="69"/>
      <c r="AH742"/>
    </row>
    <row r="743" spans="1:34" x14ac:dyDescent="0.2">
      <c r="A743" s="655"/>
      <c r="B743" s="655"/>
      <c r="C743"/>
      <c r="D743" s="655"/>
      <c r="E743" s="655"/>
      <c r="F743" s="655" t="str">
        <f>LEFT(AllDaqbookOffsets[[#This Row],[traceability_no]],2)</f>
        <v>K4</v>
      </c>
      <c r="N743" s="456"/>
      <c r="O743"/>
      <c r="Z743" s="460"/>
      <c r="AA743" s="194"/>
      <c r="AB743"/>
      <c r="AG743" s="69"/>
      <c r="AH743"/>
    </row>
    <row r="744" spans="1:34" x14ac:dyDescent="0.2">
      <c r="A744" s="655"/>
      <c r="B744" s="655"/>
      <c r="C744"/>
      <c r="D744" s="655"/>
      <c r="E744" s="655"/>
      <c r="F744" s="655" t="str">
        <f>LEFT(AllDaqbookOffsets[[#This Row],[traceability_no]],2)</f>
        <v>K4</v>
      </c>
      <c r="N744" s="456"/>
      <c r="O744"/>
      <c r="Z744" s="460"/>
      <c r="AA744" s="194"/>
      <c r="AB744"/>
      <c r="AG744" s="69"/>
      <c r="AH744"/>
    </row>
    <row r="745" spans="1:34" x14ac:dyDescent="0.2">
      <c r="A745" s="655"/>
      <c r="B745" s="655"/>
      <c r="C745"/>
      <c r="D745" s="655"/>
      <c r="E745" s="655"/>
      <c r="F745" s="655" t="str">
        <f>LEFT(AllDaqbookOffsets[[#This Row],[traceability_no]],2)</f>
        <v>K4</v>
      </c>
      <c r="N745" s="456"/>
      <c r="O745"/>
      <c r="Z745" s="460"/>
      <c r="AA745" s="194"/>
      <c r="AB745"/>
      <c r="AG745" s="69"/>
      <c r="AH745"/>
    </row>
    <row r="746" spans="1:34" x14ac:dyDescent="0.2">
      <c r="A746" s="655"/>
      <c r="B746" s="655"/>
      <c r="C746"/>
      <c r="D746" s="655"/>
      <c r="E746" s="655"/>
      <c r="F746" s="655" t="str">
        <f>LEFT(AllDaqbookOffsets[[#This Row],[traceability_no]],2)</f>
        <v>K4</v>
      </c>
      <c r="N746" s="456"/>
      <c r="O746"/>
      <c r="Z746" s="460"/>
      <c r="AA746" s="194"/>
      <c r="AB746"/>
      <c r="AG746" s="69"/>
      <c r="AH746"/>
    </row>
    <row r="747" spans="1:34" x14ac:dyDescent="0.2">
      <c r="A747" s="655"/>
      <c r="B747" s="655"/>
      <c r="C747"/>
      <c r="D747" s="655"/>
      <c r="E747" s="655"/>
      <c r="F747" s="655" t="str">
        <f>LEFT(AllDaqbookOffsets[[#This Row],[traceability_no]],2)</f>
        <v>K4</v>
      </c>
      <c r="N747" s="456"/>
      <c r="O747"/>
      <c r="Z747" s="460"/>
      <c r="AA747" s="194"/>
      <c r="AB747"/>
      <c r="AG747" s="69"/>
      <c r="AH747"/>
    </row>
    <row r="748" spans="1:34" x14ac:dyDescent="0.2">
      <c r="A748" s="655"/>
      <c r="B748" s="655"/>
      <c r="C748"/>
      <c r="D748" s="655"/>
      <c r="E748" s="655"/>
      <c r="F748" s="655" t="str">
        <f>LEFT(AllDaqbookOffsets[[#This Row],[traceability_no]],2)</f>
        <v>K4</v>
      </c>
      <c r="N748" s="456"/>
      <c r="O748"/>
      <c r="Z748" s="460"/>
      <c r="AA748" s="194"/>
      <c r="AB748"/>
      <c r="AG748" s="69"/>
      <c r="AH748"/>
    </row>
    <row r="749" spans="1:34" x14ac:dyDescent="0.2">
      <c r="A749" s="655"/>
      <c r="B749" s="655"/>
      <c r="C749"/>
      <c r="D749" s="655"/>
      <c r="E749" s="655"/>
      <c r="F749" s="655" t="str">
        <f>LEFT(AllDaqbookOffsets[[#This Row],[traceability_no]],2)</f>
        <v>K4</v>
      </c>
      <c r="N749" s="456"/>
      <c r="O749"/>
      <c r="Z749" s="460"/>
      <c r="AA749" s="194"/>
      <c r="AB749"/>
      <c r="AG749" s="69"/>
      <c r="AH749"/>
    </row>
    <row r="750" spans="1:34" x14ac:dyDescent="0.2">
      <c r="A750" s="655"/>
      <c r="B750" s="655"/>
      <c r="C750"/>
      <c r="D750" s="655"/>
      <c r="E750" s="655"/>
      <c r="F750" s="655" t="str">
        <f>LEFT(AllDaqbookOffsets[[#This Row],[traceability_no]],2)</f>
        <v>K4</v>
      </c>
      <c r="N750" s="456"/>
      <c r="O750"/>
      <c r="Z750" s="460"/>
      <c r="AA750" s="194"/>
      <c r="AB750"/>
      <c r="AG750" s="69"/>
      <c r="AH750"/>
    </row>
    <row r="751" spans="1:34" x14ac:dyDescent="0.2">
      <c r="A751" s="655"/>
      <c r="B751" s="655"/>
      <c r="C751"/>
      <c r="D751" s="655"/>
      <c r="E751" s="655"/>
      <c r="F751" s="655" t="str">
        <f>LEFT(AllDaqbookOffsets[[#This Row],[traceability_no]],2)</f>
        <v>K4</v>
      </c>
      <c r="N751" s="456"/>
      <c r="O751"/>
      <c r="Z751" s="460"/>
      <c r="AA751" s="194"/>
      <c r="AB751"/>
      <c r="AG751" s="69"/>
      <c r="AH751"/>
    </row>
    <row r="752" spans="1:34" x14ac:dyDescent="0.2">
      <c r="A752" s="655"/>
      <c r="B752" s="655"/>
      <c r="C752"/>
      <c r="D752" s="655"/>
      <c r="E752" s="655"/>
      <c r="F752" s="655" t="str">
        <f>LEFT(AllDaqbookOffsets[[#This Row],[traceability_no]],2)</f>
        <v>K4</v>
      </c>
      <c r="N752" s="456"/>
      <c r="O752"/>
      <c r="Z752" s="460"/>
      <c r="AA752" s="194"/>
      <c r="AB752"/>
      <c r="AG752" s="69"/>
      <c r="AH752"/>
    </row>
    <row r="753" spans="1:34" x14ac:dyDescent="0.2">
      <c r="A753" s="655"/>
      <c r="B753" s="655"/>
      <c r="C753"/>
      <c r="D753" s="655"/>
      <c r="E753" s="655"/>
      <c r="F753" s="655" t="str">
        <f>LEFT(AllDaqbookOffsets[[#This Row],[traceability_no]],2)</f>
        <v>K4</v>
      </c>
      <c r="N753" s="456"/>
      <c r="O753"/>
      <c r="Z753" s="460"/>
      <c r="AA753" s="194"/>
      <c r="AB753"/>
      <c r="AG753" s="69"/>
      <c r="AH753"/>
    </row>
    <row r="754" spans="1:34" x14ac:dyDescent="0.2">
      <c r="A754" s="655"/>
      <c r="B754" s="655"/>
      <c r="C754"/>
      <c r="D754" s="655"/>
      <c r="E754" s="655"/>
      <c r="F754" s="655" t="str">
        <f>LEFT(AllDaqbookOffsets[[#This Row],[traceability_no]],2)</f>
        <v>K4</v>
      </c>
      <c r="N754" s="456"/>
      <c r="O754"/>
      <c r="Z754" s="460"/>
      <c r="AA754" s="194"/>
      <c r="AB754"/>
      <c r="AG754" s="69"/>
      <c r="AH754"/>
    </row>
    <row r="755" spans="1:34" x14ac:dyDescent="0.2">
      <c r="A755" s="655"/>
      <c r="B755" s="655"/>
      <c r="C755"/>
      <c r="D755" s="655"/>
      <c r="E755" s="655"/>
      <c r="F755" s="655" t="str">
        <f>LEFT(AllDaqbookOffsets[[#This Row],[traceability_no]],2)</f>
        <v>K4</v>
      </c>
      <c r="N755" s="456"/>
      <c r="O755"/>
      <c r="Z755" s="460"/>
      <c r="AA755" s="194"/>
      <c r="AB755"/>
      <c r="AG755" s="69"/>
      <c r="AH755"/>
    </row>
    <row r="756" spans="1:34" x14ac:dyDescent="0.2">
      <c r="A756" s="655"/>
      <c r="B756" s="655"/>
      <c r="C756"/>
      <c r="D756" s="655"/>
      <c r="E756" s="655"/>
      <c r="F756" s="655" t="str">
        <f>LEFT(AllDaqbookOffsets[[#This Row],[traceability_no]],2)</f>
        <v>K4</v>
      </c>
      <c r="N756" s="456"/>
      <c r="O756"/>
      <c r="Z756" s="460"/>
      <c r="AA756" s="194"/>
      <c r="AB756"/>
      <c r="AG756" s="69"/>
      <c r="AH756"/>
    </row>
    <row r="757" spans="1:34" x14ac:dyDescent="0.2">
      <c r="A757" s="655"/>
      <c r="B757" s="655"/>
      <c r="C757"/>
      <c r="D757" s="655"/>
      <c r="E757" s="655"/>
      <c r="F757" s="655" t="str">
        <f>LEFT(AllDaqbookOffsets[[#This Row],[traceability_no]],2)</f>
        <v>K4</v>
      </c>
      <c r="N757" s="456"/>
      <c r="O757"/>
      <c r="Z757" s="460"/>
      <c r="AA757" s="194"/>
      <c r="AB757"/>
      <c r="AG757" s="69"/>
      <c r="AH757"/>
    </row>
    <row r="758" spans="1:34" x14ac:dyDescent="0.2">
      <c r="A758" s="655"/>
      <c r="B758" s="655"/>
      <c r="C758"/>
      <c r="D758" s="655"/>
      <c r="E758" s="655"/>
      <c r="F758" s="655" t="str">
        <f>LEFT(AllDaqbookOffsets[[#This Row],[traceability_no]],2)</f>
        <v>K4</v>
      </c>
      <c r="N758" s="456"/>
      <c r="O758"/>
      <c r="Z758" s="460"/>
      <c r="AA758" s="194"/>
      <c r="AB758"/>
      <c r="AG758" s="69"/>
      <c r="AH758"/>
    </row>
    <row r="759" spans="1:34" x14ac:dyDescent="0.2">
      <c r="A759" s="655"/>
      <c r="B759" s="655"/>
      <c r="C759"/>
      <c r="D759" s="655"/>
      <c r="E759" s="655"/>
      <c r="F759" s="655" t="str">
        <f>LEFT(AllDaqbookOffsets[[#This Row],[traceability_no]],2)</f>
        <v>K4</v>
      </c>
      <c r="N759" s="456"/>
      <c r="O759"/>
      <c r="Z759" s="460"/>
      <c r="AA759" s="194"/>
      <c r="AB759"/>
      <c r="AG759" s="69"/>
      <c r="AH759"/>
    </row>
    <row r="760" spans="1:34" x14ac:dyDescent="0.2">
      <c r="A760" s="655"/>
      <c r="B760" s="655"/>
      <c r="C760"/>
      <c r="D760" s="655"/>
      <c r="E760" s="655"/>
      <c r="F760" s="655" t="str">
        <f>LEFT(AllDaqbookOffsets[[#This Row],[traceability_no]],2)</f>
        <v>K4</v>
      </c>
      <c r="N760" s="456"/>
      <c r="O760"/>
      <c r="Z760" s="460"/>
      <c r="AA760" s="194"/>
      <c r="AB760"/>
      <c r="AG760" s="69"/>
      <c r="AH760"/>
    </row>
    <row r="761" spans="1:34" x14ac:dyDescent="0.2">
      <c r="A761" s="655"/>
      <c r="B761" s="655"/>
      <c r="C761"/>
      <c r="D761" s="655"/>
      <c r="E761" s="655"/>
      <c r="F761" s="655" t="str">
        <f>LEFT(AllDaqbookOffsets[[#This Row],[traceability_no]],2)</f>
        <v>K4</v>
      </c>
      <c r="N761" s="456"/>
      <c r="O761"/>
      <c r="Z761" s="460"/>
      <c r="AA761" s="194"/>
      <c r="AB761"/>
      <c r="AG761" s="69"/>
      <c r="AH761"/>
    </row>
    <row r="762" spans="1:34" x14ac:dyDescent="0.2">
      <c r="A762" s="655"/>
      <c r="B762" s="655"/>
      <c r="C762"/>
      <c r="D762" s="655"/>
      <c r="E762" s="655"/>
      <c r="F762" s="655" t="str">
        <f>LEFT(AllDaqbookOffsets[[#This Row],[traceability_no]],2)</f>
        <v>K4</v>
      </c>
      <c r="N762" s="456"/>
      <c r="O762"/>
      <c r="Z762" s="460"/>
      <c r="AA762" s="194"/>
      <c r="AB762"/>
      <c r="AG762" s="69"/>
      <c r="AH762"/>
    </row>
    <row r="763" spans="1:34" x14ac:dyDescent="0.2">
      <c r="A763" s="655"/>
      <c r="B763" s="655"/>
      <c r="C763"/>
      <c r="D763" s="655"/>
      <c r="E763" s="655"/>
      <c r="F763" s="655" t="str">
        <f>LEFT(AllDaqbookOffsets[[#This Row],[traceability_no]],2)</f>
        <v>K4</v>
      </c>
      <c r="N763" s="456"/>
      <c r="O763"/>
      <c r="Z763" s="460"/>
      <c r="AA763" s="194"/>
      <c r="AB763"/>
      <c r="AG763" s="69"/>
      <c r="AH763"/>
    </row>
    <row r="764" spans="1:34" x14ac:dyDescent="0.2">
      <c r="A764" s="655"/>
      <c r="B764" s="655"/>
      <c r="C764"/>
      <c r="D764" s="655"/>
      <c r="E764" s="655"/>
      <c r="F764" s="655" t="str">
        <f>LEFT(AllDaqbookOffsets[[#This Row],[traceability_no]],2)</f>
        <v>K4</v>
      </c>
      <c r="N764" s="456"/>
      <c r="O764"/>
      <c r="Z764" s="460"/>
      <c r="AA764" s="194"/>
      <c r="AB764"/>
      <c r="AG764" s="69"/>
      <c r="AH764"/>
    </row>
    <row r="765" spans="1:34" x14ac:dyDescent="0.2">
      <c r="A765" s="655"/>
      <c r="B765" s="655"/>
      <c r="C765"/>
      <c r="D765" s="655"/>
      <c r="E765" s="655"/>
      <c r="F765" s="655" t="str">
        <f>LEFT(AllDaqbookOffsets[[#This Row],[traceability_no]],2)</f>
        <v>K4</v>
      </c>
      <c r="N765" s="456"/>
      <c r="O765"/>
      <c r="Z765" s="460"/>
      <c r="AA765" s="194"/>
      <c r="AB765"/>
      <c r="AG765" s="69"/>
      <c r="AH765"/>
    </row>
    <row r="766" spans="1:34" x14ac:dyDescent="0.2">
      <c r="A766" s="655"/>
      <c r="B766" s="655"/>
      <c r="C766"/>
      <c r="D766" s="655"/>
      <c r="E766" s="655"/>
      <c r="F766" s="655" t="str">
        <f>LEFT(AllDaqbookOffsets[[#This Row],[traceability_no]],2)</f>
        <v>K4</v>
      </c>
      <c r="N766" s="456"/>
      <c r="O766"/>
      <c r="Z766" s="460"/>
      <c r="AA766" s="194"/>
      <c r="AB766"/>
      <c r="AG766" s="69"/>
      <c r="AH766"/>
    </row>
    <row r="767" spans="1:34" x14ac:dyDescent="0.2">
      <c r="A767" s="655"/>
      <c r="B767" s="655"/>
      <c r="C767"/>
      <c r="D767" s="655"/>
      <c r="E767" s="655"/>
      <c r="F767" s="655" t="str">
        <f>LEFT(AllDaqbookOffsets[[#This Row],[traceability_no]],2)</f>
        <v>K4</v>
      </c>
      <c r="N767" s="456"/>
      <c r="O767"/>
      <c r="Z767" s="460"/>
      <c r="AA767" s="194"/>
      <c r="AB767"/>
      <c r="AG767" s="69"/>
      <c r="AH767"/>
    </row>
    <row r="768" spans="1:34" x14ac:dyDescent="0.2">
      <c r="A768" s="655"/>
      <c r="B768" s="655"/>
      <c r="C768"/>
      <c r="D768" s="655"/>
      <c r="E768" s="655"/>
      <c r="F768" s="655" t="str">
        <f>LEFT(AllDaqbookOffsets[[#This Row],[traceability_no]],2)</f>
        <v>K4</v>
      </c>
      <c r="N768" s="456"/>
      <c r="O768"/>
      <c r="Z768" s="460"/>
      <c r="AA768" s="194"/>
      <c r="AB768"/>
      <c r="AG768" s="69"/>
      <c r="AH768"/>
    </row>
    <row r="769" spans="1:34" x14ac:dyDescent="0.2">
      <c r="A769" s="655"/>
      <c r="B769" s="655"/>
      <c r="C769"/>
      <c r="D769" s="655"/>
      <c r="E769" s="655"/>
      <c r="F769" s="655" t="str">
        <f>LEFT(AllDaqbookOffsets[[#This Row],[traceability_no]],2)</f>
        <v>K4</v>
      </c>
      <c r="N769" s="456"/>
      <c r="O769"/>
      <c r="Z769" s="460"/>
      <c r="AA769" s="194"/>
      <c r="AB769"/>
      <c r="AG769" s="69"/>
      <c r="AH769"/>
    </row>
    <row r="770" spans="1:34" x14ac:dyDescent="0.2">
      <c r="A770" s="655"/>
      <c r="B770" s="655"/>
      <c r="C770"/>
      <c r="D770" s="655"/>
      <c r="E770" s="655"/>
      <c r="F770" s="655" t="str">
        <f>LEFT(AllDaqbookOffsets[[#This Row],[traceability_no]],2)</f>
        <v>K4</v>
      </c>
      <c r="N770" s="456"/>
      <c r="O770"/>
      <c r="Z770" s="460"/>
      <c r="AA770" s="194"/>
      <c r="AB770"/>
      <c r="AG770" s="69"/>
      <c r="AH770"/>
    </row>
    <row r="771" spans="1:34" x14ac:dyDescent="0.2">
      <c r="A771" s="655"/>
      <c r="B771" s="655"/>
      <c r="C771"/>
      <c r="D771" s="655"/>
      <c r="E771" s="655"/>
      <c r="F771" s="655" t="str">
        <f>LEFT(AllDaqbookOffsets[[#This Row],[traceability_no]],2)</f>
        <v>K4</v>
      </c>
      <c r="N771" s="456"/>
      <c r="O771"/>
      <c r="Z771" s="460"/>
      <c r="AA771" s="194"/>
      <c r="AB771"/>
      <c r="AG771" s="69"/>
      <c r="AH771"/>
    </row>
    <row r="772" spans="1:34" x14ac:dyDescent="0.2">
      <c r="A772" s="655"/>
      <c r="B772" s="655"/>
      <c r="C772"/>
      <c r="D772" s="655"/>
      <c r="E772" s="655"/>
      <c r="F772" s="655" t="str">
        <f>LEFT(AllDaqbookOffsets[[#This Row],[traceability_no]],2)</f>
        <v>K4</v>
      </c>
      <c r="N772" s="456"/>
      <c r="O772"/>
      <c r="Z772" s="460"/>
      <c r="AA772" s="194"/>
      <c r="AB772"/>
      <c r="AG772" s="69"/>
      <c r="AH772"/>
    </row>
    <row r="773" spans="1:34" x14ac:dyDescent="0.2">
      <c r="A773" s="655"/>
      <c r="B773" s="655"/>
      <c r="C773"/>
      <c r="D773" s="655"/>
      <c r="E773" s="655"/>
      <c r="F773" s="655" t="str">
        <f>LEFT(AllDaqbookOffsets[[#This Row],[traceability_no]],2)</f>
        <v>K4</v>
      </c>
      <c r="N773" s="456"/>
      <c r="O773"/>
      <c r="Z773" s="460"/>
      <c r="AA773" s="194"/>
      <c r="AB773"/>
      <c r="AG773" s="69"/>
      <c r="AH773"/>
    </row>
    <row r="774" spans="1:34" x14ac:dyDescent="0.2">
      <c r="A774" s="655"/>
      <c r="B774" s="655"/>
      <c r="C774"/>
      <c r="D774" s="655"/>
      <c r="E774" s="655"/>
      <c r="F774" s="655" t="str">
        <f>LEFT(AllDaqbookOffsets[[#This Row],[traceability_no]],2)</f>
        <v>K4</v>
      </c>
      <c r="N774" s="456"/>
      <c r="O774"/>
      <c r="Z774" s="460"/>
      <c r="AA774" s="194"/>
      <c r="AB774"/>
      <c r="AG774" s="69"/>
      <c r="AH774"/>
    </row>
    <row r="775" spans="1:34" x14ac:dyDescent="0.2">
      <c r="A775" s="655"/>
      <c r="B775" s="655"/>
      <c r="C775"/>
      <c r="D775" s="655"/>
      <c r="E775" s="655"/>
      <c r="F775" s="655" t="str">
        <f>LEFT(AllDaqbookOffsets[[#This Row],[traceability_no]],2)</f>
        <v>K4</v>
      </c>
      <c r="N775" s="456"/>
      <c r="O775"/>
      <c r="Z775" s="460"/>
      <c r="AA775" s="194"/>
      <c r="AB775"/>
      <c r="AG775" s="69"/>
      <c r="AH775"/>
    </row>
    <row r="776" spans="1:34" x14ac:dyDescent="0.2">
      <c r="A776" s="655"/>
      <c r="B776" s="655"/>
      <c r="C776"/>
      <c r="D776" s="655"/>
      <c r="E776" s="655"/>
      <c r="F776" s="655" t="str">
        <f>LEFT(AllDaqbookOffsets[[#This Row],[traceability_no]],2)</f>
        <v>K4</v>
      </c>
      <c r="N776" s="456"/>
      <c r="O776"/>
      <c r="Z776" s="460"/>
      <c r="AA776" s="194"/>
      <c r="AB776"/>
      <c r="AG776" s="69"/>
      <c r="AH776"/>
    </row>
    <row r="777" spans="1:34" x14ac:dyDescent="0.2">
      <c r="A777" s="655"/>
      <c r="B777" s="655"/>
      <c r="C777"/>
      <c r="D777" s="655"/>
      <c r="E777" s="655"/>
      <c r="F777" s="655" t="str">
        <f>LEFT(AllDaqbookOffsets[[#This Row],[traceability_no]],2)</f>
        <v>K4</v>
      </c>
      <c r="N777" s="456"/>
      <c r="O777"/>
      <c r="Z777" s="460"/>
      <c r="AA777" s="194"/>
      <c r="AB777"/>
      <c r="AG777" s="69"/>
      <c r="AH777"/>
    </row>
    <row r="778" spans="1:34" x14ac:dyDescent="0.2">
      <c r="A778" s="655"/>
      <c r="B778" s="655"/>
      <c r="C778"/>
      <c r="D778" s="655"/>
      <c r="E778" s="655"/>
      <c r="F778" s="655" t="str">
        <f>LEFT(AllDaqbookOffsets[[#This Row],[traceability_no]],2)</f>
        <v>K4</v>
      </c>
      <c r="N778" s="456"/>
      <c r="O778"/>
      <c r="Z778" s="460"/>
      <c r="AA778" s="194"/>
      <c r="AB778"/>
      <c r="AG778" s="69"/>
      <c r="AH778"/>
    </row>
    <row r="779" spans="1:34" x14ac:dyDescent="0.2">
      <c r="A779" s="655"/>
      <c r="B779" s="655"/>
      <c r="C779"/>
      <c r="D779" s="655"/>
      <c r="E779" s="655"/>
      <c r="F779" s="655" t="str">
        <f>LEFT(AllDaqbookOffsets[[#This Row],[traceability_no]],2)</f>
        <v>K4</v>
      </c>
      <c r="N779" s="456"/>
      <c r="O779"/>
      <c r="Z779" s="460"/>
      <c r="AA779" s="194"/>
      <c r="AB779"/>
      <c r="AG779" s="69"/>
      <c r="AH779"/>
    </row>
    <row r="780" spans="1:34" x14ac:dyDescent="0.2">
      <c r="A780" s="655"/>
      <c r="B780" s="655"/>
      <c r="C780"/>
      <c r="D780" s="655"/>
      <c r="E780" s="655"/>
      <c r="F780" s="655" t="str">
        <f>LEFT(AllDaqbookOffsets[[#This Row],[traceability_no]],2)</f>
        <v>K4</v>
      </c>
      <c r="N780" s="456"/>
      <c r="O780"/>
      <c r="Z780" s="460"/>
      <c r="AA780" s="194"/>
      <c r="AB780"/>
      <c r="AG780" s="69"/>
      <c r="AH780"/>
    </row>
    <row r="781" spans="1:34" x14ac:dyDescent="0.2">
      <c r="A781" s="655"/>
      <c r="B781" s="655"/>
      <c r="C781"/>
      <c r="D781" s="655"/>
      <c r="E781" s="655"/>
      <c r="F781" s="655" t="str">
        <f>LEFT(AllDaqbookOffsets[[#This Row],[traceability_no]],2)</f>
        <v>K4</v>
      </c>
      <c r="N781" s="456"/>
      <c r="O781"/>
      <c r="Z781" s="460"/>
      <c r="AA781" s="194"/>
      <c r="AB781"/>
      <c r="AG781" s="69"/>
      <c r="AH781"/>
    </row>
    <row r="782" spans="1:34" x14ac:dyDescent="0.2">
      <c r="A782" s="655"/>
      <c r="B782" s="655"/>
      <c r="C782"/>
      <c r="D782" s="655"/>
      <c r="E782" s="655"/>
      <c r="F782" s="655" t="str">
        <f>LEFT(AllDaqbookOffsets[[#This Row],[traceability_no]],2)</f>
        <v>K4</v>
      </c>
      <c r="N782" s="456"/>
      <c r="O782"/>
      <c r="Z782" s="460"/>
      <c r="AA782" s="194"/>
      <c r="AB782"/>
      <c r="AG782" s="69"/>
      <c r="AH782"/>
    </row>
    <row r="783" spans="1:34" x14ac:dyDescent="0.2">
      <c r="A783" s="655"/>
      <c r="B783" s="655"/>
      <c r="C783"/>
      <c r="D783" s="655"/>
      <c r="E783" s="655"/>
      <c r="F783" s="655" t="str">
        <f>LEFT(AllDaqbookOffsets[[#This Row],[traceability_no]],2)</f>
        <v>K4</v>
      </c>
      <c r="N783" s="456"/>
      <c r="O783"/>
      <c r="Z783" s="460"/>
      <c r="AA783" s="194"/>
      <c r="AB783"/>
      <c r="AG783" s="69"/>
      <c r="AH783"/>
    </row>
    <row r="784" spans="1:34" x14ac:dyDescent="0.2">
      <c r="A784" s="655"/>
      <c r="B784" s="655"/>
      <c r="C784"/>
      <c r="D784" s="655"/>
      <c r="E784" s="655"/>
      <c r="F784" s="655" t="str">
        <f>LEFT(AllDaqbookOffsets[[#This Row],[traceability_no]],2)</f>
        <v>K4</v>
      </c>
      <c r="N784" s="456"/>
      <c r="O784"/>
      <c r="Z784" s="460"/>
      <c r="AA784" s="194"/>
      <c r="AB784"/>
      <c r="AG784" s="69"/>
      <c r="AH784"/>
    </row>
    <row r="785" spans="1:34" x14ac:dyDescent="0.2">
      <c r="A785" s="655"/>
      <c r="B785" s="655"/>
      <c r="C785"/>
      <c r="D785" s="655"/>
      <c r="E785" s="655"/>
      <c r="F785" s="655" t="str">
        <f>LEFT(AllDaqbookOffsets[[#This Row],[traceability_no]],2)</f>
        <v>K4</v>
      </c>
      <c r="N785" s="456"/>
      <c r="O785"/>
      <c r="Z785" s="460"/>
      <c r="AA785" s="194"/>
      <c r="AB785"/>
      <c r="AG785" s="69"/>
      <c r="AH785"/>
    </row>
    <row r="786" spans="1:34" x14ac:dyDescent="0.2">
      <c r="A786" s="655"/>
      <c r="B786" s="655"/>
      <c r="C786"/>
      <c r="D786" s="655"/>
      <c r="E786" s="655"/>
      <c r="F786" s="655" t="str">
        <f>LEFT(AllDaqbookOffsets[[#This Row],[traceability_no]],2)</f>
        <v>K4</v>
      </c>
      <c r="N786" s="456"/>
      <c r="O786"/>
      <c r="Z786" s="460"/>
      <c r="AA786" s="194"/>
      <c r="AB786"/>
      <c r="AG786" s="69"/>
      <c r="AH786"/>
    </row>
    <row r="787" spans="1:34" x14ac:dyDescent="0.2">
      <c r="A787" s="655"/>
      <c r="B787" s="655"/>
      <c r="C787"/>
      <c r="D787" s="655"/>
      <c r="E787" s="655"/>
      <c r="F787" s="655" t="str">
        <f>LEFT(AllDaqbookOffsets[[#This Row],[traceability_no]],2)</f>
        <v>K4</v>
      </c>
      <c r="N787" s="456"/>
      <c r="O787"/>
      <c r="Z787" s="460"/>
      <c r="AA787" s="194"/>
      <c r="AB787"/>
      <c r="AG787" s="69"/>
      <c r="AH787"/>
    </row>
    <row r="788" spans="1:34" x14ac:dyDescent="0.2">
      <c r="A788" s="655"/>
      <c r="B788" s="655"/>
      <c r="C788"/>
      <c r="D788" s="655"/>
      <c r="E788" s="655"/>
      <c r="F788" s="655" t="str">
        <f>LEFT(AllDaqbookOffsets[[#This Row],[traceability_no]],2)</f>
        <v>K4</v>
      </c>
      <c r="N788" s="456"/>
      <c r="O788"/>
      <c r="Z788" s="460"/>
      <c r="AA788" s="194"/>
      <c r="AB788"/>
      <c r="AG788" s="69"/>
      <c r="AH788"/>
    </row>
    <row r="789" spans="1:34" x14ac:dyDescent="0.2">
      <c r="A789" s="655"/>
      <c r="B789" s="655"/>
      <c r="C789"/>
      <c r="D789" s="655"/>
      <c r="E789" s="655"/>
      <c r="F789" s="655" t="str">
        <f>LEFT(AllDaqbookOffsets[[#This Row],[traceability_no]],2)</f>
        <v>K4</v>
      </c>
      <c r="N789" s="456"/>
      <c r="O789"/>
      <c r="Z789" s="460"/>
      <c r="AA789" s="194"/>
      <c r="AB789"/>
      <c r="AG789" s="69"/>
      <c r="AH789"/>
    </row>
    <row r="790" spans="1:34" x14ac:dyDescent="0.2">
      <c r="A790" s="655"/>
      <c r="B790" s="655"/>
      <c r="C790"/>
      <c r="D790" s="655"/>
      <c r="E790" s="655"/>
      <c r="F790" s="655" t="str">
        <f>LEFT(AllDaqbookOffsets[[#This Row],[traceability_no]],2)</f>
        <v>K4</v>
      </c>
      <c r="N790" s="456"/>
      <c r="O790"/>
      <c r="Z790" s="460"/>
      <c r="AA790" s="194"/>
      <c r="AB790"/>
      <c r="AG790" s="69"/>
      <c r="AH790"/>
    </row>
    <row r="791" spans="1:34" x14ac:dyDescent="0.2">
      <c r="A791" s="655"/>
      <c r="B791" s="655"/>
      <c r="C791"/>
      <c r="D791" s="655"/>
      <c r="E791" s="655"/>
      <c r="F791" s="655" t="str">
        <f>LEFT(AllDaqbookOffsets[[#This Row],[traceability_no]],2)</f>
        <v>K4</v>
      </c>
      <c r="N791" s="456"/>
      <c r="O791"/>
      <c r="Z791" s="460"/>
      <c r="AA791" s="194"/>
      <c r="AB791"/>
      <c r="AG791" s="69"/>
      <c r="AH791"/>
    </row>
    <row r="792" spans="1:34" x14ac:dyDescent="0.2">
      <c r="A792" s="655"/>
      <c r="B792" s="655"/>
      <c r="C792"/>
      <c r="D792" s="655"/>
      <c r="E792" s="655"/>
      <c r="F792" s="655" t="str">
        <f>LEFT(AllDaqbookOffsets[[#This Row],[traceability_no]],2)</f>
        <v>K4</v>
      </c>
      <c r="N792" s="456"/>
      <c r="O792"/>
      <c r="Z792" s="460"/>
      <c r="AA792" s="194"/>
      <c r="AB792"/>
      <c r="AG792" s="69"/>
      <c r="AH792"/>
    </row>
    <row r="793" spans="1:34" x14ac:dyDescent="0.2">
      <c r="A793" s="655"/>
      <c r="B793" s="655"/>
      <c r="C793"/>
      <c r="D793" s="655"/>
      <c r="E793" s="655"/>
      <c r="F793" s="655" t="str">
        <f>LEFT(AllDaqbookOffsets[[#This Row],[traceability_no]],2)</f>
        <v>K4</v>
      </c>
      <c r="N793" s="456"/>
      <c r="O793"/>
      <c r="Z793" s="460"/>
      <c r="AA793" s="194"/>
      <c r="AB793"/>
      <c r="AG793" s="69"/>
      <c r="AH793"/>
    </row>
    <row r="794" spans="1:34" x14ac:dyDescent="0.2">
      <c r="A794" s="655"/>
      <c r="B794" s="655"/>
      <c r="C794"/>
      <c r="D794" s="655"/>
      <c r="E794" s="655"/>
      <c r="F794" s="655" t="str">
        <f>LEFT(AllDaqbookOffsets[[#This Row],[traceability_no]],2)</f>
        <v>K4</v>
      </c>
      <c r="N794" s="456"/>
      <c r="O794"/>
      <c r="Z794" s="460"/>
      <c r="AA794" s="194"/>
      <c r="AB794"/>
      <c r="AG794" s="69"/>
      <c r="AH794"/>
    </row>
    <row r="795" spans="1:34" x14ac:dyDescent="0.2">
      <c r="A795" s="655"/>
      <c r="B795" s="655"/>
      <c r="C795"/>
      <c r="D795" s="655"/>
      <c r="E795" s="655"/>
      <c r="F795" s="655" t="str">
        <f>LEFT(AllDaqbookOffsets[[#This Row],[traceability_no]],2)</f>
        <v>K4</v>
      </c>
      <c r="N795" s="456"/>
      <c r="O795"/>
      <c r="Z795" s="460"/>
      <c r="AA795" s="194"/>
      <c r="AB795"/>
      <c r="AG795" s="69"/>
      <c r="AH795"/>
    </row>
    <row r="796" spans="1:34" x14ac:dyDescent="0.2">
      <c r="A796" s="655"/>
      <c r="B796" s="655"/>
      <c r="C796"/>
      <c r="D796" s="655"/>
      <c r="E796" s="655"/>
      <c r="F796" s="655" t="str">
        <f>LEFT(AllDaqbookOffsets[[#This Row],[traceability_no]],2)</f>
        <v>K4</v>
      </c>
      <c r="N796" s="456"/>
      <c r="O796"/>
      <c r="Z796" s="460"/>
      <c r="AA796" s="194"/>
      <c r="AB796"/>
      <c r="AG796" s="69"/>
      <c r="AH796"/>
    </row>
    <row r="797" spans="1:34" x14ac:dyDescent="0.2">
      <c r="A797" s="655"/>
      <c r="B797" s="655"/>
      <c r="C797"/>
      <c r="D797" s="655"/>
      <c r="E797" s="655"/>
      <c r="F797" s="655" t="str">
        <f>LEFT(AllDaqbookOffsets[[#This Row],[traceability_no]],2)</f>
        <v>K4</v>
      </c>
      <c r="N797" s="456"/>
      <c r="O797"/>
      <c r="Z797" s="460"/>
      <c r="AA797" s="194"/>
      <c r="AB797"/>
      <c r="AG797" s="69"/>
      <c r="AH797"/>
    </row>
    <row r="798" spans="1:34" x14ac:dyDescent="0.2">
      <c r="A798" s="655"/>
      <c r="B798" s="655"/>
      <c r="C798"/>
      <c r="D798" s="655"/>
      <c r="E798" s="655"/>
      <c r="F798" s="655" t="str">
        <f>LEFT(AllDaqbookOffsets[[#This Row],[traceability_no]],2)</f>
        <v>K4</v>
      </c>
      <c r="N798" s="456"/>
      <c r="O798"/>
      <c r="Z798" s="460"/>
      <c r="AA798" s="194"/>
      <c r="AB798"/>
      <c r="AG798" s="69"/>
      <c r="AH798"/>
    </row>
    <row r="799" spans="1:34" x14ac:dyDescent="0.2">
      <c r="A799" s="655"/>
      <c r="B799" s="655"/>
      <c r="C799"/>
      <c r="D799" s="655"/>
      <c r="E799" s="655"/>
      <c r="F799" s="655" t="str">
        <f>LEFT(AllDaqbookOffsets[[#This Row],[traceability_no]],2)</f>
        <v>K4</v>
      </c>
      <c r="N799" s="456"/>
      <c r="O799"/>
      <c r="Z799" s="460"/>
      <c r="AA799" s="194"/>
      <c r="AB799"/>
      <c r="AG799" s="69"/>
      <c r="AH799"/>
    </row>
    <row r="800" spans="1:34" x14ac:dyDescent="0.2">
      <c r="A800" s="655"/>
      <c r="B800" s="655"/>
      <c r="C800"/>
      <c r="D800" s="655"/>
      <c r="E800" s="655"/>
      <c r="F800" s="655" t="str">
        <f>LEFT(AllDaqbookOffsets[[#This Row],[traceability_no]],2)</f>
        <v>K4</v>
      </c>
      <c r="N800" s="456"/>
      <c r="O800"/>
      <c r="Z800" s="460"/>
      <c r="AA800" s="194"/>
      <c r="AB800"/>
      <c r="AG800" s="69"/>
      <c r="AH800"/>
    </row>
    <row r="801" spans="1:34" x14ac:dyDescent="0.2">
      <c r="A801" s="655"/>
      <c r="B801" s="655"/>
      <c r="C801"/>
      <c r="D801" s="655"/>
      <c r="E801" s="655"/>
      <c r="F801" s="655" t="str">
        <f>LEFT(AllDaqbookOffsets[[#This Row],[traceability_no]],2)</f>
        <v>K4</v>
      </c>
      <c r="N801" s="456"/>
      <c r="O801"/>
      <c r="Z801" s="460"/>
      <c r="AA801" s="194"/>
      <c r="AB801"/>
      <c r="AG801" s="69"/>
      <c r="AH801"/>
    </row>
    <row r="802" spans="1:34" x14ac:dyDescent="0.2">
      <c r="A802" s="655"/>
      <c r="B802" s="655"/>
      <c r="C802"/>
      <c r="D802" s="655"/>
      <c r="E802" s="655"/>
      <c r="F802" s="655" t="str">
        <f>LEFT(AllDaqbookOffsets[[#This Row],[traceability_no]],2)</f>
        <v>K4</v>
      </c>
      <c r="N802" s="456"/>
      <c r="O802"/>
      <c r="Z802" s="460"/>
      <c r="AA802" s="194"/>
      <c r="AB802"/>
      <c r="AG802" s="69"/>
      <c r="AH802"/>
    </row>
    <row r="803" spans="1:34" x14ac:dyDescent="0.2">
      <c r="A803" s="655"/>
      <c r="B803" s="655"/>
      <c r="C803"/>
      <c r="D803" s="655"/>
      <c r="E803" s="655"/>
      <c r="F803" s="655" t="str">
        <f>LEFT(AllDaqbookOffsets[[#This Row],[traceability_no]],2)</f>
        <v>K4</v>
      </c>
      <c r="N803" s="456"/>
      <c r="O803"/>
      <c r="Z803" s="460"/>
      <c r="AA803" s="194"/>
      <c r="AB803"/>
      <c r="AG803" s="69"/>
      <c r="AH803"/>
    </row>
    <row r="804" spans="1:34" x14ac:dyDescent="0.2">
      <c r="A804" s="655"/>
      <c r="B804" s="655"/>
      <c r="C804"/>
      <c r="D804" s="655"/>
      <c r="E804" s="655"/>
      <c r="F804" s="655" t="str">
        <f>LEFT(AllDaqbookOffsets[[#This Row],[traceability_no]],2)</f>
        <v>K4</v>
      </c>
      <c r="N804" s="456"/>
      <c r="O804"/>
      <c r="Z804" s="460"/>
      <c r="AA804" s="194"/>
      <c r="AB804"/>
      <c r="AG804" s="69"/>
      <c r="AH804"/>
    </row>
    <row r="805" spans="1:34" x14ac:dyDescent="0.2">
      <c r="A805" s="655"/>
      <c r="B805" s="655"/>
      <c r="C805"/>
      <c r="D805" s="655"/>
      <c r="E805" s="655"/>
      <c r="F805" s="655" t="str">
        <f>LEFT(AllDaqbookOffsets[[#This Row],[traceability_no]],2)</f>
        <v>K4</v>
      </c>
      <c r="N805" s="456"/>
      <c r="O805"/>
      <c r="Z805" s="460"/>
      <c r="AA805" s="194"/>
      <c r="AB805"/>
      <c r="AG805" s="69"/>
      <c r="AH805"/>
    </row>
    <row r="806" spans="1:34" x14ac:dyDescent="0.2">
      <c r="A806" s="655"/>
      <c r="B806" s="655"/>
      <c r="C806"/>
      <c r="D806" s="655"/>
      <c r="E806" s="655"/>
      <c r="F806" s="655" t="str">
        <f>LEFT(AllDaqbookOffsets[[#This Row],[traceability_no]],2)</f>
        <v>K4</v>
      </c>
      <c r="N806" s="456"/>
      <c r="O806"/>
      <c r="Z806" s="460"/>
      <c r="AA806" s="194"/>
      <c r="AB806"/>
      <c r="AG806" s="69"/>
      <c r="AH806"/>
    </row>
    <row r="807" spans="1:34" x14ac:dyDescent="0.2">
      <c r="A807" s="655"/>
      <c r="B807" s="655"/>
      <c r="C807"/>
      <c r="D807" s="655"/>
      <c r="E807" s="655"/>
      <c r="F807" s="655" t="str">
        <f>LEFT(AllDaqbookOffsets[[#This Row],[traceability_no]],2)</f>
        <v>K4</v>
      </c>
      <c r="N807" s="456"/>
      <c r="O807"/>
      <c r="Z807" s="460"/>
      <c r="AA807" s="194"/>
      <c r="AB807"/>
      <c r="AG807" s="69"/>
      <c r="AH807"/>
    </row>
    <row r="808" spans="1:34" x14ac:dyDescent="0.2">
      <c r="A808" s="655"/>
      <c r="B808" s="655"/>
      <c r="C808"/>
      <c r="D808" s="655"/>
      <c r="E808" s="655"/>
      <c r="F808" s="655" t="str">
        <f>LEFT(AllDaqbookOffsets[[#This Row],[traceability_no]],2)</f>
        <v>K4</v>
      </c>
      <c r="N808" s="456"/>
      <c r="O808"/>
      <c r="Z808" s="460"/>
      <c r="AA808" s="194"/>
      <c r="AB808"/>
      <c r="AG808" s="69"/>
      <c r="AH808"/>
    </row>
    <row r="809" spans="1:34" x14ac:dyDescent="0.2">
      <c r="A809" s="655"/>
      <c r="B809" s="655"/>
      <c r="C809"/>
      <c r="D809" s="655"/>
      <c r="E809" s="655"/>
      <c r="F809" s="655" t="str">
        <f>LEFT(AllDaqbookOffsets[[#This Row],[traceability_no]],2)</f>
        <v>K4</v>
      </c>
      <c r="N809" s="456"/>
      <c r="O809"/>
      <c r="Z809" s="460"/>
      <c r="AA809" s="194"/>
      <c r="AB809"/>
      <c r="AG809" s="69"/>
      <c r="AH809"/>
    </row>
    <row r="810" spans="1:34" x14ac:dyDescent="0.2">
      <c r="A810" s="655"/>
      <c r="B810" s="655"/>
      <c r="C810"/>
      <c r="D810" s="655"/>
      <c r="E810" s="655"/>
      <c r="F810" s="655" t="str">
        <f>LEFT(AllDaqbookOffsets[[#This Row],[traceability_no]],2)</f>
        <v>K4</v>
      </c>
      <c r="N810" s="456"/>
      <c r="O810"/>
      <c r="Z810" s="460"/>
      <c r="AA810" s="194"/>
      <c r="AB810"/>
      <c r="AG810" s="69"/>
      <c r="AH810"/>
    </row>
    <row r="811" spans="1:34" x14ac:dyDescent="0.2">
      <c r="A811" s="655"/>
      <c r="B811" s="655"/>
      <c r="C811"/>
      <c r="D811" s="655"/>
      <c r="E811" s="655"/>
      <c r="F811" s="655" t="str">
        <f>LEFT(AllDaqbookOffsets[[#This Row],[traceability_no]],2)</f>
        <v>K4</v>
      </c>
      <c r="N811" s="456"/>
      <c r="O811"/>
      <c r="Z811" s="460"/>
      <c r="AA811" s="194"/>
      <c r="AB811"/>
      <c r="AG811" s="69"/>
      <c r="AH811"/>
    </row>
    <row r="812" spans="1:34" x14ac:dyDescent="0.2">
      <c r="A812" s="655"/>
      <c r="B812" s="655"/>
      <c r="C812"/>
      <c r="D812" s="655"/>
      <c r="E812" s="655"/>
      <c r="F812" s="655" t="str">
        <f>LEFT(AllDaqbookOffsets[[#This Row],[traceability_no]],2)</f>
        <v>K4</v>
      </c>
      <c r="N812" s="456"/>
      <c r="O812"/>
      <c r="Z812" s="460"/>
      <c r="AA812" s="194"/>
      <c r="AB812"/>
      <c r="AG812" s="69"/>
      <c r="AH812"/>
    </row>
    <row r="813" spans="1:34" x14ac:dyDescent="0.2">
      <c r="A813" s="655"/>
      <c r="B813" s="655"/>
      <c r="C813"/>
      <c r="D813" s="655"/>
      <c r="E813" s="655"/>
      <c r="F813" s="655" t="str">
        <f>LEFT(AllDaqbookOffsets[[#This Row],[traceability_no]],2)</f>
        <v>K4</v>
      </c>
      <c r="N813" s="456"/>
      <c r="O813"/>
      <c r="Z813" s="460"/>
      <c r="AA813" s="194"/>
      <c r="AB813"/>
      <c r="AG813" s="69"/>
      <c r="AH813"/>
    </row>
    <row r="814" spans="1:34" x14ac:dyDescent="0.2">
      <c r="A814" s="655"/>
      <c r="B814" s="655"/>
      <c r="C814"/>
      <c r="D814" s="655"/>
      <c r="E814" s="655"/>
      <c r="F814" s="655" t="str">
        <f>LEFT(AllDaqbookOffsets[[#This Row],[traceability_no]],2)</f>
        <v>K4</v>
      </c>
      <c r="N814" s="456"/>
      <c r="O814"/>
      <c r="Z814" s="460"/>
      <c r="AA814" s="194"/>
      <c r="AB814"/>
      <c r="AG814" s="69"/>
      <c r="AH814"/>
    </row>
    <row r="815" spans="1:34" x14ac:dyDescent="0.2">
      <c r="A815" s="655"/>
      <c r="B815" s="655"/>
      <c r="C815"/>
      <c r="D815" s="655"/>
      <c r="E815" s="655"/>
      <c r="F815" s="655" t="str">
        <f>LEFT(AllDaqbookOffsets[[#This Row],[traceability_no]],2)</f>
        <v>K4</v>
      </c>
      <c r="N815" s="456"/>
      <c r="O815"/>
      <c r="Z815" s="460"/>
      <c r="AA815" s="194"/>
      <c r="AB815"/>
      <c r="AG815" s="69"/>
      <c r="AH815"/>
    </row>
    <row r="816" spans="1:34" x14ac:dyDescent="0.2">
      <c r="A816" s="655"/>
      <c r="B816" s="655"/>
      <c r="C816"/>
      <c r="D816" s="655"/>
      <c r="E816" s="655"/>
      <c r="F816" s="655" t="str">
        <f>LEFT(AllDaqbookOffsets[[#This Row],[traceability_no]],2)</f>
        <v>K4</v>
      </c>
      <c r="N816" s="456"/>
      <c r="O816"/>
      <c r="Z816" s="460"/>
      <c r="AA816" s="194"/>
      <c r="AB816"/>
      <c r="AG816" s="69"/>
      <c r="AH816"/>
    </row>
    <row r="817" spans="1:34" x14ac:dyDescent="0.2">
      <c r="A817" s="655"/>
      <c r="B817" s="655"/>
      <c r="C817"/>
      <c r="D817" s="655"/>
      <c r="E817" s="655"/>
      <c r="F817" s="655" t="str">
        <f>LEFT(AllDaqbookOffsets[[#This Row],[traceability_no]],2)</f>
        <v>K4</v>
      </c>
      <c r="N817" s="456"/>
      <c r="O817"/>
      <c r="Z817" s="460"/>
      <c r="AA817" s="194"/>
      <c r="AB817"/>
      <c r="AG817" s="69"/>
      <c r="AH817"/>
    </row>
    <row r="818" spans="1:34" x14ac:dyDescent="0.2">
      <c r="A818" s="655"/>
      <c r="B818" s="655"/>
      <c r="C818"/>
      <c r="D818" s="655"/>
      <c r="E818" s="655"/>
      <c r="F818" s="655" t="str">
        <f>LEFT(AllDaqbookOffsets[[#This Row],[traceability_no]],2)</f>
        <v>K4</v>
      </c>
      <c r="N818" s="456"/>
      <c r="O818"/>
      <c r="Z818" s="460"/>
      <c r="AA818" s="194"/>
      <c r="AB818"/>
      <c r="AG818" s="69"/>
      <c r="AH818"/>
    </row>
    <row r="819" spans="1:34" x14ac:dyDescent="0.2">
      <c r="A819" s="655"/>
      <c r="B819" s="655"/>
      <c r="C819"/>
      <c r="D819" s="655"/>
      <c r="E819" s="655"/>
      <c r="F819" s="655" t="str">
        <f>LEFT(AllDaqbookOffsets[[#This Row],[traceability_no]],2)</f>
        <v>K4</v>
      </c>
      <c r="N819" s="456"/>
      <c r="O819"/>
      <c r="Z819" s="460"/>
      <c r="AA819" s="194"/>
      <c r="AB819"/>
      <c r="AG819" s="69"/>
      <c r="AH819"/>
    </row>
    <row r="820" spans="1:34" x14ac:dyDescent="0.2">
      <c r="A820" s="655"/>
      <c r="B820" s="655"/>
      <c r="C820"/>
      <c r="D820" s="655"/>
      <c r="E820" s="655"/>
      <c r="F820" s="655" t="str">
        <f>LEFT(AllDaqbookOffsets[[#This Row],[traceability_no]],2)</f>
        <v>K4</v>
      </c>
      <c r="N820" s="456"/>
      <c r="O820"/>
      <c r="Z820" s="460"/>
      <c r="AA820" s="194"/>
      <c r="AB820"/>
      <c r="AG820" s="69"/>
      <c r="AH820"/>
    </row>
    <row r="821" spans="1:34" x14ac:dyDescent="0.2">
      <c r="A821" s="655"/>
      <c r="B821" s="655"/>
      <c r="C821"/>
      <c r="D821" s="655"/>
      <c r="E821" s="655"/>
      <c r="F821" s="655" t="str">
        <f>LEFT(AllDaqbookOffsets[[#This Row],[traceability_no]],2)</f>
        <v>K4</v>
      </c>
      <c r="N821" s="456"/>
      <c r="O821"/>
      <c r="Z821" s="460"/>
      <c r="AA821" s="194"/>
      <c r="AB821"/>
      <c r="AG821" s="69"/>
      <c r="AH821"/>
    </row>
    <row r="822" spans="1:34" x14ac:dyDescent="0.2">
      <c r="A822" s="655"/>
      <c r="B822" s="655"/>
      <c r="C822"/>
      <c r="D822" s="655"/>
      <c r="E822" s="655"/>
      <c r="F822" s="655" t="str">
        <f>LEFT(AllDaqbookOffsets[[#This Row],[traceability_no]],2)</f>
        <v>K4</v>
      </c>
      <c r="N822" s="456"/>
      <c r="O822"/>
      <c r="Z822" s="460"/>
      <c r="AA822" s="194"/>
      <c r="AB822"/>
      <c r="AG822" s="69"/>
      <c r="AH822"/>
    </row>
    <row r="823" spans="1:34" x14ac:dyDescent="0.2">
      <c r="A823" s="655"/>
      <c r="B823" s="655"/>
      <c r="C823"/>
      <c r="D823" s="655"/>
      <c r="E823" s="655"/>
      <c r="F823" s="655" t="str">
        <f>LEFT(AllDaqbookOffsets[[#This Row],[traceability_no]],2)</f>
        <v>K4</v>
      </c>
      <c r="N823" s="456"/>
      <c r="O823"/>
      <c r="Z823" s="460"/>
      <c r="AA823" s="194"/>
      <c r="AB823"/>
      <c r="AG823" s="69"/>
      <c r="AH823"/>
    </row>
    <row r="824" spans="1:34" x14ac:dyDescent="0.2">
      <c r="A824" s="655"/>
      <c r="B824" s="655"/>
      <c r="C824"/>
      <c r="D824" s="655"/>
      <c r="E824" s="655"/>
      <c r="F824" s="655" t="str">
        <f>LEFT(AllDaqbookOffsets[[#This Row],[traceability_no]],2)</f>
        <v>K4</v>
      </c>
      <c r="N824" s="456"/>
      <c r="O824"/>
      <c r="Z824" s="460"/>
      <c r="AA824" s="194"/>
      <c r="AB824"/>
      <c r="AG824" s="69"/>
      <c r="AH824"/>
    </row>
    <row r="825" spans="1:34" x14ac:dyDescent="0.2">
      <c r="A825" s="655"/>
      <c r="B825" s="655"/>
      <c r="C825"/>
      <c r="D825" s="655"/>
      <c r="E825" s="655"/>
      <c r="F825" s="655" t="str">
        <f>LEFT(AllDaqbookOffsets[[#This Row],[traceability_no]],2)</f>
        <v>K4</v>
      </c>
      <c r="N825" s="456"/>
      <c r="O825"/>
      <c r="Z825" s="460"/>
      <c r="AA825" s="194"/>
      <c r="AB825"/>
      <c r="AG825" s="69"/>
      <c r="AH825"/>
    </row>
    <row r="826" spans="1:34" x14ac:dyDescent="0.2">
      <c r="A826" s="655"/>
      <c r="B826" s="655"/>
      <c r="C826"/>
      <c r="D826" s="655"/>
      <c r="E826" s="655"/>
      <c r="F826" s="655" t="str">
        <f>LEFT(AllDaqbookOffsets[[#This Row],[traceability_no]],2)</f>
        <v>K4</v>
      </c>
      <c r="N826" s="456"/>
      <c r="O826"/>
      <c r="Z826" s="460"/>
      <c r="AA826" s="194"/>
      <c r="AB826"/>
      <c r="AG826" s="69"/>
      <c r="AH826"/>
    </row>
    <row r="827" spans="1:34" x14ac:dyDescent="0.2">
      <c r="A827" s="655"/>
      <c r="B827" s="655"/>
      <c r="C827"/>
      <c r="D827" s="655"/>
      <c r="E827" s="655"/>
      <c r="F827" s="655" t="str">
        <f>LEFT(AllDaqbookOffsets[[#This Row],[traceability_no]],2)</f>
        <v>K4</v>
      </c>
      <c r="N827" s="456"/>
      <c r="O827"/>
      <c r="Z827" s="460"/>
      <c r="AA827" s="194"/>
      <c r="AB827"/>
      <c r="AG827" s="69"/>
      <c r="AH827"/>
    </row>
    <row r="828" spans="1:34" x14ac:dyDescent="0.2">
      <c r="A828" s="655"/>
      <c r="B828" s="655"/>
      <c r="C828"/>
      <c r="D828" s="655"/>
      <c r="E828" s="655"/>
      <c r="F828" s="655" t="str">
        <f>LEFT(AllDaqbookOffsets[[#This Row],[traceability_no]],2)</f>
        <v>K4</v>
      </c>
      <c r="N828" s="456"/>
      <c r="O828"/>
      <c r="Z828" s="460"/>
      <c r="AA828" s="194"/>
      <c r="AB828"/>
      <c r="AG828" s="69"/>
      <c r="AH828"/>
    </row>
    <row r="829" spans="1:34" x14ac:dyDescent="0.2">
      <c r="A829" s="655"/>
      <c r="B829" s="655"/>
      <c r="C829"/>
      <c r="D829" s="655"/>
      <c r="E829" s="655"/>
      <c r="F829" s="655" t="str">
        <f>LEFT(AllDaqbookOffsets[[#This Row],[traceability_no]],2)</f>
        <v>K4</v>
      </c>
      <c r="N829" s="456"/>
      <c r="O829"/>
      <c r="Z829" s="460"/>
      <c r="AA829" s="194"/>
      <c r="AB829"/>
      <c r="AG829" s="69"/>
      <c r="AH829"/>
    </row>
    <row r="830" spans="1:34" x14ac:dyDescent="0.2">
      <c r="A830" s="655"/>
      <c r="B830" s="655"/>
      <c r="C830"/>
      <c r="D830" s="655"/>
      <c r="E830" s="655"/>
      <c r="F830" s="655" t="str">
        <f>LEFT(AllDaqbookOffsets[[#This Row],[traceability_no]],2)</f>
        <v>K4</v>
      </c>
      <c r="N830" s="456"/>
      <c r="O830"/>
      <c r="Z830" s="460"/>
      <c r="AA830" s="194"/>
      <c r="AB830"/>
      <c r="AG830" s="69"/>
      <c r="AH830"/>
    </row>
    <row r="831" spans="1:34" x14ac:dyDescent="0.2">
      <c r="A831" s="655"/>
      <c r="B831" s="655"/>
      <c r="C831"/>
      <c r="D831" s="655"/>
      <c r="E831" s="655"/>
      <c r="F831" s="655" t="str">
        <f>LEFT(AllDaqbookOffsets[[#This Row],[traceability_no]],2)</f>
        <v>K4</v>
      </c>
      <c r="N831" s="456"/>
      <c r="O831"/>
      <c r="Z831" s="460"/>
      <c r="AA831" s="194"/>
      <c r="AB831"/>
      <c r="AG831" s="69"/>
      <c r="AH831"/>
    </row>
    <row r="832" spans="1:34" x14ac:dyDescent="0.2">
      <c r="A832" s="655"/>
      <c r="B832" s="655"/>
      <c r="C832"/>
      <c r="D832" s="655"/>
      <c r="E832" s="655"/>
      <c r="F832" s="655" t="str">
        <f>LEFT(AllDaqbookOffsets[[#This Row],[traceability_no]],2)</f>
        <v>K4</v>
      </c>
      <c r="N832" s="456"/>
      <c r="O832"/>
      <c r="Z832" s="460"/>
      <c r="AA832" s="194"/>
      <c r="AB832"/>
      <c r="AG832" s="69"/>
      <c r="AH832"/>
    </row>
    <row r="833" spans="1:34" x14ac:dyDescent="0.2">
      <c r="A833" s="655"/>
      <c r="B833" s="655"/>
      <c r="C833"/>
      <c r="D833" s="655"/>
      <c r="E833" s="655"/>
      <c r="F833" s="655" t="str">
        <f>LEFT(AllDaqbookOffsets[[#This Row],[traceability_no]],2)</f>
        <v>K4</v>
      </c>
      <c r="N833" s="456"/>
      <c r="O833"/>
      <c r="Z833" s="460"/>
      <c r="AA833" s="194"/>
      <c r="AB833"/>
      <c r="AG833" s="69"/>
      <c r="AH833"/>
    </row>
    <row r="834" spans="1:34" x14ac:dyDescent="0.2">
      <c r="A834" s="655"/>
      <c r="B834" s="655"/>
      <c r="C834"/>
      <c r="D834" s="655"/>
      <c r="E834" s="655"/>
      <c r="F834" s="655" t="str">
        <f>LEFT(AllDaqbookOffsets[[#This Row],[traceability_no]],2)</f>
        <v>K4</v>
      </c>
      <c r="N834" s="456"/>
      <c r="O834"/>
      <c r="Z834" s="460"/>
      <c r="AA834" s="194"/>
      <c r="AB834"/>
      <c r="AG834" s="69"/>
      <c r="AH834"/>
    </row>
    <row r="835" spans="1:34" x14ac:dyDescent="0.2">
      <c r="A835" s="655"/>
      <c r="B835" s="655"/>
      <c r="C835"/>
      <c r="D835" s="655"/>
      <c r="E835" s="655"/>
      <c r="F835" s="655" t="str">
        <f>LEFT(AllDaqbookOffsets[[#This Row],[traceability_no]],2)</f>
        <v>K4</v>
      </c>
      <c r="N835" s="456"/>
      <c r="O835"/>
      <c r="Z835" s="460"/>
      <c r="AA835" s="194"/>
      <c r="AB835"/>
      <c r="AG835" s="69"/>
      <c r="AH835"/>
    </row>
    <row r="836" spans="1:34" x14ac:dyDescent="0.2">
      <c r="A836" s="655"/>
      <c r="B836" s="655"/>
      <c r="C836"/>
      <c r="D836" s="655"/>
      <c r="E836" s="655"/>
      <c r="F836" s="655" t="str">
        <f>LEFT(AllDaqbookOffsets[[#This Row],[traceability_no]],2)</f>
        <v>K4</v>
      </c>
      <c r="N836" s="456"/>
      <c r="O836"/>
      <c r="Z836" s="460"/>
      <c r="AA836" s="194"/>
      <c r="AB836"/>
      <c r="AG836" s="69"/>
      <c r="AH836"/>
    </row>
    <row r="837" spans="1:34" x14ac:dyDescent="0.2">
      <c r="A837" s="655"/>
      <c r="B837" s="655"/>
      <c r="C837"/>
      <c r="D837" s="655"/>
      <c r="E837" s="655"/>
      <c r="F837" s="655" t="str">
        <f>LEFT(AllDaqbookOffsets[[#This Row],[traceability_no]],2)</f>
        <v>K4</v>
      </c>
      <c r="N837" s="456"/>
      <c r="O837"/>
      <c r="Z837" s="460"/>
      <c r="AA837" s="194"/>
      <c r="AB837"/>
      <c r="AG837" s="69"/>
      <c r="AH837"/>
    </row>
    <row r="838" spans="1:34" x14ac:dyDescent="0.2">
      <c r="A838" s="655"/>
      <c r="B838" s="655"/>
      <c r="C838"/>
      <c r="D838" s="655"/>
      <c r="E838" s="655"/>
      <c r="F838" s="655" t="str">
        <f>LEFT(AllDaqbookOffsets[[#This Row],[traceability_no]],2)</f>
        <v>K4</v>
      </c>
      <c r="N838" s="456"/>
      <c r="O838"/>
      <c r="Z838" s="460"/>
      <c r="AA838" s="194"/>
      <c r="AB838"/>
      <c r="AG838" s="69"/>
      <c r="AH838"/>
    </row>
    <row r="839" spans="1:34" x14ac:dyDescent="0.2">
      <c r="A839" s="655"/>
      <c r="B839" s="655"/>
      <c r="C839"/>
      <c r="D839" s="655"/>
      <c r="E839" s="655"/>
      <c r="F839" s="655" t="str">
        <f>LEFT(AllDaqbookOffsets[[#This Row],[traceability_no]],2)</f>
        <v>K4</v>
      </c>
      <c r="N839" s="456"/>
      <c r="O839"/>
      <c r="Z839" s="460"/>
      <c r="AA839" s="194"/>
      <c r="AB839"/>
      <c r="AG839" s="69"/>
      <c r="AH839"/>
    </row>
    <row r="840" spans="1:34" x14ac:dyDescent="0.2">
      <c r="A840" s="655"/>
      <c r="B840" s="655"/>
      <c r="C840"/>
      <c r="D840" s="655"/>
      <c r="E840" s="655"/>
      <c r="F840" s="655" t="str">
        <f>LEFT(AllDaqbookOffsets[[#This Row],[traceability_no]],2)</f>
        <v>K4</v>
      </c>
      <c r="N840" s="456"/>
      <c r="O840"/>
      <c r="Z840" s="460"/>
      <c r="AA840" s="194"/>
      <c r="AB840"/>
      <c r="AG840" s="69"/>
      <c r="AH840"/>
    </row>
    <row r="841" spans="1:34" x14ac:dyDescent="0.2">
      <c r="A841" s="655"/>
      <c r="B841" s="655"/>
      <c r="C841"/>
      <c r="D841" s="655"/>
      <c r="E841" s="655"/>
      <c r="F841" s="655" t="str">
        <f>LEFT(AllDaqbookOffsets[[#This Row],[traceability_no]],2)</f>
        <v>K4</v>
      </c>
      <c r="N841" s="456"/>
      <c r="O841"/>
      <c r="Z841" s="460"/>
      <c r="AA841" s="194"/>
      <c r="AB841"/>
      <c r="AG841" s="69"/>
      <c r="AH841"/>
    </row>
    <row r="842" spans="1:34" x14ac:dyDescent="0.2">
      <c r="A842" s="655"/>
      <c r="B842" s="655"/>
      <c r="C842"/>
      <c r="D842" s="655"/>
      <c r="E842" s="655"/>
      <c r="F842" s="655" t="str">
        <f>LEFT(AllDaqbookOffsets[[#This Row],[traceability_no]],2)</f>
        <v>K4</v>
      </c>
      <c r="N842" s="456"/>
      <c r="O842"/>
      <c r="Z842" s="460"/>
      <c r="AA842" s="194"/>
      <c r="AB842"/>
      <c r="AG842" s="69"/>
      <c r="AH842"/>
    </row>
    <row r="843" spans="1:34" x14ac:dyDescent="0.2">
      <c r="A843" s="655"/>
      <c r="B843" s="655"/>
      <c r="C843"/>
      <c r="D843" s="655"/>
      <c r="E843" s="655"/>
      <c r="F843" s="655" t="str">
        <f>LEFT(AllDaqbookOffsets[[#This Row],[traceability_no]],2)</f>
        <v>K4</v>
      </c>
      <c r="N843" s="456"/>
      <c r="O843"/>
      <c r="Z843" s="460"/>
      <c r="AA843" s="194"/>
      <c r="AB843"/>
      <c r="AG843" s="69"/>
      <c r="AH843"/>
    </row>
    <row r="844" spans="1:34" x14ac:dyDescent="0.2">
      <c r="A844" s="655"/>
      <c r="B844" s="655"/>
      <c r="C844"/>
      <c r="D844" s="655"/>
      <c r="E844" s="655"/>
      <c r="F844" s="655" t="str">
        <f>LEFT(AllDaqbookOffsets[[#This Row],[traceability_no]],2)</f>
        <v>K4</v>
      </c>
      <c r="N844" s="456"/>
      <c r="O844"/>
      <c r="Z844" s="460"/>
      <c r="AA844" s="194"/>
      <c r="AB844"/>
      <c r="AG844" s="69"/>
      <c r="AH844"/>
    </row>
    <row r="845" spans="1:34" x14ac:dyDescent="0.2">
      <c r="A845" s="655"/>
      <c r="B845" s="655"/>
      <c r="C845"/>
      <c r="D845" s="655"/>
      <c r="E845" s="655"/>
      <c r="F845" s="655" t="str">
        <f>LEFT(AllDaqbookOffsets[[#This Row],[traceability_no]],2)</f>
        <v>K4</v>
      </c>
      <c r="N845" s="456"/>
      <c r="O845"/>
      <c r="Z845" s="460"/>
      <c r="AA845" s="194"/>
      <c r="AB845"/>
      <c r="AG845" s="69"/>
      <c r="AH845"/>
    </row>
    <row r="846" spans="1:34" x14ac:dyDescent="0.2">
      <c r="A846" s="655"/>
      <c r="B846" s="655"/>
      <c r="C846"/>
      <c r="D846" s="655"/>
      <c r="E846" s="655"/>
      <c r="F846" s="655" t="str">
        <f>LEFT(AllDaqbookOffsets[[#This Row],[traceability_no]],2)</f>
        <v>K4</v>
      </c>
      <c r="N846" s="456"/>
      <c r="O846"/>
      <c r="Z846" s="460"/>
      <c r="AA846" s="194"/>
      <c r="AB846"/>
      <c r="AG846" s="69"/>
      <c r="AH846"/>
    </row>
    <row r="847" spans="1:34" x14ac:dyDescent="0.2">
      <c r="A847" s="655"/>
      <c r="B847" s="655"/>
      <c r="C847"/>
      <c r="D847" s="655"/>
      <c r="E847" s="655"/>
      <c r="F847" s="655" t="str">
        <f>LEFT(AllDaqbookOffsets[[#This Row],[traceability_no]],2)</f>
        <v>K4</v>
      </c>
      <c r="N847" s="456"/>
      <c r="O847"/>
      <c r="Z847" s="460"/>
      <c r="AA847" s="194"/>
      <c r="AB847"/>
      <c r="AG847" s="69"/>
      <c r="AH847"/>
    </row>
    <row r="848" spans="1:34" x14ac:dyDescent="0.2">
      <c r="A848" s="655"/>
      <c r="B848" s="655"/>
      <c r="C848"/>
      <c r="D848" s="655"/>
      <c r="E848" s="655"/>
      <c r="F848" s="655" t="str">
        <f>LEFT(AllDaqbookOffsets[[#This Row],[traceability_no]],2)</f>
        <v>K4</v>
      </c>
      <c r="N848" s="456"/>
      <c r="O848"/>
      <c r="Z848" s="460"/>
      <c r="AA848" s="194"/>
      <c r="AB848"/>
      <c r="AG848" s="69"/>
      <c r="AH848"/>
    </row>
    <row r="849" spans="1:34" x14ac:dyDescent="0.2">
      <c r="A849" s="655"/>
      <c r="B849" s="655"/>
      <c r="C849"/>
      <c r="D849" s="655"/>
      <c r="E849" s="655"/>
      <c r="F849" s="655" t="str">
        <f>LEFT(AllDaqbookOffsets[[#This Row],[traceability_no]],2)</f>
        <v>K4</v>
      </c>
      <c r="N849" s="456"/>
      <c r="O849"/>
      <c r="Z849" s="460"/>
      <c r="AA849" s="194"/>
      <c r="AB849"/>
      <c r="AG849" s="69"/>
      <c r="AH849"/>
    </row>
    <row r="850" spans="1:34" x14ac:dyDescent="0.2">
      <c r="A850" s="655"/>
      <c r="B850" s="655"/>
      <c r="C850"/>
      <c r="D850" s="655"/>
      <c r="E850" s="655"/>
      <c r="F850" s="655" t="str">
        <f>LEFT(AllDaqbookOffsets[[#This Row],[traceability_no]],2)</f>
        <v>K4</v>
      </c>
      <c r="N850" s="456"/>
      <c r="O850"/>
      <c r="Z850" s="460"/>
      <c r="AA850" s="194"/>
      <c r="AB850"/>
      <c r="AG850" s="69"/>
      <c r="AH850"/>
    </row>
    <row r="851" spans="1:34" x14ac:dyDescent="0.2">
      <c r="A851" s="655"/>
      <c r="B851" s="655"/>
      <c r="C851"/>
      <c r="D851" s="655"/>
      <c r="E851" s="655"/>
      <c r="F851" s="655" t="str">
        <f>LEFT(AllDaqbookOffsets[[#This Row],[traceability_no]],2)</f>
        <v>K4</v>
      </c>
      <c r="N851" s="456"/>
      <c r="O851"/>
      <c r="Z851" s="460"/>
      <c r="AA851" s="194"/>
      <c r="AB851"/>
      <c r="AG851" s="69"/>
      <c r="AH851"/>
    </row>
    <row r="852" spans="1:34" x14ac:dyDescent="0.2">
      <c r="A852" s="655"/>
      <c r="B852" s="655"/>
      <c r="C852"/>
      <c r="D852" s="655"/>
      <c r="E852" s="655"/>
      <c r="F852" s="655" t="str">
        <f>LEFT(AllDaqbookOffsets[[#This Row],[traceability_no]],2)</f>
        <v>K4</v>
      </c>
      <c r="N852" s="456"/>
      <c r="O852"/>
      <c r="Z852" s="460"/>
      <c r="AA852" s="194"/>
      <c r="AB852"/>
      <c r="AG852" s="69"/>
      <c r="AH852"/>
    </row>
    <row r="853" spans="1:34" x14ac:dyDescent="0.2">
      <c r="A853" s="655"/>
      <c r="B853" s="655"/>
      <c r="C853"/>
      <c r="D853" s="655"/>
      <c r="E853" s="655"/>
      <c r="F853" s="655" t="str">
        <f>LEFT(AllDaqbookOffsets[[#This Row],[traceability_no]],2)</f>
        <v>K4</v>
      </c>
      <c r="N853" s="456"/>
      <c r="O853"/>
      <c r="Z853" s="460"/>
      <c r="AA853" s="194"/>
      <c r="AB853"/>
      <c r="AG853" s="69"/>
      <c r="AH853"/>
    </row>
    <row r="854" spans="1:34" x14ac:dyDescent="0.2">
      <c r="A854" s="655"/>
      <c r="B854" s="655"/>
      <c r="C854"/>
      <c r="D854" s="655"/>
      <c r="E854" s="655"/>
      <c r="F854" s="655" t="str">
        <f>LEFT(AllDaqbookOffsets[[#This Row],[traceability_no]],2)</f>
        <v>K4</v>
      </c>
      <c r="N854" s="456"/>
      <c r="O854"/>
      <c r="Z854" s="460"/>
      <c r="AA854" s="194"/>
      <c r="AB854"/>
      <c r="AG854" s="69"/>
      <c r="AH854"/>
    </row>
    <row r="855" spans="1:34" x14ac:dyDescent="0.2">
      <c r="A855" s="655"/>
      <c r="B855" s="655"/>
      <c r="C855"/>
      <c r="D855" s="655"/>
      <c r="E855" s="655"/>
      <c r="F855" s="655" t="str">
        <f>LEFT(AllDaqbookOffsets[[#This Row],[traceability_no]],2)</f>
        <v>K4</v>
      </c>
      <c r="N855" s="456"/>
      <c r="O855"/>
      <c r="Z855" s="460"/>
      <c r="AA855" s="194"/>
      <c r="AB855"/>
      <c r="AG855" s="69"/>
      <c r="AH855"/>
    </row>
    <row r="856" spans="1:34" x14ac:dyDescent="0.2">
      <c r="A856" s="655"/>
      <c r="B856" s="655"/>
      <c r="C856"/>
      <c r="D856" s="655"/>
      <c r="E856" s="655"/>
      <c r="F856" s="655" t="str">
        <f>LEFT(AllDaqbookOffsets[[#This Row],[traceability_no]],2)</f>
        <v>K4</v>
      </c>
      <c r="N856" s="456"/>
      <c r="O856"/>
      <c r="Z856" s="460"/>
      <c r="AA856" s="194"/>
      <c r="AB856"/>
      <c r="AG856" s="69"/>
      <c r="AH856"/>
    </row>
    <row r="857" spans="1:34" x14ac:dyDescent="0.2">
      <c r="A857" s="655"/>
      <c r="B857" s="655"/>
      <c r="C857"/>
      <c r="D857" s="655"/>
      <c r="E857" s="655"/>
      <c r="F857" s="655" t="str">
        <f>LEFT(AllDaqbookOffsets[[#This Row],[traceability_no]],2)</f>
        <v>K4</v>
      </c>
      <c r="N857" s="456"/>
      <c r="O857"/>
      <c r="Z857" s="460"/>
      <c r="AA857" s="194"/>
      <c r="AB857"/>
      <c r="AG857" s="69"/>
      <c r="AH857"/>
    </row>
    <row r="858" spans="1:34" x14ac:dyDescent="0.2">
      <c r="A858" s="655"/>
      <c r="B858" s="655"/>
      <c r="C858"/>
      <c r="D858" s="655"/>
      <c r="E858" s="655"/>
      <c r="F858" s="655" t="str">
        <f>LEFT(AllDaqbookOffsets[[#This Row],[traceability_no]],2)</f>
        <v>K4</v>
      </c>
      <c r="N858" s="456"/>
      <c r="O858"/>
      <c r="Z858" s="460"/>
      <c r="AA858" s="194"/>
      <c r="AB858"/>
      <c r="AG858" s="69"/>
      <c r="AH858"/>
    </row>
    <row r="859" spans="1:34" x14ac:dyDescent="0.2">
      <c r="A859" s="655"/>
      <c r="B859" s="655"/>
      <c r="C859"/>
      <c r="D859" s="655"/>
      <c r="E859" s="655"/>
      <c r="F859" s="655" t="str">
        <f>LEFT(AllDaqbookOffsets[[#This Row],[traceability_no]],2)</f>
        <v>K4</v>
      </c>
      <c r="N859" s="456"/>
      <c r="O859"/>
      <c r="Z859" s="460"/>
      <c r="AA859" s="194"/>
      <c r="AB859"/>
      <c r="AG859" s="69"/>
      <c r="AH859"/>
    </row>
    <row r="860" spans="1:34" x14ac:dyDescent="0.2">
      <c r="A860" s="655"/>
      <c r="B860" s="655"/>
      <c r="C860"/>
      <c r="D860" s="655"/>
      <c r="E860" s="655"/>
      <c r="F860" s="655" t="str">
        <f>LEFT(AllDaqbookOffsets[[#This Row],[traceability_no]],2)</f>
        <v>K4</v>
      </c>
      <c r="N860" s="456"/>
      <c r="O860"/>
      <c r="Z860" s="460"/>
      <c r="AA860" s="194"/>
      <c r="AB860"/>
      <c r="AG860" s="69"/>
      <c r="AH860"/>
    </row>
    <row r="861" spans="1:34" x14ac:dyDescent="0.2">
      <c r="A861" s="655"/>
      <c r="B861" s="655"/>
      <c r="C861"/>
      <c r="D861" s="655"/>
      <c r="E861" s="655"/>
      <c r="F861" s="655" t="str">
        <f>LEFT(AllDaqbookOffsets[[#This Row],[traceability_no]],2)</f>
        <v>K4</v>
      </c>
      <c r="N861" s="456"/>
      <c r="O861"/>
      <c r="Z861" s="460"/>
      <c r="AA861" s="194"/>
      <c r="AB861"/>
      <c r="AG861" s="69"/>
      <c r="AH861"/>
    </row>
    <row r="862" spans="1:34" x14ac:dyDescent="0.2">
      <c r="A862" s="655"/>
      <c r="B862" s="655"/>
      <c r="C862"/>
      <c r="D862" s="655"/>
      <c r="E862" s="655"/>
      <c r="F862" s="655" t="str">
        <f>LEFT(AllDaqbookOffsets[[#This Row],[traceability_no]],2)</f>
        <v>K4</v>
      </c>
      <c r="N862" s="456"/>
      <c r="O862"/>
      <c r="Z862" s="460"/>
      <c r="AA862" s="194"/>
      <c r="AB862"/>
      <c r="AG862" s="69"/>
      <c r="AH862"/>
    </row>
    <row r="863" spans="1:34" x14ac:dyDescent="0.2">
      <c r="A863" s="655"/>
      <c r="B863" s="655"/>
      <c r="C863"/>
      <c r="D863" s="655"/>
      <c r="E863" s="655"/>
      <c r="F863" s="655" t="str">
        <f>LEFT(AllDaqbookOffsets[[#This Row],[traceability_no]],2)</f>
        <v>K4</v>
      </c>
      <c r="N863" s="456"/>
      <c r="O863"/>
      <c r="Z863" s="460"/>
      <c r="AA863" s="194"/>
      <c r="AB863"/>
      <c r="AG863" s="69"/>
      <c r="AH863"/>
    </row>
    <row r="864" spans="1:34" x14ac:dyDescent="0.2">
      <c r="A864" s="655"/>
      <c r="B864" s="655"/>
      <c r="C864"/>
      <c r="D864" s="655"/>
      <c r="E864" s="655"/>
      <c r="F864" s="655" t="str">
        <f>LEFT(AllDaqbookOffsets[[#This Row],[traceability_no]],2)</f>
        <v>K4</v>
      </c>
      <c r="N864" s="456"/>
      <c r="O864"/>
      <c r="Z864" s="460"/>
      <c r="AA864" s="194"/>
      <c r="AB864"/>
      <c r="AG864" s="69"/>
      <c r="AH864"/>
    </row>
    <row r="865" spans="1:34" x14ac:dyDescent="0.2">
      <c r="A865" s="655"/>
      <c r="B865" s="655"/>
      <c r="C865"/>
      <c r="D865" s="655"/>
      <c r="E865" s="655"/>
      <c r="F865" s="655" t="str">
        <f>LEFT(AllDaqbookOffsets[[#This Row],[traceability_no]],2)</f>
        <v>K4</v>
      </c>
      <c r="N865" s="456"/>
      <c r="O865"/>
      <c r="Z865" s="460"/>
      <c r="AA865" s="194"/>
      <c r="AB865"/>
      <c r="AG865" s="69"/>
      <c r="AH865"/>
    </row>
    <row r="866" spans="1:34" x14ac:dyDescent="0.2">
      <c r="A866" s="655"/>
      <c r="B866" s="655"/>
      <c r="C866"/>
      <c r="D866" s="655"/>
      <c r="E866" s="655"/>
      <c r="F866" s="655" t="str">
        <f>LEFT(AllDaqbookOffsets[[#This Row],[traceability_no]],2)</f>
        <v>K4</v>
      </c>
      <c r="N866" s="456"/>
      <c r="O866"/>
      <c r="Z866" s="460"/>
      <c r="AA866" s="194"/>
      <c r="AB866"/>
      <c r="AG866" s="69"/>
      <c r="AH866"/>
    </row>
    <row r="867" spans="1:34" x14ac:dyDescent="0.2">
      <c r="A867" s="655"/>
      <c r="B867" s="655"/>
      <c r="C867"/>
      <c r="D867" s="655"/>
      <c r="E867" s="655"/>
      <c r="F867" s="655" t="str">
        <f>LEFT(AllDaqbookOffsets[[#This Row],[traceability_no]],2)</f>
        <v>K4</v>
      </c>
      <c r="N867" s="456"/>
      <c r="O867"/>
      <c r="Z867" s="460"/>
      <c r="AA867" s="194"/>
      <c r="AB867"/>
      <c r="AG867" s="69"/>
      <c r="AH867"/>
    </row>
    <row r="868" spans="1:34" x14ac:dyDescent="0.2">
      <c r="A868" s="655"/>
      <c r="B868" s="655"/>
      <c r="C868"/>
      <c r="D868" s="655"/>
      <c r="E868" s="655"/>
      <c r="F868" s="655" t="str">
        <f>LEFT(AllDaqbookOffsets[[#This Row],[traceability_no]],2)</f>
        <v>K4</v>
      </c>
      <c r="N868" s="456"/>
      <c r="O868"/>
      <c r="Z868" s="460"/>
      <c r="AA868" s="194"/>
      <c r="AB868"/>
      <c r="AG868" s="69"/>
      <c r="AH868"/>
    </row>
    <row r="869" spans="1:34" x14ac:dyDescent="0.2">
      <c r="A869" s="655"/>
      <c r="B869" s="655"/>
      <c r="C869"/>
      <c r="D869" s="655"/>
      <c r="E869" s="655"/>
      <c r="F869" s="655" t="str">
        <f>LEFT(AllDaqbookOffsets[[#This Row],[traceability_no]],2)</f>
        <v>K4</v>
      </c>
      <c r="N869" s="456"/>
      <c r="O869"/>
      <c r="Z869" s="460"/>
      <c r="AA869" s="194"/>
      <c r="AB869"/>
      <c r="AG869" s="69"/>
      <c r="AH869"/>
    </row>
    <row r="870" spans="1:34" x14ac:dyDescent="0.2">
      <c r="A870" s="655"/>
      <c r="B870" s="655"/>
      <c r="C870"/>
      <c r="D870" s="655"/>
      <c r="E870" s="655"/>
      <c r="F870" s="655" t="str">
        <f>LEFT(AllDaqbookOffsets[[#This Row],[traceability_no]],2)</f>
        <v>K4</v>
      </c>
      <c r="N870" s="456"/>
      <c r="O870"/>
      <c r="Z870" s="460"/>
      <c r="AA870" s="194"/>
      <c r="AB870"/>
      <c r="AG870" s="69"/>
      <c r="AH870"/>
    </row>
    <row r="871" spans="1:34" x14ac:dyDescent="0.2">
      <c r="A871" s="655"/>
      <c r="B871" s="655"/>
      <c r="C871"/>
      <c r="D871" s="655"/>
      <c r="E871" s="655"/>
      <c r="F871" s="655" t="str">
        <f>LEFT(AllDaqbookOffsets[[#This Row],[traceability_no]],2)</f>
        <v>K4</v>
      </c>
      <c r="N871" s="456"/>
      <c r="O871"/>
      <c r="Z871" s="460"/>
      <c r="AA871" s="194"/>
      <c r="AB871"/>
      <c r="AG871" s="69"/>
      <c r="AH871"/>
    </row>
    <row r="872" spans="1:34" x14ac:dyDescent="0.2">
      <c r="A872" s="655"/>
      <c r="B872" s="655"/>
      <c r="C872"/>
      <c r="D872" s="655"/>
      <c r="E872" s="655"/>
      <c r="F872" s="655" t="str">
        <f>LEFT(AllDaqbookOffsets[[#This Row],[traceability_no]],2)</f>
        <v>K4</v>
      </c>
      <c r="N872" s="456"/>
      <c r="O872"/>
      <c r="Z872" s="460"/>
      <c r="AA872" s="194"/>
      <c r="AB872"/>
      <c r="AG872" s="69"/>
      <c r="AH872"/>
    </row>
    <row r="873" spans="1:34" x14ac:dyDescent="0.2">
      <c r="A873" s="655"/>
      <c r="B873" s="655"/>
      <c r="C873"/>
      <c r="D873" s="655"/>
      <c r="E873" s="655"/>
      <c r="F873" s="655" t="str">
        <f>LEFT(AllDaqbookOffsets[[#This Row],[traceability_no]],2)</f>
        <v>K4</v>
      </c>
      <c r="N873" s="456"/>
      <c r="O873"/>
      <c r="Z873" s="460"/>
      <c r="AA873" s="194"/>
      <c r="AB873"/>
      <c r="AG873" s="69"/>
      <c r="AH873"/>
    </row>
    <row r="874" spans="1:34" x14ac:dyDescent="0.2">
      <c r="A874" s="655"/>
      <c r="B874" s="655"/>
      <c r="C874"/>
      <c r="D874" s="655"/>
      <c r="E874" s="655"/>
      <c r="F874" s="655" t="str">
        <f>LEFT(AllDaqbookOffsets[[#This Row],[traceability_no]],2)</f>
        <v>K4</v>
      </c>
      <c r="N874" s="456"/>
      <c r="O874"/>
      <c r="Z874" s="460"/>
      <c r="AA874" s="194"/>
      <c r="AB874"/>
      <c r="AG874" s="69"/>
      <c r="AH874"/>
    </row>
    <row r="875" spans="1:34" x14ac:dyDescent="0.2">
      <c r="A875" s="655"/>
      <c r="B875" s="655"/>
      <c r="C875"/>
      <c r="D875" s="655"/>
      <c r="E875" s="655"/>
      <c r="F875" s="655" t="str">
        <f>LEFT(AllDaqbookOffsets[[#This Row],[traceability_no]],2)</f>
        <v>K4</v>
      </c>
      <c r="N875" s="456"/>
      <c r="O875"/>
      <c r="Z875" s="460"/>
      <c r="AA875" s="194"/>
      <c r="AB875"/>
      <c r="AG875" s="69"/>
      <c r="AH875"/>
    </row>
    <row r="876" spans="1:34" x14ac:dyDescent="0.2">
      <c r="A876" s="655"/>
      <c r="B876" s="655"/>
      <c r="C876"/>
      <c r="D876" s="655"/>
      <c r="E876" s="655"/>
      <c r="F876" s="655" t="str">
        <f>LEFT(AllDaqbookOffsets[[#This Row],[traceability_no]],2)</f>
        <v>K4</v>
      </c>
      <c r="N876" s="456"/>
      <c r="O876"/>
      <c r="Z876" s="460"/>
      <c r="AA876" s="194"/>
      <c r="AB876"/>
      <c r="AG876" s="69"/>
      <c r="AH876"/>
    </row>
    <row r="877" spans="1:34" x14ac:dyDescent="0.2">
      <c r="A877" s="655"/>
      <c r="B877" s="655"/>
      <c r="C877"/>
      <c r="D877" s="655"/>
      <c r="E877" s="655"/>
      <c r="F877" s="655" t="str">
        <f>LEFT(AllDaqbookOffsets[[#This Row],[traceability_no]],2)</f>
        <v>K4</v>
      </c>
      <c r="N877" s="456"/>
      <c r="O877"/>
      <c r="Z877" s="460"/>
      <c r="AA877" s="194"/>
      <c r="AB877"/>
      <c r="AG877" s="69"/>
      <c r="AH877"/>
    </row>
    <row r="878" spans="1:34" x14ac:dyDescent="0.2">
      <c r="A878" s="655"/>
      <c r="B878" s="655"/>
      <c r="C878"/>
      <c r="D878" s="655"/>
      <c r="E878" s="655"/>
      <c r="F878" s="655" t="str">
        <f>LEFT(AllDaqbookOffsets[[#This Row],[traceability_no]],2)</f>
        <v>K4</v>
      </c>
      <c r="N878" s="456"/>
      <c r="O878"/>
      <c r="Z878" s="460"/>
      <c r="AA878" s="194"/>
      <c r="AB878"/>
      <c r="AG878" s="69"/>
      <c r="AH878"/>
    </row>
    <row r="879" spans="1:34" x14ac:dyDescent="0.2">
      <c r="A879" s="655"/>
      <c r="B879" s="655"/>
      <c r="C879"/>
      <c r="D879" s="655"/>
      <c r="E879" s="655"/>
      <c r="F879" s="655" t="str">
        <f>LEFT(AllDaqbookOffsets[[#This Row],[traceability_no]],2)</f>
        <v>K4</v>
      </c>
      <c r="N879" s="456"/>
      <c r="O879"/>
      <c r="Z879" s="460"/>
      <c r="AA879" s="194"/>
      <c r="AB879"/>
      <c r="AG879" s="69"/>
      <c r="AH879"/>
    </row>
    <row r="880" spans="1:34" x14ac:dyDescent="0.2">
      <c r="A880" s="655"/>
      <c r="B880" s="655"/>
      <c r="C880"/>
      <c r="D880" s="655"/>
      <c r="E880" s="655"/>
      <c r="F880" s="655" t="str">
        <f>LEFT(AllDaqbookOffsets[[#This Row],[traceability_no]],2)</f>
        <v>K4</v>
      </c>
      <c r="N880" s="456"/>
      <c r="O880"/>
      <c r="Z880" s="460"/>
      <c r="AA880" s="194"/>
      <c r="AB880"/>
      <c r="AG880" s="69"/>
      <c r="AH880"/>
    </row>
    <row r="881" spans="1:34" x14ac:dyDescent="0.2">
      <c r="A881" s="655"/>
      <c r="B881" s="655"/>
      <c r="C881"/>
      <c r="D881" s="655"/>
      <c r="E881" s="655"/>
      <c r="F881" s="655" t="str">
        <f>LEFT(AllDaqbookOffsets[[#This Row],[traceability_no]],2)</f>
        <v>K4</v>
      </c>
      <c r="N881" s="456"/>
      <c r="O881"/>
      <c r="Z881" s="460"/>
      <c r="AA881" s="194"/>
      <c r="AB881"/>
      <c r="AG881" s="69"/>
      <c r="AH881"/>
    </row>
    <row r="882" spans="1:34" x14ac:dyDescent="0.2">
      <c r="A882" s="655"/>
      <c r="B882" s="655"/>
      <c r="C882"/>
      <c r="D882" s="655"/>
      <c r="E882" s="655"/>
      <c r="F882" s="655" t="str">
        <f>LEFT(AllDaqbookOffsets[[#This Row],[traceability_no]],2)</f>
        <v>K4</v>
      </c>
      <c r="N882" s="456"/>
      <c r="O882"/>
      <c r="Z882" s="460"/>
      <c r="AA882" s="194"/>
      <c r="AB882"/>
      <c r="AG882" s="69"/>
      <c r="AH882"/>
    </row>
    <row r="883" spans="1:34" x14ac:dyDescent="0.2">
      <c r="A883" s="655"/>
      <c r="B883" s="655"/>
      <c r="C883"/>
      <c r="D883" s="655"/>
      <c r="E883" s="655"/>
      <c r="F883" s="655" t="str">
        <f>LEFT(AllDaqbookOffsets[[#This Row],[traceability_no]],2)</f>
        <v>K4</v>
      </c>
      <c r="N883" s="456"/>
      <c r="O883"/>
      <c r="Z883" s="460"/>
      <c r="AA883" s="194"/>
      <c r="AB883"/>
      <c r="AG883" s="69"/>
      <c r="AH883"/>
    </row>
    <row r="884" spans="1:34" x14ac:dyDescent="0.2">
      <c r="A884" s="655"/>
      <c r="B884" s="655"/>
      <c r="C884"/>
      <c r="D884" s="655"/>
      <c r="E884" s="655"/>
      <c r="F884" s="655" t="str">
        <f>LEFT(AllDaqbookOffsets[[#This Row],[traceability_no]],2)</f>
        <v>K4</v>
      </c>
      <c r="N884" s="456"/>
      <c r="O884"/>
      <c r="Z884" s="460"/>
      <c r="AA884" s="194"/>
      <c r="AB884"/>
      <c r="AG884" s="69"/>
      <c r="AH884"/>
    </row>
    <row r="885" spans="1:34" x14ac:dyDescent="0.2">
      <c r="A885" s="655"/>
      <c r="B885" s="655"/>
      <c r="C885"/>
      <c r="D885" s="655"/>
      <c r="E885" s="655"/>
      <c r="F885" s="655" t="str">
        <f>LEFT(AllDaqbookOffsets[[#This Row],[traceability_no]],2)</f>
        <v>K4</v>
      </c>
      <c r="N885" s="456"/>
      <c r="O885"/>
      <c r="Z885" s="460"/>
      <c r="AA885" s="194"/>
      <c r="AB885"/>
      <c r="AG885" s="69"/>
      <c r="AH885"/>
    </row>
    <row r="886" spans="1:34" x14ac:dyDescent="0.2">
      <c r="A886" s="655"/>
      <c r="B886" s="655"/>
      <c r="C886"/>
      <c r="D886" s="655"/>
      <c r="E886" s="655"/>
      <c r="F886" s="655" t="str">
        <f>LEFT(AllDaqbookOffsets[[#This Row],[traceability_no]],2)</f>
        <v>K4</v>
      </c>
      <c r="N886" s="456"/>
      <c r="O886"/>
      <c r="Z886" s="460"/>
      <c r="AA886" s="194"/>
      <c r="AB886"/>
      <c r="AG886" s="69"/>
      <c r="AH886"/>
    </row>
    <row r="887" spans="1:34" x14ac:dyDescent="0.2">
      <c r="A887" s="655"/>
      <c r="B887" s="655"/>
      <c r="C887"/>
      <c r="D887" s="655"/>
      <c r="E887" s="655"/>
      <c r="F887" s="655" t="str">
        <f>LEFT(AllDaqbookOffsets[[#This Row],[traceability_no]],2)</f>
        <v>K4</v>
      </c>
      <c r="N887" s="456"/>
      <c r="O887"/>
      <c r="Z887" s="460"/>
      <c r="AA887" s="194"/>
      <c r="AB887"/>
      <c r="AG887" s="69"/>
      <c r="AH887"/>
    </row>
    <row r="888" spans="1:34" x14ac:dyDescent="0.2">
      <c r="A888" s="655"/>
      <c r="B888" s="655"/>
      <c r="C888"/>
      <c r="D888" s="655"/>
      <c r="E888" s="655"/>
      <c r="F888" s="655" t="str">
        <f>LEFT(AllDaqbookOffsets[[#This Row],[traceability_no]],2)</f>
        <v>K4</v>
      </c>
      <c r="N888" s="456"/>
      <c r="O888"/>
      <c r="Z888" s="460"/>
      <c r="AA888" s="194"/>
      <c r="AB888"/>
      <c r="AG888" s="69"/>
      <c r="AH888"/>
    </row>
    <row r="889" spans="1:34" x14ac:dyDescent="0.2">
      <c r="A889" s="655"/>
      <c r="B889" s="655"/>
      <c r="C889"/>
      <c r="D889" s="655"/>
      <c r="E889" s="655"/>
      <c r="F889" s="655" t="str">
        <f>LEFT(AllDaqbookOffsets[[#This Row],[traceability_no]],2)</f>
        <v>K4</v>
      </c>
      <c r="N889" s="456"/>
      <c r="O889"/>
      <c r="Z889" s="460"/>
      <c r="AA889" s="194"/>
      <c r="AB889"/>
      <c r="AG889" s="69"/>
      <c r="AH889"/>
    </row>
    <row r="890" spans="1:34" x14ac:dyDescent="0.2">
      <c r="A890" s="655"/>
      <c r="B890" s="655"/>
      <c r="C890"/>
      <c r="D890" s="655"/>
      <c r="E890" s="655"/>
      <c r="F890" s="655" t="str">
        <f>LEFT(AllDaqbookOffsets[[#This Row],[traceability_no]],2)</f>
        <v>K4</v>
      </c>
      <c r="N890" s="456"/>
      <c r="O890"/>
      <c r="Z890" s="460"/>
      <c r="AA890" s="194"/>
      <c r="AB890"/>
      <c r="AG890" s="69"/>
      <c r="AH890"/>
    </row>
    <row r="891" spans="1:34" x14ac:dyDescent="0.2">
      <c r="A891" s="655"/>
      <c r="B891" s="655"/>
      <c r="C891"/>
      <c r="D891" s="655"/>
      <c r="E891" s="655"/>
      <c r="F891" s="655" t="str">
        <f>LEFT(AllDaqbookOffsets[[#This Row],[traceability_no]],2)</f>
        <v>K4</v>
      </c>
      <c r="N891" s="456"/>
      <c r="O891"/>
      <c r="Z891" s="460"/>
      <c r="AA891" s="194"/>
      <c r="AB891"/>
      <c r="AG891" s="69"/>
      <c r="AH891"/>
    </row>
    <row r="892" spans="1:34" x14ac:dyDescent="0.2">
      <c r="A892" s="655"/>
      <c r="B892" s="655"/>
      <c r="C892"/>
      <c r="D892" s="655"/>
      <c r="E892" s="655"/>
      <c r="F892" s="655" t="str">
        <f>LEFT(AllDaqbookOffsets[[#This Row],[traceability_no]],2)</f>
        <v>K4</v>
      </c>
      <c r="N892" s="456"/>
      <c r="O892"/>
      <c r="Z892" s="460"/>
      <c r="AA892" s="194"/>
      <c r="AB892"/>
      <c r="AG892" s="69"/>
      <c r="AH892"/>
    </row>
    <row r="893" spans="1:34" x14ac:dyDescent="0.2">
      <c r="A893" s="655"/>
      <c r="B893" s="655"/>
      <c r="C893"/>
      <c r="D893" s="655"/>
      <c r="E893" s="655"/>
      <c r="F893" s="655" t="str">
        <f>LEFT(AllDaqbookOffsets[[#This Row],[traceability_no]],2)</f>
        <v>K4</v>
      </c>
      <c r="N893" s="456"/>
      <c r="O893"/>
      <c r="Z893" s="460"/>
      <c r="AA893" s="194"/>
      <c r="AB893"/>
      <c r="AG893" s="69"/>
      <c r="AH893"/>
    </row>
    <row r="894" spans="1:34" x14ac:dyDescent="0.2">
      <c r="A894" s="655"/>
      <c r="B894" s="655"/>
      <c r="C894"/>
      <c r="D894" s="655"/>
      <c r="E894" s="655"/>
      <c r="F894" s="655" t="str">
        <f>LEFT(AllDaqbookOffsets[[#This Row],[traceability_no]],2)</f>
        <v>K4</v>
      </c>
      <c r="N894" s="456"/>
      <c r="O894"/>
      <c r="Z894" s="460"/>
      <c r="AA894" s="194"/>
      <c r="AB894"/>
      <c r="AG894" s="69"/>
      <c r="AH894"/>
    </row>
    <row r="895" spans="1:34" x14ac:dyDescent="0.2">
      <c r="A895" s="655"/>
      <c r="B895" s="655"/>
      <c r="C895"/>
      <c r="D895" s="655"/>
      <c r="E895" s="655"/>
      <c r="F895" s="655" t="str">
        <f>LEFT(AllDaqbookOffsets[[#This Row],[traceability_no]],2)</f>
        <v>K4</v>
      </c>
      <c r="N895" s="456"/>
      <c r="O895"/>
      <c r="Z895" s="460"/>
      <c r="AA895" s="194"/>
      <c r="AB895"/>
      <c r="AG895" s="69"/>
      <c r="AH895"/>
    </row>
    <row r="896" spans="1:34" x14ac:dyDescent="0.2">
      <c r="A896" s="655"/>
      <c r="B896" s="655"/>
      <c r="C896"/>
      <c r="D896" s="655"/>
      <c r="E896" s="655"/>
      <c r="F896" s="655" t="str">
        <f>LEFT(AllDaqbookOffsets[[#This Row],[traceability_no]],2)</f>
        <v>K4</v>
      </c>
      <c r="N896" s="456"/>
      <c r="O896"/>
      <c r="Z896" s="460"/>
      <c r="AA896" s="194"/>
      <c r="AB896"/>
      <c r="AG896" s="69"/>
      <c r="AH896"/>
    </row>
    <row r="897" spans="1:34" x14ac:dyDescent="0.2">
      <c r="A897" s="655"/>
      <c r="B897" s="655"/>
      <c r="C897"/>
      <c r="D897" s="655"/>
      <c r="E897" s="655"/>
      <c r="F897" s="655" t="str">
        <f>LEFT(AllDaqbookOffsets[[#This Row],[traceability_no]],2)</f>
        <v>K4</v>
      </c>
      <c r="N897" s="456"/>
      <c r="O897"/>
      <c r="Z897" s="460"/>
      <c r="AA897" s="194"/>
      <c r="AB897"/>
      <c r="AG897" s="69"/>
      <c r="AH897"/>
    </row>
    <row r="898" spans="1:34" x14ac:dyDescent="0.2">
      <c r="A898" s="655"/>
      <c r="B898" s="655"/>
      <c r="C898"/>
      <c r="D898" s="655"/>
      <c r="E898" s="655"/>
      <c r="F898" s="655" t="str">
        <f>LEFT(AllDaqbookOffsets[[#This Row],[traceability_no]],2)</f>
        <v>K4</v>
      </c>
      <c r="N898" s="456"/>
      <c r="O898"/>
      <c r="Z898" s="460"/>
      <c r="AA898" s="194"/>
      <c r="AB898"/>
      <c r="AG898" s="69"/>
      <c r="AH898"/>
    </row>
    <row r="899" spans="1:34" x14ac:dyDescent="0.2">
      <c r="A899" s="655"/>
      <c r="B899" s="655"/>
      <c r="C899"/>
      <c r="D899" s="655"/>
      <c r="E899" s="655"/>
      <c r="F899" s="655" t="str">
        <f>LEFT(AllDaqbookOffsets[[#This Row],[traceability_no]],2)</f>
        <v>K4</v>
      </c>
      <c r="N899" s="456"/>
      <c r="O899"/>
      <c r="Z899" s="460"/>
      <c r="AA899" s="194"/>
      <c r="AB899"/>
      <c r="AG899" s="69"/>
      <c r="AH899"/>
    </row>
    <row r="900" spans="1:34" x14ac:dyDescent="0.2">
      <c r="A900" s="655"/>
      <c r="B900" s="655"/>
      <c r="C900"/>
      <c r="D900" s="655"/>
      <c r="E900" s="655"/>
      <c r="F900" s="655" t="str">
        <f>LEFT(AllDaqbookOffsets[[#This Row],[traceability_no]],2)</f>
        <v>K4</v>
      </c>
      <c r="N900" s="456"/>
      <c r="O900"/>
      <c r="Z900" s="460"/>
      <c r="AA900" s="194"/>
      <c r="AB900"/>
      <c r="AG900" s="69"/>
      <c r="AH900"/>
    </row>
    <row r="901" spans="1:34" x14ac:dyDescent="0.2">
      <c r="A901" s="655"/>
      <c r="B901" s="655"/>
      <c r="C901"/>
      <c r="D901" s="655"/>
      <c r="E901" s="655"/>
      <c r="F901" s="655" t="str">
        <f>LEFT(AllDaqbookOffsets[[#This Row],[traceability_no]],2)</f>
        <v>K4</v>
      </c>
      <c r="N901" s="456"/>
      <c r="O901"/>
      <c r="Z901" s="460"/>
      <c r="AA901" s="194"/>
      <c r="AB901"/>
      <c r="AG901" s="69"/>
      <c r="AH901"/>
    </row>
    <row r="902" spans="1:34" x14ac:dyDescent="0.2">
      <c r="A902" s="655"/>
      <c r="B902" s="655"/>
      <c r="C902"/>
      <c r="D902" s="655"/>
      <c r="E902" s="655"/>
      <c r="F902" s="655" t="str">
        <f>LEFT(AllDaqbookOffsets[[#This Row],[traceability_no]],2)</f>
        <v>K4</v>
      </c>
      <c r="N902" s="456"/>
      <c r="O902"/>
      <c r="Z902" s="460"/>
      <c r="AA902" s="194"/>
      <c r="AB902"/>
      <c r="AG902" s="69"/>
      <c r="AH902"/>
    </row>
    <row r="903" spans="1:34" x14ac:dyDescent="0.2">
      <c r="A903" s="655"/>
      <c r="B903" s="655"/>
      <c r="C903"/>
      <c r="D903" s="655"/>
      <c r="E903" s="655"/>
      <c r="F903" s="655" t="str">
        <f>LEFT(AllDaqbookOffsets[[#This Row],[traceability_no]],2)</f>
        <v>K4</v>
      </c>
      <c r="N903" s="456"/>
      <c r="O903"/>
      <c r="Z903" s="460"/>
      <c r="AA903" s="194"/>
      <c r="AB903"/>
      <c r="AG903" s="69"/>
      <c r="AH903"/>
    </row>
    <row r="904" spans="1:34" x14ac:dyDescent="0.2">
      <c r="A904" s="655"/>
      <c r="B904" s="655"/>
      <c r="C904"/>
      <c r="D904" s="655"/>
      <c r="E904" s="655"/>
      <c r="F904" s="655" t="str">
        <f>LEFT(AllDaqbookOffsets[[#This Row],[traceability_no]],2)</f>
        <v>K4</v>
      </c>
      <c r="N904" s="456"/>
      <c r="O904"/>
      <c r="Z904" s="460"/>
      <c r="AA904" s="194"/>
      <c r="AB904"/>
      <c r="AG904" s="69"/>
      <c r="AH904"/>
    </row>
    <row r="905" spans="1:34" x14ac:dyDescent="0.2">
      <c r="A905" s="655"/>
      <c r="B905" s="655"/>
      <c r="C905"/>
      <c r="D905" s="655"/>
      <c r="E905" s="655"/>
      <c r="F905" s="655" t="str">
        <f>LEFT(AllDaqbookOffsets[[#This Row],[traceability_no]],2)</f>
        <v>K4</v>
      </c>
      <c r="N905" s="456"/>
      <c r="O905"/>
      <c r="Z905" s="460"/>
      <c r="AA905" s="194"/>
      <c r="AB905"/>
      <c r="AG905" s="69"/>
      <c r="AH905"/>
    </row>
    <row r="906" spans="1:34" x14ac:dyDescent="0.2">
      <c r="A906" s="655"/>
      <c r="B906" s="655"/>
      <c r="C906"/>
      <c r="D906" s="655"/>
      <c r="E906" s="655"/>
      <c r="F906" s="655" t="str">
        <f>LEFT(AllDaqbookOffsets[[#This Row],[traceability_no]],2)</f>
        <v>K4</v>
      </c>
      <c r="N906" s="456"/>
      <c r="O906"/>
      <c r="Z906" s="460"/>
      <c r="AA906" s="194"/>
      <c r="AB906"/>
      <c r="AG906" s="69"/>
      <c r="AH906"/>
    </row>
    <row r="907" spans="1:34" x14ac:dyDescent="0.2">
      <c r="A907" s="655"/>
      <c r="B907" s="655"/>
      <c r="C907"/>
      <c r="D907" s="655"/>
      <c r="E907" s="655"/>
      <c r="F907" s="655" t="str">
        <f>LEFT(AllDaqbookOffsets[[#This Row],[traceability_no]],2)</f>
        <v>K4</v>
      </c>
      <c r="N907" s="456"/>
      <c r="O907"/>
      <c r="Z907" s="460"/>
      <c r="AA907" s="194"/>
      <c r="AB907"/>
      <c r="AG907" s="69"/>
      <c r="AH907"/>
    </row>
    <row r="908" spans="1:34" x14ac:dyDescent="0.2">
      <c r="A908" s="655"/>
      <c r="B908" s="655"/>
      <c r="C908"/>
      <c r="D908" s="655"/>
      <c r="E908" s="655"/>
      <c r="F908" s="655" t="str">
        <f>LEFT(AllDaqbookOffsets[[#This Row],[traceability_no]],2)</f>
        <v>K4</v>
      </c>
      <c r="N908" s="456"/>
      <c r="O908"/>
      <c r="Z908" s="460"/>
      <c r="AA908" s="194"/>
      <c r="AB908"/>
      <c r="AG908" s="69"/>
      <c r="AH908"/>
    </row>
    <row r="909" spans="1:34" x14ac:dyDescent="0.2">
      <c r="A909" s="655"/>
      <c r="B909" s="655"/>
      <c r="C909"/>
      <c r="D909" s="655"/>
      <c r="E909" s="655"/>
      <c r="F909" s="655" t="str">
        <f>LEFT(AllDaqbookOffsets[[#This Row],[traceability_no]],2)</f>
        <v>K4</v>
      </c>
      <c r="N909" s="456"/>
      <c r="O909"/>
      <c r="Z909" s="460"/>
      <c r="AA909" s="194"/>
      <c r="AB909"/>
      <c r="AG909" s="69"/>
      <c r="AH909"/>
    </row>
    <row r="910" spans="1:34" x14ac:dyDescent="0.2">
      <c r="A910" s="655"/>
      <c r="B910" s="655"/>
      <c r="C910"/>
      <c r="D910" s="655"/>
      <c r="E910" s="655"/>
      <c r="F910" s="655" t="str">
        <f>LEFT(AllDaqbookOffsets[[#This Row],[traceability_no]],2)</f>
        <v>K4</v>
      </c>
      <c r="N910" s="456"/>
      <c r="O910"/>
      <c r="Z910" s="460"/>
      <c r="AA910" s="194"/>
      <c r="AB910"/>
      <c r="AG910" s="69"/>
      <c r="AH910"/>
    </row>
    <row r="911" spans="1:34" x14ac:dyDescent="0.2">
      <c r="A911" s="655"/>
      <c r="B911" s="655"/>
      <c r="C911"/>
      <c r="D911" s="655"/>
      <c r="E911" s="655"/>
      <c r="F911" s="655" t="str">
        <f>LEFT(AllDaqbookOffsets[[#This Row],[traceability_no]],2)</f>
        <v>K4</v>
      </c>
      <c r="N911" s="456"/>
      <c r="O911"/>
      <c r="Z911" s="460"/>
      <c r="AA911" s="194"/>
      <c r="AB911"/>
      <c r="AG911" s="69"/>
      <c r="AH911"/>
    </row>
    <row r="912" spans="1:34" x14ac:dyDescent="0.2">
      <c r="A912" s="655"/>
      <c r="B912" s="655"/>
      <c r="C912"/>
      <c r="D912" s="655"/>
      <c r="E912" s="655"/>
      <c r="F912" s="655" t="str">
        <f>LEFT(AllDaqbookOffsets[[#This Row],[traceability_no]],2)</f>
        <v>K4</v>
      </c>
      <c r="N912" s="456"/>
      <c r="O912"/>
      <c r="Z912" s="460"/>
      <c r="AA912" s="194"/>
      <c r="AB912"/>
      <c r="AG912" s="69"/>
      <c r="AH912"/>
    </row>
    <row r="913" spans="1:34" x14ac:dyDescent="0.2">
      <c r="A913" s="655"/>
      <c r="B913" s="655"/>
      <c r="C913"/>
      <c r="D913" s="655"/>
      <c r="E913" s="655"/>
      <c r="F913" s="655" t="str">
        <f>LEFT(AllDaqbookOffsets[[#This Row],[traceability_no]],2)</f>
        <v>K4</v>
      </c>
      <c r="N913" s="456"/>
      <c r="O913"/>
      <c r="Z913" s="460"/>
      <c r="AA913" s="194"/>
      <c r="AB913"/>
      <c r="AG913" s="69"/>
      <c r="AH913"/>
    </row>
    <row r="914" spans="1:34" x14ac:dyDescent="0.2">
      <c r="A914" s="655"/>
      <c r="B914" s="655"/>
      <c r="C914"/>
      <c r="D914" s="655"/>
      <c r="E914" s="655"/>
      <c r="F914" s="655" t="str">
        <f>LEFT(AllDaqbookOffsets[[#This Row],[traceability_no]],2)</f>
        <v>K4</v>
      </c>
      <c r="N914" s="456"/>
      <c r="O914"/>
      <c r="Z914" s="460"/>
      <c r="AA914" s="194"/>
      <c r="AB914"/>
      <c r="AG914" s="69"/>
      <c r="AH914"/>
    </row>
    <row r="915" spans="1:34" x14ac:dyDescent="0.2">
      <c r="A915" s="655"/>
      <c r="B915" s="655"/>
      <c r="C915"/>
      <c r="D915" s="655"/>
      <c r="E915" s="655"/>
      <c r="F915" s="655" t="str">
        <f>LEFT(AllDaqbookOffsets[[#This Row],[traceability_no]],2)</f>
        <v>K4</v>
      </c>
      <c r="N915" s="456"/>
      <c r="O915"/>
      <c r="Z915" s="460"/>
      <c r="AA915" s="194"/>
      <c r="AB915"/>
      <c r="AG915" s="69"/>
      <c r="AH915"/>
    </row>
    <row r="916" spans="1:34" x14ac:dyDescent="0.2">
      <c r="A916" s="655"/>
      <c r="B916" s="655"/>
      <c r="C916"/>
      <c r="D916" s="655"/>
      <c r="E916" s="655"/>
      <c r="F916" s="655" t="str">
        <f>LEFT(AllDaqbookOffsets[[#This Row],[traceability_no]],2)</f>
        <v>K4</v>
      </c>
      <c r="N916" s="456"/>
      <c r="O916"/>
      <c r="Z916" s="460"/>
      <c r="AA916" s="194"/>
      <c r="AB916"/>
      <c r="AG916" s="69"/>
      <c r="AH916"/>
    </row>
    <row r="917" spans="1:34" x14ac:dyDescent="0.2">
      <c r="A917" s="655"/>
      <c r="B917" s="655"/>
      <c r="C917"/>
      <c r="D917" s="655"/>
      <c r="E917" s="655"/>
      <c r="F917" s="655" t="str">
        <f>LEFT(AllDaqbookOffsets[[#This Row],[traceability_no]],2)</f>
        <v>K4</v>
      </c>
      <c r="N917" s="456"/>
      <c r="O917"/>
      <c r="Z917" s="460"/>
      <c r="AA917" s="194"/>
      <c r="AB917"/>
      <c r="AG917" s="69"/>
      <c r="AH917"/>
    </row>
    <row r="918" spans="1:34" x14ac:dyDescent="0.2">
      <c r="A918" s="655"/>
      <c r="B918" s="655"/>
      <c r="C918"/>
      <c r="D918" s="655"/>
      <c r="E918" s="655"/>
      <c r="F918" s="655" t="str">
        <f>LEFT(AllDaqbookOffsets[[#This Row],[traceability_no]],2)</f>
        <v>K4</v>
      </c>
      <c r="N918" s="456"/>
      <c r="O918"/>
      <c r="Z918" s="460"/>
      <c r="AA918" s="194"/>
      <c r="AB918"/>
      <c r="AG918" s="69"/>
      <c r="AH918"/>
    </row>
    <row r="919" spans="1:34" x14ac:dyDescent="0.2">
      <c r="A919" s="655"/>
      <c r="B919" s="655"/>
      <c r="C919"/>
      <c r="D919" s="655"/>
      <c r="E919" s="655"/>
      <c r="F919" s="655" t="str">
        <f>LEFT(AllDaqbookOffsets[[#This Row],[traceability_no]],2)</f>
        <v>K4</v>
      </c>
      <c r="N919" s="456"/>
      <c r="O919"/>
      <c r="Z919" s="460"/>
      <c r="AA919" s="194"/>
      <c r="AB919"/>
      <c r="AG919" s="69"/>
      <c r="AH919"/>
    </row>
    <row r="920" spans="1:34" x14ac:dyDescent="0.2">
      <c r="A920" s="655"/>
      <c r="B920" s="655"/>
      <c r="C920"/>
      <c r="D920" s="655"/>
      <c r="E920" s="655"/>
      <c r="F920" s="655" t="str">
        <f>LEFT(AllDaqbookOffsets[[#This Row],[traceability_no]],2)</f>
        <v>K4</v>
      </c>
      <c r="N920" s="456"/>
      <c r="O920"/>
      <c r="Z920" s="460"/>
      <c r="AA920" s="194"/>
      <c r="AB920"/>
      <c r="AG920" s="69"/>
      <c r="AH920"/>
    </row>
    <row r="921" spans="1:34" x14ac:dyDescent="0.2">
      <c r="A921" s="655"/>
      <c r="B921" s="655"/>
      <c r="C921"/>
      <c r="D921" s="655"/>
      <c r="E921" s="655"/>
      <c r="F921" s="655" t="str">
        <f>LEFT(AllDaqbookOffsets[[#This Row],[traceability_no]],2)</f>
        <v>K4</v>
      </c>
      <c r="N921" s="456"/>
      <c r="O921"/>
      <c r="Z921" s="460"/>
      <c r="AA921" s="194"/>
      <c r="AB921"/>
      <c r="AG921" s="69"/>
      <c r="AH921"/>
    </row>
    <row r="922" spans="1:34" x14ac:dyDescent="0.2">
      <c r="A922" s="655"/>
      <c r="B922" s="655"/>
      <c r="C922"/>
      <c r="D922" s="655"/>
      <c r="E922" s="655"/>
      <c r="F922" s="655" t="str">
        <f>LEFT(AllDaqbookOffsets[[#This Row],[traceability_no]],2)</f>
        <v>K4</v>
      </c>
      <c r="N922" s="456"/>
      <c r="O922"/>
      <c r="Z922" s="460"/>
      <c r="AA922" s="194"/>
      <c r="AB922"/>
      <c r="AG922" s="69"/>
      <c r="AH922"/>
    </row>
    <row r="923" spans="1:34" x14ac:dyDescent="0.2">
      <c r="A923" s="655"/>
      <c r="B923" s="655"/>
      <c r="C923"/>
      <c r="D923" s="655"/>
      <c r="E923" s="655"/>
      <c r="F923" s="655" t="str">
        <f>LEFT(AllDaqbookOffsets[[#This Row],[traceability_no]],2)</f>
        <v>K4</v>
      </c>
      <c r="N923" s="456"/>
      <c r="O923"/>
      <c r="Z923" s="460"/>
      <c r="AA923" s="194"/>
      <c r="AB923"/>
      <c r="AG923" s="69"/>
      <c r="AH923"/>
    </row>
    <row r="924" spans="1:34" x14ac:dyDescent="0.2">
      <c r="A924" s="655"/>
      <c r="B924" s="655"/>
      <c r="C924"/>
      <c r="D924" s="655"/>
      <c r="E924" s="655"/>
      <c r="F924" s="655" t="str">
        <f>LEFT(AllDaqbookOffsets[[#This Row],[traceability_no]],2)</f>
        <v>K4</v>
      </c>
      <c r="N924" s="456"/>
      <c r="O924"/>
      <c r="Z924" s="460"/>
      <c r="AA924" s="194"/>
      <c r="AB924"/>
      <c r="AG924" s="69"/>
      <c r="AH924"/>
    </row>
    <row r="925" spans="1:34" x14ac:dyDescent="0.2">
      <c r="A925" s="655"/>
      <c r="B925" s="655"/>
      <c r="C925"/>
      <c r="D925" s="655"/>
      <c r="E925" s="655"/>
      <c r="F925" s="655" t="str">
        <f>LEFT(AllDaqbookOffsets[[#This Row],[traceability_no]],2)</f>
        <v>K4</v>
      </c>
      <c r="N925" s="456"/>
      <c r="O925"/>
      <c r="Z925" s="460"/>
      <c r="AA925" s="194"/>
      <c r="AB925"/>
      <c r="AG925" s="69"/>
      <c r="AH925"/>
    </row>
    <row r="926" spans="1:34" x14ac:dyDescent="0.2">
      <c r="A926" s="655"/>
      <c r="B926" s="655"/>
      <c r="C926"/>
      <c r="D926" s="655"/>
      <c r="E926" s="655"/>
      <c r="F926" s="655" t="str">
        <f>LEFT(AllDaqbookOffsets[[#This Row],[traceability_no]],2)</f>
        <v>K4</v>
      </c>
      <c r="N926" s="456"/>
      <c r="O926"/>
      <c r="Z926" s="460"/>
      <c r="AA926" s="194"/>
      <c r="AB926"/>
      <c r="AG926" s="69"/>
      <c r="AH926"/>
    </row>
    <row r="927" spans="1:34" x14ac:dyDescent="0.2">
      <c r="A927" s="655"/>
      <c r="B927" s="655"/>
      <c r="C927"/>
      <c r="D927" s="655"/>
      <c r="E927" s="655"/>
      <c r="F927" s="655" t="str">
        <f>LEFT(AllDaqbookOffsets[[#This Row],[traceability_no]],2)</f>
        <v>K4</v>
      </c>
      <c r="N927" s="456"/>
      <c r="O927"/>
      <c r="Z927" s="460"/>
      <c r="AA927" s="194"/>
      <c r="AB927"/>
      <c r="AG927" s="69"/>
      <c r="AH927"/>
    </row>
    <row r="928" spans="1:34" x14ac:dyDescent="0.2">
      <c r="A928" s="655"/>
      <c r="B928" s="655"/>
      <c r="C928"/>
      <c r="D928" s="655"/>
      <c r="E928" s="655"/>
      <c r="F928" s="655" t="str">
        <f>LEFT(AllDaqbookOffsets[[#This Row],[traceability_no]],2)</f>
        <v>K4</v>
      </c>
      <c r="N928" s="456"/>
      <c r="O928"/>
      <c r="Z928" s="460"/>
      <c r="AA928" s="194"/>
      <c r="AB928"/>
      <c r="AG928" s="69"/>
      <c r="AH928"/>
    </row>
    <row r="929" spans="1:34" x14ac:dyDescent="0.2">
      <c r="A929" s="655"/>
      <c r="B929" s="655"/>
      <c r="C929"/>
      <c r="D929" s="655"/>
      <c r="E929" s="655"/>
      <c r="F929" s="655" t="str">
        <f>LEFT(AllDaqbookOffsets[[#This Row],[traceability_no]],2)</f>
        <v>K4</v>
      </c>
      <c r="N929" s="456"/>
      <c r="O929"/>
      <c r="Z929" s="460"/>
      <c r="AA929" s="194"/>
      <c r="AB929"/>
      <c r="AG929" s="69"/>
      <c r="AH929"/>
    </row>
    <row r="930" spans="1:34" x14ac:dyDescent="0.2">
      <c r="A930" s="655"/>
      <c r="B930" s="655"/>
      <c r="C930"/>
      <c r="D930" s="655"/>
      <c r="E930" s="655"/>
      <c r="F930" s="655" t="str">
        <f>LEFT(AllDaqbookOffsets[[#This Row],[traceability_no]],2)</f>
        <v>K4</v>
      </c>
      <c r="N930" s="456"/>
      <c r="O930"/>
      <c r="Z930" s="460"/>
      <c r="AA930" s="194"/>
      <c r="AB930"/>
      <c r="AG930" s="69"/>
      <c r="AH930"/>
    </row>
    <row r="931" spans="1:34" x14ac:dyDescent="0.2">
      <c r="A931" s="655"/>
      <c r="B931" s="655"/>
      <c r="C931"/>
      <c r="D931" s="655"/>
      <c r="E931" s="655"/>
      <c r="F931" s="655" t="str">
        <f>LEFT(AllDaqbookOffsets[[#This Row],[traceability_no]],2)</f>
        <v>K4</v>
      </c>
      <c r="N931" s="456"/>
      <c r="O931"/>
      <c r="Z931" s="460"/>
      <c r="AA931" s="194"/>
      <c r="AB931"/>
      <c r="AG931" s="69"/>
      <c r="AH931"/>
    </row>
    <row r="932" spans="1:34" x14ac:dyDescent="0.2">
      <c r="A932" s="655"/>
      <c r="B932" s="655"/>
      <c r="C932"/>
      <c r="D932" s="655"/>
      <c r="E932" s="655"/>
      <c r="F932" s="655" t="str">
        <f>LEFT(AllDaqbookOffsets[[#This Row],[traceability_no]],2)</f>
        <v>K4</v>
      </c>
      <c r="N932" s="456"/>
      <c r="O932"/>
      <c r="Z932" s="460"/>
      <c r="AA932" s="194"/>
      <c r="AB932"/>
      <c r="AG932" s="69"/>
      <c r="AH932"/>
    </row>
    <row r="933" spans="1:34" x14ac:dyDescent="0.2">
      <c r="A933" s="655"/>
      <c r="B933" s="655"/>
      <c r="C933"/>
      <c r="D933" s="655"/>
      <c r="E933" s="655"/>
      <c r="F933" s="655" t="str">
        <f>LEFT(AllDaqbookOffsets[[#This Row],[traceability_no]],2)</f>
        <v>K4</v>
      </c>
      <c r="N933" s="456"/>
      <c r="O933"/>
      <c r="Z933" s="460"/>
      <c r="AA933" s="194"/>
      <c r="AB933"/>
      <c r="AG933" s="69"/>
      <c r="AH933"/>
    </row>
    <row r="934" spans="1:34" x14ac:dyDescent="0.2">
      <c r="A934" s="655"/>
      <c r="B934" s="655"/>
      <c r="C934"/>
      <c r="D934" s="655"/>
      <c r="E934" s="655"/>
      <c r="F934" s="655" t="str">
        <f>LEFT(AllDaqbookOffsets[[#This Row],[traceability_no]],2)</f>
        <v>K4</v>
      </c>
      <c r="N934" s="456"/>
      <c r="O934"/>
      <c r="Z934" s="460"/>
      <c r="AA934" s="194"/>
      <c r="AB934"/>
      <c r="AG934" s="69"/>
      <c r="AH934"/>
    </row>
    <row r="935" spans="1:34" x14ac:dyDescent="0.2">
      <c r="A935" s="655"/>
      <c r="B935" s="655"/>
      <c r="C935"/>
      <c r="D935" s="655"/>
      <c r="E935" s="655"/>
      <c r="F935" s="655" t="str">
        <f>LEFT(AllDaqbookOffsets[[#This Row],[traceability_no]],2)</f>
        <v>K4</v>
      </c>
      <c r="N935" s="456"/>
      <c r="O935"/>
      <c r="Z935" s="460"/>
      <c r="AA935" s="194"/>
      <c r="AB935"/>
      <c r="AG935" s="69"/>
      <c r="AH935"/>
    </row>
    <row r="936" spans="1:34" x14ac:dyDescent="0.2">
      <c r="A936" s="655"/>
      <c r="B936" s="655"/>
      <c r="C936"/>
      <c r="D936" s="655"/>
      <c r="E936" s="655"/>
      <c r="F936" s="655" t="str">
        <f>LEFT(AllDaqbookOffsets[[#This Row],[traceability_no]],2)</f>
        <v>K4</v>
      </c>
      <c r="N936" s="456"/>
      <c r="O936"/>
      <c r="Z936" s="460"/>
      <c r="AA936" s="194"/>
      <c r="AB936"/>
      <c r="AG936" s="69"/>
      <c r="AH936"/>
    </row>
    <row r="937" spans="1:34" x14ac:dyDescent="0.2">
      <c r="A937" s="655"/>
      <c r="B937" s="655"/>
      <c r="C937"/>
      <c r="D937" s="655"/>
      <c r="E937" s="655"/>
      <c r="F937" s="655" t="str">
        <f>LEFT(AllDaqbookOffsets[[#This Row],[traceability_no]],2)</f>
        <v>K4</v>
      </c>
      <c r="N937" s="456"/>
      <c r="O937"/>
      <c r="Z937" s="460"/>
      <c r="AA937" s="194"/>
      <c r="AB937"/>
      <c r="AG937" s="69"/>
      <c r="AH937"/>
    </row>
    <row r="938" spans="1:34" x14ac:dyDescent="0.2">
      <c r="A938" s="655"/>
      <c r="B938" s="655"/>
      <c r="C938"/>
      <c r="D938" s="655"/>
      <c r="E938" s="655"/>
      <c r="F938" s="655" t="str">
        <f>LEFT(AllDaqbookOffsets[[#This Row],[traceability_no]],2)</f>
        <v>K4</v>
      </c>
      <c r="N938" s="456"/>
      <c r="O938"/>
      <c r="Z938" s="460"/>
      <c r="AA938" s="194"/>
      <c r="AB938"/>
      <c r="AG938" s="69"/>
      <c r="AH938"/>
    </row>
    <row r="939" spans="1:34" x14ac:dyDescent="0.2">
      <c r="A939" s="655"/>
      <c r="B939" s="655"/>
      <c r="C939"/>
      <c r="D939" s="655"/>
      <c r="E939" s="655"/>
      <c r="F939" s="655" t="str">
        <f>LEFT(AllDaqbookOffsets[[#This Row],[traceability_no]],2)</f>
        <v>K4</v>
      </c>
      <c r="N939" s="456"/>
      <c r="O939"/>
      <c r="Z939" s="460"/>
      <c r="AA939" s="194"/>
      <c r="AB939"/>
      <c r="AG939" s="69"/>
      <c r="AH939"/>
    </row>
    <row r="940" spans="1:34" x14ac:dyDescent="0.2">
      <c r="A940" s="655"/>
      <c r="B940" s="655"/>
      <c r="C940"/>
      <c r="D940" s="655"/>
      <c r="E940" s="655"/>
      <c r="F940" s="655" t="str">
        <f>LEFT(AllDaqbookOffsets[[#This Row],[traceability_no]],2)</f>
        <v>K4</v>
      </c>
      <c r="N940" s="456"/>
      <c r="O940"/>
      <c r="Z940" s="460"/>
      <c r="AA940" s="194"/>
      <c r="AB940"/>
      <c r="AG940" s="69"/>
      <c r="AH940"/>
    </row>
    <row r="941" spans="1:34" x14ac:dyDescent="0.2">
      <c r="A941" s="655"/>
      <c r="B941" s="655"/>
      <c r="C941"/>
      <c r="D941" s="655"/>
      <c r="E941" s="655"/>
      <c r="F941" s="655" t="str">
        <f>LEFT(AllDaqbookOffsets[[#This Row],[traceability_no]],2)</f>
        <v>K4</v>
      </c>
      <c r="N941" s="456"/>
      <c r="O941"/>
      <c r="Z941" s="460"/>
      <c r="AA941" s="194"/>
      <c r="AB941"/>
      <c r="AG941" s="69"/>
      <c r="AH941"/>
    </row>
    <row r="942" spans="1:34" x14ac:dyDescent="0.2">
      <c r="A942" s="655"/>
      <c r="B942" s="655"/>
      <c r="C942"/>
      <c r="D942" s="655"/>
      <c r="E942" s="655"/>
      <c r="F942" s="655" t="str">
        <f>LEFT(AllDaqbookOffsets[[#This Row],[traceability_no]],2)</f>
        <v>K4</v>
      </c>
      <c r="N942" s="456"/>
      <c r="O942"/>
      <c r="Z942" s="460"/>
      <c r="AA942" s="194"/>
      <c r="AB942"/>
      <c r="AG942" s="69"/>
      <c r="AH942"/>
    </row>
    <row r="943" spans="1:34" x14ac:dyDescent="0.2">
      <c r="A943" s="655"/>
      <c r="B943" s="655"/>
      <c r="C943"/>
      <c r="D943" s="655"/>
      <c r="E943" s="655"/>
      <c r="F943" s="655" t="str">
        <f>LEFT(AllDaqbookOffsets[[#This Row],[traceability_no]],2)</f>
        <v>K4</v>
      </c>
      <c r="N943" s="456"/>
      <c r="O943"/>
      <c r="Z943" s="460"/>
      <c r="AA943" s="194"/>
      <c r="AB943"/>
      <c r="AG943" s="69"/>
      <c r="AH943"/>
    </row>
    <row r="944" spans="1:34" x14ac:dyDescent="0.2">
      <c r="A944" s="655"/>
      <c r="B944" s="655"/>
      <c r="C944"/>
      <c r="D944" s="655"/>
      <c r="E944" s="655"/>
      <c r="F944" s="655" t="str">
        <f>LEFT(AllDaqbookOffsets[[#This Row],[traceability_no]],2)</f>
        <v>K4</v>
      </c>
      <c r="N944" s="456"/>
      <c r="O944"/>
      <c r="Z944" s="460"/>
      <c r="AA944" s="194"/>
      <c r="AB944"/>
      <c r="AG944" s="69"/>
      <c r="AH944"/>
    </row>
    <row r="945" spans="1:34" x14ac:dyDescent="0.2">
      <c r="A945" s="655"/>
      <c r="B945" s="655"/>
      <c r="C945"/>
      <c r="D945" s="655"/>
      <c r="E945" s="655"/>
      <c r="F945" s="655" t="str">
        <f>LEFT(AllDaqbookOffsets[[#This Row],[traceability_no]],2)</f>
        <v>K4</v>
      </c>
      <c r="N945" s="456"/>
      <c r="O945"/>
      <c r="Z945" s="460"/>
      <c r="AA945" s="194"/>
      <c r="AB945"/>
      <c r="AG945" s="69"/>
      <c r="AH945"/>
    </row>
    <row r="946" spans="1:34" x14ac:dyDescent="0.2">
      <c r="A946" s="655"/>
      <c r="B946" s="655"/>
      <c r="C946"/>
      <c r="D946" s="655"/>
      <c r="E946" s="655"/>
      <c r="F946" s="655" t="str">
        <f>LEFT(AllDaqbookOffsets[[#This Row],[traceability_no]],2)</f>
        <v>K4</v>
      </c>
      <c r="N946" s="456"/>
      <c r="O946"/>
      <c r="Z946" s="460"/>
      <c r="AA946" s="194"/>
      <c r="AB946"/>
      <c r="AG946" s="69"/>
      <c r="AH946"/>
    </row>
    <row r="947" spans="1:34" x14ac:dyDescent="0.2">
      <c r="A947" s="655"/>
      <c r="B947" s="655"/>
      <c r="C947"/>
      <c r="D947" s="655"/>
      <c r="E947" s="655"/>
      <c r="F947" s="655" t="str">
        <f>LEFT(AllDaqbookOffsets[[#This Row],[traceability_no]],2)</f>
        <v>K4</v>
      </c>
      <c r="N947" s="456"/>
      <c r="O947"/>
      <c r="Z947" s="460"/>
      <c r="AA947" s="194"/>
      <c r="AB947"/>
      <c r="AG947" s="69"/>
      <c r="AH947"/>
    </row>
    <row r="948" spans="1:34" x14ac:dyDescent="0.2">
      <c r="A948" s="655"/>
      <c r="B948" s="655"/>
      <c r="C948"/>
      <c r="D948" s="655"/>
      <c r="E948" s="655"/>
      <c r="F948" s="655" t="str">
        <f>LEFT(AllDaqbookOffsets[[#This Row],[traceability_no]],2)</f>
        <v>K4</v>
      </c>
      <c r="N948" s="456"/>
      <c r="O948"/>
      <c r="Z948" s="460"/>
      <c r="AA948" s="194"/>
      <c r="AB948"/>
      <c r="AG948" s="69"/>
      <c r="AH948"/>
    </row>
    <row r="949" spans="1:34" x14ac:dyDescent="0.2">
      <c r="A949" s="655"/>
      <c r="B949" s="655"/>
      <c r="C949"/>
      <c r="D949" s="655"/>
      <c r="E949" s="655"/>
      <c r="F949" s="655" t="str">
        <f>LEFT(AllDaqbookOffsets[[#This Row],[traceability_no]],2)</f>
        <v>K4</v>
      </c>
      <c r="N949" s="456"/>
      <c r="O949"/>
      <c r="Z949" s="460"/>
      <c r="AA949" s="194"/>
      <c r="AB949"/>
      <c r="AG949" s="69"/>
      <c r="AH949"/>
    </row>
    <row r="950" spans="1:34" x14ac:dyDescent="0.2">
      <c r="A950" s="655"/>
      <c r="B950" s="655"/>
      <c r="C950"/>
      <c r="D950" s="655"/>
      <c r="E950" s="655"/>
      <c r="F950" s="655" t="str">
        <f>LEFT(AllDaqbookOffsets[[#This Row],[traceability_no]],2)</f>
        <v>K4</v>
      </c>
      <c r="N950" s="456"/>
      <c r="O950"/>
      <c r="Z950" s="460"/>
      <c r="AA950" s="194"/>
      <c r="AB950"/>
      <c r="AG950" s="69"/>
      <c r="AH950"/>
    </row>
    <row r="951" spans="1:34" x14ac:dyDescent="0.2">
      <c r="A951" s="655"/>
      <c r="B951" s="655"/>
      <c r="C951"/>
      <c r="D951" s="655"/>
      <c r="E951" s="655"/>
      <c r="F951" s="655" t="str">
        <f>LEFT(AllDaqbookOffsets[[#This Row],[traceability_no]],2)</f>
        <v>K4</v>
      </c>
      <c r="N951" s="456"/>
      <c r="O951"/>
      <c r="Z951" s="460"/>
      <c r="AA951" s="194"/>
      <c r="AB951"/>
      <c r="AG951" s="69"/>
      <c r="AH951"/>
    </row>
    <row r="952" spans="1:34" x14ac:dyDescent="0.2">
      <c r="A952" s="655"/>
      <c r="B952" s="655"/>
      <c r="C952"/>
      <c r="D952" s="655"/>
      <c r="E952" s="655"/>
      <c r="F952" s="655" t="str">
        <f>LEFT(AllDaqbookOffsets[[#This Row],[traceability_no]],2)</f>
        <v>K4</v>
      </c>
      <c r="N952" s="456"/>
      <c r="O952"/>
      <c r="Z952" s="460"/>
      <c r="AA952" s="194"/>
      <c r="AB952"/>
      <c r="AG952" s="69"/>
      <c r="AH952"/>
    </row>
    <row r="953" spans="1:34" x14ac:dyDescent="0.2">
      <c r="A953" s="655"/>
      <c r="B953" s="655"/>
      <c r="C953"/>
      <c r="D953" s="655"/>
      <c r="E953" s="655"/>
      <c r="F953" s="655" t="str">
        <f>LEFT(AllDaqbookOffsets[[#This Row],[traceability_no]],2)</f>
        <v>K4</v>
      </c>
      <c r="N953" s="456"/>
      <c r="O953"/>
      <c r="Z953" s="460"/>
      <c r="AA953" s="194"/>
      <c r="AB953"/>
      <c r="AG953" s="69"/>
      <c r="AH953"/>
    </row>
    <row r="954" spans="1:34" x14ac:dyDescent="0.2">
      <c r="A954" s="655"/>
      <c r="B954" s="655"/>
      <c r="C954"/>
      <c r="D954" s="655"/>
      <c r="E954" s="655"/>
      <c r="F954" s="655" t="str">
        <f>LEFT(AllDaqbookOffsets[[#This Row],[traceability_no]],2)</f>
        <v>K4</v>
      </c>
      <c r="N954" s="456"/>
      <c r="O954"/>
      <c r="Z954" s="460"/>
      <c r="AA954" s="194"/>
      <c r="AB954"/>
      <c r="AG954" s="69"/>
      <c r="AH954"/>
    </row>
    <row r="955" spans="1:34" x14ac:dyDescent="0.2">
      <c r="A955" s="655"/>
      <c r="B955" s="655"/>
      <c r="C955"/>
      <c r="D955" s="655"/>
      <c r="E955" s="655"/>
      <c r="F955" s="655" t="str">
        <f>LEFT(AllDaqbookOffsets[[#This Row],[traceability_no]],2)</f>
        <v>K4</v>
      </c>
      <c r="N955" s="456"/>
      <c r="O955"/>
      <c r="Z955" s="460"/>
      <c r="AA955" s="194"/>
      <c r="AB955"/>
      <c r="AG955" s="69"/>
      <c r="AH955"/>
    </row>
    <row r="956" spans="1:34" x14ac:dyDescent="0.2">
      <c r="A956" s="655"/>
      <c r="B956" s="655"/>
      <c r="C956"/>
      <c r="D956" s="655"/>
      <c r="E956" s="655"/>
      <c r="F956" s="655" t="str">
        <f>LEFT(AllDaqbookOffsets[[#This Row],[traceability_no]],2)</f>
        <v>K4</v>
      </c>
      <c r="N956" s="456"/>
      <c r="O956"/>
      <c r="Z956" s="460"/>
      <c r="AA956" s="194"/>
      <c r="AB956"/>
      <c r="AG956" s="69"/>
      <c r="AH956"/>
    </row>
    <row r="957" spans="1:34" x14ac:dyDescent="0.2">
      <c r="A957" s="655"/>
      <c r="B957" s="655"/>
      <c r="C957"/>
      <c r="D957" s="655"/>
      <c r="E957" s="655"/>
      <c r="F957" s="655" t="str">
        <f>LEFT(AllDaqbookOffsets[[#This Row],[traceability_no]],2)</f>
        <v>K4</v>
      </c>
      <c r="N957" s="456"/>
      <c r="O957"/>
      <c r="Z957" s="460"/>
      <c r="AA957" s="194"/>
      <c r="AB957"/>
      <c r="AG957" s="69"/>
      <c r="AH957"/>
    </row>
    <row r="958" spans="1:34" x14ac:dyDescent="0.2">
      <c r="A958" s="655"/>
      <c r="B958" s="655"/>
      <c r="C958"/>
      <c r="D958" s="655"/>
      <c r="E958" s="655"/>
      <c r="F958" s="655" t="str">
        <f>LEFT(AllDaqbookOffsets[[#This Row],[traceability_no]],2)</f>
        <v>K4</v>
      </c>
      <c r="N958" s="456"/>
      <c r="O958"/>
      <c r="Z958" s="460"/>
      <c r="AA958" s="194"/>
      <c r="AB958"/>
      <c r="AG958" s="69"/>
      <c r="AH958"/>
    </row>
    <row r="959" spans="1:34" x14ac:dyDescent="0.2">
      <c r="A959" s="655"/>
      <c r="B959" s="655"/>
      <c r="C959"/>
      <c r="D959" s="655"/>
      <c r="E959" s="655"/>
      <c r="F959" s="655" t="str">
        <f>LEFT(AllDaqbookOffsets[[#This Row],[traceability_no]],2)</f>
        <v>K4</v>
      </c>
      <c r="N959" s="456"/>
      <c r="O959"/>
      <c r="Z959" s="460"/>
      <c r="AA959" s="194"/>
      <c r="AB959"/>
      <c r="AG959" s="69"/>
      <c r="AH959"/>
    </row>
    <row r="960" spans="1:34" x14ac:dyDescent="0.2">
      <c r="A960" s="655"/>
      <c r="B960" s="655"/>
      <c r="C960"/>
      <c r="D960" s="655"/>
      <c r="E960" s="655"/>
      <c r="F960" s="655" t="str">
        <f>LEFT(AllDaqbookOffsets[[#This Row],[traceability_no]],2)</f>
        <v>K4</v>
      </c>
      <c r="N960" s="456"/>
      <c r="O960"/>
      <c r="Z960" s="460"/>
      <c r="AA960" s="194"/>
      <c r="AB960"/>
      <c r="AG960" s="69"/>
      <c r="AH960"/>
    </row>
    <row r="961" spans="1:34" x14ac:dyDescent="0.2">
      <c r="A961" s="655"/>
      <c r="B961" s="655"/>
      <c r="C961"/>
      <c r="D961" s="655"/>
      <c r="E961" s="655"/>
      <c r="F961" s="655" t="str">
        <f>LEFT(AllDaqbookOffsets[[#This Row],[traceability_no]],2)</f>
        <v>K4</v>
      </c>
      <c r="N961" s="456"/>
      <c r="O961"/>
      <c r="Z961" s="460"/>
      <c r="AA961" s="194"/>
      <c r="AB961"/>
      <c r="AG961" s="69"/>
      <c r="AH961"/>
    </row>
    <row r="962" spans="1:34" x14ac:dyDescent="0.2">
      <c r="A962" s="655"/>
      <c r="B962" s="655"/>
      <c r="C962"/>
      <c r="D962" s="655"/>
      <c r="E962" s="655"/>
      <c r="F962" s="655" t="str">
        <f>LEFT(AllDaqbookOffsets[[#This Row],[traceability_no]],2)</f>
        <v>K5</v>
      </c>
      <c r="N962" s="456"/>
      <c r="O962"/>
      <c r="Z962" s="460"/>
      <c r="AA962" s="194"/>
      <c r="AB962"/>
      <c r="AG962" s="69"/>
      <c r="AH962"/>
    </row>
    <row r="963" spans="1:34" x14ac:dyDescent="0.2">
      <c r="A963" s="655"/>
      <c r="B963" s="655"/>
      <c r="C963"/>
      <c r="D963" s="655"/>
      <c r="E963" s="655"/>
      <c r="F963" s="655" t="str">
        <f>LEFT(AllDaqbookOffsets[[#This Row],[traceability_no]],2)</f>
        <v>K5</v>
      </c>
      <c r="N963" s="456"/>
      <c r="O963"/>
      <c r="Z963" s="460"/>
      <c r="AA963" s="194"/>
      <c r="AB963"/>
      <c r="AG963" s="69"/>
      <c r="AH963"/>
    </row>
    <row r="964" spans="1:34" x14ac:dyDescent="0.2">
      <c r="A964" s="655"/>
      <c r="B964" s="655"/>
      <c r="C964"/>
      <c r="D964" s="655"/>
      <c r="E964" s="655"/>
      <c r="F964" s="655" t="str">
        <f>LEFT(AllDaqbookOffsets[[#This Row],[traceability_no]],2)</f>
        <v>K5</v>
      </c>
      <c r="N964" s="456"/>
      <c r="O964"/>
      <c r="Z964" s="460"/>
      <c r="AA964" s="194"/>
      <c r="AB964"/>
      <c r="AG964" s="69"/>
      <c r="AH964"/>
    </row>
    <row r="965" spans="1:34" x14ac:dyDescent="0.2">
      <c r="A965" s="655"/>
      <c r="B965" s="655"/>
      <c r="C965"/>
      <c r="D965" s="655"/>
      <c r="E965" s="655"/>
      <c r="F965" s="655" t="str">
        <f>LEFT(AllDaqbookOffsets[[#This Row],[traceability_no]],2)</f>
        <v>K5</v>
      </c>
      <c r="N965" s="456"/>
      <c r="O965"/>
      <c r="Z965" s="460"/>
      <c r="AA965" s="194"/>
      <c r="AB965"/>
      <c r="AG965" s="69"/>
      <c r="AH965"/>
    </row>
    <row r="966" spans="1:34" x14ac:dyDescent="0.2">
      <c r="A966" s="655"/>
      <c r="B966" s="655"/>
      <c r="C966"/>
      <c r="D966" s="655"/>
      <c r="E966" s="655"/>
      <c r="F966" s="655" t="str">
        <f>LEFT(AllDaqbookOffsets[[#This Row],[traceability_no]],2)</f>
        <v>K5</v>
      </c>
      <c r="N966" s="456"/>
      <c r="O966"/>
      <c r="Z966" s="460"/>
      <c r="AA966" s="194"/>
      <c r="AB966"/>
      <c r="AG966" s="69"/>
      <c r="AH966"/>
    </row>
    <row r="967" spans="1:34" x14ac:dyDescent="0.2">
      <c r="A967" s="655"/>
      <c r="B967" s="655"/>
      <c r="C967"/>
      <c r="D967" s="655"/>
      <c r="E967" s="655"/>
      <c r="F967" s="655" t="str">
        <f>LEFT(AllDaqbookOffsets[[#This Row],[traceability_no]],2)</f>
        <v>K5</v>
      </c>
      <c r="N967" s="456"/>
      <c r="O967"/>
      <c r="Z967" s="460"/>
      <c r="AA967" s="194"/>
      <c r="AB967"/>
      <c r="AG967" s="69"/>
      <c r="AH967"/>
    </row>
    <row r="968" spans="1:34" x14ac:dyDescent="0.2">
      <c r="A968" s="655"/>
      <c r="B968" s="655"/>
      <c r="C968"/>
      <c r="D968" s="655"/>
      <c r="E968" s="655"/>
      <c r="F968" s="655" t="str">
        <f>LEFT(AllDaqbookOffsets[[#This Row],[traceability_no]],2)</f>
        <v>K5</v>
      </c>
      <c r="N968" s="456"/>
      <c r="O968"/>
      <c r="Z968" s="460"/>
      <c r="AA968" s="194"/>
      <c r="AB968"/>
      <c r="AG968" s="69"/>
      <c r="AH968"/>
    </row>
    <row r="969" spans="1:34" x14ac:dyDescent="0.2">
      <c r="A969" s="655"/>
      <c r="B969" s="655"/>
      <c r="C969"/>
      <c r="D969" s="655"/>
      <c r="E969" s="655"/>
      <c r="F969" s="655" t="str">
        <f>LEFT(AllDaqbookOffsets[[#This Row],[traceability_no]],2)</f>
        <v>K5</v>
      </c>
      <c r="N969" s="456"/>
      <c r="O969"/>
      <c r="Z969" s="460"/>
      <c r="AA969" s="194"/>
      <c r="AB969"/>
      <c r="AG969" s="69"/>
      <c r="AH969"/>
    </row>
    <row r="970" spans="1:34" x14ac:dyDescent="0.2">
      <c r="A970" s="655"/>
      <c r="B970" s="655"/>
      <c r="C970"/>
      <c r="D970" s="655"/>
      <c r="E970" s="655"/>
      <c r="F970" s="655" t="str">
        <f>LEFT(AllDaqbookOffsets[[#This Row],[traceability_no]],2)</f>
        <v>K5</v>
      </c>
      <c r="N970" s="456"/>
      <c r="O970"/>
      <c r="Z970" s="460"/>
      <c r="AA970" s="194"/>
      <c r="AB970"/>
      <c r="AG970" s="69"/>
      <c r="AH970"/>
    </row>
    <row r="971" spans="1:34" x14ac:dyDescent="0.2">
      <c r="A971" s="655"/>
      <c r="B971" s="655"/>
      <c r="C971"/>
      <c r="D971" s="655"/>
      <c r="E971" s="655"/>
      <c r="F971" s="655" t="str">
        <f>LEFT(AllDaqbookOffsets[[#This Row],[traceability_no]],2)</f>
        <v>K5</v>
      </c>
      <c r="N971" s="456"/>
      <c r="O971"/>
      <c r="Z971" s="460"/>
      <c r="AA971" s="194"/>
      <c r="AB971"/>
      <c r="AG971" s="69"/>
      <c r="AH971"/>
    </row>
    <row r="972" spans="1:34" x14ac:dyDescent="0.2">
      <c r="A972" s="655"/>
      <c r="B972" s="655"/>
      <c r="C972"/>
      <c r="D972" s="655"/>
      <c r="E972" s="655"/>
      <c r="F972" s="655" t="str">
        <f>LEFT(AllDaqbookOffsets[[#This Row],[traceability_no]],2)</f>
        <v>K5</v>
      </c>
      <c r="N972" s="456"/>
      <c r="O972"/>
      <c r="Z972" s="460"/>
      <c r="AA972" s="194"/>
      <c r="AB972"/>
      <c r="AG972" s="69"/>
      <c r="AH972"/>
    </row>
    <row r="973" spans="1:34" x14ac:dyDescent="0.2">
      <c r="A973" s="655"/>
      <c r="B973" s="655"/>
      <c r="C973"/>
      <c r="D973" s="655"/>
      <c r="E973" s="655"/>
      <c r="F973" s="655" t="str">
        <f>LEFT(AllDaqbookOffsets[[#This Row],[traceability_no]],2)</f>
        <v>K5</v>
      </c>
      <c r="N973" s="456"/>
      <c r="O973"/>
      <c r="Z973" s="460"/>
      <c r="AA973" s="194"/>
      <c r="AB973"/>
      <c r="AG973" s="69"/>
      <c r="AH973"/>
    </row>
    <row r="974" spans="1:34" x14ac:dyDescent="0.2">
      <c r="A974" s="655"/>
      <c r="B974" s="655"/>
      <c r="C974"/>
      <c r="D974" s="655"/>
      <c r="E974" s="655"/>
      <c r="F974" s="655" t="str">
        <f>LEFT(AllDaqbookOffsets[[#This Row],[traceability_no]],2)</f>
        <v>K5</v>
      </c>
      <c r="N974" s="456"/>
      <c r="O974"/>
      <c r="Z974" s="460"/>
      <c r="AA974" s="194"/>
      <c r="AB974"/>
      <c r="AG974" s="69"/>
      <c r="AH974"/>
    </row>
    <row r="975" spans="1:34" x14ac:dyDescent="0.2">
      <c r="A975" s="655"/>
      <c r="B975" s="655"/>
      <c r="C975"/>
      <c r="D975" s="655"/>
      <c r="E975" s="655"/>
      <c r="F975" s="655" t="str">
        <f>LEFT(AllDaqbookOffsets[[#This Row],[traceability_no]],2)</f>
        <v>K5</v>
      </c>
      <c r="N975" s="456"/>
      <c r="O975"/>
      <c r="Z975" s="460"/>
      <c r="AA975" s="194"/>
      <c r="AB975"/>
      <c r="AG975" s="69"/>
      <c r="AH975"/>
    </row>
    <row r="976" spans="1:34" x14ac:dyDescent="0.2">
      <c r="A976" s="655"/>
      <c r="B976" s="655"/>
      <c r="C976"/>
      <c r="D976" s="655"/>
      <c r="E976" s="655"/>
      <c r="F976" s="655" t="str">
        <f>LEFT(AllDaqbookOffsets[[#This Row],[traceability_no]],2)</f>
        <v>K5</v>
      </c>
      <c r="N976" s="456"/>
      <c r="O976"/>
      <c r="Z976" s="460"/>
      <c r="AA976" s="194"/>
      <c r="AB976"/>
      <c r="AG976" s="69"/>
      <c r="AH976"/>
    </row>
    <row r="977" spans="1:34" x14ac:dyDescent="0.2">
      <c r="A977" s="655"/>
      <c r="B977" s="655"/>
      <c r="C977"/>
      <c r="D977" s="655"/>
      <c r="E977" s="655"/>
      <c r="F977" s="655" t="str">
        <f>LEFT(AllDaqbookOffsets[[#This Row],[traceability_no]],2)</f>
        <v>K5</v>
      </c>
      <c r="N977" s="456"/>
      <c r="O977"/>
      <c r="Z977" s="460"/>
      <c r="AA977" s="194"/>
      <c r="AB977"/>
      <c r="AG977" s="69"/>
      <c r="AH977"/>
    </row>
    <row r="978" spans="1:34" x14ac:dyDescent="0.2">
      <c r="A978" s="655"/>
      <c r="B978" s="655"/>
      <c r="C978"/>
      <c r="D978" s="655"/>
      <c r="E978" s="655"/>
      <c r="F978" s="655" t="str">
        <f>LEFT(AllDaqbookOffsets[[#This Row],[traceability_no]],2)</f>
        <v>K5</v>
      </c>
      <c r="N978" s="456"/>
      <c r="O978"/>
      <c r="Z978" s="460"/>
      <c r="AA978" s="194"/>
      <c r="AB978"/>
      <c r="AG978" s="69"/>
      <c r="AH978"/>
    </row>
    <row r="979" spans="1:34" x14ac:dyDescent="0.2">
      <c r="A979" s="655"/>
      <c r="B979" s="655"/>
      <c r="C979"/>
      <c r="D979" s="655"/>
      <c r="E979" s="655"/>
      <c r="F979" s="655" t="str">
        <f>LEFT(AllDaqbookOffsets[[#This Row],[traceability_no]],2)</f>
        <v>K5</v>
      </c>
      <c r="N979" s="456"/>
      <c r="O979"/>
      <c r="Z979" s="460"/>
      <c r="AA979" s="194"/>
      <c r="AB979"/>
      <c r="AG979" s="69"/>
      <c r="AH979"/>
    </row>
    <row r="980" spans="1:34" x14ac:dyDescent="0.2">
      <c r="A980" s="655"/>
      <c r="B980" s="655"/>
      <c r="C980"/>
      <c r="D980" s="655"/>
      <c r="E980" s="655"/>
      <c r="F980" s="655" t="str">
        <f>LEFT(AllDaqbookOffsets[[#This Row],[traceability_no]],2)</f>
        <v>K5</v>
      </c>
      <c r="N980" s="456"/>
      <c r="O980"/>
      <c r="Z980" s="460"/>
      <c r="AA980" s="194"/>
      <c r="AB980"/>
      <c r="AG980" s="69"/>
      <c r="AH980"/>
    </row>
    <row r="981" spans="1:34" x14ac:dyDescent="0.2">
      <c r="A981" s="655"/>
      <c r="B981" s="655"/>
      <c r="C981"/>
      <c r="D981" s="655"/>
      <c r="E981" s="655"/>
      <c r="F981" s="655" t="str">
        <f>LEFT(AllDaqbookOffsets[[#This Row],[traceability_no]],2)</f>
        <v>K5</v>
      </c>
      <c r="N981" s="456"/>
      <c r="O981"/>
      <c r="Z981" s="460"/>
      <c r="AA981" s="194"/>
      <c r="AB981"/>
      <c r="AG981" s="69"/>
      <c r="AH981"/>
    </row>
    <row r="982" spans="1:34" x14ac:dyDescent="0.2">
      <c r="A982" s="655"/>
      <c r="B982" s="655"/>
      <c r="C982"/>
      <c r="D982" s="655"/>
      <c r="E982" s="655"/>
      <c r="F982" s="655" t="str">
        <f>LEFT(AllDaqbookOffsets[[#This Row],[traceability_no]],2)</f>
        <v>K5</v>
      </c>
      <c r="N982" s="456"/>
      <c r="O982"/>
      <c r="Z982" s="460"/>
      <c r="AA982" s="194"/>
      <c r="AB982"/>
      <c r="AG982" s="69"/>
      <c r="AH982"/>
    </row>
    <row r="983" spans="1:34" x14ac:dyDescent="0.2">
      <c r="A983" s="655"/>
      <c r="B983" s="655"/>
      <c r="C983"/>
      <c r="D983" s="655"/>
      <c r="E983" s="655"/>
      <c r="F983" s="655" t="str">
        <f>LEFT(AllDaqbookOffsets[[#This Row],[traceability_no]],2)</f>
        <v>K5</v>
      </c>
      <c r="N983" s="456"/>
      <c r="O983"/>
      <c r="Z983" s="460"/>
      <c r="AA983" s="194"/>
      <c r="AB983"/>
      <c r="AG983" s="69"/>
      <c r="AH983"/>
    </row>
    <row r="984" spans="1:34" x14ac:dyDescent="0.2">
      <c r="A984" s="655"/>
      <c r="B984" s="655"/>
      <c r="C984"/>
      <c r="D984" s="655"/>
      <c r="E984" s="655"/>
      <c r="F984" s="655" t="str">
        <f>LEFT(AllDaqbookOffsets[[#This Row],[traceability_no]],2)</f>
        <v>K5</v>
      </c>
      <c r="N984" s="456"/>
      <c r="O984"/>
      <c r="Z984" s="460"/>
      <c r="AA984" s="194"/>
      <c r="AB984"/>
      <c r="AG984" s="69"/>
      <c r="AH984"/>
    </row>
    <row r="985" spans="1:34" x14ac:dyDescent="0.2">
      <c r="A985" s="655"/>
      <c r="B985" s="655"/>
      <c r="C985"/>
      <c r="D985" s="655"/>
      <c r="E985" s="655"/>
      <c r="F985" s="655" t="str">
        <f>LEFT(AllDaqbookOffsets[[#This Row],[traceability_no]],2)</f>
        <v>K5</v>
      </c>
      <c r="N985" s="456"/>
      <c r="O985"/>
      <c r="Z985" s="460"/>
      <c r="AA985" s="194"/>
      <c r="AB985"/>
      <c r="AG985" s="69"/>
      <c r="AH985"/>
    </row>
    <row r="986" spans="1:34" x14ac:dyDescent="0.2">
      <c r="A986" s="655"/>
      <c r="B986" s="655"/>
      <c r="C986"/>
      <c r="D986" s="655"/>
      <c r="E986" s="655"/>
      <c r="F986" s="655" t="str">
        <f>LEFT(AllDaqbookOffsets[[#This Row],[traceability_no]],2)</f>
        <v>K5</v>
      </c>
      <c r="N986" s="456"/>
      <c r="O986"/>
      <c r="Z986" s="460"/>
      <c r="AA986" s="194"/>
      <c r="AB986"/>
      <c r="AG986" s="69"/>
      <c r="AH986"/>
    </row>
    <row r="987" spans="1:34" x14ac:dyDescent="0.2">
      <c r="A987" s="655"/>
      <c r="B987" s="655"/>
      <c r="C987"/>
      <c r="D987" s="655"/>
      <c r="E987" s="655"/>
      <c r="F987" s="655" t="str">
        <f>LEFT(AllDaqbookOffsets[[#This Row],[traceability_no]],2)</f>
        <v>K5</v>
      </c>
      <c r="N987" s="456"/>
      <c r="O987"/>
      <c r="Z987" s="460"/>
      <c r="AA987" s="194"/>
      <c r="AB987"/>
      <c r="AG987" s="69"/>
      <c r="AH987"/>
    </row>
    <row r="988" spans="1:34" x14ac:dyDescent="0.2">
      <c r="A988" s="655"/>
      <c r="B988" s="655"/>
      <c r="C988"/>
      <c r="D988" s="655"/>
      <c r="E988" s="655"/>
      <c r="F988" s="655" t="str">
        <f>LEFT(AllDaqbookOffsets[[#This Row],[traceability_no]],2)</f>
        <v>K5</v>
      </c>
      <c r="N988" s="456"/>
      <c r="O988"/>
      <c r="Z988" s="460"/>
      <c r="AA988" s="194"/>
      <c r="AB988"/>
      <c r="AG988" s="69"/>
      <c r="AH988"/>
    </row>
    <row r="989" spans="1:34" x14ac:dyDescent="0.2">
      <c r="A989" s="655"/>
      <c r="B989" s="655"/>
      <c r="C989"/>
      <c r="D989" s="655"/>
      <c r="E989" s="655"/>
      <c r="F989" s="655" t="str">
        <f>LEFT(AllDaqbookOffsets[[#This Row],[traceability_no]],2)</f>
        <v>K5</v>
      </c>
      <c r="N989" s="456"/>
      <c r="O989"/>
      <c r="Z989" s="460"/>
      <c r="AA989" s="194"/>
      <c r="AB989"/>
      <c r="AG989" s="69"/>
      <c r="AH989"/>
    </row>
    <row r="990" spans="1:34" x14ac:dyDescent="0.2">
      <c r="A990" s="655"/>
      <c r="B990" s="655"/>
      <c r="C990"/>
      <c r="D990" s="655"/>
      <c r="E990" s="655"/>
      <c r="F990" s="655" t="str">
        <f>LEFT(AllDaqbookOffsets[[#This Row],[traceability_no]],2)</f>
        <v>K5</v>
      </c>
      <c r="N990" s="456"/>
      <c r="O990"/>
      <c r="Z990" s="460"/>
      <c r="AA990" s="194"/>
      <c r="AB990"/>
      <c r="AG990" s="69"/>
      <c r="AH990"/>
    </row>
    <row r="991" spans="1:34" x14ac:dyDescent="0.2">
      <c r="A991" s="655"/>
      <c r="B991" s="655"/>
      <c r="C991"/>
      <c r="D991" s="655"/>
      <c r="E991" s="655"/>
      <c r="F991" s="655" t="str">
        <f>LEFT(AllDaqbookOffsets[[#This Row],[traceability_no]],2)</f>
        <v>K5</v>
      </c>
      <c r="N991" s="456"/>
      <c r="O991"/>
      <c r="Z991" s="460"/>
      <c r="AA991" s="194"/>
      <c r="AB991"/>
      <c r="AG991" s="69"/>
      <c r="AH991"/>
    </row>
    <row r="992" spans="1:34" x14ac:dyDescent="0.2">
      <c r="A992" s="655"/>
      <c r="B992" s="655"/>
      <c r="C992"/>
      <c r="D992" s="655"/>
      <c r="E992" s="655"/>
      <c r="F992" s="655" t="str">
        <f>LEFT(AllDaqbookOffsets[[#This Row],[traceability_no]],2)</f>
        <v>K5</v>
      </c>
      <c r="N992" s="456"/>
      <c r="O992"/>
      <c r="Z992" s="460"/>
      <c r="AA992" s="194"/>
      <c r="AB992"/>
      <c r="AG992" s="69"/>
      <c r="AH992"/>
    </row>
    <row r="993" spans="1:34" x14ac:dyDescent="0.2">
      <c r="A993" s="655"/>
      <c r="B993" s="655"/>
      <c r="C993"/>
      <c r="D993" s="655"/>
      <c r="E993" s="655"/>
      <c r="F993" s="655" t="str">
        <f>LEFT(AllDaqbookOffsets[[#This Row],[traceability_no]],2)</f>
        <v>K5</v>
      </c>
      <c r="N993" s="456"/>
      <c r="O993"/>
      <c r="Z993" s="460"/>
      <c r="AA993" s="194"/>
      <c r="AB993"/>
      <c r="AG993" s="69"/>
      <c r="AH993"/>
    </row>
    <row r="994" spans="1:34" x14ac:dyDescent="0.2">
      <c r="A994" s="655"/>
      <c r="B994" s="655"/>
      <c r="C994"/>
      <c r="D994" s="655"/>
      <c r="E994" s="655"/>
      <c r="F994" s="655" t="str">
        <f>LEFT(AllDaqbookOffsets[[#This Row],[traceability_no]],2)</f>
        <v>K5</v>
      </c>
      <c r="N994" s="456"/>
      <c r="O994"/>
      <c r="Z994" s="460"/>
      <c r="AA994" s="194"/>
      <c r="AB994"/>
      <c r="AG994" s="69"/>
      <c r="AH994"/>
    </row>
    <row r="995" spans="1:34" x14ac:dyDescent="0.2">
      <c r="A995" s="655"/>
      <c r="B995" s="655"/>
      <c r="C995"/>
      <c r="D995" s="655"/>
      <c r="E995" s="655"/>
      <c r="F995" s="655" t="str">
        <f>LEFT(AllDaqbookOffsets[[#This Row],[traceability_no]],2)</f>
        <v>K5</v>
      </c>
      <c r="N995" s="456"/>
      <c r="O995"/>
      <c r="Z995" s="460"/>
      <c r="AA995" s="194"/>
      <c r="AB995"/>
      <c r="AG995" s="69"/>
      <c r="AH995"/>
    </row>
    <row r="996" spans="1:34" x14ac:dyDescent="0.2">
      <c r="A996" s="655"/>
      <c r="B996" s="655"/>
      <c r="C996"/>
      <c r="D996" s="655"/>
      <c r="E996" s="655"/>
      <c r="F996" s="655" t="str">
        <f>LEFT(AllDaqbookOffsets[[#This Row],[traceability_no]],2)</f>
        <v>K5</v>
      </c>
      <c r="N996" s="456"/>
      <c r="O996"/>
      <c r="Z996" s="460"/>
      <c r="AA996" s="194"/>
      <c r="AB996"/>
      <c r="AG996" s="69"/>
      <c r="AH996"/>
    </row>
    <row r="997" spans="1:34" x14ac:dyDescent="0.2">
      <c r="A997" s="655"/>
      <c r="B997" s="655"/>
      <c r="C997"/>
      <c r="D997" s="655"/>
      <c r="E997" s="655"/>
      <c r="F997" s="655" t="str">
        <f>LEFT(AllDaqbookOffsets[[#This Row],[traceability_no]],2)</f>
        <v>K5</v>
      </c>
      <c r="N997" s="456"/>
      <c r="O997"/>
      <c r="Z997" s="460"/>
      <c r="AA997" s="194"/>
      <c r="AB997"/>
      <c r="AG997" s="69"/>
      <c r="AH997"/>
    </row>
    <row r="998" spans="1:34" x14ac:dyDescent="0.2">
      <c r="A998" s="655"/>
      <c r="B998" s="655"/>
      <c r="C998"/>
      <c r="D998" s="655"/>
      <c r="E998" s="655"/>
      <c r="F998" s="655" t="str">
        <f>LEFT(AllDaqbookOffsets[[#This Row],[traceability_no]],2)</f>
        <v>K5</v>
      </c>
      <c r="N998" s="456"/>
      <c r="O998"/>
      <c r="Z998" s="460"/>
      <c r="AA998" s="194"/>
      <c r="AB998"/>
      <c r="AG998" s="69"/>
      <c r="AH998"/>
    </row>
    <row r="999" spans="1:34" x14ac:dyDescent="0.2">
      <c r="A999" s="655"/>
      <c r="B999" s="655"/>
      <c r="C999"/>
      <c r="D999" s="655"/>
      <c r="E999" s="655"/>
      <c r="F999" s="655" t="str">
        <f>LEFT(AllDaqbookOffsets[[#This Row],[traceability_no]],2)</f>
        <v>K5</v>
      </c>
      <c r="N999" s="456"/>
      <c r="O999"/>
      <c r="Z999" s="460"/>
      <c r="AA999" s="194"/>
      <c r="AB999"/>
      <c r="AG999" s="69"/>
      <c r="AH999"/>
    </row>
    <row r="1000" spans="1:34" x14ac:dyDescent="0.2">
      <c r="A1000" s="655"/>
      <c r="B1000" s="655"/>
      <c r="C1000"/>
      <c r="D1000" s="655"/>
      <c r="E1000" s="655"/>
      <c r="F1000" s="655" t="str">
        <f>LEFT(AllDaqbookOffsets[[#This Row],[traceability_no]],2)</f>
        <v>K5</v>
      </c>
      <c r="N1000" s="456"/>
      <c r="O1000"/>
      <c r="Z1000" s="460"/>
      <c r="AA1000" s="194"/>
      <c r="AB1000"/>
      <c r="AG1000" s="69"/>
      <c r="AH1000"/>
    </row>
    <row r="1001" spans="1:34" x14ac:dyDescent="0.2">
      <c r="A1001" s="655"/>
      <c r="B1001" s="655"/>
      <c r="C1001"/>
      <c r="D1001" s="655"/>
      <c r="E1001" s="655"/>
      <c r="F1001" s="655" t="str">
        <f>LEFT(AllDaqbookOffsets[[#This Row],[traceability_no]],2)</f>
        <v>K5</v>
      </c>
      <c r="N1001" s="456"/>
      <c r="O1001"/>
      <c r="Z1001" s="460"/>
      <c r="AA1001" s="194"/>
      <c r="AB1001"/>
      <c r="AG1001" s="69"/>
      <c r="AH1001"/>
    </row>
    <row r="1002" spans="1:34" x14ac:dyDescent="0.2">
      <c r="A1002" s="655"/>
      <c r="B1002" s="655"/>
      <c r="C1002"/>
      <c r="D1002" s="655"/>
      <c r="E1002" s="655"/>
      <c r="F1002" s="655" t="str">
        <f>LEFT(AllDaqbookOffsets[[#This Row],[traceability_no]],2)</f>
        <v>K5</v>
      </c>
      <c r="N1002" s="456"/>
      <c r="O1002"/>
      <c r="Z1002" s="460"/>
      <c r="AA1002" s="194"/>
      <c r="AB1002"/>
      <c r="AG1002" s="69"/>
      <c r="AH1002"/>
    </row>
    <row r="1003" spans="1:34" x14ac:dyDescent="0.2">
      <c r="A1003" s="655"/>
      <c r="B1003" s="655"/>
      <c r="C1003"/>
      <c r="D1003" s="655"/>
      <c r="E1003" s="655"/>
      <c r="F1003" s="655" t="str">
        <f>LEFT(AllDaqbookOffsets[[#This Row],[traceability_no]],2)</f>
        <v>K5</v>
      </c>
      <c r="N1003" s="456"/>
      <c r="O1003"/>
      <c r="Z1003" s="460"/>
      <c r="AA1003" s="194"/>
      <c r="AB1003"/>
      <c r="AG1003" s="69"/>
      <c r="AH1003"/>
    </row>
    <row r="1004" spans="1:34" x14ac:dyDescent="0.2">
      <c r="A1004" s="655"/>
      <c r="B1004" s="655"/>
      <c r="C1004"/>
      <c r="D1004" s="655"/>
      <c r="E1004" s="655"/>
      <c r="F1004" s="655" t="str">
        <f>LEFT(AllDaqbookOffsets[[#This Row],[traceability_no]],2)</f>
        <v>K5</v>
      </c>
      <c r="N1004" s="456"/>
      <c r="O1004"/>
      <c r="Z1004" s="460"/>
      <c r="AA1004" s="194"/>
      <c r="AB1004"/>
      <c r="AG1004" s="69"/>
      <c r="AH1004"/>
    </row>
    <row r="1005" spans="1:34" x14ac:dyDescent="0.2">
      <c r="A1005" s="655"/>
      <c r="B1005" s="655"/>
      <c r="C1005"/>
      <c r="D1005" s="655"/>
      <c r="E1005" s="655"/>
      <c r="F1005" s="655" t="str">
        <f>LEFT(AllDaqbookOffsets[[#This Row],[traceability_no]],2)</f>
        <v>K5</v>
      </c>
      <c r="N1005" s="456"/>
      <c r="O1005"/>
      <c r="Z1005" s="460"/>
      <c r="AA1005" s="194"/>
      <c r="AB1005"/>
      <c r="AG1005" s="69"/>
      <c r="AH1005"/>
    </row>
    <row r="1006" spans="1:34" x14ac:dyDescent="0.2">
      <c r="A1006" s="655"/>
      <c r="B1006" s="655"/>
      <c r="C1006"/>
      <c r="D1006" s="655"/>
      <c r="E1006" s="655"/>
      <c r="F1006" s="655" t="str">
        <f>LEFT(AllDaqbookOffsets[[#This Row],[traceability_no]],2)</f>
        <v>K5</v>
      </c>
      <c r="N1006" s="456"/>
      <c r="O1006"/>
      <c r="Z1006" s="460"/>
      <c r="AA1006" s="194"/>
      <c r="AB1006"/>
      <c r="AG1006" s="69"/>
      <c r="AH1006"/>
    </row>
    <row r="1007" spans="1:34" x14ac:dyDescent="0.2">
      <c r="A1007" s="655"/>
      <c r="B1007" s="655"/>
      <c r="C1007"/>
      <c r="D1007" s="655"/>
      <c r="E1007" s="655"/>
      <c r="F1007" s="655" t="str">
        <f>LEFT(AllDaqbookOffsets[[#This Row],[traceability_no]],2)</f>
        <v>K5</v>
      </c>
      <c r="N1007" s="456"/>
      <c r="O1007"/>
      <c r="Z1007" s="460"/>
      <c r="AA1007" s="194"/>
      <c r="AB1007"/>
      <c r="AG1007" s="69"/>
      <c r="AH1007"/>
    </row>
    <row r="1008" spans="1:34" x14ac:dyDescent="0.2">
      <c r="A1008" s="655"/>
      <c r="B1008" s="655"/>
      <c r="C1008"/>
      <c r="D1008" s="655"/>
      <c r="E1008" s="655"/>
      <c r="F1008" s="655" t="str">
        <f>LEFT(AllDaqbookOffsets[[#This Row],[traceability_no]],2)</f>
        <v>K5</v>
      </c>
      <c r="N1008" s="456"/>
      <c r="O1008"/>
      <c r="Z1008" s="460"/>
      <c r="AA1008" s="194"/>
      <c r="AB1008"/>
      <c r="AG1008" s="69"/>
      <c r="AH1008"/>
    </row>
    <row r="1009" spans="1:34" x14ac:dyDescent="0.2">
      <c r="A1009" s="655"/>
      <c r="B1009" s="655"/>
      <c r="C1009"/>
      <c r="D1009" s="655"/>
      <c r="E1009" s="655"/>
      <c r="F1009" s="655" t="str">
        <f>LEFT(AllDaqbookOffsets[[#This Row],[traceability_no]],2)</f>
        <v>K5</v>
      </c>
      <c r="N1009" s="456"/>
      <c r="O1009"/>
      <c r="Z1009" s="460"/>
      <c r="AA1009" s="194"/>
      <c r="AB1009"/>
      <c r="AG1009" s="69"/>
      <c r="AH1009"/>
    </row>
    <row r="1010" spans="1:34" x14ac:dyDescent="0.2">
      <c r="A1010" s="655"/>
      <c r="B1010" s="655"/>
      <c r="C1010"/>
      <c r="D1010" s="655"/>
      <c r="E1010" s="655"/>
      <c r="F1010" s="655" t="str">
        <f>LEFT(AllDaqbookOffsets[[#This Row],[traceability_no]],2)</f>
        <v>K5</v>
      </c>
      <c r="N1010" s="456"/>
      <c r="O1010"/>
      <c r="Z1010" s="460"/>
      <c r="AA1010" s="194"/>
      <c r="AB1010"/>
      <c r="AG1010" s="69"/>
      <c r="AH1010"/>
    </row>
    <row r="1011" spans="1:34" x14ac:dyDescent="0.2">
      <c r="A1011" s="655"/>
      <c r="B1011" s="655"/>
      <c r="C1011"/>
      <c r="D1011" s="655"/>
      <c r="E1011" s="655"/>
      <c r="F1011" s="655" t="str">
        <f>LEFT(AllDaqbookOffsets[[#This Row],[traceability_no]],2)</f>
        <v>K5</v>
      </c>
      <c r="N1011" s="456"/>
      <c r="O1011"/>
      <c r="Z1011" s="460"/>
      <c r="AA1011" s="194"/>
      <c r="AB1011"/>
      <c r="AG1011" s="69"/>
      <c r="AH1011"/>
    </row>
    <row r="1012" spans="1:34" x14ac:dyDescent="0.2">
      <c r="A1012" s="655"/>
      <c r="B1012" s="655"/>
      <c r="C1012"/>
      <c r="D1012" s="655"/>
      <c r="E1012" s="655"/>
      <c r="F1012" s="655" t="str">
        <f>LEFT(AllDaqbookOffsets[[#This Row],[traceability_no]],2)</f>
        <v>K5</v>
      </c>
      <c r="N1012" s="456"/>
      <c r="O1012"/>
      <c r="Z1012" s="460"/>
      <c r="AA1012" s="194"/>
      <c r="AB1012"/>
      <c r="AG1012" s="69"/>
      <c r="AH1012"/>
    </row>
    <row r="1013" spans="1:34" x14ac:dyDescent="0.2">
      <c r="A1013" s="655"/>
      <c r="B1013" s="655"/>
      <c r="C1013"/>
      <c r="D1013" s="655"/>
      <c r="E1013" s="655"/>
      <c r="F1013" s="655" t="str">
        <f>LEFT(AllDaqbookOffsets[[#This Row],[traceability_no]],2)</f>
        <v>K5</v>
      </c>
      <c r="N1013" s="456"/>
      <c r="O1013"/>
      <c r="Z1013" s="460"/>
      <c r="AA1013" s="194"/>
      <c r="AB1013"/>
      <c r="AG1013" s="69"/>
      <c r="AH1013"/>
    </row>
    <row r="1014" spans="1:34" x14ac:dyDescent="0.2">
      <c r="A1014" s="655"/>
      <c r="B1014" s="655"/>
      <c r="C1014"/>
      <c r="D1014" s="655"/>
      <c r="E1014" s="655"/>
      <c r="F1014" s="655" t="str">
        <f>LEFT(AllDaqbookOffsets[[#This Row],[traceability_no]],2)</f>
        <v>K5</v>
      </c>
      <c r="N1014" s="456"/>
      <c r="O1014"/>
      <c r="Z1014" s="460"/>
      <c r="AA1014" s="194"/>
      <c r="AB1014"/>
      <c r="AG1014" s="69"/>
      <c r="AH1014"/>
    </row>
    <row r="1015" spans="1:34" x14ac:dyDescent="0.2">
      <c r="A1015" s="655"/>
      <c r="B1015" s="655"/>
      <c r="C1015"/>
      <c r="D1015" s="655"/>
      <c r="E1015" s="655"/>
      <c r="F1015" s="655" t="str">
        <f>LEFT(AllDaqbookOffsets[[#This Row],[traceability_no]],2)</f>
        <v>K5</v>
      </c>
      <c r="N1015" s="456"/>
      <c r="O1015"/>
      <c r="Z1015" s="460"/>
      <c r="AA1015" s="194"/>
      <c r="AB1015"/>
      <c r="AG1015" s="69"/>
      <c r="AH1015"/>
    </row>
    <row r="1016" spans="1:34" x14ac:dyDescent="0.2">
      <c r="A1016" s="655"/>
      <c r="B1016" s="655"/>
      <c r="C1016"/>
      <c r="D1016" s="655"/>
      <c r="E1016" s="655"/>
      <c r="F1016" s="655" t="str">
        <f>LEFT(AllDaqbookOffsets[[#This Row],[traceability_no]],2)</f>
        <v>K5</v>
      </c>
      <c r="N1016" s="456"/>
      <c r="O1016"/>
      <c r="Z1016" s="460"/>
      <c r="AA1016" s="194"/>
      <c r="AB1016"/>
      <c r="AG1016" s="69"/>
      <c r="AH1016"/>
    </row>
    <row r="1017" spans="1:34" x14ac:dyDescent="0.2">
      <c r="A1017" s="655"/>
      <c r="B1017" s="655"/>
      <c r="C1017"/>
      <c r="D1017" s="655"/>
      <c r="E1017" s="655"/>
      <c r="F1017" s="655" t="str">
        <f>LEFT(AllDaqbookOffsets[[#This Row],[traceability_no]],2)</f>
        <v>K5</v>
      </c>
      <c r="N1017" s="456"/>
      <c r="O1017"/>
      <c r="Z1017" s="460"/>
      <c r="AA1017" s="194"/>
      <c r="AB1017"/>
      <c r="AG1017" s="69"/>
      <c r="AH1017"/>
    </row>
    <row r="1018" spans="1:34" x14ac:dyDescent="0.2">
      <c r="A1018" s="655"/>
      <c r="B1018" s="655"/>
      <c r="C1018"/>
      <c r="D1018" s="655"/>
      <c r="E1018" s="655"/>
      <c r="F1018" s="655" t="str">
        <f>LEFT(AllDaqbookOffsets[[#This Row],[traceability_no]],2)</f>
        <v>K5</v>
      </c>
      <c r="N1018" s="456"/>
      <c r="O1018"/>
      <c r="Z1018" s="460"/>
      <c r="AA1018" s="194"/>
      <c r="AB1018"/>
      <c r="AG1018" s="69"/>
      <c r="AH1018"/>
    </row>
    <row r="1019" spans="1:34" x14ac:dyDescent="0.2">
      <c r="A1019" s="655"/>
      <c r="B1019" s="655"/>
      <c r="C1019"/>
      <c r="D1019" s="655"/>
      <c r="E1019" s="655"/>
      <c r="F1019" s="655" t="str">
        <f>LEFT(AllDaqbookOffsets[[#This Row],[traceability_no]],2)</f>
        <v>K5</v>
      </c>
      <c r="N1019" s="456"/>
      <c r="O1019"/>
      <c r="Z1019" s="460"/>
      <c r="AA1019" s="194"/>
      <c r="AB1019"/>
      <c r="AG1019" s="69"/>
      <c r="AH1019"/>
    </row>
    <row r="1020" spans="1:34" x14ac:dyDescent="0.2">
      <c r="A1020" s="655"/>
      <c r="B1020" s="655"/>
      <c r="C1020"/>
      <c r="D1020" s="655"/>
      <c r="E1020" s="655"/>
      <c r="F1020" s="655" t="str">
        <f>LEFT(AllDaqbookOffsets[[#This Row],[traceability_no]],2)</f>
        <v>K5</v>
      </c>
      <c r="N1020" s="456"/>
      <c r="O1020"/>
      <c r="Z1020" s="460"/>
      <c r="AA1020" s="194"/>
      <c r="AB1020"/>
      <c r="AG1020" s="69"/>
      <c r="AH1020"/>
    </row>
    <row r="1021" spans="1:34" x14ac:dyDescent="0.2">
      <c r="A1021" s="655"/>
      <c r="B1021" s="655"/>
      <c r="C1021"/>
      <c r="D1021" s="655"/>
      <c r="E1021" s="655"/>
      <c r="F1021" s="655" t="str">
        <f>LEFT(AllDaqbookOffsets[[#This Row],[traceability_no]],2)</f>
        <v>K5</v>
      </c>
      <c r="N1021" s="456"/>
      <c r="O1021"/>
      <c r="Z1021" s="460"/>
      <c r="AA1021" s="194"/>
      <c r="AB1021"/>
      <c r="AG1021" s="69"/>
      <c r="AH1021"/>
    </row>
    <row r="1022" spans="1:34" x14ac:dyDescent="0.2">
      <c r="A1022" s="655"/>
      <c r="B1022" s="655"/>
      <c r="C1022"/>
      <c r="D1022" s="655"/>
      <c r="E1022" s="655"/>
      <c r="F1022" s="655" t="str">
        <f>LEFT(AllDaqbookOffsets[[#This Row],[traceability_no]],2)</f>
        <v>K5</v>
      </c>
      <c r="N1022" s="456"/>
      <c r="O1022"/>
      <c r="Z1022" s="460"/>
      <c r="AA1022" s="194"/>
      <c r="AB1022"/>
      <c r="AG1022" s="69"/>
      <c r="AH1022"/>
    </row>
    <row r="1023" spans="1:34" x14ac:dyDescent="0.2">
      <c r="A1023" s="655"/>
      <c r="B1023" s="655"/>
      <c r="C1023"/>
      <c r="D1023" s="655"/>
      <c r="E1023" s="655"/>
      <c r="F1023" s="655" t="str">
        <f>LEFT(AllDaqbookOffsets[[#This Row],[traceability_no]],2)</f>
        <v>K5</v>
      </c>
      <c r="N1023" s="456"/>
      <c r="O1023"/>
      <c r="Z1023" s="460"/>
      <c r="AA1023" s="194"/>
      <c r="AB1023"/>
      <c r="AG1023" s="69"/>
      <c r="AH1023"/>
    </row>
    <row r="1024" spans="1:34" x14ac:dyDescent="0.2">
      <c r="A1024" s="655"/>
      <c r="B1024" s="655"/>
      <c r="C1024"/>
      <c r="D1024" s="655"/>
      <c r="E1024" s="655"/>
      <c r="F1024" s="655" t="str">
        <f>LEFT(AllDaqbookOffsets[[#This Row],[traceability_no]],2)</f>
        <v>K5</v>
      </c>
      <c r="N1024" s="456"/>
      <c r="O1024"/>
      <c r="Z1024" s="460"/>
      <c r="AA1024" s="194"/>
      <c r="AB1024"/>
      <c r="AG1024" s="69"/>
      <c r="AH1024"/>
    </row>
    <row r="1025" spans="1:34" x14ac:dyDescent="0.2">
      <c r="A1025" s="655"/>
      <c r="B1025" s="655"/>
      <c r="C1025"/>
      <c r="D1025" s="655"/>
      <c r="E1025" s="655"/>
      <c r="F1025" s="655" t="str">
        <f>LEFT(AllDaqbookOffsets[[#This Row],[traceability_no]],2)</f>
        <v>K5</v>
      </c>
      <c r="N1025" s="456"/>
      <c r="O1025"/>
      <c r="Z1025" s="460"/>
      <c r="AA1025" s="194"/>
      <c r="AB1025"/>
      <c r="AG1025" s="69"/>
      <c r="AH1025"/>
    </row>
    <row r="1026" spans="1:34" x14ac:dyDescent="0.2">
      <c r="A1026" s="655"/>
      <c r="B1026" s="655"/>
      <c r="C1026"/>
      <c r="D1026" s="655"/>
      <c r="E1026" s="655"/>
      <c r="F1026" s="655" t="str">
        <f>LEFT(AllDaqbookOffsets[[#This Row],[traceability_no]],2)</f>
        <v>K5</v>
      </c>
      <c r="N1026" s="456"/>
      <c r="O1026"/>
      <c r="Z1026" s="460"/>
      <c r="AA1026" s="194"/>
      <c r="AB1026"/>
      <c r="AG1026" s="69"/>
      <c r="AH1026"/>
    </row>
    <row r="1027" spans="1:34" x14ac:dyDescent="0.2">
      <c r="A1027" s="655"/>
      <c r="B1027" s="655"/>
      <c r="C1027"/>
      <c r="D1027" s="655"/>
      <c r="E1027" s="655"/>
      <c r="F1027" s="655" t="str">
        <f>LEFT(AllDaqbookOffsets[[#This Row],[traceability_no]],2)</f>
        <v>K5</v>
      </c>
      <c r="N1027" s="456"/>
      <c r="O1027"/>
      <c r="Z1027" s="460"/>
      <c r="AA1027" s="194"/>
      <c r="AB1027"/>
      <c r="AG1027" s="69"/>
      <c r="AH1027"/>
    </row>
    <row r="1028" spans="1:34" x14ac:dyDescent="0.2">
      <c r="A1028" s="655"/>
      <c r="B1028" s="655"/>
      <c r="C1028"/>
      <c r="D1028" s="655"/>
      <c r="E1028" s="655"/>
      <c r="F1028" s="655" t="str">
        <f>LEFT(AllDaqbookOffsets[[#This Row],[traceability_no]],2)</f>
        <v>K5</v>
      </c>
      <c r="N1028" s="456"/>
      <c r="O1028"/>
      <c r="Z1028" s="460"/>
      <c r="AA1028" s="194"/>
      <c r="AB1028"/>
      <c r="AG1028" s="69"/>
      <c r="AH1028"/>
    </row>
    <row r="1029" spans="1:34" x14ac:dyDescent="0.2">
      <c r="A1029" s="655"/>
      <c r="B1029" s="655"/>
      <c r="C1029"/>
      <c r="D1029" s="655"/>
      <c r="E1029" s="655"/>
      <c r="F1029" s="655" t="str">
        <f>LEFT(AllDaqbookOffsets[[#This Row],[traceability_no]],2)</f>
        <v>K5</v>
      </c>
      <c r="N1029" s="456"/>
      <c r="O1029"/>
      <c r="Z1029" s="460"/>
      <c r="AA1029" s="194"/>
      <c r="AB1029"/>
      <c r="AG1029" s="69"/>
      <c r="AH1029"/>
    </row>
    <row r="1030" spans="1:34" x14ac:dyDescent="0.2">
      <c r="A1030" s="655"/>
      <c r="B1030" s="655"/>
      <c r="C1030"/>
      <c r="D1030" s="655"/>
      <c r="E1030" s="655"/>
      <c r="F1030" s="655" t="str">
        <f>LEFT(AllDaqbookOffsets[[#This Row],[traceability_no]],2)</f>
        <v>K5</v>
      </c>
      <c r="N1030" s="456"/>
      <c r="O1030"/>
      <c r="Z1030" s="460"/>
      <c r="AA1030" s="194"/>
      <c r="AB1030"/>
      <c r="AG1030" s="69"/>
      <c r="AH1030"/>
    </row>
    <row r="1031" spans="1:34" x14ac:dyDescent="0.2">
      <c r="A1031" s="655"/>
      <c r="B1031" s="655"/>
      <c r="C1031"/>
      <c r="D1031" s="655"/>
      <c r="E1031" s="655"/>
      <c r="F1031" s="655" t="str">
        <f>LEFT(AllDaqbookOffsets[[#This Row],[traceability_no]],2)</f>
        <v>K5</v>
      </c>
      <c r="N1031" s="456"/>
      <c r="O1031"/>
      <c r="Z1031" s="460"/>
      <c r="AA1031" s="194"/>
      <c r="AB1031"/>
      <c r="AG1031" s="69"/>
      <c r="AH1031"/>
    </row>
    <row r="1032" spans="1:34" x14ac:dyDescent="0.2">
      <c r="A1032" s="655"/>
      <c r="B1032" s="655"/>
      <c r="C1032"/>
      <c r="D1032" s="655"/>
      <c r="E1032" s="655"/>
      <c r="F1032" s="655" t="str">
        <f>LEFT(AllDaqbookOffsets[[#This Row],[traceability_no]],2)</f>
        <v>K5</v>
      </c>
      <c r="N1032" s="456"/>
      <c r="O1032"/>
      <c r="Z1032" s="460"/>
      <c r="AA1032" s="194"/>
      <c r="AB1032"/>
      <c r="AG1032" s="69"/>
      <c r="AH1032"/>
    </row>
    <row r="1033" spans="1:34" x14ac:dyDescent="0.2">
      <c r="A1033" s="655"/>
      <c r="B1033" s="655"/>
      <c r="C1033"/>
      <c r="D1033" s="655"/>
      <c r="E1033" s="655"/>
      <c r="F1033" s="655" t="str">
        <f>LEFT(AllDaqbookOffsets[[#This Row],[traceability_no]],2)</f>
        <v>K5</v>
      </c>
      <c r="N1033" s="456"/>
      <c r="O1033"/>
      <c r="Z1033" s="460"/>
      <c r="AA1033" s="194"/>
      <c r="AB1033"/>
      <c r="AG1033" s="69"/>
      <c r="AH1033"/>
    </row>
    <row r="1034" spans="1:34" x14ac:dyDescent="0.2">
      <c r="A1034" s="655"/>
      <c r="B1034" s="655"/>
      <c r="C1034"/>
      <c r="D1034" s="655"/>
      <c r="E1034" s="655"/>
      <c r="F1034" s="655" t="str">
        <f>LEFT(AllDaqbookOffsets[[#This Row],[traceability_no]],2)</f>
        <v>K5</v>
      </c>
      <c r="N1034" s="456"/>
      <c r="O1034"/>
      <c r="Z1034" s="460"/>
      <c r="AA1034" s="194"/>
      <c r="AB1034"/>
      <c r="AG1034" s="69"/>
      <c r="AH1034"/>
    </row>
    <row r="1035" spans="1:34" x14ac:dyDescent="0.2">
      <c r="A1035" s="655"/>
      <c r="B1035" s="655"/>
      <c r="C1035"/>
      <c r="D1035" s="655"/>
      <c r="E1035" s="655"/>
      <c r="F1035" s="655" t="str">
        <f>LEFT(AllDaqbookOffsets[[#This Row],[traceability_no]],2)</f>
        <v>K5</v>
      </c>
      <c r="N1035" s="456"/>
      <c r="O1035"/>
      <c r="Z1035" s="460"/>
      <c r="AA1035" s="194"/>
      <c r="AB1035"/>
      <c r="AG1035" s="69"/>
      <c r="AH1035"/>
    </row>
    <row r="1036" spans="1:34" x14ac:dyDescent="0.2">
      <c r="A1036" s="655"/>
      <c r="B1036" s="655"/>
      <c r="C1036"/>
      <c r="D1036" s="655"/>
      <c r="E1036" s="655"/>
      <c r="F1036" s="655" t="str">
        <f>LEFT(AllDaqbookOffsets[[#This Row],[traceability_no]],2)</f>
        <v>K5</v>
      </c>
      <c r="N1036" s="456"/>
      <c r="O1036"/>
      <c r="Z1036" s="460"/>
      <c r="AA1036" s="194"/>
      <c r="AB1036"/>
      <c r="AG1036" s="69"/>
      <c r="AH1036"/>
    </row>
    <row r="1037" spans="1:34" x14ac:dyDescent="0.2">
      <c r="A1037" s="655"/>
      <c r="B1037" s="655"/>
      <c r="C1037"/>
      <c r="D1037" s="655"/>
      <c r="E1037" s="655"/>
      <c r="F1037" s="655" t="str">
        <f>LEFT(AllDaqbookOffsets[[#This Row],[traceability_no]],2)</f>
        <v>K5</v>
      </c>
      <c r="N1037" s="456"/>
      <c r="O1037"/>
      <c r="Z1037" s="460"/>
      <c r="AA1037" s="194"/>
      <c r="AB1037"/>
      <c r="AG1037" s="69"/>
      <c r="AH1037"/>
    </row>
    <row r="1038" spans="1:34" x14ac:dyDescent="0.2">
      <c r="A1038" s="655"/>
      <c r="B1038" s="655"/>
      <c r="C1038"/>
      <c r="D1038" s="655"/>
      <c r="E1038" s="655"/>
      <c r="F1038" s="655" t="str">
        <f>LEFT(AllDaqbookOffsets[[#This Row],[traceability_no]],2)</f>
        <v>K5</v>
      </c>
      <c r="N1038" s="456"/>
      <c r="O1038"/>
      <c r="Z1038" s="460"/>
      <c r="AA1038" s="194"/>
      <c r="AB1038"/>
      <c r="AG1038" s="69"/>
      <c r="AH1038"/>
    </row>
    <row r="1039" spans="1:34" x14ac:dyDescent="0.2">
      <c r="A1039" s="655"/>
      <c r="B1039" s="655"/>
      <c r="C1039"/>
      <c r="D1039" s="655"/>
      <c r="E1039" s="655"/>
      <c r="F1039" s="655" t="str">
        <f>LEFT(AllDaqbookOffsets[[#This Row],[traceability_no]],2)</f>
        <v>K5</v>
      </c>
      <c r="N1039" s="456"/>
      <c r="O1039"/>
      <c r="Z1039" s="460"/>
      <c r="AA1039" s="194"/>
      <c r="AB1039"/>
      <c r="AG1039" s="69"/>
      <c r="AH1039"/>
    </row>
    <row r="1040" spans="1:34" x14ac:dyDescent="0.2">
      <c r="A1040" s="655"/>
      <c r="B1040" s="655"/>
      <c r="C1040"/>
      <c r="D1040" s="655"/>
      <c r="E1040" s="655"/>
      <c r="F1040" s="655" t="str">
        <f>LEFT(AllDaqbookOffsets[[#This Row],[traceability_no]],2)</f>
        <v>K5</v>
      </c>
      <c r="N1040" s="456"/>
      <c r="O1040"/>
      <c r="Z1040" s="460"/>
      <c r="AA1040" s="194"/>
      <c r="AB1040"/>
      <c r="AG1040" s="69"/>
      <c r="AH1040"/>
    </row>
    <row r="1041" spans="1:34" x14ac:dyDescent="0.2">
      <c r="A1041" s="655"/>
      <c r="B1041" s="655"/>
      <c r="C1041"/>
      <c r="D1041" s="655"/>
      <c r="E1041" s="655"/>
      <c r="F1041" s="655" t="str">
        <f>LEFT(AllDaqbookOffsets[[#This Row],[traceability_no]],2)</f>
        <v>K5</v>
      </c>
      <c r="N1041" s="456"/>
      <c r="O1041"/>
      <c r="Z1041" s="460"/>
      <c r="AA1041" s="194"/>
      <c r="AB1041"/>
      <c r="AG1041" s="69"/>
      <c r="AH1041"/>
    </row>
    <row r="1042" spans="1:34" x14ac:dyDescent="0.2">
      <c r="A1042" s="655"/>
      <c r="B1042" s="655"/>
      <c r="C1042"/>
      <c r="D1042" s="655"/>
      <c r="E1042" s="655"/>
      <c r="F1042" s="655" t="str">
        <f>LEFT(AllDaqbookOffsets[[#This Row],[traceability_no]],2)</f>
        <v>K5</v>
      </c>
      <c r="N1042" s="456"/>
      <c r="O1042"/>
      <c r="Z1042" s="460"/>
      <c r="AA1042" s="194"/>
      <c r="AB1042"/>
      <c r="AG1042" s="69"/>
      <c r="AH1042"/>
    </row>
    <row r="1043" spans="1:34" x14ac:dyDescent="0.2">
      <c r="A1043" s="655"/>
      <c r="B1043" s="655"/>
      <c r="C1043"/>
      <c r="D1043" s="655"/>
      <c r="E1043" s="655"/>
      <c r="F1043" s="655" t="str">
        <f>LEFT(AllDaqbookOffsets[[#This Row],[traceability_no]],2)</f>
        <v>K5</v>
      </c>
      <c r="N1043" s="456"/>
      <c r="O1043"/>
      <c r="Z1043" s="460"/>
      <c r="AA1043" s="194"/>
      <c r="AB1043"/>
      <c r="AG1043" s="69"/>
      <c r="AH1043"/>
    </row>
    <row r="1044" spans="1:34" x14ac:dyDescent="0.2">
      <c r="A1044" s="655"/>
      <c r="B1044" s="655"/>
      <c r="C1044"/>
      <c r="D1044" s="655"/>
      <c r="E1044" s="655"/>
      <c r="F1044" s="655" t="str">
        <f>LEFT(AllDaqbookOffsets[[#This Row],[traceability_no]],2)</f>
        <v>K5</v>
      </c>
      <c r="N1044" s="456"/>
      <c r="O1044"/>
      <c r="Z1044" s="460"/>
      <c r="AA1044" s="194"/>
      <c r="AB1044"/>
      <c r="AG1044" s="69"/>
      <c r="AH1044"/>
    </row>
    <row r="1045" spans="1:34" x14ac:dyDescent="0.2">
      <c r="A1045" s="655"/>
      <c r="B1045" s="655"/>
      <c r="C1045"/>
      <c r="D1045" s="655"/>
      <c r="E1045" s="655"/>
      <c r="F1045" s="655" t="str">
        <f>LEFT(AllDaqbookOffsets[[#This Row],[traceability_no]],2)</f>
        <v>K5</v>
      </c>
      <c r="N1045" s="456"/>
      <c r="O1045"/>
      <c r="Z1045" s="460"/>
      <c r="AA1045" s="194"/>
      <c r="AB1045"/>
      <c r="AG1045" s="69"/>
      <c r="AH1045"/>
    </row>
    <row r="1046" spans="1:34" x14ac:dyDescent="0.2">
      <c r="A1046" s="655"/>
      <c r="B1046" s="655"/>
      <c r="C1046"/>
      <c r="D1046" s="655"/>
      <c r="E1046" s="655"/>
      <c r="F1046" s="655" t="str">
        <f>LEFT(AllDaqbookOffsets[[#This Row],[traceability_no]],2)</f>
        <v>K5</v>
      </c>
      <c r="N1046" s="456"/>
      <c r="O1046"/>
      <c r="Z1046" s="460"/>
      <c r="AA1046" s="194"/>
      <c r="AB1046"/>
      <c r="AG1046" s="69"/>
      <c r="AH1046"/>
    </row>
    <row r="1047" spans="1:34" x14ac:dyDescent="0.2">
      <c r="A1047" s="655"/>
      <c r="B1047" s="655"/>
      <c r="C1047"/>
      <c r="D1047" s="655"/>
      <c r="E1047" s="655"/>
      <c r="F1047" s="655" t="str">
        <f>LEFT(AllDaqbookOffsets[[#This Row],[traceability_no]],2)</f>
        <v>K5</v>
      </c>
      <c r="N1047" s="456"/>
      <c r="O1047"/>
      <c r="Z1047" s="460"/>
      <c r="AA1047" s="194"/>
      <c r="AB1047"/>
      <c r="AG1047" s="69"/>
      <c r="AH1047"/>
    </row>
    <row r="1048" spans="1:34" x14ac:dyDescent="0.2">
      <c r="A1048" s="655"/>
      <c r="B1048" s="655"/>
      <c r="C1048"/>
      <c r="D1048" s="655"/>
      <c r="E1048" s="655"/>
      <c r="F1048" s="655" t="str">
        <f>LEFT(AllDaqbookOffsets[[#This Row],[traceability_no]],2)</f>
        <v>K5</v>
      </c>
      <c r="N1048" s="456"/>
      <c r="O1048"/>
      <c r="Z1048" s="460"/>
      <c r="AA1048" s="194"/>
      <c r="AB1048"/>
      <c r="AG1048" s="69"/>
      <c r="AH1048"/>
    </row>
    <row r="1049" spans="1:34" x14ac:dyDescent="0.2">
      <c r="A1049" s="655"/>
      <c r="B1049" s="655"/>
      <c r="C1049"/>
      <c r="D1049" s="655"/>
      <c r="E1049" s="655"/>
      <c r="F1049" s="655" t="str">
        <f>LEFT(AllDaqbookOffsets[[#This Row],[traceability_no]],2)</f>
        <v>K5</v>
      </c>
      <c r="N1049" s="456"/>
      <c r="O1049"/>
      <c r="Z1049" s="460"/>
      <c r="AA1049" s="194"/>
      <c r="AB1049"/>
      <c r="AG1049" s="69"/>
      <c r="AH1049"/>
    </row>
    <row r="1050" spans="1:34" x14ac:dyDescent="0.2">
      <c r="A1050" s="655"/>
      <c r="B1050" s="655"/>
      <c r="C1050"/>
      <c r="D1050" s="655"/>
      <c r="E1050" s="655"/>
      <c r="F1050" s="655" t="str">
        <f>LEFT(AllDaqbookOffsets[[#This Row],[traceability_no]],2)</f>
        <v>K5</v>
      </c>
      <c r="N1050" s="456"/>
      <c r="O1050"/>
      <c r="Z1050" s="460"/>
      <c r="AA1050" s="194"/>
      <c r="AB1050"/>
      <c r="AG1050" s="69"/>
      <c r="AH1050"/>
    </row>
    <row r="1051" spans="1:34" x14ac:dyDescent="0.2">
      <c r="A1051" s="655"/>
      <c r="B1051" s="655"/>
      <c r="C1051"/>
      <c r="D1051" s="655"/>
      <c r="E1051" s="655"/>
      <c r="F1051" s="655" t="str">
        <f>LEFT(AllDaqbookOffsets[[#This Row],[traceability_no]],2)</f>
        <v>K5</v>
      </c>
      <c r="N1051" s="456"/>
      <c r="O1051"/>
      <c r="Z1051" s="460"/>
      <c r="AA1051" s="194"/>
      <c r="AB1051"/>
      <c r="AG1051" s="69"/>
      <c r="AH1051"/>
    </row>
    <row r="1052" spans="1:34" x14ac:dyDescent="0.2">
      <c r="A1052" s="655"/>
      <c r="B1052" s="655"/>
      <c r="C1052"/>
      <c r="D1052" s="655"/>
      <c r="E1052" s="655"/>
      <c r="F1052" s="655" t="str">
        <f>LEFT(AllDaqbookOffsets[[#This Row],[traceability_no]],2)</f>
        <v>K5</v>
      </c>
      <c r="N1052" s="456"/>
      <c r="O1052"/>
      <c r="Z1052" s="460"/>
      <c r="AA1052" s="194"/>
      <c r="AB1052"/>
      <c r="AG1052" s="69"/>
      <c r="AH1052"/>
    </row>
    <row r="1053" spans="1:34" x14ac:dyDescent="0.2">
      <c r="A1053" s="655"/>
      <c r="B1053" s="655"/>
      <c r="C1053"/>
      <c r="D1053" s="655"/>
      <c r="E1053" s="655"/>
      <c r="F1053" s="655" t="str">
        <f>LEFT(AllDaqbookOffsets[[#This Row],[traceability_no]],2)</f>
        <v>K5</v>
      </c>
      <c r="N1053" s="456"/>
      <c r="O1053"/>
      <c r="Z1053" s="460"/>
      <c r="AA1053" s="194"/>
      <c r="AB1053"/>
      <c r="AG1053" s="69"/>
      <c r="AH1053"/>
    </row>
    <row r="1054" spans="1:34" x14ac:dyDescent="0.2">
      <c r="A1054" s="655"/>
      <c r="B1054" s="655"/>
      <c r="C1054"/>
      <c r="D1054" s="655"/>
      <c r="E1054" s="655"/>
      <c r="F1054" s="655" t="str">
        <f>LEFT(AllDaqbookOffsets[[#This Row],[traceability_no]],2)</f>
        <v>K5</v>
      </c>
      <c r="N1054" s="456"/>
      <c r="O1054"/>
      <c r="Z1054" s="460"/>
      <c r="AA1054" s="194"/>
      <c r="AB1054"/>
      <c r="AG1054" s="69"/>
      <c r="AH1054"/>
    </row>
    <row r="1055" spans="1:34" x14ac:dyDescent="0.2">
      <c r="A1055" s="655"/>
      <c r="B1055" s="655"/>
      <c r="C1055"/>
      <c r="D1055" s="655"/>
      <c r="E1055" s="655"/>
      <c r="F1055" s="655" t="str">
        <f>LEFT(AllDaqbookOffsets[[#This Row],[traceability_no]],2)</f>
        <v>K5</v>
      </c>
      <c r="N1055" s="456"/>
      <c r="O1055"/>
      <c r="Z1055" s="460"/>
      <c r="AA1055" s="194"/>
      <c r="AB1055"/>
      <c r="AG1055" s="69"/>
      <c r="AH1055"/>
    </row>
    <row r="1056" spans="1:34" x14ac:dyDescent="0.2">
      <c r="A1056" s="655"/>
      <c r="B1056" s="655"/>
      <c r="C1056"/>
      <c r="D1056" s="655"/>
      <c r="E1056" s="655"/>
      <c r="F1056" s="655" t="str">
        <f>LEFT(AllDaqbookOffsets[[#This Row],[traceability_no]],2)</f>
        <v>K5</v>
      </c>
      <c r="N1056" s="456"/>
      <c r="O1056"/>
      <c r="Z1056" s="460"/>
      <c r="AA1056" s="194"/>
      <c r="AB1056"/>
      <c r="AG1056" s="69"/>
      <c r="AH1056"/>
    </row>
    <row r="1057" spans="1:34" x14ac:dyDescent="0.2">
      <c r="A1057" s="655"/>
      <c r="B1057" s="655"/>
      <c r="C1057"/>
      <c r="D1057" s="655"/>
      <c r="E1057" s="655"/>
      <c r="F1057" s="655" t="str">
        <f>LEFT(AllDaqbookOffsets[[#This Row],[traceability_no]],2)</f>
        <v>K5</v>
      </c>
      <c r="N1057" s="456"/>
      <c r="O1057"/>
      <c r="Z1057" s="460"/>
      <c r="AA1057" s="194"/>
      <c r="AB1057"/>
      <c r="AG1057" s="69"/>
      <c r="AH1057"/>
    </row>
    <row r="1058" spans="1:34" x14ac:dyDescent="0.2">
      <c r="A1058" s="655"/>
      <c r="B1058" s="655"/>
      <c r="C1058"/>
      <c r="D1058" s="655"/>
      <c r="E1058" s="655"/>
      <c r="F1058" s="655" t="str">
        <f>LEFT(AllDaqbookOffsets[[#This Row],[traceability_no]],2)</f>
        <v>K5</v>
      </c>
      <c r="N1058" s="456"/>
      <c r="O1058"/>
      <c r="Z1058" s="460"/>
      <c r="AA1058" s="194"/>
      <c r="AB1058"/>
      <c r="AG1058" s="69"/>
      <c r="AH1058"/>
    </row>
    <row r="1059" spans="1:34" x14ac:dyDescent="0.2">
      <c r="A1059" s="655"/>
      <c r="B1059" s="655"/>
      <c r="C1059"/>
      <c r="D1059" s="655"/>
      <c r="E1059" s="655"/>
      <c r="F1059" s="655" t="str">
        <f>LEFT(AllDaqbookOffsets[[#This Row],[traceability_no]],2)</f>
        <v>K5</v>
      </c>
      <c r="N1059" s="456"/>
      <c r="O1059"/>
      <c r="Z1059" s="460"/>
      <c r="AA1059" s="194"/>
      <c r="AB1059"/>
      <c r="AG1059" s="69"/>
      <c r="AH1059"/>
    </row>
    <row r="1060" spans="1:34" x14ac:dyDescent="0.2">
      <c r="A1060" s="655"/>
      <c r="B1060" s="655"/>
      <c r="C1060"/>
      <c r="D1060" s="655"/>
      <c r="E1060" s="655"/>
      <c r="F1060" s="655" t="str">
        <f>LEFT(AllDaqbookOffsets[[#This Row],[traceability_no]],2)</f>
        <v>K5</v>
      </c>
      <c r="N1060" s="456"/>
      <c r="O1060"/>
      <c r="Z1060" s="460"/>
      <c r="AA1060" s="194"/>
      <c r="AB1060"/>
      <c r="AG1060" s="69"/>
      <c r="AH1060"/>
    </row>
    <row r="1061" spans="1:34" x14ac:dyDescent="0.2">
      <c r="A1061" s="655"/>
      <c r="B1061" s="655"/>
      <c r="C1061"/>
      <c r="D1061" s="655"/>
      <c r="E1061" s="655"/>
      <c r="F1061" s="655" t="str">
        <f>LEFT(AllDaqbookOffsets[[#This Row],[traceability_no]],2)</f>
        <v>K5</v>
      </c>
      <c r="N1061" s="456"/>
      <c r="O1061"/>
      <c r="Z1061" s="460"/>
      <c r="AA1061" s="194"/>
      <c r="AB1061"/>
      <c r="AG1061" s="69"/>
      <c r="AH1061"/>
    </row>
    <row r="1062" spans="1:34" x14ac:dyDescent="0.2">
      <c r="A1062" s="655"/>
      <c r="B1062" s="655"/>
      <c r="C1062"/>
      <c r="D1062" s="655"/>
      <c r="E1062" s="655"/>
      <c r="F1062" s="655" t="str">
        <f>LEFT(AllDaqbookOffsets[[#This Row],[traceability_no]],2)</f>
        <v>K5</v>
      </c>
      <c r="N1062" s="456"/>
      <c r="O1062"/>
      <c r="Z1062" s="460"/>
      <c r="AA1062" s="194"/>
      <c r="AB1062"/>
      <c r="AG1062" s="69"/>
      <c r="AH1062"/>
    </row>
    <row r="1063" spans="1:34" x14ac:dyDescent="0.2">
      <c r="A1063" s="655"/>
      <c r="B1063" s="655"/>
      <c r="C1063"/>
      <c r="D1063" s="655"/>
      <c r="E1063" s="655"/>
      <c r="F1063" s="655" t="str">
        <f>LEFT(AllDaqbookOffsets[[#This Row],[traceability_no]],2)</f>
        <v>K5</v>
      </c>
      <c r="N1063" s="456"/>
      <c r="O1063"/>
      <c r="Z1063" s="460"/>
      <c r="AA1063" s="194"/>
      <c r="AB1063"/>
      <c r="AG1063" s="69"/>
      <c r="AH1063"/>
    </row>
    <row r="1064" spans="1:34" x14ac:dyDescent="0.2">
      <c r="A1064" s="655"/>
      <c r="B1064" s="655"/>
      <c r="C1064"/>
      <c r="D1064" s="655"/>
      <c r="E1064" s="655"/>
      <c r="F1064" s="655" t="str">
        <f>LEFT(AllDaqbookOffsets[[#This Row],[traceability_no]],2)</f>
        <v>K5</v>
      </c>
      <c r="N1064" s="456"/>
      <c r="O1064"/>
      <c r="Z1064" s="460"/>
      <c r="AA1064" s="194"/>
      <c r="AB1064"/>
      <c r="AG1064" s="69"/>
      <c r="AH1064"/>
    </row>
    <row r="1065" spans="1:34" x14ac:dyDescent="0.2">
      <c r="A1065" s="655"/>
      <c r="B1065" s="655"/>
      <c r="C1065"/>
      <c r="D1065" s="655"/>
      <c r="E1065" s="655"/>
      <c r="F1065" s="655" t="str">
        <f>LEFT(AllDaqbookOffsets[[#This Row],[traceability_no]],2)</f>
        <v>K5</v>
      </c>
      <c r="N1065" s="456"/>
      <c r="O1065"/>
      <c r="Z1065" s="460"/>
      <c r="AA1065" s="194"/>
      <c r="AB1065"/>
      <c r="AG1065" s="69"/>
      <c r="AH1065"/>
    </row>
    <row r="1066" spans="1:34" x14ac:dyDescent="0.2">
      <c r="A1066" s="655"/>
      <c r="B1066" s="655"/>
      <c r="C1066"/>
      <c r="D1066" s="655"/>
      <c r="E1066" s="655"/>
      <c r="F1066" s="655" t="str">
        <f>LEFT(AllDaqbookOffsets[[#This Row],[traceability_no]],2)</f>
        <v>K5</v>
      </c>
      <c r="N1066" s="456"/>
      <c r="O1066"/>
      <c r="Z1066" s="460"/>
      <c r="AA1066" s="194"/>
      <c r="AB1066"/>
      <c r="AG1066" s="69"/>
      <c r="AH1066"/>
    </row>
    <row r="1067" spans="1:34" x14ac:dyDescent="0.2">
      <c r="A1067" s="655"/>
      <c r="B1067" s="655"/>
      <c r="C1067"/>
      <c r="D1067" s="655"/>
      <c r="E1067" s="655"/>
      <c r="F1067" s="655" t="str">
        <f>LEFT(AllDaqbookOffsets[[#This Row],[traceability_no]],2)</f>
        <v>K5</v>
      </c>
      <c r="N1067" s="456"/>
      <c r="O1067"/>
      <c r="Z1067" s="460"/>
      <c r="AA1067" s="194"/>
      <c r="AB1067"/>
      <c r="AG1067" s="69"/>
      <c r="AH1067"/>
    </row>
    <row r="1068" spans="1:34" x14ac:dyDescent="0.2">
      <c r="A1068" s="655"/>
      <c r="B1068" s="655"/>
      <c r="C1068"/>
      <c r="D1068" s="655"/>
      <c r="E1068" s="655"/>
      <c r="F1068" s="655" t="str">
        <f>LEFT(AllDaqbookOffsets[[#This Row],[traceability_no]],2)</f>
        <v>K5</v>
      </c>
      <c r="N1068" s="456"/>
      <c r="O1068"/>
      <c r="Z1068" s="460"/>
      <c r="AA1068" s="194"/>
      <c r="AB1068"/>
      <c r="AG1068" s="69"/>
      <c r="AH1068"/>
    </row>
    <row r="1069" spans="1:34" x14ac:dyDescent="0.2">
      <c r="A1069" s="655"/>
      <c r="B1069" s="655"/>
      <c r="C1069"/>
      <c r="D1069" s="655"/>
      <c r="E1069" s="655"/>
      <c r="F1069" s="655" t="str">
        <f>LEFT(AllDaqbookOffsets[[#This Row],[traceability_no]],2)</f>
        <v>K5</v>
      </c>
      <c r="N1069" s="456"/>
      <c r="O1069"/>
      <c r="Z1069" s="460"/>
      <c r="AA1069" s="194"/>
      <c r="AB1069"/>
      <c r="AG1069" s="69"/>
      <c r="AH1069"/>
    </row>
    <row r="1070" spans="1:34" x14ac:dyDescent="0.2">
      <c r="A1070" s="655"/>
      <c r="B1070" s="655"/>
      <c r="C1070"/>
      <c r="D1070" s="655"/>
      <c r="E1070" s="655"/>
      <c r="F1070" s="655" t="str">
        <f>LEFT(AllDaqbookOffsets[[#This Row],[traceability_no]],2)</f>
        <v>K5</v>
      </c>
      <c r="N1070" s="456"/>
      <c r="O1070"/>
      <c r="Z1070" s="460"/>
      <c r="AA1070" s="194"/>
      <c r="AB1070"/>
      <c r="AG1070" s="69"/>
      <c r="AH1070"/>
    </row>
    <row r="1071" spans="1:34" x14ac:dyDescent="0.2">
      <c r="A1071" s="655"/>
      <c r="B1071" s="655"/>
      <c r="C1071"/>
      <c r="D1071" s="655"/>
      <c r="E1071" s="655"/>
      <c r="F1071" s="655" t="str">
        <f>LEFT(AllDaqbookOffsets[[#This Row],[traceability_no]],2)</f>
        <v>K5</v>
      </c>
      <c r="N1071" s="456"/>
      <c r="O1071"/>
      <c r="Z1071" s="460"/>
      <c r="AA1071" s="194"/>
      <c r="AB1071"/>
      <c r="AG1071" s="69"/>
      <c r="AH1071"/>
    </row>
    <row r="1072" spans="1:34" x14ac:dyDescent="0.2">
      <c r="A1072" s="655"/>
      <c r="B1072" s="655"/>
      <c r="C1072"/>
      <c r="D1072" s="655"/>
      <c r="E1072" s="655"/>
      <c r="F1072" s="655" t="str">
        <f>LEFT(AllDaqbookOffsets[[#This Row],[traceability_no]],2)</f>
        <v>K5</v>
      </c>
      <c r="N1072" s="456"/>
      <c r="O1072"/>
      <c r="Z1072" s="460"/>
      <c r="AA1072" s="194"/>
      <c r="AB1072"/>
      <c r="AG1072" s="69"/>
      <c r="AH1072"/>
    </row>
    <row r="1073" spans="1:34" x14ac:dyDescent="0.2">
      <c r="A1073" s="655"/>
      <c r="B1073" s="655"/>
      <c r="C1073"/>
      <c r="D1073" s="655"/>
      <c r="E1073" s="655"/>
      <c r="F1073" s="655" t="str">
        <f>LEFT(AllDaqbookOffsets[[#This Row],[traceability_no]],2)</f>
        <v>K5</v>
      </c>
      <c r="N1073" s="456"/>
      <c r="O1073"/>
      <c r="Z1073" s="460"/>
      <c r="AA1073" s="194"/>
      <c r="AB1073"/>
      <c r="AG1073" s="69"/>
      <c r="AH1073"/>
    </row>
    <row r="1074" spans="1:34" x14ac:dyDescent="0.2">
      <c r="A1074" s="655"/>
      <c r="B1074" s="655"/>
      <c r="C1074"/>
      <c r="D1074" s="655"/>
      <c r="E1074" s="655"/>
      <c r="F1074" s="655" t="str">
        <f>LEFT(AllDaqbookOffsets[[#This Row],[traceability_no]],2)</f>
        <v>K5</v>
      </c>
      <c r="N1074" s="456"/>
      <c r="O1074"/>
      <c r="Z1074" s="460"/>
      <c r="AA1074" s="194"/>
      <c r="AB1074"/>
      <c r="AG1074" s="69"/>
      <c r="AH1074"/>
    </row>
    <row r="1075" spans="1:34" x14ac:dyDescent="0.2">
      <c r="A1075" s="655"/>
      <c r="B1075" s="655"/>
      <c r="C1075"/>
      <c r="D1075" s="655"/>
      <c r="E1075" s="655"/>
      <c r="F1075" s="655" t="str">
        <f>LEFT(AllDaqbookOffsets[[#This Row],[traceability_no]],2)</f>
        <v>K5</v>
      </c>
      <c r="N1075" s="456"/>
      <c r="O1075"/>
      <c r="Z1075" s="460"/>
      <c r="AA1075" s="194"/>
      <c r="AB1075"/>
      <c r="AG1075" s="69"/>
      <c r="AH1075"/>
    </row>
    <row r="1076" spans="1:34" x14ac:dyDescent="0.2">
      <c r="A1076" s="655"/>
      <c r="B1076" s="655"/>
      <c r="C1076"/>
      <c r="D1076" s="655"/>
      <c r="E1076" s="655"/>
      <c r="F1076" s="655" t="str">
        <f>LEFT(AllDaqbookOffsets[[#This Row],[traceability_no]],2)</f>
        <v>K5</v>
      </c>
      <c r="N1076" s="456"/>
      <c r="O1076"/>
      <c r="Z1076" s="460"/>
      <c r="AA1076" s="194"/>
      <c r="AB1076"/>
      <c r="AG1076" s="69"/>
      <c r="AH1076"/>
    </row>
    <row r="1077" spans="1:34" x14ac:dyDescent="0.2">
      <c r="A1077" s="655"/>
      <c r="B1077" s="655"/>
      <c r="C1077"/>
      <c r="D1077" s="655"/>
      <c r="E1077" s="655"/>
      <c r="F1077" s="655" t="str">
        <f>LEFT(AllDaqbookOffsets[[#This Row],[traceability_no]],2)</f>
        <v>K5</v>
      </c>
      <c r="N1077" s="456"/>
      <c r="O1077"/>
      <c r="Z1077" s="460"/>
      <c r="AA1077" s="194"/>
      <c r="AB1077"/>
      <c r="AG1077" s="69"/>
      <c r="AH1077"/>
    </row>
    <row r="1078" spans="1:34" x14ac:dyDescent="0.2">
      <c r="A1078" s="655"/>
      <c r="B1078" s="655"/>
      <c r="C1078"/>
      <c r="D1078" s="655"/>
      <c r="E1078" s="655"/>
      <c r="F1078" s="655" t="str">
        <f>LEFT(AllDaqbookOffsets[[#This Row],[traceability_no]],2)</f>
        <v>K5</v>
      </c>
      <c r="N1078" s="456"/>
      <c r="O1078"/>
      <c r="Z1078" s="460"/>
      <c r="AA1078" s="194"/>
      <c r="AB1078"/>
      <c r="AG1078" s="69"/>
      <c r="AH1078"/>
    </row>
    <row r="1079" spans="1:34" x14ac:dyDescent="0.2">
      <c r="A1079" s="655"/>
      <c r="B1079" s="655"/>
      <c r="C1079"/>
      <c r="D1079" s="655"/>
      <c r="E1079" s="655"/>
      <c r="F1079" s="655" t="str">
        <f>LEFT(AllDaqbookOffsets[[#This Row],[traceability_no]],2)</f>
        <v>K5</v>
      </c>
      <c r="N1079" s="456"/>
      <c r="O1079"/>
      <c r="Z1079" s="460"/>
      <c r="AA1079" s="194"/>
      <c r="AB1079"/>
      <c r="AG1079" s="69"/>
      <c r="AH1079"/>
    </row>
    <row r="1080" spans="1:34" x14ac:dyDescent="0.2">
      <c r="A1080" s="655"/>
      <c r="B1080" s="655"/>
      <c r="C1080"/>
      <c r="D1080" s="655"/>
      <c r="E1080" s="655"/>
      <c r="F1080" s="655" t="str">
        <f>LEFT(AllDaqbookOffsets[[#This Row],[traceability_no]],2)</f>
        <v>K5</v>
      </c>
      <c r="N1080" s="456"/>
      <c r="O1080"/>
      <c r="Z1080" s="460"/>
      <c r="AA1080" s="194"/>
      <c r="AB1080"/>
      <c r="AG1080" s="69"/>
      <c r="AH1080"/>
    </row>
    <row r="1081" spans="1:34" x14ac:dyDescent="0.2">
      <c r="A1081" s="655"/>
      <c r="B1081" s="655"/>
      <c r="C1081"/>
      <c r="D1081" s="655"/>
      <c r="E1081" s="655"/>
      <c r="F1081" s="655" t="str">
        <f>LEFT(AllDaqbookOffsets[[#This Row],[traceability_no]],2)</f>
        <v>K5</v>
      </c>
      <c r="N1081" s="456"/>
      <c r="O1081"/>
      <c r="Z1081" s="460"/>
      <c r="AA1081" s="194"/>
      <c r="AB1081"/>
      <c r="AG1081" s="69"/>
      <c r="AH1081"/>
    </row>
    <row r="1082" spans="1:34" x14ac:dyDescent="0.2">
      <c r="A1082" s="655"/>
      <c r="B1082" s="655"/>
      <c r="C1082"/>
      <c r="D1082" s="655"/>
      <c r="E1082" s="655"/>
      <c r="F1082" s="655" t="str">
        <f>LEFT(AllDaqbookOffsets[[#This Row],[traceability_no]],2)</f>
        <v>K5</v>
      </c>
      <c r="N1082" s="456"/>
      <c r="O1082"/>
      <c r="Z1082" s="460"/>
      <c r="AA1082" s="194"/>
      <c r="AB1082"/>
      <c r="AG1082" s="69"/>
      <c r="AH1082"/>
    </row>
    <row r="1083" spans="1:34" x14ac:dyDescent="0.2">
      <c r="A1083" s="655"/>
      <c r="B1083" s="655"/>
      <c r="C1083"/>
      <c r="D1083" s="655"/>
      <c r="E1083" s="655"/>
      <c r="F1083" s="655" t="str">
        <f>LEFT(AllDaqbookOffsets[[#This Row],[traceability_no]],2)</f>
        <v>K5</v>
      </c>
      <c r="N1083" s="456"/>
      <c r="O1083"/>
      <c r="Z1083" s="460"/>
      <c r="AA1083" s="194"/>
      <c r="AB1083"/>
      <c r="AG1083" s="69"/>
      <c r="AH1083"/>
    </row>
    <row r="1084" spans="1:34" x14ac:dyDescent="0.2">
      <c r="A1084" s="655"/>
      <c r="B1084" s="655"/>
      <c r="C1084"/>
      <c r="D1084" s="655"/>
      <c r="E1084" s="655"/>
      <c r="F1084" s="655" t="str">
        <f>LEFT(AllDaqbookOffsets[[#This Row],[traceability_no]],2)</f>
        <v>K5</v>
      </c>
      <c r="N1084" s="456"/>
      <c r="O1084"/>
      <c r="Z1084" s="460"/>
      <c r="AA1084" s="194"/>
      <c r="AB1084"/>
      <c r="AG1084" s="69"/>
      <c r="AH1084"/>
    </row>
    <row r="1085" spans="1:34" x14ac:dyDescent="0.2">
      <c r="A1085" s="655"/>
      <c r="B1085" s="655"/>
      <c r="C1085"/>
      <c r="D1085" s="655"/>
      <c r="E1085" s="655"/>
      <c r="F1085" s="655" t="str">
        <f>LEFT(AllDaqbookOffsets[[#This Row],[traceability_no]],2)</f>
        <v>K5</v>
      </c>
      <c r="N1085" s="456"/>
      <c r="O1085"/>
      <c r="Z1085" s="460"/>
      <c r="AA1085" s="194"/>
      <c r="AB1085"/>
      <c r="AG1085" s="69"/>
      <c r="AH1085"/>
    </row>
    <row r="1086" spans="1:34" x14ac:dyDescent="0.2">
      <c r="A1086" s="655"/>
      <c r="B1086" s="655"/>
      <c r="C1086"/>
      <c r="D1086" s="655"/>
      <c r="E1086" s="655"/>
      <c r="F1086" s="655" t="str">
        <f>LEFT(AllDaqbookOffsets[[#This Row],[traceability_no]],2)</f>
        <v>K5</v>
      </c>
      <c r="N1086" s="456"/>
      <c r="O1086"/>
      <c r="Z1086" s="460"/>
      <c r="AA1086" s="194"/>
      <c r="AB1086"/>
      <c r="AG1086" s="69"/>
      <c r="AH1086"/>
    </row>
    <row r="1087" spans="1:34" x14ac:dyDescent="0.2">
      <c r="A1087" s="655"/>
      <c r="B1087" s="655"/>
      <c r="C1087"/>
      <c r="D1087" s="655"/>
      <c r="E1087" s="655"/>
      <c r="F1087" s="655" t="str">
        <f>LEFT(AllDaqbookOffsets[[#This Row],[traceability_no]],2)</f>
        <v>K5</v>
      </c>
      <c r="N1087" s="456"/>
      <c r="O1087"/>
      <c r="Z1087" s="460"/>
      <c r="AA1087" s="194"/>
      <c r="AB1087"/>
      <c r="AG1087" s="69"/>
      <c r="AH1087"/>
    </row>
    <row r="1088" spans="1:34" x14ac:dyDescent="0.2">
      <c r="A1088" s="655"/>
      <c r="B1088" s="655"/>
      <c r="C1088"/>
      <c r="D1088" s="655"/>
      <c r="E1088" s="655"/>
      <c r="F1088" s="655" t="str">
        <f>LEFT(AllDaqbookOffsets[[#This Row],[traceability_no]],2)</f>
        <v>K5</v>
      </c>
      <c r="N1088" s="456"/>
      <c r="O1088"/>
      <c r="Z1088" s="460"/>
      <c r="AA1088" s="194"/>
      <c r="AB1088"/>
      <c r="AG1088" s="69"/>
      <c r="AH1088"/>
    </row>
    <row r="1089" spans="1:34" x14ac:dyDescent="0.2">
      <c r="A1089" s="655"/>
      <c r="B1089" s="655"/>
      <c r="C1089"/>
      <c r="D1089" s="655"/>
      <c r="E1089" s="655"/>
      <c r="F1089" s="655" t="str">
        <f>LEFT(AllDaqbookOffsets[[#This Row],[traceability_no]],2)</f>
        <v>K5</v>
      </c>
      <c r="N1089" s="456"/>
      <c r="O1089"/>
      <c r="Z1089" s="460"/>
      <c r="AA1089" s="194"/>
      <c r="AB1089"/>
      <c r="AG1089" s="69"/>
      <c r="AH1089"/>
    </row>
    <row r="1090" spans="1:34" x14ac:dyDescent="0.2">
      <c r="A1090" s="655"/>
      <c r="B1090" s="655"/>
      <c r="C1090"/>
      <c r="D1090" s="655"/>
      <c r="E1090" s="655"/>
      <c r="F1090" s="655" t="str">
        <f>LEFT(AllDaqbookOffsets[[#This Row],[traceability_no]],2)</f>
        <v>K5</v>
      </c>
      <c r="N1090" s="456"/>
      <c r="O1090"/>
      <c r="Z1090" s="460"/>
      <c r="AA1090" s="194"/>
      <c r="AB1090"/>
      <c r="AG1090" s="69"/>
      <c r="AH1090"/>
    </row>
    <row r="1091" spans="1:34" x14ac:dyDescent="0.2">
      <c r="A1091" s="655"/>
      <c r="B1091" s="655"/>
      <c r="C1091"/>
      <c r="D1091" s="655"/>
      <c r="E1091" s="655"/>
      <c r="F1091" s="655" t="str">
        <f>LEFT(AllDaqbookOffsets[[#This Row],[traceability_no]],2)</f>
        <v>K5</v>
      </c>
      <c r="N1091" s="456"/>
      <c r="O1091"/>
      <c r="Z1091" s="460"/>
      <c r="AA1091" s="194"/>
      <c r="AB1091"/>
      <c r="AG1091" s="69"/>
      <c r="AH1091"/>
    </row>
    <row r="1092" spans="1:34" x14ac:dyDescent="0.2">
      <c r="A1092" s="655"/>
      <c r="B1092" s="655"/>
      <c r="C1092"/>
      <c r="D1092" s="655"/>
      <c r="E1092" s="655"/>
      <c r="F1092" s="655" t="str">
        <f>LEFT(AllDaqbookOffsets[[#This Row],[traceability_no]],2)</f>
        <v>K5</v>
      </c>
      <c r="N1092" s="456"/>
      <c r="O1092"/>
      <c r="Z1092" s="460"/>
      <c r="AA1092" s="194"/>
      <c r="AB1092"/>
      <c r="AG1092" s="69"/>
      <c r="AH1092"/>
    </row>
    <row r="1093" spans="1:34" x14ac:dyDescent="0.2">
      <c r="A1093" s="655"/>
      <c r="B1093" s="655"/>
      <c r="C1093"/>
      <c r="D1093" s="655"/>
      <c r="E1093" s="655"/>
      <c r="F1093" s="655" t="str">
        <f>LEFT(AllDaqbookOffsets[[#This Row],[traceability_no]],2)</f>
        <v>K5</v>
      </c>
      <c r="N1093" s="456"/>
      <c r="O1093"/>
      <c r="Z1093" s="460"/>
      <c r="AA1093" s="194"/>
      <c r="AB1093"/>
      <c r="AG1093" s="69"/>
      <c r="AH1093"/>
    </row>
    <row r="1094" spans="1:34" x14ac:dyDescent="0.2">
      <c r="A1094" s="655"/>
      <c r="B1094" s="655"/>
      <c r="C1094"/>
      <c r="D1094" s="655"/>
      <c r="E1094" s="655"/>
      <c r="F1094" s="655" t="str">
        <f>LEFT(AllDaqbookOffsets[[#This Row],[traceability_no]],2)</f>
        <v>K5</v>
      </c>
      <c r="N1094" s="456"/>
      <c r="O1094"/>
      <c r="Z1094" s="460"/>
      <c r="AA1094" s="194"/>
      <c r="AB1094"/>
      <c r="AG1094" s="69"/>
      <c r="AH1094"/>
    </row>
    <row r="1095" spans="1:34" x14ac:dyDescent="0.2">
      <c r="A1095" s="655"/>
      <c r="B1095" s="655"/>
      <c r="C1095"/>
      <c r="D1095" s="655"/>
      <c r="E1095" s="655"/>
      <c r="F1095" s="655" t="str">
        <f>LEFT(AllDaqbookOffsets[[#This Row],[traceability_no]],2)</f>
        <v>K5</v>
      </c>
      <c r="N1095" s="456"/>
      <c r="O1095"/>
      <c r="Z1095" s="460"/>
      <c r="AA1095" s="194"/>
      <c r="AB1095"/>
      <c r="AG1095" s="69"/>
      <c r="AH1095"/>
    </row>
    <row r="1096" spans="1:34" x14ac:dyDescent="0.2">
      <c r="A1096" s="655"/>
      <c r="B1096" s="655"/>
      <c r="C1096"/>
      <c r="D1096" s="655"/>
      <c r="E1096" s="655"/>
      <c r="F1096" s="655" t="str">
        <f>LEFT(AllDaqbookOffsets[[#This Row],[traceability_no]],2)</f>
        <v>K5</v>
      </c>
      <c r="N1096" s="456"/>
      <c r="O1096"/>
      <c r="Z1096" s="460"/>
      <c r="AA1096" s="194"/>
      <c r="AB1096"/>
      <c r="AG1096" s="69"/>
      <c r="AH1096"/>
    </row>
    <row r="1097" spans="1:34" x14ac:dyDescent="0.2">
      <c r="A1097" s="655"/>
      <c r="B1097" s="655"/>
      <c r="C1097"/>
      <c r="D1097" s="655"/>
      <c r="E1097" s="655"/>
      <c r="F1097" s="655" t="str">
        <f>LEFT(AllDaqbookOffsets[[#This Row],[traceability_no]],2)</f>
        <v>K5</v>
      </c>
      <c r="N1097" s="456"/>
      <c r="O1097"/>
      <c r="Z1097" s="460"/>
      <c r="AA1097" s="194"/>
      <c r="AB1097"/>
      <c r="AG1097" s="69"/>
      <c r="AH1097"/>
    </row>
    <row r="1098" spans="1:34" x14ac:dyDescent="0.2">
      <c r="A1098" s="655"/>
      <c r="B1098" s="655"/>
      <c r="C1098"/>
      <c r="D1098" s="655"/>
      <c r="E1098" s="655"/>
      <c r="F1098" s="655" t="str">
        <f>LEFT(AllDaqbookOffsets[[#This Row],[traceability_no]],2)</f>
        <v>K5</v>
      </c>
      <c r="N1098" s="456"/>
      <c r="O1098"/>
      <c r="Z1098" s="460"/>
      <c r="AA1098" s="194"/>
      <c r="AB1098"/>
      <c r="AG1098" s="69"/>
      <c r="AH1098"/>
    </row>
    <row r="1099" spans="1:34" x14ac:dyDescent="0.2">
      <c r="A1099" s="655"/>
      <c r="B1099" s="655"/>
      <c r="C1099"/>
      <c r="D1099" s="655"/>
      <c r="E1099" s="655"/>
      <c r="F1099" s="655" t="str">
        <f>LEFT(AllDaqbookOffsets[[#This Row],[traceability_no]],2)</f>
        <v>K5</v>
      </c>
      <c r="N1099" s="456"/>
      <c r="O1099"/>
      <c r="Z1099" s="460"/>
      <c r="AA1099" s="194"/>
      <c r="AB1099"/>
      <c r="AG1099" s="69"/>
      <c r="AH1099"/>
    </row>
    <row r="1100" spans="1:34" x14ac:dyDescent="0.2">
      <c r="A1100" s="655"/>
      <c r="B1100" s="655"/>
      <c r="C1100"/>
      <c r="D1100" s="655"/>
      <c r="E1100" s="655"/>
      <c r="F1100" s="655" t="str">
        <f>LEFT(AllDaqbookOffsets[[#This Row],[traceability_no]],2)</f>
        <v>K5</v>
      </c>
      <c r="N1100" s="456"/>
      <c r="O1100"/>
      <c r="Z1100" s="460"/>
      <c r="AA1100" s="194"/>
      <c r="AB1100"/>
      <c r="AG1100" s="69"/>
      <c r="AH1100"/>
    </row>
    <row r="1101" spans="1:34" x14ac:dyDescent="0.2">
      <c r="A1101" s="655"/>
      <c r="B1101" s="655"/>
      <c r="C1101"/>
      <c r="D1101" s="655"/>
      <c r="E1101" s="655"/>
      <c r="F1101" s="655" t="str">
        <f>LEFT(AllDaqbookOffsets[[#This Row],[traceability_no]],2)</f>
        <v>K5</v>
      </c>
      <c r="N1101" s="456"/>
      <c r="O1101"/>
      <c r="Z1101" s="460"/>
      <c r="AA1101" s="194"/>
      <c r="AB1101"/>
      <c r="AG1101" s="69"/>
      <c r="AH1101"/>
    </row>
    <row r="1102" spans="1:34" x14ac:dyDescent="0.2">
      <c r="A1102" s="655"/>
      <c r="B1102" s="655"/>
      <c r="C1102"/>
      <c r="D1102" s="655"/>
      <c r="E1102" s="655"/>
      <c r="F1102" s="655" t="str">
        <f>LEFT(AllDaqbookOffsets[[#This Row],[traceability_no]],2)</f>
        <v>K5</v>
      </c>
      <c r="N1102" s="456"/>
      <c r="O1102"/>
      <c r="Z1102" s="460"/>
      <c r="AA1102" s="194"/>
      <c r="AB1102"/>
      <c r="AG1102" s="69"/>
      <c r="AH1102"/>
    </row>
    <row r="1103" spans="1:34" x14ac:dyDescent="0.2">
      <c r="A1103" s="655"/>
      <c r="B1103" s="655"/>
      <c r="C1103"/>
      <c r="D1103" s="655"/>
      <c r="E1103" s="655"/>
      <c r="F1103" s="655" t="str">
        <f>LEFT(AllDaqbookOffsets[[#This Row],[traceability_no]],2)</f>
        <v>K5</v>
      </c>
      <c r="N1103" s="456"/>
      <c r="O1103"/>
      <c r="Z1103" s="460"/>
      <c r="AA1103" s="194"/>
      <c r="AB1103"/>
      <c r="AG1103" s="69"/>
      <c r="AH1103"/>
    </row>
    <row r="1104" spans="1:34" x14ac:dyDescent="0.2">
      <c r="A1104" s="655"/>
      <c r="B1104" s="655"/>
      <c r="C1104"/>
      <c r="D1104" s="655"/>
      <c r="E1104" s="655"/>
      <c r="F1104" s="655" t="str">
        <f>LEFT(AllDaqbookOffsets[[#This Row],[traceability_no]],2)</f>
        <v>K5</v>
      </c>
      <c r="N1104" s="456"/>
      <c r="O1104"/>
      <c r="Z1104" s="460"/>
      <c r="AA1104" s="194"/>
      <c r="AB1104"/>
      <c r="AG1104" s="69"/>
      <c r="AH1104"/>
    </row>
    <row r="1105" spans="1:34" x14ac:dyDescent="0.2">
      <c r="A1105" s="655"/>
      <c r="B1105" s="655"/>
      <c r="C1105"/>
      <c r="D1105" s="655"/>
      <c r="E1105" s="655"/>
      <c r="F1105" s="655" t="str">
        <f>LEFT(AllDaqbookOffsets[[#This Row],[traceability_no]],2)</f>
        <v>K5</v>
      </c>
      <c r="N1105" s="456"/>
      <c r="O1105"/>
      <c r="Z1105" s="460"/>
      <c r="AA1105" s="194"/>
      <c r="AB1105"/>
      <c r="AG1105" s="69"/>
      <c r="AH1105"/>
    </row>
    <row r="1106" spans="1:34" x14ac:dyDescent="0.2">
      <c r="A1106" s="655"/>
      <c r="B1106" s="655"/>
      <c r="C1106"/>
      <c r="D1106" s="655"/>
      <c r="E1106" s="655"/>
      <c r="F1106" s="655" t="str">
        <f>LEFT(AllDaqbookOffsets[[#This Row],[traceability_no]],2)</f>
        <v>K5</v>
      </c>
      <c r="N1106" s="456"/>
      <c r="O1106"/>
      <c r="Z1106" s="460"/>
      <c r="AA1106" s="194"/>
      <c r="AB1106"/>
      <c r="AG1106" s="69"/>
      <c r="AH1106"/>
    </row>
    <row r="1107" spans="1:34" x14ac:dyDescent="0.2">
      <c r="A1107" s="655"/>
      <c r="B1107" s="655"/>
      <c r="C1107"/>
      <c r="D1107" s="655"/>
      <c r="E1107" s="655"/>
      <c r="F1107" s="655" t="str">
        <f>LEFT(AllDaqbookOffsets[[#This Row],[traceability_no]],2)</f>
        <v>K5</v>
      </c>
      <c r="N1107" s="456"/>
      <c r="O1107"/>
      <c r="Z1107" s="460"/>
      <c r="AA1107" s="194"/>
      <c r="AB1107"/>
      <c r="AG1107" s="69"/>
      <c r="AH1107"/>
    </row>
    <row r="1108" spans="1:34" x14ac:dyDescent="0.2">
      <c r="A1108" s="655"/>
      <c r="B1108" s="655"/>
      <c r="C1108"/>
      <c r="D1108" s="655"/>
      <c r="E1108" s="655"/>
      <c r="F1108" s="655" t="str">
        <f>LEFT(AllDaqbookOffsets[[#This Row],[traceability_no]],2)</f>
        <v>K5</v>
      </c>
      <c r="N1108" s="456"/>
      <c r="O1108"/>
      <c r="Z1108" s="460"/>
      <c r="AA1108" s="194"/>
      <c r="AB1108"/>
      <c r="AG1108" s="69"/>
      <c r="AH1108"/>
    </row>
    <row r="1109" spans="1:34" x14ac:dyDescent="0.2">
      <c r="A1109" s="655"/>
      <c r="B1109" s="655"/>
      <c r="C1109"/>
      <c r="D1109" s="655"/>
      <c r="E1109" s="655"/>
      <c r="F1109" s="655" t="str">
        <f>LEFT(AllDaqbookOffsets[[#This Row],[traceability_no]],2)</f>
        <v>K5</v>
      </c>
      <c r="N1109" s="456"/>
      <c r="O1109"/>
      <c r="Z1109" s="460"/>
      <c r="AA1109" s="194"/>
      <c r="AB1109"/>
      <c r="AG1109" s="69"/>
      <c r="AH1109"/>
    </row>
    <row r="1110" spans="1:34" x14ac:dyDescent="0.2">
      <c r="A1110" s="655"/>
      <c r="B1110" s="655"/>
      <c r="C1110"/>
      <c r="D1110" s="655"/>
      <c r="E1110" s="655"/>
      <c r="F1110" s="655" t="str">
        <f>LEFT(AllDaqbookOffsets[[#This Row],[traceability_no]],2)</f>
        <v>K5</v>
      </c>
      <c r="N1110" s="456"/>
      <c r="O1110"/>
      <c r="Z1110" s="460"/>
      <c r="AA1110" s="194"/>
      <c r="AB1110"/>
      <c r="AG1110" s="69"/>
      <c r="AH1110"/>
    </row>
    <row r="1111" spans="1:34" x14ac:dyDescent="0.2">
      <c r="A1111" s="655"/>
      <c r="B1111" s="655"/>
      <c r="C1111"/>
      <c r="D1111" s="655"/>
      <c r="E1111" s="655"/>
      <c r="F1111" s="655" t="str">
        <f>LEFT(AllDaqbookOffsets[[#This Row],[traceability_no]],2)</f>
        <v>K5</v>
      </c>
      <c r="N1111" s="456"/>
      <c r="O1111"/>
      <c r="Z1111" s="460"/>
      <c r="AA1111" s="194"/>
      <c r="AB1111"/>
      <c r="AG1111" s="69"/>
      <c r="AH1111"/>
    </row>
    <row r="1112" spans="1:34" x14ac:dyDescent="0.2">
      <c r="A1112" s="655"/>
      <c r="B1112" s="655"/>
      <c r="C1112"/>
      <c r="D1112" s="655"/>
      <c r="E1112" s="655"/>
      <c r="F1112" s="655" t="str">
        <f>LEFT(AllDaqbookOffsets[[#This Row],[traceability_no]],2)</f>
        <v>K5</v>
      </c>
      <c r="N1112" s="456"/>
      <c r="O1112"/>
      <c r="Z1112" s="460"/>
      <c r="AA1112" s="194"/>
      <c r="AB1112"/>
      <c r="AG1112" s="69"/>
      <c r="AH1112"/>
    </row>
    <row r="1113" spans="1:34" x14ac:dyDescent="0.2">
      <c r="A1113" s="655"/>
      <c r="B1113" s="655"/>
      <c r="C1113"/>
      <c r="D1113" s="655"/>
      <c r="E1113" s="655"/>
      <c r="F1113" s="655" t="str">
        <f>LEFT(AllDaqbookOffsets[[#This Row],[traceability_no]],2)</f>
        <v>K5</v>
      </c>
      <c r="N1113" s="456"/>
      <c r="O1113"/>
      <c r="Z1113" s="460"/>
      <c r="AA1113" s="194"/>
      <c r="AB1113"/>
      <c r="AG1113" s="69"/>
      <c r="AH1113"/>
    </row>
    <row r="1114" spans="1:34" x14ac:dyDescent="0.2">
      <c r="A1114" s="655"/>
      <c r="B1114" s="655"/>
      <c r="C1114"/>
      <c r="D1114" s="655"/>
      <c r="E1114" s="655"/>
      <c r="F1114" s="655" t="str">
        <f>LEFT(AllDaqbookOffsets[[#This Row],[traceability_no]],2)</f>
        <v>K5</v>
      </c>
      <c r="N1114" s="456"/>
      <c r="O1114"/>
      <c r="Z1114" s="460"/>
      <c r="AA1114" s="194"/>
      <c r="AB1114"/>
      <c r="AG1114" s="69"/>
      <c r="AH1114"/>
    </row>
    <row r="1115" spans="1:34" x14ac:dyDescent="0.2">
      <c r="A1115" s="655"/>
      <c r="B1115" s="655"/>
      <c r="C1115"/>
      <c r="D1115" s="655"/>
      <c r="E1115" s="655"/>
      <c r="F1115" s="655" t="str">
        <f>LEFT(AllDaqbookOffsets[[#This Row],[traceability_no]],2)</f>
        <v>K5</v>
      </c>
      <c r="N1115" s="456"/>
      <c r="O1115"/>
      <c r="Z1115" s="460"/>
      <c r="AA1115" s="194"/>
      <c r="AB1115"/>
      <c r="AG1115" s="69"/>
      <c r="AH1115"/>
    </row>
    <row r="1116" spans="1:34" x14ac:dyDescent="0.2">
      <c r="A1116" s="655"/>
      <c r="B1116" s="655"/>
      <c r="C1116"/>
      <c r="D1116" s="655"/>
      <c r="E1116" s="655"/>
      <c r="F1116" s="655" t="str">
        <f>LEFT(AllDaqbookOffsets[[#This Row],[traceability_no]],2)</f>
        <v>K5</v>
      </c>
      <c r="N1116" s="456"/>
      <c r="O1116"/>
      <c r="Z1116" s="460"/>
      <c r="AA1116" s="194"/>
      <c r="AB1116"/>
      <c r="AG1116" s="69"/>
      <c r="AH1116"/>
    </row>
    <row r="1117" spans="1:34" x14ac:dyDescent="0.2">
      <c r="A1117" s="655"/>
      <c r="B1117" s="655"/>
      <c r="C1117"/>
      <c r="D1117" s="655"/>
      <c r="E1117" s="655"/>
      <c r="F1117" s="655" t="str">
        <f>LEFT(AllDaqbookOffsets[[#This Row],[traceability_no]],2)</f>
        <v>K5</v>
      </c>
      <c r="N1117" s="456"/>
      <c r="O1117"/>
      <c r="Z1117" s="460"/>
      <c r="AA1117" s="194"/>
      <c r="AB1117"/>
      <c r="AG1117" s="69"/>
      <c r="AH1117"/>
    </row>
    <row r="1118" spans="1:34" x14ac:dyDescent="0.2">
      <c r="A1118" s="655"/>
      <c r="B1118" s="655"/>
      <c r="C1118"/>
      <c r="D1118" s="655"/>
      <c r="E1118" s="655"/>
      <c r="F1118" s="655" t="str">
        <f>LEFT(AllDaqbookOffsets[[#This Row],[traceability_no]],2)</f>
        <v>K5</v>
      </c>
      <c r="N1118" s="456"/>
      <c r="O1118"/>
      <c r="Z1118" s="460"/>
      <c r="AA1118" s="194"/>
      <c r="AB1118"/>
      <c r="AG1118" s="69"/>
      <c r="AH1118"/>
    </row>
    <row r="1119" spans="1:34" x14ac:dyDescent="0.2">
      <c r="A1119" s="655"/>
      <c r="B1119" s="655"/>
      <c r="C1119"/>
      <c r="D1119" s="655"/>
      <c r="E1119" s="655"/>
      <c r="F1119" s="655" t="str">
        <f>LEFT(AllDaqbookOffsets[[#This Row],[traceability_no]],2)</f>
        <v>K5</v>
      </c>
      <c r="N1119" s="456"/>
      <c r="O1119"/>
      <c r="Z1119" s="460"/>
      <c r="AA1119" s="194"/>
      <c r="AB1119"/>
      <c r="AG1119" s="69"/>
      <c r="AH1119"/>
    </row>
    <row r="1120" spans="1:34" x14ac:dyDescent="0.2">
      <c r="A1120" s="655"/>
      <c r="B1120" s="655"/>
      <c r="C1120"/>
      <c r="D1120" s="655"/>
      <c r="E1120" s="655"/>
      <c r="F1120" s="655" t="str">
        <f>LEFT(AllDaqbookOffsets[[#This Row],[traceability_no]],2)</f>
        <v>K5</v>
      </c>
      <c r="N1120" s="456"/>
      <c r="O1120"/>
      <c r="Z1120" s="460"/>
      <c r="AA1120" s="194"/>
      <c r="AB1120"/>
      <c r="AG1120" s="69"/>
      <c r="AH1120"/>
    </row>
    <row r="1121" spans="1:34" x14ac:dyDescent="0.2">
      <c r="A1121" s="655"/>
      <c r="B1121" s="655"/>
      <c r="C1121"/>
      <c r="D1121" s="655"/>
      <c r="E1121" s="655"/>
      <c r="F1121" s="655" t="str">
        <f>LEFT(AllDaqbookOffsets[[#This Row],[traceability_no]],2)</f>
        <v>K5</v>
      </c>
      <c r="N1121" s="456"/>
      <c r="O1121"/>
      <c r="Z1121" s="460"/>
      <c r="AA1121" s="194"/>
      <c r="AB1121"/>
      <c r="AG1121" s="69"/>
      <c r="AH1121"/>
    </row>
    <row r="1122" spans="1:34" x14ac:dyDescent="0.2">
      <c r="A1122" s="655"/>
      <c r="B1122" s="655"/>
      <c r="C1122"/>
      <c r="D1122" s="655"/>
      <c r="E1122" s="655"/>
      <c r="F1122" s="655" t="str">
        <f>LEFT(AllDaqbookOffsets[[#This Row],[traceability_no]],2)</f>
        <v>K5</v>
      </c>
      <c r="N1122" s="456"/>
      <c r="O1122"/>
      <c r="Z1122" s="460"/>
      <c r="AA1122" s="194"/>
      <c r="AB1122"/>
      <c r="AG1122" s="69"/>
      <c r="AH1122"/>
    </row>
    <row r="1123" spans="1:34" x14ac:dyDescent="0.2">
      <c r="A1123" s="655"/>
      <c r="B1123" s="655"/>
      <c r="C1123"/>
      <c r="D1123" s="655"/>
      <c r="E1123" s="655"/>
      <c r="F1123" s="655" t="str">
        <f>LEFT(AllDaqbookOffsets[[#This Row],[traceability_no]],2)</f>
        <v>K5</v>
      </c>
      <c r="N1123" s="456"/>
      <c r="O1123"/>
      <c r="Z1123" s="460"/>
      <c r="AA1123" s="194"/>
      <c r="AB1123"/>
      <c r="AG1123" s="69"/>
      <c r="AH1123"/>
    </row>
    <row r="1124" spans="1:34" x14ac:dyDescent="0.2">
      <c r="A1124" s="655"/>
      <c r="B1124" s="655"/>
      <c r="C1124"/>
      <c r="D1124" s="655"/>
      <c r="E1124" s="655"/>
      <c r="F1124" s="655" t="str">
        <f>LEFT(AllDaqbookOffsets[[#This Row],[traceability_no]],2)</f>
        <v>K5</v>
      </c>
      <c r="N1124" s="456"/>
      <c r="O1124"/>
      <c r="Z1124" s="460"/>
      <c r="AA1124" s="194"/>
      <c r="AB1124"/>
      <c r="AG1124" s="69"/>
      <c r="AH1124"/>
    </row>
    <row r="1125" spans="1:34" x14ac:dyDescent="0.2">
      <c r="A1125" s="655"/>
      <c r="B1125" s="655"/>
      <c r="C1125"/>
      <c r="D1125" s="655"/>
      <c r="E1125" s="655"/>
      <c r="F1125" s="655" t="str">
        <f>LEFT(AllDaqbookOffsets[[#This Row],[traceability_no]],2)</f>
        <v>K5</v>
      </c>
      <c r="N1125" s="456"/>
      <c r="O1125"/>
      <c r="Z1125" s="460"/>
      <c r="AA1125" s="194"/>
      <c r="AB1125"/>
      <c r="AG1125" s="69"/>
      <c r="AH1125"/>
    </row>
    <row r="1126" spans="1:34" x14ac:dyDescent="0.2">
      <c r="A1126" s="655"/>
      <c r="B1126" s="655"/>
      <c r="C1126"/>
      <c r="D1126" s="655"/>
      <c r="E1126" s="655"/>
      <c r="F1126" s="655" t="str">
        <f>LEFT(AllDaqbookOffsets[[#This Row],[traceability_no]],2)</f>
        <v>K5</v>
      </c>
      <c r="N1126" s="456"/>
      <c r="O1126"/>
      <c r="Z1126" s="460"/>
      <c r="AA1126" s="194"/>
      <c r="AB1126"/>
      <c r="AG1126" s="69"/>
      <c r="AH1126"/>
    </row>
    <row r="1127" spans="1:34" x14ac:dyDescent="0.2">
      <c r="A1127" s="655"/>
      <c r="B1127" s="655"/>
      <c r="C1127"/>
      <c r="D1127" s="655"/>
      <c r="E1127" s="655"/>
      <c r="F1127" s="655" t="str">
        <f>LEFT(AllDaqbookOffsets[[#This Row],[traceability_no]],2)</f>
        <v>K5</v>
      </c>
      <c r="N1127" s="456"/>
      <c r="O1127"/>
      <c r="Z1127" s="460"/>
      <c r="AA1127" s="194"/>
      <c r="AB1127"/>
      <c r="AG1127" s="69"/>
      <c r="AH1127"/>
    </row>
    <row r="1128" spans="1:34" x14ac:dyDescent="0.2">
      <c r="A1128" s="655"/>
      <c r="B1128" s="655"/>
      <c r="C1128"/>
      <c r="D1128" s="655"/>
      <c r="E1128" s="655"/>
      <c r="F1128" s="655" t="str">
        <f>LEFT(AllDaqbookOffsets[[#This Row],[traceability_no]],2)</f>
        <v>K5</v>
      </c>
      <c r="N1128" s="456"/>
      <c r="O1128"/>
      <c r="Z1128" s="460"/>
      <c r="AA1128" s="194"/>
      <c r="AB1128"/>
      <c r="AG1128" s="69"/>
      <c r="AH1128"/>
    </row>
    <row r="1129" spans="1:34" x14ac:dyDescent="0.2">
      <c r="A1129" s="655"/>
      <c r="B1129" s="655"/>
      <c r="C1129"/>
      <c r="D1129" s="655"/>
      <c r="E1129" s="655"/>
      <c r="F1129" s="655" t="str">
        <f>LEFT(AllDaqbookOffsets[[#This Row],[traceability_no]],2)</f>
        <v>K5</v>
      </c>
      <c r="N1129" s="456"/>
      <c r="O1129"/>
      <c r="Z1129" s="460"/>
      <c r="AA1129" s="194"/>
      <c r="AB1129"/>
      <c r="AG1129" s="69"/>
      <c r="AH1129"/>
    </row>
    <row r="1130" spans="1:34" x14ac:dyDescent="0.2">
      <c r="A1130" s="655"/>
      <c r="B1130" s="655"/>
      <c r="C1130"/>
      <c r="D1130" s="655"/>
      <c r="E1130" s="655"/>
      <c r="F1130" s="655" t="str">
        <f>LEFT(AllDaqbookOffsets[[#This Row],[traceability_no]],2)</f>
        <v>K6</v>
      </c>
      <c r="N1130" s="456"/>
      <c r="O1130"/>
      <c r="Z1130" s="460"/>
      <c r="AA1130" s="194"/>
      <c r="AB1130"/>
      <c r="AG1130" s="69"/>
      <c r="AH1130"/>
    </row>
    <row r="1131" spans="1:34" x14ac:dyDescent="0.2">
      <c r="A1131" s="655"/>
      <c r="B1131" s="655"/>
      <c r="C1131"/>
      <c r="D1131" s="655"/>
      <c r="E1131" s="655"/>
      <c r="F1131" s="655" t="str">
        <f>LEFT(AllDaqbookOffsets[[#This Row],[traceability_no]],2)</f>
        <v>K6</v>
      </c>
      <c r="N1131" s="456"/>
      <c r="O1131"/>
      <c r="Z1131" s="460"/>
      <c r="AA1131" s="194"/>
      <c r="AB1131"/>
      <c r="AG1131" s="69"/>
      <c r="AH1131"/>
    </row>
    <row r="1132" spans="1:34" x14ac:dyDescent="0.2">
      <c r="A1132" s="655"/>
      <c r="B1132" s="655"/>
      <c r="C1132"/>
      <c r="D1132" s="655"/>
      <c r="E1132" s="655"/>
      <c r="F1132" s="655" t="str">
        <f>LEFT(AllDaqbookOffsets[[#This Row],[traceability_no]],2)</f>
        <v>K6</v>
      </c>
      <c r="N1132" s="456"/>
      <c r="O1132"/>
      <c r="Z1132" s="460"/>
      <c r="AA1132" s="194"/>
      <c r="AB1132"/>
      <c r="AG1132" s="69"/>
      <c r="AH1132"/>
    </row>
    <row r="1133" spans="1:34" x14ac:dyDescent="0.2">
      <c r="A1133" s="655"/>
      <c r="B1133" s="655"/>
      <c r="C1133"/>
      <c r="D1133" s="655"/>
      <c r="E1133" s="655"/>
      <c r="F1133" s="655" t="str">
        <f>LEFT(AllDaqbookOffsets[[#This Row],[traceability_no]],2)</f>
        <v>K6</v>
      </c>
      <c r="N1133" s="456"/>
      <c r="O1133"/>
      <c r="Z1133" s="460"/>
      <c r="AA1133" s="194"/>
      <c r="AB1133"/>
      <c r="AG1133" s="69"/>
      <c r="AH1133"/>
    </row>
    <row r="1134" spans="1:34" x14ac:dyDescent="0.2">
      <c r="A1134" s="655"/>
      <c r="B1134" s="655"/>
      <c r="C1134"/>
      <c r="D1134" s="655"/>
      <c r="E1134" s="655"/>
      <c r="F1134" s="655" t="str">
        <f>LEFT(AllDaqbookOffsets[[#This Row],[traceability_no]],2)</f>
        <v>K6</v>
      </c>
      <c r="N1134" s="456"/>
      <c r="O1134"/>
      <c r="Z1134" s="460"/>
      <c r="AA1134" s="194"/>
      <c r="AB1134"/>
      <c r="AG1134" s="69"/>
      <c r="AH1134"/>
    </row>
    <row r="1135" spans="1:34" x14ac:dyDescent="0.2">
      <c r="A1135" s="655"/>
      <c r="B1135" s="655"/>
      <c r="C1135"/>
      <c r="D1135" s="655"/>
      <c r="E1135" s="655"/>
      <c r="F1135" s="655" t="str">
        <f>LEFT(AllDaqbookOffsets[[#This Row],[traceability_no]],2)</f>
        <v>K6</v>
      </c>
      <c r="N1135" s="456"/>
      <c r="O1135"/>
      <c r="Z1135" s="460"/>
      <c r="AA1135" s="194"/>
      <c r="AB1135"/>
      <c r="AG1135" s="69"/>
      <c r="AH1135"/>
    </row>
    <row r="1136" spans="1:34" x14ac:dyDescent="0.2">
      <c r="A1136" s="655"/>
      <c r="B1136" s="655"/>
      <c r="C1136"/>
      <c r="D1136" s="655"/>
      <c r="E1136" s="655"/>
      <c r="F1136" s="655" t="str">
        <f>LEFT(AllDaqbookOffsets[[#This Row],[traceability_no]],2)</f>
        <v>K6</v>
      </c>
      <c r="N1136" s="456"/>
      <c r="O1136"/>
      <c r="Z1136" s="460"/>
      <c r="AA1136" s="194"/>
      <c r="AB1136"/>
      <c r="AG1136" s="69"/>
      <c r="AH1136"/>
    </row>
    <row r="1137" spans="1:34" x14ac:dyDescent="0.2">
      <c r="A1137" s="655"/>
      <c r="B1137" s="655"/>
      <c r="C1137"/>
      <c r="D1137" s="655"/>
      <c r="E1137" s="655"/>
      <c r="F1137" s="655" t="str">
        <f>LEFT(AllDaqbookOffsets[[#This Row],[traceability_no]],2)</f>
        <v>K6</v>
      </c>
      <c r="N1137" s="456"/>
      <c r="O1137"/>
      <c r="Z1137" s="460"/>
      <c r="AA1137" s="194"/>
      <c r="AB1137"/>
      <c r="AG1137" s="69"/>
      <c r="AH1137"/>
    </row>
    <row r="1138" spans="1:34" x14ac:dyDescent="0.2">
      <c r="A1138" s="655"/>
      <c r="B1138" s="655"/>
      <c r="C1138"/>
      <c r="D1138" s="655"/>
      <c r="E1138" s="655"/>
      <c r="F1138" s="655" t="str">
        <f>LEFT(AllDaqbookOffsets[[#This Row],[traceability_no]],2)</f>
        <v>K6</v>
      </c>
      <c r="N1138" s="456"/>
      <c r="O1138"/>
      <c r="Z1138" s="460"/>
      <c r="AA1138" s="194"/>
      <c r="AB1138"/>
      <c r="AG1138" s="69"/>
      <c r="AH1138"/>
    </row>
    <row r="1139" spans="1:34" x14ac:dyDescent="0.2">
      <c r="A1139" s="655"/>
      <c r="B1139" s="655"/>
      <c r="C1139"/>
      <c r="D1139" s="655"/>
      <c r="E1139" s="655"/>
      <c r="F1139" s="655" t="str">
        <f>LEFT(AllDaqbookOffsets[[#This Row],[traceability_no]],2)</f>
        <v>K6</v>
      </c>
      <c r="N1139" s="456"/>
      <c r="O1139"/>
      <c r="Z1139" s="460"/>
      <c r="AA1139" s="194"/>
      <c r="AB1139"/>
      <c r="AG1139" s="69"/>
      <c r="AH1139"/>
    </row>
    <row r="1140" spans="1:34" x14ac:dyDescent="0.2">
      <c r="A1140" s="655"/>
      <c r="B1140" s="655"/>
      <c r="C1140"/>
      <c r="D1140" s="655"/>
      <c r="E1140" s="655"/>
      <c r="F1140" s="655" t="str">
        <f>LEFT(AllDaqbookOffsets[[#This Row],[traceability_no]],2)</f>
        <v>K6</v>
      </c>
      <c r="N1140" s="456"/>
      <c r="O1140"/>
      <c r="Z1140" s="460"/>
      <c r="AA1140" s="194"/>
      <c r="AB1140"/>
      <c r="AG1140" s="69"/>
      <c r="AH1140"/>
    </row>
    <row r="1141" spans="1:34" x14ac:dyDescent="0.2">
      <c r="A1141" s="655"/>
      <c r="B1141" s="655"/>
      <c r="C1141"/>
      <c r="D1141" s="655"/>
      <c r="E1141" s="655"/>
      <c r="F1141" s="655" t="str">
        <f>LEFT(AllDaqbookOffsets[[#This Row],[traceability_no]],2)</f>
        <v>K6</v>
      </c>
      <c r="N1141" s="456"/>
      <c r="O1141"/>
      <c r="Z1141" s="460"/>
      <c r="AA1141" s="194"/>
      <c r="AB1141"/>
      <c r="AG1141" s="69"/>
      <c r="AH1141"/>
    </row>
    <row r="1142" spans="1:34" x14ac:dyDescent="0.2">
      <c r="A1142" s="655"/>
      <c r="B1142" s="655"/>
      <c r="C1142"/>
      <c r="D1142" s="655"/>
      <c r="E1142" s="655"/>
      <c r="F1142" s="655" t="str">
        <f>LEFT(AllDaqbookOffsets[[#This Row],[traceability_no]],2)</f>
        <v>K6</v>
      </c>
      <c r="N1142" s="456"/>
      <c r="O1142"/>
      <c r="Z1142" s="460"/>
      <c r="AA1142" s="194"/>
      <c r="AB1142"/>
      <c r="AG1142" s="69"/>
      <c r="AH1142"/>
    </row>
    <row r="1143" spans="1:34" x14ac:dyDescent="0.2">
      <c r="A1143" s="655"/>
      <c r="B1143" s="655"/>
      <c r="C1143"/>
      <c r="D1143" s="655"/>
      <c r="E1143" s="655"/>
      <c r="F1143" s="655" t="str">
        <f>LEFT(AllDaqbookOffsets[[#This Row],[traceability_no]],2)</f>
        <v>K6</v>
      </c>
      <c r="N1143" s="456"/>
      <c r="O1143"/>
      <c r="Z1143" s="460"/>
      <c r="AA1143" s="194"/>
      <c r="AB1143"/>
      <c r="AG1143" s="69"/>
      <c r="AH1143"/>
    </row>
    <row r="1144" spans="1:34" x14ac:dyDescent="0.2">
      <c r="A1144" s="655"/>
      <c r="B1144" s="655"/>
      <c r="C1144"/>
      <c r="D1144" s="655"/>
      <c r="E1144" s="655"/>
      <c r="F1144" s="655" t="str">
        <f>LEFT(AllDaqbookOffsets[[#This Row],[traceability_no]],2)</f>
        <v>K6</v>
      </c>
      <c r="N1144" s="456"/>
      <c r="O1144"/>
      <c r="Z1144" s="460"/>
      <c r="AA1144" s="194"/>
      <c r="AB1144"/>
      <c r="AG1144" s="69"/>
      <c r="AH1144"/>
    </row>
    <row r="1145" spans="1:34" x14ac:dyDescent="0.2">
      <c r="A1145" s="655"/>
      <c r="B1145" s="655"/>
      <c r="C1145"/>
      <c r="D1145" s="655"/>
      <c r="E1145" s="655"/>
      <c r="F1145" s="655" t="str">
        <f>LEFT(AllDaqbookOffsets[[#This Row],[traceability_no]],2)</f>
        <v>K6</v>
      </c>
      <c r="N1145" s="456"/>
      <c r="O1145"/>
      <c r="Z1145" s="460"/>
      <c r="AA1145" s="194"/>
      <c r="AB1145"/>
      <c r="AG1145" s="69"/>
      <c r="AH1145"/>
    </row>
    <row r="1146" spans="1:34" x14ac:dyDescent="0.2">
      <c r="A1146" s="655"/>
      <c r="B1146" s="655"/>
      <c r="C1146"/>
      <c r="D1146" s="655"/>
      <c r="E1146" s="655"/>
      <c r="F1146" s="655" t="str">
        <f>LEFT(AllDaqbookOffsets[[#This Row],[traceability_no]],2)</f>
        <v>K6</v>
      </c>
      <c r="N1146" s="456"/>
      <c r="O1146"/>
      <c r="Z1146" s="460"/>
      <c r="AA1146" s="194"/>
      <c r="AB1146"/>
      <c r="AG1146" s="69"/>
      <c r="AH1146"/>
    </row>
    <row r="1147" spans="1:34" x14ac:dyDescent="0.2">
      <c r="A1147" s="655"/>
      <c r="B1147" s="655"/>
      <c r="C1147"/>
      <c r="D1147" s="655"/>
      <c r="E1147" s="655"/>
      <c r="F1147" s="655" t="str">
        <f>LEFT(AllDaqbookOffsets[[#This Row],[traceability_no]],2)</f>
        <v>K6</v>
      </c>
      <c r="N1147" s="456"/>
      <c r="O1147"/>
      <c r="Z1147" s="460"/>
      <c r="AA1147" s="194"/>
      <c r="AB1147"/>
      <c r="AG1147" s="69"/>
      <c r="AH1147"/>
    </row>
    <row r="1148" spans="1:34" x14ac:dyDescent="0.2">
      <c r="A1148" s="655"/>
      <c r="B1148" s="655"/>
      <c r="C1148"/>
      <c r="D1148" s="655"/>
      <c r="E1148" s="655"/>
      <c r="F1148" s="655" t="str">
        <f>LEFT(AllDaqbookOffsets[[#This Row],[traceability_no]],2)</f>
        <v>K6</v>
      </c>
      <c r="N1148" s="456"/>
      <c r="O1148"/>
      <c r="Z1148" s="460"/>
      <c r="AA1148" s="194"/>
      <c r="AB1148"/>
      <c r="AG1148" s="69"/>
      <c r="AH1148"/>
    </row>
    <row r="1149" spans="1:34" x14ac:dyDescent="0.2">
      <c r="A1149" s="655"/>
      <c r="B1149" s="655"/>
      <c r="C1149"/>
      <c r="D1149" s="655"/>
      <c r="E1149" s="655"/>
      <c r="F1149" s="655" t="str">
        <f>LEFT(AllDaqbookOffsets[[#This Row],[traceability_no]],2)</f>
        <v>K6</v>
      </c>
      <c r="N1149" s="456"/>
      <c r="O1149"/>
      <c r="Z1149" s="460"/>
      <c r="AA1149" s="194"/>
      <c r="AB1149"/>
      <c r="AG1149" s="69"/>
      <c r="AH1149"/>
    </row>
    <row r="1150" spans="1:34" x14ac:dyDescent="0.2">
      <c r="A1150" s="655"/>
      <c r="B1150" s="655"/>
      <c r="C1150"/>
      <c r="D1150" s="655"/>
      <c r="E1150" s="655"/>
      <c r="F1150" s="655" t="str">
        <f>LEFT(AllDaqbookOffsets[[#This Row],[traceability_no]],2)</f>
        <v>K6</v>
      </c>
      <c r="N1150" s="456"/>
      <c r="O1150"/>
      <c r="Z1150" s="460"/>
      <c r="AA1150" s="194"/>
      <c r="AB1150"/>
      <c r="AG1150" s="69"/>
      <c r="AH1150"/>
    </row>
    <row r="1151" spans="1:34" x14ac:dyDescent="0.2">
      <c r="A1151" s="655"/>
      <c r="B1151" s="655"/>
      <c r="C1151"/>
      <c r="D1151" s="655"/>
      <c r="E1151" s="655"/>
      <c r="F1151" s="655" t="str">
        <f>LEFT(AllDaqbookOffsets[[#This Row],[traceability_no]],2)</f>
        <v>K6</v>
      </c>
      <c r="N1151" s="456"/>
      <c r="O1151"/>
      <c r="Z1151" s="460"/>
      <c r="AA1151" s="194"/>
      <c r="AB1151"/>
      <c r="AG1151" s="69"/>
      <c r="AH1151"/>
    </row>
    <row r="1152" spans="1:34" x14ac:dyDescent="0.2">
      <c r="A1152" s="655"/>
      <c r="B1152" s="655"/>
      <c r="C1152"/>
      <c r="D1152" s="655"/>
      <c r="E1152" s="655"/>
      <c r="F1152" s="655" t="str">
        <f>LEFT(AllDaqbookOffsets[[#This Row],[traceability_no]],2)</f>
        <v>K6</v>
      </c>
      <c r="N1152" s="456"/>
      <c r="O1152"/>
      <c r="Z1152" s="460"/>
      <c r="AA1152" s="194"/>
      <c r="AB1152"/>
      <c r="AG1152" s="69"/>
      <c r="AH1152"/>
    </row>
    <row r="1153" spans="1:34" x14ac:dyDescent="0.2">
      <c r="A1153" s="655"/>
      <c r="B1153" s="655"/>
      <c r="C1153"/>
      <c r="D1153" s="655"/>
      <c r="E1153" s="655"/>
      <c r="F1153" s="655" t="str">
        <f>LEFT(AllDaqbookOffsets[[#This Row],[traceability_no]],2)</f>
        <v>K6</v>
      </c>
      <c r="N1153" s="456"/>
      <c r="O1153"/>
      <c r="Z1153" s="460"/>
      <c r="AA1153" s="194"/>
      <c r="AB1153"/>
      <c r="AG1153" s="69"/>
      <c r="AH1153"/>
    </row>
    <row r="1154" spans="1:34" x14ac:dyDescent="0.2">
      <c r="A1154" s="655"/>
      <c r="B1154" s="655"/>
      <c r="C1154"/>
      <c r="D1154" s="655"/>
      <c r="E1154" s="655"/>
      <c r="F1154" s="655" t="str">
        <f>LEFT(AllDaqbookOffsets[[#This Row],[traceability_no]],2)</f>
        <v>K6</v>
      </c>
      <c r="N1154" s="456"/>
      <c r="O1154"/>
      <c r="Z1154" s="460"/>
      <c r="AA1154" s="194"/>
      <c r="AB1154"/>
      <c r="AG1154" s="69"/>
      <c r="AH1154"/>
    </row>
    <row r="1155" spans="1:34" x14ac:dyDescent="0.2">
      <c r="A1155" s="655"/>
      <c r="B1155" s="655"/>
      <c r="C1155"/>
      <c r="D1155" s="655"/>
      <c r="E1155" s="655"/>
      <c r="F1155" s="655" t="str">
        <f>LEFT(AllDaqbookOffsets[[#This Row],[traceability_no]],2)</f>
        <v>K6</v>
      </c>
      <c r="N1155" s="456"/>
      <c r="O1155"/>
      <c r="Z1155" s="460"/>
      <c r="AA1155" s="194"/>
      <c r="AB1155"/>
      <c r="AG1155" s="69"/>
      <c r="AH1155"/>
    </row>
    <row r="1156" spans="1:34" x14ac:dyDescent="0.2">
      <c r="A1156" s="655"/>
      <c r="B1156" s="655"/>
      <c r="C1156"/>
      <c r="D1156" s="655"/>
      <c r="E1156" s="655"/>
      <c r="F1156" s="655" t="str">
        <f>LEFT(AllDaqbookOffsets[[#This Row],[traceability_no]],2)</f>
        <v>K6</v>
      </c>
      <c r="N1156" s="456"/>
      <c r="O1156"/>
      <c r="Z1156" s="460"/>
      <c r="AA1156" s="194"/>
      <c r="AB1156"/>
      <c r="AG1156" s="69"/>
      <c r="AH1156"/>
    </row>
    <row r="1157" spans="1:34" x14ac:dyDescent="0.2">
      <c r="A1157" s="655"/>
      <c r="B1157" s="655"/>
      <c r="C1157"/>
      <c r="D1157" s="655"/>
      <c r="E1157" s="655"/>
      <c r="F1157" s="655" t="str">
        <f>LEFT(AllDaqbookOffsets[[#This Row],[traceability_no]],2)</f>
        <v>K6</v>
      </c>
      <c r="N1157" s="456"/>
      <c r="O1157"/>
      <c r="Z1157" s="460"/>
      <c r="AA1157" s="194"/>
      <c r="AB1157"/>
      <c r="AG1157" s="69"/>
      <c r="AH1157"/>
    </row>
    <row r="1158" spans="1:34" x14ac:dyDescent="0.2">
      <c r="A1158" s="655"/>
      <c r="B1158" s="655"/>
      <c r="C1158"/>
      <c r="D1158" s="655"/>
      <c r="E1158" s="655"/>
      <c r="F1158" s="655" t="str">
        <f>LEFT(AllDaqbookOffsets[[#This Row],[traceability_no]],2)</f>
        <v>K6</v>
      </c>
      <c r="N1158" s="456"/>
      <c r="O1158"/>
      <c r="Z1158" s="460"/>
      <c r="AA1158" s="194"/>
      <c r="AB1158"/>
      <c r="AG1158" s="69"/>
      <c r="AH1158"/>
    </row>
    <row r="1159" spans="1:34" x14ac:dyDescent="0.2">
      <c r="A1159" s="655"/>
      <c r="B1159" s="655"/>
      <c r="C1159"/>
      <c r="D1159" s="655"/>
      <c r="E1159" s="655"/>
      <c r="F1159" s="655" t="str">
        <f>LEFT(AllDaqbookOffsets[[#This Row],[traceability_no]],2)</f>
        <v>K6</v>
      </c>
      <c r="N1159" s="456"/>
      <c r="O1159"/>
      <c r="Z1159" s="460"/>
      <c r="AA1159" s="194"/>
      <c r="AB1159"/>
      <c r="AG1159" s="69"/>
      <c r="AH1159"/>
    </row>
    <row r="1160" spans="1:34" x14ac:dyDescent="0.2">
      <c r="A1160" s="655"/>
      <c r="B1160" s="655"/>
      <c r="C1160"/>
      <c r="D1160" s="655"/>
      <c r="E1160" s="655"/>
      <c r="F1160" s="655" t="str">
        <f>LEFT(AllDaqbookOffsets[[#This Row],[traceability_no]],2)</f>
        <v>K6</v>
      </c>
      <c r="N1160" s="456"/>
      <c r="O1160"/>
      <c r="Z1160" s="460"/>
      <c r="AA1160" s="194"/>
      <c r="AB1160"/>
      <c r="AG1160" s="69"/>
      <c r="AH1160"/>
    </row>
    <row r="1161" spans="1:34" x14ac:dyDescent="0.2">
      <c r="A1161" s="655"/>
      <c r="B1161" s="655"/>
      <c r="C1161"/>
      <c r="D1161" s="655"/>
      <c r="E1161" s="655"/>
      <c r="F1161" s="655" t="str">
        <f>LEFT(AllDaqbookOffsets[[#This Row],[traceability_no]],2)</f>
        <v>K6</v>
      </c>
      <c r="N1161" s="456"/>
      <c r="O1161"/>
      <c r="Z1161" s="460"/>
      <c r="AA1161" s="194"/>
      <c r="AB1161"/>
      <c r="AG1161" s="69"/>
      <c r="AH1161"/>
    </row>
    <row r="1162" spans="1:34" x14ac:dyDescent="0.2">
      <c r="A1162" s="655"/>
      <c r="B1162" s="655"/>
      <c r="C1162"/>
      <c r="D1162" s="655"/>
      <c r="E1162" s="655"/>
      <c r="F1162" s="655" t="str">
        <f>LEFT(AllDaqbookOffsets[[#This Row],[traceability_no]],2)</f>
        <v>K6</v>
      </c>
      <c r="N1162" s="456"/>
      <c r="O1162"/>
      <c r="Z1162" s="460"/>
      <c r="AA1162" s="194"/>
      <c r="AB1162"/>
      <c r="AG1162" s="69"/>
      <c r="AH1162"/>
    </row>
    <row r="1163" spans="1:34" x14ac:dyDescent="0.2">
      <c r="A1163" s="655"/>
      <c r="B1163" s="655"/>
      <c r="C1163"/>
      <c r="D1163" s="655"/>
      <c r="E1163" s="655"/>
      <c r="F1163" s="655" t="str">
        <f>LEFT(AllDaqbookOffsets[[#This Row],[traceability_no]],2)</f>
        <v>K6</v>
      </c>
      <c r="N1163" s="456"/>
      <c r="O1163"/>
      <c r="Z1163" s="460"/>
      <c r="AA1163" s="194"/>
      <c r="AB1163"/>
      <c r="AG1163" s="69"/>
      <c r="AH1163"/>
    </row>
    <row r="1164" spans="1:34" x14ac:dyDescent="0.2">
      <c r="A1164" s="655"/>
      <c r="B1164" s="655"/>
      <c r="C1164"/>
      <c r="D1164" s="655"/>
      <c r="E1164" s="655"/>
      <c r="F1164" s="655" t="str">
        <f>LEFT(AllDaqbookOffsets[[#This Row],[traceability_no]],2)</f>
        <v>K6</v>
      </c>
      <c r="N1164" s="456"/>
      <c r="O1164"/>
      <c r="Z1164" s="460"/>
      <c r="AA1164" s="194"/>
      <c r="AB1164"/>
      <c r="AG1164" s="69"/>
      <c r="AH1164"/>
    </row>
    <row r="1165" spans="1:34" x14ac:dyDescent="0.2">
      <c r="A1165" s="655"/>
      <c r="B1165" s="655"/>
      <c r="C1165"/>
      <c r="D1165" s="655"/>
      <c r="E1165" s="655"/>
      <c r="F1165" s="655" t="str">
        <f>LEFT(AllDaqbookOffsets[[#This Row],[traceability_no]],2)</f>
        <v>K6</v>
      </c>
      <c r="N1165" s="456"/>
      <c r="O1165"/>
      <c r="Z1165" s="460"/>
      <c r="AA1165" s="194"/>
      <c r="AB1165"/>
      <c r="AG1165" s="69"/>
      <c r="AH1165"/>
    </row>
    <row r="1166" spans="1:34" x14ac:dyDescent="0.2">
      <c r="A1166" s="655"/>
      <c r="B1166" s="655"/>
      <c r="C1166"/>
      <c r="D1166" s="655"/>
      <c r="E1166" s="655"/>
      <c r="F1166" s="655" t="str">
        <f>LEFT(AllDaqbookOffsets[[#This Row],[traceability_no]],2)</f>
        <v>K6</v>
      </c>
      <c r="N1166" s="456"/>
      <c r="O1166"/>
      <c r="Z1166" s="460"/>
      <c r="AA1166" s="194"/>
      <c r="AB1166"/>
      <c r="AG1166" s="69"/>
      <c r="AH1166"/>
    </row>
    <row r="1167" spans="1:34" x14ac:dyDescent="0.2">
      <c r="A1167" s="655"/>
      <c r="B1167" s="655"/>
      <c r="C1167"/>
      <c r="D1167" s="655"/>
      <c r="E1167" s="655"/>
      <c r="F1167" s="655" t="str">
        <f>LEFT(AllDaqbookOffsets[[#This Row],[traceability_no]],2)</f>
        <v>K6</v>
      </c>
      <c r="N1167" s="456"/>
      <c r="O1167"/>
      <c r="Z1167" s="460"/>
      <c r="AA1167" s="194"/>
      <c r="AB1167"/>
      <c r="AG1167" s="69"/>
      <c r="AH1167"/>
    </row>
    <row r="1168" spans="1:34" x14ac:dyDescent="0.2">
      <c r="A1168" s="655"/>
      <c r="B1168" s="655"/>
      <c r="C1168"/>
      <c r="D1168" s="655"/>
      <c r="E1168" s="655"/>
      <c r="F1168" s="655" t="str">
        <f>LEFT(AllDaqbookOffsets[[#This Row],[traceability_no]],2)</f>
        <v>K6</v>
      </c>
      <c r="N1168" s="456"/>
      <c r="O1168"/>
      <c r="Z1168" s="460"/>
      <c r="AA1168" s="194"/>
      <c r="AB1168"/>
      <c r="AG1168" s="69"/>
      <c r="AH1168"/>
    </row>
    <row r="1169" spans="1:34" x14ac:dyDescent="0.2">
      <c r="A1169" s="655"/>
      <c r="B1169" s="655"/>
      <c r="C1169"/>
      <c r="D1169" s="655"/>
      <c r="E1169" s="655"/>
      <c r="F1169" s="655" t="str">
        <f>LEFT(AllDaqbookOffsets[[#This Row],[traceability_no]],2)</f>
        <v>K6</v>
      </c>
      <c r="N1169" s="456"/>
      <c r="O1169"/>
      <c r="Z1169" s="460"/>
      <c r="AA1169" s="194"/>
      <c r="AB1169"/>
      <c r="AG1169" s="69"/>
      <c r="AH1169"/>
    </row>
    <row r="1170" spans="1:34" x14ac:dyDescent="0.2">
      <c r="A1170" s="655"/>
      <c r="B1170" s="655"/>
      <c r="C1170"/>
      <c r="D1170" s="655"/>
      <c r="E1170" s="655"/>
      <c r="F1170" s="655" t="str">
        <f>LEFT(AllDaqbookOffsets[[#This Row],[traceability_no]],2)</f>
        <v>K6</v>
      </c>
      <c r="N1170" s="456"/>
      <c r="O1170"/>
      <c r="Z1170" s="460"/>
      <c r="AA1170" s="194"/>
      <c r="AB1170"/>
      <c r="AG1170" s="69"/>
      <c r="AH1170"/>
    </row>
    <row r="1171" spans="1:34" x14ac:dyDescent="0.2">
      <c r="A1171" s="655"/>
      <c r="B1171" s="655"/>
      <c r="C1171"/>
      <c r="D1171" s="655"/>
      <c r="E1171" s="655"/>
      <c r="F1171" s="655" t="str">
        <f>LEFT(AllDaqbookOffsets[[#This Row],[traceability_no]],2)</f>
        <v>K6</v>
      </c>
      <c r="N1171" s="456"/>
      <c r="O1171"/>
      <c r="Z1171" s="460"/>
      <c r="AA1171" s="194"/>
      <c r="AB1171"/>
      <c r="AG1171" s="69"/>
      <c r="AH1171"/>
    </row>
    <row r="1172" spans="1:34" x14ac:dyDescent="0.2">
      <c r="A1172" s="655"/>
      <c r="B1172" s="655"/>
      <c r="C1172"/>
      <c r="D1172" s="655"/>
      <c r="E1172" s="655"/>
      <c r="F1172" s="655" t="str">
        <f>LEFT(AllDaqbookOffsets[[#This Row],[traceability_no]],2)</f>
        <v>K6</v>
      </c>
      <c r="N1172" s="456"/>
      <c r="O1172"/>
      <c r="Z1172" s="460"/>
      <c r="AA1172" s="194"/>
      <c r="AB1172"/>
      <c r="AG1172" s="69"/>
      <c r="AH1172"/>
    </row>
    <row r="1173" spans="1:34" x14ac:dyDescent="0.2">
      <c r="A1173" s="655"/>
      <c r="B1173" s="655"/>
      <c r="C1173"/>
      <c r="D1173" s="655"/>
      <c r="E1173" s="655"/>
      <c r="F1173" s="655" t="str">
        <f>LEFT(AllDaqbookOffsets[[#This Row],[traceability_no]],2)</f>
        <v>K6</v>
      </c>
      <c r="N1173" s="456"/>
      <c r="O1173"/>
      <c r="Z1173" s="460"/>
      <c r="AA1173" s="194"/>
      <c r="AB1173"/>
      <c r="AG1173" s="69"/>
      <c r="AH1173"/>
    </row>
    <row r="1174" spans="1:34" x14ac:dyDescent="0.2">
      <c r="A1174" s="655"/>
      <c r="B1174" s="655"/>
      <c r="C1174"/>
      <c r="D1174" s="655"/>
      <c r="E1174" s="655"/>
      <c r="F1174" s="655" t="str">
        <f>LEFT(AllDaqbookOffsets[[#This Row],[traceability_no]],2)</f>
        <v>K6</v>
      </c>
      <c r="N1174" s="456"/>
      <c r="O1174"/>
      <c r="Z1174" s="460"/>
      <c r="AA1174" s="194"/>
      <c r="AB1174"/>
      <c r="AG1174" s="69"/>
      <c r="AH1174"/>
    </row>
    <row r="1175" spans="1:34" x14ac:dyDescent="0.2">
      <c r="A1175" s="655"/>
      <c r="B1175" s="655"/>
      <c r="C1175"/>
      <c r="D1175" s="655"/>
      <c r="E1175" s="655"/>
      <c r="F1175" s="655" t="str">
        <f>LEFT(AllDaqbookOffsets[[#This Row],[traceability_no]],2)</f>
        <v>K6</v>
      </c>
      <c r="N1175" s="456"/>
      <c r="O1175"/>
      <c r="Z1175" s="460"/>
      <c r="AA1175" s="194"/>
      <c r="AB1175"/>
      <c r="AG1175" s="69"/>
      <c r="AH1175"/>
    </row>
    <row r="1176" spans="1:34" x14ac:dyDescent="0.2">
      <c r="A1176" s="655"/>
      <c r="B1176" s="655"/>
      <c r="C1176"/>
      <c r="D1176" s="655"/>
      <c r="E1176" s="655"/>
      <c r="F1176" s="655" t="str">
        <f>LEFT(AllDaqbookOffsets[[#This Row],[traceability_no]],2)</f>
        <v>K6</v>
      </c>
      <c r="N1176" s="456"/>
      <c r="O1176"/>
      <c r="Z1176" s="460"/>
      <c r="AA1176" s="194"/>
      <c r="AB1176"/>
      <c r="AG1176" s="69"/>
      <c r="AH1176"/>
    </row>
    <row r="1177" spans="1:34" x14ac:dyDescent="0.2">
      <c r="A1177" s="655"/>
      <c r="B1177" s="655"/>
      <c r="C1177"/>
      <c r="D1177" s="655"/>
      <c r="E1177" s="655"/>
      <c r="F1177" s="655" t="str">
        <f>LEFT(AllDaqbookOffsets[[#This Row],[traceability_no]],2)</f>
        <v>K6</v>
      </c>
      <c r="N1177" s="456"/>
      <c r="O1177"/>
      <c r="Z1177" s="460"/>
      <c r="AA1177" s="194"/>
      <c r="AB1177"/>
      <c r="AG1177" s="69"/>
      <c r="AH1177"/>
    </row>
    <row r="1178" spans="1:34" x14ac:dyDescent="0.2">
      <c r="A1178" s="655"/>
      <c r="B1178" s="655"/>
      <c r="C1178"/>
      <c r="D1178" s="655"/>
      <c r="E1178" s="655"/>
      <c r="F1178" s="655" t="str">
        <f>LEFT(AllDaqbookOffsets[[#This Row],[traceability_no]],2)</f>
        <v>K6</v>
      </c>
      <c r="N1178" s="456"/>
      <c r="O1178"/>
      <c r="Z1178" s="460"/>
      <c r="AA1178" s="194"/>
      <c r="AB1178"/>
      <c r="AG1178" s="69"/>
      <c r="AH1178"/>
    </row>
    <row r="1179" spans="1:34" x14ac:dyDescent="0.2">
      <c r="A1179" s="655"/>
      <c r="B1179" s="655"/>
      <c r="C1179"/>
      <c r="D1179" s="655"/>
      <c r="E1179" s="655"/>
      <c r="F1179" s="655" t="str">
        <f>LEFT(AllDaqbookOffsets[[#This Row],[traceability_no]],2)</f>
        <v>K6</v>
      </c>
      <c r="N1179" s="456"/>
      <c r="O1179"/>
      <c r="Z1179" s="460"/>
      <c r="AA1179" s="194"/>
      <c r="AB1179"/>
      <c r="AG1179" s="69"/>
      <c r="AH1179"/>
    </row>
    <row r="1180" spans="1:34" x14ac:dyDescent="0.2">
      <c r="A1180" s="655"/>
      <c r="B1180" s="655"/>
      <c r="C1180"/>
      <c r="D1180" s="655"/>
      <c r="E1180" s="655"/>
      <c r="F1180" s="655" t="str">
        <f>LEFT(AllDaqbookOffsets[[#This Row],[traceability_no]],2)</f>
        <v>K6</v>
      </c>
      <c r="N1180" s="456"/>
      <c r="O1180"/>
      <c r="Z1180" s="460"/>
      <c r="AA1180" s="194"/>
      <c r="AB1180"/>
      <c r="AG1180" s="69"/>
      <c r="AH1180"/>
    </row>
    <row r="1181" spans="1:34" x14ac:dyDescent="0.2">
      <c r="A1181" s="655"/>
      <c r="B1181" s="655"/>
      <c r="C1181"/>
      <c r="D1181" s="655"/>
      <c r="E1181" s="655"/>
      <c r="F1181" s="655" t="str">
        <f>LEFT(AllDaqbookOffsets[[#This Row],[traceability_no]],2)</f>
        <v>K6</v>
      </c>
      <c r="N1181" s="456"/>
      <c r="O1181"/>
      <c r="Z1181" s="460"/>
      <c r="AA1181" s="194"/>
      <c r="AB1181"/>
      <c r="AG1181" s="69"/>
      <c r="AH1181"/>
    </row>
    <row r="1182" spans="1:34" x14ac:dyDescent="0.2">
      <c r="A1182" s="655"/>
      <c r="B1182" s="655"/>
      <c r="C1182"/>
      <c r="D1182" s="655"/>
      <c r="E1182" s="655"/>
      <c r="F1182" s="655" t="str">
        <f>LEFT(AllDaqbookOffsets[[#This Row],[traceability_no]],2)</f>
        <v>K6</v>
      </c>
      <c r="N1182" s="456"/>
      <c r="O1182"/>
      <c r="Z1182" s="460"/>
      <c r="AA1182" s="194"/>
      <c r="AB1182"/>
      <c r="AG1182" s="69"/>
      <c r="AH1182"/>
    </row>
    <row r="1183" spans="1:34" x14ac:dyDescent="0.2">
      <c r="A1183" s="655"/>
      <c r="B1183" s="655"/>
      <c r="C1183"/>
      <c r="D1183" s="655"/>
      <c r="E1183" s="655"/>
      <c r="F1183" s="655" t="str">
        <f>LEFT(AllDaqbookOffsets[[#This Row],[traceability_no]],2)</f>
        <v>K6</v>
      </c>
      <c r="N1183" s="456"/>
      <c r="O1183"/>
      <c r="Z1183" s="460"/>
      <c r="AA1183" s="194"/>
      <c r="AB1183"/>
      <c r="AG1183" s="69"/>
      <c r="AH1183"/>
    </row>
    <row r="1184" spans="1:34" x14ac:dyDescent="0.2">
      <c r="A1184" s="655"/>
      <c r="B1184" s="655"/>
      <c r="C1184"/>
      <c r="D1184" s="655"/>
      <c r="E1184" s="655"/>
      <c r="F1184" s="655" t="str">
        <f>LEFT(AllDaqbookOffsets[[#This Row],[traceability_no]],2)</f>
        <v>K6</v>
      </c>
      <c r="N1184" s="456"/>
      <c r="O1184"/>
      <c r="Z1184" s="460"/>
      <c r="AA1184" s="194"/>
      <c r="AB1184"/>
      <c r="AG1184" s="69"/>
      <c r="AH1184"/>
    </row>
    <row r="1185" spans="1:34" x14ac:dyDescent="0.2">
      <c r="A1185" s="655"/>
      <c r="B1185" s="655"/>
      <c r="C1185"/>
      <c r="D1185" s="655"/>
      <c r="E1185" s="655"/>
      <c r="F1185" s="655" t="str">
        <f>LEFT(AllDaqbookOffsets[[#This Row],[traceability_no]],2)</f>
        <v>K6</v>
      </c>
      <c r="N1185" s="456"/>
      <c r="O1185"/>
      <c r="Z1185" s="460"/>
      <c r="AA1185" s="194"/>
      <c r="AB1185"/>
      <c r="AG1185" s="69"/>
      <c r="AH1185"/>
    </row>
    <row r="1186" spans="1:34" x14ac:dyDescent="0.2">
      <c r="A1186" s="655"/>
      <c r="B1186" s="655"/>
      <c r="C1186"/>
      <c r="D1186" s="655"/>
      <c r="E1186" s="655"/>
      <c r="F1186" s="655" t="str">
        <f>LEFT(AllDaqbookOffsets[[#This Row],[traceability_no]],2)</f>
        <v>K6</v>
      </c>
      <c r="N1186" s="456"/>
      <c r="O1186"/>
      <c r="Z1186" s="460"/>
      <c r="AA1186" s="194"/>
      <c r="AB1186"/>
      <c r="AG1186" s="69"/>
      <c r="AH1186"/>
    </row>
    <row r="1187" spans="1:34" x14ac:dyDescent="0.2">
      <c r="A1187" s="655"/>
      <c r="B1187" s="655"/>
      <c r="C1187"/>
      <c r="D1187" s="655"/>
      <c r="E1187" s="655"/>
      <c r="F1187" s="655" t="str">
        <f>LEFT(AllDaqbookOffsets[[#This Row],[traceability_no]],2)</f>
        <v>K6</v>
      </c>
      <c r="N1187" s="456"/>
      <c r="O1187"/>
      <c r="Z1187" s="460"/>
      <c r="AA1187" s="194"/>
      <c r="AB1187"/>
      <c r="AG1187" s="69"/>
      <c r="AH1187"/>
    </row>
    <row r="1188" spans="1:34" x14ac:dyDescent="0.2">
      <c r="A1188" s="655"/>
      <c r="B1188" s="655"/>
      <c r="C1188"/>
      <c r="D1188" s="655"/>
      <c r="E1188" s="655"/>
      <c r="F1188" s="655" t="str">
        <f>LEFT(AllDaqbookOffsets[[#This Row],[traceability_no]],2)</f>
        <v>K6</v>
      </c>
      <c r="N1188" s="456"/>
      <c r="O1188"/>
      <c r="Z1188" s="460"/>
      <c r="AA1188" s="194"/>
      <c r="AB1188"/>
      <c r="AG1188" s="69"/>
      <c r="AH1188"/>
    </row>
    <row r="1189" spans="1:34" x14ac:dyDescent="0.2">
      <c r="A1189" s="655"/>
      <c r="B1189" s="655"/>
      <c r="C1189"/>
      <c r="D1189" s="655"/>
      <c r="E1189" s="655"/>
      <c r="F1189" s="655" t="str">
        <f>LEFT(AllDaqbookOffsets[[#This Row],[traceability_no]],2)</f>
        <v>K6</v>
      </c>
      <c r="N1189" s="456"/>
      <c r="O1189"/>
      <c r="Z1189" s="460"/>
      <c r="AA1189" s="194"/>
      <c r="AB1189"/>
      <c r="AG1189" s="69"/>
      <c r="AH1189"/>
    </row>
    <row r="1190" spans="1:34" x14ac:dyDescent="0.2">
      <c r="A1190" s="655"/>
      <c r="B1190" s="655"/>
      <c r="C1190"/>
      <c r="D1190" s="655"/>
      <c r="E1190" s="655"/>
      <c r="F1190" s="655" t="str">
        <f>LEFT(AllDaqbookOffsets[[#This Row],[traceability_no]],2)</f>
        <v>K6</v>
      </c>
      <c r="N1190" s="456"/>
      <c r="O1190"/>
      <c r="Z1190" s="460"/>
      <c r="AA1190" s="194"/>
      <c r="AB1190"/>
      <c r="AG1190" s="69"/>
      <c r="AH1190"/>
    </row>
    <row r="1191" spans="1:34" x14ac:dyDescent="0.2">
      <c r="A1191" s="655"/>
      <c r="B1191" s="655"/>
      <c r="C1191"/>
      <c r="D1191" s="655"/>
      <c r="E1191" s="655"/>
      <c r="F1191" s="655" t="str">
        <f>LEFT(AllDaqbookOffsets[[#This Row],[traceability_no]],2)</f>
        <v>K6</v>
      </c>
      <c r="N1191" s="456"/>
      <c r="O1191"/>
      <c r="Z1191" s="460"/>
      <c r="AA1191" s="194"/>
      <c r="AB1191"/>
      <c r="AG1191" s="69"/>
      <c r="AH1191"/>
    </row>
    <row r="1192" spans="1:34" x14ac:dyDescent="0.2">
      <c r="A1192" s="655"/>
      <c r="B1192" s="655"/>
      <c r="C1192"/>
      <c r="D1192" s="655"/>
      <c r="E1192" s="655"/>
      <c r="F1192" s="655" t="str">
        <f>LEFT(AllDaqbookOffsets[[#This Row],[traceability_no]],2)</f>
        <v>K6</v>
      </c>
      <c r="N1192" s="456"/>
      <c r="O1192"/>
      <c r="Z1192" s="460"/>
      <c r="AA1192" s="194"/>
      <c r="AB1192"/>
      <c r="AG1192" s="69"/>
      <c r="AH1192"/>
    </row>
    <row r="1193" spans="1:34" x14ac:dyDescent="0.2">
      <c r="A1193" s="655"/>
      <c r="B1193" s="655"/>
      <c r="C1193"/>
      <c r="D1193" s="655"/>
      <c r="E1193" s="655"/>
      <c r="F1193" s="655" t="str">
        <f>LEFT(AllDaqbookOffsets[[#This Row],[traceability_no]],2)</f>
        <v>K6</v>
      </c>
      <c r="N1193" s="456"/>
      <c r="O1193"/>
      <c r="Z1193" s="460"/>
      <c r="AA1193" s="194"/>
      <c r="AB1193"/>
      <c r="AG1193" s="69"/>
      <c r="AH1193"/>
    </row>
    <row r="1194" spans="1:34" x14ac:dyDescent="0.2">
      <c r="A1194" s="655"/>
      <c r="B1194" s="655"/>
      <c r="C1194"/>
      <c r="D1194" s="655"/>
      <c r="E1194" s="655"/>
      <c r="F1194" s="655" t="str">
        <f>LEFT(AllDaqbookOffsets[[#This Row],[traceability_no]],2)</f>
        <v>K6</v>
      </c>
      <c r="N1194" s="456"/>
      <c r="O1194"/>
      <c r="Z1194" s="460"/>
      <c r="AA1194" s="194"/>
      <c r="AB1194"/>
      <c r="AG1194" s="69"/>
      <c r="AH1194"/>
    </row>
    <row r="1195" spans="1:34" x14ac:dyDescent="0.2">
      <c r="A1195" s="655"/>
      <c r="B1195" s="655"/>
      <c r="C1195"/>
      <c r="D1195" s="655"/>
      <c r="E1195" s="655"/>
      <c r="F1195" s="655" t="str">
        <f>LEFT(AllDaqbookOffsets[[#This Row],[traceability_no]],2)</f>
        <v>K6</v>
      </c>
      <c r="N1195" s="456"/>
      <c r="O1195"/>
      <c r="Z1195" s="460"/>
      <c r="AA1195" s="194"/>
      <c r="AB1195"/>
      <c r="AG1195" s="69"/>
      <c r="AH1195"/>
    </row>
    <row r="1196" spans="1:34" x14ac:dyDescent="0.2">
      <c r="A1196" s="655"/>
      <c r="B1196" s="655"/>
      <c r="C1196"/>
      <c r="D1196" s="655"/>
      <c r="E1196" s="655"/>
      <c r="F1196" s="655" t="str">
        <f>LEFT(AllDaqbookOffsets[[#This Row],[traceability_no]],2)</f>
        <v>K6</v>
      </c>
      <c r="N1196" s="456"/>
      <c r="O1196"/>
      <c r="Z1196" s="460"/>
      <c r="AA1196" s="194"/>
      <c r="AB1196"/>
      <c r="AG1196" s="69"/>
      <c r="AH1196"/>
    </row>
    <row r="1197" spans="1:34" x14ac:dyDescent="0.2">
      <c r="A1197" s="655"/>
      <c r="B1197" s="655"/>
      <c r="C1197"/>
      <c r="D1197" s="655"/>
      <c r="E1197" s="655"/>
      <c r="F1197" s="655" t="str">
        <f>LEFT(AllDaqbookOffsets[[#This Row],[traceability_no]],2)</f>
        <v>K6</v>
      </c>
      <c r="N1197" s="456"/>
      <c r="O1197"/>
      <c r="Z1197" s="460"/>
      <c r="AA1197" s="194"/>
      <c r="AB1197"/>
      <c r="AG1197" s="69"/>
      <c r="AH1197"/>
    </row>
    <row r="1198" spans="1:34" x14ac:dyDescent="0.2">
      <c r="A1198" s="655"/>
      <c r="B1198" s="655"/>
      <c r="C1198"/>
      <c r="D1198" s="655"/>
      <c r="E1198" s="655"/>
      <c r="F1198" s="655" t="str">
        <f>LEFT(AllDaqbookOffsets[[#This Row],[traceability_no]],2)</f>
        <v>K6</v>
      </c>
      <c r="N1198" s="456"/>
      <c r="O1198"/>
      <c r="Z1198" s="460"/>
      <c r="AA1198" s="194"/>
      <c r="AB1198"/>
      <c r="AG1198" s="69"/>
      <c r="AH1198"/>
    </row>
    <row r="1199" spans="1:34" x14ac:dyDescent="0.2">
      <c r="A1199" s="655"/>
      <c r="B1199" s="655"/>
      <c r="C1199"/>
      <c r="D1199" s="655"/>
      <c r="E1199" s="655"/>
      <c r="F1199" s="655" t="str">
        <f>LEFT(AllDaqbookOffsets[[#This Row],[traceability_no]],2)</f>
        <v>K6</v>
      </c>
      <c r="N1199" s="456"/>
      <c r="O1199"/>
      <c r="Z1199" s="460"/>
      <c r="AA1199" s="194"/>
      <c r="AB1199"/>
      <c r="AG1199" s="69"/>
      <c r="AH1199"/>
    </row>
    <row r="1200" spans="1:34" x14ac:dyDescent="0.2">
      <c r="A1200" s="655"/>
      <c r="B1200" s="655"/>
      <c r="C1200"/>
      <c r="D1200" s="655"/>
      <c r="E1200" s="655"/>
      <c r="F1200" s="655" t="str">
        <f>LEFT(AllDaqbookOffsets[[#This Row],[traceability_no]],2)</f>
        <v>K6</v>
      </c>
      <c r="N1200" s="456"/>
      <c r="O1200"/>
      <c r="Z1200" s="460"/>
      <c r="AA1200" s="194"/>
      <c r="AB1200"/>
      <c r="AG1200" s="69"/>
      <c r="AH1200"/>
    </row>
    <row r="1201" spans="1:34" x14ac:dyDescent="0.2">
      <c r="A1201" s="655"/>
      <c r="B1201" s="655"/>
      <c r="C1201"/>
      <c r="D1201" s="655"/>
      <c r="E1201" s="655"/>
      <c r="F1201" s="655" t="str">
        <f>LEFT(AllDaqbookOffsets[[#This Row],[traceability_no]],2)</f>
        <v>K6</v>
      </c>
      <c r="N1201" s="456"/>
      <c r="O1201"/>
      <c r="Z1201" s="460"/>
      <c r="AA1201" s="194"/>
      <c r="AB1201"/>
      <c r="AG1201" s="69"/>
      <c r="AH1201"/>
    </row>
    <row r="1202" spans="1:34" x14ac:dyDescent="0.2">
      <c r="A1202" s="655"/>
      <c r="B1202" s="655"/>
      <c r="C1202"/>
      <c r="D1202" s="655"/>
      <c r="E1202" s="655"/>
      <c r="F1202" s="655" t="str">
        <f>LEFT(AllDaqbookOffsets[[#This Row],[traceability_no]],2)</f>
        <v>K6</v>
      </c>
      <c r="N1202" s="456"/>
      <c r="O1202"/>
      <c r="Z1202" s="460"/>
      <c r="AA1202" s="194"/>
      <c r="AB1202"/>
      <c r="AG1202" s="69"/>
      <c r="AH1202"/>
    </row>
    <row r="1203" spans="1:34" x14ac:dyDescent="0.2">
      <c r="A1203" s="655"/>
      <c r="B1203" s="655"/>
      <c r="C1203"/>
      <c r="D1203" s="655"/>
      <c r="E1203" s="655"/>
      <c r="F1203" s="655" t="str">
        <f>LEFT(AllDaqbookOffsets[[#This Row],[traceability_no]],2)</f>
        <v>K6</v>
      </c>
      <c r="N1203" s="456"/>
      <c r="O1203"/>
      <c r="Z1203" s="460"/>
      <c r="AA1203" s="194"/>
      <c r="AB1203"/>
      <c r="AG1203" s="69"/>
      <c r="AH1203"/>
    </row>
    <row r="1204" spans="1:34" x14ac:dyDescent="0.2">
      <c r="A1204" s="655"/>
      <c r="B1204" s="655"/>
      <c r="C1204"/>
      <c r="D1204" s="655"/>
      <c r="E1204" s="655"/>
      <c r="F1204" s="655" t="str">
        <f>LEFT(AllDaqbookOffsets[[#This Row],[traceability_no]],2)</f>
        <v>K6</v>
      </c>
      <c r="N1204" s="456"/>
      <c r="O1204"/>
      <c r="Z1204" s="460"/>
      <c r="AA1204" s="194"/>
      <c r="AB1204"/>
      <c r="AG1204" s="69"/>
      <c r="AH1204"/>
    </row>
    <row r="1205" spans="1:34" x14ac:dyDescent="0.2">
      <c r="A1205" s="655"/>
      <c r="B1205" s="655"/>
      <c r="C1205"/>
      <c r="D1205" s="655"/>
      <c r="E1205" s="655"/>
      <c r="F1205" s="655" t="str">
        <f>LEFT(AllDaqbookOffsets[[#This Row],[traceability_no]],2)</f>
        <v>K6</v>
      </c>
      <c r="N1205" s="456"/>
      <c r="O1205"/>
      <c r="Z1205" s="460"/>
      <c r="AA1205" s="194"/>
      <c r="AB1205"/>
      <c r="AG1205" s="69"/>
      <c r="AH1205"/>
    </row>
    <row r="1206" spans="1:34" x14ac:dyDescent="0.2">
      <c r="A1206" s="655"/>
      <c r="B1206" s="655"/>
      <c r="C1206"/>
      <c r="D1206" s="655"/>
      <c r="E1206" s="655"/>
      <c r="F1206" s="655" t="str">
        <f>LEFT(AllDaqbookOffsets[[#This Row],[traceability_no]],2)</f>
        <v>K6</v>
      </c>
      <c r="N1206" s="456"/>
      <c r="O1206"/>
      <c r="Z1206" s="460"/>
      <c r="AA1206" s="194"/>
      <c r="AB1206"/>
      <c r="AG1206" s="69"/>
      <c r="AH1206"/>
    </row>
    <row r="1207" spans="1:34" x14ac:dyDescent="0.2">
      <c r="A1207" s="655"/>
      <c r="B1207" s="655"/>
      <c r="C1207"/>
      <c r="D1207" s="655"/>
      <c r="E1207" s="655"/>
      <c r="F1207" s="655" t="str">
        <f>LEFT(AllDaqbookOffsets[[#This Row],[traceability_no]],2)</f>
        <v>K6</v>
      </c>
      <c r="N1207" s="456"/>
      <c r="O1207"/>
      <c r="Z1207" s="460"/>
      <c r="AA1207" s="194"/>
      <c r="AB1207"/>
      <c r="AG1207" s="69"/>
      <c r="AH1207"/>
    </row>
    <row r="1208" spans="1:34" x14ac:dyDescent="0.2">
      <c r="A1208" s="655"/>
      <c r="B1208" s="655"/>
      <c r="C1208"/>
      <c r="D1208" s="655"/>
      <c r="E1208" s="655"/>
      <c r="F1208" s="655" t="str">
        <f>LEFT(AllDaqbookOffsets[[#This Row],[traceability_no]],2)</f>
        <v>K6</v>
      </c>
      <c r="N1208" s="456"/>
      <c r="O1208"/>
      <c r="Z1208" s="460"/>
      <c r="AA1208" s="194"/>
      <c r="AB1208"/>
      <c r="AG1208" s="69"/>
      <c r="AH1208"/>
    </row>
    <row r="1209" spans="1:34" x14ac:dyDescent="0.2">
      <c r="A1209" s="655"/>
      <c r="B1209" s="655"/>
      <c r="C1209"/>
      <c r="D1209" s="655"/>
      <c r="E1209" s="655"/>
      <c r="F1209" s="655" t="str">
        <f>LEFT(AllDaqbookOffsets[[#This Row],[traceability_no]],2)</f>
        <v>K6</v>
      </c>
      <c r="N1209" s="456"/>
      <c r="O1209"/>
      <c r="Z1209" s="460"/>
      <c r="AA1209" s="194"/>
      <c r="AB1209"/>
      <c r="AG1209" s="69"/>
      <c r="AH1209"/>
    </row>
    <row r="1210" spans="1:34" x14ac:dyDescent="0.2">
      <c r="A1210" s="655"/>
      <c r="B1210" s="655"/>
      <c r="C1210"/>
      <c r="D1210" s="655"/>
      <c r="E1210" s="655"/>
      <c r="F1210" s="655" t="str">
        <f>LEFT(AllDaqbookOffsets[[#This Row],[traceability_no]],2)</f>
        <v>K6</v>
      </c>
      <c r="N1210" s="456"/>
      <c r="O1210"/>
      <c r="Z1210" s="460"/>
      <c r="AA1210" s="194"/>
      <c r="AB1210"/>
      <c r="AG1210" s="69"/>
      <c r="AH1210"/>
    </row>
    <row r="1211" spans="1:34" x14ac:dyDescent="0.2">
      <c r="A1211" s="655"/>
      <c r="B1211" s="655"/>
      <c r="C1211"/>
      <c r="D1211" s="655"/>
      <c r="E1211" s="655"/>
      <c r="F1211" s="655" t="str">
        <f>LEFT(AllDaqbookOffsets[[#This Row],[traceability_no]],2)</f>
        <v>K6</v>
      </c>
      <c r="N1211" s="456"/>
      <c r="O1211"/>
      <c r="Z1211" s="460"/>
      <c r="AA1211" s="194"/>
      <c r="AB1211"/>
      <c r="AG1211" s="69"/>
      <c r="AH1211"/>
    </row>
    <row r="1212" spans="1:34" x14ac:dyDescent="0.2">
      <c r="A1212" s="655"/>
      <c r="B1212" s="655"/>
      <c r="C1212"/>
      <c r="D1212" s="655"/>
      <c r="E1212" s="655"/>
      <c r="F1212" s="655" t="str">
        <f>LEFT(AllDaqbookOffsets[[#This Row],[traceability_no]],2)</f>
        <v>K6</v>
      </c>
      <c r="N1212" s="456"/>
      <c r="O1212"/>
      <c r="Z1212" s="460"/>
      <c r="AA1212" s="194"/>
      <c r="AB1212"/>
      <c r="AG1212" s="69"/>
      <c r="AH1212"/>
    </row>
    <row r="1213" spans="1:34" x14ac:dyDescent="0.2">
      <c r="A1213" s="655"/>
      <c r="B1213" s="655"/>
      <c r="C1213"/>
      <c r="D1213" s="655"/>
      <c r="E1213" s="655"/>
      <c r="F1213" s="655" t="str">
        <f>LEFT(AllDaqbookOffsets[[#This Row],[traceability_no]],2)</f>
        <v>K6</v>
      </c>
      <c r="N1213" s="456"/>
      <c r="O1213"/>
      <c r="Z1213" s="460"/>
      <c r="AA1213" s="194"/>
      <c r="AB1213"/>
      <c r="AG1213" s="69"/>
      <c r="AH1213"/>
    </row>
    <row r="1214" spans="1:34" x14ac:dyDescent="0.2">
      <c r="A1214" s="655"/>
      <c r="B1214" s="655"/>
      <c r="C1214"/>
      <c r="D1214" s="655"/>
      <c r="E1214" s="655"/>
      <c r="F1214" s="655" t="str">
        <f>LEFT(AllDaqbookOffsets[[#This Row],[traceability_no]],2)</f>
        <v>K6</v>
      </c>
      <c r="N1214" s="456"/>
      <c r="O1214"/>
      <c r="Z1214" s="460"/>
      <c r="AA1214" s="194"/>
      <c r="AB1214"/>
      <c r="AG1214" s="69"/>
      <c r="AH1214"/>
    </row>
    <row r="1215" spans="1:34" x14ac:dyDescent="0.2">
      <c r="A1215" s="655"/>
      <c r="B1215" s="655"/>
      <c r="C1215"/>
      <c r="D1215" s="655"/>
      <c r="E1215" s="655"/>
      <c r="F1215" s="655" t="str">
        <f>LEFT(AllDaqbookOffsets[[#This Row],[traceability_no]],2)</f>
        <v>K6</v>
      </c>
      <c r="N1215" s="456"/>
      <c r="O1215"/>
      <c r="Z1215" s="460"/>
      <c r="AA1215" s="194"/>
      <c r="AB1215"/>
      <c r="AG1215" s="69"/>
      <c r="AH1215"/>
    </row>
    <row r="1216" spans="1:34" x14ac:dyDescent="0.2">
      <c r="A1216" s="655"/>
      <c r="B1216" s="655"/>
      <c r="C1216"/>
      <c r="D1216" s="655"/>
      <c r="E1216" s="655"/>
      <c r="F1216" s="655" t="str">
        <f>LEFT(AllDaqbookOffsets[[#This Row],[traceability_no]],2)</f>
        <v>K6</v>
      </c>
      <c r="N1216" s="456"/>
      <c r="O1216"/>
      <c r="Z1216" s="460"/>
      <c r="AA1216" s="194"/>
      <c r="AB1216"/>
      <c r="AG1216" s="69"/>
      <c r="AH1216"/>
    </row>
    <row r="1217" spans="1:34" x14ac:dyDescent="0.2">
      <c r="A1217" s="655"/>
      <c r="B1217" s="655"/>
      <c r="C1217"/>
      <c r="D1217" s="655"/>
      <c r="E1217" s="655"/>
      <c r="F1217" s="655" t="str">
        <f>LEFT(AllDaqbookOffsets[[#This Row],[traceability_no]],2)</f>
        <v>K6</v>
      </c>
      <c r="N1217" s="456"/>
      <c r="O1217"/>
      <c r="Z1217" s="460"/>
      <c r="AA1217" s="194"/>
      <c r="AB1217"/>
      <c r="AG1217" s="69"/>
      <c r="AH1217"/>
    </row>
    <row r="1218" spans="1:34" x14ac:dyDescent="0.2">
      <c r="A1218" s="655"/>
      <c r="B1218" s="655"/>
      <c r="C1218"/>
      <c r="D1218" s="655"/>
      <c r="E1218" s="655"/>
      <c r="F1218" s="655" t="str">
        <f>LEFT(AllDaqbookOffsets[[#This Row],[traceability_no]],2)</f>
        <v>K6</v>
      </c>
      <c r="N1218" s="456"/>
      <c r="O1218"/>
      <c r="Z1218" s="460"/>
      <c r="AA1218" s="194"/>
      <c r="AB1218"/>
      <c r="AG1218" s="69"/>
      <c r="AH1218"/>
    </row>
    <row r="1219" spans="1:34" x14ac:dyDescent="0.2">
      <c r="A1219" s="655"/>
      <c r="B1219" s="655"/>
      <c r="C1219"/>
      <c r="D1219" s="655"/>
      <c r="E1219" s="655"/>
      <c r="F1219" s="655" t="str">
        <f>LEFT(AllDaqbookOffsets[[#This Row],[traceability_no]],2)</f>
        <v>K6</v>
      </c>
      <c r="N1219" s="456"/>
      <c r="O1219"/>
      <c r="Z1219" s="460"/>
      <c r="AA1219" s="194"/>
      <c r="AB1219"/>
      <c r="AG1219" s="69"/>
      <c r="AH1219"/>
    </row>
    <row r="1220" spans="1:34" x14ac:dyDescent="0.2">
      <c r="A1220" s="655"/>
      <c r="B1220" s="655"/>
      <c r="C1220"/>
      <c r="D1220" s="655"/>
      <c r="E1220" s="655"/>
      <c r="F1220" s="655" t="str">
        <f>LEFT(AllDaqbookOffsets[[#This Row],[traceability_no]],2)</f>
        <v>K6</v>
      </c>
      <c r="N1220" s="456"/>
      <c r="O1220"/>
      <c r="Z1220" s="460"/>
      <c r="AA1220" s="194"/>
      <c r="AB1220"/>
      <c r="AG1220" s="69"/>
      <c r="AH1220"/>
    </row>
    <row r="1221" spans="1:34" x14ac:dyDescent="0.2">
      <c r="A1221" s="655"/>
      <c r="B1221" s="655"/>
      <c r="C1221"/>
      <c r="D1221" s="655"/>
      <c r="E1221" s="655"/>
      <c r="F1221" s="655" t="str">
        <f>LEFT(AllDaqbookOffsets[[#This Row],[traceability_no]],2)</f>
        <v>K6</v>
      </c>
      <c r="N1221" s="456"/>
      <c r="O1221"/>
      <c r="Z1221" s="460"/>
      <c r="AA1221" s="194"/>
      <c r="AB1221"/>
      <c r="AG1221" s="69"/>
      <c r="AH1221"/>
    </row>
    <row r="1222" spans="1:34" x14ac:dyDescent="0.2">
      <c r="A1222" s="655"/>
      <c r="B1222" s="655"/>
      <c r="C1222"/>
      <c r="D1222" s="655"/>
      <c r="E1222" s="655"/>
      <c r="F1222" s="655" t="str">
        <f>LEFT(AllDaqbookOffsets[[#This Row],[traceability_no]],2)</f>
        <v>K6</v>
      </c>
      <c r="N1222" s="456"/>
      <c r="O1222"/>
      <c r="Z1222" s="460"/>
      <c r="AA1222" s="194"/>
      <c r="AB1222"/>
      <c r="AG1222" s="69"/>
      <c r="AH1222"/>
    </row>
    <row r="1223" spans="1:34" x14ac:dyDescent="0.2">
      <c r="A1223" s="655"/>
      <c r="B1223" s="655"/>
      <c r="C1223"/>
      <c r="D1223" s="655"/>
      <c r="E1223" s="655"/>
      <c r="F1223" s="655" t="str">
        <f>LEFT(AllDaqbookOffsets[[#This Row],[traceability_no]],2)</f>
        <v>K6</v>
      </c>
      <c r="N1223" s="456"/>
      <c r="O1223"/>
      <c r="Z1223" s="460"/>
      <c r="AA1223" s="194"/>
      <c r="AB1223"/>
      <c r="AG1223" s="69"/>
      <c r="AH1223"/>
    </row>
    <row r="1224" spans="1:34" x14ac:dyDescent="0.2">
      <c r="A1224" s="655"/>
      <c r="B1224" s="655"/>
      <c r="C1224"/>
      <c r="D1224" s="655"/>
      <c r="E1224" s="655"/>
      <c r="F1224" s="655" t="str">
        <f>LEFT(AllDaqbookOffsets[[#This Row],[traceability_no]],2)</f>
        <v>K6</v>
      </c>
      <c r="N1224" s="456"/>
      <c r="O1224"/>
      <c r="Z1224" s="460"/>
      <c r="AA1224" s="194"/>
      <c r="AB1224"/>
      <c r="AG1224" s="69"/>
      <c r="AH1224"/>
    </row>
    <row r="1225" spans="1:34" x14ac:dyDescent="0.2">
      <c r="A1225" s="655"/>
      <c r="B1225" s="655"/>
      <c r="C1225"/>
      <c r="D1225" s="655"/>
      <c r="E1225" s="655"/>
      <c r="F1225" s="655" t="str">
        <f>LEFT(AllDaqbookOffsets[[#This Row],[traceability_no]],2)</f>
        <v>K6</v>
      </c>
      <c r="N1225" s="456"/>
      <c r="O1225"/>
      <c r="Z1225" s="460"/>
      <c r="AA1225" s="194"/>
      <c r="AB1225"/>
      <c r="AG1225" s="69"/>
      <c r="AH1225"/>
    </row>
    <row r="1226" spans="1:34" x14ac:dyDescent="0.2">
      <c r="A1226" s="655"/>
      <c r="B1226" s="655"/>
      <c r="C1226"/>
      <c r="D1226" s="655"/>
      <c r="E1226" s="655"/>
      <c r="F1226" s="655" t="str">
        <f>LEFT(AllDaqbookOffsets[[#This Row],[traceability_no]],2)</f>
        <v>K6</v>
      </c>
      <c r="N1226" s="456"/>
      <c r="O1226"/>
      <c r="Z1226" s="460"/>
      <c r="AA1226" s="194"/>
      <c r="AB1226"/>
      <c r="AG1226" s="69"/>
      <c r="AH1226"/>
    </row>
    <row r="1227" spans="1:34" x14ac:dyDescent="0.2">
      <c r="A1227" s="655"/>
      <c r="B1227" s="655"/>
      <c r="C1227"/>
      <c r="D1227" s="655"/>
      <c r="E1227" s="655"/>
      <c r="F1227" s="655" t="str">
        <f>LEFT(AllDaqbookOffsets[[#This Row],[traceability_no]],2)</f>
        <v>K6</v>
      </c>
      <c r="N1227" s="456"/>
      <c r="O1227"/>
      <c r="Z1227" s="460"/>
      <c r="AA1227" s="194"/>
      <c r="AB1227"/>
      <c r="AG1227" s="69"/>
      <c r="AH1227"/>
    </row>
    <row r="1228" spans="1:34" x14ac:dyDescent="0.2">
      <c r="A1228" s="655"/>
      <c r="B1228" s="655"/>
      <c r="C1228"/>
      <c r="D1228" s="655"/>
      <c r="E1228" s="655"/>
      <c r="F1228" s="655" t="str">
        <f>LEFT(AllDaqbookOffsets[[#This Row],[traceability_no]],2)</f>
        <v>K6</v>
      </c>
      <c r="N1228" s="456"/>
      <c r="O1228"/>
      <c r="Z1228" s="460"/>
      <c r="AA1228" s="194"/>
      <c r="AB1228"/>
      <c r="AG1228" s="69"/>
      <c r="AH1228"/>
    </row>
    <row r="1229" spans="1:34" x14ac:dyDescent="0.2">
      <c r="A1229" s="655"/>
      <c r="B1229" s="655"/>
      <c r="C1229"/>
      <c r="D1229" s="655"/>
      <c r="E1229" s="655"/>
      <c r="F1229" s="655" t="str">
        <f>LEFT(AllDaqbookOffsets[[#This Row],[traceability_no]],2)</f>
        <v>K6</v>
      </c>
      <c r="N1229" s="456"/>
      <c r="O1229"/>
      <c r="Z1229" s="460"/>
      <c r="AA1229" s="194"/>
      <c r="AB1229"/>
      <c r="AG1229" s="69"/>
      <c r="AH1229"/>
    </row>
    <row r="1230" spans="1:34" x14ac:dyDescent="0.2">
      <c r="A1230" s="655"/>
      <c r="B1230" s="655"/>
      <c r="C1230"/>
      <c r="D1230" s="655"/>
      <c r="E1230" s="655"/>
      <c r="F1230" s="655" t="str">
        <f>LEFT(AllDaqbookOffsets[[#This Row],[traceability_no]],2)</f>
        <v>K6</v>
      </c>
      <c r="N1230" s="456"/>
      <c r="O1230"/>
      <c r="Z1230" s="460"/>
      <c r="AA1230" s="194"/>
      <c r="AB1230"/>
      <c r="AG1230" s="69"/>
      <c r="AH1230"/>
    </row>
    <row r="1231" spans="1:34" x14ac:dyDescent="0.2">
      <c r="A1231" s="655"/>
      <c r="B1231" s="655"/>
      <c r="C1231"/>
      <c r="D1231" s="655"/>
      <c r="E1231" s="655"/>
      <c r="F1231" s="655" t="str">
        <f>LEFT(AllDaqbookOffsets[[#This Row],[traceability_no]],2)</f>
        <v>K6</v>
      </c>
      <c r="N1231" s="456"/>
      <c r="O1231"/>
      <c r="Z1231" s="460"/>
      <c r="AA1231" s="194"/>
      <c r="AB1231"/>
      <c r="AG1231" s="69"/>
      <c r="AH1231"/>
    </row>
    <row r="1232" spans="1:34" x14ac:dyDescent="0.2">
      <c r="A1232" s="655"/>
      <c r="B1232" s="655"/>
      <c r="C1232"/>
      <c r="D1232" s="655"/>
      <c r="E1232" s="655"/>
      <c r="F1232" s="655" t="str">
        <f>LEFT(AllDaqbookOffsets[[#This Row],[traceability_no]],2)</f>
        <v>K6</v>
      </c>
      <c r="N1232" s="456"/>
      <c r="O1232"/>
      <c r="Z1232" s="460"/>
      <c r="AA1232" s="194"/>
      <c r="AB1232"/>
      <c r="AG1232" s="69"/>
      <c r="AH1232"/>
    </row>
    <row r="1233" spans="1:34" x14ac:dyDescent="0.2">
      <c r="A1233" s="655"/>
      <c r="B1233" s="655"/>
      <c r="C1233"/>
      <c r="D1233" s="655"/>
      <c r="E1233" s="655"/>
      <c r="F1233" s="655" t="str">
        <f>LEFT(AllDaqbookOffsets[[#This Row],[traceability_no]],2)</f>
        <v>K6</v>
      </c>
      <c r="N1233" s="456"/>
      <c r="O1233"/>
      <c r="Z1233" s="460"/>
      <c r="AA1233" s="194"/>
      <c r="AB1233"/>
      <c r="AG1233" s="69"/>
      <c r="AH1233"/>
    </row>
    <row r="1234" spans="1:34" x14ac:dyDescent="0.2">
      <c r="A1234" s="655"/>
      <c r="B1234" s="655"/>
      <c r="C1234"/>
      <c r="D1234" s="655"/>
      <c r="E1234" s="655"/>
      <c r="F1234" s="655" t="str">
        <f>LEFT(AllDaqbookOffsets[[#This Row],[traceability_no]],2)</f>
        <v>K6</v>
      </c>
      <c r="N1234" s="456"/>
      <c r="O1234"/>
      <c r="Z1234" s="460"/>
      <c r="AA1234" s="194"/>
      <c r="AB1234"/>
      <c r="AG1234" s="69"/>
      <c r="AH1234"/>
    </row>
    <row r="1235" spans="1:34" x14ac:dyDescent="0.2">
      <c r="A1235" s="655"/>
      <c r="B1235" s="655"/>
      <c r="C1235"/>
      <c r="D1235" s="655"/>
      <c r="E1235" s="655"/>
      <c r="F1235" s="655" t="str">
        <f>LEFT(AllDaqbookOffsets[[#This Row],[traceability_no]],2)</f>
        <v>K6</v>
      </c>
      <c r="N1235" s="456"/>
      <c r="O1235"/>
      <c r="Z1235" s="460"/>
      <c r="AA1235" s="194"/>
      <c r="AB1235"/>
      <c r="AG1235" s="69"/>
      <c r="AH1235"/>
    </row>
    <row r="1236" spans="1:34" x14ac:dyDescent="0.2">
      <c r="A1236" s="655"/>
      <c r="B1236" s="655"/>
      <c r="C1236"/>
      <c r="D1236" s="655"/>
      <c r="E1236" s="655"/>
      <c r="F1236" s="655" t="str">
        <f>LEFT(AllDaqbookOffsets[[#This Row],[traceability_no]],2)</f>
        <v>K6</v>
      </c>
      <c r="N1236" s="456"/>
      <c r="O1236"/>
      <c r="Z1236" s="460"/>
      <c r="AA1236" s="194"/>
      <c r="AB1236"/>
      <c r="AG1236" s="69"/>
      <c r="AH1236"/>
    </row>
    <row r="1237" spans="1:34" x14ac:dyDescent="0.2">
      <c r="A1237" s="655"/>
      <c r="B1237" s="655"/>
      <c r="C1237"/>
      <c r="D1237" s="655"/>
      <c r="E1237" s="655"/>
      <c r="F1237" s="655" t="str">
        <f>LEFT(AllDaqbookOffsets[[#This Row],[traceability_no]],2)</f>
        <v>K6</v>
      </c>
      <c r="N1237" s="456"/>
      <c r="O1237"/>
      <c r="Z1237" s="460"/>
      <c r="AA1237" s="194"/>
      <c r="AB1237"/>
      <c r="AG1237" s="69"/>
      <c r="AH1237"/>
    </row>
    <row r="1238" spans="1:34" x14ac:dyDescent="0.2">
      <c r="A1238" s="655"/>
      <c r="B1238" s="655"/>
      <c r="C1238"/>
      <c r="D1238" s="655"/>
      <c r="E1238" s="655"/>
      <c r="F1238" s="655" t="str">
        <f>LEFT(AllDaqbookOffsets[[#This Row],[traceability_no]],2)</f>
        <v>K6</v>
      </c>
      <c r="N1238" s="456"/>
      <c r="O1238"/>
      <c r="Z1238" s="460"/>
      <c r="AA1238" s="194"/>
      <c r="AB1238"/>
      <c r="AG1238" s="69"/>
      <c r="AH1238"/>
    </row>
    <row r="1239" spans="1:34" x14ac:dyDescent="0.2">
      <c r="A1239" s="655"/>
      <c r="B1239" s="655"/>
      <c r="C1239"/>
      <c r="D1239" s="655"/>
      <c r="E1239" s="655"/>
      <c r="F1239" s="655" t="str">
        <f>LEFT(AllDaqbookOffsets[[#This Row],[traceability_no]],2)</f>
        <v>K6</v>
      </c>
      <c r="N1239" s="456"/>
      <c r="O1239"/>
      <c r="Z1239" s="460"/>
      <c r="AA1239" s="194"/>
      <c r="AB1239"/>
      <c r="AG1239" s="69"/>
      <c r="AH1239"/>
    </row>
    <row r="1240" spans="1:34" x14ac:dyDescent="0.2">
      <c r="A1240" s="655"/>
      <c r="B1240" s="655"/>
      <c r="C1240"/>
      <c r="D1240" s="655"/>
      <c r="E1240" s="655"/>
      <c r="F1240" s="655" t="str">
        <f>LEFT(AllDaqbookOffsets[[#This Row],[traceability_no]],2)</f>
        <v>K6</v>
      </c>
      <c r="N1240" s="456"/>
      <c r="O1240"/>
      <c r="Z1240" s="460"/>
      <c r="AA1240" s="194"/>
      <c r="AB1240"/>
      <c r="AG1240" s="69"/>
      <c r="AH1240"/>
    </row>
    <row r="1241" spans="1:34" x14ac:dyDescent="0.2">
      <c r="A1241" s="655"/>
      <c r="B1241" s="655"/>
      <c r="C1241"/>
      <c r="D1241" s="655"/>
      <c r="E1241" s="655"/>
      <c r="F1241" s="655" t="str">
        <f>LEFT(AllDaqbookOffsets[[#This Row],[traceability_no]],2)</f>
        <v>K6</v>
      </c>
      <c r="N1241" s="456"/>
      <c r="O1241"/>
      <c r="Z1241" s="460"/>
      <c r="AA1241" s="194"/>
      <c r="AB1241"/>
      <c r="AG1241" s="69"/>
      <c r="AH1241"/>
    </row>
    <row r="1242" spans="1:34" x14ac:dyDescent="0.2">
      <c r="A1242" s="655"/>
      <c r="B1242" s="655"/>
      <c r="C1242"/>
      <c r="D1242" s="655"/>
      <c r="E1242" s="655"/>
      <c r="F1242" s="655" t="str">
        <f>LEFT(AllDaqbookOffsets[[#This Row],[traceability_no]],2)</f>
        <v>K6</v>
      </c>
      <c r="N1242" s="456"/>
      <c r="O1242"/>
      <c r="Z1242" s="460"/>
      <c r="AA1242" s="194"/>
      <c r="AB1242"/>
      <c r="AG1242" s="69"/>
      <c r="AH1242"/>
    </row>
    <row r="1243" spans="1:34" x14ac:dyDescent="0.2">
      <c r="A1243" s="655"/>
      <c r="B1243" s="655"/>
      <c r="C1243"/>
      <c r="D1243" s="655"/>
      <c r="E1243" s="655"/>
      <c r="F1243" s="655" t="str">
        <f>LEFT(AllDaqbookOffsets[[#This Row],[traceability_no]],2)</f>
        <v>K6</v>
      </c>
      <c r="N1243" s="456"/>
      <c r="O1243"/>
      <c r="Z1243" s="460"/>
      <c r="AA1243" s="194"/>
      <c r="AB1243"/>
      <c r="AG1243" s="69"/>
      <c r="AH1243"/>
    </row>
    <row r="1244" spans="1:34" x14ac:dyDescent="0.2">
      <c r="A1244" s="655"/>
      <c r="B1244" s="655"/>
      <c r="C1244"/>
      <c r="D1244" s="655"/>
      <c r="E1244" s="655"/>
      <c r="F1244" s="655" t="str">
        <f>LEFT(AllDaqbookOffsets[[#This Row],[traceability_no]],2)</f>
        <v>K6</v>
      </c>
      <c r="N1244" s="456"/>
      <c r="O1244"/>
      <c r="Z1244" s="460"/>
      <c r="AA1244" s="194"/>
      <c r="AB1244"/>
      <c r="AG1244" s="69"/>
      <c r="AH1244"/>
    </row>
    <row r="1245" spans="1:34" x14ac:dyDescent="0.2">
      <c r="A1245" s="655"/>
      <c r="B1245" s="655"/>
      <c r="C1245"/>
      <c r="D1245" s="655"/>
      <c r="E1245" s="655"/>
      <c r="F1245" s="655" t="str">
        <f>LEFT(AllDaqbookOffsets[[#This Row],[traceability_no]],2)</f>
        <v>K6</v>
      </c>
      <c r="N1245" s="456"/>
      <c r="O1245"/>
      <c r="Z1245" s="460"/>
      <c r="AA1245" s="194"/>
      <c r="AB1245"/>
      <c r="AG1245" s="69"/>
      <c r="AH1245"/>
    </row>
    <row r="1246" spans="1:34" x14ac:dyDescent="0.2">
      <c r="A1246" s="655"/>
      <c r="B1246" s="655"/>
      <c r="C1246"/>
      <c r="D1246" s="655"/>
      <c r="E1246" s="655"/>
      <c r="F1246" s="655" t="str">
        <f>LEFT(AllDaqbookOffsets[[#This Row],[traceability_no]],2)</f>
        <v>K6</v>
      </c>
      <c r="N1246" s="456"/>
      <c r="O1246"/>
      <c r="Z1246" s="460"/>
      <c r="AA1246" s="194"/>
      <c r="AB1246"/>
      <c r="AG1246" s="69"/>
      <c r="AH1246"/>
    </row>
    <row r="1247" spans="1:34" x14ac:dyDescent="0.2">
      <c r="A1247" s="655"/>
      <c r="B1247" s="655"/>
      <c r="C1247"/>
      <c r="D1247" s="655"/>
      <c r="E1247" s="655"/>
      <c r="F1247" s="655" t="str">
        <f>LEFT(AllDaqbookOffsets[[#This Row],[traceability_no]],2)</f>
        <v>K6</v>
      </c>
      <c r="N1247" s="456"/>
      <c r="O1247"/>
      <c r="Z1247" s="460"/>
      <c r="AA1247" s="194"/>
      <c r="AB1247"/>
      <c r="AG1247" s="69"/>
      <c r="AH1247"/>
    </row>
    <row r="1248" spans="1:34" x14ac:dyDescent="0.2">
      <c r="A1248" s="655"/>
      <c r="B1248" s="655"/>
      <c r="C1248"/>
      <c r="D1248" s="655"/>
      <c r="E1248" s="655"/>
      <c r="F1248" s="655" t="str">
        <f>LEFT(AllDaqbookOffsets[[#This Row],[traceability_no]],2)</f>
        <v>K6</v>
      </c>
      <c r="N1248" s="456"/>
      <c r="O1248"/>
      <c r="Z1248" s="460"/>
      <c r="AA1248" s="194"/>
      <c r="AB1248"/>
      <c r="AG1248" s="69"/>
      <c r="AH1248"/>
    </row>
    <row r="1249" spans="1:34" x14ac:dyDescent="0.2">
      <c r="A1249" s="655"/>
      <c r="B1249" s="655"/>
      <c r="C1249"/>
      <c r="D1249" s="655"/>
      <c r="E1249" s="655"/>
      <c r="F1249" s="655" t="str">
        <f>LEFT(AllDaqbookOffsets[[#This Row],[traceability_no]],2)</f>
        <v>K6</v>
      </c>
      <c r="N1249" s="456"/>
      <c r="O1249"/>
      <c r="Z1249" s="460"/>
      <c r="AA1249" s="194"/>
      <c r="AB1249"/>
      <c r="AG1249" s="69"/>
      <c r="AH1249"/>
    </row>
    <row r="1250" spans="1:34" x14ac:dyDescent="0.2">
      <c r="A1250" s="655"/>
      <c r="B1250" s="655"/>
      <c r="C1250"/>
      <c r="D1250" s="655"/>
      <c r="E1250" s="655"/>
      <c r="F1250" s="655" t="str">
        <f>LEFT(AllDaqbookOffsets[[#This Row],[traceability_no]],2)</f>
        <v>K6</v>
      </c>
      <c r="N1250" s="456"/>
      <c r="O1250"/>
      <c r="Z1250" s="460"/>
      <c r="AA1250" s="194"/>
      <c r="AB1250"/>
      <c r="AG1250" s="69"/>
      <c r="AH1250"/>
    </row>
    <row r="1251" spans="1:34" x14ac:dyDescent="0.2">
      <c r="A1251" s="655"/>
      <c r="B1251" s="655"/>
      <c r="C1251"/>
      <c r="D1251" s="655"/>
      <c r="E1251" s="655"/>
      <c r="F1251" s="655" t="str">
        <f>LEFT(AllDaqbookOffsets[[#This Row],[traceability_no]],2)</f>
        <v>K6</v>
      </c>
      <c r="N1251" s="456"/>
      <c r="O1251"/>
      <c r="Z1251" s="460"/>
      <c r="AA1251" s="194"/>
      <c r="AB1251"/>
      <c r="AG1251" s="69"/>
      <c r="AH1251"/>
    </row>
    <row r="1252" spans="1:34" x14ac:dyDescent="0.2">
      <c r="A1252" s="655"/>
      <c r="B1252" s="655"/>
      <c r="C1252"/>
      <c r="D1252" s="655"/>
      <c r="E1252" s="655"/>
      <c r="F1252" s="655" t="str">
        <f>LEFT(AllDaqbookOffsets[[#This Row],[traceability_no]],2)</f>
        <v>K6</v>
      </c>
      <c r="N1252" s="456"/>
      <c r="O1252"/>
      <c r="Z1252" s="460"/>
      <c r="AA1252" s="194"/>
      <c r="AB1252"/>
      <c r="AG1252" s="69"/>
      <c r="AH1252"/>
    </row>
    <row r="1253" spans="1:34" x14ac:dyDescent="0.2">
      <c r="A1253" s="655"/>
      <c r="B1253" s="655"/>
      <c r="C1253"/>
      <c r="D1253" s="655"/>
      <c r="E1253" s="655"/>
      <c r="F1253" s="655" t="str">
        <f>LEFT(AllDaqbookOffsets[[#This Row],[traceability_no]],2)</f>
        <v>K6</v>
      </c>
      <c r="N1253" s="456"/>
      <c r="O1253"/>
      <c r="Z1253" s="460"/>
      <c r="AA1253" s="194"/>
      <c r="AB1253"/>
      <c r="AG1253" s="69"/>
      <c r="AH1253"/>
    </row>
    <row r="1254" spans="1:34" x14ac:dyDescent="0.2">
      <c r="A1254" s="655"/>
      <c r="B1254" s="655"/>
      <c r="C1254"/>
      <c r="D1254" s="655"/>
      <c r="E1254" s="655"/>
      <c r="F1254" s="655" t="str">
        <f>LEFT(AllDaqbookOffsets[[#This Row],[traceability_no]],2)</f>
        <v>K6</v>
      </c>
      <c r="N1254" s="456"/>
      <c r="O1254"/>
      <c r="Z1254" s="460"/>
      <c r="AA1254" s="194"/>
      <c r="AB1254"/>
      <c r="AG1254" s="69"/>
      <c r="AH1254"/>
    </row>
    <row r="1255" spans="1:34" x14ac:dyDescent="0.2">
      <c r="A1255" s="655"/>
      <c r="B1255" s="655"/>
      <c r="C1255"/>
      <c r="D1255" s="655"/>
      <c r="E1255" s="655"/>
      <c r="F1255" s="655" t="str">
        <f>LEFT(AllDaqbookOffsets[[#This Row],[traceability_no]],2)</f>
        <v>K6</v>
      </c>
      <c r="N1255" s="456"/>
      <c r="O1255"/>
      <c r="Z1255" s="460"/>
      <c r="AA1255" s="194"/>
      <c r="AB1255"/>
      <c r="AG1255" s="69"/>
      <c r="AH1255"/>
    </row>
    <row r="1256" spans="1:34" x14ac:dyDescent="0.2">
      <c r="A1256" s="655"/>
      <c r="B1256" s="655"/>
      <c r="C1256"/>
      <c r="D1256" s="655"/>
      <c r="E1256" s="655"/>
      <c r="F1256" s="655" t="str">
        <f>LEFT(AllDaqbookOffsets[[#This Row],[traceability_no]],2)</f>
        <v>K6</v>
      </c>
      <c r="N1256" s="456"/>
      <c r="O1256"/>
      <c r="Z1256" s="460"/>
      <c r="AA1256" s="194"/>
      <c r="AB1256"/>
      <c r="AG1256" s="69"/>
      <c r="AH1256"/>
    </row>
    <row r="1257" spans="1:34" x14ac:dyDescent="0.2">
      <c r="A1257" s="655"/>
      <c r="B1257" s="655"/>
      <c r="C1257"/>
      <c r="D1257" s="655"/>
      <c r="E1257" s="655"/>
      <c r="F1257" s="655" t="str">
        <f>LEFT(AllDaqbookOffsets[[#This Row],[traceability_no]],2)</f>
        <v>K6</v>
      </c>
      <c r="N1257" s="456"/>
      <c r="O1257"/>
      <c r="Z1257" s="460"/>
      <c r="AA1257" s="194"/>
      <c r="AB1257"/>
      <c r="AG1257" s="69"/>
      <c r="AH1257"/>
    </row>
    <row r="1258" spans="1:34" x14ac:dyDescent="0.2">
      <c r="A1258" s="655"/>
      <c r="B1258" s="655"/>
      <c r="C1258"/>
      <c r="D1258" s="655"/>
      <c r="E1258" s="655"/>
      <c r="F1258" s="655" t="str">
        <f>LEFT(AllDaqbookOffsets[[#This Row],[traceability_no]],2)</f>
        <v>K6</v>
      </c>
      <c r="N1258" s="456"/>
      <c r="O1258"/>
      <c r="Z1258" s="460"/>
      <c r="AA1258" s="194"/>
      <c r="AB1258"/>
      <c r="AG1258" s="69"/>
      <c r="AH1258"/>
    </row>
    <row r="1259" spans="1:34" x14ac:dyDescent="0.2">
      <c r="A1259" s="655"/>
      <c r="B1259" s="655"/>
      <c r="C1259"/>
      <c r="D1259" s="655"/>
      <c r="E1259" s="655"/>
      <c r="F1259" s="655" t="str">
        <f>LEFT(AllDaqbookOffsets[[#This Row],[traceability_no]],2)</f>
        <v>K6</v>
      </c>
      <c r="N1259" s="456"/>
      <c r="O1259"/>
      <c r="Z1259" s="460"/>
      <c r="AA1259" s="194"/>
      <c r="AB1259"/>
      <c r="AG1259" s="69"/>
      <c r="AH1259"/>
    </row>
    <row r="1260" spans="1:34" x14ac:dyDescent="0.2">
      <c r="A1260" s="655"/>
      <c r="B1260" s="655"/>
      <c r="C1260"/>
      <c r="D1260" s="655"/>
      <c r="E1260" s="655"/>
      <c r="F1260" s="655" t="str">
        <f>LEFT(AllDaqbookOffsets[[#This Row],[traceability_no]],2)</f>
        <v>K6</v>
      </c>
      <c r="N1260" s="456"/>
      <c r="O1260"/>
      <c r="Z1260" s="460"/>
      <c r="AA1260" s="194"/>
      <c r="AB1260"/>
      <c r="AG1260" s="69"/>
      <c r="AH1260"/>
    </row>
    <row r="1261" spans="1:34" x14ac:dyDescent="0.2">
      <c r="A1261" s="655"/>
      <c r="B1261" s="655"/>
      <c r="C1261"/>
      <c r="D1261" s="655"/>
      <c r="E1261" s="655"/>
      <c r="F1261" s="655" t="str">
        <f>LEFT(AllDaqbookOffsets[[#This Row],[traceability_no]],2)</f>
        <v>K6</v>
      </c>
      <c r="N1261" s="456"/>
      <c r="O1261"/>
      <c r="Z1261" s="460"/>
      <c r="AA1261" s="194"/>
      <c r="AB1261"/>
      <c r="AG1261" s="69"/>
      <c r="AH1261"/>
    </row>
    <row r="1262" spans="1:34" x14ac:dyDescent="0.2">
      <c r="A1262" s="655"/>
      <c r="B1262" s="655"/>
      <c r="C1262"/>
      <c r="D1262" s="655"/>
      <c r="E1262" s="655"/>
      <c r="F1262" s="655" t="str">
        <f>LEFT(AllDaqbookOffsets[[#This Row],[traceability_no]],2)</f>
        <v>K6</v>
      </c>
      <c r="N1262" s="456"/>
      <c r="O1262"/>
      <c r="Z1262" s="460"/>
      <c r="AA1262" s="194"/>
      <c r="AB1262"/>
      <c r="AG1262" s="69"/>
      <c r="AH1262"/>
    </row>
    <row r="1263" spans="1:34" x14ac:dyDescent="0.2">
      <c r="A1263" s="655"/>
      <c r="B1263" s="655"/>
      <c r="C1263"/>
      <c r="D1263" s="655"/>
      <c r="E1263" s="655"/>
      <c r="F1263" s="655" t="str">
        <f>LEFT(AllDaqbookOffsets[[#This Row],[traceability_no]],2)</f>
        <v>K6</v>
      </c>
      <c r="N1263" s="456"/>
      <c r="O1263"/>
      <c r="Z1263" s="460"/>
      <c r="AA1263" s="194"/>
      <c r="AB1263"/>
      <c r="AG1263" s="69"/>
      <c r="AH1263"/>
    </row>
    <row r="1264" spans="1:34" x14ac:dyDescent="0.2">
      <c r="A1264" s="655"/>
      <c r="B1264" s="655"/>
      <c r="C1264"/>
      <c r="D1264" s="655"/>
      <c r="E1264" s="655"/>
      <c r="F1264" s="655" t="str">
        <f>LEFT(AllDaqbookOffsets[[#This Row],[traceability_no]],2)</f>
        <v>K6</v>
      </c>
      <c r="N1264" s="456"/>
      <c r="O1264"/>
      <c r="Z1264" s="460"/>
      <c r="AA1264" s="194"/>
      <c r="AB1264"/>
      <c r="AG1264" s="69"/>
      <c r="AH1264"/>
    </row>
    <row r="1265" spans="1:34" x14ac:dyDescent="0.2">
      <c r="A1265" s="655"/>
      <c r="B1265" s="655"/>
      <c r="C1265"/>
      <c r="D1265" s="655"/>
      <c r="E1265" s="655"/>
      <c r="F1265" s="655" t="str">
        <f>LEFT(AllDaqbookOffsets[[#This Row],[traceability_no]],2)</f>
        <v>K6</v>
      </c>
      <c r="N1265" s="456"/>
      <c r="O1265"/>
      <c r="Z1265" s="460"/>
      <c r="AA1265" s="194"/>
      <c r="AB1265"/>
      <c r="AG1265" s="69"/>
      <c r="AH1265"/>
    </row>
    <row r="1266" spans="1:34" x14ac:dyDescent="0.2">
      <c r="A1266" s="655"/>
      <c r="B1266" s="655"/>
      <c r="C1266"/>
      <c r="D1266" s="655"/>
      <c r="E1266" s="655"/>
      <c r="F1266" s="655" t="str">
        <f>LEFT(AllDaqbookOffsets[[#This Row],[traceability_no]],2)</f>
        <v>K6</v>
      </c>
      <c r="N1266" s="456"/>
      <c r="O1266"/>
      <c r="Z1266" s="460"/>
      <c r="AA1266" s="194"/>
      <c r="AB1266"/>
      <c r="AG1266" s="69"/>
      <c r="AH1266"/>
    </row>
    <row r="1267" spans="1:34" x14ac:dyDescent="0.2">
      <c r="A1267" s="655"/>
      <c r="B1267" s="655"/>
      <c r="C1267"/>
      <c r="D1267" s="655"/>
      <c r="E1267" s="655"/>
      <c r="F1267" s="655" t="str">
        <f>LEFT(AllDaqbookOffsets[[#This Row],[traceability_no]],2)</f>
        <v>K6</v>
      </c>
      <c r="N1267" s="456"/>
      <c r="O1267"/>
      <c r="Z1267" s="460"/>
      <c r="AA1267" s="194"/>
      <c r="AB1267"/>
      <c r="AG1267" s="69"/>
      <c r="AH1267"/>
    </row>
    <row r="1268" spans="1:34" x14ac:dyDescent="0.2">
      <c r="A1268" s="655"/>
      <c r="B1268" s="655"/>
      <c r="C1268"/>
      <c r="D1268" s="655"/>
      <c r="E1268" s="655"/>
      <c r="F1268" s="655" t="str">
        <f>LEFT(AllDaqbookOffsets[[#This Row],[traceability_no]],2)</f>
        <v>K6</v>
      </c>
      <c r="N1268" s="456"/>
      <c r="O1268"/>
      <c r="Z1268" s="460"/>
      <c r="AA1268" s="194"/>
      <c r="AB1268"/>
      <c r="AG1268" s="69"/>
      <c r="AH1268"/>
    </row>
    <row r="1269" spans="1:34" x14ac:dyDescent="0.2">
      <c r="A1269" s="655"/>
      <c r="B1269" s="655"/>
      <c r="C1269"/>
      <c r="D1269" s="655"/>
      <c r="E1269" s="655"/>
      <c r="F1269" s="655" t="str">
        <f>LEFT(AllDaqbookOffsets[[#This Row],[traceability_no]],2)</f>
        <v>K6</v>
      </c>
      <c r="N1269" s="456"/>
      <c r="O1269"/>
      <c r="Z1269" s="460"/>
      <c r="AA1269" s="194"/>
      <c r="AB1269"/>
      <c r="AG1269" s="69"/>
      <c r="AH1269"/>
    </row>
    <row r="1270" spans="1:34" x14ac:dyDescent="0.2">
      <c r="A1270" s="655"/>
      <c r="B1270" s="655"/>
      <c r="C1270"/>
      <c r="D1270" s="655"/>
      <c r="E1270" s="655"/>
      <c r="F1270" s="655" t="str">
        <f>LEFT(AllDaqbookOffsets[[#This Row],[traceability_no]],2)</f>
        <v>K6</v>
      </c>
      <c r="N1270" s="456"/>
      <c r="O1270"/>
      <c r="Z1270" s="460"/>
      <c r="AA1270" s="194"/>
      <c r="AB1270"/>
      <c r="AG1270" s="69"/>
      <c r="AH1270"/>
    </row>
    <row r="1271" spans="1:34" x14ac:dyDescent="0.2">
      <c r="A1271" s="655"/>
      <c r="B1271" s="655"/>
      <c r="C1271"/>
      <c r="D1271" s="655"/>
      <c r="E1271" s="655"/>
      <c r="F1271" s="655" t="str">
        <f>LEFT(AllDaqbookOffsets[[#This Row],[traceability_no]],2)</f>
        <v>K6</v>
      </c>
      <c r="N1271" s="456"/>
      <c r="O1271"/>
      <c r="Z1271" s="460"/>
      <c r="AA1271" s="194"/>
      <c r="AB1271"/>
      <c r="AG1271" s="69"/>
      <c r="AH1271"/>
    </row>
    <row r="1272" spans="1:34" x14ac:dyDescent="0.2">
      <c r="A1272" s="655"/>
      <c r="B1272" s="655"/>
      <c r="C1272"/>
      <c r="D1272" s="655"/>
      <c r="E1272" s="655"/>
      <c r="F1272" s="655" t="str">
        <f>LEFT(AllDaqbookOffsets[[#This Row],[traceability_no]],2)</f>
        <v>K6</v>
      </c>
      <c r="N1272" s="456"/>
      <c r="O1272"/>
      <c r="Z1272" s="460"/>
      <c r="AA1272" s="194"/>
      <c r="AB1272"/>
      <c r="AG1272" s="69"/>
      <c r="AH1272"/>
    </row>
    <row r="1273" spans="1:34" x14ac:dyDescent="0.2">
      <c r="A1273" s="655"/>
      <c r="B1273" s="655"/>
      <c r="C1273"/>
      <c r="D1273" s="655"/>
      <c r="E1273" s="655"/>
      <c r="F1273" s="655" t="str">
        <f>LEFT(AllDaqbookOffsets[[#This Row],[traceability_no]],2)</f>
        <v>K6</v>
      </c>
      <c r="N1273" s="456"/>
      <c r="O1273"/>
      <c r="Z1273" s="460"/>
      <c r="AA1273" s="194"/>
      <c r="AB1273"/>
      <c r="AG1273" s="69"/>
      <c r="AH1273"/>
    </row>
    <row r="1274" spans="1:34" x14ac:dyDescent="0.2">
      <c r="A1274" s="655"/>
      <c r="B1274" s="655"/>
      <c r="C1274"/>
      <c r="D1274" s="655"/>
      <c r="E1274" s="655"/>
      <c r="F1274" s="655" t="str">
        <f>LEFT(AllDaqbookOffsets[[#This Row],[traceability_no]],2)</f>
        <v>K6</v>
      </c>
      <c r="N1274" s="456"/>
      <c r="O1274"/>
      <c r="Z1274" s="460"/>
      <c r="AA1274" s="194"/>
      <c r="AB1274"/>
      <c r="AG1274" s="69"/>
      <c r="AH1274"/>
    </row>
    <row r="1275" spans="1:34" x14ac:dyDescent="0.2">
      <c r="A1275" s="655"/>
      <c r="B1275" s="655"/>
      <c r="C1275"/>
      <c r="D1275" s="655"/>
      <c r="E1275" s="655"/>
      <c r="F1275" s="655" t="str">
        <f>LEFT(AllDaqbookOffsets[[#This Row],[traceability_no]],2)</f>
        <v>K6</v>
      </c>
      <c r="N1275" s="456"/>
      <c r="O1275"/>
      <c r="Z1275" s="460"/>
      <c r="AA1275" s="194"/>
      <c r="AB1275"/>
      <c r="AG1275" s="69"/>
      <c r="AH1275"/>
    </row>
    <row r="1276" spans="1:34" x14ac:dyDescent="0.2">
      <c r="A1276" s="655"/>
      <c r="B1276" s="655"/>
      <c r="C1276"/>
      <c r="D1276" s="655"/>
      <c r="E1276" s="655"/>
      <c r="F1276" s="655" t="str">
        <f>LEFT(AllDaqbookOffsets[[#This Row],[traceability_no]],2)</f>
        <v>K6</v>
      </c>
      <c r="N1276" s="456"/>
      <c r="O1276"/>
      <c r="Z1276" s="460"/>
      <c r="AA1276" s="194"/>
      <c r="AB1276"/>
      <c r="AG1276" s="69"/>
      <c r="AH1276"/>
    </row>
    <row r="1277" spans="1:34" x14ac:dyDescent="0.2">
      <c r="A1277" s="655"/>
      <c r="B1277" s="655"/>
      <c r="C1277"/>
      <c r="D1277" s="655"/>
      <c r="E1277" s="655"/>
      <c r="F1277" s="655" t="str">
        <f>LEFT(AllDaqbookOffsets[[#This Row],[traceability_no]],2)</f>
        <v>K6</v>
      </c>
      <c r="N1277" s="456"/>
      <c r="O1277"/>
      <c r="Z1277" s="460"/>
      <c r="AA1277" s="194"/>
      <c r="AB1277"/>
      <c r="AG1277" s="69"/>
      <c r="AH1277"/>
    </row>
    <row r="1278" spans="1:34" x14ac:dyDescent="0.2">
      <c r="A1278" s="655"/>
      <c r="B1278" s="655"/>
      <c r="C1278"/>
      <c r="D1278" s="655"/>
      <c r="E1278" s="655"/>
      <c r="F1278" s="655" t="str">
        <f>LEFT(AllDaqbookOffsets[[#This Row],[traceability_no]],2)</f>
        <v>K6</v>
      </c>
      <c r="N1278" s="456"/>
      <c r="O1278"/>
      <c r="Z1278" s="460"/>
      <c r="AA1278" s="194"/>
      <c r="AB1278"/>
      <c r="AG1278" s="69"/>
      <c r="AH1278"/>
    </row>
    <row r="1279" spans="1:34" x14ac:dyDescent="0.2">
      <c r="A1279" s="655"/>
      <c r="B1279" s="655"/>
      <c r="C1279"/>
      <c r="D1279" s="655"/>
      <c r="E1279" s="655"/>
      <c r="F1279" s="655" t="str">
        <f>LEFT(AllDaqbookOffsets[[#This Row],[traceability_no]],2)</f>
        <v>K6</v>
      </c>
      <c r="N1279" s="456"/>
      <c r="O1279"/>
      <c r="Z1279" s="460"/>
      <c r="AA1279" s="194"/>
      <c r="AB1279"/>
      <c r="AG1279" s="69"/>
      <c r="AH1279"/>
    </row>
    <row r="1280" spans="1:34" x14ac:dyDescent="0.2">
      <c r="A1280" s="655"/>
      <c r="B1280" s="655"/>
      <c r="C1280"/>
      <c r="D1280" s="655"/>
      <c r="E1280" s="655"/>
      <c r="F1280" s="655" t="str">
        <f>LEFT(AllDaqbookOffsets[[#This Row],[traceability_no]],2)</f>
        <v>K6</v>
      </c>
      <c r="N1280" s="456"/>
      <c r="O1280"/>
      <c r="Z1280" s="460"/>
      <c r="AA1280" s="194"/>
      <c r="AB1280"/>
      <c r="AG1280" s="69"/>
      <c r="AH1280"/>
    </row>
    <row r="1281" spans="1:34" x14ac:dyDescent="0.2">
      <c r="A1281" s="655"/>
      <c r="B1281" s="655"/>
      <c r="C1281"/>
      <c r="D1281" s="655"/>
      <c r="E1281" s="655"/>
      <c r="F1281" s="655" t="str">
        <f>LEFT(AllDaqbookOffsets[[#This Row],[traceability_no]],2)</f>
        <v>K6</v>
      </c>
      <c r="N1281" s="456"/>
      <c r="O1281"/>
      <c r="Z1281" s="460"/>
      <c r="AA1281" s="194"/>
      <c r="AB1281"/>
      <c r="AG1281" s="69"/>
      <c r="AH1281"/>
    </row>
    <row r="1282" spans="1:34" x14ac:dyDescent="0.2">
      <c r="A1282" s="655"/>
      <c r="B1282" s="655"/>
      <c r="C1282"/>
      <c r="D1282" s="655"/>
      <c r="E1282" s="655"/>
      <c r="F1282" s="655" t="str">
        <f>LEFT(AllDaqbookOffsets[[#This Row],[traceability_no]],2)</f>
        <v>K6</v>
      </c>
      <c r="N1282" s="456"/>
      <c r="O1282"/>
      <c r="Z1282" s="460"/>
      <c r="AA1282" s="194"/>
      <c r="AB1282"/>
      <c r="AG1282" s="69"/>
      <c r="AH1282"/>
    </row>
    <row r="1283" spans="1:34" x14ac:dyDescent="0.2">
      <c r="A1283" s="655"/>
      <c r="B1283" s="655"/>
      <c r="C1283"/>
      <c r="D1283" s="655"/>
      <c r="E1283" s="655"/>
      <c r="F1283" s="655" t="str">
        <f>LEFT(AllDaqbookOffsets[[#This Row],[traceability_no]],2)</f>
        <v>K6</v>
      </c>
      <c r="N1283" s="456"/>
      <c r="O1283"/>
      <c r="Z1283" s="460"/>
      <c r="AA1283" s="194"/>
      <c r="AB1283"/>
      <c r="AG1283" s="69"/>
      <c r="AH1283"/>
    </row>
    <row r="1284" spans="1:34" x14ac:dyDescent="0.2">
      <c r="A1284" s="655"/>
      <c r="B1284" s="655"/>
      <c r="C1284"/>
      <c r="D1284" s="655"/>
      <c r="E1284" s="655"/>
      <c r="F1284" s="655" t="str">
        <f>LEFT(AllDaqbookOffsets[[#This Row],[traceability_no]],2)</f>
        <v>K6</v>
      </c>
      <c r="N1284" s="456"/>
      <c r="O1284"/>
      <c r="Z1284" s="460"/>
      <c r="AA1284" s="194"/>
      <c r="AB1284"/>
      <c r="AG1284" s="69"/>
      <c r="AH1284"/>
    </row>
    <row r="1285" spans="1:34" x14ac:dyDescent="0.2">
      <c r="A1285" s="655"/>
      <c r="B1285" s="655"/>
      <c r="C1285"/>
      <c r="D1285" s="655"/>
      <c r="E1285" s="655"/>
      <c r="F1285" s="655" t="str">
        <f>LEFT(AllDaqbookOffsets[[#This Row],[traceability_no]],2)</f>
        <v>K6</v>
      </c>
      <c r="N1285" s="456"/>
      <c r="O1285"/>
      <c r="Z1285" s="460"/>
      <c r="AA1285" s="194"/>
      <c r="AB1285"/>
      <c r="AG1285" s="69"/>
      <c r="AH1285"/>
    </row>
    <row r="1286" spans="1:34" x14ac:dyDescent="0.2">
      <c r="A1286" s="655"/>
      <c r="B1286" s="655"/>
      <c r="C1286"/>
      <c r="D1286" s="655"/>
      <c r="E1286" s="655"/>
      <c r="F1286" s="655" t="str">
        <f>LEFT(AllDaqbookOffsets[[#This Row],[traceability_no]],2)</f>
        <v>K6</v>
      </c>
      <c r="N1286" s="456"/>
      <c r="O1286"/>
      <c r="Z1286" s="460"/>
      <c r="AA1286" s="194"/>
      <c r="AB1286"/>
      <c r="AG1286" s="69"/>
      <c r="AH1286"/>
    </row>
    <row r="1287" spans="1:34" x14ac:dyDescent="0.2">
      <c r="A1287" s="655"/>
      <c r="B1287" s="655"/>
      <c r="C1287"/>
      <c r="D1287" s="655"/>
      <c r="E1287" s="655"/>
      <c r="F1287" s="655" t="str">
        <f>LEFT(AllDaqbookOffsets[[#This Row],[traceability_no]],2)</f>
        <v>K6</v>
      </c>
      <c r="N1287" s="456"/>
      <c r="O1287"/>
      <c r="Z1287" s="460"/>
      <c r="AA1287" s="194"/>
      <c r="AB1287"/>
      <c r="AG1287" s="69"/>
      <c r="AH1287"/>
    </row>
    <row r="1288" spans="1:34" x14ac:dyDescent="0.2">
      <c r="A1288" s="655"/>
      <c r="B1288" s="655"/>
      <c r="C1288"/>
      <c r="D1288" s="655"/>
      <c r="E1288" s="655"/>
      <c r="F1288" s="655" t="str">
        <f>LEFT(AllDaqbookOffsets[[#This Row],[traceability_no]],2)</f>
        <v>K6</v>
      </c>
      <c r="N1288" s="456"/>
      <c r="O1288"/>
      <c r="Z1288" s="460"/>
      <c r="AA1288" s="194"/>
      <c r="AB1288"/>
      <c r="AG1288" s="69"/>
      <c r="AH1288"/>
    </row>
    <row r="1289" spans="1:34" x14ac:dyDescent="0.2">
      <c r="A1289" s="655"/>
      <c r="B1289" s="655"/>
      <c r="C1289"/>
      <c r="D1289" s="655"/>
      <c r="E1289" s="655"/>
      <c r="F1289" s="655" t="str">
        <f>LEFT(AllDaqbookOffsets[[#This Row],[traceability_no]],2)</f>
        <v>K6</v>
      </c>
      <c r="N1289" s="456"/>
      <c r="O1289"/>
      <c r="Z1289" s="460"/>
      <c r="AA1289" s="194"/>
      <c r="AB1289"/>
      <c r="AG1289" s="69"/>
      <c r="AH1289"/>
    </row>
    <row r="1290" spans="1:34" x14ac:dyDescent="0.2">
      <c r="A1290" s="655"/>
      <c r="B1290" s="655"/>
      <c r="C1290"/>
      <c r="D1290" s="655"/>
      <c r="E1290" s="655"/>
      <c r="F1290" s="655" t="str">
        <f>LEFT(AllDaqbookOffsets[[#This Row],[traceability_no]],2)</f>
        <v>K6</v>
      </c>
      <c r="N1290" s="456"/>
      <c r="O1290"/>
      <c r="Z1290" s="460"/>
      <c r="AA1290" s="194"/>
      <c r="AB1290"/>
      <c r="AG1290" s="69"/>
      <c r="AH1290"/>
    </row>
    <row r="1291" spans="1:34" x14ac:dyDescent="0.2">
      <c r="A1291" s="655"/>
      <c r="B1291" s="655"/>
      <c r="C1291"/>
      <c r="D1291" s="655"/>
      <c r="E1291" s="655"/>
      <c r="F1291" s="655" t="str">
        <f>LEFT(AllDaqbookOffsets[[#This Row],[traceability_no]],2)</f>
        <v>K6</v>
      </c>
      <c r="N1291" s="456"/>
      <c r="O1291"/>
      <c r="Z1291" s="460"/>
      <c r="AA1291" s="194"/>
      <c r="AB1291"/>
      <c r="AG1291" s="69"/>
      <c r="AH1291"/>
    </row>
    <row r="1292" spans="1:34" x14ac:dyDescent="0.2">
      <c r="A1292" s="655"/>
      <c r="B1292" s="655"/>
      <c r="C1292"/>
      <c r="D1292" s="655"/>
      <c r="E1292" s="655"/>
      <c r="F1292" s="655" t="str">
        <f>LEFT(AllDaqbookOffsets[[#This Row],[traceability_no]],2)</f>
        <v>K6</v>
      </c>
      <c r="N1292" s="456"/>
      <c r="O1292"/>
      <c r="Z1292" s="460"/>
      <c r="AA1292" s="194"/>
      <c r="AB1292"/>
      <c r="AG1292" s="69"/>
      <c r="AH1292"/>
    </row>
    <row r="1293" spans="1:34" x14ac:dyDescent="0.2">
      <c r="A1293" s="655"/>
      <c r="B1293" s="655"/>
      <c r="C1293"/>
      <c r="D1293" s="655"/>
      <c r="E1293" s="655"/>
      <c r="F1293" s="655" t="str">
        <f>LEFT(AllDaqbookOffsets[[#This Row],[traceability_no]],2)</f>
        <v>K6</v>
      </c>
      <c r="N1293" s="456"/>
      <c r="O1293"/>
      <c r="Z1293" s="460"/>
      <c r="AA1293" s="194"/>
      <c r="AB1293"/>
      <c r="AG1293" s="69"/>
      <c r="AH1293"/>
    </row>
    <row r="1294" spans="1:34" x14ac:dyDescent="0.2">
      <c r="A1294" s="655"/>
      <c r="B1294" s="655"/>
      <c r="C1294"/>
      <c r="D1294" s="655"/>
      <c r="E1294" s="655"/>
      <c r="F1294" s="655" t="str">
        <f>LEFT(AllDaqbookOffsets[[#This Row],[traceability_no]],2)</f>
        <v>K6</v>
      </c>
      <c r="N1294" s="456"/>
      <c r="O1294"/>
      <c r="Z1294" s="460"/>
      <c r="AA1294" s="194"/>
      <c r="AB1294"/>
      <c r="AG1294" s="69"/>
      <c r="AH1294"/>
    </row>
    <row r="1295" spans="1:34" x14ac:dyDescent="0.2">
      <c r="A1295" s="655"/>
      <c r="B1295" s="655"/>
      <c r="C1295"/>
      <c r="D1295" s="655"/>
      <c r="E1295" s="655"/>
      <c r="F1295" s="655" t="str">
        <f>LEFT(AllDaqbookOffsets[[#This Row],[traceability_no]],2)</f>
        <v>K6</v>
      </c>
      <c r="N1295" s="456"/>
      <c r="O1295"/>
      <c r="Z1295" s="460"/>
      <c r="AA1295" s="194"/>
      <c r="AB1295"/>
      <c r="AG1295" s="69"/>
      <c r="AH1295"/>
    </row>
    <row r="1296" spans="1:34" x14ac:dyDescent="0.2">
      <c r="A1296" s="655"/>
      <c r="B1296" s="655"/>
      <c r="C1296"/>
      <c r="D1296" s="655"/>
      <c r="E1296" s="655"/>
      <c r="F1296" s="655" t="str">
        <f>LEFT(AllDaqbookOffsets[[#This Row],[traceability_no]],2)</f>
        <v>K6</v>
      </c>
      <c r="N1296" s="456"/>
      <c r="O1296"/>
      <c r="Z1296" s="460"/>
      <c r="AA1296" s="194"/>
      <c r="AB1296"/>
      <c r="AG1296" s="69"/>
      <c r="AH1296"/>
    </row>
    <row r="1297" spans="1:34" x14ac:dyDescent="0.2">
      <c r="A1297" s="655"/>
      <c r="B1297" s="655"/>
      <c r="C1297"/>
      <c r="D1297" s="655"/>
      <c r="E1297" s="655"/>
      <c r="F1297" s="655" t="str">
        <f>LEFT(AllDaqbookOffsets[[#This Row],[traceability_no]],2)</f>
        <v>K6</v>
      </c>
      <c r="N1297" s="456"/>
      <c r="O1297"/>
      <c r="Z1297" s="460"/>
      <c r="AA1297" s="194"/>
      <c r="AB1297"/>
      <c r="AG1297" s="69"/>
      <c r="AH1297"/>
    </row>
    <row r="1298" spans="1:34" x14ac:dyDescent="0.2">
      <c r="A1298" s="655"/>
      <c r="B1298" s="655"/>
      <c r="C1298"/>
      <c r="D1298" s="655"/>
      <c r="E1298" s="655"/>
      <c r="F1298" s="655" t="str">
        <f>LEFT(AllDaqbookOffsets[[#This Row],[traceability_no]],2)</f>
        <v>K6</v>
      </c>
      <c r="N1298" s="456"/>
      <c r="O1298"/>
      <c r="Z1298" s="460"/>
      <c r="AA1298" s="194"/>
      <c r="AB1298"/>
      <c r="AG1298" s="69"/>
      <c r="AH1298"/>
    </row>
    <row r="1299" spans="1:34" x14ac:dyDescent="0.2">
      <c r="A1299" s="655"/>
      <c r="B1299" s="655"/>
      <c r="C1299"/>
      <c r="D1299" s="655"/>
      <c r="E1299" s="655"/>
      <c r="F1299" s="655" t="str">
        <f>LEFT(AllDaqbookOffsets[[#This Row],[traceability_no]],2)</f>
        <v>K6</v>
      </c>
      <c r="N1299" s="456"/>
      <c r="O1299"/>
      <c r="Z1299" s="460"/>
      <c r="AA1299" s="194"/>
      <c r="AB1299"/>
      <c r="AG1299" s="69"/>
      <c r="AH1299"/>
    </row>
    <row r="1300" spans="1:34" x14ac:dyDescent="0.2">
      <c r="A1300" s="655"/>
      <c r="B1300" s="655"/>
      <c r="C1300"/>
      <c r="D1300" s="655"/>
      <c r="E1300" s="655"/>
      <c r="F1300" s="655" t="str">
        <f>LEFT(AllDaqbookOffsets[[#This Row],[traceability_no]],2)</f>
        <v>K6</v>
      </c>
      <c r="N1300" s="456"/>
      <c r="O1300"/>
      <c r="Z1300" s="460"/>
      <c r="AA1300" s="194"/>
      <c r="AB1300"/>
      <c r="AG1300" s="69"/>
      <c r="AH1300"/>
    </row>
    <row r="1301" spans="1:34" x14ac:dyDescent="0.2">
      <c r="A1301" s="655"/>
      <c r="B1301" s="655"/>
      <c r="C1301"/>
      <c r="D1301" s="655"/>
      <c r="E1301" s="655"/>
      <c r="F1301" s="655" t="str">
        <f>LEFT(AllDaqbookOffsets[[#This Row],[traceability_no]],2)</f>
        <v>K6</v>
      </c>
      <c r="N1301" s="456"/>
      <c r="O1301"/>
      <c r="Z1301" s="460"/>
      <c r="AA1301" s="194"/>
      <c r="AB1301"/>
      <c r="AG1301" s="69"/>
      <c r="AH1301"/>
    </row>
    <row r="1302" spans="1:34" x14ac:dyDescent="0.2">
      <c r="A1302" s="655"/>
      <c r="B1302" s="655"/>
      <c r="C1302"/>
      <c r="D1302" s="655"/>
      <c r="E1302" s="655"/>
      <c r="F1302" s="655" t="str">
        <f>LEFT(AllDaqbookOffsets[[#This Row],[traceability_no]],2)</f>
        <v>K6</v>
      </c>
      <c r="N1302" s="456"/>
      <c r="O1302"/>
      <c r="Z1302" s="460"/>
      <c r="AA1302" s="194"/>
      <c r="AB1302"/>
      <c r="AG1302" s="69"/>
      <c r="AH1302"/>
    </row>
    <row r="1303" spans="1:34" x14ac:dyDescent="0.2">
      <c r="A1303" s="655"/>
      <c r="B1303" s="655"/>
      <c r="C1303"/>
      <c r="D1303" s="655"/>
      <c r="E1303" s="655"/>
      <c r="F1303" s="655" t="str">
        <f>LEFT(AllDaqbookOffsets[[#This Row],[traceability_no]],2)</f>
        <v>K6</v>
      </c>
      <c r="N1303" s="456"/>
      <c r="O1303"/>
      <c r="Z1303" s="460"/>
      <c r="AA1303" s="194"/>
      <c r="AB1303"/>
      <c r="AG1303" s="69"/>
      <c r="AH1303"/>
    </row>
    <row r="1304" spans="1:34" x14ac:dyDescent="0.2">
      <c r="A1304" s="655"/>
      <c r="B1304" s="655"/>
      <c r="C1304"/>
      <c r="D1304" s="655"/>
      <c r="E1304" s="655"/>
      <c r="F1304" s="655" t="str">
        <f>LEFT(AllDaqbookOffsets[[#This Row],[traceability_no]],2)</f>
        <v>K6</v>
      </c>
      <c r="N1304" s="456"/>
      <c r="O1304"/>
      <c r="Z1304" s="460"/>
      <c r="AA1304" s="194"/>
      <c r="AB1304"/>
      <c r="AG1304" s="69"/>
      <c r="AH1304"/>
    </row>
    <row r="1305" spans="1:34" x14ac:dyDescent="0.2">
      <c r="A1305" s="655"/>
      <c r="B1305" s="655"/>
      <c r="C1305"/>
      <c r="D1305" s="655"/>
      <c r="E1305" s="655"/>
      <c r="F1305" s="655" t="str">
        <f>LEFT(AllDaqbookOffsets[[#This Row],[traceability_no]],2)</f>
        <v>K6</v>
      </c>
      <c r="N1305" s="456"/>
      <c r="O1305"/>
      <c r="Z1305" s="460"/>
      <c r="AA1305" s="194"/>
      <c r="AB1305"/>
      <c r="AG1305" s="69"/>
      <c r="AH1305"/>
    </row>
    <row r="1306" spans="1:34" x14ac:dyDescent="0.2">
      <c r="A1306" s="655"/>
      <c r="B1306" s="655"/>
      <c r="C1306"/>
      <c r="D1306" s="655"/>
      <c r="E1306" s="655"/>
      <c r="F1306" s="655" t="str">
        <f>LEFT(AllDaqbookOffsets[[#This Row],[traceability_no]],2)</f>
        <v>K6</v>
      </c>
      <c r="N1306" s="456"/>
      <c r="O1306"/>
      <c r="Z1306" s="460"/>
      <c r="AA1306" s="194"/>
      <c r="AB1306"/>
      <c r="AG1306" s="69"/>
      <c r="AH1306"/>
    </row>
    <row r="1307" spans="1:34" x14ac:dyDescent="0.2">
      <c r="A1307" s="655"/>
      <c r="B1307" s="655"/>
      <c r="C1307"/>
      <c r="D1307" s="655"/>
      <c r="E1307" s="655"/>
      <c r="F1307" s="655" t="str">
        <f>LEFT(AllDaqbookOffsets[[#This Row],[traceability_no]],2)</f>
        <v>K6</v>
      </c>
      <c r="N1307" s="456"/>
      <c r="O1307"/>
      <c r="Z1307" s="460"/>
      <c r="AA1307" s="194"/>
      <c r="AB1307"/>
      <c r="AG1307" s="69"/>
      <c r="AH1307"/>
    </row>
    <row r="1308" spans="1:34" x14ac:dyDescent="0.2">
      <c r="A1308" s="655"/>
      <c r="B1308" s="655"/>
      <c r="C1308"/>
      <c r="D1308" s="655"/>
      <c r="E1308" s="655"/>
      <c r="F1308" s="655" t="str">
        <f>LEFT(AllDaqbookOffsets[[#This Row],[traceability_no]],2)</f>
        <v>K6</v>
      </c>
      <c r="N1308" s="456"/>
      <c r="O1308"/>
      <c r="Z1308" s="460"/>
      <c r="AA1308" s="194"/>
      <c r="AB1308"/>
      <c r="AG1308" s="69"/>
      <c r="AH1308"/>
    </row>
    <row r="1309" spans="1:34" x14ac:dyDescent="0.2">
      <c r="A1309" s="655"/>
      <c r="B1309" s="655"/>
      <c r="C1309"/>
      <c r="D1309" s="655"/>
      <c r="E1309" s="655"/>
      <c r="F1309" s="655" t="str">
        <f>LEFT(AllDaqbookOffsets[[#This Row],[traceability_no]],2)</f>
        <v>K6</v>
      </c>
      <c r="N1309" s="456"/>
      <c r="O1309"/>
      <c r="Z1309" s="460"/>
      <c r="AA1309" s="194"/>
      <c r="AB1309"/>
      <c r="AG1309" s="69"/>
      <c r="AH1309"/>
    </row>
    <row r="1310" spans="1:34" x14ac:dyDescent="0.2">
      <c r="A1310" s="655"/>
      <c r="B1310" s="655"/>
      <c r="C1310"/>
      <c r="D1310" s="655"/>
      <c r="E1310" s="655"/>
      <c r="F1310" s="655" t="str">
        <f>LEFT(AllDaqbookOffsets[[#This Row],[traceability_no]],2)</f>
        <v>K6</v>
      </c>
      <c r="N1310" s="456"/>
      <c r="O1310"/>
      <c r="Z1310" s="460"/>
      <c r="AA1310" s="194"/>
      <c r="AB1310"/>
      <c r="AG1310" s="69"/>
      <c r="AH1310"/>
    </row>
    <row r="1311" spans="1:34" x14ac:dyDescent="0.2">
      <c r="A1311" s="655"/>
      <c r="B1311" s="655"/>
      <c r="C1311"/>
      <c r="D1311" s="655"/>
      <c r="E1311" s="655"/>
      <c r="F1311" s="655" t="str">
        <f>LEFT(AllDaqbookOffsets[[#This Row],[traceability_no]],2)</f>
        <v>K6</v>
      </c>
      <c r="N1311" s="456"/>
      <c r="O1311"/>
      <c r="Z1311" s="460"/>
      <c r="AA1311" s="194"/>
      <c r="AB1311"/>
      <c r="AG1311" s="69"/>
      <c r="AH1311"/>
    </row>
    <row r="1312" spans="1:34" x14ac:dyDescent="0.2">
      <c r="A1312" s="655"/>
      <c r="B1312" s="655"/>
      <c r="C1312"/>
      <c r="D1312" s="655"/>
      <c r="E1312" s="655"/>
      <c r="F1312" s="655" t="str">
        <f>LEFT(AllDaqbookOffsets[[#This Row],[traceability_no]],2)</f>
        <v>K6</v>
      </c>
      <c r="N1312" s="456"/>
      <c r="O1312"/>
      <c r="Z1312" s="460"/>
      <c r="AA1312" s="194"/>
      <c r="AB1312"/>
      <c r="AG1312" s="69"/>
      <c r="AH1312"/>
    </row>
    <row r="1313" spans="1:34" x14ac:dyDescent="0.2">
      <c r="A1313" s="655"/>
      <c r="B1313" s="655"/>
      <c r="C1313"/>
      <c r="D1313" s="655"/>
      <c r="E1313" s="655"/>
      <c r="F1313" s="655" t="str">
        <f>LEFT(AllDaqbookOffsets[[#This Row],[traceability_no]],2)</f>
        <v>K6</v>
      </c>
      <c r="N1313" s="456"/>
      <c r="O1313"/>
      <c r="Z1313" s="460"/>
      <c r="AA1313" s="194"/>
      <c r="AB1313"/>
      <c r="AG1313" s="69"/>
      <c r="AH1313"/>
    </row>
    <row r="1314" spans="1:34" x14ac:dyDescent="0.2">
      <c r="A1314" s="655"/>
      <c r="B1314" s="655"/>
      <c r="C1314"/>
      <c r="D1314" s="655"/>
      <c r="E1314" s="655"/>
      <c r="F1314" s="655" t="str">
        <f>LEFT(AllDaqbookOffsets[[#This Row],[traceability_no]],2)</f>
        <v>K6</v>
      </c>
      <c r="N1314" s="456"/>
      <c r="O1314"/>
      <c r="Z1314" s="460"/>
      <c r="AA1314" s="194"/>
      <c r="AB1314"/>
      <c r="AG1314" s="69"/>
      <c r="AH1314"/>
    </row>
    <row r="1315" spans="1:34" x14ac:dyDescent="0.2">
      <c r="A1315" s="655"/>
      <c r="B1315" s="655"/>
      <c r="C1315"/>
      <c r="D1315" s="655"/>
      <c r="E1315" s="655"/>
      <c r="F1315" s="655" t="str">
        <f>LEFT(AllDaqbookOffsets[[#This Row],[traceability_no]],2)</f>
        <v>K6</v>
      </c>
      <c r="N1315" s="456"/>
      <c r="O1315"/>
      <c r="Z1315" s="460"/>
      <c r="AA1315" s="194"/>
      <c r="AB1315"/>
      <c r="AG1315" s="69"/>
      <c r="AH1315"/>
    </row>
    <row r="1316" spans="1:34" x14ac:dyDescent="0.2">
      <c r="A1316" s="655"/>
      <c r="B1316" s="655"/>
      <c r="C1316"/>
      <c r="D1316" s="655"/>
      <c r="E1316" s="655"/>
      <c r="F1316" s="655" t="str">
        <f>LEFT(AllDaqbookOffsets[[#This Row],[traceability_no]],2)</f>
        <v>K6</v>
      </c>
      <c r="N1316" s="456"/>
      <c r="O1316"/>
      <c r="Z1316" s="460"/>
      <c r="AA1316" s="194"/>
      <c r="AB1316"/>
      <c r="AG1316" s="69"/>
      <c r="AH1316"/>
    </row>
    <row r="1317" spans="1:34" x14ac:dyDescent="0.2">
      <c r="A1317" s="655"/>
      <c r="B1317" s="655"/>
      <c r="C1317"/>
      <c r="D1317" s="655"/>
      <c r="E1317" s="655"/>
      <c r="F1317" s="655" t="str">
        <f>LEFT(AllDaqbookOffsets[[#This Row],[traceability_no]],2)</f>
        <v>K6</v>
      </c>
      <c r="N1317" s="456"/>
      <c r="O1317"/>
      <c r="Z1317" s="460"/>
      <c r="AA1317" s="194"/>
      <c r="AB1317"/>
      <c r="AG1317" s="69"/>
      <c r="AH1317"/>
    </row>
    <row r="1318" spans="1:34" x14ac:dyDescent="0.2">
      <c r="A1318" s="655"/>
      <c r="B1318" s="655"/>
      <c r="C1318"/>
      <c r="D1318" s="655"/>
      <c r="E1318" s="655"/>
      <c r="F1318" s="655" t="str">
        <f>LEFT(AllDaqbookOffsets[[#This Row],[traceability_no]],2)</f>
        <v>K6</v>
      </c>
      <c r="N1318" s="456"/>
      <c r="O1318"/>
      <c r="Z1318" s="460"/>
      <c r="AA1318" s="194"/>
      <c r="AB1318"/>
      <c r="AG1318" s="69"/>
      <c r="AH1318"/>
    </row>
    <row r="1319" spans="1:34" x14ac:dyDescent="0.2">
      <c r="A1319" s="655"/>
      <c r="B1319" s="655"/>
      <c r="C1319"/>
      <c r="D1319" s="655"/>
      <c r="E1319" s="655"/>
      <c r="F1319" s="655" t="str">
        <f>LEFT(AllDaqbookOffsets[[#This Row],[traceability_no]],2)</f>
        <v>K6</v>
      </c>
      <c r="N1319" s="456"/>
      <c r="O1319"/>
      <c r="Z1319" s="460"/>
      <c r="AA1319" s="194"/>
      <c r="AB1319"/>
      <c r="AG1319" s="69"/>
      <c r="AH1319"/>
    </row>
    <row r="1320" spans="1:34" x14ac:dyDescent="0.2">
      <c r="A1320" s="655"/>
      <c r="B1320" s="655"/>
      <c r="C1320"/>
      <c r="D1320" s="655"/>
      <c r="E1320" s="655"/>
      <c r="F1320" s="655" t="str">
        <f>LEFT(AllDaqbookOffsets[[#This Row],[traceability_no]],2)</f>
        <v>K6</v>
      </c>
      <c r="N1320" s="456"/>
      <c r="O1320"/>
      <c r="Z1320" s="460"/>
      <c r="AA1320" s="194"/>
      <c r="AB1320"/>
      <c r="AG1320" s="69"/>
      <c r="AH1320"/>
    </row>
    <row r="1321" spans="1:34" x14ac:dyDescent="0.2">
      <c r="A1321" s="655"/>
      <c r="B1321" s="655"/>
      <c r="C1321"/>
      <c r="D1321" s="655"/>
      <c r="E1321" s="655"/>
      <c r="F1321" s="655" t="str">
        <f>LEFT(AllDaqbookOffsets[[#This Row],[traceability_no]],2)</f>
        <v>K6</v>
      </c>
      <c r="N1321" s="456"/>
      <c r="O1321"/>
      <c r="Z1321" s="460"/>
      <c r="AA1321" s="194"/>
      <c r="AB1321"/>
      <c r="AG1321" s="69"/>
      <c r="AH1321"/>
    </row>
    <row r="1322" spans="1:34" x14ac:dyDescent="0.2">
      <c r="A1322" s="655"/>
      <c r="B1322" s="655"/>
      <c r="C1322"/>
      <c r="D1322" s="655"/>
      <c r="E1322" s="655"/>
      <c r="F1322" s="655" t="str">
        <f>LEFT(AllDaqbookOffsets[[#This Row],[traceability_no]],2)</f>
        <v>K6</v>
      </c>
      <c r="N1322" s="456"/>
      <c r="O1322"/>
      <c r="Z1322" s="460"/>
      <c r="AA1322" s="194"/>
      <c r="AB1322"/>
      <c r="AG1322" s="69"/>
      <c r="AH1322"/>
    </row>
    <row r="1323" spans="1:34" x14ac:dyDescent="0.2">
      <c r="A1323" s="655"/>
      <c r="B1323" s="655"/>
      <c r="C1323"/>
      <c r="D1323" s="655"/>
      <c r="E1323" s="655"/>
      <c r="F1323" s="655" t="str">
        <f>LEFT(AllDaqbookOffsets[[#This Row],[traceability_no]],2)</f>
        <v>K6</v>
      </c>
      <c r="N1323" s="456"/>
      <c r="O1323"/>
      <c r="Z1323" s="460"/>
      <c r="AA1323" s="194"/>
      <c r="AB1323"/>
      <c r="AG1323" s="69"/>
      <c r="AH1323"/>
    </row>
    <row r="1324" spans="1:34" x14ac:dyDescent="0.2">
      <c r="A1324" s="655"/>
      <c r="B1324" s="655"/>
      <c r="C1324"/>
      <c r="D1324" s="655"/>
      <c r="E1324" s="655"/>
      <c r="F1324" s="655" t="str">
        <f>LEFT(AllDaqbookOffsets[[#This Row],[traceability_no]],2)</f>
        <v>K6</v>
      </c>
      <c r="N1324" s="456"/>
      <c r="O1324"/>
      <c r="Z1324" s="460"/>
      <c r="AA1324" s="194"/>
      <c r="AB1324"/>
      <c r="AG1324" s="69"/>
      <c r="AH1324"/>
    </row>
    <row r="1325" spans="1:34" x14ac:dyDescent="0.2">
      <c r="A1325" s="655"/>
      <c r="B1325" s="655"/>
      <c r="C1325"/>
      <c r="D1325" s="655"/>
      <c r="E1325" s="655"/>
      <c r="F1325" s="655" t="str">
        <f>LEFT(AllDaqbookOffsets[[#This Row],[traceability_no]],2)</f>
        <v>K6</v>
      </c>
      <c r="N1325" s="456"/>
      <c r="O1325"/>
      <c r="Z1325" s="460"/>
      <c r="AA1325" s="194"/>
      <c r="AB1325"/>
      <c r="AG1325" s="69"/>
      <c r="AH1325"/>
    </row>
    <row r="1326" spans="1:34" x14ac:dyDescent="0.2">
      <c r="A1326" s="655"/>
      <c r="B1326" s="655"/>
      <c r="C1326"/>
      <c r="D1326" s="655"/>
      <c r="E1326" s="655"/>
      <c r="F1326" s="655" t="str">
        <f>LEFT(AllDaqbookOffsets[[#This Row],[traceability_no]],2)</f>
        <v>K6</v>
      </c>
      <c r="N1326" s="456"/>
      <c r="O1326"/>
      <c r="Z1326" s="460"/>
      <c r="AA1326" s="194"/>
      <c r="AB1326"/>
      <c r="AG1326" s="69"/>
      <c r="AH1326"/>
    </row>
    <row r="1327" spans="1:34" x14ac:dyDescent="0.2">
      <c r="A1327" s="655"/>
      <c r="B1327" s="655"/>
      <c r="C1327"/>
      <c r="D1327" s="655"/>
      <c r="E1327" s="655"/>
      <c r="F1327" s="655" t="str">
        <f>LEFT(AllDaqbookOffsets[[#This Row],[traceability_no]],2)</f>
        <v>K6</v>
      </c>
      <c r="N1327" s="456"/>
      <c r="O1327"/>
      <c r="Z1327" s="460"/>
      <c r="AA1327" s="194"/>
      <c r="AB1327"/>
      <c r="AG1327" s="69"/>
      <c r="AH1327"/>
    </row>
    <row r="1328" spans="1:34" x14ac:dyDescent="0.2">
      <c r="A1328" s="655"/>
      <c r="B1328" s="655"/>
      <c r="C1328"/>
      <c r="D1328" s="655"/>
      <c r="E1328" s="655"/>
      <c r="F1328" s="655" t="str">
        <f>LEFT(AllDaqbookOffsets[[#This Row],[traceability_no]],2)</f>
        <v>K6</v>
      </c>
      <c r="N1328" s="456"/>
      <c r="O1328"/>
      <c r="Z1328" s="460"/>
      <c r="AA1328" s="194"/>
      <c r="AB1328"/>
      <c r="AG1328" s="69"/>
      <c r="AH1328"/>
    </row>
    <row r="1329" spans="1:34" x14ac:dyDescent="0.2">
      <c r="A1329" s="655"/>
      <c r="B1329" s="655"/>
      <c r="C1329"/>
      <c r="D1329" s="655"/>
      <c r="E1329" s="655"/>
      <c r="F1329" s="655" t="str">
        <f>LEFT(AllDaqbookOffsets[[#This Row],[traceability_no]],2)</f>
        <v>K6</v>
      </c>
      <c r="N1329" s="456"/>
      <c r="O1329"/>
      <c r="Z1329" s="460"/>
      <c r="AA1329" s="194"/>
      <c r="AB1329"/>
      <c r="AG1329" s="69"/>
      <c r="AH1329"/>
    </row>
    <row r="1330" spans="1:34" x14ac:dyDescent="0.2">
      <c r="A1330" s="655"/>
      <c r="B1330" s="655"/>
      <c r="C1330"/>
      <c r="D1330" s="655"/>
      <c r="E1330" s="655"/>
      <c r="F1330" s="655" t="str">
        <f>LEFT(AllDaqbookOffsets[[#This Row],[traceability_no]],2)</f>
        <v>K6</v>
      </c>
      <c r="N1330" s="456"/>
      <c r="O1330"/>
      <c r="Z1330" s="460"/>
      <c r="AA1330" s="194"/>
      <c r="AB1330"/>
      <c r="AG1330" s="69"/>
      <c r="AH1330"/>
    </row>
    <row r="1331" spans="1:34" x14ac:dyDescent="0.2">
      <c r="A1331" s="655"/>
      <c r="B1331" s="655"/>
      <c r="C1331"/>
      <c r="D1331" s="655"/>
      <c r="E1331" s="655"/>
      <c r="F1331" s="655" t="str">
        <f>LEFT(AllDaqbookOffsets[[#This Row],[traceability_no]],2)</f>
        <v>K6</v>
      </c>
      <c r="N1331" s="456"/>
      <c r="O1331"/>
      <c r="Z1331" s="460"/>
      <c r="AA1331" s="194"/>
      <c r="AB1331"/>
      <c r="AG1331" s="69"/>
      <c r="AH1331"/>
    </row>
    <row r="1332" spans="1:34" x14ac:dyDescent="0.2">
      <c r="A1332" s="655"/>
      <c r="B1332" s="655"/>
      <c r="C1332"/>
      <c r="D1332" s="655"/>
      <c r="E1332" s="655"/>
      <c r="F1332" s="655" t="str">
        <f>LEFT(AllDaqbookOffsets[[#This Row],[traceability_no]],2)</f>
        <v>K6</v>
      </c>
      <c r="N1332" s="456"/>
      <c r="O1332"/>
      <c r="Z1332" s="460"/>
      <c r="AA1332" s="194"/>
      <c r="AB1332"/>
      <c r="AG1332" s="69"/>
      <c r="AH1332"/>
    </row>
    <row r="1333" spans="1:34" x14ac:dyDescent="0.2">
      <c r="A1333" s="655"/>
      <c r="B1333" s="655"/>
      <c r="C1333"/>
      <c r="D1333" s="655"/>
      <c r="E1333" s="655"/>
      <c r="F1333" s="655" t="str">
        <f>LEFT(AllDaqbookOffsets[[#This Row],[traceability_no]],2)</f>
        <v>K6</v>
      </c>
      <c r="N1333" s="456"/>
      <c r="O1333"/>
      <c r="Z1333" s="460"/>
      <c r="AA1333" s="194"/>
      <c r="AB1333"/>
      <c r="AG1333" s="69"/>
      <c r="AH1333"/>
    </row>
    <row r="1334" spans="1:34" x14ac:dyDescent="0.2">
      <c r="A1334" s="655"/>
      <c r="B1334" s="655"/>
      <c r="C1334"/>
      <c r="D1334" s="655"/>
      <c r="E1334" s="655"/>
      <c r="F1334" s="655" t="str">
        <f>LEFT(AllDaqbookOffsets[[#This Row],[traceability_no]],2)</f>
        <v>K6</v>
      </c>
      <c r="N1334" s="456"/>
      <c r="O1334"/>
      <c r="Z1334" s="460"/>
      <c r="AA1334" s="194"/>
      <c r="AB1334"/>
      <c r="AG1334" s="69"/>
      <c r="AH1334"/>
    </row>
    <row r="1335" spans="1:34" x14ac:dyDescent="0.2">
      <c r="A1335" s="655"/>
      <c r="B1335" s="655"/>
      <c r="C1335"/>
      <c r="D1335" s="655"/>
      <c r="E1335" s="655"/>
      <c r="F1335" s="655" t="str">
        <f>LEFT(AllDaqbookOffsets[[#This Row],[traceability_no]],2)</f>
        <v>K6</v>
      </c>
      <c r="N1335" s="456"/>
      <c r="O1335"/>
      <c r="Z1335" s="460"/>
      <c r="AA1335" s="194"/>
      <c r="AB1335"/>
      <c r="AG1335" s="69"/>
      <c r="AH1335"/>
    </row>
    <row r="1336" spans="1:34" x14ac:dyDescent="0.2">
      <c r="A1336" s="655"/>
      <c r="B1336" s="655"/>
      <c r="C1336"/>
      <c r="D1336" s="655"/>
      <c r="E1336" s="655"/>
      <c r="F1336" s="655" t="str">
        <f>LEFT(AllDaqbookOffsets[[#This Row],[traceability_no]],2)</f>
        <v>K6</v>
      </c>
      <c r="N1336" s="456"/>
      <c r="O1336"/>
      <c r="Z1336" s="460"/>
      <c r="AA1336" s="194"/>
      <c r="AB1336"/>
      <c r="AG1336" s="69"/>
      <c r="AH1336"/>
    </row>
    <row r="1337" spans="1:34" x14ac:dyDescent="0.2">
      <c r="A1337" s="655"/>
      <c r="B1337" s="655"/>
      <c r="C1337"/>
      <c r="D1337" s="655"/>
      <c r="E1337" s="655"/>
      <c r="F1337" s="655" t="str">
        <f>LEFT(AllDaqbookOffsets[[#This Row],[traceability_no]],2)</f>
        <v>K6</v>
      </c>
      <c r="N1337" s="456"/>
      <c r="O1337"/>
      <c r="Z1337" s="460"/>
      <c r="AA1337" s="194"/>
      <c r="AB1337"/>
      <c r="AG1337" s="69"/>
      <c r="AH1337"/>
    </row>
    <row r="1338" spans="1:34" x14ac:dyDescent="0.2">
      <c r="A1338" s="655"/>
      <c r="B1338" s="655"/>
      <c r="C1338"/>
      <c r="D1338" s="655"/>
      <c r="E1338" s="655"/>
      <c r="F1338" s="655" t="str">
        <f>LEFT(AllDaqbookOffsets[[#This Row],[traceability_no]],2)</f>
        <v>K6</v>
      </c>
      <c r="N1338" s="456"/>
      <c r="O1338"/>
      <c r="Z1338" s="460"/>
      <c r="AA1338" s="194"/>
      <c r="AB1338"/>
      <c r="AG1338" s="69"/>
      <c r="AH1338"/>
    </row>
    <row r="1339" spans="1:34" x14ac:dyDescent="0.2">
      <c r="A1339" s="655"/>
      <c r="B1339" s="655"/>
      <c r="C1339"/>
      <c r="D1339" s="655"/>
      <c r="E1339" s="655"/>
      <c r="F1339" s="655" t="str">
        <f>LEFT(AllDaqbookOffsets[[#This Row],[traceability_no]],2)</f>
        <v>K6</v>
      </c>
      <c r="N1339" s="456"/>
      <c r="O1339"/>
      <c r="Z1339" s="460"/>
      <c r="AA1339" s="194"/>
      <c r="AB1339"/>
      <c r="AG1339" s="69"/>
      <c r="AH1339"/>
    </row>
    <row r="1340" spans="1:34" x14ac:dyDescent="0.2">
      <c r="A1340" s="655"/>
      <c r="B1340" s="655"/>
      <c r="C1340"/>
      <c r="D1340" s="655"/>
      <c r="E1340" s="655"/>
      <c r="F1340" s="655" t="str">
        <f>LEFT(AllDaqbookOffsets[[#This Row],[traceability_no]],2)</f>
        <v>K6</v>
      </c>
      <c r="N1340" s="456"/>
      <c r="O1340"/>
      <c r="Z1340" s="460"/>
      <c r="AA1340" s="194"/>
      <c r="AB1340"/>
      <c r="AG1340" s="69"/>
      <c r="AH1340"/>
    </row>
    <row r="1341" spans="1:34" x14ac:dyDescent="0.2">
      <c r="A1341" s="655"/>
      <c r="B1341" s="655"/>
      <c r="C1341"/>
      <c r="D1341" s="655"/>
      <c r="E1341" s="655"/>
      <c r="F1341" s="655" t="str">
        <f>LEFT(AllDaqbookOffsets[[#This Row],[traceability_no]],2)</f>
        <v>K6</v>
      </c>
      <c r="N1341" s="456"/>
      <c r="O1341"/>
      <c r="Z1341" s="460"/>
      <c r="AA1341" s="194"/>
      <c r="AB1341"/>
      <c r="AG1341" s="69"/>
      <c r="AH1341"/>
    </row>
    <row r="1342" spans="1:34" x14ac:dyDescent="0.2">
      <c r="A1342" s="655"/>
      <c r="B1342" s="655"/>
      <c r="C1342"/>
      <c r="D1342" s="655"/>
      <c r="E1342" s="655"/>
      <c r="F1342" s="655" t="str">
        <f>LEFT(AllDaqbookOffsets[[#This Row],[traceability_no]],2)</f>
        <v>K6</v>
      </c>
      <c r="N1342" s="456"/>
      <c r="O1342"/>
      <c r="Z1342" s="460"/>
      <c r="AA1342" s="194"/>
      <c r="AB1342"/>
      <c r="AG1342" s="69"/>
      <c r="AH1342"/>
    </row>
    <row r="1343" spans="1:34" x14ac:dyDescent="0.2">
      <c r="A1343" s="655"/>
      <c r="B1343" s="655"/>
      <c r="C1343"/>
      <c r="D1343" s="655"/>
      <c r="E1343" s="655"/>
      <c r="F1343" s="655" t="str">
        <f>LEFT(AllDaqbookOffsets[[#This Row],[traceability_no]],2)</f>
        <v>K6</v>
      </c>
      <c r="N1343" s="456"/>
      <c r="O1343"/>
      <c r="Z1343" s="460"/>
      <c r="AA1343" s="194"/>
      <c r="AB1343"/>
      <c r="AG1343" s="69"/>
      <c r="AH1343"/>
    </row>
    <row r="1344" spans="1:34" x14ac:dyDescent="0.2">
      <c r="A1344" s="655"/>
      <c r="B1344" s="655"/>
      <c r="C1344"/>
      <c r="D1344" s="655"/>
      <c r="E1344" s="655"/>
      <c r="F1344" s="655" t="str">
        <f>LEFT(AllDaqbookOffsets[[#This Row],[traceability_no]],2)</f>
        <v>K6</v>
      </c>
      <c r="N1344" s="456"/>
      <c r="O1344"/>
      <c r="Z1344" s="460"/>
      <c r="AA1344" s="194"/>
      <c r="AB1344"/>
      <c r="AG1344" s="69"/>
      <c r="AH1344"/>
    </row>
    <row r="1345" spans="1:34" x14ac:dyDescent="0.2">
      <c r="A1345" s="655"/>
      <c r="B1345" s="655"/>
      <c r="C1345"/>
      <c r="D1345" s="655"/>
      <c r="E1345" s="655"/>
      <c r="F1345" s="655" t="str">
        <f>LEFT(AllDaqbookOffsets[[#This Row],[traceability_no]],2)</f>
        <v>K6</v>
      </c>
      <c r="N1345" s="456"/>
      <c r="O1345"/>
      <c r="Z1345" s="460"/>
      <c r="AA1345" s="194"/>
      <c r="AB1345"/>
      <c r="AG1345" s="69"/>
      <c r="AH1345"/>
    </row>
    <row r="1346" spans="1:34" x14ac:dyDescent="0.2">
      <c r="A1346" s="655"/>
      <c r="B1346" s="655"/>
      <c r="C1346"/>
      <c r="D1346" s="655"/>
      <c r="E1346" s="655"/>
      <c r="F1346" s="655" t="str">
        <f>LEFT(AllDaqbookOffsets[[#This Row],[traceability_no]],2)</f>
        <v>K6</v>
      </c>
      <c r="N1346" s="456"/>
      <c r="O1346"/>
      <c r="Z1346" s="460"/>
      <c r="AA1346" s="194"/>
      <c r="AB1346"/>
      <c r="AG1346" s="69"/>
      <c r="AH1346"/>
    </row>
    <row r="1347" spans="1:34" x14ac:dyDescent="0.2">
      <c r="A1347" s="655"/>
      <c r="B1347" s="655"/>
      <c r="C1347"/>
      <c r="D1347" s="655"/>
      <c r="E1347" s="655"/>
      <c r="F1347" s="655" t="str">
        <f>LEFT(AllDaqbookOffsets[[#This Row],[traceability_no]],2)</f>
        <v>K6</v>
      </c>
      <c r="N1347" s="456"/>
      <c r="O1347"/>
      <c r="Z1347" s="460"/>
      <c r="AA1347" s="194"/>
      <c r="AB1347"/>
      <c r="AG1347" s="69"/>
      <c r="AH1347"/>
    </row>
    <row r="1348" spans="1:34" x14ac:dyDescent="0.2">
      <c r="A1348" s="655"/>
      <c r="B1348" s="655"/>
      <c r="C1348"/>
      <c r="D1348" s="655"/>
      <c r="E1348" s="655"/>
      <c r="F1348" s="655" t="str">
        <f>LEFT(AllDaqbookOffsets[[#This Row],[traceability_no]],2)</f>
        <v>K6</v>
      </c>
      <c r="N1348" s="456"/>
      <c r="O1348"/>
      <c r="Z1348" s="460"/>
      <c r="AA1348" s="194"/>
      <c r="AB1348"/>
      <c r="AG1348" s="69"/>
      <c r="AH1348"/>
    </row>
    <row r="1349" spans="1:34" x14ac:dyDescent="0.2">
      <c r="A1349" s="655"/>
      <c r="B1349" s="655"/>
      <c r="C1349"/>
      <c r="D1349" s="655"/>
      <c r="E1349" s="655"/>
      <c r="F1349" s="655" t="str">
        <f>LEFT(AllDaqbookOffsets[[#This Row],[traceability_no]],2)</f>
        <v>K6</v>
      </c>
      <c r="N1349" s="456"/>
      <c r="O1349"/>
      <c r="Z1349" s="460"/>
      <c r="AA1349" s="194"/>
      <c r="AB1349"/>
      <c r="AG1349" s="69"/>
      <c r="AH1349"/>
    </row>
    <row r="1350" spans="1:34" x14ac:dyDescent="0.2">
      <c r="A1350" s="655"/>
      <c r="B1350" s="655"/>
      <c r="C1350"/>
      <c r="D1350" s="655"/>
      <c r="E1350" s="655"/>
      <c r="F1350" s="655" t="str">
        <f>LEFT(AllDaqbookOffsets[[#This Row],[traceability_no]],2)</f>
        <v>K6</v>
      </c>
      <c r="N1350" s="456"/>
      <c r="O1350"/>
      <c r="Z1350" s="460"/>
      <c r="AA1350" s="194"/>
      <c r="AB1350"/>
      <c r="AG1350" s="69"/>
      <c r="AH1350"/>
    </row>
    <row r="1351" spans="1:34" x14ac:dyDescent="0.2">
      <c r="A1351" s="655"/>
      <c r="B1351" s="655"/>
      <c r="C1351"/>
      <c r="D1351" s="655"/>
      <c r="E1351" s="655"/>
      <c r="F1351" s="655" t="str">
        <f>LEFT(AllDaqbookOffsets[[#This Row],[traceability_no]],2)</f>
        <v>K6</v>
      </c>
      <c r="N1351" s="456"/>
      <c r="O1351"/>
      <c r="Z1351" s="460"/>
      <c r="AA1351" s="194"/>
      <c r="AB1351"/>
      <c r="AG1351" s="69"/>
      <c r="AH1351"/>
    </row>
    <row r="1352" spans="1:34" x14ac:dyDescent="0.2">
      <c r="A1352" s="655"/>
      <c r="B1352" s="655"/>
      <c r="C1352"/>
      <c r="D1352" s="655"/>
      <c r="E1352" s="655"/>
      <c r="F1352" s="655" t="str">
        <f>LEFT(AllDaqbookOffsets[[#This Row],[traceability_no]],2)</f>
        <v>K6</v>
      </c>
      <c r="N1352" s="456"/>
      <c r="O1352"/>
      <c r="Z1352" s="460"/>
      <c r="AA1352" s="194"/>
      <c r="AB1352"/>
      <c r="AG1352" s="69"/>
      <c r="AH1352"/>
    </row>
    <row r="1353" spans="1:34" x14ac:dyDescent="0.2">
      <c r="A1353" s="655"/>
      <c r="B1353" s="655"/>
      <c r="C1353"/>
      <c r="D1353" s="655"/>
      <c r="E1353" s="655"/>
      <c r="F1353" s="655" t="str">
        <f>LEFT(AllDaqbookOffsets[[#This Row],[traceability_no]],2)</f>
        <v>K6</v>
      </c>
      <c r="N1353" s="456"/>
      <c r="O1353"/>
      <c r="Z1353" s="460"/>
      <c r="AA1353" s="194"/>
      <c r="AB1353"/>
      <c r="AG1353" s="69"/>
      <c r="AH1353"/>
    </row>
    <row r="1354" spans="1:34" x14ac:dyDescent="0.2">
      <c r="A1354" s="655"/>
      <c r="B1354" s="655"/>
      <c r="C1354"/>
      <c r="D1354" s="655"/>
      <c r="E1354" s="655"/>
      <c r="F1354" s="655" t="str">
        <f>LEFT(AllDaqbookOffsets[[#This Row],[traceability_no]],2)</f>
        <v>K6</v>
      </c>
      <c r="N1354" s="456"/>
      <c r="O1354"/>
      <c r="Z1354" s="460"/>
      <c r="AA1354" s="194"/>
      <c r="AB1354"/>
      <c r="AG1354" s="69"/>
      <c r="AH1354"/>
    </row>
    <row r="1355" spans="1:34" x14ac:dyDescent="0.2">
      <c r="A1355" s="655"/>
      <c r="B1355" s="655"/>
      <c r="C1355"/>
      <c r="D1355" s="655"/>
      <c r="E1355" s="655"/>
      <c r="F1355" s="655" t="str">
        <f>LEFT(AllDaqbookOffsets[[#This Row],[traceability_no]],2)</f>
        <v>K6</v>
      </c>
      <c r="N1355" s="456"/>
      <c r="O1355"/>
      <c r="Z1355" s="460"/>
      <c r="AA1355" s="194"/>
      <c r="AB1355"/>
      <c r="AG1355" s="69"/>
      <c r="AH1355"/>
    </row>
    <row r="1356" spans="1:34" x14ac:dyDescent="0.2">
      <c r="A1356" s="655"/>
      <c r="B1356" s="655"/>
      <c r="C1356"/>
      <c r="D1356" s="655"/>
      <c r="E1356" s="655"/>
      <c r="F1356" s="655" t="str">
        <f>LEFT(AllDaqbookOffsets[[#This Row],[traceability_no]],2)</f>
        <v>K6</v>
      </c>
      <c r="N1356" s="456"/>
      <c r="O1356"/>
      <c r="Z1356" s="460"/>
      <c r="AA1356" s="194"/>
      <c r="AB1356"/>
      <c r="AG1356" s="69"/>
      <c r="AH1356"/>
    </row>
    <row r="1357" spans="1:34" x14ac:dyDescent="0.2">
      <c r="A1357" s="655"/>
      <c r="B1357" s="655"/>
      <c r="C1357"/>
      <c r="D1357" s="655"/>
      <c r="E1357" s="655"/>
      <c r="F1357" s="655" t="str">
        <f>LEFT(AllDaqbookOffsets[[#This Row],[traceability_no]],2)</f>
        <v>K6</v>
      </c>
      <c r="N1357" s="456"/>
      <c r="O1357"/>
      <c r="Z1357" s="460"/>
      <c r="AA1357" s="194"/>
      <c r="AB1357"/>
      <c r="AG1357" s="69"/>
      <c r="AH1357"/>
    </row>
    <row r="1358" spans="1:34" x14ac:dyDescent="0.2">
      <c r="A1358" s="655"/>
      <c r="B1358" s="655"/>
      <c r="C1358"/>
      <c r="D1358" s="655"/>
      <c r="E1358" s="655"/>
      <c r="F1358" s="655" t="str">
        <f>LEFT(AllDaqbookOffsets[[#This Row],[traceability_no]],2)</f>
        <v>K6</v>
      </c>
      <c r="N1358" s="456"/>
      <c r="O1358"/>
      <c r="Z1358" s="460"/>
      <c r="AA1358" s="194"/>
      <c r="AB1358"/>
      <c r="AG1358" s="69"/>
      <c r="AH1358"/>
    </row>
    <row r="1359" spans="1:34" x14ac:dyDescent="0.2">
      <c r="A1359" s="655"/>
      <c r="B1359" s="655"/>
      <c r="C1359"/>
      <c r="D1359" s="655"/>
      <c r="E1359" s="655"/>
      <c r="F1359" s="655" t="str">
        <f>LEFT(AllDaqbookOffsets[[#This Row],[traceability_no]],2)</f>
        <v>K6</v>
      </c>
      <c r="N1359" s="456"/>
      <c r="O1359"/>
      <c r="Z1359" s="460"/>
      <c r="AA1359" s="194"/>
      <c r="AB1359"/>
      <c r="AG1359" s="69"/>
      <c r="AH1359"/>
    </row>
    <row r="1360" spans="1:34" x14ac:dyDescent="0.2">
      <c r="A1360" s="655"/>
      <c r="B1360" s="655"/>
      <c r="C1360"/>
      <c r="D1360" s="655"/>
      <c r="E1360" s="655"/>
      <c r="F1360" s="655" t="str">
        <f>LEFT(AllDaqbookOffsets[[#This Row],[traceability_no]],2)</f>
        <v>K6</v>
      </c>
      <c r="N1360" s="456"/>
      <c r="O1360"/>
      <c r="Z1360" s="460"/>
      <c r="AA1360" s="194"/>
      <c r="AB1360"/>
      <c r="AG1360" s="69"/>
      <c r="AH1360"/>
    </row>
    <row r="1361" spans="1:34" x14ac:dyDescent="0.2">
      <c r="A1361" s="655"/>
      <c r="B1361" s="655"/>
      <c r="C1361"/>
      <c r="D1361" s="655"/>
      <c r="E1361" s="655"/>
      <c r="F1361" s="655" t="str">
        <f>LEFT(AllDaqbookOffsets[[#This Row],[traceability_no]],2)</f>
        <v>K6</v>
      </c>
      <c r="N1361" s="456"/>
      <c r="O1361"/>
      <c r="Z1361" s="460"/>
      <c r="AA1361" s="194"/>
      <c r="AB1361"/>
      <c r="AG1361" s="69"/>
      <c r="AH1361"/>
    </row>
    <row r="1362" spans="1:34" x14ac:dyDescent="0.2">
      <c r="A1362" s="655"/>
      <c r="B1362" s="655"/>
      <c r="C1362"/>
      <c r="D1362" s="655"/>
      <c r="E1362" s="655"/>
      <c r="F1362" s="655" t="str">
        <f>LEFT(AllDaqbookOffsets[[#This Row],[traceability_no]],2)</f>
        <v>K6</v>
      </c>
      <c r="N1362" s="456"/>
      <c r="O1362"/>
      <c r="Z1362" s="460"/>
      <c r="AA1362" s="194"/>
      <c r="AB1362"/>
      <c r="AG1362" s="69"/>
      <c r="AH1362"/>
    </row>
    <row r="1363" spans="1:34" x14ac:dyDescent="0.2">
      <c r="A1363" s="655"/>
      <c r="B1363" s="655"/>
      <c r="C1363"/>
      <c r="D1363" s="655"/>
      <c r="E1363" s="655"/>
      <c r="F1363" s="655" t="str">
        <f>LEFT(AllDaqbookOffsets[[#This Row],[traceability_no]],2)</f>
        <v>K6</v>
      </c>
      <c r="N1363" s="456"/>
      <c r="O1363"/>
      <c r="Z1363" s="460"/>
      <c r="AA1363" s="194"/>
      <c r="AB1363"/>
      <c r="AG1363" s="69"/>
      <c r="AH1363"/>
    </row>
    <row r="1364" spans="1:34" x14ac:dyDescent="0.2">
      <c r="A1364" s="655"/>
      <c r="B1364" s="655"/>
      <c r="C1364"/>
      <c r="D1364" s="655"/>
      <c r="E1364" s="655"/>
      <c r="F1364" s="655" t="str">
        <f>LEFT(AllDaqbookOffsets[[#This Row],[traceability_no]],2)</f>
        <v>K6</v>
      </c>
      <c r="N1364" s="456"/>
      <c r="O1364"/>
      <c r="Z1364" s="460"/>
      <c r="AA1364" s="194"/>
      <c r="AB1364"/>
      <c r="AG1364" s="69"/>
      <c r="AH1364"/>
    </row>
    <row r="1365" spans="1:34" x14ac:dyDescent="0.2">
      <c r="A1365" s="655"/>
      <c r="B1365" s="655"/>
      <c r="C1365"/>
      <c r="D1365" s="655"/>
      <c r="E1365" s="655"/>
      <c r="F1365" s="655" t="str">
        <f>LEFT(AllDaqbookOffsets[[#This Row],[traceability_no]],2)</f>
        <v>K6</v>
      </c>
      <c r="N1365" s="456"/>
      <c r="O1365"/>
      <c r="Z1365" s="460"/>
      <c r="AA1365" s="194"/>
      <c r="AB1365"/>
      <c r="AG1365" s="69"/>
      <c r="AH1365"/>
    </row>
    <row r="1366" spans="1:34" x14ac:dyDescent="0.2">
      <c r="A1366" s="655"/>
      <c r="B1366" s="655"/>
      <c r="C1366"/>
      <c r="D1366" s="655"/>
      <c r="E1366" s="655"/>
      <c r="F1366" s="655" t="str">
        <f>LEFT(AllDaqbookOffsets[[#This Row],[traceability_no]],2)</f>
        <v>K6</v>
      </c>
      <c r="N1366" s="456"/>
      <c r="O1366"/>
      <c r="Z1366" s="460"/>
      <c r="AA1366" s="194"/>
      <c r="AB1366"/>
      <c r="AG1366" s="69"/>
      <c r="AH1366"/>
    </row>
    <row r="1367" spans="1:34" x14ac:dyDescent="0.2">
      <c r="A1367" s="655"/>
      <c r="B1367" s="655"/>
      <c r="C1367"/>
      <c r="D1367" s="655"/>
      <c r="E1367" s="655"/>
      <c r="F1367" s="655" t="str">
        <f>LEFT(AllDaqbookOffsets[[#This Row],[traceability_no]],2)</f>
        <v>K6</v>
      </c>
      <c r="N1367" s="456"/>
      <c r="O1367"/>
      <c r="Z1367" s="460"/>
      <c r="AA1367" s="194"/>
      <c r="AB1367"/>
      <c r="AG1367" s="69"/>
      <c r="AH1367"/>
    </row>
    <row r="1368" spans="1:34" x14ac:dyDescent="0.2">
      <c r="A1368" s="655"/>
      <c r="B1368" s="655"/>
      <c r="C1368"/>
      <c r="D1368" s="655"/>
      <c r="E1368" s="655"/>
      <c r="F1368" s="655" t="str">
        <f>LEFT(AllDaqbookOffsets[[#This Row],[traceability_no]],2)</f>
        <v>K6</v>
      </c>
      <c r="N1368" s="456"/>
      <c r="O1368"/>
      <c r="Z1368" s="460"/>
      <c r="AA1368" s="194"/>
      <c r="AB1368"/>
      <c r="AG1368" s="69"/>
      <c r="AH1368"/>
    </row>
    <row r="1369" spans="1:34" x14ac:dyDescent="0.2">
      <c r="A1369" s="655"/>
      <c r="B1369" s="655"/>
      <c r="C1369"/>
      <c r="D1369" s="655"/>
      <c r="E1369" s="655"/>
      <c r="F1369" s="655" t="str">
        <f>LEFT(AllDaqbookOffsets[[#This Row],[traceability_no]],2)</f>
        <v>K6</v>
      </c>
      <c r="N1369" s="456"/>
      <c r="O1369"/>
      <c r="Z1369" s="460"/>
      <c r="AA1369" s="194"/>
      <c r="AB1369"/>
      <c r="AG1369" s="69"/>
      <c r="AH1369"/>
    </row>
    <row r="1370" spans="1:34" x14ac:dyDescent="0.2">
      <c r="A1370" s="655"/>
      <c r="B1370" s="655"/>
      <c r="C1370"/>
      <c r="D1370" s="655"/>
      <c r="E1370" s="655"/>
      <c r="F1370" s="655" t="str">
        <f>LEFT(AllDaqbookOffsets[[#This Row],[traceability_no]],2)</f>
        <v>K7</v>
      </c>
      <c r="N1370" s="456"/>
      <c r="O1370"/>
      <c r="Z1370" s="460"/>
      <c r="AA1370" s="194"/>
      <c r="AB1370"/>
      <c r="AG1370" s="69"/>
      <c r="AH1370"/>
    </row>
    <row r="1371" spans="1:34" x14ac:dyDescent="0.2">
      <c r="A1371" s="655"/>
      <c r="B1371" s="655"/>
      <c r="C1371"/>
      <c r="D1371" s="655"/>
      <c r="E1371" s="655"/>
      <c r="F1371" s="655" t="str">
        <f>LEFT(AllDaqbookOffsets[[#This Row],[traceability_no]],2)</f>
        <v>K7</v>
      </c>
      <c r="N1371" s="456"/>
      <c r="O1371"/>
      <c r="Z1371" s="460"/>
      <c r="AA1371" s="194"/>
      <c r="AB1371"/>
      <c r="AG1371" s="69"/>
      <c r="AH1371"/>
    </row>
    <row r="1372" spans="1:34" x14ac:dyDescent="0.2">
      <c r="A1372" s="655"/>
      <c r="B1372" s="655"/>
      <c r="C1372"/>
      <c r="D1372" s="655"/>
      <c r="E1372" s="655"/>
      <c r="F1372" s="655" t="str">
        <f>LEFT(AllDaqbookOffsets[[#This Row],[traceability_no]],2)</f>
        <v>K7</v>
      </c>
      <c r="N1372" s="456"/>
      <c r="O1372"/>
      <c r="Z1372" s="460"/>
      <c r="AA1372" s="194"/>
      <c r="AB1372"/>
      <c r="AG1372" s="69"/>
      <c r="AH1372"/>
    </row>
    <row r="1373" spans="1:34" x14ac:dyDescent="0.2">
      <c r="A1373" s="655"/>
      <c r="B1373" s="655"/>
      <c r="C1373"/>
      <c r="D1373" s="655"/>
      <c r="E1373" s="655"/>
      <c r="F1373" s="655" t="str">
        <f>LEFT(AllDaqbookOffsets[[#This Row],[traceability_no]],2)</f>
        <v>K7</v>
      </c>
      <c r="N1373" s="456"/>
      <c r="O1373"/>
      <c r="Z1373" s="460"/>
      <c r="AA1373" s="194"/>
      <c r="AB1373"/>
      <c r="AG1373" s="69"/>
      <c r="AH1373"/>
    </row>
    <row r="1374" spans="1:34" x14ac:dyDescent="0.2">
      <c r="A1374" s="655"/>
      <c r="B1374" s="655"/>
      <c r="C1374"/>
      <c r="D1374" s="655"/>
      <c r="E1374" s="655"/>
      <c r="F1374" s="655" t="str">
        <f>LEFT(AllDaqbookOffsets[[#This Row],[traceability_no]],2)</f>
        <v>K7</v>
      </c>
      <c r="N1374" s="456"/>
      <c r="O1374"/>
      <c r="Z1374" s="460"/>
      <c r="AA1374" s="194"/>
      <c r="AB1374"/>
      <c r="AG1374" s="69"/>
      <c r="AH1374"/>
    </row>
    <row r="1375" spans="1:34" x14ac:dyDescent="0.2">
      <c r="A1375" s="655"/>
      <c r="B1375" s="655"/>
      <c r="C1375"/>
      <c r="D1375" s="655"/>
      <c r="E1375" s="655"/>
      <c r="F1375" s="655" t="str">
        <f>LEFT(AllDaqbookOffsets[[#This Row],[traceability_no]],2)</f>
        <v>K7</v>
      </c>
      <c r="N1375" s="456"/>
      <c r="O1375"/>
      <c r="Z1375" s="460"/>
      <c r="AA1375" s="194"/>
      <c r="AB1375"/>
      <c r="AG1375" s="69"/>
      <c r="AH1375"/>
    </row>
    <row r="1376" spans="1:34" x14ac:dyDescent="0.2">
      <c r="A1376" s="655"/>
      <c r="B1376" s="655"/>
      <c r="C1376"/>
      <c r="D1376" s="655"/>
      <c r="E1376" s="655"/>
      <c r="F1376" s="655" t="str">
        <f>LEFT(AllDaqbookOffsets[[#This Row],[traceability_no]],2)</f>
        <v>K7</v>
      </c>
      <c r="N1376" s="456"/>
      <c r="O1376"/>
      <c r="Z1376" s="460"/>
      <c r="AA1376" s="194"/>
      <c r="AB1376"/>
      <c r="AG1376" s="69"/>
      <c r="AH1376"/>
    </row>
    <row r="1377" spans="1:34" x14ac:dyDescent="0.2">
      <c r="A1377" s="655"/>
      <c r="B1377" s="655"/>
      <c r="C1377"/>
      <c r="D1377" s="655"/>
      <c r="E1377" s="655"/>
      <c r="F1377" s="655" t="str">
        <f>LEFT(AllDaqbookOffsets[[#This Row],[traceability_no]],2)</f>
        <v>K7</v>
      </c>
      <c r="N1377" s="456"/>
      <c r="O1377"/>
      <c r="Z1377" s="460"/>
      <c r="AA1377" s="194"/>
      <c r="AB1377"/>
      <c r="AG1377" s="69"/>
      <c r="AH1377"/>
    </row>
    <row r="1378" spans="1:34" x14ac:dyDescent="0.2">
      <c r="A1378" s="655"/>
      <c r="B1378" s="655"/>
      <c r="C1378"/>
      <c r="D1378" s="655"/>
      <c r="E1378" s="655"/>
      <c r="F1378" s="655" t="str">
        <f>LEFT(AllDaqbookOffsets[[#This Row],[traceability_no]],2)</f>
        <v>K7</v>
      </c>
      <c r="N1378" s="456"/>
      <c r="O1378"/>
      <c r="Z1378" s="460"/>
      <c r="AA1378" s="194"/>
      <c r="AB1378"/>
      <c r="AG1378" s="69"/>
      <c r="AH1378"/>
    </row>
    <row r="1379" spans="1:34" x14ac:dyDescent="0.2">
      <c r="A1379" s="655"/>
      <c r="B1379" s="655"/>
      <c r="C1379"/>
      <c r="D1379" s="655"/>
      <c r="E1379" s="655"/>
      <c r="F1379" s="655" t="str">
        <f>LEFT(AllDaqbookOffsets[[#This Row],[traceability_no]],2)</f>
        <v>K7</v>
      </c>
      <c r="N1379" s="456"/>
      <c r="O1379"/>
      <c r="Z1379" s="460"/>
      <c r="AA1379" s="194"/>
      <c r="AB1379"/>
      <c r="AG1379" s="69"/>
      <c r="AH1379"/>
    </row>
    <row r="1380" spans="1:34" x14ac:dyDescent="0.2">
      <c r="A1380" s="655"/>
      <c r="B1380" s="655"/>
      <c r="C1380"/>
      <c r="D1380" s="655"/>
      <c r="E1380" s="655"/>
      <c r="F1380" s="655" t="str">
        <f>LEFT(AllDaqbookOffsets[[#This Row],[traceability_no]],2)</f>
        <v>K7</v>
      </c>
      <c r="N1380" s="456"/>
      <c r="O1380"/>
      <c r="Z1380" s="460"/>
      <c r="AA1380" s="194"/>
      <c r="AB1380"/>
      <c r="AG1380" s="69"/>
      <c r="AH1380"/>
    </row>
    <row r="1381" spans="1:34" x14ac:dyDescent="0.2">
      <c r="A1381" s="655"/>
      <c r="B1381" s="655"/>
      <c r="C1381"/>
      <c r="D1381" s="655"/>
      <c r="E1381" s="655"/>
      <c r="F1381" s="655" t="str">
        <f>LEFT(AllDaqbookOffsets[[#This Row],[traceability_no]],2)</f>
        <v>K7</v>
      </c>
      <c r="N1381" s="456"/>
      <c r="O1381"/>
      <c r="Z1381" s="460"/>
      <c r="AA1381" s="194"/>
      <c r="AB1381"/>
      <c r="AG1381" s="69"/>
      <c r="AH1381"/>
    </row>
    <row r="1382" spans="1:34" x14ac:dyDescent="0.2">
      <c r="A1382" s="655"/>
      <c r="B1382" s="655"/>
      <c r="C1382"/>
      <c r="D1382" s="655"/>
      <c r="E1382" s="655"/>
      <c r="F1382" s="655" t="str">
        <f>LEFT(AllDaqbookOffsets[[#This Row],[traceability_no]],2)</f>
        <v>K7</v>
      </c>
      <c r="N1382" s="456"/>
      <c r="O1382"/>
      <c r="Z1382" s="460"/>
      <c r="AA1382" s="194"/>
      <c r="AB1382"/>
      <c r="AG1382" s="69"/>
      <c r="AH1382"/>
    </row>
    <row r="1383" spans="1:34" x14ac:dyDescent="0.2">
      <c r="A1383" s="655"/>
      <c r="B1383" s="655"/>
      <c r="C1383"/>
      <c r="D1383" s="655"/>
      <c r="E1383" s="655"/>
      <c r="F1383" s="655" t="str">
        <f>LEFT(AllDaqbookOffsets[[#This Row],[traceability_no]],2)</f>
        <v>K7</v>
      </c>
      <c r="N1383" s="456"/>
      <c r="O1383"/>
      <c r="Z1383" s="460"/>
      <c r="AA1383" s="194"/>
      <c r="AB1383"/>
      <c r="AG1383" s="69"/>
      <c r="AH1383"/>
    </row>
    <row r="1384" spans="1:34" x14ac:dyDescent="0.2">
      <c r="A1384" s="655"/>
      <c r="B1384" s="655"/>
      <c r="C1384"/>
      <c r="D1384" s="655"/>
      <c r="E1384" s="655"/>
      <c r="F1384" s="655" t="str">
        <f>LEFT(AllDaqbookOffsets[[#This Row],[traceability_no]],2)</f>
        <v>K7</v>
      </c>
      <c r="N1384" s="456"/>
      <c r="O1384"/>
      <c r="Z1384" s="460"/>
      <c r="AA1384" s="194"/>
      <c r="AB1384"/>
      <c r="AG1384" s="69"/>
      <c r="AH1384"/>
    </row>
    <row r="1385" spans="1:34" x14ac:dyDescent="0.2">
      <c r="A1385" s="655"/>
      <c r="B1385" s="655"/>
      <c r="C1385"/>
      <c r="D1385" s="655"/>
      <c r="E1385" s="655"/>
      <c r="F1385" s="655" t="str">
        <f>LEFT(AllDaqbookOffsets[[#This Row],[traceability_no]],2)</f>
        <v>K7</v>
      </c>
      <c r="N1385" s="456"/>
      <c r="O1385"/>
      <c r="Z1385" s="460"/>
      <c r="AA1385" s="194"/>
      <c r="AB1385"/>
      <c r="AG1385" s="69"/>
      <c r="AH1385"/>
    </row>
    <row r="1386" spans="1:34" x14ac:dyDescent="0.2">
      <c r="A1386" s="655"/>
      <c r="B1386" s="655"/>
      <c r="C1386"/>
      <c r="D1386" s="655"/>
      <c r="E1386" s="655"/>
      <c r="F1386" s="655" t="str">
        <f>LEFT(AllDaqbookOffsets[[#This Row],[traceability_no]],2)</f>
        <v>K7</v>
      </c>
      <c r="N1386" s="456"/>
      <c r="O1386"/>
      <c r="Z1386" s="460"/>
      <c r="AA1386" s="194"/>
      <c r="AB1386"/>
      <c r="AG1386" s="69"/>
      <c r="AH1386"/>
    </row>
    <row r="1387" spans="1:34" x14ac:dyDescent="0.2">
      <c r="A1387" s="655"/>
      <c r="B1387" s="655"/>
      <c r="C1387"/>
      <c r="D1387" s="655"/>
      <c r="E1387" s="655"/>
      <c r="F1387" s="655" t="str">
        <f>LEFT(AllDaqbookOffsets[[#This Row],[traceability_no]],2)</f>
        <v>K7</v>
      </c>
      <c r="N1387" s="456"/>
      <c r="O1387"/>
      <c r="Z1387" s="460"/>
      <c r="AA1387" s="194"/>
      <c r="AB1387"/>
      <c r="AG1387" s="69"/>
      <c r="AH1387"/>
    </row>
    <row r="1388" spans="1:34" x14ac:dyDescent="0.2">
      <c r="A1388" s="655"/>
      <c r="B1388" s="655"/>
      <c r="C1388"/>
      <c r="D1388" s="655"/>
      <c r="E1388" s="655"/>
      <c r="F1388" s="655" t="str">
        <f>LEFT(AllDaqbookOffsets[[#This Row],[traceability_no]],2)</f>
        <v>K7</v>
      </c>
      <c r="N1388" s="456"/>
      <c r="O1388"/>
      <c r="Z1388" s="460"/>
      <c r="AA1388" s="194"/>
      <c r="AB1388"/>
      <c r="AG1388" s="69"/>
      <c r="AH1388"/>
    </row>
    <row r="1389" spans="1:34" x14ac:dyDescent="0.2">
      <c r="A1389" s="655"/>
      <c r="B1389" s="655"/>
      <c r="C1389"/>
      <c r="D1389" s="655"/>
      <c r="E1389" s="655"/>
      <c r="F1389" s="655" t="str">
        <f>LEFT(AllDaqbookOffsets[[#This Row],[traceability_no]],2)</f>
        <v>K7</v>
      </c>
      <c r="N1389" s="456"/>
      <c r="O1389"/>
      <c r="Z1389" s="460"/>
      <c r="AA1389" s="194"/>
      <c r="AB1389"/>
      <c r="AG1389" s="69"/>
      <c r="AH1389"/>
    </row>
    <row r="1390" spans="1:34" x14ac:dyDescent="0.2">
      <c r="A1390" s="655"/>
      <c r="B1390" s="655"/>
      <c r="C1390"/>
      <c r="D1390" s="655"/>
      <c r="E1390" s="655"/>
      <c r="F1390" s="655" t="str">
        <f>LEFT(AllDaqbookOffsets[[#This Row],[traceability_no]],2)</f>
        <v>K7</v>
      </c>
      <c r="N1390" s="456"/>
      <c r="O1390"/>
      <c r="Z1390" s="460"/>
      <c r="AA1390" s="194"/>
      <c r="AB1390"/>
      <c r="AG1390" s="69"/>
      <c r="AH1390"/>
    </row>
    <row r="1391" spans="1:34" x14ac:dyDescent="0.2">
      <c r="A1391" s="655"/>
      <c r="B1391" s="655"/>
      <c r="C1391"/>
      <c r="D1391" s="655"/>
      <c r="E1391" s="655"/>
      <c r="F1391" s="655" t="str">
        <f>LEFT(AllDaqbookOffsets[[#This Row],[traceability_no]],2)</f>
        <v>K7</v>
      </c>
      <c r="N1391" s="456"/>
      <c r="O1391"/>
      <c r="Z1391" s="460"/>
      <c r="AA1391" s="194"/>
      <c r="AB1391"/>
      <c r="AG1391" s="69"/>
      <c r="AH1391"/>
    </row>
    <row r="1392" spans="1:34" x14ac:dyDescent="0.2">
      <c r="A1392" s="655"/>
      <c r="B1392" s="655"/>
      <c r="C1392"/>
      <c r="D1392" s="655"/>
      <c r="E1392" s="655"/>
      <c r="F1392" s="655" t="str">
        <f>LEFT(AllDaqbookOffsets[[#This Row],[traceability_no]],2)</f>
        <v>K7</v>
      </c>
      <c r="N1392" s="456"/>
      <c r="O1392"/>
      <c r="Z1392" s="460"/>
      <c r="AA1392" s="194"/>
      <c r="AB1392"/>
      <c r="AG1392" s="69"/>
      <c r="AH1392"/>
    </row>
    <row r="1393" spans="1:34" x14ac:dyDescent="0.2">
      <c r="A1393" s="655"/>
      <c r="B1393" s="655"/>
      <c r="C1393"/>
      <c r="D1393" s="655"/>
      <c r="E1393" s="655"/>
      <c r="F1393" s="655" t="str">
        <f>LEFT(AllDaqbookOffsets[[#This Row],[traceability_no]],2)</f>
        <v>K7</v>
      </c>
      <c r="N1393" s="456"/>
      <c r="O1393"/>
      <c r="Z1393" s="460"/>
      <c r="AA1393" s="194"/>
      <c r="AB1393"/>
      <c r="AG1393" s="69"/>
      <c r="AH1393"/>
    </row>
    <row r="1394" spans="1:34" x14ac:dyDescent="0.2">
      <c r="A1394" s="655"/>
      <c r="B1394" s="655"/>
      <c r="C1394"/>
      <c r="D1394" s="655"/>
      <c r="E1394" s="655"/>
      <c r="F1394" s="655" t="str">
        <f>LEFT(AllDaqbookOffsets[[#This Row],[traceability_no]],2)</f>
        <v>K7</v>
      </c>
      <c r="N1394" s="456"/>
      <c r="O1394"/>
      <c r="Z1394" s="460"/>
      <c r="AA1394" s="194"/>
      <c r="AB1394"/>
      <c r="AG1394" s="69"/>
      <c r="AH1394"/>
    </row>
    <row r="1395" spans="1:34" x14ac:dyDescent="0.2">
      <c r="A1395" s="655"/>
      <c r="B1395" s="655"/>
      <c r="C1395"/>
      <c r="D1395" s="655"/>
      <c r="E1395" s="655"/>
      <c r="F1395" s="655" t="str">
        <f>LEFT(AllDaqbookOffsets[[#This Row],[traceability_no]],2)</f>
        <v>K7</v>
      </c>
      <c r="N1395" s="456"/>
      <c r="O1395"/>
      <c r="Z1395" s="460"/>
      <c r="AA1395" s="194"/>
      <c r="AB1395"/>
      <c r="AG1395" s="69"/>
      <c r="AH1395"/>
    </row>
    <row r="1396" spans="1:34" x14ac:dyDescent="0.2">
      <c r="A1396" s="655"/>
      <c r="B1396" s="655"/>
      <c r="C1396"/>
      <c r="D1396" s="655"/>
      <c r="E1396" s="655"/>
      <c r="F1396" s="655" t="str">
        <f>LEFT(AllDaqbookOffsets[[#This Row],[traceability_no]],2)</f>
        <v>K7</v>
      </c>
      <c r="N1396" s="456"/>
      <c r="O1396"/>
      <c r="Z1396" s="460"/>
      <c r="AA1396" s="194"/>
      <c r="AB1396"/>
      <c r="AG1396" s="69"/>
      <c r="AH1396"/>
    </row>
    <row r="1397" spans="1:34" x14ac:dyDescent="0.2">
      <c r="A1397" s="655"/>
      <c r="B1397" s="655"/>
      <c r="C1397"/>
      <c r="D1397" s="655"/>
      <c r="E1397" s="655"/>
      <c r="F1397" s="655" t="str">
        <f>LEFT(AllDaqbookOffsets[[#This Row],[traceability_no]],2)</f>
        <v>K7</v>
      </c>
      <c r="N1397" s="456"/>
      <c r="O1397"/>
      <c r="Z1397" s="460"/>
      <c r="AA1397" s="194"/>
      <c r="AB1397"/>
      <c r="AG1397" s="69"/>
      <c r="AH1397"/>
    </row>
    <row r="1398" spans="1:34" x14ac:dyDescent="0.2">
      <c r="A1398" s="655"/>
      <c r="B1398" s="655"/>
      <c r="C1398"/>
      <c r="D1398" s="655"/>
      <c r="E1398" s="655"/>
      <c r="F1398" s="655" t="str">
        <f>LEFT(AllDaqbookOffsets[[#This Row],[traceability_no]],2)</f>
        <v>K7</v>
      </c>
      <c r="N1398" s="456"/>
      <c r="O1398"/>
      <c r="Z1398" s="460"/>
      <c r="AA1398" s="194"/>
      <c r="AB1398"/>
      <c r="AG1398" s="69"/>
      <c r="AH1398"/>
    </row>
    <row r="1399" spans="1:34" x14ac:dyDescent="0.2">
      <c r="A1399" s="655"/>
      <c r="B1399" s="655"/>
      <c r="C1399"/>
      <c r="D1399" s="655"/>
      <c r="E1399" s="655"/>
      <c r="F1399" s="655" t="str">
        <f>LEFT(AllDaqbookOffsets[[#This Row],[traceability_no]],2)</f>
        <v>K7</v>
      </c>
      <c r="N1399" s="456"/>
      <c r="O1399"/>
      <c r="Z1399" s="460"/>
      <c r="AA1399" s="194"/>
      <c r="AB1399"/>
      <c r="AG1399" s="69"/>
      <c r="AH1399"/>
    </row>
    <row r="1400" spans="1:34" x14ac:dyDescent="0.2">
      <c r="A1400" s="655"/>
      <c r="B1400" s="655"/>
      <c r="C1400"/>
      <c r="D1400" s="655"/>
      <c r="E1400" s="655"/>
      <c r="F1400" s="655" t="str">
        <f>LEFT(AllDaqbookOffsets[[#This Row],[traceability_no]],2)</f>
        <v>K7</v>
      </c>
      <c r="N1400" s="456"/>
      <c r="O1400"/>
      <c r="Z1400" s="460"/>
      <c r="AA1400" s="194"/>
      <c r="AB1400"/>
      <c r="AG1400" s="69"/>
      <c r="AH1400"/>
    </row>
    <row r="1401" spans="1:34" x14ac:dyDescent="0.2">
      <c r="A1401" s="655"/>
      <c r="B1401" s="655"/>
      <c r="C1401"/>
      <c r="D1401" s="655"/>
      <c r="E1401" s="655"/>
      <c r="F1401" s="655" t="str">
        <f>LEFT(AllDaqbookOffsets[[#This Row],[traceability_no]],2)</f>
        <v>K7</v>
      </c>
      <c r="N1401" s="456"/>
      <c r="O1401"/>
      <c r="Z1401" s="460"/>
      <c r="AA1401" s="194"/>
      <c r="AB1401"/>
      <c r="AG1401" s="69"/>
      <c r="AH1401"/>
    </row>
    <row r="1402" spans="1:34" x14ac:dyDescent="0.2">
      <c r="A1402" s="655"/>
      <c r="B1402" s="655"/>
      <c r="C1402"/>
      <c r="D1402" s="655"/>
      <c r="E1402" s="655"/>
      <c r="F1402" s="655" t="str">
        <f>LEFT(AllDaqbookOffsets[[#This Row],[traceability_no]],2)</f>
        <v>K7</v>
      </c>
      <c r="N1402" s="456"/>
      <c r="O1402"/>
      <c r="Z1402" s="460"/>
      <c r="AA1402" s="194"/>
      <c r="AB1402"/>
      <c r="AG1402" s="69"/>
      <c r="AH1402"/>
    </row>
    <row r="1403" spans="1:34" x14ac:dyDescent="0.2">
      <c r="A1403" s="655"/>
      <c r="B1403" s="655"/>
      <c r="C1403"/>
      <c r="D1403" s="655"/>
      <c r="E1403" s="655"/>
      <c r="F1403" s="655" t="str">
        <f>LEFT(AllDaqbookOffsets[[#This Row],[traceability_no]],2)</f>
        <v>K7</v>
      </c>
      <c r="N1403" s="456"/>
      <c r="O1403"/>
      <c r="Z1403" s="460"/>
      <c r="AA1403" s="194"/>
      <c r="AB1403"/>
      <c r="AG1403" s="69"/>
      <c r="AH1403"/>
    </row>
    <row r="1404" spans="1:34" x14ac:dyDescent="0.2">
      <c r="A1404" s="655"/>
      <c r="B1404" s="655"/>
      <c r="C1404"/>
      <c r="D1404" s="655"/>
      <c r="E1404" s="655"/>
      <c r="F1404" s="655" t="str">
        <f>LEFT(AllDaqbookOffsets[[#This Row],[traceability_no]],2)</f>
        <v>K7</v>
      </c>
      <c r="N1404" s="456"/>
      <c r="O1404"/>
      <c r="Z1404" s="460"/>
      <c r="AA1404" s="194"/>
      <c r="AB1404"/>
      <c r="AG1404" s="69"/>
      <c r="AH1404"/>
    </row>
    <row r="1405" spans="1:34" x14ac:dyDescent="0.2">
      <c r="A1405" s="655"/>
      <c r="B1405" s="655"/>
      <c r="C1405"/>
      <c r="D1405" s="655"/>
      <c r="E1405" s="655"/>
      <c r="F1405" s="655" t="str">
        <f>LEFT(AllDaqbookOffsets[[#This Row],[traceability_no]],2)</f>
        <v>K7</v>
      </c>
      <c r="N1405" s="456"/>
      <c r="O1405"/>
      <c r="Z1405" s="460"/>
      <c r="AA1405" s="194"/>
      <c r="AB1405"/>
      <c r="AG1405" s="69"/>
      <c r="AH1405"/>
    </row>
    <row r="1406" spans="1:34" x14ac:dyDescent="0.2">
      <c r="A1406" s="655"/>
      <c r="B1406" s="655"/>
      <c r="C1406"/>
      <c r="D1406" s="655"/>
      <c r="E1406" s="655"/>
      <c r="F1406" s="655" t="str">
        <f>LEFT(AllDaqbookOffsets[[#This Row],[traceability_no]],2)</f>
        <v>K7</v>
      </c>
      <c r="N1406" s="456"/>
      <c r="O1406"/>
      <c r="Z1406" s="460"/>
      <c r="AA1406" s="194"/>
      <c r="AB1406"/>
      <c r="AG1406" s="69"/>
      <c r="AH1406"/>
    </row>
    <row r="1407" spans="1:34" x14ac:dyDescent="0.2">
      <c r="A1407" s="655"/>
      <c r="B1407" s="655"/>
      <c r="C1407"/>
      <c r="D1407" s="655"/>
      <c r="E1407" s="655"/>
      <c r="F1407" s="655" t="str">
        <f>LEFT(AllDaqbookOffsets[[#This Row],[traceability_no]],2)</f>
        <v>K7</v>
      </c>
      <c r="N1407" s="456"/>
      <c r="O1407"/>
      <c r="Z1407" s="460"/>
      <c r="AA1407" s="194"/>
      <c r="AB1407"/>
      <c r="AG1407" s="69"/>
      <c r="AH1407"/>
    </row>
    <row r="1408" spans="1:34" x14ac:dyDescent="0.2">
      <c r="A1408" s="655"/>
      <c r="B1408" s="655"/>
      <c r="C1408"/>
      <c r="D1408" s="655"/>
      <c r="E1408" s="655"/>
      <c r="F1408" s="655" t="str">
        <f>LEFT(AllDaqbookOffsets[[#This Row],[traceability_no]],2)</f>
        <v>K7</v>
      </c>
      <c r="N1408" s="456"/>
      <c r="O1408"/>
      <c r="Z1408" s="460"/>
      <c r="AA1408" s="194"/>
      <c r="AB1408"/>
      <c r="AG1408" s="69"/>
      <c r="AH1408"/>
    </row>
    <row r="1409" spans="1:34" x14ac:dyDescent="0.2">
      <c r="A1409" s="655"/>
      <c r="B1409" s="655"/>
      <c r="C1409"/>
      <c r="D1409" s="655"/>
      <c r="E1409" s="655"/>
      <c r="F1409" s="655" t="str">
        <f>LEFT(AllDaqbookOffsets[[#This Row],[traceability_no]],2)</f>
        <v>K7</v>
      </c>
      <c r="N1409" s="456"/>
      <c r="O1409"/>
      <c r="Z1409" s="460"/>
      <c r="AA1409" s="194"/>
      <c r="AB1409"/>
      <c r="AG1409" s="69"/>
      <c r="AH1409"/>
    </row>
    <row r="1410" spans="1:34" x14ac:dyDescent="0.2">
      <c r="A1410" s="655"/>
      <c r="B1410" s="655"/>
      <c r="C1410"/>
      <c r="D1410" s="655"/>
      <c r="E1410" s="655"/>
      <c r="F1410" s="655" t="str">
        <f>LEFT(AllDaqbookOffsets[[#This Row],[traceability_no]],2)</f>
        <v>K7</v>
      </c>
      <c r="N1410" s="456"/>
      <c r="O1410"/>
      <c r="Z1410" s="460"/>
      <c r="AA1410" s="194"/>
      <c r="AB1410"/>
      <c r="AG1410" s="69"/>
      <c r="AH1410"/>
    </row>
    <row r="1411" spans="1:34" x14ac:dyDescent="0.2">
      <c r="A1411" s="655"/>
      <c r="B1411" s="655"/>
      <c r="C1411"/>
      <c r="D1411" s="655"/>
      <c r="E1411" s="655"/>
      <c r="F1411" s="655" t="str">
        <f>LEFT(AllDaqbookOffsets[[#This Row],[traceability_no]],2)</f>
        <v>K7</v>
      </c>
      <c r="N1411" s="456"/>
      <c r="O1411"/>
      <c r="Z1411" s="460"/>
      <c r="AA1411" s="194"/>
      <c r="AB1411"/>
      <c r="AG1411" s="69"/>
      <c r="AH1411"/>
    </row>
    <row r="1412" spans="1:34" x14ac:dyDescent="0.2">
      <c r="A1412" s="655"/>
      <c r="B1412" s="655"/>
      <c r="C1412"/>
      <c r="D1412" s="655"/>
      <c r="E1412" s="655"/>
      <c r="F1412" s="655" t="str">
        <f>LEFT(AllDaqbookOffsets[[#This Row],[traceability_no]],2)</f>
        <v>K7</v>
      </c>
      <c r="N1412" s="456"/>
      <c r="O1412"/>
      <c r="Z1412" s="460"/>
      <c r="AA1412" s="194"/>
      <c r="AB1412"/>
      <c r="AG1412" s="69"/>
      <c r="AH1412"/>
    </row>
    <row r="1413" spans="1:34" x14ac:dyDescent="0.2">
      <c r="A1413" s="655"/>
      <c r="B1413" s="655"/>
      <c r="C1413"/>
      <c r="D1413" s="655"/>
      <c r="E1413" s="655"/>
      <c r="F1413" s="655" t="str">
        <f>LEFT(AllDaqbookOffsets[[#This Row],[traceability_no]],2)</f>
        <v>K7</v>
      </c>
      <c r="N1413" s="456"/>
      <c r="O1413"/>
      <c r="Z1413" s="460"/>
      <c r="AA1413" s="194"/>
      <c r="AB1413"/>
      <c r="AG1413" s="69"/>
      <c r="AH1413"/>
    </row>
    <row r="1414" spans="1:34" x14ac:dyDescent="0.2">
      <c r="A1414" s="655"/>
      <c r="B1414" s="655"/>
      <c r="C1414"/>
      <c r="D1414" s="655"/>
      <c r="E1414" s="655"/>
      <c r="F1414" s="655" t="str">
        <f>LEFT(AllDaqbookOffsets[[#This Row],[traceability_no]],2)</f>
        <v>K7</v>
      </c>
      <c r="N1414" s="456"/>
      <c r="O1414"/>
      <c r="Z1414" s="460"/>
      <c r="AA1414" s="194"/>
      <c r="AB1414"/>
      <c r="AG1414" s="69"/>
      <c r="AH1414"/>
    </row>
    <row r="1415" spans="1:34" x14ac:dyDescent="0.2">
      <c r="A1415" s="655"/>
      <c r="B1415" s="655"/>
      <c r="C1415"/>
      <c r="D1415" s="655"/>
      <c r="E1415" s="655"/>
      <c r="F1415" s="655" t="str">
        <f>LEFT(AllDaqbookOffsets[[#This Row],[traceability_no]],2)</f>
        <v>K7</v>
      </c>
      <c r="N1415" s="456"/>
      <c r="O1415"/>
      <c r="Z1415" s="460"/>
      <c r="AA1415" s="194"/>
      <c r="AB1415"/>
      <c r="AG1415" s="69"/>
      <c r="AH1415"/>
    </row>
    <row r="1416" spans="1:34" x14ac:dyDescent="0.2">
      <c r="A1416" s="655"/>
      <c r="B1416" s="655"/>
      <c r="C1416"/>
      <c r="D1416" s="655"/>
      <c r="E1416" s="655"/>
      <c r="F1416" s="655" t="str">
        <f>LEFT(AllDaqbookOffsets[[#This Row],[traceability_no]],2)</f>
        <v>K7</v>
      </c>
      <c r="N1416" s="456"/>
      <c r="O1416"/>
      <c r="Z1416" s="460"/>
      <c r="AA1416" s="194"/>
      <c r="AB1416"/>
      <c r="AG1416" s="69"/>
      <c r="AH1416"/>
    </row>
    <row r="1417" spans="1:34" x14ac:dyDescent="0.2">
      <c r="A1417" s="655"/>
      <c r="B1417" s="655"/>
      <c r="C1417"/>
      <c r="D1417" s="655"/>
      <c r="E1417" s="655"/>
      <c r="F1417" s="655" t="str">
        <f>LEFT(AllDaqbookOffsets[[#This Row],[traceability_no]],2)</f>
        <v>K7</v>
      </c>
      <c r="N1417" s="456"/>
      <c r="O1417"/>
      <c r="Z1417" s="460"/>
      <c r="AA1417" s="194"/>
      <c r="AB1417"/>
      <c r="AG1417" s="69"/>
      <c r="AH1417"/>
    </row>
    <row r="1418" spans="1:34" x14ac:dyDescent="0.2">
      <c r="A1418" s="655"/>
      <c r="B1418" s="655"/>
      <c r="C1418"/>
      <c r="D1418" s="655"/>
      <c r="E1418" s="655"/>
      <c r="F1418" s="655" t="str">
        <f>LEFT(AllDaqbookOffsets[[#This Row],[traceability_no]],2)</f>
        <v>K7</v>
      </c>
      <c r="N1418" s="456"/>
      <c r="O1418"/>
      <c r="Z1418" s="460"/>
      <c r="AA1418" s="194"/>
      <c r="AB1418"/>
      <c r="AG1418" s="69"/>
      <c r="AH1418"/>
    </row>
    <row r="1419" spans="1:34" x14ac:dyDescent="0.2">
      <c r="A1419" s="655"/>
      <c r="B1419" s="655"/>
      <c r="C1419"/>
      <c r="D1419" s="655"/>
      <c r="E1419" s="655"/>
      <c r="F1419" s="655" t="str">
        <f>LEFT(AllDaqbookOffsets[[#This Row],[traceability_no]],2)</f>
        <v>K7</v>
      </c>
      <c r="N1419" s="456"/>
      <c r="O1419"/>
      <c r="Z1419" s="460"/>
      <c r="AA1419" s="194"/>
      <c r="AB1419"/>
      <c r="AG1419" s="69"/>
      <c r="AH1419"/>
    </row>
    <row r="1420" spans="1:34" x14ac:dyDescent="0.2">
      <c r="A1420" s="655"/>
      <c r="B1420" s="655"/>
      <c r="C1420"/>
      <c r="D1420" s="655"/>
      <c r="E1420" s="655"/>
      <c r="F1420" s="655" t="str">
        <f>LEFT(AllDaqbookOffsets[[#This Row],[traceability_no]],2)</f>
        <v>K7</v>
      </c>
      <c r="N1420" s="456"/>
      <c r="O1420"/>
      <c r="Z1420" s="460"/>
      <c r="AA1420" s="194"/>
      <c r="AB1420"/>
      <c r="AG1420" s="69"/>
      <c r="AH1420"/>
    </row>
    <row r="1421" spans="1:34" x14ac:dyDescent="0.2">
      <c r="A1421" s="655"/>
      <c r="B1421" s="655"/>
      <c r="C1421"/>
      <c r="D1421" s="655"/>
      <c r="E1421" s="655"/>
      <c r="F1421" s="655" t="str">
        <f>LEFT(AllDaqbookOffsets[[#This Row],[traceability_no]],2)</f>
        <v>K7</v>
      </c>
      <c r="N1421" s="456"/>
      <c r="O1421"/>
      <c r="Z1421" s="460"/>
      <c r="AA1421" s="194"/>
      <c r="AB1421"/>
      <c r="AG1421" s="69"/>
      <c r="AH1421"/>
    </row>
    <row r="1422" spans="1:34" x14ac:dyDescent="0.2">
      <c r="A1422" s="655"/>
      <c r="B1422" s="655"/>
      <c r="C1422"/>
      <c r="D1422" s="655"/>
      <c r="E1422" s="655"/>
      <c r="F1422" s="655" t="str">
        <f>LEFT(AllDaqbookOffsets[[#This Row],[traceability_no]],2)</f>
        <v>K7</v>
      </c>
      <c r="N1422" s="456"/>
      <c r="O1422"/>
      <c r="Z1422" s="460"/>
      <c r="AA1422" s="194"/>
      <c r="AB1422"/>
      <c r="AG1422" s="69"/>
      <c r="AH1422"/>
    </row>
    <row r="1423" spans="1:34" x14ac:dyDescent="0.2">
      <c r="A1423" s="655"/>
      <c r="B1423" s="655"/>
      <c r="C1423"/>
      <c r="D1423" s="655"/>
      <c r="E1423" s="655"/>
      <c r="F1423" s="655" t="str">
        <f>LEFT(AllDaqbookOffsets[[#This Row],[traceability_no]],2)</f>
        <v>K7</v>
      </c>
      <c r="N1423" s="456"/>
      <c r="O1423"/>
      <c r="Z1423" s="460"/>
      <c r="AA1423" s="194"/>
      <c r="AB1423"/>
      <c r="AG1423" s="69"/>
      <c r="AH1423"/>
    </row>
    <row r="1424" spans="1:34" x14ac:dyDescent="0.2">
      <c r="A1424" s="655"/>
      <c r="B1424" s="655"/>
      <c r="C1424"/>
      <c r="D1424" s="655"/>
      <c r="E1424" s="655"/>
      <c r="F1424" s="655" t="str">
        <f>LEFT(AllDaqbookOffsets[[#This Row],[traceability_no]],2)</f>
        <v>K7</v>
      </c>
      <c r="N1424" s="456"/>
      <c r="O1424"/>
      <c r="Z1424" s="460"/>
      <c r="AA1424" s="194"/>
      <c r="AB1424"/>
      <c r="AG1424" s="69"/>
      <c r="AH1424"/>
    </row>
    <row r="1425" spans="1:34" x14ac:dyDescent="0.2">
      <c r="A1425" s="655"/>
      <c r="B1425" s="655"/>
      <c r="C1425"/>
      <c r="D1425" s="655"/>
      <c r="E1425" s="655"/>
      <c r="F1425" s="655" t="str">
        <f>LEFT(AllDaqbookOffsets[[#This Row],[traceability_no]],2)</f>
        <v>K7</v>
      </c>
      <c r="N1425" s="456"/>
      <c r="O1425"/>
      <c r="Z1425" s="460"/>
      <c r="AA1425" s="194"/>
      <c r="AB1425"/>
      <c r="AG1425" s="69"/>
      <c r="AH1425"/>
    </row>
    <row r="1426" spans="1:34" x14ac:dyDescent="0.2">
      <c r="A1426" s="655"/>
      <c r="B1426" s="655"/>
      <c r="C1426"/>
      <c r="D1426" s="655"/>
      <c r="E1426" s="655"/>
      <c r="F1426" s="655" t="str">
        <f>LEFT(AllDaqbookOffsets[[#This Row],[traceability_no]],2)</f>
        <v>K7</v>
      </c>
      <c r="N1426" s="456"/>
      <c r="O1426"/>
      <c r="Z1426" s="460"/>
      <c r="AA1426" s="194"/>
      <c r="AB1426"/>
      <c r="AG1426" s="69"/>
      <c r="AH1426"/>
    </row>
    <row r="1427" spans="1:34" x14ac:dyDescent="0.2">
      <c r="A1427" s="655"/>
      <c r="B1427" s="655"/>
      <c r="C1427"/>
      <c r="D1427" s="655"/>
      <c r="E1427" s="655"/>
      <c r="F1427" s="655" t="str">
        <f>LEFT(AllDaqbookOffsets[[#This Row],[traceability_no]],2)</f>
        <v>K7</v>
      </c>
      <c r="N1427" s="456"/>
      <c r="O1427"/>
      <c r="Z1427" s="460"/>
      <c r="AA1427" s="194"/>
      <c r="AB1427"/>
      <c r="AG1427" s="69"/>
      <c r="AH1427"/>
    </row>
    <row r="1428" spans="1:34" x14ac:dyDescent="0.2">
      <c r="A1428" s="655"/>
      <c r="B1428" s="655"/>
      <c r="C1428"/>
      <c r="D1428" s="655"/>
      <c r="E1428" s="655"/>
      <c r="F1428" s="655" t="str">
        <f>LEFT(AllDaqbookOffsets[[#This Row],[traceability_no]],2)</f>
        <v>K7</v>
      </c>
      <c r="N1428" s="456"/>
      <c r="O1428"/>
      <c r="Z1428" s="460"/>
      <c r="AA1428" s="194"/>
      <c r="AB1428"/>
      <c r="AG1428" s="69"/>
      <c r="AH1428"/>
    </row>
    <row r="1429" spans="1:34" x14ac:dyDescent="0.2">
      <c r="A1429" s="655"/>
      <c r="B1429" s="655"/>
      <c r="C1429"/>
      <c r="D1429" s="655"/>
      <c r="E1429" s="655"/>
      <c r="F1429" s="655" t="str">
        <f>LEFT(AllDaqbookOffsets[[#This Row],[traceability_no]],2)</f>
        <v>K7</v>
      </c>
      <c r="N1429" s="456"/>
      <c r="O1429"/>
      <c r="Z1429" s="460"/>
      <c r="AA1429" s="194"/>
      <c r="AB1429"/>
      <c r="AG1429" s="69"/>
      <c r="AH1429"/>
    </row>
    <row r="1430" spans="1:34" x14ac:dyDescent="0.2">
      <c r="A1430" s="655"/>
      <c r="B1430" s="655"/>
      <c r="C1430"/>
      <c r="D1430" s="655"/>
      <c r="E1430" s="655"/>
      <c r="F1430" s="655" t="str">
        <f>LEFT(AllDaqbookOffsets[[#This Row],[traceability_no]],2)</f>
        <v>K7</v>
      </c>
      <c r="N1430" s="456"/>
      <c r="O1430"/>
      <c r="Z1430" s="460"/>
      <c r="AA1430" s="194"/>
      <c r="AB1430"/>
      <c r="AG1430" s="69"/>
      <c r="AH1430"/>
    </row>
    <row r="1431" spans="1:34" x14ac:dyDescent="0.2">
      <c r="A1431" s="655"/>
      <c r="B1431" s="655"/>
      <c r="C1431"/>
      <c r="D1431" s="655"/>
      <c r="E1431" s="655"/>
      <c r="F1431" s="655" t="str">
        <f>LEFT(AllDaqbookOffsets[[#This Row],[traceability_no]],2)</f>
        <v>K7</v>
      </c>
      <c r="N1431" s="456"/>
      <c r="O1431"/>
      <c r="Z1431" s="460"/>
      <c r="AA1431" s="194"/>
      <c r="AB1431"/>
      <c r="AG1431" s="69"/>
      <c r="AH1431"/>
    </row>
    <row r="1432" spans="1:34" x14ac:dyDescent="0.2">
      <c r="A1432" s="655"/>
      <c r="B1432" s="655"/>
      <c r="C1432"/>
      <c r="D1432" s="655"/>
      <c r="E1432" s="655"/>
      <c r="F1432" s="655" t="str">
        <f>LEFT(AllDaqbookOffsets[[#This Row],[traceability_no]],2)</f>
        <v>K7</v>
      </c>
      <c r="N1432" s="456"/>
      <c r="O1432"/>
      <c r="Z1432" s="460"/>
      <c r="AA1432" s="194"/>
      <c r="AB1432"/>
      <c r="AG1432" s="69"/>
      <c r="AH1432"/>
    </row>
    <row r="1433" spans="1:34" x14ac:dyDescent="0.2">
      <c r="A1433" s="655"/>
      <c r="B1433" s="655"/>
      <c r="C1433"/>
      <c r="D1433" s="655"/>
      <c r="E1433" s="655"/>
      <c r="F1433" s="655" t="str">
        <f>LEFT(AllDaqbookOffsets[[#This Row],[traceability_no]],2)</f>
        <v>K7</v>
      </c>
      <c r="N1433" s="456"/>
      <c r="O1433"/>
      <c r="Z1433" s="460"/>
      <c r="AA1433" s="194"/>
      <c r="AB1433"/>
      <c r="AG1433" s="69"/>
      <c r="AH1433"/>
    </row>
    <row r="1434" spans="1:34" x14ac:dyDescent="0.2">
      <c r="A1434" s="655"/>
      <c r="B1434" s="655"/>
      <c r="C1434"/>
      <c r="D1434" s="655"/>
      <c r="E1434" s="655"/>
      <c r="F1434" s="655" t="str">
        <f>LEFT(AllDaqbookOffsets[[#This Row],[traceability_no]],2)</f>
        <v>K7</v>
      </c>
      <c r="N1434" s="456"/>
      <c r="O1434"/>
      <c r="Z1434" s="460"/>
      <c r="AA1434" s="194"/>
      <c r="AB1434"/>
      <c r="AG1434" s="69"/>
      <c r="AH1434"/>
    </row>
    <row r="1435" spans="1:34" x14ac:dyDescent="0.2">
      <c r="A1435" s="655"/>
      <c r="B1435" s="655"/>
      <c r="C1435"/>
      <c r="D1435" s="655"/>
      <c r="E1435" s="655"/>
      <c r="F1435" s="655" t="str">
        <f>LEFT(AllDaqbookOffsets[[#This Row],[traceability_no]],2)</f>
        <v>K7</v>
      </c>
      <c r="N1435" s="456"/>
      <c r="O1435"/>
      <c r="Z1435" s="460"/>
      <c r="AA1435" s="194"/>
      <c r="AB1435"/>
      <c r="AG1435" s="69"/>
      <c r="AH1435"/>
    </row>
    <row r="1436" spans="1:34" x14ac:dyDescent="0.2">
      <c r="A1436" s="655"/>
      <c r="B1436" s="655"/>
      <c r="C1436"/>
      <c r="D1436" s="655"/>
      <c r="E1436" s="655"/>
      <c r="F1436" s="655" t="str">
        <f>LEFT(AllDaqbookOffsets[[#This Row],[traceability_no]],2)</f>
        <v>K7</v>
      </c>
      <c r="N1436" s="456"/>
      <c r="O1436"/>
      <c r="Z1436" s="460"/>
      <c r="AA1436" s="194"/>
      <c r="AB1436"/>
      <c r="AG1436" s="69"/>
      <c r="AH1436"/>
    </row>
    <row r="1437" spans="1:34" x14ac:dyDescent="0.2">
      <c r="A1437" s="655"/>
      <c r="B1437" s="655"/>
      <c r="C1437"/>
      <c r="D1437" s="655"/>
      <c r="E1437" s="655"/>
      <c r="F1437" s="655" t="str">
        <f>LEFT(AllDaqbookOffsets[[#This Row],[traceability_no]],2)</f>
        <v>K7</v>
      </c>
      <c r="N1437" s="456"/>
      <c r="O1437"/>
      <c r="Z1437" s="460"/>
      <c r="AA1437" s="194"/>
      <c r="AB1437"/>
      <c r="AG1437" s="69"/>
      <c r="AH1437"/>
    </row>
    <row r="1438" spans="1:34" x14ac:dyDescent="0.2">
      <c r="A1438" s="655"/>
      <c r="B1438" s="655"/>
      <c r="C1438"/>
      <c r="D1438" s="655"/>
      <c r="E1438" s="655"/>
      <c r="F1438" s="655" t="str">
        <f>LEFT(AllDaqbookOffsets[[#This Row],[traceability_no]],2)</f>
        <v>K7</v>
      </c>
      <c r="N1438" s="456"/>
      <c r="O1438"/>
      <c r="Z1438" s="460"/>
      <c r="AA1438" s="194"/>
      <c r="AB1438"/>
      <c r="AG1438" s="69"/>
      <c r="AH1438"/>
    </row>
    <row r="1439" spans="1:34" x14ac:dyDescent="0.2">
      <c r="A1439" s="655"/>
      <c r="B1439" s="655"/>
      <c r="C1439"/>
      <c r="D1439" s="655"/>
      <c r="E1439" s="655"/>
      <c r="F1439" s="655" t="str">
        <f>LEFT(AllDaqbookOffsets[[#This Row],[traceability_no]],2)</f>
        <v>K7</v>
      </c>
      <c r="N1439" s="456"/>
      <c r="O1439"/>
      <c r="Z1439" s="460"/>
      <c r="AA1439" s="194"/>
      <c r="AB1439"/>
      <c r="AG1439" s="69"/>
      <c r="AH1439"/>
    </row>
    <row r="1440" spans="1:34" x14ac:dyDescent="0.2">
      <c r="A1440" s="655"/>
      <c r="B1440" s="655"/>
      <c r="C1440"/>
      <c r="D1440" s="655"/>
      <c r="E1440" s="655"/>
      <c r="F1440" s="655" t="str">
        <f>LEFT(AllDaqbookOffsets[[#This Row],[traceability_no]],2)</f>
        <v>K7</v>
      </c>
      <c r="N1440" s="456"/>
      <c r="O1440"/>
      <c r="Z1440" s="460"/>
      <c r="AA1440" s="194"/>
      <c r="AB1440"/>
      <c r="AG1440" s="69"/>
      <c r="AH1440"/>
    </row>
    <row r="1441" spans="1:34" x14ac:dyDescent="0.2">
      <c r="A1441" s="655"/>
      <c r="B1441" s="655"/>
      <c r="C1441"/>
      <c r="D1441" s="655"/>
      <c r="E1441" s="655"/>
      <c r="F1441" s="655" t="str">
        <f>LEFT(AllDaqbookOffsets[[#This Row],[traceability_no]],2)</f>
        <v>K7</v>
      </c>
      <c r="N1441" s="456"/>
      <c r="O1441"/>
      <c r="Z1441" s="460"/>
      <c r="AA1441" s="194"/>
      <c r="AB1441"/>
      <c r="AG1441" s="69"/>
      <c r="AH1441"/>
    </row>
    <row r="1442" spans="1:34" x14ac:dyDescent="0.2">
      <c r="A1442" s="655"/>
      <c r="B1442" s="655"/>
      <c r="C1442"/>
      <c r="D1442" s="655"/>
      <c r="E1442" s="655"/>
      <c r="F1442" s="655" t="str">
        <f>LEFT(AllDaqbookOffsets[[#This Row],[traceability_no]],2)</f>
        <v>K7</v>
      </c>
      <c r="N1442" s="456"/>
      <c r="O1442"/>
      <c r="Z1442" s="460"/>
      <c r="AA1442" s="194"/>
      <c r="AB1442"/>
      <c r="AG1442" s="69"/>
      <c r="AH1442"/>
    </row>
    <row r="1443" spans="1:34" x14ac:dyDescent="0.2">
      <c r="A1443" s="655"/>
      <c r="B1443" s="655"/>
      <c r="C1443"/>
      <c r="D1443" s="655"/>
      <c r="E1443" s="655"/>
      <c r="F1443" s="655" t="str">
        <f>LEFT(AllDaqbookOffsets[[#This Row],[traceability_no]],2)</f>
        <v>K7</v>
      </c>
      <c r="N1443" s="456"/>
      <c r="O1443"/>
      <c r="Z1443" s="460"/>
      <c r="AA1443" s="194"/>
      <c r="AB1443"/>
      <c r="AG1443" s="69"/>
      <c r="AH1443"/>
    </row>
    <row r="1444" spans="1:34" x14ac:dyDescent="0.2">
      <c r="A1444" s="655"/>
      <c r="B1444" s="655"/>
      <c r="C1444"/>
      <c r="D1444" s="655"/>
      <c r="E1444" s="655"/>
      <c r="F1444" s="655" t="str">
        <f>LEFT(AllDaqbookOffsets[[#This Row],[traceability_no]],2)</f>
        <v>K7</v>
      </c>
      <c r="N1444" s="456"/>
      <c r="O1444"/>
      <c r="Z1444" s="460"/>
      <c r="AA1444" s="194"/>
      <c r="AB1444"/>
      <c r="AG1444" s="69"/>
      <c r="AH1444"/>
    </row>
    <row r="1445" spans="1:34" x14ac:dyDescent="0.2">
      <c r="A1445" s="655"/>
      <c r="B1445" s="655"/>
      <c r="C1445"/>
      <c r="D1445" s="655"/>
      <c r="E1445" s="655"/>
      <c r="F1445" s="655" t="str">
        <f>LEFT(AllDaqbookOffsets[[#This Row],[traceability_no]],2)</f>
        <v>K7</v>
      </c>
      <c r="N1445" s="456"/>
      <c r="O1445"/>
      <c r="Z1445" s="460"/>
      <c r="AA1445" s="194"/>
      <c r="AB1445"/>
      <c r="AG1445" s="69"/>
      <c r="AH1445"/>
    </row>
    <row r="1446" spans="1:34" x14ac:dyDescent="0.2">
      <c r="A1446" s="655"/>
      <c r="B1446" s="655"/>
      <c r="C1446"/>
      <c r="D1446" s="655"/>
      <c r="E1446" s="655"/>
      <c r="F1446" s="655" t="str">
        <f>LEFT(AllDaqbookOffsets[[#This Row],[traceability_no]],2)</f>
        <v>K7</v>
      </c>
      <c r="N1446" s="456"/>
      <c r="O1446"/>
      <c r="Z1446" s="460"/>
      <c r="AA1446" s="194"/>
      <c r="AB1446"/>
      <c r="AG1446" s="69"/>
      <c r="AH1446"/>
    </row>
    <row r="1447" spans="1:34" x14ac:dyDescent="0.2">
      <c r="A1447" s="655"/>
      <c r="B1447" s="655"/>
      <c r="C1447"/>
      <c r="D1447" s="655"/>
      <c r="E1447" s="655"/>
      <c r="F1447" s="655" t="str">
        <f>LEFT(AllDaqbookOffsets[[#This Row],[traceability_no]],2)</f>
        <v>K7</v>
      </c>
      <c r="N1447" s="456"/>
      <c r="O1447"/>
      <c r="Z1447" s="460"/>
      <c r="AA1447" s="194"/>
      <c r="AB1447"/>
      <c r="AG1447" s="69"/>
      <c r="AH1447"/>
    </row>
    <row r="1448" spans="1:34" x14ac:dyDescent="0.2">
      <c r="A1448" s="655"/>
      <c r="B1448" s="655"/>
      <c r="C1448"/>
      <c r="D1448" s="655"/>
      <c r="E1448" s="655"/>
      <c r="F1448" s="655" t="str">
        <f>LEFT(AllDaqbookOffsets[[#This Row],[traceability_no]],2)</f>
        <v>K7</v>
      </c>
      <c r="N1448" s="456"/>
      <c r="O1448"/>
      <c r="Z1448" s="460"/>
      <c r="AA1448" s="194"/>
      <c r="AB1448"/>
      <c r="AG1448" s="69"/>
      <c r="AH1448"/>
    </row>
    <row r="1449" spans="1:34" x14ac:dyDescent="0.2">
      <c r="A1449" s="655"/>
      <c r="B1449" s="655"/>
      <c r="C1449"/>
      <c r="D1449" s="655"/>
      <c r="E1449" s="655"/>
      <c r="F1449" s="655" t="str">
        <f>LEFT(AllDaqbookOffsets[[#This Row],[traceability_no]],2)</f>
        <v>K7</v>
      </c>
      <c r="N1449" s="456"/>
      <c r="O1449"/>
      <c r="Z1449" s="460"/>
      <c r="AA1449" s="194"/>
      <c r="AB1449"/>
      <c r="AG1449" s="69"/>
      <c r="AH1449"/>
    </row>
    <row r="1450" spans="1:34" x14ac:dyDescent="0.2">
      <c r="A1450" s="655"/>
      <c r="B1450" s="655"/>
      <c r="C1450"/>
      <c r="D1450" s="655"/>
      <c r="E1450" s="655"/>
      <c r="F1450" s="655" t="str">
        <f>LEFT(AllDaqbookOffsets[[#This Row],[traceability_no]],2)</f>
        <v>K7</v>
      </c>
      <c r="N1450" s="456"/>
      <c r="O1450"/>
      <c r="Z1450" s="460"/>
      <c r="AA1450" s="194"/>
      <c r="AB1450"/>
      <c r="AG1450" s="69"/>
      <c r="AH1450"/>
    </row>
    <row r="1451" spans="1:34" x14ac:dyDescent="0.2">
      <c r="A1451" s="655"/>
      <c r="B1451" s="655"/>
      <c r="C1451"/>
      <c r="D1451" s="655"/>
      <c r="E1451" s="655"/>
      <c r="F1451" s="655" t="str">
        <f>LEFT(AllDaqbookOffsets[[#This Row],[traceability_no]],2)</f>
        <v>K7</v>
      </c>
      <c r="N1451" s="456"/>
      <c r="O1451"/>
      <c r="Z1451" s="460"/>
      <c r="AA1451" s="194"/>
      <c r="AB1451"/>
      <c r="AG1451" s="69"/>
      <c r="AH1451"/>
    </row>
    <row r="1452" spans="1:34" x14ac:dyDescent="0.2">
      <c r="A1452" s="655"/>
      <c r="B1452" s="655"/>
      <c r="C1452"/>
      <c r="D1452" s="655"/>
      <c r="E1452" s="655"/>
      <c r="F1452" s="655" t="str">
        <f>LEFT(AllDaqbookOffsets[[#This Row],[traceability_no]],2)</f>
        <v>K7</v>
      </c>
      <c r="N1452" s="456"/>
      <c r="O1452"/>
      <c r="Z1452" s="460"/>
      <c r="AA1452" s="194"/>
      <c r="AB1452"/>
      <c r="AG1452" s="69"/>
      <c r="AH1452"/>
    </row>
    <row r="1453" spans="1:34" x14ac:dyDescent="0.2">
      <c r="A1453" s="655"/>
      <c r="B1453" s="655"/>
      <c r="C1453"/>
      <c r="D1453" s="655"/>
      <c r="E1453" s="655"/>
      <c r="F1453" s="655" t="str">
        <f>LEFT(AllDaqbookOffsets[[#This Row],[traceability_no]],2)</f>
        <v>K7</v>
      </c>
      <c r="N1453" s="456"/>
      <c r="O1453"/>
      <c r="Z1453" s="460"/>
      <c r="AA1453" s="194"/>
      <c r="AB1453"/>
      <c r="AG1453" s="69"/>
      <c r="AH1453"/>
    </row>
    <row r="1454" spans="1:34" x14ac:dyDescent="0.2">
      <c r="A1454" s="655"/>
      <c r="B1454" s="655"/>
      <c r="C1454"/>
      <c r="D1454" s="655"/>
      <c r="E1454" s="655"/>
      <c r="F1454" s="655" t="str">
        <f>LEFT(AllDaqbookOffsets[[#This Row],[traceability_no]],2)</f>
        <v>K7</v>
      </c>
      <c r="N1454" s="456"/>
      <c r="O1454"/>
      <c r="Z1454" s="460"/>
      <c r="AA1454" s="194"/>
      <c r="AB1454"/>
      <c r="AG1454" s="69"/>
      <c r="AH1454"/>
    </row>
    <row r="1455" spans="1:34" x14ac:dyDescent="0.2">
      <c r="A1455" s="655"/>
      <c r="B1455" s="655"/>
      <c r="C1455"/>
      <c r="D1455" s="655"/>
      <c r="E1455" s="655"/>
      <c r="F1455" s="655" t="str">
        <f>LEFT(AllDaqbookOffsets[[#This Row],[traceability_no]],2)</f>
        <v>K7</v>
      </c>
      <c r="N1455" s="456"/>
      <c r="O1455"/>
      <c r="Z1455" s="460"/>
      <c r="AA1455" s="194"/>
      <c r="AB1455"/>
      <c r="AG1455" s="69"/>
      <c r="AH1455"/>
    </row>
    <row r="1456" spans="1:34" x14ac:dyDescent="0.2">
      <c r="A1456" s="655"/>
      <c r="B1456" s="655"/>
      <c r="C1456"/>
      <c r="D1456" s="655"/>
      <c r="E1456" s="655"/>
      <c r="F1456" s="655" t="str">
        <f>LEFT(AllDaqbookOffsets[[#This Row],[traceability_no]],2)</f>
        <v>K7</v>
      </c>
      <c r="N1456" s="456"/>
      <c r="O1456"/>
      <c r="Z1456" s="460"/>
      <c r="AA1456" s="194"/>
      <c r="AB1456"/>
      <c r="AG1456" s="69"/>
      <c r="AH1456"/>
    </row>
    <row r="1457" spans="1:34" x14ac:dyDescent="0.2">
      <c r="A1457" s="655"/>
      <c r="B1457" s="655"/>
      <c r="C1457"/>
      <c r="D1457" s="655"/>
      <c r="E1457" s="655"/>
      <c r="F1457" s="655" t="str">
        <f>LEFT(AllDaqbookOffsets[[#This Row],[traceability_no]],2)</f>
        <v>K7</v>
      </c>
      <c r="N1457" s="456"/>
      <c r="O1457"/>
      <c r="Z1457" s="460"/>
      <c r="AA1457" s="194"/>
      <c r="AB1457"/>
      <c r="AG1457" s="69"/>
      <c r="AH1457"/>
    </row>
    <row r="1458" spans="1:34" x14ac:dyDescent="0.2">
      <c r="A1458" s="655"/>
      <c r="B1458" s="655"/>
      <c r="C1458"/>
      <c r="D1458" s="655"/>
      <c r="E1458" s="655"/>
      <c r="F1458" s="655" t="str">
        <f>LEFT(AllDaqbookOffsets[[#This Row],[traceability_no]],2)</f>
        <v>K7</v>
      </c>
      <c r="N1458" s="456"/>
      <c r="O1458"/>
      <c r="Z1458" s="460"/>
      <c r="AA1458" s="194"/>
      <c r="AB1458"/>
      <c r="AG1458" s="69"/>
      <c r="AH1458"/>
    </row>
    <row r="1459" spans="1:34" x14ac:dyDescent="0.2">
      <c r="A1459" s="655"/>
      <c r="B1459" s="655"/>
      <c r="C1459"/>
      <c r="D1459" s="655"/>
      <c r="E1459" s="655"/>
      <c r="F1459" s="655" t="str">
        <f>LEFT(AllDaqbookOffsets[[#This Row],[traceability_no]],2)</f>
        <v>K7</v>
      </c>
      <c r="N1459" s="456"/>
      <c r="O1459"/>
      <c r="Z1459" s="460"/>
      <c r="AA1459" s="194"/>
      <c r="AB1459"/>
      <c r="AG1459" s="69"/>
      <c r="AH1459"/>
    </row>
    <row r="1460" spans="1:34" x14ac:dyDescent="0.2">
      <c r="A1460" s="655"/>
      <c r="B1460" s="655"/>
      <c r="C1460"/>
      <c r="D1460" s="655"/>
      <c r="E1460" s="655"/>
      <c r="F1460" s="655" t="str">
        <f>LEFT(AllDaqbookOffsets[[#This Row],[traceability_no]],2)</f>
        <v>K7</v>
      </c>
      <c r="N1460" s="456"/>
      <c r="O1460"/>
      <c r="Z1460" s="460"/>
      <c r="AA1460" s="194"/>
      <c r="AB1460"/>
      <c r="AG1460" s="69"/>
      <c r="AH1460"/>
    </row>
    <row r="1461" spans="1:34" x14ac:dyDescent="0.2">
      <c r="A1461" s="655"/>
      <c r="B1461" s="655"/>
      <c r="C1461"/>
      <c r="D1461" s="655"/>
      <c r="E1461" s="655"/>
      <c r="F1461" s="655" t="str">
        <f>LEFT(AllDaqbookOffsets[[#This Row],[traceability_no]],2)</f>
        <v>K7</v>
      </c>
      <c r="N1461" s="456"/>
      <c r="O1461"/>
      <c r="Z1461" s="460"/>
      <c r="AA1461" s="194"/>
      <c r="AB1461"/>
      <c r="AG1461" s="69"/>
      <c r="AH1461"/>
    </row>
    <row r="1462" spans="1:34" x14ac:dyDescent="0.2">
      <c r="A1462" s="655"/>
      <c r="B1462" s="655"/>
      <c r="C1462"/>
      <c r="D1462" s="655"/>
      <c r="E1462" s="655"/>
      <c r="F1462" s="655" t="str">
        <f>LEFT(AllDaqbookOffsets[[#This Row],[traceability_no]],2)</f>
        <v>K7</v>
      </c>
      <c r="N1462" s="456"/>
      <c r="O1462"/>
      <c r="Z1462" s="460"/>
      <c r="AA1462" s="194"/>
      <c r="AB1462"/>
      <c r="AG1462" s="69"/>
      <c r="AH1462"/>
    </row>
    <row r="1463" spans="1:34" x14ac:dyDescent="0.2">
      <c r="A1463" s="655"/>
      <c r="B1463" s="655"/>
      <c r="C1463"/>
      <c r="D1463" s="655"/>
      <c r="E1463" s="655"/>
      <c r="F1463" s="655" t="str">
        <f>LEFT(AllDaqbookOffsets[[#This Row],[traceability_no]],2)</f>
        <v>K7</v>
      </c>
      <c r="N1463" s="456"/>
      <c r="O1463"/>
      <c r="Z1463" s="460"/>
      <c r="AA1463" s="194"/>
      <c r="AB1463"/>
      <c r="AG1463" s="69"/>
      <c r="AH1463"/>
    </row>
    <row r="1464" spans="1:34" x14ac:dyDescent="0.2">
      <c r="A1464" s="655"/>
      <c r="B1464" s="655"/>
      <c r="C1464"/>
      <c r="D1464" s="655"/>
      <c r="E1464" s="655"/>
      <c r="F1464" s="655" t="str">
        <f>LEFT(AllDaqbookOffsets[[#This Row],[traceability_no]],2)</f>
        <v>K7</v>
      </c>
      <c r="N1464" s="456"/>
      <c r="O1464"/>
      <c r="Z1464" s="460"/>
      <c r="AA1464" s="194"/>
      <c r="AB1464"/>
      <c r="AG1464" s="69"/>
      <c r="AH1464"/>
    </row>
    <row r="1465" spans="1:34" x14ac:dyDescent="0.2">
      <c r="A1465" s="655"/>
      <c r="B1465" s="655"/>
      <c r="C1465"/>
      <c r="D1465" s="655"/>
      <c r="E1465" s="655"/>
      <c r="F1465" s="655" t="str">
        <f>LEFT(AllDaqbookOffsets[[#This Row],[traceability_no]],2)</f>
        <v>K7</v>
      </c>
      <c r="N1465" s="456"/>
      <c r="O1465"/>
      <c r="Z1465" s="460"/>
      <c r="AA1465" s="194"/>
      <c r="AB1465"/>
      <c r="AG1465" s="69"/>
      <c r="AH1465"/>
    </row>
    <row r="1466" spans="1:34" x14ac:dyDescent="0.2">
      <c r="A1466" s="655"/>
      <c r="B1466" s="655"/>
      <c r="C1466"/>
      <c r="D1466" s="655"/>
      <c r="E1466" s="655"/>
      <c r="F1466" s="655" t="str">
        <f>LEFT(AllDaqbookOffsets[[#This Row],[traceability_no]],2)</f>
        <v>K7</v>
      </c>
      <c r="N1466" s="456"/>
      <c r="O1466"/>
      <c r="Z1466" s="460"/>
      <c r="AA1466" s="194"/>
      <c r="AB1466"/>
      <c r="AG1466" s="69"/>
      <c r="AH1466"/>
    </row>
    <row r="1467" spans="1:34" x14ac:dyDescent="0.2">
      <c r="A1467" s="655"/>
      <c r="B1467" s="655"/>
      <c r="C1467"/>
      <c r="D1467" s="655"/>
      <c r="E1467" s="655"/>
      <c r="F1467" s="655" t="str">
        <f>LEFT(AllDaqbookOffsets[[#This Row],[traceability_no]],2)</f>
        <v>K7</v>
      </c>
      <c r="N1467" s="456"/>
      <c r="O1467"/>
      <c r="Z1467" s="460"/>
      <c r="AA1467" s="194"/>
      <c r="AB1467"/>
      <c r="AG1467" s="69"/>
      <c r="AH1467"/>
    </row>
    <row r="1468" spans="1:34" x14ac:dyDescent="0.2">
      <c r="A1468" s="655"/>
      <c r="B1468" s="655"/>
      <c r="C1468"/>
      <c r="D1468" s="655"/>
      <c r="E1468" s="655"/>
      <c r="F1468" s="655" t="str">
        <f>LEFT(AllDaqbookOffsets[[#This Row],[traceability_no]],2)</f>
        <v>K7</v>
      </c>
      <c r="N1468" s="456"/>
      <c r="O1468"/>
      <c r="Z1468" s="460"/>
      <c r="AA1468" s="194"/>
      <c r="AB1468"/>
      <c r="AG1468" s="69"/>
      <c r="AH1468"/>
    </row>
    <row r="1469" spans="1:34" x14ac:dyDescent="0.2">
      <c r="A1469" s="655"/>
      <c r="B1469" s="655"/>
      <c r="C1469"/>
      <c r="D1469" s="655"/>
      <c r="E1469" s="655"/>
      <c r="F1469" s="655" t="str">
        <f>LEFT(AllDaqbookOffsets[[#This Row],[traceability_no]],2)</f>
        <v>K7</v>
      </c>
      <c r="N1469" s="456"/>
      <c r="O1469"/>
      <c r="Z1469" s="460"/>
      <c r="AA1469" s="194"/>
      <c r="AB1469"/>
      <c r="AG1469" s="69"/>
      <c r="AH1469"/>
    </row>
    <row r="1470" spans="1:34" x14ac:dyDescent="0.2">
      <c r="A1470" s="655"/>
      <c r="B1470" s="655"/>
      <c r="C1470"/>
      <c r="D1470" s="655"/>
      <c r="E1470" s="655"/>
      <c r="F1470" s="655" t="str">
        <f>LEFT(AllDaqbookOffsets[[#This Row],[traceability_no]],2)</f>
        <v>K7</v>
      </c>
      <c r="N1470" s="456"/>
      <c r="O1470"/>
      <c r="Z1470" s="460"/>
      <c r="AA1470" s="194"/>
      <c r="AB1470"/>
      <c r="AG1470" s="69"/>
      <c r="AH1470"/>
    </row>
    <row r="1471" spans="1:34" x14ac:dyDescent="0.2">
      <c r="A1471" s="655"/>
      <c r="B1471" s="655"/>
      <c r="C1471"/>
      <c r="D1471" s="655"/>
      <c r="E1471" s="655"/>
      <c r="F1471" s="655" t="str">
        <f>LEFT(AllDaqbookOffsets[[#This Row],[traceability_no]],2)</f>
        <v>K7</v>
      </c>
      <c r="N1471" s="456"/>
      <c r="O1471"/>
      <c r="Z1471" s="460"/>
      <c r="AA1471" s="194"/>
      <c r="AB1471"/>
      <c r="AG1471" s="69"/>
      <c r="AH1471"/>
    </row>
    <row r="1472" spans="1:34" x14ac:dyDescent="0.2">
      <c r="A1472" s="655"/>
      <c r="B1472" s="655"/>
      <c r="C1472"/>
      <c r="D1472" s="655"/>
      <c r="E1472" s="655"/>
      <c r="F1472" s="655" t="str">
        <f>LEFT(AllDaqbookOffsets[[#This Row],[traceability_no]],2)</f>
        <v>K7</v>
      </c>
      <c r="N1472" s="456"/>
      <c r="O1472"/>
      <c r="Z1472" s="460"/>
      <c r="AA1472" s="194"/>
      <c r="AB1472"/>
      <c r="AG1472" s="69"/>
      <c r="AH1472"/>
    </row>
    <row r="1473" spans="1:34" x14ac:dyDescent="0.2">
      <c r="A1473" s="655"/>
      <c r="B1473" s="655"/>
      <c r="C1473"/>
      <c r="D1473" s="655"/>
      <c r="E1473" s="655"/>
      <c r="F1473" s="655" t="str">
        <f>LEFT(AllDaqbookOffsets[[#This Row],[traceability_no]],2)</f>
        <v>K7</v>
      </c>
      <c r="N1473" s="456"/>
      <c r="O1473"/>
      <c r="Z1473" s="460"/>
      <c r="AA1473" s="194"/>
      <c r="AB1473"/>
      <c r="AG1473" s="69"/>
      <c r="AH1473"/>
    </row>
    <row r="1474" spans="1:34" x14ac:dyDescent="0.2">
      <c r="A1474" s="655"/>
      <c r="B1474" s="655"/>
      <c r="C1474"/>
      <c r="D1474" s="655"/>
      <c r="E1474" s="655"/>
      <c r="F1474" s="655" t="str">
        <f>LEFT(AllDaqbookOffsets[[#This Row],[traceability_no]],2)</f>
        <v>K7</v>
      </c>
      <c r="N1474" s="456"/>
      <c r="O1474"/>
      <c r="Z1474" s="460"/>
      <c r="AA1474" s="194"/>
      <c r="AB1474"/>
      <c r="AG1474" s="69"/>
      <c r="AH1474"/>
    </row>
    <row r="1475" spans="1:34" x14ac:dyDescent="0.2">
      <c r="A1475" s="655"/>
      <c r="B1475" s="655"/>
      <c r="C1475"/>
      <c r="D1475" s="655"/>
      <c r="E1475" s="655"/>
      <c r="F1475" s="655" t="str">
        <f>LEFT(AllDaqbookOffsets[[#This Row],[traceability_no]],2)</f>
        <v>K7</v>
      </c>
      <c r="N1475" s="456"/>
      <c r="O1475"/>
      <c r="Z1475" s="460"/>
      <c r="AA1475" s="194"/>
      <c r="AB1475"/>
      <c r="AG1475" s="69"/>
      <c r="AH1475"/>
    </row>
    <row r="1476" spans="1:34" x14ac:dyDescent="0.2">
      <c r="A1476" s="655"/>
      <c r="B1476" s="655"/>
      <c r="C1476"/>
      <c r="D1476" s="655"/>
      <c r="E1476" s="655"/>
      <c r="F1476" s="655" t="str">
        <f>LEFT(AllDaqbookOffsets[[#This Row],[traceability_no]],2)</f>
        <v>K7</v>
      </c>
      <c r="N1476" s="456"/>
      <c r="O1476"/>
      <c r="Z1476" s="460"/>
      <c r="AA1476" s="194"/>
      <c r="AB1476"/>
      <c r="AG1476" s="69"/>
      <c r="AH1476"/>
    </row>
    <row r="1477" spans="1:34" x14ac:dyDescent="0.2">
      <c r="A1477" s="655"/>
      <c r="B1477" s="655"/>
      <c r="C1477"/>
      <c r="D1477" s="655"/>
      <c r="E1477" s="655"/>
      <c r="F1477" s="655" t="str">
        <f>LEFT(AllDaqbookOffsets[[#This Row],[traceability_no]],2)</f>
        <v>K7</v>
      </c>
      <c r="N1477" s="456"/>
      <c r="O1477"/>
      <c r="Z1477" s="460"/>
      <c r="AA1477" s="194"/>
      <c r="AB1477"/>
      <c r="AG1477" s="69"/>
      <c r="AH1477"/>
    </row>
    <row r="1478" spans="1:34" x14ac:dyDescent="0.2">
      <c r="A1478" s="655"/>
      <c r="B1478" s="655"/>
      <c r="C1478"/>
      <c r="D1478" s="655"/>
      <c r="E1478" s="655"/>
      <c r="F1478" s="655" t="str">
        <f>LEFT(AllDaqbookOffsets[[#This Row],[traceability_no]],2)</f>
        <v>K7</v>
      </c>
      <c r="N1478" s="456"/>
      <c r="O1478"/>
      <c r="Z1478" s="460"/>
      <c r="AA1478" s="194"/>
      <c r="AB1478"/>
      <c r="AG1478" s="69"/>
      <c r="AH1478"/>
    </row>
    <row r="1479" spans="1:34" x14ac:dyDescent="0.2">
      <c r="A1479" s="655"/>
      <c r="B1479" s="655"/>
      <c r="C1479"/>
      <c r="D1479" s="655"/>
      <c r="E1479" s="655"/>
      <c r="F1479" s="655" t="str">
        <f>LEFT(AllDaqbookOffsets[[#This Row],[traceability_no]],2)</f>
        <v>K7</v>
      </c>
      <c r="N1479" s="456"/>
      <c r="O1479"/>
      <c r="Z1479" s="460"/>
      <c r="AA1479" s="194"/>
      <c r="AB1479"/>
      <c r="AG1479" s="69"/>
      <c r="AH1479"/>
    </row>
    <row r="1480" spans="1:34" x14ac:dyDescent="0.2">
      <c r="A1480" s="655"/>
      <c r="B1480" s="655"/>
      <c r="C1480"/>
      <c r="D1480" s="655"/>
      <c r="E1480" s="655"/>
      <c r="F1480" s="655" t="str">
        <f>LEFT(AllDaqbookOffsets[[#This Row],[traceability_no]],2)</f>
        <v>K7</v>
      </c>
      <c r="N1480" s="456"/>
      <c r="O1480"/>
      <c r="Z1480" s="460"/>
      <c r="AA1480" s="194"/>
      <c r="AB1480"/>
      <c r="AG1480" s="69"/>
      <c r="AH1480"/>
    </row>
    <row r="1481" spans="1:34" x14ac:dyDescent="0.2">
      <c r="A1481" s="655"/>
      <c r="B1481" s="655"/>
      <c r="C1481"/>
      <c r="D1481" s="655"/>
      <c r="E1481" s="655"/>
      <c r="F1481" s="655" t="str">
        <f>LEFT(AllDaqbookOffsets[[#This Row],[traceability_no]],2)</f>
        <v>K7</v>
      </c>
      <c r="N1481" s="456"/>
      <c r="O1481"/>
      <c r="Z1481" s="460"/>
      <c r="AA1481" s="194"/>
      <c r="AB1481"/>
      <c r="AG1481" s="69"/>
      <c r="AH1481"/>
    </row>
    <row r="1482" spans="1:34" x14ac:dyDescent="0.2">
      <c r="A1482" s="655"/>
      <c r="B1482" s="655"/>
      <c r="C1482"/>
      <c r="D1482" s="655"/>
      <c r="E1482" s="655"/>
      <c r="F1482" s="655" t="str">
        <f>LEFT(AllDaqbookOffsets[[#This Row],[traceability_no]],2)</f>
        <v>K7</v>
      </c>
      <c r="N1482" s="456"/>
      <c r="O1482"/>
      <c r="Z1482" s="460"/>
      <c r="AA1482" s="194"/>
      <c r="AB1482"/>
      <c r="AG1482" s="69"/>
      <c r="AH1482"/>
    </row>
    <row r="1483" spans="1:34" x14ac:dyDescent="0.2">
      <c r="A1483" s="655"/>
      <c r="B1483" s="655"/>
      <c r="C1483"/>
      <c r="D1483" s="655"/>
      <c r="E1483" s="655"/>
      <c r="F1483" s="655" t="str">
        <f>LEFT(AllDaqbookOffsets[[#This Row],[traceability_no]],2)</f>
        <v>K7</v>
      </c>
      <c r="N1483" s="456"/>
      <c r="O1483"/>
      <c r="Z1483" s="460"/>
      <c r="AA1483" s="194"/>
      <c r="AB1483"/>
      <c r="AG1483" s="69"/>
      <c r="AH1483"/>
    </row>
    <row r="1484" spans="1:34" x14ac:dyDescent="0.2">
      <c r="A1484" s="655"/>
      <c r="B1484" s="655"/>
      <c r="C1484"/>
      <c r="D1484" s="655"/>
      <c r="E1484" s="655"/>
      <c r="F1484" s="655" t="str">
        <f>LEFT(AllDaqbookOffsets[[#This Row],[traceability_no]],2)</f>
        <v>K7</v>
      </c>
      <c r="N1484" s="456"/>
      <c r="O1484"/>
      <c r="Z1484" s="460"/>
      <c r="AA1484" s="194"/>
      <c r="AB1484"/>
      <c r="AG1484" s="69"/>
      <c r="AH1484"/>
    </row>
    <row r="1485" spans="1:34" x14ac:dyDescent="0.2">
      <c r="A1485" s="655"/>
      <c r="B1485" s="655"/>
      <c r="C1485"/>
      <c r="D1485" s="655"/>
      <c r="E1485" s="655"/>
      <c r="F1485" s="655" t="str">
        <f>LEFT(AllDaqbookOffsets[[#This Row],[traceability_no]],2)</f>
        <v>K7</v>
      </c>
      <c r="N1485" s="456"/>
      <c r="O1485"/>
      <c r="Z1485" s="460"/>
      <c r="AA1485" s="194"/>
      <c r="AB1485"/>
      <c r="AG1485" s="69"/>
      <c r="AH1485"/>
    </row>
    <row r="1486" spans="1:34" x14ac:dyDescent="0.2">
      <c r="A1486" s="655"/>
      <c r="B1486" s="655"/>
      <c r="C1486"/>
      <c r="D1486" s="655"/>
      <c r="E1486" s="655"/>
      <c r="F1486" s="655" t="str">
        <f>LEFT(AllDaqbookOffsets[[#This Row],[traceability_no]],2)</f>
        <v>K7</v>
      </c>
      <c r="N1486" s="456"/>
      <c r="O1486"/>
      <c r="Z1486" s="460"/>
      <c r="AA1486" s="194"/>
      <c r="AB1486"/>
      <c r="AG1486" s="69"/>
      <c r="AH1486"/>
    </row>
    <row r="1487" spans="1:34" x14ac:dyDescent="0.2">
      <c r="A1487" s="655"/>
      <c r="B1487" s="655"/>
      <c r="C1487"/>
      <c r="D1487" s="655"/>
      <c r="E1487" s="655"/>
      <c r="F1487" s="655" t="str">
        <f>LEFT(AllDaqbookOffsets[[#This Row],[traceability_no]],2)</f>
        <v>K7</v>
      </c>
      <c r="N1487" s="456"/>
      <c r="O1487"/>
      <c r="Z1487" s="460"/>
      <c r="AA1487" s="194"/>
      <c r="AB1487"/>
      <c r="AG1487" s="69"/>
      <c r="AH1487"/>
    </row>
    <row r="1488" spans="1:34" x14ac:dyDescent="0.2">
      <c r="A1488" s="655"/>
      <c r="B1488" s="655"/>
      <c r="C1488"/>
      <c r="D1488" s="655"/>
      <c r="E1488" s="655"/>
      <c r="F1488" s="655" t="str">
        <f>LEFT(AllDaqbookOffsets[[#This Row],[traceability_no]],2)</f>
        <v>K7</v>
      </c>
      <c r="N1488" s="456"/>
      <c r="O1488"/>
      <c r="Z1488" s="460"/>
      <c r="AA1488" s="194"/>
      <c r="AB1488"/>
      <c r="AG1488" s="69"/>
      <c r="AH1488"/>
    </row>
    <row r="1489" spans="1:34" x14ac:dyDescent="0.2">
      <c r="A1489" s="655"/>
      <c r="B1489" s="655"/>
      <c r="C1489"/>
      <c r="D1489" s="655"/>
      <c r="E1489" s="655"/>
      <c r="F1489" s="655" t="str">
        <f>LEFT(AllDaqbookOffsets[[#This Row],[traceability_no]],2)</f>
        <v>K7</v>
      </c>
      <c r="N1489" s="456"/>
      <c r="O1489"/>
      <c r="Z1489" s="460"/>
      <c r="AA1489" s="194"/>
      <c r="AB1489"/>
      <c r="AG1489" s="69"/>
      <c r="AH1489"/>
    </row>
    <row r="1490" spans="1:34" x14ac:dyDescent="0.2">
      <c r="A1490" s="655"/>
      <c r="B1490" s="655"/>
      <c r="C1490"/>
      <c r="D1490" s="655"/>
      <c r="E1490" s="655"/>
      <c r="F1490" s="655" t="str">
        <f>LEFT(AllDaqbookOffsets[[#This Row],[traceability_no]],2)</f>
        <v>K7</v>
      </c>
      <c r="N1490" s="456"/>
      <c r="O1490"/>
      <c r="Z1490" s="460"/>
      <c r="AA1490" s="194"/>
      <c r="AB1490"/>
      <c r="AG1490" s="69"/>
      <c r="AH1490"/>
    </row>
    <row r="1491" spans="1:34" x14ac:dyDescent="0.2">
      <c r="A1491" s="655"/>
      <c r="B1491" s="655"/>
      <c r="C1491"/>
      <c r="D1491" s="655"/>
      <c r="E1491" s="655"/>
      <c r="F1491" s="655" t="str">
        <f>LEFT(AllDaqbookOffsets[[#This Row],[traceability_no]],2)</f>
        <v>K7</v>
      </c>
      <c r="N1491" s="456"/>
      <c r="O1491"/>
      <c r="Z1491" s="460"/>
      <c r="AA1491" s="194"/>
      <c r="AB1491"/>
      <c r="AG1491" s="69"/>
      <c r="AH1491"/>
    </row>
    <row r="1492" spans="1:34" x14ac:dyDescent="0.2">
      <c r="A1492" s="655"/>
      <c r="B1492" s="655"/>
      <c r="C1492"/>
      <c r="D1492" s="655"/>
      <c r="E1492" s="655"/>
      <c r="F1492" s="655" t="str">
        <f>LEFT(AllDaqbookOffsets[[#This Row],[traceability_no]],2)</f>
        <v>K7</v>
      </c>
      <c r="N1492" s="456"/>
      <c r="O1492"/>
      <c r="Z1492" s="460"/>
      <c r="AA1492" s="194"/>
      <c r="AB1492"/>
      <c r="AG1492" s="69"/>
      <c r="AH1492"/>
    </row>
    <row r="1493" spans="1:34" x14ac:dyDescent="0.2">
      <c r="A1493" s="655"/>
      <c r="B1493" s="655"/>
      <c r="C1493"/>
      <c r="D1493" s="655"/>
      <c r="E1493" s="655"/>
      <c r="F1493" s="655" t="str">
        <f>LEFT(AllDaqbookOffsets[[#This Row],[traceability_no]],2)</f>
        <v>K7</v>
      </c>
      <c r="N1493" s="456"/>
      <c r="O1493"/>
      <c r="Z1493" s="460"/>
      <c r="AA1493" s="194"/>
      <c r="AB1493"/>
      <c r="AG1493" s="69"/>
      <c r="AH1493"/>
    </row>
    <row r="1494" spans="1:34" x14ac:dyDescent="0.2">
      <c r="A1494" s="655"/>
      <c r="B1494" s="655"/>
      <c r="C1494"/>
      <c r="D1494" s="655"/>
      <c r="E1494" s="655"/>
      <c r="F1494" s="655" t="str">
        <f>LEFT(AllDaqbookOffsets[[#This Row],[traceability_no]],2)</f>
        <v>K7</v>
      </c>
      <c r="N1494" s="456"/>
      <c r="O1494"/>
      <c r="Z1494" s="460"/>
      <c r="AA1494" s="194"/>
      <c r="AB1494"/>
      <c r="AG1494" s="69"/>
      <c r="AH1494"/>
    </row>
    <row r="1495" spans="1:34" x14ac:dyDescent="0.2">
      <c r="A1495" s="655"/>
      <c r="B1495" s="655"/>
      <c r="C1495"/>
      <c r="D1495" s="655"/>
      <c r="E1495" s="655"/>
      <c r="F1495" s="655" t="str">
        <f>LEFT(AllDaqbookOffsets[[#This Row],[traceability_no]],2)</f>
        <v>K7</v>
      </c>
      <c r="N1495" s="456"/>
      <c r="O1495"/>
      <c r="Z1495" s="460"/>
      <c r="AA1495" s="194"/>
      <c r="AB1495"/>
      <c r="AG1495" s="69"/>
      <c r="AH1495"/>
    </row>
    <row r="1496" spans="1:34" x14ac:dyDescent="0.2">
      <c r="A1496" s="655"/>
      <c r="B1496" s="655"/>
      <c r="C1496"/>
      <c r="D1496" s="655"/>
      <c r="E1496" s="655"/>
      <c r="F1496" s="655" t="str">
        <f>LEFT(AllDaqbookOffsets[[#This Row],[traceability_no]],2)</f>
        <v>K7</v>
      </c>
      <c r="N1496" s="456"/>
      <c r="O1496"/>
      <c r="Z1496" s="460"/>
      <c r="AA1496" s="194"/>
      <c r="AB1496"/>
      <c r="AG1496" s="69"/>
      <c r="AH1496"/>
    </row>
    <row r="1497" spans="1:34" x14ac:dyDescent="0.2">
      <c r="A1497" s="655"/>
      <c r="B1497" s="655"/>
      <c r="C1497"/>
      <c r="D1497" s="655"/>
      <c r="E1497" s="655"/>
      <c r="F1497" s="655" t="str">
        <f>LEFT(AllDaqbookOffsets[[#This Row],[traceability_no]],2)</f>
        <v>K7</v>
      </c>
      <c r="N1497" s="456"/>
      <c r="O1497"/>
      <c r="Z1497" s="460"/>
      <c r="AA1497" s="194"/>
      <c r="AB1497"/>
      <c r="AG1497" s="69"/>
      <c r="AH1497"/>
    </row>
    <row r="1498" spans="1:34" x14ac:dyDescent="0.2">
      <c r="A1498" s="655"/>
      <c r="B1498" s="655"/>
      <c r="C1498"/>
      <c r="D1498" s="655"/>
      <c r="E1498" s="655"/>
      <c r="F1498" s="655" t="str">
        <f>LEFT(AllDaqbookOffsets[[#This Row],[traceability_no]],2)</f>
        <v>K7</v>
      </c>
      <c r="N1498" s="456"/>
      <c r="O1498"/>
      <c r="Z1498" s="460"/>
      <c r="AA1498" s="194"/>
      <c r="AB1498"/>
      <c r="AG1498" s="69"/>
      <c r="AH1498"/>
    </row>
    <row r="1499" spans="1:34" x14ac:dyDescent="0.2">
      <c r="A1499" s="655"/>
      <c r="B1499" s="655"/>
      <c r="C1499"/>
      <c r="D1499" s="655"/>
      <c r="E1499" s="655"/>
      <c r="F1499" s="655" t="str">
        <f>LEFT(AllDaqbookOffsets[[#This Row],[traceability_no]],2)</f>
        <v>K7</v>
      </c>
      <c r="N1499" s="456"/>
      <c r="O1499"/>
      <c r="Z1499" s="460"/>
      <c r="AA1499" s="194"/>
      <c r="AB1499"/>
      <c r="AG1499" s="69"/>
      <c r="AH1499"/>
    </row>
    <row r="1500" spans="1:34" x14ac:dyDescent="0.2">
      <c r="A1500" s="655"/>
      <c r="B1500" s="655"/>
      <c r="C1500"/>
      <c r="D1500" s="655"/>
      <c r="E1500" s="655"/>
      <c r="F1500" s="655" t="str">
        <f>LEFT(AllDaqbookOffsets[[#This Row],[traceability_no]],2)</f>
        <v>K7</v>
      </c>
      <c r="N1500" s="456"/>
      <c r="O1500"/>
      <c r="Z1500" s="460"/>
      <c r="AA1500" s="194"/>
      <c r="AB1500"/>
      <c r="AG1500" s="69"/>
      <c r="AH1500"/>
    </row>
    <row r="1501" spans="1:34" x14ac:dyDescent="0.2">
      <c r="A1501" s="655"/>
      <c r="B1501" s="655"/>
      <c r="C1501"/>
      <c r="D1501" s="655"/>
      <c r="E1501" s="655"/>
      <c r="F1501" s="655" t="str">
        <f>LEFT(AllDaqbookOffsets[[#This Row],[traceability_no]],2)</f>
        <v>K7</v>
      </c>
      <c r="N1501" s="456"/>
      <c r="O1501"/>
      <c r="Z1501" s="460"/>
      <c r="AA1501" s="194"/>
      <c r="AB1501"/>
      <c r="AG1501" s="69"/>
      <c r="AH1501"/>
    </row>
    <row r="1502" spans="1:34" x14ac:dyDescent="0.2">
      <c r="A1502" s="655"/>
      <c r="B1502" s="655"/>
      <c r="C1502"/>
      <c r="D1502" s="655"/>
      <c r="E1502" s="655"/>
      <c r="F1502" s="655" t="str">
        <f>LEFT(AllDaqbookOffsets[[#This Row],[traceability_no]],2)</f>
        <v>K7</v>
      </c>
      <c r="N1502" s="456"/>
      <c r="O1502"/>
      <c r="Z1502" s="460"/>
      <c r="AA1502" s="194"/>
      <c r="AB1502"/>
      <c r="AG1502" s="69"/>
      <c r="AH1502"/>
    </row>
    <row r="1503" spans="1:34" x14ac:dyDescent="0.2">
      <c r="A1503" s="655"/>
      <c r="B1503" s="655"/>
      <c r="C1503"/>
      <c r="D1503" s="655"/>
      <c r="E1503" s="655"/>
      <c r="F1503" s="655" t="str">
        <f>LEFT(AllDaqbookOffsets[[#This Row],[traceability_no]],2)</f>
        <v>K7</v>
      </c>
      <c r="N1503" s="456"/>
      <c r="O1503"/>
      <c r="Z1503" s="460"/>
      <c r="AA1503" s="194"/>
      <c r="AB1503"/>
      <c r="AG1503" s="69"/>
      <c r="AH1503"/>
    </row>
    <row r="1504" spans="1:34" x14ac:dyDescent="0.2">
      <c r="A1504" s="655"/>
      <c r="B1504" s="655"/>
      <c r="C1504"/>
      <c r="D1504" s="655"/>
      <c r="E1504" s="655"/>
      <c r="F1504" s="655" t="str">
        <f>LEFT(AllDaqbookOffsets[[#This Row],[traceability_no]],2)</f>
        <v>K7</v>
      </c>
      <c r="N1504" s="456"/>
      <c r="O1504"/>
      <c r="Z1504" s="460"/>
      <c r="AA1504" s="194"/>
      <c r="AB1504"/>
      <c r="AG1504" s="69"/>
      <c r="AH1504"/>
    </row>
    <row r="1505" spans="1:34" x14ac:dyDescent="0.2">
      <c r="A1505" s="655"/>
      <c r="B1505" s="655"/>
      <c r="C1505"/>
      <c r="D1505" s="655"/>
      <c r="E1505" s="655"/>
      <c r="F1505" s="655" t="str">
        <f>LEFT(AllDaqbookOffsets[[#This Row],[traceability_no]],2)</f>
        <v>K7</v>
      </c>
      <c r="N1505" s="456"/>
      <c r="O1505"/>
      <c r="Z1505" s="460"/>
      <c r="AA1505" s="194"/>
      <c r="AB1505"/>
      <c r="AG1505" s="69"/>
      <c r="AH1505"/>
    </row>
    <row r="1506" spans="1:34" x14ac:dyDescent="0.2">
      <c r="A1506" s="655"/>
      <c r="B1506" s="655"/>
      <c r="C1506"/>
      <c r="D1506" s="655"/>
      <c r="E1506" s="655"/>
      <c r="F1506" s="655" t="str">
        <f>LEFT(AllDaqbookOffsets[[#This Row],[traceability_no]],2)</f>
        <v>K7</v>
      </c>
      <c r="N1506" s="456"/>
      <c r="O1506"/>
      <c r="Z1506" s="460"/>
      <c r="AA1506" s="194"/>
      <c r="AB1506"/>
      <c r="AG1506" s="69"/>
      <c r="AH1506"/>
    </row>
    <row r="1507" spans="1:34" x14ac:dyDescent="0.2">
      <c r="A1507" s="655"/>
      <c r="B1507" s="655"/>
      <c r="C1507"/>
      <c r="D1507" s="655"/>
      <c r="E1507" s="655"/>
      <c r="F1507" s="655" t="str">
        <f>LEFT(AllDaqbookOffsets[[#This Row],[traceability_no]],2)</f>
        <v>K7</v>
      </c>
      <c r="N1507" s="456"/>
      <c r="O1507"/>
      <c r="Z1507" s="460"/>
      <c r="AA1507" s="194"/>
      <c r="AB1507"/>
      <c r="AG1507" s="69"/>
      <c r="AH1507"/>
    </row>
    <row r="1508" spans="1:34" x14ac:dyDescent="0.2">
      <c r="A1508" s="655"/>
      <c r="B1508" s="655"/>
      <c r="C1508"/>
      <c r="D1508" s="655"/>
      <c r="E1508" s="655"/>
      <c r="F1508" s="655" t="str">
        <f>LEFT(AllDaqbookOffsets[[#This Row],[traceability_no]],2)</f>
        <v>K7</v>
      </c>
      <c r="N1508" s="456"/>
      <c r="O1508"/>
      <c r="Z1508" s="460"/>
      <c r="AA1508" s="194"/>
      <c r="AB1508"/>
      <c r="AG1508" s="69"/>
      <c r="AH1508"/>
    </row>
    <row r="1509" spans="1:34" x14ac:dyDescent="0.2">
      <c r="A1509" s="655"/>
      <c r="B1509" s="655"/>
      <c r="C1509"/>
      <c r="D1509" s="655"/>
      <c r="E1509" s="655"/>
      <c r="F1509" s="655" t="str">
        <f>LEFT(AllDaqbookOffsets[[#This Row],[traceability_no]],2)</f>
        <v>K7</v>
      </c>
      <c r="N1509" s="456"/>
      <c r="O1509"/>
      <c r="Z1509" s="460"/>
      <c r="AA1509" s="194"/>
      <c r="AB1509"/>
      <c r="AG1509" s="69"/>
      <c r="AH1509"/>
    </row>
    <row r="1510" spans="1:34" x14ac:dyDescent="0.2">
      <c r="A1510" s="655"/>
      <c r="B1510" s="655"/>
      <c r="C1510"/>
      <c r="D1510" s="655"/>
      <c r="E1510" s="655"/>
      <c r="F1510" s="655" t="str">
        <f>LEFT(AllDaqbookOffsets[[#This Row],[traceability_no]],2)</f>
        <v>K7</v>
      </c>
      <c r="N1510" s="456"/>
      <c r="O1510"/>
      <c r="Z1510" s="460"/>
      <c r="AA1510" s="194"/>
      <c r="AB1510"/>
      <c r="AG1510" s="69"/>
      <c r="AH1510"/>
    </row>
    <row r="1511" spans="1:34" x14ac:dyDescent="0.2">
      <c r="A1511" s="655"/>
      <c r="B1511" s="655"/>
      <c r="C1511"/>
      <c r="D1511" s="655"/>
      <c r="E1511" s="655"/>
      <c r="F1511" s="655" t="str">
        <f>LEFT(AllDaqbookOffsets[[#This Row],[traceability_no]],2)</f>
        <v>K7</v>
      </c>
      <c r="N1511" s="456"/>
      <c r="O1511"/>
      <c r="Z1511" s="460"/>
      <c r="AA1511" s="194"/>
      <c r="AB1511"/>
      <c r="AG1511" s="69"/>
      <c r="AH1511"/>
    </row>
    <row r="1512" spans="1:34" x14ac:dyDescent="0.2">
      <c r="A1512" s="655"/>
      <c r="B1512" s="655"/>
      <c r="C1512"/>
      <c r="D1512" s="655"/>
      <c r="E1512" s="655"/>
      <c r="F1512" s="655" t="str">
        <f>LEFT(AllDaqbookOffsets[[#This Row],[traceability_no]],2)</f>
        <v>K7</v>
      </c>
      <c r="N1512" s="456"/>
      <c r="O1512"/>
      <c r="Z1512" s="460"/>
      <c r="AA1512" s="194"/>
      <c r="AB1512"/>
      <c r="AG1512" s="69"/>
      <c r="AH1512"/>
    </row>
    <row r="1513" spans="1:34" x14ac:dyDescent="0.2">
      <c r="A1513" s="655"/>
      <c r="B1513" s="655"/>
      <c r="C1513"/>
      <c r="D1513" s="655"/>
      <c r="E1513" s="655"/>
      <c r="F1513" s="655" t="str">
        <f>LEFT(AllDaqbookOffsets[[#This Row],[traceability_no]],2)</f>
        <v>K7</v>
      </c>
      <c r="N1513" s="456"/>
      <c r="O1513"/>
      <c r="Z1513" s="460"/>
      <c r="AA1513" s="194"/>
      <c r="AB1513"/>
      <c r="AG1513" s="69"/>
      <c r="AH1513"/>
    </row>
    <row r="1514" spans="1:34" x14ac:dyDescent="0.2">
      <c r="A1514" s="655"/>
      <c r="B1514" s="655"/>
      <c r="C1514"/>
      <c r="D1514" s="655"/>
      <c r="E1514" s="655"/>
      <c r="F1514" s="655" t="str">
        <f>LEFT(AllDaqbookOffsets[[#This Row],[traceability_no]],2)</f>
        <v>K7</v>
      </c>
      <c r="N1514" s="456"/>
      <c r="O1514"/>
      <c r="Z1514" s="460"/>
      <c r="AA1514" s="194"/>
      <c r="AB1514"/>
      <c r="AG1514" s="69"/>
      <c r="AH1514"/>
    </row>
    <row r="1515" spans="1:34" x14ac:dyDescent="0.2">
      <c r="A1515" s="655"/>
      <c r="B1515" s="655"/>
      <c r="C1515"/>
      <c r="D1515" s="655"/>
      <c r="E1515" s="655"/>
      <c r="F1515" s="655" t="str">
        <f>LEFT(AllDaqbookOffsets[[#This Row],[traceability_no]],2)</f>
        <v>K7</v>
      </c>
      <c r="N1515" s="456"/>
      <c r="O1515"/>
      <c r="Z1515" s="460"/>
      <c r="AA1515" s="194"/>
      <c r="AB1515"/>
      <c r="AG1515" s="69"/>
      <c r="AH1515"/>
    </row>
    <row r="1516" spans="1:34" x14ac:dyDescent="0.2">
      <c r="A1516" s="655"/>
      <c r="B1516" s="655"/>
      <c r="C1516"/>
      <c r="D1516" s="655"/>
      <c r="E1516" s="655"/>
      <c r="F1516" s="655" t="str">
        <f>LEFT(AllDaqbookOffsets[[#This Row],[traceability_no]],2)</f>
        <v>K7</v>
      </c>
      <c r="N1516" s="456"/>
      <c r="O1516"/>
      <c r="Z1516" s="460"/>
      <c r="AA1516" s="194"/>
      <c r="AB1516"/>
      <c r="AG1516" s="69"/>
      <c r="AH1516"/>
    </row>
    <row r="1517" spans="1:34" x14ac:dyDescent="0.2">
      <c r="A1517" s="655"/>
      <c r="B1517" s="655"/>
      <c r="C1517"/>
      <c r="D1517" s="655"/>
      <c r="E1517" s="655"/>
      <c r="F1517" s="655" t="str">
        <f>LEFT(AllDaqbookOffsets[[#This Row],[traceability_no]],2)</f>
        <v>K7</v>
      </c>
      <c r="N1517" s="456"/>
      <c r="O1517"/>
      <c r="Z1517" s="460"/>
      <c r="AA1517" s="194"/>
      <c r="AB1517"/>
      <c r="AG1517" s="69"/>
      <c r="AH1517"/>
    </row>
    <row r="1518" spans="1:34" x14ac:dyDescent="0.2">
      <c r="A1518" s="655"/>
      <c r="B1518" s="655"/>
      <c r="C1518"/>
      <c r="D1518" s="655"/>
      <c r="E1518" s="655"/>
      <c r="F1518" s="655" t="str">
        <f>LEFT(AllDaqbookOffsets[[#This Row],[traceability_no]],2)</f>
        <v>K7</v>
      </c>
      <c r="N1518" s="456"/>
      <c r="O1518"/>
      <c r="Z1518" s="460"/>
      <c r="AA1518" s="194"/>
      <c r="AB1518"/>
      <c r="AG1518" s="69"/>
      <c r="AH1518"/>
    </row>
    <row r="1519" spans="1:34" x14ac:dyDescent="0.2">
      <c r="A1519" s="655"/>
      <c r="B1519" s="655"/>
      <c r="C1519"/>
      <c r="D1519" s="655"/>
      <c r="E1519" s="655"/>
      <c r="F1519" s="655" t="str">
        <f>LEFT(AllDaqbookOffsets[[#This Row],[traceability_no]],2)</f>
        <v>K7</v>
      </c>
      <c r="N1519" s="456"/>
      <c r="O1519"/>
      <c r="Z1519" s="460"/>
      <c r="AA1519" s="194"/>
      <c r="AB1519"/>
      <c r="AG1519" s="69"/>
      <c r="AH1519"/>
    </row>
    <row r="1520" spans="1:34" x14ac:dyDescent="0.2">
      <c r="A1520" s="655"/>
      <c r="B1520" s="655"/>
      <c r="C1520"/>
      <c r="D1520" s="655"/>
      <c r="E1520" s="655"/>
      <c r="F1520" s="655" t="str">
        <f>LEFT(AllDaqbookOffsets[[#This Row],[traceability_no]],2)</f>
        <v>K7</v>
      </c>
      <c r="N1520" s="456"/>
      <c r="O1520"/>
      <c r="Z1520" s="460"/>
      <c r="AA1520" s="194"/>
      <c r="AB1520"/>
      <c r="AG1520" s="69"/>
      <c r="AH1520"/>
    </row>
    <row r="1521" spans="1:34" x14ac:dyDescent="0.2">
      <c r="A1521" s="655"/>
      <c r="B1521" s="655"/>
      <c r="C1521"/>
      <c r="D1521" s="655"/>
      <c r="E1521" s="655"/>
      <c r="F1521" s="655" t="str">
        <f>LEFT(AllDaqbookOffsets[[#This Row],[traceability_no]],2)</f>
        <v>K7</v>
      </c>
      <c r="N1521" s="456"/>
      <c r="O1521"/>
      <c r="Z1521" s="460"/>
      <c r="AA1521" s="194"/>
      <c r="AB1521"/>
      <c r="AG1521" s="69"/>
      <c r="AH1521"/>
    </row>
    <row r="1522" spans="1:34" x14ac:dyDescent="0.2">
      <c r="A1522" s="655"/>
      <c r="B1522" s="655"/>
      <c r="C1522"/>
      <c r="D1522" s="655"/>
      <c r="E1522" s="655"/>
      <c r="F1522" s="655" t="str">
        <f>LEFT(AllDaqbookOffsets[[#This Row],[traceability_no]],2)</f>
        <v>K7</v>
      </c>
      <c r="N1522" s="456"/>
      <c r="O1522"/>
      <c r="Z1522" s="460"/>
      <c r="AA1522" s="194"/>
      <c r="AB1522"/>
      <c r="AG1522" s="69"/>
      <c r="AH1522"/>
    </row>
    <row r="1523" spans="1:34" x14ac:dyDescent="0.2">
      <c r="A1523" s="655"/>
      <c r="B1523" s="655"/>
      <c r="C1523"/>
      <c r="D1523" s="655"/>
      <c r="E1523" s="655"/>
      <c r="F1523" s="655" t="str">
        <f>LEFT(AllDaqbookOffsets[[#This Row],[traceability_no]],2)</f>
        <v>K7</v>
      </c>
      <c r="N1523" s="456"/>
      <c r="O1523"/>
      <c r="Z1523" s="460"/>
      <c r="AA1523" s="194"/>
      <c r="AB1523"/>
      <c r="AG1523" s="69"/>
      <c r="AH1523"/>
    </row>
    <row r="1524" spans="1:34" x14ac:dyDescent="0.2">
      <c r="A1524" s="655"/>
      <c r="B1524" s="655"/>
      <c r="C1524"/>
      <c r="D1524" s="655"/>
      <c r="E1524" s="655"/>
      <c r="F1524" s="655" t="str">
        <f>LEFT(AllDaqbookOffsets[[#This Row],[traceability_no]],2)</f>
        <v>K7</v>
      </c>
      <c r="N1524" s="456"/>
      <c r="O1524"/>
      <c r="Z1524" s="460"/>
      <c r="AA1524" s="194"/>
      <c r="AB1524"/>
      <c r="AG1524" s="69"/>
      <c r="AH1524"/>
    </row>
    <row r="1525" spans="1:34" x14ac:dyDescent="0.2">
      <c r="A1525" s="655"/>
      <c r="B1525" s="655"/>
      <c r="C1525"/>
      <c r="D1525" s="655"/>
      <c r="E1525" s="655"/>
      <c r="F1525" s="655" t="str">
        <f>LEFT(AllDaqbookOffsets[[#This Row],[traceability_no]],2)</f>
        <v>K7</v>
      </c>
      <c r="N1525" s="456"/>
      <c r="O1525"/>
      <c r="Z1525" s="460"/>
      <c r="AA1525" s="194"/>
      <c r="AB1525"/>
      <c r="AG1525" s="69"/>
      <c r="AH1525"/>
    </row>
    <row r="1526" spans="1:34" x14ac:dyDescent="0.2">
      <c r="A1526" s="655"/>
      <c r="B1526" s="655"/>
      <c r="C1526"/>
      <c r="D1526" s="655"/>
      <c r="E1526" s="655"/>
      <c r="F1526" s="655" t="str">
        <f>LEFT(AllDaqbookOffsets[[#This Row],[traceability_no]],2)</f>
        <v>K7</v>
      </c>
      <c r="N1526" s="456"/>
      <c r="O1526"/>
      <c r="Z1526" s="460"/>
      <c r="AA1526" s="194"/>
      <c r="AB1526"/>
      <c r="AG1526" s="69"/>
      <c r="AH1526"/>
    </row>
    <row r="1527" spans="1:34" x14ac:dyDescent="0.2">
      <c r="A1527" s="655"/>
      <c r="B1527" s="655"/>
      <c r="C1527"/>
      <c r="D1527" s="655"/>
      <c r="E1527" s="655"/>
      <c r="F1527" s="655" t="str">
        <f>LEFT(AllDaqbookOffsets[[#This Row],[traceability_no]],2)</f>
        <v>K7</v>
      </c>
      <c r="N1527" s="456"/>
      <c r="O1527"/>
      <c r="Z1527" s="460"/>
      <c r="AA1527" s="194"/>
      <c r="AB1527"/>
      <c r="AG1527" s="69"/>
      <c r="AH1527"/>
    </row>
    <row r="1528" spans="1:34" x14ac:dyDescent="0.2">
      <c r="A1528" s="655"/>
      <c r="B1528" s="655"/>
      <c r="C1528"/>
      <c r="D1528" s="655"/>
      <c r="E1528" s="655"/>
      <c r="F1528" s="655" t="str">
        <f>LEFT(AllDaqbookOffsets[[#This Row],[traceability_no]],2)</f>
        <v>K7</v>
      </c>
      <c r="N1528" s="456"/>
      <c r="O1528"/>
      <c r="Z1528" s="460"/>
      <c r="AA1528" s="194"/>
      <c r="AB1528"/>
      <c r="AG1528" s="69"/>
      <c r="AH1528"/>
    </row>
    <row r="1529" spans="1:34" x14ac:dyDescent="0.2">
      <c r="A1529" s="655"/>
      <c r="B1529" s="655"/>
      <c r="C1529"/>
      <c r="D1529" s="655"/>
      <c r="E1529" s="655"/>
      <c r="F1529" s="655" t="str">
        <f>LEFT(AllDaqbookOffsets[[#This Row],[traceability_no]],2)</f>
        <v>K7</v>
      </c>
      <c r="N1529" s="456"/>
      <c r="O1529"/>
      <c r="Z1529" s="460"/>
      <c r="AA1529" s="194"/>
      <c r="AB1529"/>
      <c r="AG1529" s="69"/>
      <c r="AH1529"/>
    </row>
    <row r="1530" spans="1:34" x14ac:dyDescent="0.2">
      <c r="A1530" s="655"/>
      <c r="B1530" s="655"/>
      <c r="C1530"/>
      <c r="D1530" s="655"/>
      <c r="E1530" s="655"/>
      <c r="F1530" s="655" t="str">
        <f>LEFT(AllDaqbookOffsets[[#This Row],[traceability_no]],2)</f>
        <v>K7</v>
      </c>
      <c r="N1530" s="456"/>
      <c r="O1530"/>
      <c r="Z1530" s="460"/>
      <c r="AA1530" s="194"/>
      <c r="AB1530"/>
      <c r="AG1530" s="69"/>
      <c r="AH1530"/>
    </row>
    <row r="1531" spans="1:34" x14ac:dyDescent="0.2">
      <c r="A1531" s="655"/>
      <c r="B1531" s="655"/>
      <c r="C1531"/>
      <c r="D1531" s="655"/>
      <c r="E1531" s="655"/>
      <c r="F1531" s="655" t="str">
        <f>LEFT(AllDaqbookOffsets[[#This Row],[traceability_no]],2)</f>
        <v>K7</v>
      </c>
      <c r="N1531" s="456"/>
      <c r="O1531"/>
      <c r="Z1531" s="460"/>
      <c r="AA1531" s="194"/>
      <c r="AB1531"/>
      <c r="AG1531" s="69"/>
      <c r="AH1531"/>
    </row>
    <row r="1532" spans="1:34" x14ac:dyDescent="0.2">
      <c r="A1532" s="655"/>
      <c r="B1532" s="655"/>
      <c r="C1532"/>
      <c r="D1532" s="655"/>
      <c r="E1532" s="655"/>
      <c r="F1532" s="655" t="str">
        <f>LEFT(AllDaqbookOffsets[[#This Row],[traceability_no]],2)</f>
        <v>K7</v>
      </c>
      <c r="N1532" s="456"/>
      <c r="O1532"/>
      <c r="Z1532" s="460"/>
      <c r="AA1532" s="194"/>
      <c r="AB1532"/>
      <c r="AG1532" s="69"/>
      <c r="AH1532"/>
    </row>
    <row r="1533" spans="1:34" x14ac:dyDescent="0.2">
      <c r="A1533" s="655"/>
      <c r="B1533" s="655"/>
      <c r="C1533"/>
      <c r="D1533" s="655"/>
      <c r="E1533" s="655"/>
      <c r="F1533" s="655" t="str">
        <f>LEFT(AllDaqbookOffsets[[#This Row],[traceability_no]],2)</f>
        <v>K7</v>
      </c>
      <c r="N1533" s="456"/>
      <c r="O1533"/>
      <c r="Z1533" s="460"/>
      <c r="AA1533" s="194"/>
      <c r="AB1533"/>
      <c r="AG1533" s="69"/>
      <c r="AH1533"/>
    </row>
    <row r="1534" spans="1:34" x14ac:dyDescent="0.2">
      <c r="A1534" s="655"/>
      <c r="B1534" s="655"/>
      <c r="C1534"/>
      <c r="D1534" s="655"/>
      <c r="E1534" s="655"/>
      <c r="F1534" s="655" t="str">
        <f>LEFT(AllDaqbookOffsets[[#This Row],[traceability_no]],2)</f>
        <v>K7</v>
      </c>
      <c r="N1534" s="456"/>
      <c r="O1534"/>
      <c r="Z1534" s="460"/>
      <c r="AA1534" s="194"/>
      <c r="AB1534"/>
      <c r="AG1534" s="69"/>
      <c r="AH1534"/>
    </row>
    <row r="1535" spans="1:34" x14ac:dyDescent="0.2">
      <c r="A1535" s="655"/>
      <c r="B1535" s="655"/>
      <c r="C1535"/>
      <c r="D1535" s="655"/>
      <c r="E1535" s="655"/>
      <c r="F1535" s="655" t="str">
        <f>LEFT(AllDaqbookOffsets[[#This Row],[traceability_no]],2)</f>
        <v>K7</v>
      </c>
      <c r="N1535" s="456"/>
      <c r="O1535"/>
      <c r="Z1535" s="460"/>
      <c r="AA1535" s="194"/>
      <c r="AB1535"/>
      <c r="AG1535" s="69"/>
      <c r="AH1535"/>
    </row>
    <row r="1536" spans="1:34" x14ac:dyDescent="0.2">
      <c r="A1536" s="655"/>
      <c r="B1536" s="655"/>
      <c r="C1536"/>
      <c r="D1536" s="655"/>
      <c r="E1536" s="655"/>
      <c r="F1536" s="655" t="str">
        <f>LEFT(AllDaqbookOffsets[[#This Row],[traceability_no]],2)</f>
        <v>K7</v>
      </c>
      <c r="N1536" s="456"/>
      <c r="O1536"/>
      <c r="Z1536" s="460"/>
      <c r="AA1536" s="194"/>
      <c r="AB1536"/>
      <c r="AG1536" s="69"/>
      <c r="AH1536"/>
    </row>
    <row r="1537" spans="1:34" x14ac:dyDescent="0.2">
      <c r="A1537" s="655"/>
      <c r="B1537" s="655"/>
      <c r="C1537"/>
      <c r="D1537" s="655"/>
      <c r="E1537" s="655"/>
      <c r="F1537" s="655" t="str">
        <f>LEFT(AllDaqbookOffsets[[#This Row],[traceability_no]],2)</f>
        <v>K7</v>
      </c>
      <c r="N1537" s="456"/>
      <c r="O1537"/>
      <c r="Z1537" s="460"/>
      <c r="AA1537" s="194"/>
      <c r="AB1537"/>
      <c r="AG1537" s="69"/>
      <c r="AH1537"/>
    </row>
    <row r="1538" spans="1:34" x14ac:dyDescent="0.2">
      <c r="A1538" s="655"/>
      <c r="B1538" s="655"/>
      <c r="C1538"/>
      <c r="D1538" s="655"/>
      <c r="E1538" s="655"/>
      <c r="F1538" s="655" t="str">
        <f>LEFT(AllDaqbookOffsets[[#This Row],[traceability_no]],2)</f>
        <v>N2</v>
      </c>
    </row>
    <row r="1539" spans="1:34" x14ac:dyDescent="0.2">
      <c r="A1539" s="655"/>
      <c r="B1539" s="655"/>
      <c r="C1539"/>
      <c r="D1539" s="655"/>
      <c r="E1539" s="655"/>
      <c r="F1539" s="655" t="str">
        <f>LEFT(AllDaqbookOffsets[[#This Row],[traceability_no]],2)</f>
        <v>N2</v>
      </c>
    </row>
    <row r="1540" spans="1:34" x14ac:dyDescent="0.2">
      <c r="A1540" s="655"/>
      <c r="B1540" s="655"/>
      <c r="C1540"/>
      <c r="D1540" s="655"/>
      <c r="E1540" s="655"/>
      <c r="F1540" s="655" t="str">
        <f>LEFT(AllDaqbookOffsets[[#This Row],[traceability_no]],2)</f>
        <v>N2</v>
      </c>
    </row>
    <row r="1541" spans="1:34" x14ac:dyDescent="0.2">
      <c r="A1541" s="655"/>
      <c r="B1541" s="655"/>
      <c r="C1541"/>
      <c r="D1541" s="655"/>
      <c r="E1541" s="655"/>
      <c r="F1541" s="655" t="str">
        <f>LEFT(AllDaqbookOffsets[[#This Row],[traceability_no]],2)</f>
        <v>N2</v>
      </c>
    </row>
    <row r="1542" spans="1:34" x14ac:dyDescent="0.2">
      <c r="A1542" s="655"/>
      <c r="B1542" s="655"/>
      <c r="C1542"/>
      <c r="D1542" s="655"/>
      <c r="E1542" s="655"/>
      <c r="F1542" s="655" t="str">
        <f>LEFT(AllDaqbookOffsets[[#This Row],[traceability_no]],2)</f>
        <v>N2</v>
      </c>
    </row>
    <row r="1543" spans="1:34" x14ac:dyDescent="0.2">
      <c r="A1543" s="655"/>
      <c r="B1543" s="655"/>
      <c r="C1543"/>
      <c r="D1543" s="655"/>
      <c r="E1543" s="655"/>
      <c r="F1543" s="655" t="str">
        <f>LEFT(AllDaqbookOffsets[[#This Row],[traceability_no]],2)</f>
        <v>N2</v>
      </c>
    </row>
    <row r="1544" spans="1:34" x14ac:dyDescent="0.2">
      <c r="A1544" s="655"/>
      <c r="B1544" s="655"/>
      <c r="C1544"/>
      <c r="D1544" s="655"/>
      <c r="E1544" s="655"/>
      <c r="F1544" s="655" t="str">
        <f>LEFT(AllDaqbookOffsets[[#This Row],[traceability_no]],2)</f>
        <v>N2</v>
      </c>
    </row>
    <row r="1545" spans="1:34" x14ac:dyDescent="0.2">
      <c r="A1545" s="655"/>
      <c r="B1545" s="655"/>
      <c r="C1545"/>
      <c r="D1545" s="655"/>
      <c r="E1545" s="655"/>
      <c r="F1545" s="655" t="str">
        <f>LEFT(AllDaqbookOffsets[[#This Row],[traceability_no]],2)</f>
        <v>N2</v>
      </c>
    </row>
    <row r="1546" spans="1:34" x14ac:dyDescent="0.2">
      <c r="A1546" s="655"/>
      <c r="B1546" s="655"/>
      <c r="C1546"/>
      <c r="D1546" s="655"/>
      <c r="E1546" s="655"/>
      <c r="F1546" s="655" t="str">
        <f>LEFT(AllDaqbookOffsets[[#This Row],[traceability_no]],2)</f>
        <v>N2</v>
      </c>
    </row>
    <row r="1547" spans="1:34" x14ac:dyDescent="0.2">
      <c r="A1547" s="655"/>
      <c r="B1547" s="655"/>
      <c r="C1547"/>
      <c r="D1547" s="655"/>
      <c r="E1547" s="655"/>
      <c r="F1547" s="655" t="str">
        <f>LEFT(AllDaqbookOffsets[[#This Row],[traceability_no]],2)</f>
        <v>N2</v>
      </c>
    </row>
    <row r="1548" spans="1:34" x14ac:dyDescent="0.2">
      <c r="A1548" s="655"/>
      <c r="B1548" s="655"/>
      <c r="C1548"/>
      <c r="D1548" s="655"/>
      <c r="E1548" s="655"/>
      <c r="F1548" s="655" t="str">
        <f>LEFT(AllDaqbookOffsets[[#This Row],[traceability_no]],2)</f>
        <v>N2</v>
      </c>
    </row>
    <row r="1549" spans="1:34" x14ac:dyDescent="0.2">
      <c r="A1549" s="655"/>
      <c r="B1549" s="655"/>
      <c r="C1549"/>
      <c r="D1549" s="655"/>
      <c r="E1549" s="655"/>
      <c r="F1549" s="655" t="str">
        <f>LEFT(AllDaqbookOffsets[[#This Row],[traceability_no]],2)</f>
        <v>N2</v>
      </c>
    </row>
    <row r="1550" spans="1:34" x14ac:dyDescent="0.2">
      <c r="A1550" s="655"/>
      <c r="B1550" s="655"/>
      <c r="C1550"/>
      <c r="D1550" s="655"/>
      <c r="E1550" s="655"/>
      <c r="F1550" s="655" t="str">
        <f>LEFT(AllDaqbookOffsets[[#This Row],[traceability_no]],2)</f>
        <v>N2</v>
      </c>
    </row>
    <row r="1551" spans="1:34" x14ac:dyDescent="0.2">
      <c r="A1551" s="655"/>
      <c r="B1551" s="655"/>
      <c r="C1551"/>
      <c r="D1551" s="655"/>
      <c r="E1551" s="655"/>
      <c r="F1551" s="655" t="str">
        <f>LEFT(AllDaqbookOffsets[[#This Row],[traceability_no]],2)</f>
        <v>N2</v>
      </c>
    </row>
    <row r="1552" spans="1:34" x14ac:dyDescent="0.2">
      <c r="A1552" s="655"/>
      <c r="B1552" s="655"/>
      <c r="C1552"/>
      <c r="D1552" s="655"/>
      <c r="E1552" s="655"/>
      <c r="F1552" s="655" t="str">
        <f>LEFT(AllDaqbookOffsets[[#This Row],[traceability_no]],2)</f>
        <v>N2</v>
      </c>
    </row>
    <row r="1553" spans="1:6" x14ac:dyDescent="0.2">
      <c r="A1553" s="655"/>
      <c r="B1553" s="655"/>
      <c r="C1553"/>
      <c r="D1553" s="655"/>
      <c r="E1553" s="655"/>
      <c r="F1553" s="655" t="str">
        <f>LEFT(AllDaqbookOffsets[[#This Row],[traceability_no]],2)</f>
        <v>N2</v>
      </c>
    </row>
    <row r="1554" spans="1:6" x14ac:dyDescent="0.2">
      <c r="A1554" s="655"/>
      <c r="B1554" s="655"/>
      <c r="C1554"/>
      <c r="D1554" s="655"/>
      <c r="E1554" s="655"/>
      <c r="F1554" s="655" t="str">
        <f>LEFT(AllDaqbookOffsets[[#This Row],[traceability_no]],2)</f>
        <v>N2</v>
      </c>
    </row>
    <row r="1555" spans="1:6" x14ac:dyDescent="0.2">
      <c r="A1555" s="655"/>
      <c r="B1555" s="655"/>
      <c r="C1555"/>
      <c r="D1555" s="655"/>
      <c r="E1555" s="655"/>
      <c r="F1555" s="655" t="str">
        <f>LEFT(AllDaqbookOffsets[[#This Row],[traceability_no]],2)</f>
        <v>N2</v>
      </c>
    </row>
    <row r="1556" spans="1:6" x14ac:dyDescent="0.2">
      <c r="A1556" s="655"/>
      <c r="B1556" s="655"/>
      <c r="C1556"/>
      <c r="D1556" s="655"/>
      <c r="E1556" s="655"/>
      <c r="F1556" s="655" t="str">
        <f>LEFT(AllDaqbookOffsets[[#This Row],[traceability_no]],2)</f>
        <v>N2</v>
      </c>
    </row>
    <row r="1557" spans="1:6" x14ac:dyDescent="0.2">
      <c r="A1557" s="655"/>
      <c r="B1557" s="655"/>
      <c r="C1557"/>
      <c r="D1557" s="655"/>
      <c r="E1557" s="655"/>
      <c r="F1557" s="655" t="str">
        <f>LEFT(AllDaqbookOffsets[[#This Row],[traceability_no]],2)</f>
        <v>N2</v>
      </c>
    </row>
    <row r="1558" spans="1:6" x14ac:dyDescent="0.2">
      <c r="A1558" s="655"/>
      <c r="B1558" s="655"/>
      <c r="C1558"/>
      <c r="D1558" s="655"/>
      <c r="E1558" s="655"/>
      <c r="F1558" s="655" t="str">
        <f>LEFT(AllDaqbookOffsets[[#This Row],[traceability_no]],2)</f>
        <v>N2</v>
      </c>
    </row>
    <row r="1559" spans="1:6" x14ac:dyDescent="0.2">
      <c r="A1559" s="655"/>
      <c r="B1559" s="655"/>
      <c r="C1559"/>
      <c r="D1559" s="655"/>
      <c r="E1559" s="655"/>
      <c r="F1559" s="655" t="str">
        <f>LEFT(AllDaqbookOffsets[[#This Row],[traceability_no]],2)</f>
        <v>N2</v>
      </c>
    </row>
    <row r="1560" spans="1:6" x14ac:dyDescent="0.2">
      <c r="A1560" s="655"/>
      <c r="B1560" s="655"/>
      <c r="C1560"/>
      <c r="D1560" s="655"/>
      <c r="E1560" s="655"/>
      <c r="F1560" s="655" t="str">
        <f>LEFT(AllDaqbookOffsets[[#This Row],[traceability_no]],2)</f>
        <v>N2</v>
      </c>
    </row>
    <row r="1561" spans="1:6" x14ac:dyDescent="0.2">
      <c r="A1561" s="655"/>
      <c r="B1561" s="655"/>
      <c r="C1561"/>
      <c r="D1561" s="655"/>
      <c r="E1561" s="655"/>
      <c r="F1561" s="655" t="str">
        <f>LEFT(AllDaqbookOffsets[[#This Row],[traceability_no]],2)</f>
        <v>N2</v>
      </c>
    </row>
    <row r="1562" spans="1:6" x14ac:dyDescent="0.2">
      <c r="A1562" s="655"/>
      <c r="B1562" s="655"/>
      <c r="C1562"/>
      <c r="D1562" s="655"/>
      <c r="E1562" s="655"/>
      <c r="F1562" s="655" t="str">
        <f>LEFT(AllDaqbookOffsets[[#This Row],[traceability_no]],2)</f>
        <v>N2</v>
      </c>
    </row>
    <row r="1563" spans="1:6" x14ac:dyDescent="0.2">
      <c r="A1563" s="655"/>
      <c r="B1563" s="655"/>
      <c r="C1563"/>
      <c r="D1563" s="655"/>
      <c r="E1563" s="655"/>
      <c r="F1563" s="655" t="str">
        <f>LEFT(AllDaqbookOffsets[[#This Row],[traceability_no]],2)</f>
        <v>N2</v>
      </c>
    </row>
    <row r="1564" spans="1:6" x14ac:dyDescent="0.2">
      <c r="A1564" s="655"/>
      <c r="B1564" s="655"/>
      <c r="C1564"/>
      <c r="D1564" s="655"/>
      <c r="E1564" s="655"/>
      <c r="F1564" s="655" t="str">
        <f>LEFT(AllDaqbookOffsets[[#This Row],[traceability_no]],2)</f>
        <v>N2</v>
      </c>
    </row>
    <row r="1565" spans="1:6" x14ac:dyDescent="0.2">
      <c r="A1565" s="655"/>
      <c r="B1565" s="655"/>
      <c r="C1565"/>
      <c r="D1565" s="655"/>
      <c r="E1565" s="655"/>
      <c r="F1565" s="655" t="str">
        <f>LEFT(AllDaqbookOffsets[[#This Row],[traceability_no]],2)</f>
        <v>N2</v>
      </c>
    </row>
    <row r="1566" spans="1:6" x14ac:dyDescent="0.2">
      <c r="A1566" s="655"/>
      <c r="B1566" s="655"/>
      <c r="C1566"/>
      <c r="D1566" s="655"/>
      <c r="E1566" s="655"/>
      <c r="F1566" s="655" t="str">
        <f>LEFT(AllDaqbookOffsets[[#This Row],[traceability_no]],2)</f>
        <v>N2</v>
      </c>
    </row>
    <row r="1567" spans="1:6" x14ac:dyDescent="0.2">
      <c r="A1567" s="655"/>
      <c r="B1567" s="655"/>
      <c r="C1567"/>
      <c r="D1567" s="655"/>
      <c r="E1567" s="655"/>
      <c r="F1567" s="655" t="str">
        <f>LEFT(AllDaqbookOffsets[[#This Row],[traceability_no]],2)</f>
        <v>N2</v>
      </c>
    </row>
    <row r="1568" spans="1:6" x14ac:dyDescent="0.2">
      <c r="A1568" s="655"/>
      <c r="B1568" s="655"/>
      <c r="C1568"/>
      <c r="D1568" s="655"/>
      <c r="E1568" s="655"/>
      <c r="F1568" s="655" t="str">
        <f>LEFT(AllDaqbookOffsets[[#This Row],[traceability_no]],2)</f>
        <v>N2</v>
      </c>
    </row>
    <row r="1569" spans="1:6" x14ac:dyDescent="0.2">
      <c r="A1569" s="655"/>
      <c r="B1569" s="655"/>
      <c r="C1569"/>
      <c r="D1569" s="655"/>
      <c r="E1569" s="655"/>
      <c r="F1569" s="655" t="str">
        <f>LEFT(AllDaqbookOffsets[[#This Row],[traceability_no]],2)</f>
        <v>N2</v>
      </c>
    </row>
    <row r="1570" spans="1:6" x14ac:dyDescent="0.2">
      <c r="A1570" s="655"/>
      <c r="B1570" s="655"/>
      <c r="C1570"/>
      <c r="D1570" s="655"/>
      <c r="E1570" s="655"/>
      <c r="F1570" s="655" t="str">
        <f>LEFT(AllDaqbookOffsets[[#This Row],[traceability_no]],2)</f>
        <v>N2</v>
      </c>
    </row>
    <row r="1571" spans="1:6" x14ac:dyDescent="0.2">
      <c r="A1571" s="655"/>
      <c r="B1571" s="655"/>
      <c r="C1571"/>
      <c r="D1571" s="655"/>
      <c r="E1571" s="655"/>
      <c r="F1571" s="655" t="str">
        <f>LEFT(AllDaqbookOffsets[[#This Row],[traceability_no]],2)</f>
        <v>N2</v>
      </c>
    </row>
    <row r="1572" spans="1:6" x14ac:dyDescent="0.2">
      <c r="A1572" s="655"/>
      <c r="B1572" s="655"/>
      <c r="C1572"/>
      <c r="D1572" s="655"/>
      <c r="E1572" s="655"/>
      <c r="F1572" s="655" t="str">
        <f>LEFT(AllDaqbookOffsets[[#This Row],[traceability_no]],2)</f>
        <v>N2</v>
      </c>
    </row>
    <row r="1573" spans="1:6" x14ac:dyDescent="0.2">
      <c r="A1573" s="655"/>
      <c r="B1573" s="655"/>
      <c r="C1573"/>
      <c r="D1573" s="655"/>
      <c r="E1573" s="655"/>
      <c r="F1573" s="655" t="str">
        <f>LEFT(AllDaqbookOffsets[[#This Row],[traceability_no]],2)</f>
        <v>N2</v>
      </c>
    </row>
    <row r="1574" spans="1:6" x14ac:dyDescent="0.2">
      <c r="A1574" s="655"/>
      <c r="B1574" s="655"/>
      <c r="C1574"/>
      <c r="D1574" s="655"/>
      <c r="E1574" s="655"/>
      <c r="F1574" s="655" t="str">
        <f>LEFT(AllDaqbookOffsets[[#This Row],[traceability_no]],2)</f>
        <v>N2</v>
      </c>
    </row>
    <row r="1575" spans="1:6" x14ac:dyDescent="0.2">
      <c r="A1575" s="655"/>
      <c r="B1575" s="655"/>
      <c r="C1575"/>
      <c r="D1575" s="655"/>
      <c r="E1575" s="655"/>
      <c r="F1575" s="655" t="str">
        <f>LEFT(AllDaqbookOffsets[[#This Row],[traceability_no]],2)</f>
        <v>N2</v>
      </c>
    </row>
    <row r="1576" spans="1:6" x14ac:dyDescent="0.2">
      <c r="A1576" s="655"/>
      <c r="B1576" s="655"/>
      <c r="C1576"/>
      <c r="D1576" s="655"/>
      <c r="E1576" s="655"/>
      <c r="F1576" s="655" t="str">
        <f>LEFT(AllDaqbookOffsets[[#This Row],[traceability_no]],2)</f>
        <v>N2</v>
      </c>
    </row>
    <row r="1577" spans="1:6" x14ac:dyDescent="0.2">
      <c r="A1577" s="655"/>
      <c r="B1577" s="655"/>
      <c r="C1577"/>
      <c r="D1577" s="655"/>
      <c r="E1577" s="655"/>
      <c r="F1577" s="655" t="str">
        <f>LEFT(AllDaqbookOffsets[[#This Row],[traceability_no]],2)</f>
        <v>N2</v>
      </c>
    </row>
    <row r="1578" spans="1:6" x14ac:dyDescent="0.2">
      <c r="A1578" s="655"/>
      <c r="B1578" s="655"/>
      <c r="C1578"/>
      <c r="D1578" s="655"/>
      <c r="E1578" s="655"/>
      <c r="F1578" s="655" t="str">
        <f>LEFT(AllDaqbookOffsets[[#This Row],[traceability_no]],2)</f>
        <v>N2</v>
      </c>
    </row>
    <row r="1579" spans="1:6" x14ac:dyDescent="0.2">
      <c r="A1579" s="655"/>
      <c r="B1579" s="655"/>
      <c r="C1579"/>
      <c r="D1579" s="655"/>
      <c r="E1579" s="655"/>
      <c r="F1579" s="655" t="str">
        <f>LEFT(AllDaqbookOffsets[[#This Row],[traceability_no]],2)</f>
        <v>N2</v>
      </c>
    </row>
    <row r="1580" spans="1:6" x14ac:dyDescent="0.2">
      <c r="A1580" s="655"/>
      <c r="B1580" s="655"/>
      <c r="C1580"/>
      <c r="D1580" s="655"/>
      <c r="E1580" s="655"/>
      <c r="F1580" s="655" t="str">
        <f>LEFT(AllDaqbookOffsets[[#This Row],[traceability_no]],2)</f>
        <v>N2</v>
      </c>
    </row>
    <row r="1581" spans="1:6" x14ac:dyDescent="0.2">
      <c r="A1581" s="655"/>
      <c r="B1581" s="655"/>
      <c r="C1581"/>
      <c r="D1581" s="655"/>
      <c r="E1581" s="655"/>
      <c r="F1581" s="655" t="str">
        <f>LEFT(AllDaqbookOffsets[[#This Row],[traceability_no]],2)</f>
        <v>N2</v>
      </c>
    </row>
    <row r="1582" spans="1:6" x14ac:dyDescent="0.2">
      <c r="A1582" s="655"/>
      <c r="B1582" s="655"/>
      <c r="C1582"/>
      <c r="D1582" s="655"/>
      <c r="E1582" s="655"/>
      <c r="F1582" s="655" t="str">
        <f>LEFT(AllDaqbookOffsets[[#This Row],[traceability_no]],2)</f>
        <v>N2</v>
      </c>
    </row>
    <row r="1583" spans="1:6" x14ac:dyDescent="0.2">
      <c r="A1583" s="655"/>
      <c r="B1583" s="655"/>
      <c r="C1583"/>
      <c r="D1583" s="655"/>
      <c r="E1583" s="655"/>
      <c r="F1583" s="655" t="str">
        <f>LEFT(AllDaqbookOffsets[[#This Row],[traceability_no]],2)</f>
        <v>N2</v>
      </c>
    </row>
    <row r="1584" spans="1:6" x14ac:dyDescent="0.2">
      <c r="A1584" s="655"/>
      <c r="B1584" s="655"/>
      <c r="C1584"/>
      <c r="D1584" s="655"/>
      <c r="E1584" s="655"/>
      <c r="F1584" s="655" t="str">
        <f>LEFT(AllDaqbookOffsets[[#This Row],[traceability_no]],2)</f>
        <v>N2</v>
      </c>
    </row>
    <row r="1585" spans="1:6" x14ac:dyDescent="0.2">
      <c r="A1585" s="655"/>
      <c r="B1585" s="655"/>
      <c r="C1585"/>
      <c r="D1585" s="655"/>
      <c r="E1585" s="655"/>
      <c r="F1585" s="655" t="str">
        <f>LEFT(AllDaqbookOffsets[[#This Row],[traceability_no]],2)</f>
        <v>N2</v>
      </c>
    </row>
    <row r="1586" spans="1:6" x14ac:dyDescent="0.2">
      <c r="A1586" s="655"/>
      <c r="B1586" s="655"/>
      <c r="C1586"/>
      <c r="D1586" s="655"/>
      <c r="E1586" s="655"/>
      <c r="F1586" s="655" t="str">
        <f>LEFT(AllDaqbookOffsets[[#This Row],[traceability_no]],2)</f>
        <v>N2</v>
      </c>
    </row>
    <row r="1587" spans="1:6" x14ac:dyDescent="0.2">
      <c r="A1587" s="655"/>
      <c r="B1587" s="655"/>
      <c r="C1587"/>
      <c r="D1587" s="655"/>
      <c r="E1587" s="655"/>
      <c r="F1587" s="655" t="str">
        <f>LEFT(AllDaqbookOffsets[[#This Row],[traceability_no]],2)</f>
        <v>N2</v>
      </c>
    </row>
    <row r="1588" spans="1:6" x14ac:dyDescent="0.2">
      <c r="A1588" s="655"/>
      <c r="B1588" s="655"/>
      <c r="C1588"/>
      <c r="D1588" s="655"/>
      <c r="E1588" s="655"/>
      <c r="F1588" s="655" t="str">
        <f>LEFT(AllDaqbookOffsets[[#This Row],[traceability_no]],2)</f>
        <v>N2</v>
      </c>
    </row>
    <row r="1589" spans="1:6" x14ac:dyDescent="0.2">
      <c r="A1589" s="655"/>
      <c r="B1589" s="655"/>
      <c r="C1589"/>
      <c r="D1589" s="655"/>
      <c r="E1589" s="655"/>
      <c r="F1589" s="655" t="str">
        <f>LEFT(AllDaqbookOffsets[[#This Row],[traceability_no]],2)</f>
        <v>N2</v>
      </c>
    </row>
    <row r="1590" spans="1:6" x14ac:dyDescent="0.2">
      <c r="A1590" s="655"/>
      <c r="B1590" s="655"/>
      <c r="C1590"/>
      <c r="D1590" s="655"/>
      <c r="E1590" s="655"/>
      <c r="F1590" s="655" t="str">
        <f>LEFT(AllDaqbookOffsets[[#This Row],[traceability_no]],2)</f>
        <v>N2</v>
      </c>
    </row>
    <row r="1591" spans="1:6" x14ac:dyDescent="0.2">
      <c r="A1591" s="655"/>
      <c r="B1591" s="655"/>
      <c r="C1591"/>
      <c r="D1591" s="655"/>
      <c r="E1591" s="655"/>
      <c r="F1591" s="655" t="str">
        <f>LEFT(AllDaqbookOffsets[[#This Row],[traceability_no]],2)</f>
        <v>N2</v>
      </c>
    </row>
    <row r="1592" spans="1:6" x14ac:dyDescent="0.2">
      <c r="A1592" s="655"/>
      <c r="B1592" s="655"/>
      <c r="C1592"/>
      <c r="D1592" s="655"/>
      <c r="E1592" s="655"/>
      <c r="F1592" s="655" t="str">
        <f>LEFT(AllDaqbookOffsets[[#This Row],[traceability_no]],2)</f>
        <v>N2</v>
      </c>
    </row>
    <row r="1593" spans="1:6" x14ac:dyDescent="0.2">
      <c r="A1593" s="655"/>
      <c r="B1593" s="655"/>
      <c r="C1593"/>
      <c r="D1593" s="655"/>
      <c r="E1593" s="655"/>
      <c r="F1593" s="655" t="str">
        <f>LEFT(AllDaqbookOffsets[[#This Row],[traceability_no]],2)</f>
        <v>N2</v>
      </c>
    </row>
    <row r="1594" spans="1:6" x14ac:dyDescent="0.2">
      <c r="A1594" s="655"/>
      <c r="B1594" s="655"/>
      <c r="C1594"/>
      <c r="D1594" s="655"/>
      <c r="E1594" s="655"/>
      <c r="F1594" s="655" t="str">
        <f>LEFT(AllDaqbookOffsets[[#This Row],[traceability_no]],2)</f>
        <v>N2</v>
      </c>
    </row>
    <row r="1595" spans="1:6" x14ac:dyDescent="0.2">
      <c r="A1595" s="655"/>
      <c r="B1595" s="655"/>
      <c r="C1595"/>
      <c r="D1595" s="655"/>
      <c r="E1595" s="655"/>
      <c r="F1595" s="655" t="str">
        <f>LEFT(AllDaqbookOffsets[[#This Row],[traceability_no]],2)</f>
        <v>N2</v>
      </c>
    </row>
    <row r="1596" spans="1:6" x14ac:dyDescent="0.2">
      <c r="A1596" s="655"/>
      <c r="B1596" s="655"/>
      <c r="C1596"/>
      <c r="D1596" s="655"/>
      <c r="E1596" s="655"/>
      <c r="F1596" s="655" t="str">
        <f>LEFT(AllDaqbookOffsets[[#This Row],[traceability_no]],2)</f>
        <v>N2</v>
      </c>
    </row>
    <row r="1597" spans="1:6" x14ac:dyDescent="0.2">
      <c r="A1597" s="655"/>
      <c r="B1597" s="655"/>
      <c r="C1597"/>
      <c r="D1597" s="655"/>
      <c r="E1597" s="655"/>
      <c r="F1597" s="655" t="str">
        <f>LEFT(AllDaqbookOffsets[[#This Row],[traceability_no]],2)</f>
        <v>N2</v>
      </c>
    </row>
    <row r="1598" spans="1:6" x14ac:dyDescent="0.2">
      <c r="A1598" s="655"/>
      <c r="B1598" s="655"/>
      <c r="C1598"/>
      <c r="D1598" s="655"/>
      <c r="E1598" s="655"/>
      <c r="F1598" s="655" t="str">
        <f>LEFT(AllDaqbookOffsets[[#This Row],[traceability_no]],2)</f>
        <v>N2</v>
      </c>
    </row>
    <row r="1599" spans="1:6" x14ac:dyDescent="0.2">
      <c r="A1599" s="655"/>
      <c r="B1599" s="655"/>
      <c r="C1599"/>
      <c r="D1599" s="655"/>
      <c r="E1599" s="655"/>
      <c r="F1599" s="655" t="str">
        <f>LEFT(AllDaqbookOffsets[[#This Row],[traceability_no]],2)</f>
        <v>N2</v>
      </c>
    </row>
    <row r="1600" spans="1:6" x14ac:dyDescent="0.2">
      <c r="A1600" s="655"/>
      <c r="B1600" s="655"/>
      <c r="C1600"/>
      <c r="D1600" s="655"/>
      <c r="E1600" s="655"/>
      <c r="F1600" s="655" t="str">
        <f>LEFT(AllDaqbookOffsets[[#This Row],[traceability_no]],2)</f>
        <v>N2</v>
      </c>
    </row>
    <row r="1601" spans="1:6" x14ac:dyDescent="0.2">
      <c r="A1601" s="655"/>
      <c r="B1601" s="655"/>
      <c r="C1601"/>
      <c r="D1601" s="655"/>
      <c r="E1601" s="655"/>
      <c r="F1601" s="655" t="str">
        <f>LEFT(AllDaqbookOffsets[[#This Row],[traceability_no]],2)</f>
        <v>N2</v>
      </c>
    </row>
    <row r="1602" spans="1:6" x14ac:dyDescent="0.2">
      <c r="A1602" s="655"/>
      <c r="B1602" s="655"/>
      <c r="C1602"/>
      <c r="D1602" s="655"/>
      <c r="E1602" s="655"/>
      <c r="F1602" s="655" t="str">
        <f>LEFT(AllDaqbookOffsets[[#This Row],[traceability_no]],2)</f>
        <v>N2</v>
      </c>
    </row>
    <row r="1603" spans="1:6" x14ac:dyDescent="0.2">
      <c r="A1603" s="655"/>
      <c r="B1603" s="655"/>
      <c r="C1603"/>
      <c r="D1603" s="655"/>
      <c r="E1603" s="655"/>
      <c r="F1603" s="655" t="str">
        <f>LEFT(AllDaqbookOffsets[[#This Row],[traceability_no]],2)</f>
        <v>N2</v>
      </c>
    </row>
    <row r="1604" spans="1:6" x14ac:dyDescent="0.2">
      <c r="A1604" s="655"/>
      <c r="B1604" s="655"/>
      <c r="C1604"/>
      <c r="D1604" s="655"/>
      <c r="E1604" s="655"/>
      <c r="F1604" s="655" t="str">
        <f>LEFT(AllDaqbookOffsets[[#This Row],[traceability_no]],2)</f>
        <v>N2</v>
      </c>
    </row>
    <row r="1605" spans="1:6" x14ac:dyDescent="0.2">
      <c r="A1605" s="655"/>
      <c r="B1605" s="655"/>
      <c r="C1605"/>
      <c r="D1605" s="655"/>
      <c r="E1605" s="655"/>
      <c r="F1605" s="655" t="str">
        <f>LEFT(AllDaqbookOffsets[[#This Row],[traceability_no]],2)</f>
        <v>N2</v>
      </c>
    </row>
    <row r="1606" spans="1:6" x14ac:dyDescent="0.2">
      <c r="A1606" s="655"/>
      <c r="B1606" s="655"/>
      <c r="C1606"/>
      <c r="D1606" s="655"/>
      <c r="E1606" s="655"/>
      <c r="F1606" s="655" t="str">
        <f>LEFT(AllDaqbookOffsets[[#This Row],[traceability_no]],2)</f>
        <v>N2</v>
      </c>
    </row>
    <row r="1607" spans="1:6" x14ac:dyDescent="0.2">
      <c r="A1607" s="655"/>
      <c r="B1607" s="655"/>
      <c r="C1607"/>
      <c r="D1607" s="655"/>
      <c r="E1607" s="655"/>
      <c r="F1607" s="655" t="str">
        <f>LEFT(AllDaqbookOffsets[[#This Row],[traceability_no]],2)</f>
        <v>N2</v>
      </c>
    </row>
    <row r="1608" spans="1:6" x14ac:dyDescent="0.2">
      <c r="A1608" s="655"/>
      <c r="B1608" s="655"/>
      <c r="C1608"/>
      <c r="D1608" s="655"/>
      <c r="E1608" s="655"/>
      <c r="F1608" s="655" t="str">
        <f>LEFT(AllDaqbookOffsets[[#This Row],[traceability_no]],2)</f>
        <v>N2</v>
      </c>
    </row>
    <row r="1609" spans="1:6" x14ac:dyDescent="0.2">
      <c r="A1609" s="655"/>
      <c r="B1609" s="655"/>
      <c r="C1609"/>
      <c r="D1609" s="655"/>
      <c r="E1609" s="655"/>
      <c r="F1609" s="655" t="str">
        <f>LEFT(AllDaqbookOffsets[[#This Row],[traceability_no]],2)</f>
        <v>N2</v>
      </c>
    </row>
    <row r="1610" spans="1:6" x14ac:dyDescent="0.2">
      <c r="A1610" s="655"/>
      <c r="B1610" s="655"/>
      <c r="C1610"/>
      <c r="D1610" s="655"/>
      <c r="E1610" s="655"/>
      <c r="F1610" s="655" t="str">
        <f>LEFT(AllDaqbookOffsets[[#This Row],[traceability_no]],2)</f>
        <v>N2</v>
      </c>
    </row>
    <row r="1611" spans="1:6" x14ac:dyDescent="0.2">
      <c r="A1611" s="655"/>
      <c r="B1611" s="655"/>
      <c r="C1611"/>
      <c r="D1611" s="655"/>
      <c r="E1611" s="655"/>
      <c r="F1611" s="655" t="str">
        <f>LEFT(AllDaqbookOffsets[[#This Row],[traceability_no]],2)</f>
        <v>N2</v>
      </c>
    </row>
    <row r="1612" spans="1:6" x14ac:dyDescent="0.2">
      <c r="A1612" s="655"/>
      <c r="B1612" s="655"/>
      <c r="C1612"/>
      <c r="D1612" s="655"/>
      <c r="E1612" s="655"/>
      <c r="F1612" s="655" t="str">
        <f>LEFT(AllDaqbookOffsets[[#This Row],[traceability_no]],2)</f>
        <v>N2</v>
      </c>
    </row>
    <row r="1613" spans="1:6" x14ac:dyDescent="0.2">
      <c r="A1613" s="655"/>
      <c r="B1613" s="655"/>
      <c r="C1613"/>
      <c r="D1613" s="655"/>
      <c r="E1613" s="655"/>
      <c r="F1613" s="655" t="str">
        <f>LEFT(AllDaqbookOffsets[[#This Row],[traceability_no]],2)</f>
        <v>N2</v>
      </c>
    </row>
    <row r="1614" spans="1:6" x14ac:dyDescent="0.2">
      <c r="A1614" s="655"/>
      <c r="B1614" s="655"/>
      <c r="C1614"/>
      <c r="D1614" s="655"/>
      <c r="E1614" s="655"/>
      <c r="F1614" s="655" t="str">
        <f>LEFT(AllDaqbookOffsets[[#This Row],[traceability_no]],2)</f>
        <v>N2</v>
      </c>
    </row>
    <row r="1615" spans="1:6" x14ac:dyDescent="0.2">
      <c r="A1615" s="655"/>
      <c r="B1615" s="655"/>
      <c r="C1615"/>
      <c r="D1615" s="655"/>
      <c r="E1615" s="655"/>
      <c r="F1615" s="655" t="str">
        <f>LEFT(AllDaqbookOffsets[[#This Row],[traceability_no]],2)</f>
        <v>N2</v>
      </c>
    </row>
    <row r="1616" spans="1:6" x14ac:dyDescent="0.2">
      <c r="A1616" s="655"/>
      <c r="B1616" s="655"/>
      <c r="C1616"/>
      <c r="D1616" s="655"/>
      <c r="E1616" s="655"/>
      <c r="F1616" s="655" t="str">
        <f>LEFT(AllDaqbookOffsets[[#This Row],[traceability_no]],2)</f>
        <v>N2</v>
      </c>
    </row>
    <row r="1617" spans="1:6" x14ac:dyDescent="0.2">
      <c r="A1617" s="655"/>
      <c r="B1617" s="655"/>
      <c r="C1617"/>
      <c r="D1617" s="655"/>
      <c r="E1617" s="655"/>
      <c r="F1617" s="655" t="str">
        <f>LEFT(AllDaqbookOffsets[[#This Row],[traceability_no]],2)</f>
        <v>N2</v>
      </c>
    </row>
    <row r="1618" spans="1:6" x14ac:dyDescent="0.2">
      <c r="A1618" s="655"/>
      <c r="B1618" s="655"/>
      <c r="C1618"/>
      <c r="D1618" s="655"/>
      <c r="E1618" s="655"/>
      <c r="F1618" s="655" t="str">
        <f>LEFT(AllDaqbookOffsets[[#This Row],[traceability_no]],2)</f>
        <v>N2</v>
      </c>
    </row>
    <row r="1619" spans="1:6" x14ac:dyDescent="0.2">
      <c r="A1619" s="655"/>
      <c r="B1619" s="655"/>
      <c r="C1619"/>
      <c r="D1619" s="655"/>
      <c r="E1619" s="655"/>
      <c r="F1619" s="655" t="str">
        <f>LEFT(AllDaqbookOffsets[[#This Row],[traceability_no]],2)</f>
        <v>N2</v>
      </c>
    </row>
    <row r="1620" spans="1:6" x14ac:dyDescent="0.2">
      <c r="A1620" s="655"/>
      <c r="B1620" s="655"/>
      <c r="C1620"/>
      <c r="D1620" s="655"/>
      <c r="E1620" s="655"/>
      <c r="F1620" s="655" t="str">
        <f>LEFT(AllDaqbookOffsets[[#This Row],[traceability_no]],2)</f>
        <v>N2</v>
      </c>
    </row>
    <row r="1621" spans="1:6" x14ac:dyDescent="0.2">
      <c r="A1621" s="655"/>
      <c r="B1621" s="655"/>
      <c r="C1621"/>
      <c r="D1621" s="655"/>
      <c r="E1621" s="655"/>
      <c r="F1621" s="655" t="str">
        <f>LEFT(AllDaqbookOffsets[[#This Row],[traceability_no]],2)</f>
        <v>N2</v>
      </c>
    </row>
    <row r="1622" spans="1:6" x14ac:dyDescent="0.2">
      <c r="A1622" s="655"/>
      <c r="B1622" s="655"/>
      <c r="C1622"/>
      <c r="D1622" s="655"/>
      <c r="E1622" s="655"/>
      <c r="F1622" s="655" t="str">
        <f>LEFT(AllDaqbookOffsets[[#This Row],[traceability_no]],2)</f>
        <v>N2</v>
      </c>
    </row>
    <row r="1623" spans="1:6" x14ac:dyDescent="0.2">
      <c r="A1623" s="655"/>
      <c r="B1623" s="655"/>
      <c r="C1623"/>
      <c r="D1623" s="655"/>
      <c r="E1623" s="655"/>
      <c r="F1623" s="655" t="str">
        <f>LEFT(AllDaqbookOffsets[[#This Row],[traceability_no]],2)</f>
        <v>N2</v>
      </c>
    </row>
    <row r="1624" spans="1:6" x14ac:dyDescent="0.2">
      <c r="A1624" s="655"/>
      <c r="B1624" s="655"/>
      <c r="C1624"/>
      <c r="D1624" s="655"/>
      <c r="E1624" s="655"/>
      <c r="F1624" s="655" t="str">
        <f>LEFT(AllDaqbookOffsets[[#This Row],[traceability_no]],2)</f>
        <v>N2</v>
      </c>
    </row>
    <row r="1625" spans="1:6" x14ac:dyDescent="0.2">
      <c r="A1625" s="655"/>
      <c r="B1625" s="655"/>
      <c r="C1625"/>
      <c r="D1625" s="655"/>
      <c r="E1625" s="655"/>
      <c r="F1625" s="655" t="str">
        <f>LEFT(AllDaqbookOffsets[[#This Row],[traceability_no]],2)</f>
        <v>N2</v>
      </c>
    </row>
    <row r="1626" spans="1:6" x14ac:dyDescent="0.2">
      <c r="A1626" s="655"/>
      <c r="B1626" s="655"/>
      <c r="C1626"/>
      <c r="D1626" s="655"/>
      <c r="E1626" s="655"/>
      <c r="F1626" s="655" t="str">
        <f>LEFT(AllDaqbookOffsets[[#This Row],[traceability_no]],2)</f>
        <v>N2</v>
      </c>
    </row>
    <row r="1627" spans="1:6" x14ac:dyDescent="0.2">
      <c r="A1627" s="655"/>
      <c r="B1627" s="655"/>
      <c r="C1627"/>
      <c r="D1627" s="655"/>
      <c r="E1627" s="655"/>
      <c r="F1627" s="655" t="str">
        <f>LEFT(AllDaqbookOffsets[[#This Row],[traceability_no]],2)</f>
        <v>N2</v>
      </c>
    </row>
    <row r="1628" spans="1:6" x14ac:dyDescent="0.2">
      <c r="A1628" s="655"/>
      <c r="B1628" s="655"/>
      <c r="C1628"/>
      <c r="D1628" s="655"/>
      <c r="E1628" s="655"/>
      <c r="F1628" s="655" t="str">
        <f>LEFT(AllDaqbookOffsets[[#This Row],[traceability_no]],2)</f>
        <v>N2</v>
      </c>
    </row>
    <row r="1629" spans="1:6" x14ac:dyDescent="0.2">
      <c r="A1629" s="655"/>
      <c r="B1629" s="655"/>
      <c r="C1629"/>
      <c r="D1629" s="655"/>
      <c r="E1629" s="655"/>
      <c r="F1629" s="655" t="str">
        <f>LEFT(AllDaqbookOffsets[[#This Row],[traceability_no]],2)</f>
        <v>N2</v>
      </c>
    </row>
    <row r="1630" spans="1:6" x14ac:dyDescent="0.2">
      <c r="A1630" s="655"/>
      <c r="B1630" s="655"/>
      <c r="C1630"/>
      <c r="D1630" s="655"/>
      <c r="E1630" s="655"/>
      <c r="F1630" s="655" t="str">
        <f>LEFT(AllDaqbookOffsets[[#This Row],[traceability_no]],2)</f>
        <v>N2</v>
      </c>
    </row>
    <row r="1631" spans="1:6" x14ac:dyDescent="0.2">
      <c r="A1631" s="655"/>
      <c r="B1631" s="655"/>
      <c r="C1631"/>
      <c r="D1631" s="655"/>
      <c r="E1631" s="655"/>
      <c r="F1631" s="655" t="str">
        <f>LEFT(AllDaqbookOffsets[[#This Row],[traceability_no]],2)</f>
        <v>N2</v>
      </c>
    </row>
    <row r="1632" spans="1:6" x14ac:dyDescent="0.2">
      <c r="A1632" s="655"/>
      <c r="B1632" s="655"/>
      <c r="C1632"/>
      <c r="D1632" s="655"/>
      <c r="E1632" s="655"/>
      <c r="F1632" s="655" t="str">
        <f>LEFT(AllDaqbookOffsets[[#This Row],[traceability_no]],2)</f>
        <v>N2</v>
      </c>
    </row>
    <row r="1633" spans="1:6" x14ac:dyDescent="0.2">
      <c r="A1633" s="655"/>
      <c r="B1633" s="655"/>
      <c r="C1633"/>
      <c r="D1633" s="655"/>
      <c r="E1633" s="655"/>
      <c r="F1633" s="655" t="str">
        <f>LEFT(AllDaqbookOffsets[[#This Row],[traceability_no]],2)</f>
        <v>N2</v>
      </c>
    </row>
    <row r="1634" spans="1:6" x14ac:dyDescent="0.2">
      <c r="A1634" s="655"/>
      <c r="B1634" s="655"/>
      <c r="C1634"/>
      <c r="D1634" s="655"/>
      <c r="E1634" s="655"/>
      <c r="F1634" s="655" t="str">
        <f>LEFT(AllDaqbookOffsets[[#This Row],[traceability_no]],2)</f>
        <v>N2</v>
      </c>
    </row>
    <row r="1635" spans="1:6" x14ac:dyDescent="0.2">
      <c r="A1635" s="655"/>
      <c r="B1635" s="655"/>
      <c r="C1635"/>
      <c r="D1635" s="655"/>
      <c r="E1635" s="655"/>
      <c r="F1635" s="655" t="str">
        <f>LEFT(AllDaqbookOffsets[[#This Row],[traceability_no]],2)</f>
        <v>N2</v>
      </c>
    </row>
    <row r="1636" spans="1:6" x14ac:dyDescent="0.2">
      <c r="A1636" s="655"/>
      <c r="B1636" s="655"/>
      <c r="C1636"/>
      <c r="D1636" s="655"/>
      <c r="E1636" s="655"/>
      <c r="F1636" s="655" t="str">
        <f>LEFT(AllDaqbookOffsets[[#This Row],[traceability_no]],2)</f>
        <v>N2</v>
      </c>
    </row>
    <row r="1637" spans="1:6" x14ac:dyDescent="0.2">
      <c r="A1637" s="655"/>
      <c r="B1637" s="655"/>
      <c r="C1637"/>
      <c r="D1637" s="655"/>
      <c r="E1637" s="655"/>
      <c r="F1637" s="655" t="str">
        <f>LEFT(AllDaqbookOffsets[[#This Row],[traceability_no]],2)</f>
        <v>N2</v>
      </c>
    </row>
    <row r="1638" spans="1:6" x14ac:dyDescent="0.2">
      <c r="A1638" s="655"/>
      <c r="B1638" s="655"/>
      <c r="C1638"/>
      <c r="D1638" s="655"/>
      <c r="E1638" s="655"/>
      <c r="F1638" s="655" t="str">
        <f>LEFT(AllDaqbookOffsets[[#This Row],[traceability_no]],2)</f>
        <v>N2</v>
      </c>
    </row>
    <row r="1639" spans="1:6" x14ac:dyDescent="0.2">
      <c r="A1639" s="655"/>
      <c r="B1639" s="655"/>
      <c r="C1639"/>
      <c r="D1639" s="655"/>
      <c r="E1639" s="655"/>
      <c r="F1639" s="655" t="str">
        <f>LEFT(AllDaqbookOffsets[[#This Row],[traceability_no]],2)</f>
        <v>N2</v>
      </c>
    </row>
    <row r="1640" spans="1:6" x14ac:dyDescent="0.2">
      <c r="A1640" s="655"/>
      <c r="B1640" s="655"/>
      <c r="C1640"/>
      <c r="D1640" s="655"/>
      <c r="E1640" s="655"/>
      <c r="F1640" s="655" t="str">
        <f>LEFT(AllDaqbookOffsets[[#This Row],[traceability_no]],2)</f>
        <v>N2</v>
      </c>
    </row>
    <row r="1641" spans="1:6" x14ac:dyDescent="0.2">
      <c r="A1641" s="655"/>
      <c r="B1641" s="655"/>
      <c r="C1641"/>
      <c r="D1641" s="655"/>
      <c r="E1641" s="655"/>
      <c r="F1641" s="655" t="str">
        <f>LEFT(AllDaqbookOffsets[[#This Row],[traceability_no]],2)</f>
        <v>N2</v>
      </c>
    </row>
    <row r="1642" spans="1:6" x14ac:dyDescent="0.2">
      <c r="A1642" s="655"/>
      <c r="B1642" s="655"/>
      <c r="C1642"/>
      <c r="D1642" s="655"/>
      <c r="E1642" s="655"/>
      <c r="F1642" s="655" t="str">
        <f>LEFT(AllDaqbookOffsets[[#This Row],[traceability_no]],2)</f>
        <v>N2</v>
      </c>
    </row>
    <row r="1643" spans="1:6" x14ac:dyDescent="0.2">
      <c r="A1643" s="655"/>
      <c r="B1643" s="655"/>
      <c r="C1643"/>
      <c r="D1643" s="655"/>
      <c r="E1643" s="655"/>
      <c r="F1643" s="655" t="str">
        <f>LEFT(AllDaqbookOffsets[[#This Row],[traceability_no]],2)</f>
        <v>N2</v>
      </c>
    </row>
    <row r="1644" spans="1:6" x14ac:dyDescent="0.2">
      <c r="A1644" s="655"/>
      <c r="B1644" s="655"/>
      <c r="C1644"/>
      <c r="D1644" s="655"/>
      <c r="E1644" s="655"/>
      <c r="F1644" s="655" t="str">
        <f>LEFT(AllDaqbookOffsets[[#This Row],[traceability_no]],2)</f>
        <v>N2</v>
      </c>
    </row>
    <row r="1645" spans="1:6" x14ac:dyDescent="0.2">
      <c r="A1645" s="655"/>
      <c r="B1645" s="655"/>
      <c r="C1645"/>
      <c r="D1645" s="655"/>
      <c r="E1645" s="655"/>
      <c r="F1645" s="655" t="str">
        <f>LEFT(AllDaqbookOffsets[[#This Row],[traceability_no]],2)</f>
        <v>N2</v>
      </c>
    </row>
    <row r="1646" spans="1:6" x14ac:dyDescent="0.2">
      <c r="A1646" s="655"/>
      <c r="B1646" s="655"/>
      <c r="C1646"/>
      <c r="D1646" s="655"/>
      <c r="E1646" s="655"/>
      <c r="F1646" s="655" t="str">
        <f>LEFT(AllDaqbookOffsets[[#This Row],[traceability_no]],2)</f>
        <v>N2</v>
      </c>
    </row>
    <row r="1647" spans="1:6" x14ac:dyDescent="0.2">
      <c r="A1647" s="655"/>
      <c r="B1647" s="655"/>
      <c r="C1647"/>
      <c r="D1647" s="655"/>
      <c r="E1647" s="655"/>
      <c r="F1647" s="655" t="str">
        <f>LEFT(AllDaqbookOffsets[[#This Row],[traceability_no]],2)</f>
        <v>N2</v>
      </c>
    </row>
    <row r="1648" spans="1:6" x14ac:dyDescent="0.2">
      <c r="A1648" s="655"/>
      <c r="B1648" s="655"/>
      <c r="C1648"/>
      <c r="D1648" s="655"/>
      <c r="E1648" s="655"/>
      <c r="F1648" s="655" t="str">
        <f>LEFT(AllDaqbookOffsets[[#This Row],[traceability_no]],2)</f>
        <v>N2</v>
      </c>
    </row>
    <row r="1649" spans="1:6" x14ac:dyDescent="0.2">
      <c r="A1649" s="655"/>
      <c r="B1649" s="655"/>
      <c r="C1649"/>
      <c r="D1649" s="655"/>
      <c r="E1649" s="655"/>
      <c r="F1649" s="655" t="str">
        <f>LEFT(AllDaqbookOffsets[[#This Row],[traceability_no]],2)</f>
        <v>N2</v>
      </c>
    </row>
    <row r="1650" spans="1:6" x14ac:dyDescent="0.2">
      <c r="A1650" s="655"/>
      <c r="B1650" s="655"/>
      <c r="C1650"/>
      <c r="D1650" s="655"/>
      <c r="E1650" s="655"/>
      <c r="F1650" s="655" t="str">
        <f>LEFT(AllDaqbookOffsets[[#This Row],[traceability_no]],2)</f>
        <v>N2</v>
      </c>
    </row>
    <row r="1651" spans="1:6" x14ac:dyDescent="0.2">
      <c r="A1651" s="655"/>
      <c r="B1651" s="655"/>
      <c r="C1651"/>
      <c r="D1651" s="655"/>
      <c r="E1651" s="655"/>
      <c r="F1651" s="655" t="str">
        <f>LEFT(AllDaqbookOffsets[[#This Row],[traceability_no]],2)</f>
        <v>N2</v>
      </c>
    </row>
    <row r="1652" spans="1:6" x14ac:dyDescent="0.2">
      <c r="A1652" s="655"/>
      <c r="B1652" s="655"/>
      <c r="C1652"/>
      <c r="D1652" s="655"/>
      <c r="E1652" s="655"/>
      <c r="F1652" s="655" t="str">
        <f>LEFT(AllDaqbookOffsets[[#This Row],[traceability_no]],2)</f>
        <v>N2</v>
      </c>
    </row>
    <row r="1653" spans="1:6" x14ac:dyDescent="0.2">
      <c r="A1653" s="655"/>
      <c r="B1653" s="655"/>
      <c r="C1653"/>
      <c r="D1653" s="655"/>
      <c r="E1653" s="655"/>
      <c r="F1653" s="655" t="str">
        <f>LEFT(AllDaqbookOffsets[[#This Row],[traceability_no]],2)</f>
        <v>N2</v>
      </c>
    </row>
    <row r="1654" spans="1:6" x14ac:dyDescent="0.2">
      <c r="A1654" s="655"/>
      <c r="B1654" s="655"/>
      <c r="C1654"/>
      <c r="D1654" s="655"/>
      <c r="E1654" s="655"/>
      <c r="F1654" s="655" t="str">
        <f>LEFT(AllDaqbookOffsets[[#This Row],[traceability_no]],2)</f>
        <v>N2</v>
      </c>
    </row>
    <row r="1655" spans="1:6" x14ac:dyDescent="0.2">
      <c r="A1655" s="655"/>
      <c r="B1655" s="655"/>
      <c r="C1655"/>
      <c r="D1655" s="655"/>
      <c r="E1655" s="655"/>
      <c r="F1655" s="655" t="str">
        <f>LEFT(AllDaqbookOffsets[[#This Row],[traceability_no]],2)</f>
        <v>N2</v>
      </c>
    </row>
    <row r="1656" spans="1:6" x14ac:dyDescent="0.2">
      <c r="A1656" s="655"/>
      <c r="B1656" s="655"/>
      <c r="C1656"/>
      <c r="D1656" s="655"/>
      <c r="E1656" s="655"/>
      <c r="F1656" s="655" t="str">
        <f>LEFT(AllDaqbookOffsets[[#This Row],[traceability_no]],2)</f>
        <v>N2</v>
      </c>
    </row>
    <row r="1657" spans="1:6" x14ac:dyDescent="0.2">
      <c r="A1657" s="655"/>
      <c r="B1657" s="655"/>
      <c r="C1657"/>
      <c r="D1657" s="655"/>
      <c r="E1657" s="655"/>
      <c r="F1657" s="655" t="str">
        <f>LEFT(AllDaqbookOffsets[[#This Row],[traceability_no]],2)</f>
        <v>N2</v>
      </c>
    </row>
    <row r="1658" spans="1:6" x14ac:dyDescent="0.2">
      <c r="A1658" s="655"/>
      <c r="B1658" s="655"/>
      <c r="C1658"/>
      <c r="D1658" s="655"/>
      <c r="E1658" s="655"/>
      <c r="F1658" s="655" t="str">
        <f>LEFT(AllDaqbookOffsets[[#This Row],[traceability_no]],2)</f>
        <v>N2</v>
      </c>
    </row>
    <row r="1659" spans="1:6" x14ac:dyDescent="0.2">
      <c r="A1659" s="655"/>
      <c r="B1659" s="655"/>
      <c r="C1659"/>
      <c r="D1659" s="655"/>
      <c r="E1659" s="655"/>
      <c r="F1659" s="655" t="str">
        <f>LEFT(AllDaqbookOffsets[[#This Row],[traceability_no]],2)</f>
        <v>N2</v>
      </c>
    </row>
    <row r="1660" spans="1:6" x14ac:dyDescent="0.2">
      <c r="A1660" s="655"/>
      <c r="B1660" s="655"/>
      <c r="C1660"/>
      <c r="D1660" s="655"/>
      <c r="E1660" s="655"/>
      <c r="F1660" s="655" t="str">
        <f>LEFT(AllDaqbookOffsets[[#This Row],[traceability_no]],2)</f>
        <v>N2</v>
      </c>
    </row>
    <row r="1661" spans="1:6" x14ac:dyDescent="0.2">
      <c r="A1661" s="655"/>
      <c r="B1661" s="655"/>
      <c r="C1661"/>
      <c r="D1661" s="655"/>
      <c r="E1661" s="655"/>
      <c r="F1661" s="655" t="str">
        <f>LEFT(AllDaqbookOffsets[[#This Row],[traceability_no]],2)</f>
        <v>N2</v>
      </c>
    </row>
    <row r="1662" spans="1:6" x14ac:dyDescent="0.2">
      <c r="A1662" s="655"/>
      <c r="B1662" s="655"/>
      <c r="C1662"/>
      <c r="D1662" s="655"/>
      <c r="E1662" s="655"/>
      <c r="F1662" s="655" t="str">
        <f>LEFT(AllDaqbookOffsets[[#This Row],[traceability_no]],2)</f>
        <v>N2</v>
      </c>
    </row>
    <row r="1663" spans="1:6" x14ac:dyDescent="0.2">
      <c r="A1663" s="655"/>
      <c r="B1663" s="655"/>
      <c r="C1663"/>
      <c r="D1663" s="655"/>
      <c r="E1663" s="655"/>
      <c r="F1663" s="655" t="str">
        <f>LEFT(AllDaqbookOffsets[[#This Row],[traceability_no]],2)</f>
        <v>N2</v>
      </c>
    </row>
    <row r="1664" spans="1:6" x14ac:dyDescent="0.2">
      <c r="A1664" s="655"/>
      <c r="B1664" s="655"/>
      <c r="C1664"/>
      <c r="D1664" s="655"/>
      <c r="E1664" s="655"/>
      <c r="F1664" s="655" t="str">
        <f>LEFT(AllDaqbookOffsets[[#This Row],[traceability_no]],2)</f>
        <v>N2</v>
      </c>
    </row>
    <row r="1665" spans="1:6" x14ac:dyDescent="0.2">
      <c r="A1665" s="655"/>
      <c r="B1665" s="655"/>
      <c r="C1665"/>
      <c r="D1665" s="655"/>
      <c r="E1665" s="655"/>
      <c r="F1665" s="655" t="str">
        <f>LEFT(AllDaqbookOffsets[[#This Row],[traceability_no]],2)</f>
        <v>N2</v>
      </c>
    </row>
    <row r="1666" spans="1:6" x14ac:dyDescent="0.2">
      <c r="A1666" s="655"/>
      <c r="B1666" s="655"/>
      <c r="C1666"/>
      <c r="D1666" s="655"/>
      <c r="E1666" s="655"/>
      <c r="F1666" s="655" t="str">
        <f>LEFT(AllDaqbookOffsets[[#This Row],[traceability_no]],2)</f>
        <v>N2</v>
      </c>
    </row>
    <row r="1667" spans="1:6" x14ac:dyDescent="0.2">
      <c r="A1667" s="655"/>
      <c r="B1667" s="655"/>
      <c r="C1667"/>
      <c r="D1667" s="655"/>
      <c r="E1667" s="655"/>
      <c r="F1667" s="655" t="str">
        <f>LEFT(AllDaqbookOffsets[[#This Row],[traceability_no]],2)</f>
        <v>N2</v>
      </c>
    </row>
    <row r="1668" spans="1:6" x14ac:dyDescent="0.2">
      <c r="A1668" s="655"/>
      <c r="B1668" s="655"/>
      <c r="C1668"/>
      <c r="D1668" s="655"/>
      <c r="E1668" s="655"/>
      <c r="F1668" s="655" t="str">
        <f>LEFT(AllDaqbookOffsets[[#This Row],[traceability_no]],2)</f>
        <v>N2</v>
      </c>
    </row>
    <row r="1669" spans="1:6" x14ac:dyDescent="0.2">
      <c r="A1669" s="655"/>
      <c r="B1669" s="655"/>
      <c r="C1669"/>
      <c r="D1669" s="655"/>
      <c r="E1669" s="655"/>
      <c r="F1669" s="655" t="str">
        <f>LEFT(AllDaqbookOffsets[[#This Row],[traceability_no]],2)</f>
        <v>N2</v>
      </c>
    </row>
    <row r="1670" spans="1:6" x14ac:dyDescent="0.2">
      <c r="A1670" s="655"/>
      <c r="B1670" s="655"/>
      <c r="C1670"/>
      <c r="D1670" s="655"/>
      <c r="E1670" s="655"/>
      <c r="F1670" s="655" t="str">
        <f>LEFT(AllDaqbookOffsets[[#This Row],[traceability_no]],2)</f>
        <v>N2</v>
      </c>
    </row>
    <row r="1671" spans="1:6" x14ac:dyDescent="0.2">
      <c r="A1671" s="655"/>
      <c r="B1671" s="655"/>
      <c r="C1671"/>
      <c r="D1671" s="655"/>
      <c r="E1671" s="655"/>
      <c r="F1671" s="655" t="str">
        <f>LEFT(AllDaqbookOffsets[[#This Row],[traceability_no]],2)</f>
        <v>N2</v>
      </c>
    </row>
    <row r="1672" spans="1:6" x14ac:dyDescent="0.2">
      <c r="A1672" s="655"/>
      <c r="B1672" s="655"/>
      <c r="C1672"/>
      <c r="D1672" s="655"/>
      <c r="E1672" s="655"/>
      <c r="F1672" s="655" t="str">
        <f>LEFT(AllDaqbookOffsets[[#This Row],[traceability_no]],2)</f>
        <v>N2</v>
      </c>
    </row>
    <row r="1673" spans="1:6" x14ac:dyDescent="0.2">
      <c r="A1673" s="655"/>
      <c r="B1673" s="655"/>
      <c r="C1673"/>
      <c r="D1673" s="655"/>
      <c r="E1673" s="655"/>
      <c r="F1673" s="655" t="str">
        <f>LEFT(AllDaqbookOffsets[[#This Row],[traceability_no]],2)</f>
        <v>N2</v>
      </c>
    </row>
    <row r="1674" spans="1:6" x14ac:dyDescent="0.2">
      <c r="A1674" s="655"/>
      <c r="B1674" s="655"/>
      <c r="C1674"/>
      <c r="D1674" s="655"/>
      <c r="E1674" s="655"/>
      <c r="F1674" s="655" t="str">
        <f>LEFT(AllDaqbookOffsets[[#This Row],[traceability_no]],2)</f>
        <v>N2</v>
      </c>
    </row>
    <row r="1675" spans="1:6" x14ac:dyDescent="0.2">
      <c r="A1675" s="655"/>
      <c r="B1675" s="655"/>
      <c r="C1675"/>
      <c r="D1675" s="655"/>
      <c r="E1675" s="655"/>
      <c r="F1675" s="655" t="str">
        <f>LEFT(AllDaqbookOffsets[[#This Row],[traceability_no]],2)</f>
        <v>N2</v>
      </c>
    </row>
    <row r="1676" spans="1:6" x14ac:dyDescent="0.2">
      <c r="A1676" s="655"/>
      <c r="B1676" s="655"/>
      <c r="C1676"/>
      <c r="D1676" s="655"/>
      <c r="E1676" s="655"/>
      <c r="F1676" s="655" t="str">
        <f>LEFT(AllDaqbookOffsets[[#This Row],[traceability_no]],2)</f>
        <v>N2</v>
      </c>
    </row>
    <row r="1677" spans="1:6" x14ac:dyDescent="0.2">
      <c r="A1677" s="655"/>
      <c r="B1677" s="655"/>
      <c r="C1677"/>
      <c r="D1677" s="655"/>
      <c r="E1677" s="655"/>
      <c r="F1677" s="655" t="str">
        <f>LEFT(AllDaqbookOffsets[[#This Row],[traceability_no]],2)</f>
        <v>N2</v>
      </c>
    </row>
    <row r="1678" spans="1:6" x14ac:dyDescent="0.2">
      <c r="A1678" s="655"/>
      <c r="B1678" s="655"/>
      <c r="C1678"/>
      <c r="D1678" s="655"/>
      <c r="E1678" s="655"/>
      <c r="F1678" s="655" t="str">
        <f>LEFT(AllDaqbookOffsets[[#This Row],[traceability_no]],2)</f>
        <v>N2</v>
      </c>
    </row>
    <row r="1679" spans="1:6" x14ac:dyDescent="0.2">
      <c r="A1679" s="655"/>
      <c r="B1679" s="655"/>
      <c r="C1679"/>
      <c r="D1679" s="655"/>
      <c r="E1679" s="655"/>
      <c r="F1679" s="655" t="str">
        <f>LEFT(AllDaqbookOffsets[[#This Row],[traceability_no]],2)</f>
        <v>N2</v>
      </c>
    </row>
    <row r="1680" spans="1:6" x14ac:dyDescent="0.2">
      <c r="A1680" s="655"/>
      <c r="B1680" s="655"/>
      <c r="C1680"/>
      <c r="D1680" s="655"/>
      <c r="E1680" s="655"/>
      <c r="F1680" s="655" t="str">
        <f>LEFT(AllDaqbookOffsets[[#This Row],[traceability_no]],2)</f>
        <v>N2</v>
      </c>
    </row>
    <row r="1681" spans="1:6" x14ac:dyDescent="0.2">
      <c r="A1681" s="655"/>
      <c r="B1681" s="655"/>
      <c r="C1681"/>
      <c r="D1681" s="655"/>
      <c r="E1681" s="655"/>
      <c r="F1681" s="655" t="str">
        <f>LEFT(AllDaqbookOffsets[[#This Row],[traceability_no]],2)</f>
        <v>N2</v>
      </c>
    </row>
    <row r="1682" spans="1:6" x14ac:dyDescent="0.2">
      <c r="A1682" s="655"/>
      <c r="B1682" s="655"/>
      <c r="C1682"/>
      <c r="D1682" s="655"/>
      <c r="E1682" s="655"/>
      <c r="F1682" s="655" t="str">
        <f>LEFT(AllDaqbookOffsets[[#This Row],[traceability_no]],2)</f>
        <v>N2</v>
      </c>
    </row>
    <row r="1683" spans="1:6" x14ac:dyDescent="0.2">
      <c r="A1683" s="655"/>
      <c r="B1683" s="655"/>
      <c r="C1683"/>
      <c r="D1683" s="655"/>
      <c r="E1683" s="655"/>
      <c r="F1683" s="655" t="str">
        <f>LEFT(AllDaqbookOffsets[[#This Row],[traceability_no]],2)</f>
        <v>N2</v>
      </c>
    </row>
    <row r="1684" spans="1:6" x14ac:dyDescent="0.2">
      <c r="A1684" s="655"/>
      <c r="B1684" s="655"/>
      <c r="C1684"/>
      <c r="D1684" s="655"/>
      <c r="E1684" s="655"/>
      <c r="F1684" s="655" t="str">
        <f>LEFT(AllDaqbookOffsets[[#This Row],[traceability_no]],2)</f>
        <v>N2</v>
      </c>
    </row>
    <row r="1685" spans="1:6" x14ac:dyDescent="0.2">
      <c r="A1685" s="655"/>
      <c r="B1685" s="655"/>
      <c r="C1685"/>
      <c r="D1685" s="655"/>
      <c r="E1685" s="655"/>
      <c r="F1685" s="655" t="str">
        <f>LEFT(AllDaqbookOffsets[[#This Row],[traceability_no]],2)</f>
        <v>N2</v>
      </c>
    </row>
    <row r="1686" spans="1:6" x14ac:dyDescent="0.2">
      <c r="A1686" s="655"/>
      <c r="B1686" s="655"/>
      <c r="C1686"/>
      <c r="D1686" s="655"/>
      <c r="E1686" s="655"/>
      <c r="F1686" s="655" t="str">
        <f>LEFT(AllDaqbookOffsets[[#This Row],[traceability_no]],2)</f>
        <v>N2</v>
      </c>
    </row>
    <row r="1687" spans="1:6" x14ac:dyDescent="0.2">
      <c r="A1687" s="655"/>
      <c r="B1687" s="655"/>
      <c r="C1687"/>
      <c r="D1687" s="655"/>
      <c r="E1687" s="655"/>
      <c r="F1687" s="655" t="str">
        <f>LEFT(AllDaqbookOffsets[[#This Row],[traceability_no]],2)</f>
        <v>N2</v>
      </c>
    </row>
    <row r="1688" spans="1:6" x14ac:dyDescent="0.2">
      <c r="A1688" s="655"/>
      <c r="B1688" s="655"/>
      <c r="C1688"/>
      <c r="D1688" s="655"/>
      <c r="E1688" s="655"/>
      <c r="F1688" s="655" t="str">
        <f>LEFT(AllDaqbookOffsets[[#This Row],[traceability_no]],2)</f>
        <v>N2</v>
      </c>
    </row>
    <row r="1689" spans="1:6" x14ac:dyDescent="0.2">
      <c r="A1689" s="655"/>
      <c r="B1689" s="655"/>
      <c r="C1689"/>
      <c r="D1689" s="655"/>
      <c r="E1689" s="655"/>
      <c r="F1689" s="655" t="str">
        <f>LEFT(AllDaqbookOffsets[[#This Row],[traceability_no]],2)</f>
        <v>N2</v>
      </c>
    </row>
    <row r="1690" spans="1:6" x14ac:dyDescent="0.2">
      <c r="A1690" s="655"/>
      <c r="B1690" s="655"/>
      <c r="C1690"/>
      <c r="D1690" s="655"/>
      <c r="E1690" s="655"/>
      <c r="F1690" s="655" t="str">
        <f>LEFT(AllDaqbookOffsets[[#This Row],[traceability_no]],2)</f>
        <v>N2</v>
      </c>
    </row>
    <row r="1691" spans="1:6" x14ac:dyDescent="0.2">
      <c r="A1691" s="655"/>
      <c r="B1691" s="655"/>
      <c r="C1691"/>
      <c r="D1691" s="655"/>
      <c r="E1691" s="655"/>
      <c r="F1691" s="655" t="str">
        <f>LEFT(AllDaqbookOffsets[[#This Row],[traceability_no]],2)</f>
        <v>N2</v>
      </c>
    </row>
    <row r="1692" spans="1:6" x14ac:dyDescent="0.2">
      <c r="A1692" s="655"/>
      <c r="B1692" s="655"/>
      <c r="C1692"/>
      <c r="D1692" s="655"/>
      <c r="E1692" s="655"/>
      <c r="F1692" s="655" t="str">
        <f>LEFT(AllDaqbookOffsets[[#This Row],[traceability_no]],2)</f>
        <v>N2</v>
      </c>
    </row>
    <row r="1693" spans="1:6" x14ac:dyDescent="0.2">
      <c r="A1693" s="655"/>
      <c r="B1693" s="655"/>
      <c r="C1693"/>
      <c r="D1693" s="655"/>
      <c r="E1693" s="655"/>
      <c r="F1693" s="655" t="str">
        <f>LEFT(AllDaqbookOffsets[[#This Row],[traceability_no]],2)</f>
        <v>N2</v>
      </c>
    </row>
    <row r="1694" spans="1:6" x14ac:dyDescent="0.2">
      <c r="A1694" s="655"/>
      <c r="B1694" s="655"/>
      <c r="C1694"/>
      <c r="D1694" s="655"/>
      <c r="E1694" s="655"/>
      <c r="F1694" s="655" t="str">
        <f>LEFT(AllDaqbookOffsets[[#This Row],[traceability_no]],2)</f>
        <v>N2</v>
      </c>
    </row>
    <row r="1695" spans="1:6" x14ac:dyDescent="0.2">
      <c r="A1695" s="655"/>
      <c r="B1695" s="655"/>
      <c r="C1695"/>
      <c r="D1695" s="655"/>
      <c r="E1695" s="655"/>
      <c r="F1695" s="655" t="str">
        <f>LEFT(AllDaqbookOffsets[[#This Row],[traceability_no]],2)</f>
        <v>N2</v>
      </c>
    </row>
    <row r="1696" spans="1:6" x14ac:dyDescent="0.2">
      <c r="A1696" s="655"/>
      <c r="B1696" s="655"/>
      <c r="C1696"/>
      <c r="D1696" s="655"/>
      <c r="E1696" s="655"/>
      <c r="F1696" s="655" t="str">
        <f>LEFT(AllDaqbookOffsets[[#This Row],[traceability_no]],2)</f>
        <v>N2</v>
      </c>
    </row>
    <row r="1697" spans="1:6" x14ac:dyDescent="0.2">
      <c r="A1697" s="655"/>
      <c r="B1697" s="655"/>
      <c r="C1697"/>
      <c r="D1697" s="655"/>
      <c r="E1697" s="655"/>
      <c r="F1697" s="655" t="str">
        <f>LEFT(AllDaqbookOffsets[[#This Row],[traceability_no]],2)</f>
        <v>N2</v>
      </c>
    </row>
    <row r="1698" spans="1:6" x14ac:dyDescent="0.2">
      <c r="A1698" s="655"/>
      <c r="B1698" s="655"/>
      <c r="C1698"/>
      <c r="D1698" s="655"/>
      <c r="E1698" s="655"/>
      <c r="F1698" s="655" t="str">
        <f>LEFT(AllDaqbookOffsets[[#This Row],[traceability_no]],2)</f>
        <v>N2</v>
      </c>
    </row>
    <row r="1699" spans="1:6" x14ac:dyDescent="0.2">
      <c r="A1699" s="655"/>
      <c r="B1699" s="655"/>
      <c r="C1699"/>
      <c r="D1699" s="655"/>
      <c r="E1699" s="655"/>
      <c r="F1699" s="655" t="str">
        <f>LEFT(AllDaqbookOffsets[[#This Row],[traceability_no]],2)</f>
        <v>N2</v>
      </c>
    </row>
    <row r="1700" spans="1:6" x14ac:dyDescent="0.2">
      <c r="A1700" s="655"/>
      <c r="B1700" s="655"/>
      <c r="C1700"/>
      <c r="D1700" s="655"/>
      <c r="E1700" s="655"/>
      <c r="F1700" s="655" t="str">
        <f>LEFT(AllDaqbookOffsets[[#This Row],[traceability_no]],2)</f>
        <v>N2</v>
      </c>
    </row>
    <row r="1701" spans="1:6" x14ac:dyDescent="0.2">
      <c r="A1701" s="655"/>
      <c r="B1701" s="655"/>
      <c r="C1701"/>
      <c r="D1701" s="655"/>
      <c r="E1701" s="655"/>
      <c r="F1701" s="655" t="str">
        <f>LEFT(AllDaqbookOffsets[[#This Row],[traceability_no]],2)</f>
        <v>N2</v>
      </c>
    </row>
    <row r="1702" spans="1:6" x14ac:dyDescent="0.2">
      <c r="A1702" s="655"/>
      <c r="B1702" s="655"/>
      <c r="C1702"/>
      <c r="D1702" s="655"/>
      <c r="E1702" s="655"/>
      <c r="F1702" s="655" t="str">
        <f>LEFT(AllDaqbookOffsets[[#This Row],[traceability_no]],2)</f>
        <v>N2</v>
      </c>
    </row>
    <row r="1703" spans="1:6" x14ac:dyDescent="0.2">
      <c r="A1703" s="655"/>
      <c r="B1703" s="655"/>
      <c r="C1703"/>
      <c r="D1703" s="655"/>
      <c r="E1703" s="655"/>
      <c r="F1703" s="655" t="str">
        <f>LEFT(AllDaqbookOffsets[[#This Row],[traceability_no]],2)</f>
        <v>N2</v>
      </c>
    </row>
    <row r="1704" spans="1:6" x14ac:dyDescent="0.2">
      <c r="A1704" s="655"/>
      <c r="B1704" s="655"/>
      <c r="C1704"/>
      <c r="D1704" s="655"/>
      <c r="E1704" s="655"/>
      <c r="F1704" s="655" t="str">
        <f>LEFT(AllDaqbookOffsets[[#This Row],[traceability_no]],2)</f>
        <v>N2</v>
      </c>
    </row>
    <row r="1705" spans="1:6" x14ac:dyDescent="0.2">
      <c r="A1705" s="655"/>
      <c r="B1705" s="655"/>
      <c r="C1705"/>
      <c r="D1705" s="655"/>
      <c r="E1705" s="655"/>
      <c r="F1705" s="655" t="str">
        <f>LEFT(AllDaqbookOffsets[[#This Row],[traceability_no]],2)</f>
        <v>N2</v>
      </c>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3"/>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8"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7YFQlw3DKNFzL+BKhw93Q6xlxgaShu6TGRJwUKyDbzCThotJYPH6/nAPdv4+R+Gtgdy4j00gAuwrseqMPTRa1g==" saltValue="hbBanKuAQAQDtD+aM8S+BA=="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4"/>
  <sheetViews>
    <sheetView workbookViewId="0">
      <selection activeCell="E29" sqref="E29"/>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6" t="str">
        <v>Furnace</v>
      </c>
      <c r="AP1" s="34" t="str">
        <v>FormNumber</v>
      </c>
      <c r="AQ1" s="34" t="str">
        <v>CalibrationMethod</v>
      </c>
      <c r="AR1" s="34" t="str">
        <v>ToleranceSource</v>
      </c>
      <c r="AS1" s="34" t="str">
        <v>Item</v>
      </c>
      <c r="AT1" s="34" t="str">
        <v>ModelNumber</v>
      </c>
      <c r="AU1" s="34" t="str">
        <v>SerialNumber</v>
      </c>
      <c r="AV1" s="34" t="str">
        <v>UnitNumber</v>
      </c>
      <c r="AW1" s="34" t="str">
        <v>Class</v>
      </c>
      <c r="AX1" s="34" t="str">
        <v>HeatingMethod</v>
      </c>
      <c r="AY1" s="34" t="str">
        <v>WorkingZoneSize</v>
      </c>
      <c r="AZ1" s="34" t="str">
        <v>CubicFeet</v>
      </c>
      <c r="BA1" s="34" t="str">
        <v>CalInterval</v>
      </c>
      <c r="BB1" s="36" t="str">
        <v>ControllerId</v>
      </c>
      <c r="BC1" s="34" t="str">
        <v>Controller</v>
      </c>
      <c r="BD1" s="34" t="str">
        <v>ContSN</v>
      </c>
      <c r="BE1" s="34" t="str">
        <v>ContTol</v>
      </c>
      <c r="BF1" s="36" t="str">
        <v>RecorderId</v>
      </c>
      <c r="BG1" s="34" t="str">
        <v>Recorder</v>
      </c>
      <c r="BH1" s="34" t="str">
        <v>RecSN</v>
      </c>
      <c r="BI1" s="34" t="str">
        <v>RecTol</v>
      </c>
      <c r="BJ1" s="34" t="str">
        <v>FurnaceSpecificComments</v>
      </c>
      <c r="BK1" s="36" t="str">
        <v>TestLocation</v>
      </c>
      <c r="BL1" s="34" t="str">
        <v>OvenLocation</v>
      </c>
      <c r="BM1" s="34" t="str">
        <v>Condition</v>
      </c>
      <c r="BN1" s="34" t="str">
        <v>PB</v>
      </c>
      <c r="BO1" s="34" t="str">
        <v>Derivative</v>
      </c>
      <c r="BP1" s="34" t="str">
        <v>Integral</v>
      </c>
      <c r="BQ1" s="34" t="str">
        <v>Other1</v>
      </c>
      <c r="BR1" s="34" t="str">
        <v>Other2</v>
      </c>
      <c r="BS1" s="34" t="str">
        <v>CheckRec</v>
      </c>
      <c r="BT1" s="34" t="str">
        <v>Load</v>
      </c>
      <c r="BU1" s="34" t="str">
        <v>LagLimit</v>
      </c>
      <c r="BV1" s="34" t="str">
        <v>RecoveryLimit</v>
      </c>
      <c r="BW1" s="34" t="str">
        <v>SAT Tol</v>
      </c>
    </row>
    <row r="2" spans="1:75" x14ac:dyDescent="0.2">
      <c r="A2" s="655"/>
      <c r="B2" s="655"/>
      <c r="C2"/>
      <c r="D2" s="655"/>
      <c r="E2" s="656"/>
      <c r="F2" s="655"/>
      <c r="G2" s="655"/>
      <c r="H2"/>
      <c r="I2"/>
      <c r="J2"/>
      <c r="K2"/>
      <c r="L2" s="655"/>
      <c r="M2" s="655"/>
      <c r="N2"/>
      <c r="O2"/>
      <c r="P2"/>
      <c r="R2"/>
      <c r="S2"/>
      <c r="T2"/>
      <c r="U2"/>
      <c r="V2"/>
      <c r="W2"/>
      <c r="X2" s="655"/>
      <c r="Y2" s="655"/>
      <c r="Z2" s="655"/>
      <c r="AA2" s="655"/>
      <c r="AB2"/>
      <c r="AE2"/>
      <c r="AF2"/>
      <c r="AG2"/>
      <c r="AH2" s="655"/>
      <c r="AI2" s="655"/>
      <c r="AJ2" s="655"/>
      <c r="AM2" t="e" cm="1">
        <f t="array" ref="AM2">_xlfn.XLOOKUP(AssetId,Header_Info[AssetId],Header_Info[],"")</f>
        <v>#N/A</v>
      </c>
    </row>
    <row r="3" spans="1:75" x14ac:dyDescent="0.2">
      <c r="A3" s="655"/>
      <c r="B3" s="655"/>
      <c r="C3"/>
      <c r="D3" s="655"/>
      <c r="E3" s="655"/>
      <c r="F3" s="655"/>
      <c r="G3" s="655"/>
      <c r="H3"/>
      <c r="I3"/>
      <c r="J3"/>
      <c r="K3"/>
      <c r="L3" s="655"/>
      <c r="M3" s="655"/>
      <c r="N3"/>
      <c r="O3"/>
      <c r="P3"/>
      <c r="Q3"/>
      <c r="R3"/>
      <c r="S3"/>
      <c r="T3"/>
      <c r="U3"/>
      <c r="V3"/>
      <c r="W3"/>
      <c r="X3" s="655"/>
      <c r="Y3" s="655"/>
      <c r="Z3" s="655"/>
      <c r="AA3" s="655"/>
      <c r="AB3"/>
      <c r="AC3"/>
      <c r="AD3"/>
      <c r="AE3"/>
      <c r="AF3"/>
      <c r="AG3"/>
      <c r="AH3" s="655"/>
      <c r="AI3" s="655"/>
      <c r="AJ3" s="655"/>
    </row>
    <row r="4" spans="1:75" x14ac:dyDescent="0.2">
      <c r="A4" s="655"/>
      <c r="B4" s="655"/>
      <c r="C4"/>
      <c r="D4" s="655"/>
      <c r="E4" s="655"/>
      <c r="F4" s="655"/>
      <c r="G4" s="655"/>
      <c r="H4"/>
      <c r="I4"/>
      <c r="J4"/>
      <c r="K4"/>
      <c r="L4" s="655"/>
      <c r="M4" s="655"/>
      <c r="N4"/>
      <c r="O4"/>
      <c r="P4"/>
      <c r="Q4"/>
      <c r="R4"/>
      <c r="S4"/>
      <c r="T4"/>
      <c r="U4"/>
      <c r="V4"/>
      <c r="W4"/>
      <c r="X4" s="655"/>
      <c r="Y4" s="655"/>
      <c r="Z4" s="655"/>
      <c r="AA4" s="655"/>
      <c r="AB4"/>
      <c r="AC4"/>
      <c r="AD4"/>
      <c r="AE4"/>
      <c r="AF4"/>
      <c r="AG4"/>
      <c r="AH4" s="655"/>
      <c r="AI4" s="655"/>
      <c r="AJ4" s="655"/>
    </row>
    <row r="5" spans="1:75" x14ac:dyDescent="0.2">
      <c r="A5" s="655"/>
      <c r="B5" s="655"/>
      <c r="C5"/>
      <c r="D5" s="655"/>
      <c r="E5" s="655"/>
      <c r="F5" s="655"/>
      <c r="G5" s="655"/>
      <c r="H5"/>
      <c r="I5"/>
      <c r="J5"/>
      <c r="K5"/>
      <c r="L5" s="655"/>
      <c r="M5" s="655"/>
      <c r="N5"/>
      <c r="O5"/>
      <c r="P5"/>
      <c r="Q5"/>
      <c r="R5"/>
      <c r="S5"/>
      <c r="T5"/>
      <c r="U5"/>
      <c r="V5"/>
      <c r="W5"/>
      <c r="X5" s="655"/>
      <c r="Y5" s="655"/>
      <c r="Z5" s="655"/>
      <c r="AA5" s="655"/>
      <c r="AB5"/>
      <c r="AC5"/>
      <c r="AD5"/>
      <c r="AE5"/>
      <c r="AF5"/>
      <c r="AG5"/>
      <c r="AH5" s="655"/>
      <c r="AI5" s="655"/>
      <c r="AJ5" s="655"/>
    </row>
    <row r="6" spans="1:75" x14ac:dyDescent="0.2">
      <c r="A6" s="655"/>
      <c r="B6" s="655"/>
      <c r="C6"/>
      <c r="D6" s="655"/>
      <c r="E6" s="655"/>
      <c r="F6" s="655"/>
      <c r="G6" s="655"/>
      <c r="H6"/>
      <c r="I6"/>
      <c r="J6"/>
      <c r="K6"/>
      <c r="L6" s="655"/>
      <c r="M6" s="655"/>
      <c r="N6"/>
      <c r="O6"/>
      <c r="P6"/>
      <c r="Q6"/>
      <c r="R6"/>
      <c r="S6"/>
      <c r="T6"/>
      <c r="U6"/>
      <c r="V6"/>
      <c r="W6"/>
      <c r="X6" s="655"/>
      <c r="Y6" s="655"/>
      <c r="Z6" s="655"/>
      <c r="AA6" s="655"/>
      <c r="AB6"/>
      <c r="AC6"/>
      <c r="AD6"/>
      <c r="AE6"/>
      <c r="AF6"/>
      <c r="AG6"/>
      <c r="AH6" s="655"/>
      <c r="AI6" s="655"/>
      <c r="AJ6" s="655"/>
    </row>
    <row r="7" spans="1:75" x14ac:dyDescent="0.2">
      <c r="A7" s="655"/>
      <c r="B7" s="655"/>
      <c r="C7"/>
      <c r="D7" s="655"/>
      <c r="E7" s="655"/>
      <c r="F7" s="655"/>
      <c r="G7" s="655"/>
      <c r="H7"/>
      <c r="I7"/>
      <c r="J7"/>
      <c r="K7"/>
      <c r="L7" s="655"/>
      <c r="M7" s="655"/>
      <c r="N7"/>
      <c r="O7"/>
      <c r="P7"/>
      <c r="Q7"/>
      <c r="R7"/>
      <c r="S7"/>
      <c r="T7"/>
      <c r="U7"/>
      <c r="V7"/>
      <c r="W7"/>
      <c r="X7" s="655"/>
      <c r="Y7" s="655"/>
      <c r="Z7" s="655"/>
      <c r="AA7" s="655"/>
      <c r="AB7"/>
      <c r="AC7"/>
      <c r="AD7"/>
      <c r="AE7"/>
      <c r="AF7"/>
      <c r="AG7"/>
      <c r="AH7" s="655"/>
      <c r="AI7" s="655"/>
      <c r="AJ7" s="655"/>
    </row>
    <row r="8" spans="1:75" x14ac:dyDescent="0.2">
      <c r="A8" s="655"/>
      <c r="B8" s="655"/>
      <c r="C8"/>
      <c r="D8" s="655"/>
      <c r="E8" s="655"/>
      <c r="F8" s="655"/>
      <c r="G8" s="655"/>
      <c r="H8"/>
      <c r="I8"/>
      <c r="J8"/>
      <c r="K8"/>
      <c r="L8" s="655"/>
      <c r="M8" s="655"/>
      <c r="N8"/>
      <c r="O8"/>
      <c r="P8"/>
      <c r="Q8"/>
      <c r="R8"/>
      <c r="S8"/>
      <c r="T8"/>
      <c r="U8"/>
      <c r="V8"/>
      <c r="W8"/>
      <c r="X8" s="655"/>
      <c r="Y8" s="655"/>
      <c r="Z8" s="655"/>
      <c r="AA8" s="655"/>
      <c r="AB8"/>
      <c r="AC8"/>
      <c r="AD8"/>
      <c r="AE8"/>
      <c r="AF8"/>
      <c r="AG8"/>
      <c r="AH8" s="655"/>
      <c r="AI8" s="655"/>
      <c r="AJ8" s="655"/>
    </row>
    <row r="9" spans="1:75" x14ac:dyDescent="0.2">
      <c r="A9" s="655"/>
      <c r="B9" s="655"/>
      <c r="C9"/>
      <c r="D9" s="655"/>
      <c r="E9" s="655"/>
      <c r="F9" s="655"/>
      <c r="G9" s="655"/>
      <c r="H9"/>
      <c r="I9"/>
      <c r="J9"/>
      <c r="K9"/>
      <c r="L9" s="655"/>
      <c r="M9" s="655"/>
      <c r="N9"/>
      <c r="O9"/>
      <c r="P9"/>
      <c r="Q9"/>
      <c r="R9"/>
      <c r="S9"/>
      <c r="T9"/>
      <c r="U9"/>
      <c r="V9"/>
      <c r="W9"/>
      <c r="X9" s="655"/>
      <c r="Y9" s="655"/>
      <c r="Z9" s="655"/>
      <c r="AA9" s="655"/>
      <c r="AB9"/>
      <c r="AC9"/>
      <c r="AE9"/>
      <c r="AF9"/>
      <c r="AG9"/>
      <c r="AH9" s="655"/>
      <c r="AI9" s="655"/>
      <c r="AJ9" s="655"/>
    </row>
    <row r="10" spans="1:75" x14ac:dyDescent="0.2">
      <c r="A10" s="655"/>
      <c r="B10" s="655"/>
      <c r="C10"/>
      <c r="D10" s="655"/>
      <c r="E10" s="655"/>
      <c r="F10" s="655"/>
      <c r="G10" s="655"/>
      <c r="H10"/>
      <c r="I10"/>
      <c r="J10"/>
      <c r="K10"/>
      <c r="L10" s="655"/>
      <c r="M10" s="655"/>
      <c r="N10"/>
      <c r="O10"/>
      <c r="P10"/>
      <c r="Q10"/>
      <c r="R10"/>
      <c r="S10"/>
      <c r="T10"/>
      <c r="U10"/>
      <c r="V10"/>
      <c r="W10"/>
      <c r="X10" s="655"/>
      <c r="Y10" s="655"/>
      <c r="Z10" s="655"/>
      <c r="AA10" s="655"/>
      <c r="AB10"/>
      <c r="AC10"/>
      <c r="AD10"/>
      <c r="AE10"/>
      <c r="AF10"/>
      <c r="AG10"/>
      <c r="AH10" s="655"/>
      <c r="AI10" s="655"/>
      <c r="AJ10" s="655"/>
    </row>
    <row r="11" spans="1:75" x14ac:dyDescent="0.2">
      <c r="A11" s="655"/>
      <c r="B11" s="655"/>
      <c r="C11"/>
      <c r="D11" s="655"/>
      <c r="E11" s="655"/>
      <c r="F11" s="655"/>
      <c r="G11" s="655"/>
      <c r="H11"/>
      <c r="I11"/>
      <c r="J11"/>
      <c r="K11"/>
      <c r="L11" s="655"/>
      <c r="M11" s="655"/>
      <c r="N11"/>
      <c r="O11"/>
      <c r="P11"/>
      <c r="Q11"/>
      <c r="R11"/>
      <c r="S11"/>
      <c r="T11"/>
      <c r="U11"/>
      <c r="V11"/>
      <c r="W11"/>
      <c r="X11" s="655"/>
      <c r="Y11" s="655"/>
      <c r="Z11" s="655"/>
      <c r="AA11" s="655"/>
      <c r="AB11"/>
      <c r="AD11"/>
      <c r="AE11"/>
      <c r="AF11"/>
      <c r="AG11"/>
      <c r="AH11" s="655"/>
      <c r="AI11" s="655"/>
      <c r="AJ11" s="655"/>
    </row>
    <row r="12" spans="1:75" x14ac:dyDescent="0.2">
      <c r="A12" s="655"/>
      <c r="B12" s="655"/>
      <c r="C12"/>
      <c r="D12" s="655"/>
      <c r="E12" s="655"/>
      <c r="F12" s="655"/>
      <c r="G12" s="655"/>
      <c r="H12"/>
      <c r="I12"/>
      <c r="J12"/>
      <c r="K12"/>
      <c r="L12" s="655"/>
      <c r="M12" s="655"/>
      <c r="N12"/>
      <c r="O12"/>
      <c r="P12"/>
      <c r="Q12"/>
      <c r="R12"/>
      <c r="S12"/>
      <c r="T12"/>
      <c r="U12"/>
      <c r="V12"/>
      <c r="W12"/>
      <c r="X12" s="655"/>
      <c r="Y12" s="655"/>
      <c r="Z12" s="655"/>
      <c r="AA12" s="655"/>
      <c r="AB12"/>
      <c r="AC12"/>
      <c r="AD12"/>
      <c r="AE12"/>
      <c r="AF12"/>
      <c r="AG12"/>
      <c r="AH12" s="655"/>
      <c r="AI12" s="655"/>
      <c r="AJ12" s="655"/>
    </row>
    <row r="13" spans="1:75" x14ac:dyDescent="0.2">
      <c r="A13" s="655"/>
      <c r="B13" s="655"/>
      <c r="C13"/>
      <c r="D13" s="655"/>
      <c r="E13" s="655"/>
      <c r="F13" s="655"/>
      <c r="G13" s="655"/>
      <c r="H13"/>
      <c r="I13"/>
      <c r="J13"/>
      <c r="K13"/>
      <c r="L13" s="655"/>
      <c r="M13" s="655"/>
      <c r="N13"/>
      <c r="O13"/>
      <c r="P13"/>
      <c r="Q13"/>
      <c r="R13"/>
      <c r="S13"/>
      <c r="T13"/>
      <c r="U13"/>
      <c r="V13"/>
      <c r="W13"/>
      <c r="X13" s="655"/>
      <c r="Y13" s="655"/>
      <c r="Z13" s="655"/>
      <c r="AA13" s="655"/>
      <c r="AB13"/>
      <c r="AC13"/>
      <c r="AD13"/>
      <c r="AE13"/>
      <c r="AF13"/>
      <c r="AG13"/>
      <c r="AH13" s="655"/>
      <c r="AI13" s="655"/>
      <c r="AJ13" s="655"/>
    </row>
    <row r="14" spans="1:75" x14ac:dyDescent="0.2">
      <c r="A14" s="655"/>
      <c r="B14" s="655"/>
      <c r="C14"/>
      <c r="D14" s="655"/>
      <c r="E14" s="655"/>
      <c r="F14" s="655"/>
      <c r="G14" s="655"/>
      <c r="H14"/>
      <c r="I14"/>
      <c r="J14"/>
      <c r="K14"/>
      <c r="L14" s="655"/>
      <c r="M14" s="655"/>
      <c r="N14"/>
      <c r="O14"/>
      <c r="P14"/>
      <c r="Q14"/>
      <c r="R14"/>
      <c r="S14"/>
      <c r="T14"/>
      <c r="U14"/>
      <c r="V14"/>
      <c r="W14"/>
      <c r="X14" s="655"/>
      <c r="Y14" s="655"/>
      <c r="Z14" s="655"/>
      <c r="AA14" s="655"/>
      <c r="AB14"/>
      <c r="AC14"/>
      <c r="AD14"/>
      <c r="AE14"/>
      <c r="AF14"/>
      <c r="AG14"/>
      <c r="AH14" s="655"/>
      <c r="AI14" s="655"/>
      <c r="AJ14" s="655"/>
    </row>
    <row r="15" spans="1:75" x14ac:dyDescent="0.2">
      <c r="A15" s="655"/>
      <c r="B15" s="655"/>
      <c r="C15"/>
      <c r="D15" s="655"/>
      <c r="E15" s="655"/>
      <c r="F15" s="655"/>
      <c r="G15" s="655"/>
      <c r="H15"/>
      <c r="I15"/>
      <c r="J15"/>
      <c r="K15"/>
      <c r="L15" s="655"/>
      <c r="M15" s="655"/>
      <c r="N15"/>
      <c r="O15"/>
      <c r="P15"/>
      <c r="Q15"/>
      <c r="R15"/>
      <c r="S15"/>
      <c r="T15"/>
      <c r="U15"/>
      <c r="V15"/>
      <c r="W15"/>
      <c r="X15" s="655"/>
      <c r="Y15" s="655"/>
      <c r="Z15" s="655"/>
      <c r="AA15" s="655"/>
      <c r="AB15"/>
      <c r="AC15"/>
      <c r="AD15"/>
      <c r="AE15"/>
      <c r="AF15"/>
      <c r="AG15"/>
      <c r="AH15" s="655"/>
      <c r="AI15" s="655"/>
      <c r="AJ15" s="655"/>
    </row>
    <row r="16" spans="1:75" x14ac:dyDescent="0.2">
      <c r="A16" s="655"/>
      <c r="B16" s="655"/>
      <c r="C16"/>
      <c r="D16" s="655"/>
      <c r="E16" s="655"/>
      <c r="F16" s="655"/>
      <c r="G16" s="655"/>
      <c r="H16"/>
      <c r="I16"/>
      <c r="J16"/>
      <c r="K16"/>
      <c r="L16" s="655"/>
      <c r="M16" s="655"/>
      <c r="N16"/>
      <c r="O16"/>
      <c r="P16"/>
      <c r="Q16"/>
      <c r="R16"/>
      <c r="S16"/>
      <c r="T16"/>
      <c r="U16"/>
      <c r="V16"/>
      <c r="W16"/>
      <c r="X16" s="655"/>
      <c r="Y16" s="655"/>
      <c r="Z16" s="655"/>
      <c r="AA16" s="655"/>
      <c r="AB16"/>
      <c r="AC16"/>
      <c r="AD16"/>
      <c r="AE16"/>
      <c r="AF16"/>
      <c r="AG16"/>
      <c r="AH16" s="655"/>
      <c r="AI16" s="655"/>
      <c r="AJ16" s="655"/>
    </row>
    <row r="17" spans="1:37" x14ac:dyDescent="0.2">
      <c r="A17" s="655"/>
      <c r="B17" s="655"/>
      <c r="C17"/>
      <c r="D17" s="655"/>
      <c r="E17" s="655"/>
      <c r="F17" s="655"/>
      <c r="G17" s="655"/>
      <c r="H17"/>
      <c r="I17"/>
      <c r="J17"/>
      <c r="K17"/>
      <c r="L17" s="655"/>
      <c r="M17" s="655"/>
      <c r="N17"/>
      <c r="O17"/>
      <c r="P17"/>
      <c r="Q17"/>
      <c r="R17"/>
      <c r="S17"/>
      <c r="T17"/>
      <c r="U17"/>
      <c r="V17"/>
      <c r="W17"/>
      <c r="X17" s="655"/>
      <c r="Y17" s="655"/>
      <c r="Z17" s="655"/>
      <c r="AA17" s="655"/>
      <c r="AB17"/>
      <c r="AC17"/>
      <c r="AD17"/>
      <c r="AE17"/>
      <c r="AF17"/>
      <c r="AG17"/>
      <c r="AH17" s="655"/>
      <c r="AI17" s="655"/>
      <c r="AJ17" s="655"/>
    </row>
    <row r="18" spans="1:37" x14ac:dyDescent="0.2">
      <c r="A18" s="655"/>
      <c r="B18" s="655"/>
      <c r="C18"/>
      <c r="D18" s="655"/>
      <c r="E18" s="655"/>
      <c r="F18" s="655"/>
      <c r="G18" s="655"/>
      <c r="H18"/>
      <c r="I18"/>
      <c r="J18"/>
      <c r="K18"/>
      <c r="L18" s="655"/>
      <c r="M18" s="655"/>
      <c r="N18"/>
      <c r="O18"/>
      <c r="P18"/>
      <c r="Q18"/>
      <c r="R18"/>
      <c r="S18"/>
      <c r="T18"/>
      <c r="U18"/>
      <c r="V18"/>
      <c r="W18"/>
      <c r="X18" s="655"/>
      <c r="Y18" s="655"/>
      <c r="Z18" s="655"/>
      <c r="AA18" s="655"/>
      <c r="AB18"/>
      <c r="AC18"/>
      <c r="AD18"/>
      <c r="AE18"/>
      <c r="AF18"/>
      <c r="AG18"/>
      <c r="AH18" s="655"/>
      <c r="AI18" s="655"/>
      <c r="AJ18" s="655"/>
    </row>
    <row r="19" spans="1:37" x14ac:dyDescent="0.2">
      <c r="A19" s="655"/>
      <c r="B19" s="655"/>
      <c r="C19"/>
      <c r="D19" s="655"/>
      <c r="E19" s="655"/>
      <c r="F19" s="655"/>
      <c r="G19" s="655"/>
      <c r="H19"/>
      <c r="I19"/>
      <c r="J19"/>
      <c r="K19"/>
      <c r="L19" s="655"/>
      <c r="M19" s="655"/>
      <c r="N19"/>
      <c r="O19"/>
      <c r="P19"/>
      <c r="Q19"/>
      <c r="R19"/>
      <c r="S19"/>
      <c r="T19"/>
      <c r="U19"/>
      <c r="V19"/>
      <c r="W19"/>
      <c r="X19" s="655"/>
      <c r="Y19" s="655"/>
      <c r="Z19" s="655"/>
      <c r="AA19" s="655"/>
      <c r="AB19"/>
      <c r="AC19"/>
      <c r="AD19"/>
      <c r="AE19"/>
      <c r="AF19"/>
      <c r="AG19"/>
      <c r="AH19" s="655"/>
      <c r="AI19" s="655"/>
      <c r="AJ19" s="655"/>
    </row>
    <row r="20" spans="1:37" x14ac:dyDescent="0.2">
      <c r="A20" s="655"/>
      <c r="B20" s="655"/>
      <c r="C20"/>
      <c r="D20" s="655"/>
      <c r="E20" s="655"/>
      <c r="F20" s="655"/>
      <c r="G20" s="655"/>
      <c r="H20"/>
      <c r="I20"/>
      <c r="J20"/>
      <c r="K20"/>
      <c r="L20" s="655"/>
      <c r="M20" s="655"/>
      <c r="N20"/>
      <c r="O20"/>
      <c r="P20"/>
      <c r="Q20"/>
      <c r="R20"/>
      <c r="S20"/>
      <c r="T20"/>
      <c r="U20"/>
      <c r="V20"/>
      <c r="W20"/>
      <c r="X20" s="655"/>
      <c r="Y20" s="655"/>
      <c r="Z20" s="655"/>
      <c r="AA20" s="655"/>
      <c r="AB20"/>
      <c r="AC20"/>
      <c r="AD20"/>
      <c r="AE20"/>
      <c r="AF20"/>
      <c r="AG20"/>
      <c r="AH20" s="655"/>
      <c r="AI20" s="655"/>
      <c r="AJ20" s="655"/>
    </row>
    <row r="21" spans="1:37" x14ac:dyDescent="0.2">
      <c r="A21" s="655"/>
      <c r="B21" s="655"/>
      <c r="C21"/>
      <c r="D21" s="655"/>
      <c r="E21" s="655"/>
      <c r="F21" s="655"/>
      <c r="G21" s="655"/>
      <c r="H21"/>
      <c r="I21"/>
      <c r="J21"/>
      <c r="K21"/>
      <c r="L21" s="655"/>
      <c r="M21" s="655"/>
      <c r="N21"/>
      <c r="O21"/>
      <c r="P21"/>
      <c r="Q21"/>
      <c r="R21"/>
      <c r="S21"/>
      <c r="T21"/>
      <c r="U21"/>
      <c r="V21"/>
      <c r="W21"/>
      <c r="X21" s="655"/>
      <c r="Y21" s="655"/>
      <c r="Z21" s="655"/>
      <c r="AA21" s="655"/>
      <c r="AB21"/>
      <c r="AC21"/>
      <c r="AD21"/>
      <c r="AE21"/>
      <c r="AF21"/>
      <c r="AG21"/>
      <c r="AH21" s="655"/>
      <c r="AI21" s="655"/>
      <c r="AJ21" s="655"/>
    </row>
    <row r="22" spans="1:37" x14ac:dyDescent="0.2">
      <c r="A22" s="655"/>
      <c r="B22" s="655"/>
      <c r="C22"/>
      <c r="D22" s="655"/>
      <c r="E22" s="655"/>
      <c r="F22" s="655"/>
      <c r="G22" s="655"/>
      <c r="H22"/>
      <c r="I22"/>
      <c r="J22"/>
      <c r="K22"/>
      <c r="L22" s="655"/>
      <c r="M22" s="655"/>
      <c r="N22"/>
      <c r="O22"/>
      <c r="P22"/>
      <c r="Q22"/>
      <c r="R22"/>
      <c r="S22"/>
      <c r="T22"/>
      <c r="U22"/>
      <c r="V22"/>
      <c r="W22"/>
      <c r="X22" s="655"/>
      <c r="Y22" s="655"/>
      <c r="Z22" s="655"/>
      <c r="AA22" s="655"/>
      <c r="AB22"/>
      <c r="AC22"/>
      <c r="AD22"/>
      <c r="AE22"/>
      <c r="AF22"/>
      <c r="AG22"/>
      <c r="AH22" s="655"/>
      <c r="AI22" s="655"/>
      <c r="AJ22" s="655"/>
    </row>
    <row r="23" spans="1:37" x14ac:dyDescent="0.2">
      <c r="A23" s="655"/>
      <c r="B23" s="655"/>
      <c r="C23"/>
      <c r="D23" s="655"/>
      <c r="E23" s="655"/>
      <c r="F23" s="655"/>
      <c r="G23" s="655"/>
      <c r="H23"/>
      <c r="I23"/>
      <c r="J23"/>
      <c r="K23"/>
      <c r="L23" s="655"/>
      <c r="M23" s="655"/>
      <c r="N23"/>
      <c r="O23"/>
      <c r="P23"/>
      <c r="Q23"/>
      <c r="R23"/>
      <c r="S23"/>
      <c r="T23"/>
      <c r="U23"/>
      <c r="V23"/>
      <c r="W23"/>
      <c r="X23" s="655"/>
      <c r="Y23" s="655"/>
      <c r="Z23" s="655"/>
      <c r="AA23" s="655"/>
      <c r="AB23"/>
      <c r="AC23"/>
      <c r="AD23"/>
      <c r="AE23"/>
      <c r="AF23"/>
      <c r="AG23"/>
      <c r="AH23" s="655"/>
      <c r="AI23" s="655"/>
      <c r="AJ23" s="655"/>
    </row>
    <row r="24" spans="1:37" x14ac:dyDescent="0.2">
      <c r="A24" s="655"/>
      <c r="B24" s="655"/>
      <c r="C24"/>
      <c r="D24" s="655"/>
      <c r="E24" s="655"/>
      <c r="F24" s="655"/>
      <c r="G24" s="655"/>
      <c r="H24"/>
      <c r="I24"/>
      <c r="J24"/>
      <c r="K24"/>
      <c r="L24" s="655"/>
      <c r="M24" s="655"/>
      <c r="N24"/>
      <c r="O24"/>
      <c r="P24"/>
      <c r="Q24"/>
      <c r="R24"/>
      <c r="S24"/>
      <c r="T24"/>
      <c r="U24"/>
      <c r="V24"/>
      <c r="W24"/>
      <c r="X24" s="655"/>
      <c r="Y24" s="655"/>
      <c r="Z24" s="655"/>
      <c r="AA24" s="655"/>
      <c r="AB24"/>
      <c r="AC24"/>
      <c r="AD24"/>
      <c r="AE24"/>
      <c r="AF24"/>
      <c r="AG24"/>
      <c r="AH24" s="655"/>
      <c r="AI24" s="655"/>
      <c r="AJ24" s="655"/>
    </row>
    <row r="25" spans="1:37" x14ac:dyDescent="0.2">
      <c r="A25" s="655"/>
      <c r="B25" s="655"/>
      <c r="C25"/>
      <c r="D25" s="655"/>
      <c r="E25" s="655"/>
      <c r="F25" s="655"/>
      <c r="G25" s="655"/>
      <c r="H25"/>
      <c r="I25"/>
      <c r="J25"/>
      <c r="K25"/>
      <c r="L25" s="655"/>
      <c r="M25" s="655"/>
      <c r="N25"/>
      <c r="O25"/>
      <c r="P25"/>
      <c r="Q25"/>
      <c r="R25"/>
      <c r="S25"/>
      <c r="T25"/>
      <c r="U25"/>
      <c r="V25"/>
      <c r="W25"/>
      <c r="X25" s="655"/>
      <c r="Y25" s="655"/>
      <c r="Z25" s="655"/>
      <c r="AA25" s="655"/>
      <c r="AB25"/>
      <c r="AC25"/>
      <c r="AD25"/>
      <c r="AE25"/>
      <c r="AF25"/>
      <c r="AG25"/>
      <c r="AH25" s="655"/>
      <c r="AI25" s="655"/>
      <c r="AJ25" s="655"/>
    </row>
    <row r="26" spans="1:37" x14ac:dyDescent="0.2">
      <c r="A26" s="655"/>
      <c r="B26" s="655"/>
      <c r="C26"/>
      <c r="D26" s="655"/>
      <c r="E26" s="655"/>
      <c r="F26" s="655"/>
      <c r="G26" s="655"/>
      <c r="H26"/>
      <c r="I26"/>
      <c r="J26"/>
      <c r="K26"/>
      <c r="L26" s="655"/>
      <c r="M26" s="655"/>
      <c r="N26"/>
      <c r="O26"/>
      <c r="P26"/>
      <c r="Q26"/>
      <c r="R26"/>
      <c r="S26"/>
      <c r="T26"/>
      <c r="U26"/>
      <c r="V26"/>
      <c r="W26"/>
      <c r="X26" s="655"/>
      <c r="Y26" s="655"/>
      <c r="Z26" s="655"/>
      <c r="AA26" s="655"/>
      <c r="AB26"/>
      <c r="AC26"/>
      <c r="AD26"/>
      <c r="AE26"/>
      <c r="AF26"/>
      <c r="AG26"/>
      <c r="AH26" s="655"/>
      <c r="AI26" s="655"/>
      <c r="AJ26" s="655"/>
    </row>
    <row r="27" spans="1:37" x14ac:dyDescent="0.2">
      <c r="A27" s="655"/>
      <c r="B27" s="655"/>
      <c r="C27"/>
      <c r="D27" s="655"/>
      <c r="E27" s="655"/>
      <c r="F27" s="655"/>
      <c r="G27" s="655"/>
      <c r="H27"/>
      <c r="I27"/>
      <c r="J27"/>
      <c r="K27"/>
      <c r="L27" s="655"/>
      <c r="M27" s="655"/>
      <c r="N27"/>
      <c r="O27"/>
      <c r="P27"/>
      <c r="Q27"/>
      <c r="R27"/>
      <c r="S27"/>
      <c r="T27"/>
      <c r="U27"/>
      <c r="V27"/>
      <c r="W27"/>
      <c r="X27" s="655"/>
      <c r="Y27" s="655"/>
      <c r="Z27" s="655"/>
      <c r="AA27" s="655"/>
      <c r="AB27"/>
      <c r="AC27"/>
      <c r="AD27"/>
      <c r="AE27"/>
      <c r="AF27"/>
      <c r="AG27"/>
      <c r="AH27" s="655"/>
      <c r="AI27" s="655"/>
      <c r="AJ27" s="655"/>
    </row>
    <row r="28" spans="1:37" x14ac:dyDescent="0.2">
      <c r="A28" s="655"/>
      <c r="B28" s="655"/>
      <c r="C28"/>
      <c r="D28" s="655"/>
      <c r="E28" s="655"/>
      <c r="F28" s="655"/>
      <c r="G28" s="655"/>
      <c r="H28"/>
      <c r="I28"/>
      <c r="J28"/>
      <c r="K28"/>
      <c r="L28" s="655"/>
      <c r="M28" s="655"/>
      <c r="N28"/>
      <c r="O28"/>
      <c r="P28"/>
      <c r="Q28"/>
      <c r="R28"/>
      <c r="S28"/>
      <c r="T28"/>
      <c r="U28"/>
      <c r="V28"/>
      <c r="W28"/>
      <c r="X28" s="655"/>
      <c r="Y28" s="655"/>
      <c r="Z28" s="655"/>
      <c r="AA28" s="655"/>
      <c r="AB28"/>
      <c r="AC28"/>
      <c r="AD28"/>
      <c r="AE28"/>
      <c r="AF28"/>
      <c r="AG28"/>
      <c r="AH28" s="655"/>
      <c r="AI28" s="655"/>
      <c r="AJ28" s="655"/>
      <c r="AK28"/>
    </row>
    <row r="29" spans="1:37" x14ac:dyDescent="0.2">
      <c r="A29" s="655"/>
      <c r="B29" s="655"/>
      <c r="C29"/>
      <c r="D29" s="655"/>
      <c r="E29" s="655"/>
      <c r="F29" s="655"/>
      <c r="G29" s="655"/>
      <c r="H29"/>
      <c r="I29"/>
      <c r="J29"/>
      <c r="K29"/>
      <c r="L29" s="655"/>
      <c r="M29" s="655"/>
      <c r="N29"/>
      <c r="O29"/>
      <c r="P29"/>
      <c r="Q29"/>
      <c r="R29"/>
      <c r="S29"/>
      <c r="T29"/>
      <c r="U29"/>
      <c r="V29"/>
      <c r="W29"/>
      <c r="X29" s="655"/>
      <c r="Y29" s="655"/>
      <c r="Z29" s="655"/>
      <c r="AA29" s="655"/>
      <c r="AB29"/>
      <c r="AC29"/>
      <c r="AD29"/>
      <c r="AE29"/>
      <c r="AF29"/>
      <c r="AG29"/>
      <c r="AH29" s="655"/>
      <c r="AI29" s="655"/>
      <c r="AJ29" s="655"/>
    </row>
    <row r="30" spans="1:37" x14ac:dyDescent="0.2">
      <c r="A30" s="655"/>
      <c r="B30" s="655"/>
      <c r="C30"/>
      <c r="D30" s="655"/>
      <c r="E30" s="655"/>
      <c r="F30" s="655"/>
      <c r="G30" s="655"/>
      <c r="H30"/>
      <c r="I30"/>
      <c r="J30"/>
      <c r="K30"/>
      <c r="L30" s="655"/>
      <c r="M30" s="655"/>
      <c r="N30"/>
      <c r="O30"/>
      <c r="P30"/>
      <c r="Q30"/>
      <c r="R30"/>
      <c r="S30"/>
      <c r="T30"/>
      <c r="U30"/>
      <c r="V30"/>
      <c r="W30"/>
      <c r="X30" s="655"/>
      <c r="Y30" s="655"/>
      <c r="Z30" s="655"/>
      <c r="AA30" s="655"/>
      <c r="AB30"/>
      <c r="AC30"/>
      <c r="AD30"/>
      <c r="AE30"/>
      <c r="AF30"/>
      <c r="AG30"/>
      <c r="AH30" s="655"/>
      <c r="AI30" s="655"/>
      <c r="AJ30" s="655"/>
    </row>
    <row r="31" spans="1:37" x14ac:dyDescent="0.2">
      <c r="A31" s="655"/>
      <c r="B31" s="655"/>
      <c r="C31"/>
      <c r="D31" s="655"/>
      <c r="E31" s="655"/>
      <c r="F31" s="655"/>
      <c r="G31" s="655"/>
      <c r="H31"/>
      <c r="I31"/>
      <c r="J31"/>
      <c r="K31"/>
      <c r="L31" s="655"/>
      <c r="M31" s="655"/>
      <c r="N31"/>
      <c r="O31"/>
      <c r="P31"/>
      <c r="Q31"/>
      <c r="R31"/>
      <c r="S31"/>
      <c r="T31"/>
      <c r="U31"/>
      <c r="V31"/>
      <c r="W31"/>
      <c r="X31" s="655"/>
      <c r="Y31" s="655"/>
      <c r="Z31" s="655"/>
      <c r="AA31" s="655"/>
      <c r="AB31"/>
      <c r="AC31"/>
      <c r="AD31"/>
      <c r="AE31"/>
      <c r="AF31"/>
      <c r="AG31"/>
      <c r="AH31" s="655"/>
      <c r="AI31" s="655"/>
      <c r="AJ31" s="655"/>
    </row>
    <row r="32" spans="1:37" x14ac:dyDescent="0.2">
      <c r="A32" s="655"/>
      <c r="B32" s="655"/>
      <c r="C32"/>
      <c r="D32" s="655"/>
      <c r="E32" s="655"/>
      <c r="F32" s="655"/>
      <c r="G32" s="655"/>
      <c r="H32"/>
      <c r="I32"/>
      <c r="J32"/>
      <c r="K32"/>
      <c r="L32" s="655"/>
      <c r="M32" s="655"/>
      <c r="N32"/>
      <c r="O32"/>
      <c r="P32"/>
      <c r="Q32"/>
      <c r="R32"/>
      <c r="S32"/>
      <c r="T32"/>
      <c r="U32"/>
      <c r="V32"/>
      <c r="W32"/>
      <c r="X32" s="655"/>
      <c r="Y32" s="655"/>
      <c r="Z32" s="655"/>
      <c r="AA32" s="655"/>
      <c r="AB32"/>
      <c r="AC32"/>
      <c r="AD32"/>
      <c r="AE32"/>
      <c r="AF32"/>
      <c r="AG32"/>
      <c r="AH32" s="655"/>
      <c r="AI32" s="655"/>
      <c r="AJ32" s="655"/>
    </row>
    <row r="33" spans="1:37" x14ac:dyDescent="0.2">
      <c r="A33" s="655"/>
      <c r="B33" s="655"/>
      <c r="C33"/>
      <c r="D33" s="655"/>
      <c r="E33" s="655"/>
      <c r="F33" s="655"/>
      <c r="G33" s="655"/>
      <c r="H33"/>
      <c r="I33"/>
      <c r="J33"/>
      <c r="K33"/>
      <c r="L33" s="655"/>
      <c r="M33" s="655"/>
      <c r="N33"/>
      <c r="O33"/>
      <c r="P33"/>
      <c r="Q33"/>
      <c r="R33"/>
      <c r="S33"/>
      <c r="T33"/>
      <c r="U33"/>
      <c r="V33"/>
      <c r="W33"/>
      <c r="X33" s="655"/>
      <c r="Y33" s="655"/>
      <c r="Z33" s="655"/>
      <c r="AA33" s="655"/>
      <c r="AB33"/>
      <c r="AC33"/>
      <c r="AD33"/>
      <c r="AE33"/>
      <c r="AF33"/>
      <c r="AG33"/>
      <c r="AH33" s="655"/>
      <c r="AI33" s="655"/>
      <c r="AJ33" s="655"/>
    </row>
    <row r="34" spans="1:37" x14ac:dyDescent="0.2">
      <c r="A34" s="655"/>
      <c r="B34" s="655"/>
      <c r="C34"/>
      <c r="D34" s="655"/>
      <c r="E34" s="655"/>
      <c r="F34" s="655"/>
      <c r="G34" s="655"/>
      <c r="H34"/>
      <c r="I34"/>
      <c r="J34"/>
      <c r="K34"/>
      <c r="L34" s="655"/>
      <c r="M34" s="655"/>
      <c r="N34"/>
      <c r="O34"/>
      <c r="P34"/>
      <c r="Q34"/>
      <c r="R34"/>
      <c r="S34"/>
      <c r="T34"/>
      <c r="U34"/>
      <c r="V34"/>
      <c r="W34"/>
      <c r="X34" s="655"/>
      <c r="Y34" s="655"/>
      <c r="Z34" s="655"/>
      <c r="AA34" s="655"/>
      <c r="AB34"/>
      <c r="AC34"/>
      <c r="AD34"/>
      <c r="AE34"/>
      <c r="AF34"/>
      <c r="AG34"/>
      <c r="AH34" s="655"/>
      <c r="AI34" s="655"/>
      <c r="AJ34" s="655"/>
    </row>
    <row r="35" spans="1:37" x14ac:dyDescent="0.2">
      <c r="A35" s="655"/>
      <c r="B35" s="655"/>
      <c r="C35"/>
      <c r="D35" s="655"/>
      <c r="E35" s="655"/>
      <c r="F35" s="655"/>
      <c r="G35" s="655"/>
      <c r="H35"/>
      <c r="I35"/>
      <c r="J35"/>
      <c r="K35"/>
      <c r="L35" s="655"/>
      <c r="M35" s="655"/>
      <c r="N35"/>
      <c r="O35"/>
      <c r="P35"/>
      <c r="Q35"/>
      <c r="R35"/>
      <c r="S35"/>
      <c r="T35"/>
      <c r="U35"/>
      <c r="V35"/>
      <c r="W35"/>
      <c r="X35" s="655"/>
      <c r="Y35" s="655"/>
      <c r="Z35" s="655"/>
      <c r="AA35" s="655"/>
      <c r="AB35"/>
      <c r="AC35"/>
      <c r="AD35"/>
      <c r="AE35"/>
      <c r="AF35"/>
      <c r="AG35"/>
      <c r="AH35" s="655"/>
      <c r="AI35" s="655"/>
      <c r="AJ35" s="655"/>
    </row>
    <row r="36" spans="1:37" x14ac:dyDescent="0.2">
      <c r="A36" s="655"/>
      <c r="B36" s="655"/>
      <c r="C36"/>
      <c r="D36" s="655"/>
      <c r="E36" s="655"/>
      <c r="F36" s="655"/>
      <c r="G36" s="655"/>
      <c r="H36"/>
      <c r="I36"/>
      <c r="J36"/>
      <c r="K36"/>
      <c r="L36" s="655"/>
      <c r="M36" s="655"/>
      <c r="N36"/>
      <c r="O36"/>
      <c r="P36"/>
      <c r="Q36"/>
      <c r="R36"/>
      <c r="S36"/>
      <c r="T36"/>
      <c r="U36"/>
      <c r="V36"/>
      <c r="W36"/>
      <c r="X36" s="655"/>
      <c r="Y36" s="655"/>
      <c r="Z36" s="655"/>
      <c r="AA36" s="655"/>
      <c r="AC36"/>
      <c r="AD36"/>
      <c r="AE36"/>
      <c r="AF36"/>
      <c r="AG36"/>
      <c r="AH36" s="655"/>
      <c r="AI36" s="655"/>
      <c r="AJ36" s="655"/>
    </row>
    <row r="37" spans="1:37" x14ac:dyDescent="0.2">
      <c r="A37" s="655"/>
      <c r="B37" s="655"/>
      <c r="C37"/>
      <c r="D37" s="655"/>
      <c r="E37" s="655"/>
      <c r="F37" s="655"/>
      <c r="G37" s="655"/>
      <c r="H37"/>
      <c r="I37"/>
      <c r="J37"/>
      <c r="K37"/>
      <c r="L37" s="655"/>
      <c r="M37" s="655"/>
      <c r="N37"/>
      <c r="O37"/>
      <c r="P37"/>
      <c r="Q37"/>
      <c r="R37"/>
      <c r="S37"/>
      <c r="T37"/>
      <c r="U37"/>
      <c r="V37"/>
      <c r="W37"/>
      <c r="X37" s="655"/>
      <c r="Y37" s="655"/>
      <c r="Z37" s="655"/>
      <c r="AA37" s="655"/>
      <c r="AB37"/>
      <c r="AC37"/>
      <c r="AD37"/>
      <c r="AE37"/>
      <c r="AF37"/>
      <c r="AG37"/>
      <c r="AH37" s="655"/>
      <c r="AI37" s="655"/>
      <c r="AJ37" s="655"/>
    </row>
    <row r="38" spans="1:37" x14ac:dyDescent="0.2">
      <c r="A38" s="655"/>
      <c r="B38" s="655"/>
      <c r="C38"/>
      <c r="D38" s="655"/>
      <c r="E38" s="655"/>
      <c r="F38" s="655"/>
      <c r="G38" s="655"/>
      <c r="H38"/>
      <c r="I38"/>
      <c r="J38"/>
      <c r="K38"/>
      <c r="L38" s="655"/>
      <c r="M38" s="655"/>
      <c r="N38"/>
      <c r="O38"/>
      <c r="P38"/>
      <c r="Q38"/>
      <c r="R38"/>
      <c r="S38"/>
      <c r="T38"/>
      <c r="U38"/>
      <c r="V38"/>
      <c r="W38"/>
      <c r="X38" s="655"/>
      <c r="Y38" s="655"/>
      <c r="Z38" s="655"/>
      <c r="AA38" s="655"/>
      <c r="AB38"/>
      <c r="AC38"/>
      <c r="AD38"/>
      <c r="AE38"/>
      <c r="AF38"/>
      <c r="AG38"/>
      <c r="AH38" s="655"/>
      <c r="AI38" s="655"/>
      <c r="AJ38" s="655"/>
      <c r="AK38"/>
    </row>
    <row r="39" spans="1:37" x14ac:dyDescent="0.2">
      <c r="A39" s="655"/>
      <c r="B39" s="655"/>
      <c r="C39"/>
      <c r="D39" s="655"/>
      <c r="E39" s="655"/>
      <c r="F39" s="655"/>
      <c r="G39" s="655"/>
      <c r="H39"/>
      <c r="I39"/>
      <c r="J39"/>
      <c r="K39"/>
      <c r="L39" s="655"/>
      <c r="M39" s="655"/>
      <c r="N39"/>
      <c r="O39"/>
      <c r="P39"/>
      <c r="Q39"/>
      <c r="R39"/>
      <c r="S39"/>
      <c r="T39"/>
      <c r="U39"/>
      <c r="V39"/>
      <c r="W39"/>
      <c r="X39" s="655"/>
      <c r="Y39" s="655"/>
      <c r="Z39" s="655"/>
      <c r="AA39" s="655"/>
      <c r="AB39"/>
      <c r="AC39"/>
      <c r="AD39"/>
      <c r="AE39"/>
      <c r="AF39"/>
      <c r="AG39"/>
      <c r="AH39" s="655"/>
      <c r="AI39" s="655"/>
      <c r="AJ39" s="655"/>
    </row>
    <row r="40" spans="1:37" x14ac:dyDescent="0.2">
      <c r="A40" s="655"/>
      <c r="B40" s="655"/>
      <c r="C40"/>
      <c r="D40" s="655"/>
      <c r="E40" s="655"/>
      <c r="F40" s="655"/>
      <c r="G40" s="655"/>
      <c r="H40"/>
      <c r="I40"/>
      <c r="J40"/>
      <c r="K40"/>
      <c r="L40" s="655"/>
      <c r="M40" s="655"/>
      <c r="N40"/>
      <c r="O40"/>
      <c r="P40"/>
      <c r="Q40"/>
      <c r="R40"/>
      <c r="S40"/>
      <c r="T40"/>
      <c r="U40"/>
      <c r="V40"/>
      <c r="W40"/>
      <c r="X40" s="655"/>
      <c r="Y40" s="655"/>
      <c r="Z40" s="655"/>
      <c r="AA40" s="655"/>
      <c r="AB40"/>
      <c r="AC40"/>
      <c r="AD40"/>
      <c r="AE40"/>
      <c r="AF40"/>
      <c r="AG40"/>
      <c r="AH40" s="655"/>
      <c r="AI40" s="655"/>
      <c r="AJ40" s="655"/>
    </row>
    <row r="41" spans="1:37" x14ac:dyDescent="0.2">
      <c r="A41" s="655"/>
      <c r="B41" s="655"/>
      <c r="C41"/>
      <c r="D41" s="655"/>
      <c r="E41" s="655"/>
      <c r="F41" s="655"/>
      <c r="G41" s="655"/>
      <c r="H41"/>
      <c r="I41"/>
      <c r="J41"/>
      <c r="K41"/>
      <c r="L41" s="655"/>
      <c r="M41" s="655"/>
      <c r="N41"/>
      <c r="O41"/>
      <c r="P41"/>
      <c r="Q41"/>
      <c r="R41"/>
      <c r="S41"/>
      <c r="T41"/>
      <c r="U41"/>
      <c r="V41"/>
      <c r="W41"/>
      <c r="X41" s="655"/>
      <c r="Y41" s="655"/>
      <c r="Z41" s="655"/>
      <c r="AA41" s="655"/>
      <c r="AB41"/>
      <c r="AC41"/>
      <c r="AD41"/>
      <c r="AE41"/>
      <c r="AF41"/>
      <c r="AG41"/>
      <c r="AH41" s="655"/>
      <c r="AI41" s="655"/>
      <c r="AJ41" s="655"/>
    </row>
    <row r="42" spans="1:37" x14ac:dyDescent="0.2">
      <c r="A42" s="655"/>
      <c r="B42" s="655"/>
      <c r="C42"/>
      <c r="D42" s="655"/>
      <c r="E42" s="655"/>
      <c r="F42" s="655"/>
      <c r="G42" s="655"/>
      <c r="H42"/>
      <c r="I42"/>
      <c r="J42"/>
      <c r="K42"/>
      <c r="L42" s="655"/>
      <c r="M42" s="655"/>
      <c r="N42"/>
      <c r="O42"/>
      <c r="P42"/>
      <c r="Q42"/>
      <c r="R42"/>
      <c r="S42"/>
      <c r="T42"/>
      <c r="U42"/>
      <c r="V42"/>
      <c r="W42"/>
      <c r="X42" s="655"/>
      <c r="Y42" s="655"/>
      <c r="Z42" s="655"/>
      <c r="AA42" s="655"/>
      <c r="AB42"/>
      <c r="AC42"/>
      <c r="AD42"/>
      <c r="AE42"/>
      <c r="AF42"/>
      <c r="AG42"/>
      <c r="AH42" s="655"/>
      <c r="AI42" s="655"/>
      <c r="AJ42" s="655"/>
    </row>
    <row r="43" spans="1:37" x14ac:dyDescent="0.2">
      <c r="A43" s="655"/>
      <c r="B43" s="655"/>
      <c r="C43"/>
      <c r="D43" s="655"/>
      <c r="E43" s="655"/>
      <c r="F43" s="655"/>
      <c r="G43" s="655"/>
      <c r="H43"/>
      <c r="I43"/>
      <c r="J43"/>
      <c r="K43"/>
      <c r="L43" s="655"/>
      <c r="M43" s="655"/>
      <c r="N43"/>
      <c r="O43"/>
      <c r="P43"/>
      <c r="Q43"/>
      <c r="R43"/>
      <c r="S43"/>
      <c r="T43"/>
      <c r="U43"/>
      <c r="V43"/>
      <c r="W43"/>
      <c r="X43" s="655"/>
      <c r="Y43" s="655"/>
      <c r="Z43" s="655"/>
      <c r="AA43" s="655"/>
      <c r="AB43"/>
      <c r="AC43"/>
      <c r="AD43"/>
      <c r="AE43"/>
      <c r="AF43"/>
      <c r="AG43"/>
      <c r="AH43" s="655"/>
      <c r="AI43" s="655"/>
      <c r="AJ43" s="655"/>
    </row>
    <row r="44" spans="1:37" x14ac:dyDescent="0.2">
      <c r="A44" s="655"/>
      <c r="B44" s="655"/>
      <c r="C44"/>
      <c r="D44" s="655"/>
      <c r="E44" s="655"/>
      <c r="F44" s="655"/>
      <c r="G44" s="655"/>
      <c r="H44"/>
      <c r="I44"/>
      <c r="J44"/>
      <c r="K44"/>
      <c r="L44" s="655"/>
      <c r="M44" s="655"/>
      <c r="N44"/>
      <c r="O44"/>
      <c r="P44"/>
      <c r="Q44"/>
      <c r="R44"/>
      <c r="S44"/>
      <c r="T44"/>
      <c r="U44"/>
      <c r="V44"/>
      <c r="W44"/>
      <c r="X44" s="655"/>
      <c r="Y44" s="655"/>
      <c r="Z44" s="655"/>
      <c r="AA44" s="655"/>
      <c r="AB44"/>
      <c r="AC44"/>
      <c r="AD44"/>
      <c r="AE44"/>
      <c r="AF44"/>
      <c r="AG44"/>
      <c r="AH44" s="655"/>
      <c r="AI44" s="655"/>
      <c r="AJ44" s="655"/>
    </row>
    <row r="45" spans="1:37" x14ac:dyDescent="0.2">
      <c r="A45" s="655"/>
      <c r="B45" s="655"/>
      <c r="C45"/>
      <c r="D45" s="655"/>
      <c r="E45" s="655"/>
      <c r="F45" s="655"/>
      <c r="G45" s="655"/>
      <c r="H45"/>
      <c r="I45"/>
      <c r="J45"/>
      <c r="K45"/>
      <c r="L45" s="655"/>
      <c r="M45" s="655"/>
      <c r="N45"/>
      <c r="O45"/>
      <c r="P45"/>
      <c r="Q45"/>
      <c r="R45"/>
      <c r="S45"/>
      <c r="T45"/>
      <c r="U45"/>
      <c r="V45"/>
      <c r="W45"/>
      <c r="X45" s="655"/>
      <c r="Y45" s="655"/>
      <c r="Z45" s="655"/>
      <c r="AA45" s="655"/>
      <c r="AB45"/>
      <c r="AC45"/>
      <c r="AD45"/>
      <c r="AE45"/>
      <c r="AF45"/>
      <c r="AG45"/>
      <c r="AH45" s="655"/>
      <c r="AI45" s="655"/>
      <c r="AJ45" s="655"/>
    </row>
    <row r="46" spans="1:37" x14ac:dyDescent="0.2">
      <c r="A46" s="655"/>
      <c r="B46" s="655"/>
      <c r="C46"/>
      <c r="D46" s="655"/>
      <c r="E46" s="655"/>
      <c r="F46" s="655"/>
      <c r="G46" s="655"/>
      <c r="H46"/>
      <c r="I46"/>
      <c r="J46"/>
      <c r="K46"/>
      <c r="L46" s="655"/>
      <c r="M46" s="655"/>
      <c r="N46"/>
      <c r="O46"/>
      <c r="P46"/>
      <c r="Q46"/>
      <c r="R46"/>
      <c r="S46"/>
      <c r="T46"/>
      <c r="U46"/>
      <c r="V46"/>
      <c r="W46"/>
      <c r="X46" s="655"/>
      <c r="Y46" s="655"/>
      <c r="Z46" s="655"/>
      <c r="AA46" s="655"/>
      <c r="AB46"/>
      <c r="AC46"/>
      <c r="AD46"/>
      <c r="AE46"/>
      <c r="AF46"/>
      <c r="AG46"/>
      <c r="AH46" s="655"/>
      <c r="AI46" s="655"/>
      <c r="AJ46" s="655"/>
    </row>
    <row r="47" spans="1:37" x14ac:dyDescent="0.2">
      <c r="A47" s="655"/>
      <c r="B47" s="655"/>
      <c r="C47"/>
      <c r="D47" s="655"/>
      <c r="E47" s="655"/>
      <c r="F47" s="655"/>
      <c r="G47" s="655"/>
      <c r="H47"/>
      <c r="I47"/>
      <c r="J47"/>
      <c r="K47"/>
      <c r="L47" s="655"/>
      <c r="M47" s="655"/>
      <c r="N47"/>
      <c r="O47"/>
      <c r="Q47"/>
      <c r="R47"/>
      <c r="S47"/>
      <c r="T47"/>
      <c r="U47"/>
      <c r="V47"/>
      <c r="W47"/>
      <c r="X47" s="655"/>
      <c r="Y47" s="655"/>
      <c r="Z47" s="655"/>
      <c r="AA47" s="655"/>
      <c r="AB47"/>
      <c r="AF47"/>
      <c r="AG47"/>
      <c r="AH47" s="655"/>
      <c r="AI47" s="655"/>
      <c r="AJ47" s="655"/>
    </row>
    <row r="48" spans="1:37" x14ac:dyDescent="0.2">
      <c r="A48" s="655"/>
      <c r="B48" s="655"/>
      <c r="C48"/>
      <c r="D48" s="655"/>
      <c r="E48" s="655"/>
      <c r="F48" s="655"/>
      <c r="G48" s="655"/>
      <c r="H48"/>
      <c r="I48"/>
      <c r="J48"/>
      <c r="K48"/>
      <c r="L48" s="655"/>
      <c r="M48" s="655"/>
      <c r="N48"/>
      <c r="O48"/>
      <c r="P48"/>
      <c r="Q48"/>
      <c r="R48"/>
      <c r="S48"/>
      <c r="T48"/>
      <c r="U48"/>
      <c r="V48"/>
      <c r="W48"/>
      <c r="X48" s="655"/>
      <c r="Y48" s="655"/>
      <c r="Z48" s="655"/>
      <c r="AA48" s="655"/>
      <c r="AB48"/>
      <c r="AC48"/>
      <c r="AD48"/>
      <c r="AE48"/>
      <c r="AF48"/>
      <c r="AG48"/>
      <c r="AH48" s="655"/>
      <c r="AI48" s="655"/>
      <c r="AJ48" s="655"/>
    </row>
    <row r="49" spans="1:36" x14ac:dyDescent="0.2">
      <c r="A49" s="655"/>
      <c r="B49" s="655"/>
      <c r="C49"/>
      <c r="D49" s="655"/>
      <c r="E49" s="655"/>
      <c r="F49" s="655"/>
      <c r="G49" s="655"/>
      <c r="H49"/>
      <c r="I49"/>
      <c r="J49"/>
      <c r="K49"/>
      <c r="L49" s="655"/>
      <c r="M49" s="655"/>
      <c r="N49"/>
      <c r="O49"/>
      <c r="Q49"/>
      <c r="R49"/>
      <c r="S49"/>
      <c r="U49"/>
      <c r="V49"/>
      <c r="W49"/>
      <c r="X49" s="655"/>
      <c r="Y49" s="655"/>
      <c r="Z49" s="655"/>
      <c r="AA49" s="655"/>
      <c r="AH49" s="655"/>
      <c r="AI49" s="655"/>
      <c r="AJ49" s="655"/>
    </row>
    <row r="50" spans="1:36" x14ac:dyDescent="0.2">
      <c r="A50" s="655"/>
      <c r="B50" s="655"/>
      <c r="C50"/>
      <c r="D50" s="655"/>
      <c r="E50" s="655"/>
      <c r="F50" s="655"/>
      <c r="G50" s="655"/>
      <c r="H50"/>
      <c r="I50"/>
      <c r="J50"/>
      <c r="K50"/>
      <c r="L50" s="655"/>
      <c r="M50" s="655"/>
      <c r="N50"/>
      <c r="O50"/>
      <c r="P50"/>
      <c r="Q50"/>
      <c r="R50"/>
      <c r="S50"/>
      <c r="T50"/>
      <c r="U50"/>
      <c r="V50"/>
      <c r="W50"/>
      <c r="X50" s="655"/>
      <c r="Y50" s="655"/>
      <c r="Z50" s="655"/>
      <c r="AA50" s="655"/>
      <c r="AB50"/>
      <c r="AC50"/>
      <c r="AD50"/>
      <c r="AE50"/>
      <c r="AF50"/>
      <c r="AG50"/>
      <c r="AH50" s="655"/>
      <c r="AI50" s="655"/>
      <c r="AJ50" s="655"/>
    </row>
    <row r="51" spans="1:36" x14ac:dyDescent="0.2">
      <c r="A51" s="655"/>
      <c r="B51" s="655"/>
      <c r="C51"/>
      <c r="D51" s="655"/>
      <c r="E51" s="655"/>
      <c r="F51" s="655"/>
      <c r="G51" s="655"/>
      <c r="H51"/>
      <c r="I51"/>
      <c r="J51"/>
      <c r="K51"/>
      <c r="L51" s="655"/>
      <c r="M51" s="655"/>
      <c r="N51"/>
      <c r="O51"/>
      <c r="P51"/>
      <c r="Q51"/>
      <c r="R51"/>
      <c r="S51"/>
      <c r="T51"/>
      <c r="U51"/>
      <c r="V51"/>
      <c r="W51"/>
      <c r="X51" s="655"/>
      <c r="Y51" s="655"/>
      <c r="Z51" s="655"/>
      <c r="AA51" s="655"/>
      <c r="AB51"/>
      <c r="AC51"/>
      <c r="AD51"/>
      <c r="AE51"/>
      <c r="AF51"/>
      <c r="AG51"/>
      <c r="AH51" s="655"/>
      <c r="AI51" s="655"/>
      <c r="AJ51" s="655"/>
    </row>
    <row r="52" spans="1:36" x14ac:dyDescent="0.2">
      <c r="A52" s="655"/>
      <c r="B52" s="655"/>
      <c r="C52"/>
      <c r="D52" s="655"/>
      <c r="E52" s="655"/>
      <c r="F52" s="655"/>
      <c r="G52" s="655"/>
      <c r="H52"/>
      <c r="I52"/>
      <c r="J52"/>
      <c r="K52"/>
      <c r="L52" s="655"/>
      <c r="M52" s="655"/>
      <c r="N52"/>
      <c r="O52"/>
      <c r="P52"/>
      <c r="Q52"/>
      <c r="R52"/>
      <c r="S52"/>
      <c r="T52"/>
      <c r="U52"/>
      <c r="V52"/>
      <c r="W52"/>
      <c r="X52" s="655"/>
      <c r="Y52" s="655"/>
      <c r="Z52" s="655"/>
      <c r="AA52" s="655"/>
      <c r="AB52"/>
      <c r="AC52"/>
      <c r="AD52"/>
      <c r="AE52"/>
      <c r="AF52"/>
      <c r="AG52"/>
      <c r="AH52" s="655"/>
      <c r="AI52" s="655"/>
      <c r="AJ52" s="655"/>
    </row>
    <row r="53" spans="1:36" x14ac:dyDescent="0.2">
      <c r="A53" s="655"/>
      <c r="B53" s="655"/>
      <c r="C53"/>
      <c r="D53" s="655"/>
      <c r="E53" s="655"/>
      <c r="F53" s="655"/>
      <c r="G53" s="655"/>
      <c r="H53"/>
      <c r="I53"/>
      <c r="J53"/>
      <c r="K53"/>
      <c r="L53" s="655"/>
      <c r="M53" s="655"/>
      <c r="N53"/>
      <c r="O53"/>
      <c r="P53"/>
      <c r="Q53"/>
      <c r="R53"/>
      <c r="S53"/>
      <c r="T53"/>
      <c r="U53"/>
      <c r="V53"/>
      <c r="W53"/>
      <c r="X53" s="655"/>
      <c r="Y53" s="655"/>
      <c r="Z53" s="655"/>
      <c r="AA53" s="655"/>
      <c r="AB53"/>
      <c r="AC53"/>
      <c r="AD53"/>
      <c r="AE53"/>
      <c r="AF53"/>
      <c r="AG53"/>
      <c r="AH53" s="655"/>
      <c r="AI53" s="655"/>
      <c r="AJ53" s="655"/>
    </row>
    <row r="54" spans="1:36" x14ac:dyDescent="0.2">
      <c r="A54" s="655"/>
      <c r="B54" s="655"/>
      <c r="C54"/>
      <c r="D54" s="655"/>
      <c r="E54" s="655"/>
      <c r="F54" s="655"/>
      <c r="G54" s="655"/>
      <c r="H54"/>
      <c r="I54"/>
      <c r="J54"/>
      <c r="K54"/>
      <c r="L54" s="655"/>
      <c r="M54" s="655"/>
      <c r="N54"/>
      <c r="O54"/>
      <c r="P54"/>
      <c r="Q54"/>
      <c r="R54"/>
      <c r="S54"/>
      <c r="T54"/>
      <c r="U54"/>
      <c r="V54"/>
      <c r="W54"/>
      <c r="X54" s="655"/>
      <c r="Y54" s="655"/>
      <c r="Z54" s="655"/>
      <c r="AA54" s="655"/>
      <c r="AB54"/>
      <c r="AC54"/>
      <c r="AD54"/>
      <c r="AE54"/>
      <c r="AF54"/>
      <c r="AG54"/>
      <c r="AH54" s="655"/>
      <c r="AI54" s="655"/>
      <c r="AJ54" s="655"/>
    </row>
    <row r="55" spans="1:36" x14ac:dyDescent="0.2">
      <c r="A55" s="655"/>
      <c r="B55" s="655"/>
      <c r="C55"/>
      <c r="D55" s="655"/>
      <c r="E55" s="655"/>
      <c r="F55" s="655"/>
      <c r="G55" s="655"/>
      <c r="H55"/>
      <c r="I55"/>
      <c r="J55"/>
      <c r="K55"/>
      <c r="L55" s="655"/>
      <c r="M55" s="655"/>
      <c r="N55"/>
      <c r="O55"/>
      <c r="P55"/>
      <c r="Q55"/>
      <c r="R55"/>
      <c r="S55"/>
      <c r="T55"/>
      <c r="U55"/>
      <c r="V55"/>
      <c r="W55"/>
      <c r="X55" s="655"/>
      <c r="Y55" s="655"/>
      <c r="Z55" s="655"/>
      <c r="AA55" s="655"/>
      <c r="AB55"/>
      <c r="AC55"/>
      <c r="AD55"/>
      <c r="AE55"/>
      <c r="AF55"/>
      <c r="AG55"/>
      <c r="AH55" s="655"/>
      <c r="AI55" s="655"/>
      <c r="AJ55" s="655"/>
    </row>
    <row r="56" spans="1:36" x14ac:dyDescent="0.2">
      <c r="A56" s="655"/>
      <c r="B56" s="655"/>
      <c r="C56"/>
      <c r="D56" s="655"/>
      <c r="E56" s="655"/>
      <c r="F56" s="655"/>
      <c r="G56" s="655"/>
      <c r="H56"/>
      <c r="I56"/>
      <c r="J56"/>
      <c r="K56"/>
      <c r="L56" s="655"/>
      <c r="M56" s="655"/>
      <c r="N56"/>
      <c r="O56"/>
      <c r="P56"/>
      <c r="Q56"/>
      <c r="R56"/>
      <c r="S56"/>
      <c r="T56"/>
      <c r="U56"/>
      <c r="V56"/>
      <c r="W56"/>
      <c r="X56" s="655"/>
      <c r="Y56" s="655"/>
      <c r="Z56" s="655"/>
      <c r="AA56" s="655"/>
      <c r="AB56"/>
      <c r="AC56"/>
      <c r="AD56"/>
      <c r="AE56"/>
      <c r="AF56"/>
      <c r="AG56"/>
      <c r="AH56" s="655"/>
      <c r="AI56" s="655"/>
      <c r="AJ56" s="655"/>
    </row>
    <row r="57" spans="1:36" x14ac:dyDescent="0.2">
      <c r="A57" s="655"/>
      <c r="B57" s="655"/>
      <c r="C57"/>
      <c r="D57" s="655"/>
      <c r="E57" s="655"/>
      <c r="F57" s="655"/>
      <c r="G57" s="655"/>
      <c r="H57"/>
      <c r="I57"/>
      <c r="J57"/>
      <c r="K57"/>
      <c r="L57" s="655"/>
      <c r="M57" s="655"/>
      <c r="N57"/>
      <c r="O57"/>
      <c r="P57"/>
      <c r="Q57"/>
      <c r="R57"/>
      <c r="S57"/>
      <c r="T57"/>
      <c r="U57"/>
      <c r="V57"/>
      <c r="W57"/>
      <c r="X57" s="655"/>
      <c r="Y57" s="655"/>
      <c r="Z57" s="655"/>
      <c r="AA57" s="655"/>
      <c r="AB57"/>
      <c r="AC57"/>
      <c r="AD57"/>
      <c r="AE57"/>
      <c r="AF57"/>
      <c r="AG57"/>
      <c r="AH57" s="655"/>
      <c r="AI57" s="655"/>
      <c r="AJ57" s="655"/>
    </row>
    <row r="58" spans="1:36" x14ac:dyDescent="0.2">
      <c r="A58" s="655"/>
      <c r="B58" s="655"/>
      <c r="C58"/>
      <c r="D58" s="655"/>
      <c r="E58" s="655"/>
      <c r="F58" s="655"/>
      <c r="G58" s="655"/>
      <c r="H58"/>
      <c r="I58"/>
      <c r="J58"/>
      <c r="K58"/>
      <c r="L58" s="655"/>
      <c r="M58" s="655"/>
      <c r="N58"/>
      <c r="O58"/>
      <c r="P58"/>
      <c r="Q58"/>
      <c r="R58"/>
      <c r="S58"/>
      <c r="T58"/>
      <c r="U58"/>
      <c r="V58"/>
      <c r="W58"/>
      <c r="X58" s="655"/>
      <c r="Y58" s="655"/>
      <c r="Z58" s="655"/>
      <c r="AA58" s="655"/>
      <c r="AB58"/>
      <c r="AC58"/>
      <c r="AD58"/>
      <c r="AE58"/>
      <c r="AF58"/>
      <c r="AG58"/>
      <c r="AH58" s="655"/>
      <c r="AI58" s="655"/>
      <c r="AJ58" s="655"/>
    </row>
    <row r="59" spans="1:36" x14ac:dyDescent="0.2">
      <c r="A59" s="655"/>
      <c r="B59" s="655"/>
      <c r="C59"/>
      <c r="D59" s="655"/>
      <c r="E59" s="655"/>
      <c r="F59" s="655"/>
      <c r="G59" s="655"/>
      <c r="H59"/>
      <c r="I59"/>
      <c r="J59"/>
      <c r="K59"/>
      <c r="L59" s="655"/>
      <c r="M59" s="655"/>
      <c r="N59"/>
      <c r="O59"/>
      <c r="P59"/>
      <c r="Q59"/>
      <c r="R59"/>
      <c r="S59"/>
      <c r="T59"/>
      <c r="U59"/>
      <c r="V59"/>
      <c r="W59"/>
      <c r="X59" s="655"/>
      <c r="Y59" s="655"/>
      <c r="Z59" s="655"/>
      <c r="AA59" s="655"/>
      <c r="AB59"/>
      <c r="AC59"/>
      <c r="AD59"/>
      <c r="AE59"/>
      <c r="AF59"/>
      <c r="AG59"/>
      <c r="AH59" s="655"/>
      <c r="AI59" s="655"/>
      <c r="AJ59" s="655"/>
    </row>
    <row r="60" spans="1:36" x14ac:dyDescent="0.2">
      <c r="A60" s="655"/>
      <c r="B60" s="655"/>
      <c r="C60"/>
      <c r="D60" s="655"/>
      <c r="E60" s="655"/>
      <c r="F60" s="655"/>
      <c r="G60" s="655"/>
      <c r="H60"/>
      <c r="I60"/>
      <c r="J60"/>
      <c r="K60"/>
      <c r="L60" s="655"/>
      <c r="M60" s="655"/>
      <c r="N60"/>
      <c r="O60"/>
      <c r="P60"/>
      <c r="Q60"/>
      <c r="R60"/>
      <c r="S60"/>
      <c r="T60"/>
      <c r="U60"/>
      <c r="V60"/>
      <c r="W60"/>
      <c r="X60" s="655"/>
      <c r="Y60" s="655"/>
      <c r="Z60" s="655"/>
      <c r="AA60" s="655"/>
      <c r="AB60"/>
      <c r="AC60"/>
      <c r="AD60"/>
      <c r="AE60"/>
      <c r="AG60"/>
      <c r="AH60" s="655"/>
      <c r="AI60" s="655"/>
      <c r="AJ60" s="655"/>
    </row>
    <row r="61" spans="1:36" x14ac:dyDescent="0.2">
      <c r="A61" s="655"/>
      <c r="B61" s="655"/>
      <c r="C61"/>
      <c r="D61" s="655"/>
      <c r="E61" s="655"/>
      <c r="F61" s="655"/>
      <c r="G61" s="655"/>
      <c r="H61"/>
      <c r="I61"/>
      <c r="J61"/>
      <c r="K61"/>
      <c r="L61" s="655"/>
      <c r="M61" s="655"/>
      <c r="N61"/>
      <c r="O61"/>
      <c r="P61"/>
      <c r="Q61"/>
      <c r="R61"/>
      <c r="S61"/>
      <c r="T61"/>
      <c r="U61"/>
      <c r="V61"/>
      <c r="W61"/>
      <c r="X61" s="655"/>
      <c r="Y61" s="655"/>
      <c r="Z61" s="655"/>
      <c r="AA61" s="655"/>
      <c r="AB61"/>
      <c r="AC61"/>
      <c r="AD61"/>
      <c r="AE61"/>
      <c r="AF61"/>
      <c r="AG61"/>
      <c r="AH61" s="655"/>
      <c r="AI61" s="655"/>
      <c r="AJ61" s="655"/>
    </row>
    <row r="62" spans="1:36" x14ac:dyDescent="0.2">
      <c r="A62" s="655"/>
      <c r="B62" s="655"/>
      <c r="C62"/>
      <c r="D62" s="655"/>
      <c r="E62" s="655"/>
      <c r="F62" s="655"/>
      <c r="G62" s="655"/>
      <c r="H62"/>
      <c r="I62"/>
      <c r="J62"/>
      <c r="K62"/>
      <c r="L62" s="655"/>
      <c r="M62" s="655"/>
      <c r="N62"/>
      <c r="O62"/>
      <c r="P62"/>
      <c r="Q62"/>
      <c r="R62"/>
      <c r="S62"/>
      <c r="T62"/>
      <c r="U62"/>
      <c r="V62"/>
      <c r="W62"/>
      <c r="X62" s="655"/>
      <c r="Y62" s="655"/>
      <c r="Z62" s="655"/>
      <c r="AA62" s="655"/>
      <c r="AB62"/>
      <c r="AC62"/>
      <c r="AD62"/>
      <c r="AE62"/>
      <c r="AF62"/>
      <c r="AG62"/>
      <c r="AH62" s="655"/>
      <c r="AI62" s="655"/>
      <c r="AJ62" s="655"/>
    </row>
    <row r="63" spans="1:36" x14ac:dyDescent="0.2">
      <c r="A63" s="655"/>
      <c r="B63" s="655"/>
      <c r="C63"/>
      <c r="D63" s="655"/>
      <c r="E63" s="655"/>
      <c r="F63" s="655"/>
      <c r="G63" s="655"/>
      <c r="H63"/>
      <c r="I63"/>
      <c r="J63"/>
      <c r="K63"/>
      <c r="L63" s="655"/>
      <c r="M63" s="655"/>
      <c r="N63"/>
      <c r="O63"/>
      <c r="P63"/>
      <c r="Q63"/>
      <c r="R63"/>
      <c r="S63"/>
      <c r="T63"/>
      <c r="U63"/>
      <c r="V63"/>
      <c r="W63"/>
      <c r="X63" s="655"/>
      <c r="Y63" s="655"/>
      <c r="Z63" s="655"/>
      <c r="AA63" s="655"/>
      <c r="AB63"/>
      <c r="AD63"/>
      <c r="AE63"/>
      <c r="AF63"/>
      <c r="AG63"/>
      <c r="AH63" s="655"/>
      <c r="AI63" s="655"/>
      <c r="AJ63" s="655"/>
    </row>
    <row r="64" spans="1:36" x14ac:dyDescent="0.2">
      <c r="A64" s="655"/>
      <c r="B64" s="655"/>
      <c r="C64"/>
      <c r="D64" s="655"/>
      <c r="E64" s="655"/>
      <c r="F64" s="655"/>
      <c r="G64" s="655"/>
      <c r="H64"/>
      <c r="I64"/>
      <c r="J64"/>
      <c r="K64"/>
      <c r="L64" s="655"/>
      <c r="M64" s="655"/>
      <c r="N64"/>
      <c r="O64"/>
      <c r="P64"/>
      <c r="Q64"/>
      <c r="R64"/>
      <c r="S64"/>
      <c r="T64"/>
      <c r="U64"/>
      <c r="V64"/>
      <c r="W64"/>
      <c r="X64" s="655"/>
      <c r="Y64" s="655"/>
      <c r="Z64" s="655"/>
      <c r="AA64" s="655"/>
      <c r="AB64"/>
      <c r="AC64"/>
      <c r="AD64"/>
      <c r="AE64"/>
      <c r="AF64"/>
      <c r="AG64"/>
      <c r="AH64" s="655"/>
      <c r="AI64" s="655"/>
      <c r="AJ64" s="655"/>
    </row>
    <row r="65" spans="1:36" x14ac:dyDescent="0.2">
      <c r="A65" s="655"/>
      <c r="B65" s="655"/>
      <c r="C65"/>
      <c r="D65" s="655"/>
      <c r="E65" s="655"/>
      <c r="F65" s="655"/>
      <c r="G65" s="655"/>
      <c r="H65"/>
      <c r="I65"/>
      <c r="J65"/>
      <c r="K65"/>
      <c r="L65" s="655"/>
      <c r="M65" s="655"/>
      <c r="N65"/>
      <c r="O65"/>
      <c r="P65"/>
      <c r="Q65"/>
      <c r="R65"/>
      <c r="S65"/>
      <c r="T65"/>
      <c r="U65"/>
      <c r="V65"/>
      <c r="W65"/>
      <c r="X65" s="655"/>
      <c r="Y65" s="655"/>
      <c r="Z65" s="655"/>
      <c r="AA65" s="655"/>
      <c r="AB65"/>
      <c r="AC65"/>
      <c r="AD65"/>
      <c r="AE65"/>
      <c r="AF65"/>
      <c r="AG65"/>
      <c r="AH65" s="655"/>
      <c r="AI65" s="655"/>
      <c r="AJ65" s="655"/>
    </row>
    <row r="66" spans="1:36" x14ac:dyDescent="0.2">
      <c r="A66" s="655"/>
      <c r="B66" s="655"/>
      <c r="C66"/>
      <c r="D66" s="655"/>
      <c r="E66" s="655"/>
      <c r="F66" s="655"/>
      <c r="G66" s="655"/>
      <c r="H66"/>
      <c r="I66"/>
      <c r="J66"/>
      <c r="K66"/>
      <c r="L66" s="655"/>
      <c r="M66" s="655"/>
      <c r="N66"/>
      <c r="O66"/>
      <c r="P66"/>
      <c r="Q66"/>
      <c r="R66"/>
      <c r="S66"/>
      <c r="T66"/>
      <c r="U66"/>
      <c r="V66"/>
      <c r="W66"/>
      <c r="X66" s="655"/>
      <c r="Y66" s="655"/>
      <c r="Z66" s="655"/>
      <c r="AA66" s="655"/>
      <c r="AB66"/>
      <c r="AC66"/>
      <c r="AD66"/>
      <c r="AE66"/>
      <c r="AF66"/>
      <c r="AG66"/>
      <c r="AH66" s="655"/>
      <c r="AI66" s="655"/>
      <c r="AJ66" s="655"/>
    </row>
    <row r="67" spans="1:36" x14ac:dyDescent="0.2">
      <c r="A67" s="655"/>
      <c r="B67" s="655"/>
      <c r="C67"/>
      <c r="D67" s="655"/>
      <c r="E67" s="655"/>
      <c r="F67" s="655"/>
      <c r="G67" s="655"/>
      <c r="H67"/>
      <c r="I67"/>
      <c r="J67"/>
      <c r="K67"/>
      <c r="L67" s="655"/>
      <c r="M67" s="655"/>
      <c r="N67"/>
      <c r="O67"/>
      <c r="P67"/>
      <c r="Q67"/>
      <c r="R67"/>
      <c r="S67"/>
      <c r="T67"/>
      <c r="U67"/>
      <c r="V67"/>
      <c r="W67"/>
      <c r="X67" s="655"/>
      <c r="Y67" s="655"/>
      <c r="Z67" s="655"/>
      <c r="AA67" s="655"/>
      <c r="AB67"/>
      <c r="AC67"/>
      <c r="AD67"/>
      <c r="AE67"/>
      <c r="AF67"/>
      <c r="AG67"/>
      <c r="AH67" s="655"/>
      <c r="AI67" s="655"/>
      <c r="AJ67" s="655"/>
    </row>
    <row r="68" spans="1:36" x14ac:dyDescent="0.2">
      <c r="A68" s="655"/>
      <c r="B68" s="655"/>
      <c r="C68"/>
      <c r="D68" s="655"/>
      <c r="E68" s="655"/>
      <c r="F68" s="655"/>
      <c r="G68" s="655"/>
      <c r="H68"/>
      <c r="I68"/>
      <c r="J68"/>
      <c r="K68"/>
      <c r="L68" s="655"/>
      <c r="M68" s="655"/>
      <c r="N68"/>
      <c r="O68"/>
      <c r="P68"/>
      <c r="Q68"/>
      <c r="R68"/>
      <c r="S68"/>
      <c r="T68"/>
      <c r="U68"/>
      <c r="V68"/>
      <c r="W68"/>
      <c r="X68" s="655"/>
      <c r="Y68" s="655"/>
      <c r="Z68" s="655"/>
      <c r="AA68" s="655"/>
      <c r="AB68"/>
      <c r="AC68"/>
      <c r="AD68"/>
      <c r="AE68"/>
      <c r="AF68"/>
      <c r="AG68"/>
      <c r="AH68" s="655"/>
      <c r="AI68" s="655"/>
      <c r="AJ68" s="655"/>
    </row>
    <row r="69" spans="1:36" x14ac:dyDescent="0.2">
      <c r="A69" s="655"/>
      <c r="B69" s="655"/>
      <c r="C69"/>
      <c r="D69" s="655"/>
      <c r="E69" s="655"/>
      <c r="F69" s="655"/>
      <c r="G69" s="655"/>
      <c r="H69"/>
      <c r="I69"/>
      <c r="J69"/>
      <c r="K69"/>
      <c r="L69" s="655"/>
      <c r="M69" s="655"/>
      <c r="N69"/>
      <c r="O69"/>
      <c r="P69"/>
      <c r="Q69"/>
      <c r="R69"/>
      <c r="S69"/>
      <c r="T69"/>
      <c r="U69"/>
      <c r="V69"/>
      <c r="W69"/>
      <c r="X69" s="655"/>
      <c r="Y69" s="655"/>
      <c r="Z69" s="655"/>
      <c r="AA69" s="655"/>
      <c r="AB69"/>
      <c r="AC69"/>
      <c r="AD69"/>
      <c r="AE69"/>
      <c r="AF69"/>
      <c r="AG69"/>
      <c r="AH69" s="655"/>
      <c r="AI69" s="655"/>
      <c r="AJ69" s="655"/>
    </row>
    <row r="70" spans="1:36" x14ac:dyDescent="0.2">
      <c r="A70" s="655"/>
      <c r="B70" s="655"/>
      <c r="C70"/>
      <c r="D70" s="655"/>
      <c r="E70" s="655"/>
      <c r="F70" s="655"/>
      <c r="G70" s="655"/>
      <c r="H70"/>
      <c r="I70"/>
      <c r="J70"/>
      <c r="K70"/>
      <c r="L70" s="655"/>
      <c r="M70" s="655"/>
      <c r="N70"/>
      <c r="O70"/>
      <c r="P70"/>
      <c r="Q70"/>
      <c r="R70"/>
      <c r="S70"/>
      <c r="T70"/>
      <c r="U70"/>
      <c r="V70"/>
      <c r="W70"/>
      <c r="X70" s="655"/>
      <c r="Y70" s="655"/>
      <c r="Z70" s="655"/>
      <c r="AA70" s="655"/>
      <c r="AB70"/>
      <c r="AC70"/>
      <c r="AD70"/>
      <c r="AE70"/>
      <c r="AF70"/>
      <c r="AG70"/>
      <c r="AH70" s="655"/>
      <c r="AI70" s="655"/>
      <c r="AJ70" s="655"/>
    </row>
    <row r="71" spans="1:36" x14ac:dyDescent="0.2">
      <c r="A71" s="655"/>
      <c r="B71" s="655"/>
      <c r="C71"/>
      <c r="D71" s="655"/>
      <c r="E71" s="655"/>
      <c r="F71" s="655"/>
      <c r="G71" s="655"/>
      <c r="H71"/>
      <c r="I71"/>
      <c r="J71"/>
      <c r="K71"/>
      <c r="L71" s="655"/>
      <c r="M71" s="655"/>
      <c r="N71"/>
      <c r="O71"/>
      <c r="P71"/>
      <c r="Q71"/>
      <c r="R71"/>
      <c r="S71"/>
      <c r="T71"/>
      <c r="U71"/>
      <c r="V71"/>
      <c r="W71"/>
      <c r="X71" s="655"/>
      <c r="Y71" s="655"/>
      <c r="Z71" s="655"/>
      <c r="AA71" s="655"/>
      <c r="AB71"/>
      <c r="AC71"/>
      <c r="AD71"/>
      <c r="AE71"/>
      <c r="AF71"/>
      <c r="AG71"/>
      <c r="AH71" s="655"/>
      <c r="AI71" s="655"/>
      <c r="AJ71" s="655"/>
    </row>
    <row r="72" spans="1:36" x14ac:dyDescent="0.2">
      <c r="A72" s="655"/>
      <c r="B72" s="655"/>
      <c r="C72"/>
      <c r="D72" s="655"/>
      <c r="E72" s="655"/>
      <c r="F72" s="655"/>
      <c r="G72" s="655"/>
      <c r="H72"/>
      <c r="I72"/>
      <c r="J72"/>
      <c r="K72"/>
      <c r="L72" s="655"/>
      <c r="M72" s="655"/>
      <c r="N72"/>
      <c r="O72"/>
      <c r="P72"/>
      <c r="Q72"/>
      <c r="R72"/>
      <c r="S72"/>
      <c r="T72"/>
      <c r="U72"/>
      <c r="V72"/>
      <c r="W72"/>
      <c r="X72" s="655"/>
      <c r="Y72" s="655"/>
      <c r="Z72" s="655"/>
      <c r="AA72" s="655"/>
      <c r="AB72"/>
      <c r="AC72"/>
      <c r="AD72"/>
      <c r="AE72"/>
      <c r="AF72"/>
      <c r="AG72"/>
      <c r="AH72" s="655"/>
      <c r="AI72" s="655"/>
      <c r="AJ72" s="655"/>
    </row>
    <row r="73" spans="1:36" x14ac:dyDescent="0.2">
      <c r="A73" s="655"/>
      <c r="B73" s="655"/>
      <c r="C73"/>
      <c r="D73" s="655"/>
      <c r="E73" s="655"/>
      <c r="F73" s="655"/>
      <c r="G73" s="655"/>
      <c r="H73"/>
      <c r="I73"/>
      <c r="J73"/>
      <c r="K73"/>
      <c r="L73" s="655"/>
      <c r="M73" s="655"/>
      <c r="N73"/>
      <c r="O73"/>
      <c r="P73"/>
      <c r="Q73"/>
      <c r="R73"/>
      <c r="S73"/>
      <c r="T73"/>
      <c r="U73"/>
      <c r="V73"/>
      <c r="W73"/>
      <c r="X73" s="655"/>
      <c r="Y73" s="655"/>
      <c r="Z73" s="655"/>
      <c r="AA73" s="655"/>
      <c r="AB73"/>
      <c r="AC73"/>
      <c r="AD73"/>
      <c r="AE73"/>
      <c r="AF73"/>
      <c r="AG73"/>
      <c r="AH73" s="655"/>
      <c r="AI73" s="655"/>
      <c r="AJ73" s="655"/>
    </row>
    <row r="74" spans="1:36" x14ac:dyDescent="0.2">
      <c r="A74" s="655"/>
      <c r="B74" s="655"/>
      <c r="C74"/>
      <c r="D74" s="655"/>
      <c r="E74" s="655"/>
      <c r="F74" s="655"/>
      <c r="G74" s="655"/>
      <c r="H74"/>
      <c r="I74"/>
      <c r="J74"/>
      <c r="K74"/>
      <c r="L74" s="655"/>
      <c r="M74" s="655"/>
      <c r="N74"/>
      <c r="O74"/>
      <c r="P74"/>
      <c r="Q74"/>
      <c r="R74"/>
      <c r="S74"/>
      <c r="T74"/>
      <c r="U74"/>
      <c r="V74"/>
      <c r="W74"/>
      <c r="X74" s="655"/>
      <c r="Y74" s="655"/>
      <c r="Z74" s="655"/>
      <c r="AA74" s="655"/>
      <c r="AB74"/>
      <c r="AC74"/>
      <c r="AD74"/>
      <c r="AE74"/>
      <c r="AF74"/>
      <c r="AG74"/>
      <c r="AH74" s="655"/>
      <c r="AI74" s="655"/>
      <c r="AJ74" s="655"/>
    </row>
    <row r="75" spans="1:36" x14ac:dyDescent="0.2">
      <c r="A75" s="655"/>
      <c r="B75" s="655"/>
      <c r="C75"/>
      <c r="D75" s="655"/>
      <c r="E75" s="655"/>
      <c r="F75" s="655"/>
      <c r="G75" s="655"/>
      <c r="H75"/>
      <c r="I75"/>
      <c r="J75"/>
      <c r="K75"/>
      <c r="L75" s="655"/>
      <c r="M75" s="655"/>
      <c r="N75"/>
      <c r="O75"/>
      <c r="P75"/>
      <c r="Q75"/>
      <c r="R75"/>
      <c r="S75"/>
      <c r="T75"/>
      <c r="U75"/>
      <c r="V75"/>
      <c r="W75"/>
      <c r="X75" s="655"/>
      <c r="Y75" s="655"/>
      <c r="Z75" s="655"/>
      <c r="AA75" s="655"/>
      <c r="AB75"/>
      <c r="AC75"/>
      <c r="AD75"/>
      <c r="AE75"/>
      <c r="AF75"/>
      <c r="AG75"/>
      <c r="AH75" s="655"/>
      <c r="AI75" s="655"/>
      <c r="AJ75" s="655"/>
    </row>
    <row r="76" spans="1:36" x14ac:dyDescent="0.2">
      <c r="A76" s="655"/>
      <c r="B76" s="655"/>
      <c r="C76"/>
      <c r="D76" s="655"/>
      <c r="E76" s="655"/>
      <c r="F76" s="655"/>
      <c r="G76" s="655"/>
      <c r="H76"/>
      <c r="I76"/>
      <c r="J76"/>
      <c r="K76"/>
      <c r="L76" s="655"/>
      <c r="M76" s="655"/>
      <c r="N76"/>
      <c r="O76"/>
      <c r="P76"/>
      <c r="Q76"/>
      <c r="R76"/>
      <c r="S76"/>
      <c r="T76"/>
      <c r="U76"/>
      <c r="V76"/>
      <c r="W76"/>
      <c r="X76" s="655"/>
      <c r="Y76" s="655"/>
      <c r="Z76" s="655"/>
      <c r="AA76" s="655"/>
      <c r="AB76"/>
      <c r="AC76"/>
      <c r="AD76"/>
      <c r="AE76"/>
      <c r="AF76"/>
      <c r="AG76"/>
      <c r="AH76" s="655"/>
      <c r="AI76" s="655"/>
      <c r="AJ76" s="655"/>
    </row>
    <row r="77" spans="1:36" x14ac:dyDescent="0.2">
      <c r="A77" s="655"/>
      <c r="B77" s="655"/>
      <c r="C77"/>
      <c r="D77" s="655"/>
      <c r="E77" s="655"/>
      <c r="F77" s="655"/>
      <c r="G77" s="655"/>
      <c r="H77"/>
      <c r="I77"/>
      <c r="J77"/>
      <c r="K77"/>
      <c r="L77" s="655"/>
      <c r="M77" s="655"/>
      <c r="N77"/>
      <c r="O77"/>
      <c r="P77"/>
      <c r="Q77"/>
      <c r="R77"/>
      <c r="S77"/>
      <c r="T77"/>
      <c r="U77"/>
      <c r="V77"/>
      <c r="W77"/>
      <c r="X77" s="655"/>
      <c r="Y77" s="655"/>
      <c r="Z77" s="655"/>
      <c r="AA77" s="655"/>
      <c r="AB77"/>
      <c r="AC77"/>
      <c r="AD77"/>
      <c r="AE77"/>
      <c r="AF77"/>
      <c r="AG77"/>
      <c r="AH77" s="655"/>
      <c r="AI77" s="655"/>
      <c r="AJ77" s="655"/>
    </row>
    <row r="78" spans="1:36" x14ac:dyDescent="0.2">
      <c r="A78" s="655"/>
      <c r="B78" s="655"/>
      <c r="C78"/>
      <c r="D78" s="655"/>
      <c r="E78" s="655"/>
      <c r="F78" s="655"/>
      <c r="G78" s="655"/>
      <c r="H78"/>
      <c r="I78"/>
      <c r="J78"/>
      <c r="K78"/>
      <c r="L78" s="655"/>
      <c r="M78" s="655"/>
      <c r="N78"/>
      <c r="O78"/>
      <c r="P78"/>
      <c r="Q78"/>
      <c r="R78"/>
      <c r="S78"/>
      <c r="T78"/>
      <c r="U78"/>
      <c r="V78"/>
      <c r="W78"/>
      <c r="X78" s="655"/>
      <c r="Y78" s="655"/>
      <c r="Z78" s="655"/>
      <c r="AA78" s="655"/>
      <c r="AB78"/>
      <c r="AD78"/>
      <c r="AE78"/>
      <c r="AF78"/>
      <c r="AG78"/>
      <c r="AH78" s="655"/>
      <c r="AI78" s="655"/>
      <c r="AJ78" s="655"/>
    </row>
    <row r="79" spans="1:36" x14ac:dyDescent="0.2">
      <c r="A79" s="655"/>
      <c r="B79" s="655"/>
      <c r="C79"/>
      <c r="D79" s="655"/>
      <c r="E79" s="655"/>
      <c r="F79" s="655"/>
      <c r="G79" s="655"/>
      <c r="H79"/>
      <c r="I79"/>
      <c r="J79"/>
      <c r="K79"/>
      <c r="L79" s="655"/>
      <c r="M79" s="655"/>
      <c r="N79"/>
      <c r="O79"/>
      <c r="P79"/>
      <c r="Q79"/>
      <c r="R79"/>
      <c r="S79"/>
      <c r="T79"/>
      <c r="U79"/>
      <c r="V79"/>
      <c r="W79"/>
      <c r="X79" s="655"/>
      <c r="Y79" s="655"/>
      <c r="Z79" s="655"/>
      <c r="AA79" s="655"/>
      <c r="AB79"/>
      <c r="AC79"/>
      <c r="AD79"/>
      <c r="AE79"/>
      <c r="AF79"/>
      <c r="AG79"/>
      <c r="AH79" s="655"/>
      <c r="AI79" s="655"/>
      <c r="AJ79" s="655"/>
    </row>
    <row r="80" spans="1:36" x14ac:dyDescent="0.2">
      <c r="A80" s="655"/>
      <c r="B80" s="655"/>
      <c r="C80"/>
      <c r="D80" s="655"/>
      <c r="E80" s="655"/>
      <c r="F80" s="655"/>
      <c r="G80" s="655"/>
      <c r="H80"/>
      <c r="I80"/>
      <c r="J80"/>
      <c r="K80"/>
      <c r="L80" s="655"/>
      <c r="M80" s="655"/>
      <c r="N80"/>
      <c r="O80"/>
      <c r="P80"/>
      <c r="Q80"/>
      <c r="R80"/>
      <c r="S80"/>
      <c r="T80"/>
      <c r="U80"/>
      <c r="V80"/>
      <c r="W80"/>
      <c r="X80" s="655"/>
      <c r="Y80" s="655"/>
      <c r="Z80" s="655"/>
      <c r="AA80" s="655"/>
      <c r="AB80"/>
      <c r="AC80"/>
      <c r="AD80"/>
      <c r="AE80"/>
      <c r="AF80"/>
      <c r="AG80"/>
      <c r="AH80" s="655"/>
      <c r="AI80" s="655"/>
      <c r="AJ80" s="655"/>
    </row>
    <row r="81" spans="1:36" x14ac:dyDescent="0.2">
      <c r="A81" s="655"/>
      <c r="B81" s="655"/>
      <c r="C81"/>
      <c r="D81" s="655"/>
      <c r="E81" s="655"/>
      <c r="F81" s="655"/>
      <c r="G81" s="655"/>
      <c r="H81"/>
      <c r="I81"/>
      <c r="J81"/>
      <c r="K81"/>
      <c r="L81" s="655"/>
      <c r="M81" s="655"/>
      <c r="N81"/>
      <c r="O81"/>
      <c r="P81"/>
      <c r="Q81"/>
      <c r="R81"/>
      <c r="S81"/>
      <c r="T81"/>
      <c r="U81"/>
      <c r="V81"/>
      <c r="W81"/>
      <c r="X81" s="655"/>
      <c r="Y81" s="655"/>
      <c r="Z81" s="655"/>
      <c r="AA81" s="655"/>
      <c r="AB81"/>
      <c r="AC81"/>
      <c r="AD81"/>
      <c r="AE81"/>
      <c r="AF81"/>
      <c r="AG81"/>
      <c r="AH81" s="655"/>
      <c r="AI81" s="655"/>
      <c r="AJ81" s="655"/>
    </row>
    <row r="82" spans="1:36" x14ac:dyDescent="0.2">
      <c r="A82" s="655"/>
      <c r="B82" s="655"/>
      <c r="C82"/>
      <c r="D82" s="655"/>
      <c r="E82" s="655"/>
      <c r="F82" s="655"/>
      <c r="G82" s="655"/>
      <c r="H82"/>
      <c r="I82"/>
      <c r="J82"/>
      <c r="K82"/>
      <c r="L82" s="655"/>
      <c r="M82" s="655"/>
      <c r="N82"/>
      <c r="O82"/>
      <c r="P82"/>
      <c r="Q82"/>
      <c r="R82"/>
      <c r="S82"/>
      <c r="T82"/>
      <c r="U82"/>
      <c r="V82"/>
      <c r="W82"/>
      <c r="X82" s="655"/>
      <c r="Y82" s="655"/>
      <c r="Z82" s="655"/>
      <c r="AA82" s="655"/>
      <c r="AB82"/>
      <c r="AC82"/>
      <c r="AD82"/>
      <c r="AE82"/>
      <c r="AF82"/>
      <c r="AG82"/>
      <c r="AH82" s="655"/>
      <c r="AI82" s="655"/>
      <c r="AJ82" s="655"/>
    </row>
    <row r="83" spans="1:36" x14ac:dyDescent="0.2">
      <c r="A83" s="655"/>
      <c r="B83" s="655"/>
      <c r="C83"/>
      <c r="D83" s="655"/>
      <c r="E83" s="655"/>
      <c r="F83" s="655"/>
      <c r="G83" s="655"/>
      <c r="H83"/>
      <c r="I83"/>
      <c r="J83"/>
      <c r="K83"/>
      <c r="L83" s="655"/>
      <c r="M83" s="655"/>
      <c r="N83"/>
      <c r="O83"/>
      <c r="P83"/>
      <c r="Q83"/>
      <c r="R83"/>
      <c r="S83"/>
      <c r="T83"/>
      <c r="U83"/>
      <c r="V83"/>
      <c r="W83"/>
      <c r="X83" s="655"/>
      <c r="Y83" s="655"/>
      <c r="Z83" s="655"/>
      <c r="AA83" s="655"/>
      <c r="AB83"/>
      <c r="AC83"/>
      <c r="AD83"/>
      <c r="AE83"/>
      <c r="AF83"/>
      <c r="AG83"/>
      <c r="AH83" s="655"/>
      <c r="AI83" s="655"/>
      <c r="AJ83" s="655"/>
    </row>
    <row r="84" spans="1:36" x14ac:dyDescent="0.2">
      <c r="A84" s="655"/>
      <c r="B84" s="655"/>
      <c r="C84"/>
      <c r="D84" s="655"/>
      <c r="E84" s="655"/>
      <c r="F84" s="655"/>
      <c r="G84" s="655"/>
      <c r="H84"/>
      <c r="I84"/>
      <c r="J84"/>
      <c r="K84"/>
      <c r="L84" s="655"/>
      <c r="M84" s="655"/>
      <c r="N84"/>
      <c r="O84"/>
      <c r="P84"/>
      <c r="Q84"/>
      <c r="R84"/>
      <c r="S84"/>
      <c r="T84"/>
      <c r="U84"/>
      <c r="V84"/>
      <c r="W84"/>
      <c r="X84" s="655"/>
      <c r="Y84" s="655"/>
      <c r="Z84" s="655"/>
      <c r="AA84" s="655"/>
      <c r="AB84"/>
      <c r="AC84"/>
      <c r="AD84"/>
      <c r="AE84"/>
      <c r="AF84"/>
      <c r="AG84"/>
      <c r="AH84" s="655"/>
      <c r="AI84" s="655"/>
      <c r="AJ84" s="655"/>
    </row>
    <row r="85" spans="1:36" x14ac:dyDescent="0.2">
      <c r="A85" s="655"/>
      <c r="B85" s="655"/>
      <c r="C85"/>
      <c r="D85" s="655"/>
      <c r="E85" s="655"/>
      <c r="F85" s="655"/>
      <c r="G85" s="655"/>
      <c r="H85"/>
      <c r="I85"/>
      <c r="J85"/>
      <c r="K85"/>
      <c r="L85" s="655"/>
      <c r="M85" s="655"/>
      <c r="N85"/>
      <c r="O85"/>
      <c r="P85"/>
      <c r="Q85"/>
      <c r="R85"/>
      <c r="S85"/>
      <c r="T85"/>
      <c r="U85"/>
      <c r="V85"/>
      <c r="W85"/>
      <c r="X85" s="655"/>
      <c r="Y85" s="655"/>
      <c r="Z85" s="655"/>
      <c r="AA85" s="655"/>
      <c r="AB85"/>
      <c r="AC85"/>
      <c r="AD85"/>
      <c r="AE85"/>
      <c r="AF85"/>
      <c r="AG85"/>
      <c r="AH85" s="655"/>
      <c r="AI85" s="655"/>
      <c r="AJ85" s="655"/>
    </row>
    <row r="86" spans="1:36" x14ac:dyDescent="0.2">
      <c r="A86" s="655"/>
      <c r="B86" s="655"/>
      <c r="C86"/>
      <c r="D86" s="655"/>
      <c r="E86" s="655"/>
      <c r="F86" s="655"/>
      <c r="G86" s="655"/>
      <c r="H86"/>
      <c r="I86"/>
      <c r="J86"/>
      <c r="K86"/>
      <c r="L86" s="655"/>
      <c r="M86" s="655"/>
      <c r="N86"/>
      <c r="O86"/>
      <c r="P86"/>
      <c r="Q86"/>
      <c r="R86"/>
      <c r="S86"/>
      <c r="T86"/>
      <c r="U86"/>
      <c r="V86"/>
      <c r="W86"/>
      <c r="X86" s="655"/>
      <c r="Y86" s="655"/>
      <c r="Z86" s="655"/>
      <c r="AA86" s="655"/>
      <c r="AB86"/>
      <c r="AC86"/>
      <c r="AD86"/>
      <c r="AE86"/>
      <c r="AF86"/>
      <c r="AG86"/>
      <c r="AH86" s="655"/>
      <c r="AI86" s="655"/>
      <c r="AJ86" s="655"/>
    </row>
    <row r="87" spans="1:36" x14ac:dyDescent="0.2">
      <c r="A87" s="655"/>
      <c r="B87" s="655"/>
      <c r="C87"/>
      <c r="D87" s="655"/>
      <c r="E87" s="655"/>
      <c r="F87" s="655"/>
      <c r="G87" s="655"/>
      <c r="H87"/>
      <c r="I87"/>
      <c r="J87"/>
      <c r="K87"/>
      <c r="L87" s="655"/>
      <c r="M87" s="655"/>
      <c r="N87"/>
      <c r="O87"/>
      <c r="P87"/>
      <c r="Q87"/>
      <c r="R87"/>
      <c r="S87"/>
      <c r="T87"/>
      <c r="U87"/>
      <c r="V87"/>
      <c r="W87"/>
      <c r="X87" s="655"/>
      <c r="Y87" s="655"/>
      <c r="Z87" s="655"/>
      <c r="AA87" s="655"/>
      <c r="AB87"/>
      <c r="AC87"/>
      <c r="AD87"/>
      <c r="AE87"/>
      <c r="AF87"/>
      <c r="AG87"/>
      <c r="AH87" s="655"/>
      <c r="AI87" s="655"/>
      <c r="AJ87" s="655"/>
    </row>
    <row r="88" spans="1:36" x14ac:dyDescent="0.2">
      <c r="A88" s="655"/>
      <c r="B88" s="655"/>
      <c r="C88"/>
      <c r="D88" s="655"/>
      <c r="E88" s="655"/>
      <c r="F88" s="655"/>
      <c r="G88" s="655"/>
      <c r="H88"/>
      <c r="I88"/>
      <c r="J88"/>
      <c r="K88"/>
      <c r="L88" s="655"/>
      <c r="M88" s="655"/>
      <c r="N88"/>
      <c r="O88"/>
      <c r="P88"/>
      <c r="Q88"/>
      <c r="R88"/>
      <c r="S88"/>
      <c r="T88"/>
      <c r="U88"/>
      <c r="V88"/>
      <c r="W88"/>
      <c r="X88" s="655"/>
      <c r="Y88" s="655"/>
      <c r="Z88" s="655"/>
      <c r="AA88" s="655"/>
      <c r="AB88"/>
      <c r="AC88"/>
      <c r="AD88"/>
      <c r="AE88"/>
      <c r="AF88"/>
      <c r="AG88"/>
      <c r="AH88" s="655"/>
      <c r="AI88" s="655"/>
      <c r="AJ88" s="655"/>
    </row>
    <row r="89" spans="1:36" x14ac:dyDescent="0.2">
      <c r="A89" s="655"/>
      <c r="B89" s="655"/>
      <c r="C89"/>
      <c r="D89" s="655"/>
      <c r="E89" s="655"/>
      <c r="F89" s="655"/>
      <c r="G89" s="655"/>
      <c r="H89"/>
      <c r="I89"/>
      <c r="J89"/>
      <c r="K89"/>
      <c r="L89" s="655"/>
      <c r="M89" s="655"/>
      <c r="N89"/>
      <c r="O89"/>
      <c r="P89"/>
      <c r="Q89"/>
      <c r="R89"/>
      <c r="S89"/>
      <c r="T89"/>
      <c r="U89"/>
      <c r="V89"/>
      <c r="W89"/>
      <c r="X89" s="655"/>
      <c r="Y89" s="655"/>
      <c r="Z89" s="655"/>
      <c r="AA89" s="655"/>
      <c r="AB89"/>
      <c r="AC89"/>
      <c r="AD89"/>
      <c r="AE89"/>
      <c r="AF89"/>
      <c r="AG89"/>
      <c r="AH89" s="655"/>
      <c r="AI89" s="655"/>
      <c r="AJ89" s="655"/>
    </row>
    <row r="90" spans="1:36" x14ac:dyDescent="0.2">
      <c r="A90" s="655"/>
      <c r="B90" s="655"/>
      <c r="C90"/>
      <c r="D90" s="655"/>
      <c r="E90" s="655"/>
      <c r="F90" s="655"/>
      <c r="G90" s="655"/>
      <c r="H90"/>
      <c r="I90"/>
      <c r="J90"/>
      <c r="K90"/>
      <c r="L90" s="655"/>
      <c r="M90" s="655"/>
      <c r="N90"/>
      <c r="O90"/>
      <c r="P90"/>
      <c r="Q90"/>
      <c r="R90"/>
      <c r="S90"/>
      <c r="T90"/>
      <c r="U90"/>
      <c r="V90"/>
      <c r="W90"/>
      <c r="X90" s="655"/>
      <c r="Y90" s="655"/>
      <c r="Z90" s="655"/>
      <c r="AA90" s="655"/>
      <c r="AB90"/>
      <c r="AC90"/>
      <c r="AD90"/>
      <c r="AE90"/>
      <c r="AF90"/>
      <c r="AG90"/>
      <c r="AH90" s="655"/>
      <c r="AI90" s="655"/>
      <c r="AJ90" s="655"/>
    </row>
    <row r="91" spans="1:36" x14ac:dyDescent="0.2">
      <c r="A91" s="655"/>
      <c r="B91" s="655"/>
      <c r="C91"/>
      <c r="D91" s="655"/>
      <c r="E91" s="655"/>
      <c r="F91" s="655"/>
      <c r="G91" s="655"/>
      <c r="H91"/>
      <c r="I91"/>
      <c r="J91"/>
      <c r="K91"/>
      <c r="L91" s="655"/>
      <c r="M91" s="655"/>
      <c r="N91"/>
      <c r="O91"/>
      <c r="P91"/>
      <c r="Q91"/>
      <c r="R91"/>
      <c r="S91"/>
      <c r="T91"/>
      <c r="U91"/>
      <c r="V91"/>
      <c r="W91"/>
      <c r="X91" s="655"/>
      <c r="Y91" s="655"/>
      <c r="Z91" s="655"/>
      <c r="AA91" s="655"/>
      <c r="AB91"/>
      <c r="AC91"/>
      <c r="AD91"/>
      <c r="AE91"/>
      <c r="AF91"/>
      <c r="AG91"/>
      <c r="AH91" s="655"/>
      <c r="AI91" s="655"/>
      <c r="AJ91" s="655"/>
    </row>
    <row r="92" spans="1:36" x14ac:dyDescent="0.2">
      <c r="A92" s="655"/>
      <c r="B92" s="655"/>
      <c r="C92"/>
      <c r="D92" s="655"/>
      <c r="E92" s="655"/>
      <c r="F92" s="655"/>
      <c r="G92" s="655"/>
      <c r="H92"/>
      <c r="I92"/>
      <c r="J92"/>
      <c r="K92"/>
      <c r="L92" s="655"/>
      <c r="M92" s="655"/>
      <c r="N92"/>
      <c r="O92"/>
      <c r="P92"/>
      <c r="Q92"/>
      <c r="R92"/>
      <c r="S92"/>
      <c r="T92"/>
      <c r="U92"/>
      <c r="V92"/>
      <c r="W92"/>
      <c r="X92" s="655"/>
      <c r="Y92" s="655"/>
      <c r="Z92" s="655"/>
      <c r="AA92" s="655"/>
      <c r="AB92"/>
      <c r="AC92"/>
      <c r="AD92"/>
      <c r="AE92"/>
      <c r="AF92"/>
      <c r="AG92"/>
      <c r="AH92" s="655"/>
      <c r="AI92" s="655"/>
      <c r="AJ92" s="655"/>
    </row>
    <row r="93" spans="1:36" x14ac:dyDescent="0.2">
      <c r="A93" s="655"/>
      <c r="B93" s="655"/>
      <c r="C93"/>
      <c r="D93" s="655"/>
      <c r="E93" s="655"/>
      <c r="F93" s="655"/>
      <c r="G93" s="655"/>
      <c r="H93"/>
      <c r="I93"/>
      <c r="J93"/>
      <c r="K93"/>
      <c r="L93" s="655"/>
      <c r="M93" s="655"/>
      <c r="N93"/>
      <c r="O93"/>
      <c r="P93"/>
      <c r="Q93"/>
      <c r="R93"/>
      <c r="S93"/>
      <c r="T93"/>
      <c r="U93"/>
      <c r="V93"/>
      <c r="W93"/>
      <c r="X93" s="655"/>
      <c r="Y93" s="655"/>
      <c r="Z93" s="655"/>
      <c r="AA93" s="655"/>
      <c r="AB93"/>
      <c r="AC93"/>
      <c r="AD93"/>
      <c r="AE93"/>
      <c r="AF93"/>
      <c r="AG93"/>
      <c r="AH93" s="655"/>
      <c r="AI93" s="655"/>
      <c r="AJ93" s="655"/>
    </row>
    <row r="94" spans="1:36" x14ac:dyDescent="0.2">
      <c r="A94" s="655"/>
      <c r="B94" s="655"/>
      <c r="C94"/>
      <c r="D94" s="655"/>
      <c r="E94" s="655"/>
      <c r="F94" s="655"/>
      <c r="G94" s="655"/>
      <c r="H94"/>
      <c r="I94"/>
      <c r="J94"/>
      <c r="K94"/>
      <c r="L94" s="655"/>
      <c r="M94" s="655"/>
      <c r="N94"/>
      <c r="O94"/>
      <c r="P94"/>
      <c r="Q94"/>
      <c r="R94"/>
      <c r="S94"/>
      <c r="T94"/>
      <c r="U94"/>
      <c r="V94"/>
      <c r="W94"/>
      <c r="X94" s="655"/>
      <c r="Y94" s="655"/>
      <c r="Z94" s="655"/>
      <c r="AA94" s="655"/>
      <c r="AB94"/>
      <c r="AC94"/>
      <c r="AD94"/>
      <c r="AE94"/>
      <c r="AF94"/>
      <c r="AG94"/>
      <c r="AH94" s="655"/>
      <c r="AI94" s="655"/>
      <c r="AJ94" s="655"/>
    </row>
    <row r="95" spans="1:36" x14ac:dyDescent="0.2">
      <c r="A95" s="655"/>
      <c r="B95" s="655"/>
      <c r="C95"/>
      <c r="D95" s="655"/>
      <c r="E95" s="655"/>
      <c r="F95" s="655"/>
      <c r="G95" s="655"/>
      <c r="H95"/>
      <c r="I95"/>
      <c r="J95"/>
      <c r="K95"/>
      <c r="L95" s="655"/>
      <c r="M95" s="655"/>
      <c r="N95"/>
      <c r="O95"/>
      <c r="P95"/>
      <c r="Q95"/>
      <c r="R95"/>
      <c r="S95"/>
      <c r="T95"/>
      <c r="U95"/>
      <c r="V95"/>
      <c r="W95"/>
      <c r="X95" s="655"/>
      <c r="Y95" s="655"/>
      <c r="Z95" s="655"/>
      <c r="AA95" s="655"/>
      <c r="AB95"/>
      <c r="AC95"/>
      <c r="AD95"/>
      <c r="AE95"/>
      <c r="AF95"/>
      <c r="AG95"/>
      <c r="AH95" s="655"/>
      <c r="AI95" s="655"/>
      <c r="AJ95" s="655"/>
    </row>
    <row r="96" spans="1:36" x14ac:dyDescent="0.2">
      <c r="A96" s="655"/>
      <c r="B96" s="655"/>
      <c r="C96"/>
      <c r="D96" s="655"/>
      <c r="E96" s="655"/>
      <c r="F96" s="655"/>
      <c r="G96" s="655"/>
      <c r="H96"/>
      <c r="I96"/>
      <c r="J96"/>
      <c r="K96"/>
      <c r="L96" s="655"/>
      <c r="M96" s="655"/>
      <c r="N96"/>
      <c r="O96"/>
      <c r="P96"/>
      <c r="Q96"/>
      <c r="R96"/>
      <c r="S96"/>
      <c r="T96"/>
      <c r="U96"/>
      <c r="V96"/>
      <c r="W96"/>
      <c r="X96" s="655"/>
      <c r="Y96" s="655"/>
      <c r="Z96" s="655"/>
      <c r="AA96" s="655"/>
      <c r="AB96"/>
      <c r="AC96"/>
      <c r="AD96"/>
      <c r="AE96"/>
      <c r="AF96"/>
      <c r="AG96"/>
      <c r="AH96" s="655"/>
      <c r="AI96" s="655"/>
      <c r="AJ96" s="655"/>
    </row>
    <row r="97" spans="1:36" x14ac:dyDescent="0.2">
      <c r="A97" s="655"/>
      <c r="B97" s="655"/>
      <c r="C97"/>
      <c r="D97" s="655"/>
      <c r="E97" s="655"/>
      <c r="F97" s="655"/>
      <c r="G97" s="655"/>
      <c r="H97"/>
      <c r="I97"/>
      <c r="J97"/>
      <c r="K97"/>
      <c r="L97" s="655"/>
      <c r="M97" s="655"/>
      <c r="N97"/>
      <c r="O97"/>
      <c r="P97"/>
      <c r="Q97"/>
      <c r="R97"/>
      <c r="S97"/>
      <c r="T97"/>
      <c r="U97"/>
      <c r="V97"/>
      <c r="W97"/>
      <c r="X97" s="655"/>
      <c r="Y97" s="655"/>
      <c r="Z97" s="655"/>
      <c r="AA97" s="655"/>
      <c r="AB97"/>
      <c r="AC97"/>
      <c r="AD97"/>
      <c r="AE97"/>
      <c r="AF97"/>
      <c r="AG97"/>
      <c r="AH97" s="655"/>
      <c r="AI97" s="655"/>
      <c r="AJ97" s="655"/>
    </row>
    <row r="98" spans="1:36" x14ac:dyDescent="0.2">
      <c r="A98" s="655"/>
      <c r="B98" s="655"/>
      <c r="C98"/>
      <c r="D98" s="655"/>
      <c r="E98" s="655"/>
      <c r="F98" s="655"/>
      <c r="G98" s="655"/>
      <c r="H98"/>
      <c r="I98"/>
      <c r="J98"/>
      <c r="K98"/>
      <c r="L98" s="655"/>
      <c r="M98" s="655"/>
      <c r="N98"/>
      <c r="O98"/>
      <c r="P98"/>
      <c r="Q98"/>
      <c r="R98"/>
      <c r="S98"/>
      <c r="T98"/>
      <c r="U98"/>
      <c r="V98"/>
      <c r="W98"/>
      <c r="X98" s="655"/>
      <c r="Y98" s="655"/>
      <c r="Z98" s="655"/>
      <c r="AA98" s="655"/>
      <c r="AB98"/>
      <c r="AH98" s="655"/>
      <c r="AI98" s="655"/>
      <c r="AJ98" s="655"/>
    </row>
    <row r="99" spans="1:36" x14ac:dyDescent="0.2">
      <c r="A99" s="655"/>
      <c r="B99" s="655"/>
      <c r="C99"/>
      <c r="D99" s="655"/>
      <c r="E99" s="655"/>
      <c r="F99" s="655"/>
      <c r="G99" s="655"/>
      <c r="H99"/>
      <c r="I99"/>
      <c r="J99"/>
      <c r="K99"/>
      <c r="L99" s="655"/>
      <c r="M99" s="655"/>
      <c r="N99"/>
      <c r="O99"/>
      <c r="P99"/>
      <c r="Q99"/>
      <c r="R99"/>
      <c r="S99"/>
      <c r="T99"/>
      <c r="U99"/>
      <c r="V99"/>
      <c r="W99"/>
      <c r="X99" s="655"/>
      <c r="Y99" s="655"/>
      <c r="Z99" s="655"/>
      <c r="AA99" s="655"/>
      <c r="AB99"/>
      <c r="AH99" s="655"/>
      <c r="AI99" s="655"/>
      <c r="AJ99" s="655"/>
    </row>
    <row r="100" spans="1:36" x14ac:dyDescent="0.2">
      <c r="A100" s="655"/>
      <c r="B100" s="655"/>
      <c r="C100"/>
      <c r="D100" s="655"/>
      <c r="E100" s="655"/>
      <c r="F100" s="655"/>
      <c r="G100" s="655"/>
      <c r="H100"/>
      <c r="I100"/>
      <c r="J100"/>
      <c r="K100"/>
      <c r="L100" s="655"/>
      <c r="M100" s="655"/>
      <c r="N100"/>
      <c r="O100"/>
      <c r="P100"/>
      <c r="Q100"/>
      <c r="R100"/>
      <c r="S100"/>
      <c r="T100"/>
      <c r="U100"/>
      <c r="V100"/>
      <c r="W100"/>
      <c r="X100" s="655"/>
      <c r="Y100" s="655"/>
      <c r="Z100" s="655"/>
      <c r="AA100" s="655"/>
      <c r="AB100"/>
      <c r="AC100"/>
      <c r="AD100"/>
      <c r="AE100"/>
      <c r="AF100"/>
      <c r="AG100"/>
      <c r="AH100" s="655"/>
      <c r="AI100" s="655"/>
      <c r="AJ100" s="655"/>
    </row>
    <row r="101" spans="1:36" x14ac:dyDescent="0.2">
      <c r="A101" s="655"/>
      <c r="B101" s="655"/>
      <c r="C101"/>
      <c r="D101" s="655"/>
      <c r="E101" s="655"/>
      <c r="F101" s="655"/>
      <c r="G101" s="655"/>
      <c r="H101"/>
      <c r="I101"/>
      <c r="J101"/>
      <c r="K101"/>
      <c r="L101" s="655"/>
      <c r="M101" s="655"/>
      <c r="N101"/>
      <c r="O101"/>
      <c r="P101"/>
      <c r="Q101"/>
      <c r="R101"/>
      <c r="S101"/>
      <c r="T101"/>
      <c r="U101"/>
      <c r="V101"/>
      <c r="W101"/>
      <c r="X101" s="655"/>
      <c r="Y101" s="655"/>
      <c r="Z101" s="655"/>
      <c r="AA101" s="655"/>
      <c r="AB101"/>
      <c r="AC101"/>
      <c r="AD101"/>
      <c r="AE101"/>
      <c r="AF101"/>
      <c r="AG101"/>
      <c r="AH101" s="655"/>
      <c r="AI101" s="655"/>
      <c r="AJ101" s="655"/>
    </row>
    <row r="102" spans="1:36" x14ac:dyDescent="0.2">
      <c r="A102" s="655"/>
      <c r="B102" s="655"/>
      <c r="C102"/>
      <c r="D102" s="655"/>
      <c r="E102" s="655"/>
      <c r="F102" s="655"/>
      <c r="G102" s="655"/>
      <c r="H102"/>
      <c r="I102"/>
      <c r="J102"/>
      <c r="K102"/>
      <c r="L102" s="655"/>
      <c r="M102" s="655"/>
      <c r="N102"/>
      <c r="O102"/>
      <c r="P102"/>
      <c r="Q102"/>
      <c r="R102"/>
      <c r="S102"/>
      <c r="T102"/>
      <c r="U102"/>
      <c r="V102"/>
      <c r="W102"/>
      <c r="X102" s="655"/>
      <c r="Y102" s="655"/>
      <c r="Z102" s="655"/>
      <c r="AA102" s="655"/>
      <c r="AB102"/>
      <c r="AC102"/>
      <c r="AD102"/>
      <c r="AE102"/>
      <c r="AF102"/>
      <c r="AG102"/>
      <c r="AH102" s="655"/>
      <c r="AI102" s="655"/>
      <c r="AJ102" s="655"/>
    </row>
    <row r="103" spans="1:36" x14ac:dyDescent="0.2">
      <c r="A103" s="655"/>
      <c r="B103" s="655"/>
      <c r="C103"/>
      <c r="D103" s="655"/>
      <c r="E103" s="655"/>
      <c r="F103" s="655"/>
      <c r="G103" s="655"/>
      <c r="H103"/>
      <c r="I103"/>
      <c r="J103"/>
      <c r="K103"/>
      <c r="L103" s="655"/>
      <c r="M103" s="655"/>
      <c r="N103"/>
      <c r="O103"/>
      <c r="P103"/>
      <c r="Q103"/>
      <c r="R103"/>
      <c r="S103"/>
      <c r="T103"/>
      <c r="U103"/>
      <c r="V103"/>
      <c r="W103"/>
      <c r="X103" s="655"/>
      <c r="Y103" s="655"/>
      <c r="Z103" s="655"/>
      <c r="AA103" s="655"/>
      <c r="AB103"/>
      <c r="AD103"/>
      <c r="AE103"/>
      <c r="AF103"/>
      <c r="AG103"/>
      <c r="AH103" s="655"/>
      <c r="AI103" s="655"/>
      <c r="AJ103" s="655"/>
    </row>
    <row r="104" spans="1:36" x14ac:dyDescent="0.2">
      <c r="A104" s="655"/>
      <c r="B104" s="655"/>
      <c r="C104"/>
      <c r="D104" s="655"/>
      <c r="E104" s="655"/>
      <c r="F104" s="655"/>
      <c r="G104" s="655"/>
      <c r="H104"/>
      <c r="I104"/>
      <c r="J104"/>
      <c r="K104"/>
      <c r="L104" s="655"/>
      <c r="M104" s="655"/>
      <c r="N104"/>
      <c r="O104"/>
      <c r="P104"/>
      <c r="Q104"/>
      <c r="R104"/>
      <c r="S104"/>
      <c r="T104"/>
      <c r="U104"/>
      <c r="V104"/>
      <c r="W104"/>
      <c r="X104" s="655"/>
      <c r="Y104" s="655"/>
      <c r="Z104" s="655"/>
      <c r="AA104" s="655"/>
      <c r="AB104"/>
      <c r="AD104"/>
      <c r="AE104"/>
      <c r="AF104"/>
      <c r="AG104"/>
      <c r="AH104" s="655"/>
      <c r="AI104" s="655"/>
      <c r="AJ104" s="655"/>
    </row>
    <row r="105" spans="1:36" x14ac:dyDescent="0.2">
      <c r="A105" s="655"/>
      <c r="B105" s="655"/>
      <c r="C105"/>
      <c r="D105" s="655"/>
      <c r="E105" s="655"/>
      <c r="F105" s="655"/>
      <c r="G105" s="655"/>
      <c r="H105"/>
      <c r="I105"/>
      <c r="J105"/>
      <c r="K105"/>
      <c r="L105" s="655"/>
      <c r="M105" s="655"/>
      <c r="N105"/>
      <c r="O105"/>
      <c r="P105"/>
      <c r="Q105"/>
      <c r="R105"/>
      <c r="S105"/>
      <c r="T105"/>
      <c r="U105"/>
      <c r="V105"/>
      <c r="W105"/>
      <c r="X105" s="655"/>
      <c r="Y105" s="655"/>
      <c r="Z105" s="655"/>
      <c r="AA105" s="655"/>
      <c r="AB105"/>
      <c r="AC105"/>
      <c r="AD105"/>
      <c r="AE105"/>
      <c r="AF105"/>
      <c r="AG105"/>
      <c r="AH105" s="655"/>
      <c r="AI105" s="655"/>
      <c r="AJ105" s="655"/>
    </row>
    <row r="106" spans="1:36" x14ac:dyDescent="0.2">
      <c r="A106" s="655"/>
      <c r="B106" s="655"/>
      <c r="C106"/>
      <c r="D106" s="655"/>
      <c r="E106" s="655"/>
      <c r="F106" s="655"/>
      <c r="G106" s="655"/>
      <c r="H106"/>
      <c r="I106"/>
      <c r="J106"/>
      <c r="K106"/>
      <c r="L106" s="655"/>
      <c r="M106" s="655"/>
      <c r="N106"/>
      <c r="O106"/>
      <c r="P106"/>
      <c r="Q106"/>
      <c r="R106"/>
      <c r="S106"/>
      <c r="T106"/>
      <c r="U106"/>
      <c r="V106"/>
      <c r="W106"/>
      <c r="X106" s="655"/>
      <c r="Y106" s="655"/>
      <c r="Z106" s="655"/>
      <c r="AA106" s="655"/>
      <c r="AB106"/>
      <c r="AC106"/>
      <c r="AD106"/>
      <c r="AE106"/>
      <c r="AF106"/>
      <c r="AG106"/>
      <c r="AH106" s="655"/>
      <c r="AI106" s="655"/>
      <c r="AJ106" s="655"/>
    </row>
    <row r="107" spans="1:36" x14ac:dyDescent="0.2">
      <c r="A107" s="655"/>
      <c r="B107" s="655"/>
      <c r="C107"/>
      <c r="D107" s="655"/>
      <c r="E107" s="655"/>
      <c r="F107" s="655"/>
      <c r="G107" s="655"/>
      <c r="H107"/>
      <c r="I107"/>
      <c r="J107"/>
      <c r="K107"/>
      <c r="L107" s="655"/>
      <c r="M107" s="655"/>
      <c r="N107"/>
      <c r="O107"/>
      <c r="P107"/>
      <c r="Q107"/>
      <c r="R107"/>
      <c r="S107"/>
      <c r="T107"/>
      <c r="U107"/>
      <c r="V107"/>
      <c r="W107"/>
      <c r="X107" s="655"/>
      <c r="Y107" s="655"/>
      <c r="Z107" s="655"/>
      <c r="AA107" s="655"/>
      <c r="AB107"/>
      <c r="AC107"/>
      <c r="AD107"/>
      <c r="AE107"/>
      <c r="AF107"/>
      <c r="AG107"/>
      <c r="AH107" s="655"/>
      <c r="AI107" s="655"/>
      <c r="AJ107" s="655"/>
    </row>
    <row r="108" spans="1:36" x14ac:dyDescent="0.2">
      <c r="A108" s="655"/>
      <c r="B108" s="655"/>
      <c r="C108"/>
      <c r="D108" s="655"/>
      <c r="E108" s="655"/>
      <c r="F108" s="655"/>
      <c r="G108" s="655"/>
      <c r="H108"/>
      <c r="I108"/>
      <c r="J108"/>
      <c r="K108"/>
      <c r="L108" s="655"/>
      <c r="M108" s="655"/>
      <c r="N108"/>
      <c r="O108"/>
      <c r="P108"/>
      <c r="Q108"/>
      <c r="R108"/>
      <c r="S108"/>
      <c r="T108"/>
      <c r="U108"/>
      <c r="V108"/>
      <c r="W108"/>
      <c r="X108" s="655"/>
      <c r="Y108" s="655"/>
      <c r="Z108" s="655"/>
      <c r="AA108" s="655"/>
      <c r="AB108"/>
      <c r="AC108"/>
      <c r="AD108"/>
      <c r="AE108"/>
      <c r="AF108"/>
      <c r="AG108"/>
      <c r="AH108" s="655"/>
      <c r="AI108" s="655"/>
      <c r="AJ108" s="655"/>
    </row>
    <row r="109" spans="1:36" x14ac:dyDescent="0.2">
      <c r="A109" s="655"/>
      <c r="B109" s="655"/>
      <c r="C109"/>
      <c r="D109" s="655"/>
      <c r="E109" s="655"/>
      <c r="F109" s="655"/>
      <c r="G109" s="655"/>
      <c r="H109"/>
      <c r="I109"/>
      <c r="J109"/>
      <c r="K109"/>
      <c r="L109" s="655"/>
      <c r="M109" s="655"/>
      <c r="N109"/>
      <c r="O109"/>
      <c r="P109"/>
      <c r="Q109"/>
      <c r="R109"/>
      <c r="S109"/>
      <c r="T109"/>
      <c r="U109"/>
      <c r="V109"/>
      <c r="W109"/>
      <c r="X109" s="655"/>
      <c r="Y109" s="655"/>
      <c r="Z109" s="655"/>
      <c r="AA109" s="655"/>
      <c r="AB109"/>
      <c r="AC109"/>
      <c r="AD109"/>
      <c r="AE109"/>
      <c r="AF109"/>
      <c r="AG109"/>
      <c r="AH109" s="655"/>
      <c r="AI109" s="655"/>
      <c r="AJ109" s="655"/>
    </row>
    <row r="110" spans="1:36" x14ac:dyDescent="0.2">
      <c r="A110" s="655"/>
      <c r="B110" s="655"/>
      <c r="C110"/>
      <c r="D110" s="655"/>
      <c r="E110" s="655"/>
      <c r="F110" s="655"/>
      <c r="G110" s="655"/>
      <c r="H110"/>
      <c r="I110"/>
      <c r="J110"/>
      <c r="K110"/>
      <c r="L110" s="655"/>
      <c r="M110" s="655"/>
      <c r="N110"/>
      <c r="O110"/>
      <c r="P110"/>
      <c r="Q110"/>
      <c r="R110"/>
      <c r="S110"/>
      <c r="T110"/>
      <c r="U110"/>
      <c r="V110"/>
      <c r="W110"/>
      <c r="X110" s="655"/>
      <c r="Y110" s="655"/>
      <c r="Z110" s="655"/>
      <c r="AA110" s="655"/>
      <c r="AB110"/>
      <c r="AC110"/>
      <c r="AD110"/>
      <c r="AE110"/>
      <c r="AF110"/>
      <c r="AG110"/>
      <c r="AH110" s="655"/>
      <c r="AI110" s="655"/>
      <c r="AJ110" s="655"/>
    </row>
    <row r="111" spans="1:36" x14ac:dyDescent="0.2">
      <c r="A111" s="655"/>
      <c r="B111" s="655"/>
      <c r="C111"/>
      <c r="D111" s="655"/>
      <c r="E111" s="655"/>
      <c r="F111" s="655"/>
      <c r="G111" s="655"/>
      <c r="H111"/>
      <c r="I111"/>
      <c r="J111"/>
      <c r="K111"/>
      <c r="L111" s="655"/>
      <c r="M111" s="655"/>
      <c r="N111"/>
      <c r="O111"/>
      <c r="P111"/>
      <c r="Q111"/>
      <c r="R111"/>
      <c r="S111"/>
      <c r="T111"/>
      <c r="U111"/>
      <c r="V111"/>
      <c r="W111"/>
      <c r="X111" s="655"/>
      <c r="Y111" s="655"/>
      <c r="Z111" s="655"/>
      <c r="AA111" s="655"/>
      <c r="AB111"/>
      <c r="AC111"/>
      <c r="AD111"/>
      <c r="AE111"/>
      <c r="AF111"/>
      <c r="AG111"/>
      <c r="AH111" s="655"/>
      <c r="AI111" s="655"/>
      <c r="AJ111" s="655"/>
    </row>
    <row r="112" spans="1:36" x14ac:dyDescent="0.2">
      <c r="A112" s="655"/>
      <c r="B112" s="655"/>
      <c r="C112"/>
      <c r="D112" s="655"/>
      <c r="E112" s="655"/>
      <c r="F112" s="655"/>
      <c r="G112" s="655"/>
      <c r="H112"/>
      <c r="I112"/>
      <c r="J112"/>
      <c r="K112"/>
      <c r="L112" s="655"/>
      <c r="M112" s="655"/>
      <c r="N112"/>
      <c r="O112"/>
      <c r="P112"/>
      <c r="Q112"/>
      <c r="R112"/>
      <c r="S112"/>
      <c r="T112"/>
      <c r="U112"/>
      <c r="V112"/>
      <c r="W112"/>
      <c r="X112" s="655"/>
      <c r="Y112" s="655"/>
      <c r="Z112" s="655"/>
      <c r="AA112" s="655"/>
      <c r="AB112"/>
      <c r="AC112"/>
      <c r="AD112"/>
      <c r="AE112"/>
      <c r="AF112"/>
      <c r="AG112"/>
      <c r="AH112" s="655"/>
      <c r="AI112" s="655"/>
      <c r="AJ112" s="655"/>
    </row>
    <row r="113" spans="1:36" x14ac:dyDescent="0.2">
      <c r="A113" s="655"/>
      <c r="B113" s="655"/>
      <c r="C113"/>
      <c r="D113" s="655"/>
      <c r="E113" s="655"/>
      <c r="F113" s="655"/>
      <c r="G113" s="655"/>
      <c r="H113"/>
      <c r="I113"/>
      <c r="J113"/>
      <c r="K113"/>
      <c r="L113" s="655"/>
      <c r="M113" s="655"/>
      <c r="N113"/>
      <c r="O113"/>
      <c r="P113"/>
      <c r="Q113"/>
      <c r="R113"/>
      <c r="S113"/>
      <c r="T113"/>
      <c r="U113"/>
      <c r="V113"/>
      <c r="W113"/>
      <c r="X113" s="655"/>
      <c r="Y113" s="655"/>
      <c r="Z113" s="655"/>
      <c r="AA113" s="655"/>
      <c r="AB113"/>
      <c r="AC113"/>
      <c r="AD113"/>
      <c r="AE113"/>
      <c r="AF113"/>
      <c r="AG113"/>
      <c r="AH113" s="655"/>
      <c r="AI113" s="655"/>
      <c r="AJ113" s="655"/>
    </row>
    <row r="114" spans="1:36" x14ac:dyDescent="0.2">
      <c r="A114" s="655"/>
      <c r="B114" s="655"/>
      <c r="C114"/>
      <c r="D114" s="655"/>
      <c r="E114" s="655"/>
      <c r="F114" s="655"/>
      <c r="G114" s="655"/>
      <c r="H114"/>
      <c r="I114"/>
      <c r="J114"/>
      <c r="K114"/>
      <c r="L114" s="655"/>
      <c r="M114" s="655"/>
      <c r="N114"/>
      <c r="O114"/>
      <c r="P114"/>
      <c r="Q114"/>
      <c r="R114"/>
      <c r="S114"/>
      <c r="T114"/>
      <c r="U114"/>
      <c r="V114"/>
      <c r="W114"/>
      <c r="X114" s="655"/>
      <c r="Y114" s="655"/>
      <c r="Z114" s="655"/>
      <c r="AA114" s="655"/>
      <c r="AB114"/>
      <c r="AC114"/>
      <c r="AD114"/>
      <c r="AE114"/>
      <c r="AF114"/>
      <c r="AG114"/>
      <c r="AH114" s="655"/>
      <c r="AI114" s="655"/>
      <c r="AJ114" s="655"/>
    </row>
    <row r="115" spans="1:36" x14ac:dyDescent="0.2">
      <c r="A115" s="655"/>
      <c r="B115" s="655"/>
      <c r="C115"/>
      <c r="D115" s="655"/>
      <c r="E115" s="655"/>
      <c r="F115" s="655"/>
      <c r="G115" s="655"/>
      <c r="H115"/>
      <c r="I115"/>
      <c r="J115"/>
      <c r="K115"/>
      <c r="L115" s="655"/>
      <c r="M115" s="655"/>
      <c r="N115"/>
      <c r="O115"/>
      <c r="P115"/>
      <c r="Q115"/>
      <c r="R115"/>
      <c r="S115"/>
      <c r="T115"/>
      <c r="U115"/>
      <c r="V115"/>
      <c r="W115"/>
      <c r="X115" s="655"/>
      <c r="Y115" s="655"/>
      <c r="Z115" s="655"/>
      <c r="AA115" s="655"/>
      <c r="AB115"/>
      <c r="AC115"/>
      <c r="AD115"/>
      <c r="AE115"/>
      <c r="AF115"/>
      <c r="AG115"/>
      <c r="AH115" s="655"/>
      <c r="AI115" s="655"/>
      <c r="AJ115" s="655"/>
    </row>
    <row r="116" spans="1:36" x14ac:dyDescent="0.2">
      <c r="A116" s="655"/>
      <c r="B116" s="655"/>
      <c r="C116"/>
      <c r="D116" s="655"/>
      <c r="E116" s="655"/>
      <c r="F116" s="655"/>
      <c r="G116" s="655"/>
      <c r="H116"/>
      <c r="I116"/>
      <c r="J116"/>
      <c r="K116"/>
      <c r="L116" s="655"/>
      <c r="M116" s="655"/>
      <c r="N116"/>
      <c r="O116"/>
      <c r="P116"/>
      <c r="Q116"/>
      <c r="R116"/>
      <c r="S116"/>
      <c r="T116"/>
      <c r="U116"/>
      <c r="V116"/>
      <c r="W116"/>
      <c r="X116" s="655"/>
      <c r="Y116" s="655"/>
      <c r="Z116" s="655"/>
      <c r="AA116" s="655"/>
      <c r="AB116"/>
      <c r="AC116"/>
      <c r="AD116"/>
      <c r="AE116"/>
      <c r="AF116"/>
      <c r="AG116"/>
      <c r="AH116" s="655"/>
      <c r="AI116" s="655"/>
      <c r="AJ116" s="655"/>
    </row>
    <row r="117" spans="1:36" x14ac:dyDescent="0.2">
      <c r="A117" s="655"/>
      <c r="B117" s="655"/>
      <c r="C117"/>
      <c r="D117" s="655"/>
      <c r="E117" s="655"/>
      <c r="F117" s="655"/>
      <c r="G117" s="655"/>
      <c r="H117"/>
      <c r="I117"/>
      <c r="J117"/>
      <c r="K117"/>
      <c r="L117" s="655"/>
      <c r="M117" s="655"/>
      <c r="N117"/>
      <c r="O117"/>
      <c r="P117"/>
      <c r="Q117"/>
      <c r="R117"/>
      <c r="S117"/>
      <c r="T117"/>
      <c r="U117"/>
      <c r="V117"/>
      <c r="W117"/>
      <c r="X117" s="655"/>
      <c r="Y117" s="655"/>
      <c r="Z117" s="655"/>
      <c r="AA117" s="655"/>
      <c r="AB117"/>
      <c r="AC117"/>
      <c r="AD117"/>
      <c r="AE117"/>
      <c r="AF117"/>
      <c r="AG117"/>
      <c r="AH117" s="655"/>
      <c r="AI117" s="655"/>
      <c r="AJ117" s="655"/>
    </row>
    <row r="118" spans="1:36" x14ac:dyDescent="0.2">
      <c r="A118" s="655"/>
      <c r="B118" s="655"/>
      <c r="C118"/>
      <c r="D118" s="655"/>
      <c r="E118" s="655"/>
      <c r="F118" s="655"/>
      <c r="G118" s="655"/>
      <c r="H118"/>
      <c r="I118"/>
      <c r="J118"/>
      <c r="K118"/>
      <c r="L118" s="655"/>
      <c r="M118" s="655"/>
      <c r="N118"/>
      <c r="O118"/>
      <c r="P118"/>
      <c r="Q118"/>
      <c r="R118"/>
      <c r="S118"/>
      <c r="T118"/>
      <c r="U118"/>
      <c r="V118"/>
      <c r="W118"/>
      <c r="X118" s="655"/>
      <c r="Y118" s="655"/>
      <c r="Z118" s="655"/>
      <c r="AA118" s="655"/>
      <c r="AB118"/>
      <c r="AC118"/>
      <c r="AD118"/>
      <c r="AE118"/>
      <c r="AF118"/>
      <c r="AG118"/>
      <c r="AH118" s="655"/>
      <c r="AI118" s="655"/>
      <c r="AJ118" s="655"/>
    </row>
    <row r="119" spans="1:36" x14ac:dyDescent="0.2">
      <c r="A119" s="655"/>
      <c r="B119" s="655"/>
      <c r="C119"/>
      <c r="D119" s="655"/>
      <c r="E119" s="655"/>
      <c r="F119" s="655"/>
      <c r="G119" s="655"/>
      <c r="H119"/>
      <c r="I119"/>
      <c r="J119"/>
      <c r="K119"/>
      <c r="L119" s="655"/>
      <c r="M119" s="655"/>
      <c r="N119"/>
      <c r="O119"/>
      <c r="P119"/>
      <c r="Q119"/>
      <c r="R119"/>
      <c r="S119"/>
      <c r="T119"/>
      <c r="U119"/>
      <c r="V119"/>
      <c r="W119"/>
      <c r="X119" s="655"/>
      <c r="Y119" s="655"/>
      <c r="Z119" s="655"/>
      <c r="AA119" s="655"/>
      <c r="AB119"/>
      <c r="AC119"/>
      <c r="AD119"/>
      <c r="AE119"/>
      <c r="AF119"/>
      <c r="AG119"/>
      <c r="AH119" s="655"/>
      <c r="AI119" s="655"/>
      <c r="AJ119" s="655"/>
    </row>
    <row r="120" spans="1:36" x14ac:dyDescent="0.2">
      <c r="A120" s="655"/>
      <c r="B120" s="655"/>
      <c r="C120"/>
      <c r="D120" s="655"/>
      <c r="E120" s="655"/>
      <c r="F120" s="655"/>
      <c r="G120" s="655"/>
      <c r="H120"/>
      <c r="I120"/>
      <c r="J120"/>
      <c r="K120"/>
      <c r="L120" s="655"/>
      <c r="M120" s="655"/>
      <c r="N120"/>
      <c r="O120"/>
      <c r="P120"/>
      <c r="Q120"/>
      <c r="R120"/>
      <c r="S120"/>
      <c r="T120"/>
      <c r="U120"/>
      <c r="V120"/>
      <c r="W120"/>
      <c r="X120" s="655"/>
      <c r="Y120" s="655"/>
      <c r="Z120" s="655"/>
      <c r="AA120" s="655"/>
      <c r="AB120"/>
      <c r="AC120"/>
      <c r="AD120"/>
      <c r="AE120"/>
      <c r="AF120"/>
      <c r="AG120"/>
      <c r="AH120" s="655"/>
      <c r="AI120" s="655"/>
      <c r="AJ120" s="655"/>
    </row>
    <row r="121" spans="1:36" x14ac:dyDescent="0.2">
      <c r="A121" s="655"/>
      <c r="B121" s="655"/>
      <c r="C121"/>
      <c r="D121" s="655"/>
      <c r="E121" s="655"/>
      <c r="F121" s="655"/>
      <c r="G121" s="655"/>
      <c r="H121"/>
      <c r="I121"/>
      <c r="J121"/>
      <c r="K121"/>
      <c r="L121" s="655"/>
      <c r="M121" s="655"/>
      <c r="N121"/>
      <c r="O121"/>
      <c r="P121"/>
      <c r="Q121"/>
      <c r="R121"/>
      <c r="S121"/>
      <c r="T121"/>
      <c r="U121"/>
      <c r="V121"/>
      <c r="W121"/>
      <c r="X121" s="655"/>
      <c r="Y121" s="655"/>
      <c r="Z121" s="655"/>
      <c r="AA121" s="655"/>
      <c r="AB121"/>
      <c r="AC121"/>
      <c r="AD121"/>
      <c r="AE121"/>
      <c r="AF121"/>
      <c r="AG121"/>
      <c r="AH121" s="655"/>
      <c r="AI121" s="655"/>
      <c r="AJ121" s="655"/>
    </row>
    <row r="122" spans="1:36" x14ac:dyDescent="0.2">
      <c r="A122" s="655"/>
      <c r="B122" s="655"/>
      <c r="C122"/>
      <c r="D122" s="655"/>
      <c r="E122" s="655"/>
      <c r="F122" s="655"/>
      <c r="G122" s="655"/>
      <c r="H122"/>
      <c r="I122"/>
      <c r="J122"/>
      <c r="K122"/>
      <c r="L122" s="655"/>
      <c r="M122" s="655"/>
      <c r="N122"/>
      <c r="O122"/>
      <c r="P122"/>
      <c r="Q122"/>
      <c r="R122"/>
      <c r="S122"/>
      <c r="T122"/>
      <c r="U122"/>
      <c r="V122"/>
      <c r="W122"/>
      <c r="X122" s="655"/>
      <c r="Y122" s="655"/>
      <c r="Z122" s="655"/>
      <c r="AA122" s="655"/>
      <c r="AB122"/>
      <c r="AC122"/>
      <c r="AD122"/>
      <c r="AE122"/>
      <c r="AF122"/>
      <c r="AG122"/>
      <c r="AH122" s="655"/>
      <c r="AI122" s="655"/>
      <c r="AJ122" s="655"/>
    </row>
    <row r="123" spans="1:36" x14ac:dyDescent="0.2">
      <c r="A123" s="655"/>
      <c r="B123" s="655"/>
      <c r="C123"/>
      <c r="D123" s="655"/>
      <c r="E123" s="655"/>
      <c r="F123" s="655"/>
      <c r="G123" s="655"/>
      <c r="H123"/>
      <c r="I123"/>
      <c r="J123"/>
      <c r="K123"/>
      <c r="L123" s="655"/>
      <c r="M123" s="655"/>
      <c r="N123"/>
      <c r="O123"/>
      <c r="P123"/>
      <c r="Q123"/>
      <c r="R123"/>
      <c r="S123"/>
      <c r="T123"/>
      <c r="U123"/>
      <c r="V123"/>
      <c r="W123"/>
      <c r="X123" s="655"/>
      <c r="Y123" s="655"/>
      <c r="Z123" s="655"/>
      <c r="AA123" s="655"/>
      <c r="AB123"/>
      <c r="AC123"/>
      <c r="AD123"/>
      <c r="AE123"/>
      <c r="AF123"/>
      <c r="AG123"/>
      <c r="AH123" s="655"/>
      <c r="AI123" s="655"/>
      <c r="AJ123" s="655"/>
    </row>
    <row r="124" spans="1:36" x14ac:dyDescent="0.2">
      <c r="A124" s="655"/>
      <c r="B124" s="655"/>
      <c r="C124"/>
      <c r="D124" s="655"/>
      <c r="E124" s="655"/>
      <c r="F124" s="655"/>
      <c r="G124" s="655"/>
      <c r="H124"/>
      <c r="I124"/>
      <c r="J124"/>
      <c r="K124"/>
      <c r="L124" s="655"/>
      <c r="M124" s="655"/>
      <c r="N124"/>
      <c r="O124"/>
      <c r="P124"/>
      <c r="Q124"/>
      <c r="R124"/>
      <c r="S124"/>
      <c r="T124"/>
      <c r="U124"/>
      <c r="V124"/>
      <c r="W124"/>
      <c r="X124" s="655"/>
      <c r="Y124" s="655"/>
      <c r="Z124" s="655"/>
      <c r="AA124" s="655"/>
      <c r="AB124"/>
      <c r="AC124"/>
      <c r="AD124"/>
      <c r="AE124"/>
      <c r="AF124"/>
      <c r="AG124"/>
      <c r="AH124" s="655"/>
      <c r="AI124" s="655"/>
      <c r="AJ124" s="655"/>
    </row>
    <row r="125" spans="1:36" x14ac:dyDescent="0.2">
      <c r="A125" s="655"/>
      <c r="B125" s="655"/>
      <c r="C125"/>
      <c r="D125" s="655"/>
      <c r="E125" s="655"/>
      <c r="F125" s="655"/>
      <c r="G125" s="655"/>
      <c r="H125"/>
      <c r="I125"/>
      <c r="J125"/>
      <c r="K125"/>
      <c r="L125" s="655"/>
      <c r="M125" s="655"/>
      <c r="N125"/>
      <c r="O125"/>
      <c r="P125"/>
      <c r="Q125"/>
      <c r="R125"/>
      <c r="S125"/>
      <c r="T125"/>
      <c r="U125"/>
      <c r="V125"/>
      <c r="W125"/>
      <c r="X125" s="655"/>
      <c r="Y125" s="655"/>
      <c r="Z125" s="655"/>
      <c r="AA125" s="655"/>
      <c r="AB125"/>
      <c r="AC125"/>
      <c r="AD125"/>
      <c r="AE125"/>
      <c r="AF125"/>
      <c r="AG125"/>
      <c r="AH125" s="655"/>
      <c r="AI125" s="655"/>
      <c r="AJ125" s="655"/>
    </row>
    <row r="126" spans="1:36" x14ac:dyDescent="0.2">
      <c r="A126" s="655"/>
      <c r="B126" s="655"/>
      <c r="C126"/>
      <c r="D126" s="655"/>
      <c r="E126" s="655"/>
      <c r="F126" s="655"/>
      <c r="G126" s="655"/>
      <c r="H126"/>
      <c r="I126"/>
      <c r="J126"/>
      <c r="K126"/>
      <c r="L126" s="655"/>
      <c r="M126" s="655"/>
      <c r="N126"/>
      <c r="O126"/>
      <c r="P126"/>
      <c r="Q126"/>
      <c r="R126"/>
      <c r="S126"/>
      <c r="T126"/>
      <c r="U126"/>
      <c r="V126"/>
      <c r="W126"/>
      <c r="X126" s="655"/>
      <c r="Y126" s="655"/>
      <c r="Z126" s="655"/>
      <c r="AA126" s="655"/>
      <c r="AB126"/>
      <c r="AC126"/>
      <c r="AD126"/>
      <c r="AE126"/>
      <c r="AF126"/>
      <c r="AG126"/>
      <c r="AH126" s="655"/>
      <c r="AI126" s="655"/>
      <c r="AJ126" s="655"/>
    </row>
    <row r="127" spans="1:36" x14ac:dyDescent="0.2">
      <c r="A127" s="655"/>
      <c r="B127" s="655"/>
      <c r="C127"/>
      <c r="D127" s="655"/>
      <c r="E127" s="655"/>
      <c r="F127" s="655"/>
      <c r="G127" s="655"/>
      <c r="H127"/>
      <c r="I127"/>
      <c r="J127"/>
      <c r="K127"/>
      <c r="L127" s="655"/>
      <c r="M127" s="655"/>
      <c r="N127"/>
      <c r="O127"/>
      <c r="P127"/>
      <c r="Q127"/>
      <c r="R127"/>
      <c r="S127"/>
      <c r="T127"/>
      <c r="U127"/>
      <c r="V127"/>
      <c r="W127"/>
      <c r="X127" s="655"/>
      <c r="Y127" s="655"/>
      <c r="Z127" s="655"/>
      <c r="AA127" s="655"/>
      <c r="AB127"/>
      <c r="AC127"/>
      <c r="AD127"/>
      <c r="AE127"/>
      <c r="AF127"/>
      <c r="AG127"/>
      <c r="AH127" s="655"/>
      <c r="AI127" s="655"/>
      <c r="AJ127" s="655"/>
    </row>
    <row r="128" spans="1:36" x14ac:dyDescent="0.2">
      <c r="A128" s="655"/>
      <c r="B128" s="655"/>
      <c r="C128"/>
      <c r="D128" s="655"/>
      <c r="E128" s="655"/>
      <c r="F128" s="655"/>
      <c r="G128" s="655"/>
      <c r="H128"/>
      <c r="I128"/>
      <c r="J128"/>
      <c r="K128"/>
      <c r="L128" s="655"/>
      <c r="M128" s="655"/>
      <c r="N128"/>
      <c r="O128"/>
      <c r="P128"/>
      <c r="Q128"/>
      <c r="R128"/>
      <c r="S128"/>
      <c r="T128"/>
      <c r="U128"/>
      <c r="V128"/>
      <c r="W128"/>
      <c r="X128" s="655"/>
      <c r="Y128" s="655"/>
      <c r="Z128" s="655"/>
      <c r="AA128" s="655"/>
      <c r="AB128"/>
      <c r="AC128"/>
      <c r="AD128"/>
      <c r="AE128"/>
      <c r="AF128"/>
      <c r="AG128"/>
      <c r="AH128" s="655"/>
      <c r="AI128" s="655"/>
      <c r="AJ128" s="655"/>
    </row>
    <row r="129" spans="1:36" x14ac:dyDescent="0.2">
      <c r="A129" s="655"/>
      <c r="B129" s="655"/>
      <c r="C129"/>
      <c r="D129" s="655"/>
      <c r="E129" s="655"/>
      <c r="F129" s="655"/>
      <c r="G129" s="655"/>
      <c r="H129"/>
      <c r="I129"/>
      <c r="J129"/>
      <c r="K129"/>
      <c r="L129" s="655"/>
      <c r="M129" s="655"/>
      <c r="N129"/>
      <c r="O129"/>
      <c r="P129"/>
      <c r="Q129"/>
      <c r="R129"/>
      <c r="S129"/>
      <c r="T129"/>
      <c r="U129"/>
      <c r="V129"/>
      <c r="W129"/>
      <c r="X129" s="655"/>
      <c r="Y129" s="655"/>
      <c r="Z129" s="655"/>
      <c r="AA129" s="655"/>
      <c r="AB129"/>
      <c r="AC129"/>
      <c r="AD129"/>
      <c r="AE129"/>
      <c r="AF129"/>
      <c r="AG129"/>
      <c r="AH129" s="655"/>
      <c r="AI129" s="655"/>
      <c r="AJ129" s="655"/>
    </row>
    <row r="130" spans="1:36" x14ac:dyDescent="0.2">
      <c r="A130" s="655"/>
      <c r="B130" s="655"/>
      <c r="C130"/>
      <c r="D130" s="655"/>
      <c r="E130" s="655"/>
      <c r="F130" s="655"/>
      <c r="G130" s="655"/>
      <c r="H130"/>
      <c r="I130"/>
      <c r="J130"/>
      <c r="K130"/>
      <c r="L130" s="655"/>
      <c r="M130" s="655"/>
      <c r="N130"/>
      <c r="O130"/>
      <c r="P130"/>
      <c r="Q130"/>
      <c r="R130"/>
      <c r="S130"/>
      <c r="T130"/>
      <c r="U130"/>
      <c r="V130"/>
      <c r="W130"/>
      <c r="X130" s="655"/>
      <c r="Y130" s="655"/>
      <c r="Z130" s="655"/>
      <c r="AA130" s="655"/>
      <c r="AB130"/>
      <c r="AC130"/>
      <c r="AD130"/>
      <c r="AE130"/>
      <c r="AF130"/>
      <c r="AG130"/>
      <c r="AH130" s="655"/>
      <c r="AI130" s="655"/>
      <c r="AJ130" s="655"/>
    </row>
    <row r="131" spans="1:36" x14ac:dyDescent="0.2">
      <c r="A131" s="655"/>
      <c r="B131" s="655"/>
      <c r="C131"/>
      <c r="D131" s="655"/>
      <c r="E131" s="655"/>
      <c r="F131" s="655"/>
      <c r="G131" s="655"/>
      <c r="H131"/>
      <c r="I131"/>
      <c r="J131"/>
      <c r="K131"/>
      <c r="L131" s="655"/>
      <c r="M131" s="655"/>
      <c r="N131"/>
      <c r="O131"/>
      <c r="P131"/>
      <c r="Q131"/>
      <c r="R131"/>
      <c r="S131"/>
      <c r="T131"/>
      <c r="U131"/>
      <c r="V131"/>
      <c r="W131"/>
      <c r="X131" s="655"/>
      <c r="Y131" s="655"/>
      <c r="Z131" s="655"/>
      <c r="AA131" s="655"/>
      <c r="AB131"/>
      <c r="AC131"/>
      <c r="AD131"/>
      <c r="AE131"/>
      <c r="AF131"/>
      <c r="AG131"/>
      <c r="AH131" s="655"/>
      <c r="AI131" s="655"/>
      <c r="AJ131" s="655"/>
    </row>
    <row r="132" spans="1:36" x14ac:dyDescent="0.2">
      <c r="A132" s="655"/>
      <c r="B132" s="655"/>
      <c r="C132"/>
      <c r="D132" s="655"/>
      <c r="E132" s="655"/>
      <c r="F132" s="655"/>
      <c r="G132" s="655"/>
      <c r="H132"/>
      <c r="I132"/>
      <c r="J132"/>
      <c r="K132"/>
      <c r="L132" s="655"/>
      <c r="M132" s="655"/>
      <c r="N132"/>
      <c r="O132"/>
      <c r="P132"/>
      <c r="Q132"/>
      <c r="R132"/>
      <c r="S132"/>
      <c r="T132"/>
      <c r="U132"/>
      <c r="V132"/>
      <c r="W132"/>
      <c r="X132" s="655"/>
      <c r="Y132" s="655"/>
      <c r="Z132" s="655"/>
      <c r="AA132" s="655"/>
      <c r="AB132"/>
      <c r="AC132"/>
      <c r="AD132"/>
      <c r="AE132"/>
      <c r="AF132"/>
      <c r="AG132"/>
      <c r="AH132" s="655"/>
      <c r="AI132" s="655"/>
      <c r="AJ132" s="655"/>
    </row>
    <row r="133" spans="1:36" x14ac:dyDescent="0.2">
      <c r="A133" s="655"/>
      <c r="B133" s="655"/>
      <c r="C133"/>
      <c r="D133" s="655"/>
      <c r="E133" s="655"/>
      <c r="F133" s="655"/>
      <c r="G133" s="655"/>
      <c r="H133"/>
      <c r="I133"/>
      <c r="J133"/>
      <c r="K133"/>
      <c r="L133" s="655"/>
      <c r="M133" s="655"/>
      <c r="N133"/>
      <c r="O133"/>
      <c r="P133"/>
      <c r="Q133"/>
      <c r="R133"/>
      <c r="S133"/>
      <c r="T133"/>
      <c r="U133"/>
      <c r="V133"/>
      <c r="W133"/>
      <c r="X133" s="655"/>
      <c r="Y133" s="655"/>
      <c r="Z133" s="655"/>
      <c r="AA133" s="655"/>
      <c r="AB133"/>
      <c r="AC133"/>
      <c r="AD133"/>
      <c r="AE133"/>
      <c r="AF133"/>
      <c r="AG133"/>
      <c r="AH133" s="655"/>
      <c r="AI133" s="655"/>
      <c r="AJ133" s="655"/>
    </row>
    <row r="134" spans="1:36" x14ac:dyDescent="0.2">
      <c r="A134" s="655"/>
      <c r="B134" s="655"/>
      <c r="C134"/>
      <c r="D134" s="655"/>
      <c r="E134" s="655"/>
      <c r="F134" s="655"/>
      <c r="G134" s="655"/>
      <c r="H134"/>
      <c r="I134"/>
      <c r="J134"/>
      <c r="K134"/>
      <c r="L134" s="655"/>
      <c r="M134" s="655"/>
      <c r="N134"/>
      <c r="O134"/>
      <c r="P134"/>
      <c r="Q134"/>
      <c r="R134"/>
      <c r="S134"/>
      <c r="T134"/>
      <c r="U134"/>
      <c r="V134"/>
      <c r="W134"/>
      <c r="X134" s="655"/>
      <c r="Y134" s="655"/>
      <c r="Z134" s="655"/>
      <c r="AA134" s="655"/>
      <c r="AB134"/>
      <c r="AC134"/>
      <c r="AD134"/>
      <c r="AE134"/>
      <c r="AF134"/>
      <c r="AG134"/>
      <c r="AH134" s="655"/>
      <c r="AI134" s="655"/>
      <c r="AJ134" s="655"/>
    </row>
    <row r="135" spans="1:36" x14ac:dyDescent="0.2">
      <c r="A135" s="655"/>
      <c r="B135" s="655"/>
      <c r="C135"/>
      <c r="D135" s="655"/>
      <c r="E135" s="655"/>
      <c r="F135" s="655"/>
      <c r="G135" s="655"/>
      <c r="H135"/>
      <c r="I135"/>
      <c r="J135"/>
      <c r="K135"/>
      <c r="L135" s="655"/>
      <c r="M135" s="655"/>
      <c r="N135"/>
      <c r="O135"/>
      <c r="P135"/>
      <c r="Q135"/>
      <c r="R135"/>
      <c r="S135"/>
      <c r="T135"/>
      <c r="U135"/>
      <c r="V135"/>
      <c r="W135"/>
      <c r="X135" s="655"/>
      <c r="Y135" s="655"/>
      <c r="Z135" s="655"/>
      <c r="AA135" s="655"/>
      <c r="AB135"/>
      <c r="AC135"/>
      <c r="AD135"/>
      <c r="AE135"/>
      <c r="AF135"/>
      <c r="AG135"/>
      <c r="AH135" s="655"/>
      <c r="AI135" s="655"/>
      <c r="AJ135" s="655"/>
    </row>
    <row r="136" spans="1:36" x14ac:dyDescent="0.2">
      <c r="A136" s="655"/>
      <c r="B136" s="655"/>
      <c r="C136"/>
      <c r="D136" s="655"/>
      <c r="E136" s="655"/>
      <c r="F136" s="655"/>
      <c r="G136" s="655"/>
      <c r="H136"/>
      <c r="I136"/>
      <c r="J136"/>
      <c r="K136"/>
      <c r="L136" s="655"/>
      <c r="M136" s="655"/>
      <c r="N136"/>
      <c r="O136"/>
      <c r="P136"/>
      <c r="Q136"/>
      <c r="R136"/>
      <c r="S136"/>
      <c r="T136"/>
      <c r="U136"/>
      <c r="V136"/>
      <c r="W136"/>
      <c r="X136" s="655"/>
      <c r="Y136" s="655"/>
      <c r="Z136" s="655"/>
      <c r="AA136" s="655"/>
      <c r="AB136"/>
      <c r="AC136"/>
      <c r="AD136"/>
      <c r="AE136"/>
      <c r="AF136"/>
      <c r="AG136"/>
      <c r="AH136" s="655"/>
      <c r="AI136" s="655"/>
      <c r="AJ136" s="655"/>
    </row>
    <row r="137" spans="1:36" x14ac:dyDescent="0.2">
      <c r="A137" s="655"/>
      <c r="B137" s="655"/>
      <c r="C137"/>
      <c r="D137" s="655"/>
      <c r="E137" s="655"/>
      <c r="F137" s="655"/>
      <c r="G137" s="655"/>
      <c r="H137"/>
      <c r="I137"/>
      <c r="J137"/>
      <c r="K137"/>
      <c r="L137" s="655"/>
      <c r="M137" s="655"/>
      <c r="N137"/>
      <c r="O137"/>
      <c r="P137"/>
      <c r="Q137"/>
      <c r="R137"/>
      <c r="S137"/>
      <c r="T137"/>
      <c r="U137"/>
      <c r="V137"/>
      <c r="W137"/>
      <c r="X137" s="655"/>
      <c r="Y137" s="655"/>
      <c r="Z137" s="655"/>
      <c r="AA137" s="655"/>
      <c r="AB137"/>
      <c r="AC137"/>
      <c r="AD137"/>
      <c r="AE137"/>
      <c r="AF137"/>
      <c r="AG137"/>
      <c r="AH137" s="655"/>
      <c r="AI137" s="655"/>
      <c r="AJ137" s="655"/>
    </row>
    <row r="138" spans="1:36" x14ac:dyDescent="0.2">
      <c r="A138" s="655"/>
      <c r="B138" s="655"/>
      <c r="C138"/>
      <c r="D138" s="655"/>
      <c r="E138" s="655"/>
      <c r="F138" s="655"/>
      <c r="G138" s="655"/>
      <c r="H138"/>
      <c r="I138"/>
      <c r="J138"/>
      <c r="K138"/>
      <c r="L138" s="655"/>
      <c r="M138" s="655"/>
      <c r="N138"/>
      <c r="O138"/>
      <c r="P138"/>
      <c r="Q138"/>
      <c r="R138"/>
      <c r="S138"/>
      <c r="T138"/>
      <c r="U138"/>
      <c r="V138"/>
      <c r="W138"/>
      <c r="X138" s="655"/>
      <c r="Y138" s="655"/>
      <c r="Z138" s="655"/>
      <c r="AA138" s="655"/>
      <c r="AB138"/>
      <c r="AC138"/>
      <c r="AE138"/>
      <c r="AF138"/>
      <c r="AG138"/>
      <c r="AH138" s="655"/>
      <c r="AI138" s="655"/>
      <c r="AJ138" s="655"/>
    </row>
    <row r="139" spans="1:36" x14ac:dyDescent="0.2">
      <c r="A139" s="655"/>
      <c r="B139" s="655"/>
      <c r="C139"/>
      <c r="D139" s="655"/>
      <c r="E139" s="655"/>
      <c r="F139" s="655"/>
      <c r="G139" s="655"/>
      <c r="H139"/>
      <c r="I139"/>
      <c r="J139"/>
      <c r="K139"/>
      <c r="L139" s="655"/>
      <c r="M139" s="655"/>
      <c r="N139"/>
      <c r="O139"/>
      <c r="P139"/>
      <c r="Q139"/>
      <c r="R139"/>
      <c r="S139"/>
      <c r="T139"/>
      <c r="U139"/>
      <c r="V139"/>
      <c r="W139"/>
      <c r="X139" s="655"/>
      <c r="Y139" s="655"/>
      <c r="Z139" s="655"/>
      <c r="AA139" s="655"/>
      <c r="AB139"/>
      <c r="AC139"/>
      <c r="AD139"/>
      <c r="AE139"/>
      <c r="AF139"/>
      <c r="AG139"/>
      <c r="AH139" s="655"/>
      <c r="AI139" s="655"/>
      <c r="AJ139" s="655"/>
    </row>
    <row r="140" spans="1:36" x14ac:dyDescent="0.2">
      <c r="A140" s="655"/>
      <c r="B140" s="655"/>
      <c r="C140"/>
      <c r="D140" s="655"/>
      <c r="E140" s="655"/>
      <c r="F140" s="655"/>
      <c r="G140" s="655"/>
      <c r="H140"/>
      <c r="I140"/>
      <c r="J140"/>
      <c r="K140"/>
      <c r="L140" s="655"/>
      <c r="M140" s="655"/>
      <c r="N140"/>
      <c r="O140"/>
      <c r="P140"/>
      <c r="Q140"/>
      <c r="R140"/>
      <c r="S140"/>
      <c r="T140"/>
      <c r="U140"/>
      <c r="V140"/>
      <c r="W140"/>
      <c r="X140" s="655"/>
      <c r="Y140" s="655"/>
      <c r="Z140" s="655"/>
      <c r="AA140" s="655"/>
      <c r="AB140"/>
      <c r="AC140"/>
      <c r="AD140"/>
      <c r="AE140"/>
      <c r="AF140"/>
      <c r="AG140"/>
      <c r="AH140" s="655"/>
      <c r="AI140" s="655"/>
      <c r="AJ140" s="655"/>
    </row>
    <row r="141" spans="1:36" x14ac:dyDescent="0.2">
      <c r="A141" s="655"/>
      <c r="B141" s="655"/>
      <c r="C141"/>
      <c r="D141" s="655"/>
      <c r="E141" s="655"/>
      <c r="F141" s="655"/>
      <c r="G141" s="655"/>
      <c r="H141"/>
      <c r="I141"/>
      <c r="J141"/>
      <c r="K141"/>
      <c r="L141" s="655"/>
      <c r="M141" s="655"/>
      <c r="N141"/>
      <c r="O141"/>
      <c r="P141"/>
      <c r="Q141"/>
      <c r="R141"/>
      <c r="S141"/>
      <c r="T141"/>
      <c r="U141"/>
      <c r="V141"/>
      <c r="W141"/>
      <c r="X141" s="655"/>
      <c r="Y141" s="655"/>
      <c r="Z141" s="655"/>
      <c r="AA141" s="655"/>
      <c r="AB141"/>
      <c r="AC141"/>
      <c r="AD141"/>
      <c r="AE141"/>
      <c r="AF141"/>
      <c r="AG141"/>
      <c r="AH141" s="655"/>
      <c r="AI141" s="655"/>
      <c r="AJ141" s="655"/>
    </row>
    <row r="142" spans="1:36" x14ac:dyDescent="0.2">
      <c r="A142" s="655"/>
      <c r="B142" s="655"/>
      <c r="C142"/>
      <c r="D142" s="655"/>
      <c r="E142" s="655"/>
      <c r="F142" s="655"/>
      <c r="G142" s="655"/>
      <c r="H142"/>
      <c r="I142"/>
      <c r="J142"/>
      <c r="K142"/>
      <c r="L142" s="655"/>
      <c r="M142" s="655"/>
      <c r="N142"/>
      <c r="O142"/>
      <c r="P142"/>
      <c r="Q142"/>
      <c r="R142"/>
      <c r="S142"/>
      <c r="T142"/>
      <c r="U142"/>
      <c r="V142"/>
      <c r="W142"/>
      <c r="X142" s="655"/>
      <c r="Y142" s="655"/>
      <c r="Z142" s="655"/>
      <c r="AA142" s="655"/>
      <c r="AB142"/>
      <c r="AC142"/>
      <c r="AD142"/>
      <c r="AE142"/>
      <c r="AF142"/>
      <c r="AG142"/>
      <c r="AH142" s="655"/>
      <c r="AI142" s="655"/>
      <c r="AJ142" s="655"/>
    </row>
    <row r="143" spans="1:36" x14ac:dyDescent="0.2">
      <c r="A143" s="655"/>
      <c r="B143" s="655"/>
      <c r="C143"/>
      <c r="D143" s="655"/>
      <c r="E143" s="655"/>
      <c r="F143" s="655"/>
      <c r="G143" s="655"/>
      <c r="H143"/>
      <c r="I143"/>
      <c r="J143"/>
      <c r="K143"/>
      <c r="L143" s="655"/>
      <c r="M143" s="655"/>
      <c r="N143"/>
      <c r="O143"/>
      <c r="P143"/>
      <c r="Q143"/>
      <c r="R143"/>
      <c r="S143"/>
      <c r="T143"/>
      <c r="U143"/>
      <c r="V143"/>
      <c r="W143"/>
      <c r="X143" s="655"/>
      <c r="Y143" s="655"/>
      <c r="Z143" s="655"/>
      <c r="AA143" s="655"/>
      <c r="AB143"/>
      <c r="AC143"/>
      <c r="AD143"/>
      <c r="AE143"/>
      <c r="AF143"/>
      <c r="AG143"/>
      <c r="AH143" s="655"/>
      <c r="AI143" s="655"/>
      <c r="AJ143" s="655"/>
    </row>
    <row r="144" spans="1:36" x14ac:dyDescent="0.2">
      <c r="A144" s="655"/>
      <c r="B144" s="655"/>
      <c r="C144"/>
      <c r="D144" s="655"/>
      <c r="E144" s="655"/>
      <c r="F144" s="655"/>
      <c r="G144" s="655"/>
      <c r="H144"/>
      <c r="I144"/>
      <c r="J144"/>
      <c r="K144"/>
      <c r="L144" s="655"/>
      <c r="M144" s="655"/>
      <c r="N144"/>
      <c r="O144"/>
      <c r="P144"/>
      <c r="Q144"/>
      <c r="R144"/>
      <c r="S144"/>
      <c r="T144"/>
      <c r="U144"/>
      <c r="V144"/>
      <c r="W144"/>
      <c r="X144" s="655"/>
      <c r="Y144" s="655"/>
      <c r="Z144" s="655"/>
      <c r="AA144" s="655"/>
      <c r="AB144"/>
      <c r="AC144"/>
      <c r="AD144"/>
      <c r="AE144"/>
      <c r="AF144"/>
      <c r="AG144"/>
      <c r="AH144" s="655"/>
      <c r="AI144" s="655"/>
      <c r="AJ144" s="655"/>
    </row>
    <row r="145" spans="1:36" x14ac:dyDescent="0.2">
      <c r="A145" s="655"/>
      <c r="B145" s="655"/>
      <c r="C145"/>
      <c r="D145" s="655"/>
      <c r="E145" s="655"/>
      <c r="F145" s="655"/>
      <c r="G145" s="655"/>
      <c r="H145"/>
      <c r="I145"/>
      <c r="J145"/>
      <c r="K145"/>
      <c r="L145" s="655"/>
      <c r="M145" s="655"/>
      <c r="N145"/>
      <c r="O145"/>
      <c r="P145"/>
      <c r="Q145"/>
      <c r="R145"/>
      <c r="S145"/>
      <c r="T145"/>
      <c r="U145"/>
      <c r="V145"/>
      <c r="W145"/>
      <c r="X145" s="655"/>
      <c r="Y145" s="655"/>
      <c r="Z145" s="655"/>
      <c r="AA145" s="655"/>
      <c r="AB145"/>
      <c r="AC145"/>
      <c r="AD145"/>
      <c r="AE145"/>
      <c r="AF145"/>
      <c r="AG145"/>
      <c r="AH145" s="655"/>
      <c r="AI145" s="655"/>
      <c r="AJ145" s="655"/>
    </row>
    <row r="146" spans="1:36" x14ac:dyDescent="0.2">
      <c r="A146" s="655"/>
      <c r="B146" s="655"/>
      <c r="C146"/>
      <c r="D146" s="655"/>
      <c r="E146" s="655"/>
      <c r="F146" s="655"/>
      <c r="G146" s="655"/>
      <c r="H146"/>
      <c r="I146"/>
      <c r="J146"/>
      <c r="K146"/>
      <c r="L146" s="655"/>
      <c r="M146" s="655"/>
      <c r="N146"/>
      <c r="O146"/>
      <c r="P146"/>
      <c r="Q146"/>
      <c r="R146"/>
      <c r="S146"/>
      <c r="T146"/>
      <c r="U146"/>
      <c r="V146"/>
      <c r="W146"/>
      <c r="X146" s="655"/>
      <c r="Y146" s="655"/>
      <c r="Z146" s="655"/>
      <c r="AA146" s="655"/>
      <c r="AB146"/>
      <c r="AC146"/>
      <c r="AD146"/>
      <c r="AE146"/>
      <c r="AF146"/>
      <c r="AG146"/>
      <c r="AH146" s="655"/>
      <c r="AI146" s="655"/>
      <c r="AJ146" s="655"/>
    </row>
    <row r="147" spans="1:36" x14ac:dyDescent="0.2">
      <c r="A147" s="655"/>
      <c r="B147" s="655"/>
      <c r="C147"/>
      <c r="D147" s="655"/>
      <c r="E147" s="655"/>
      <c r="F147" s="655"/>
      <c r="G147" s="655"/>
      <c r="H147"/>
      <c r="I147"/>
      <c r="J147"/>
      <c r="K147"/>
      <c r="L147" s="655"/>
      <c r="M147" s="655"/>
      <c r="N147"/>
      <c r="O147"/>
      <c r="P147"/>
      <c r="Q147"/>
      <c r="R147"/>
      <c r="S147"/>
      <c r="T147"/>
      <c r="U147"/>
      <c r="V147"/>
      <c r="W147"/>
      <c r="X147" s="655"/>
      <c r="Y147" s="655"/>
      <c r="Z147" s="655"/>
      <c r="AA147" s="655"/>
      <c r="AB147"/>
      <c r="AC147"/>
      <c r="AD147"/>
      <c r="AE147"/>
      <c r="AF147"/>
      <c r="AG147"/>
      <c r="AH147" s="655"/>
      <c r="AI147" s="655"/>
      <c r="AJ147" s="655"/>
    </row>
    <row r="148" spans="1:36" x14ac:dyDescent="0.2">
      <c r="A148" s="655"/>
      <c r="B148" s="655"/>
      <c r="C148"/>
      <c r="D148" s="655"/>
      <c r="E148" s="655"/>
      <c r="F148" s="655"/>
      <c r="G148" s="655"/>
      <c r="H148"/>
      <c r="I148"/>
      <c r="J148"/>
      <c r="K148"/>
      <c r="L148" s="655"/>
      <c r="M148" s="655"/>
      <c r="N148"/>
      <c r="O148"/>
      <c r="P148"/>
      <c r="Q148"/>
      <c r="R148"/>
      <c r="S148"/>
      <c r="T148"/>
      <c r="U148"/>
      <c r="V148"/>
      <c r="W148"/>
      <c r="X148" s="655"/>
      <c r="Y148" s="655"/>
      <c r="Z148" s="655"/>
      <c r="AA148" s="655"/>
      <c r="AB148"/>
      <c r="AC148"/>
      <c r="AD148"/>
      <c r="AE148"/>
      <c r="AF148"/>
      <c r="AG148"/>
      <c r="AH148" s="655"/>
      <c r="AI148" s="655"/>
      <c r="AJ148" s="655"/>
    </row>
    <row r="149" spans="1:36" x14ac:dyDescent="0.2">
      <c r="A149" s="655"/>
      <c r="B149" s="655"/>
      <c r="C149"/>
      <c r="D149" s="655"/>
      <c r="E149" s="655"/>
      <c r="F149" s="655"/>
      <c r="G149" s="655"/>
      <c r="H149"/>
      <c r="I149"/>
      <c r="J149"/>
      <c r="K149"/>
      <c r="L149" s="655"/>
      <c r="M149" s="655"/>
      <c r="N149"/>
      <c r="O149"/>
      <c r="P149"/>
      <c r="Q149"/>
      <c r="R149"/>
      <c r="S149"/>
      <c r="T149"/>
      <c r="U149"/>
      <c r="V149"/>
      <c r="W149"/>
      <c r="X149" s="655"/>
      <c r="Y149" s="655"/>
      <c r="Z149" s="655"/>
      <c r="AA149" s="655"/>
      <c r="AB149"/>
      <c r="AC149"/>
      <c r="AD149"/>
      <c r="AE149"/>
      <c r="AF149"/>
      <c r="AG149"/>
      <c r="AH149" s="655"/>
      <c r="AI149" s="655"/>
      <c r="AJ149" s="655"/>
    </row>
    <row r="150" spans="1:36" x14ac:dyDescent="0.2">
      <c r="A150" s="655"/>
      <c r="B150" s="655"/>
      <c r="C150"/>
      <c r="D150" s="655"/>
      <c r="E150" s="655"/>
      <c r="F150" s="655"/>
      <c r="G150" s="655"/>
      <c r="H150"/>
      <c r="I150"/>
      <c r="J150"/>
      <c r="K150"/>
      <c r="L150" s="655"/>
      <c r="M150" s="655"/>
      <c r="N150"/>
      <c r="O150"/>
      <c r="P150"/>
      <c r="Q150"/>
      <c r="R150"/>
      <c r="S150"/>
      <c r="T150"/>
      <c r="U150"/>
      <c r="V150"/>
      <c r="W150"/>
      <c r="X150" s="655"/>
      <c r="Y150" s="655"/>
      <c r="Z150" s="655"/>
      <c r="AA150" s="655"/>
      <c r="AB150"/>
      <c r="AC150"/>
      <c r="AD150"/>
      <c r="AE150"/>
      <c r="AF150"/>
      <c r="AG150"/>
      <c r="AH150" s="655"/>
      <c r="AI150" s="655"/>
      <c r="AJ150" s="655"/>
    </row>
    <row r="151" spans="1:36" x14ac:dyDescent="0.2">
      <c r="A151" s="655"/>
      <c r="B151" s="655"/>
      <c r="C151"/>
      <c r="D151" s="655"/>
      <c r="E151" s="655"/>
      <c r="F151" s="655"/>
      <c r="G151" s="655"/>
      <c r="H151"/>
      <c r="I151"/>
      <c r="J151"/>
      <c r="K151"/>
      <c r="L151" s="655"/>
      <c r="M151" s="655"/>
      <c r="N151"/>
      <c r="O151"/>
      <c r="P151"/>
      <c r="Q151"/>
      <c r="R151"/>
      <c r="S151"/>
      <c r="T151"/>
      <c r="U151"/>
      <c r="V151"/>
      <c r="W151"/>
      <c r="X151" s="655"/>
      <c r="Y151" s="655"/>
      <c r="Z151" s="655"/>
      <c r="AA151" s="655"/>
      <c r="AB151"/>
      <c r="AC151"/>
      <c r="AD151"/>
      <c r="AE151"/>
      <c r="AF151"/>
      <c r="AG151"/>
      <c r="AH151" s="655"/>
      <c r="AI151" s="655"/>
      <c r="AJ151" s="655"/>
    </row>
    <row r="152" spans="1:36" x14ac:dyDescent="0.2">
      <c r="A152" s="655"/>
      <c r="B152" s="655"/>
      <c r="C152"/>
      <c r="D152" s="655"/>
      <c r="E152" s="655"/>
      <c r="F152" s="655"/>
      <c r="G152" s="655"/>
      <c r="H152"/>
      <c r="I152"/>
      <c r="J152"/>
      <c r="K152"/>
      <c r="L152" s="655"/>
      <c r="M152" s="655"/>
      <c r="N152"/>
      <c r="O152"/>
      <c r="P152"/>
      <c r="Q152"/>
      <c r="R152"/>
      <c r="S152"/>
      <c r="T152"/>
      <c r="U152"/>
      <c r="V152"/>
      <c r="W152"/>
      <c r="X152" s="655"/>
      <c r="Y152" s="655"/>
      <c r="Z152" s="655"/>
      <c r="AA152" s="655"/>
      <c r="AB152"/>
      <c r="AC152"/>
      <c r="AD152"/>
      <c r="AE152"/>
      <c r="AF152"/>
      <c r="AG152"/>
      <c r="AH152" s="655"/>
      <c r="AI152" s="655"/>
      <c r="AJ152" s="655"/>
    </row>
    <row r="153" spans="1:36" x14ac:dyDescent="0.2">
      <c r="A153" s="655"/>
      <c r="B153" s="655"/>
      <c r="C153"/>
      <c r="D153" s="655"/>
      <c r="E153" s="655"/>
      <c r="F153" s="655"/>
      <c r="G153" s="655"/>
      <c r="H153"/>
      <c r="I153"/>
      <c r="J153"/>
      <c r="K153"/>
      <c r="L153" s="655"/>
      <c r="M153" s="655"/>
      <c r="N153"/>
      <c r="O153"/>
      <c r="P153"/>
      <c r="Q153"/>
      <c r="R153"/>
      <c r="S153"/>
      <c r="T153"/>
      <c r="U153"/>
      <c r="V153"/>
      <c r="W153"/>
      <c r="X153" s="655"/>
      <c r="Y153" s="655"/>
      <c r="Z153" s="655"/>
      <c r="AA153" s="655"/>
      <c r="AB153"/>
      <c r="AC153"/>
      <c r="AD153"/>
      <c r="AE153"/>
      <c r="AF153"/>
      <c r="AG153"/>
      <c r="AH153" s="655"/>
      <c r="AI153" s="655"/>
      <c r="AJ153" s="655"/>
    </row>
    <row r="154" spans="1:36" x14ac:dyDescent="0.2">
      <c r="A154" s="655"/>
      <c r="B154" s="655"/>
      <c r="C154"/>
      <c r="D154" s="655"/>
      <c r="E154" s="655"/>
      <c r="F154" s="655"/>
      <c r="G154" s="655"/>
      <c r="H154"/>
      <c r="I154"/>
      <c r="J154"/>
      <c r="K154"/>
      <c r="L154" s="655"/>
      <c r="M154" s="655"/>
      <c r="N154"/>
      <c r="O154"/>
      <c r="P154"/>
      <c r="Q154"/>
      <c r="R154"/>
      <c r="S154"/>
      <c r="T154"/>
      <c r="U154"/>
      <c r="V154"/>
      <c r="W154"/>
      <c r="X154" s="655"/>
      <c r="Y154" s="655"/>
      <c r="Z154" s="655"/>
      <c r="AA154" s="655"/>
      <c r="AB154"/>
      <c r="AC154"/>
      <c r="AD154"/>
      <c r="AE154"/>
      <c r="AF154"/>
      <c r="AG154"/>
      <c r="AH154" s="655"/>
      <c r="AI154" s="655"/>
      <c r="AJ154" s="655"/>
    </row>
    <row r="155" spans="1:36" x14ac:dyDescent="0.2">
      <c r="A155" s="655"/>
      <c r="B155" s="655"/>
      <c r="C155"/>
      <c r="D155" s="655"/>
      <c r="E155" s="655"/>
      <c r="F155" s="655"/>
      <c r="G155" s="655"/>
      <c r="H155"/>
      <c r="I155"/>
      <c r="J155"/>
      <c r="K155"/>
      <c r="L155" s="655"/>
      <c r="M155" s="655"/>
      <c r="N155"/>
      <c r="O155"/>
      <c r="P155"/>
      <c r="Q155"/>
      <c r="R155"/>
      <c r="S155"/>
      <c r="T155"/>
      <c r="U155"/>
      <c r="V155"/>
      <c r="W155"/>
      <c r="X155" s="655"/>
      <c r="Y155" s="655"/>
      <c r="Z155" s="655"/>
      <c r="AA155" s="655"/>
      <c r="AB155"/>
      <c r="AC155"/>
      <c r="AD155"/>
      <c r="AE155"/>
      <c r="AF155"/>
      <c r="AG155"/>
      <c r="AH155" s="655"/>
      <c r="AI155" s="655"/>
      <c r="AJ155" s="655"/>
    </row>
    <row r="156" spans="1:36" x14ac:dyDescent="0.2">
      <c r="A156" s="655"/>
      <c r="B156" s="655"/>
      <c r="C156"/>
      <c r="D156" s="655"/>
      <c r="E156" s="655"/>
      <c r="F156" s="655"/>
      <c r="G156" s="655"/>
      <c r="H156"/>
      <c r="I156"/>
      <c r="J156"/>
      <c r="K156"/>
      <c r="L156" s="655"/>
      <c r="M156" s="655"/>
      <c r="N156"/>
      <c r="O156"/>
      <c r="P156"/>
      <c r="Q156"/>
      <c r="R156"/>
      <c r="S156"/>
      <c r="T156"/>
      <c r="U156"/>
      <c r="V156"/>
      <c r="W156"/>
      <c r="X156" s="655"/>
      <c r="Y156" s="655"/>
      <c r="Z156" s="655"/>
      <c r="AA156" s="655"/>
      <c r="AB156"/>
      <c r="AC156"/>
      <c r="AD156"/>
      <c r="AE156"/>
      <c r="AF156"/>
      <c r="AG156"/>
      <c r="AH156" s="655"/>
      <c r="AI156" s="655"/>
      <c r="AJ156" s="655"/>
    </row>
    <row r="157" spans="1:36" x14ac:dyDescent="0.2">
      <c r="A157" s="655"/>
      <c r="B157" s="655"/>
      <c r="C157"/>
      <c r="D157" s="655"/>
      <c r="E157" s="655"/>
      <c r="F157" s="655"/>
      <c r="G157" s="655"/>
      <c r="H157"/>
      <c r="I157"/>
      <c r="J157"/>
      <c r="K157"/>
      <c r="L157" s="655"/>
      <c r="M157" s="655"/>
      <c r="N157"/>
      <c r="O157"/>
      <c r="P157"/>
      <c r="Q157"/>
      <c r="R157"/>
      <c r="S157"/>
      <c r="T157"/>
      <c r="U157"/>
      <c r="V157"/>
      <c r="W157"/>
      <c r="X157" s="655"/>
      <c r="Y157" s="655"/>
      <c r="Z157" s="655"/>
      <c r="AA157" s="655"/>
      <c r="AB157"/>
      <c r="AC157"/>
      <c r="AD157"/>
      <c r="AE157"/>
      <c r="AF157"/>
      <c r="AG157"/>
      <c r="AH157" s="655"/>
      <c r="AI157" s="655"/>
      <c r="AJ157" s="655"/>
    </row>
    <row r="158" spans="1:36" x14ac:dyDescent="0.2">
      <c r="A158" s="655"/>
      <c r="B158" s="655"/>
      <c r="C158"/>
      <c r="D158" s="655"/>
      <c r="E158" s="655"/>
      <c r="F158" s="655"/>
      <c r="G158" s="655"/>
      <c r="H158"/>
      <c r="I158"/>
      <c r="J158"/>
      <c r="K158"/>
      <c r="L158" s="655"/>
      <c r="M158" s="655"/>
      <c r="N158"/>
      <c r="O158"/>
      <c r="P158"/>
      <c r="Q158"/>
      <c r="R158"/>
      <c r="S158"/>
      <c r="T158"/>
      <c r="U158"/>
      <c r="V158"/>
      <c r="W158"/>
      <c r="X158" s="655"/>
      <c r="Y158" s="655"/>
      <c r="Z158" s="655"/>
      <c r="AA158" s="655"/>
      <c r="AB158"/>
      <c r="AC158"/>
      <c r="AD158"/>
      <c r="AE158"/>
      <c r="AF158"/>
      <c r="AG158"/>
      <c r="AH158" s="655"/>
      <c r="AI158" s="655"/>
      <c r="AJ158" s="655"/>
    </row>
    <row r="159" spans="1:36" x14ac:dyDescent="0.2">
      <c r="A159" s="655"/>
      <c r="B159" s="655"/>
      <c r="C159"/>
      <c r="D159" s="655"/>
      <c r="E159" s="655"/>
      <c r="F159" s="655"/>
      <c r="G159" s="655"/>
      <c r="H159"/>
      <c r="I159"/>
      <c r="J159"/>
      <c r="K159"/>
      <c r="L159" s="655"/>
      <c r="M159" s="655"/>
      <c r="N159"/>
      <c r="O159"/>
      <c r="P159"/>
      <c r="Q159"/>
      <c r="R159"/>
      <c r="S159"/>
      <c r="T159"/>
      <c r="U159"/>
      <c r="V159"/>
      <c r="W159"/>
      <c r="X159" s="655"/>
      <c r="Y159" s="655"/>
      <c r="Z159" s="655"/>
      <c r="AA159" s="655"/>
      <c r="AB159"/>
      <c r="AC159"/>
      <c r="AD159"/>
      <c r="AE159"/>
      <c r="AF159"/>
      <c r="AG159"/>
      <c r="AH159" s="655"/>
      <c r="AI159" s="655"/>
      <c r="AJ159" s="655"/>
    </row>
    <row r="160" spans="1:36" x14ac:dyDescent="0.2">
      <c r="A160" s="655"/>
      <c r="B160" s="655"/>
      <c r="C160"/>
      <c r="D160" s="655"/>
      <c r="E160" s="655"/>
      <c r="F160" s="655"/>
      <c r="G160" s="655"/>
      <c r="H160"/>
      <c r="I160"/>
      <c r="J160"/>
      <c r="K160"/>
      <c r="L160" s="655"/>
      <c r="M160" s="655"/>
      <c r="N160"/>
      <c r="O160"/>
      <c r="P160"/>
      <c r="Q160"/>
      <c r="R160"/>
      <c r="S160"/>
      <c r="T160"/>
      <c r="U160"/>
      <c r="V160"/>
      <c r="W160"/>
      <c r="X160" s="655"/>
      <c r="Y160" s="655"/>
      <c r="Z160" s="655"/>
      <c r="AA160" s="655"/>
      <c r="AB160"/>
      <c r="AC160"/>
      <c r="AD160"/>
      <c r="AE160"/>
      <c r="AF160"/>
      <c r="AG160"/>
      <c r="AH160" s="655"/>
      <c r="AI160" s="655"/>
      <c r="AJ160" s="655"/>
    </row>
    <row r="161" spans="1:36" x14ac:dyDescent="0.2">
      <c r="A161" s="655"/>
      <c r="B161" s="655"/>
      <c r="C161"/>
      <c r="D161" s="655"/>
      <c r="E161" s="655"/>
      <c r="F161" s="655"/>
      <c r="G161" s="655"/>
      <c r="H161"/>
      <c r="I161"/>
      <c r="J161"/>
      <c r="K161"/>
      <c r="L161" s="655"/>
      <c r="M161" s="655"/>
      <c r="N161"/>
      <c r="O161"/>
      <c r="P161"/>
      <c r="Q161"/>
      <c r="R161"/>
      <c r="S161"/>
      <c r="T161"/>
      <c r="U161"/>
      <c r="V161"/>
      <c r="W161"/>
      <c r="X161" s="655"/>
      <c r="Y161" s="655"/>
      <c r="Z161" s="655"/>
      <c r="AA161" s="655"/>
      <c r="AB161"/>
      <c r="AC161"/>
      <c r="AD161"/>
      <c r="AE161"/>
      <c r="AF161"/>
      <c r="AG161"/>
      <c r="AH161" s="655"/>
      <c r="AI161" s="655"/>
      <c r="AJ161" s="655"/>
    </row>
    <row r="162" spans="1:36" x14ac:dyDescent="0.2">
      <c r="A162" s="655"/>
      <c r="B162" s="655"/>
      <c r="C162"/>
      <c r="D162" s="655"/>
      <c r="E162" s="655"/>
      <c r="F162" s="655"/>
      <c r="G162" s="655"/>
      <c r="H162"/>
      <c r="I162"/>
      <c r="J162"/>
      <c r="K162"/>
      <c r="L162" s="655"/>
      <c r="M162" s="655"/>
      <c r="N162"/>
      <c r="O162"/>
      <c r="P162"/>
      <c r="Q162"/>
      <c r="R162"/>
      <c r="S162"/>
      <c r="T162"/>
      <c r="U162"/>
      <c r="V162"/>
      <c r="W162"/>
      <c r="X162" s="655"/>
      <c r="Y162" s="655"/>
      <c r="Z162" s="655"/>
      <c r="AA162" s="655"/>
      <c r="AB162"/>
      <c r="AC162"/>
      <c r="AD162"/>
      <c r="AE162"/>
      <c r="AF162"/>
      <c r="AG162"/>
      <c r="AH162" s="655"/>
      <c r="AI162" s="655"/>
      <c r="AJ162" s="655"/>
    </row>
    <row r="163" spans="1:36" x14ac:dyDescent="0.2">
      <c r="A163" s="655"/>
      <c r="B163" s="655"/>
      <c r="C163"/>
      <c r="D163" s="655"/>
      <c r="E163" s="655"/>
      <c r="F163" s="655"/>
      <c r="G163" s="655"/>
      <c r="H163"/>
      <c r="I163"/>
      <c r="J163"/>
      <c r="K163"/>
      <c r="L163" s="655"/>
      <c r="M163" s="655"/>
      <c r="N163"/>
      <c r="O163"/>
      <c r="P163"/>
      <c r="Q163"/>
      <c r="R163"/>
      <c r="S163"/>
      <c r="T163"/>
      <c r="U163"/>
      <c r="V163"/>
      <c r="W163"/>
      <c r="X163" s="655"/>
      <c r="Y163" s="655"/>
      <c r="Z163" s="655"/>
      <c r="AA163" s="655"/>
      <c r="AB163"/>
      <c r="AC163"/>
      <c r="AD163"/>
      <c r="AE163"/>
      <c r="AF163"/>
      <c r="AG163"/>
      <c r="AH163" s="655"/>
      <c r="AI163" s="655"/>
      <c r="AJ163" s="655"/>
    </row>
    <row r="164" spans="1:36" x14ac:dyDescent="0.2">
      <c r="A164" s="655"/>
      <c r="B164" s="655"/>
      <c r="C164"/>
      <c r="D164" s="655"/>
      <c r="E164" s="655"/>
      <c r="F164" s="655"/>
      <c r="G164" s="655"/>
      <c r="H164"/>
      <c r="I164"/>
      <c r="J164"/>
      <c r="K164"/>
      <c r="L164" s="655"/>
      <c r="M164" s="655"/>
      <c r="N164"/>
      <c r="O164"/>
      <c r="P164"/>
      <c r="Q164"/>
      <c r="R164"/>
      <c r="S164"/>
      <c r="T164"/>
      <c r="U164"/>
      <c r="V164"/>
      <c r="W164"/>
      <c r="X164" s="655"/>
      <c r="Y164" s="655"/>
      <c r="Z164" s="655"/>
      <c r="AA164" s="655"/>
      <c r="AB164"/>
      <c r="AC164"/>
      <c r="AD164"/>
      <c r="AE164"/>
      <c r="AF164"/>
      <c r="AG164"/>
      <c r="AH164" s="655"/>
      <c r="AI164" s="655"/>
      <c r="AJ164" s="655"/>
    </row>
    <row r="165" spans="1:36" x14ac:dyDescent="0.2">
      <c r="A165" s="655"/>
      <c r="B165" s="655"/>
      <c r="C165"/>
      <c r="D165" s="655"/>
      <c r="E165" s="655"/>
      <c r="F165" s="655"/>
      <c r="G165" s="655"/>
      <c r="H165"/>
      <c r="I165"/>
      <c r="J165"/>
      <c r="K165"/>
      <c r="L165" s="655"/>
      <c r="M165" s="655"/>
      <c r="N165"/>
      <c r="O165"/>
      <c r="P165"/>
      <c r="Q165"/>
      <c r="R165"/>
      <c r="S165"/>
      <c r="T165"/>
      <c r="U165"/>
      <c r="V165"/>
      <c r="W165"/>
      <c r="X165" s="655"/>
      <c r="Y165" s="655"/>
      <c r="Z165" s="655"/>
      <c r="AA165" s="655"/>
      <c r="AB165"/>
      <c r="AC165"/>
      <c r="AD165"/>
      <c r="AE165"/>
      <c r="AF165"/>
      <c r="AG165"/>
      <c r="AH165" s="655"/>
      <c r="AI165" s="655"/>
      <c r="AJ165" s="655"/>
    </row>
    <row r="166" spans="1:36" x14ac:dyDescent="0.2">
      <c r="A166" s="655"/>
      <c r="B166" s="655"/>
      <c r="C166"/>
      <c r="D166" s="655"/>
      <c r="E166" s="655"/>
      <c r="F166" s="655"/>
      <c r="G166" s="655"/>
      <c r="H166"/>
      <c r="I166"/>
      <c r="J166"/>
      <c r="K166"/>
      <c r="L166" s="655"/>
      <c r="M166" s="655"/>
      <c r="N166"/>
      <c r="O166"/>
      <c r="P166"/>
      <c r="Q166"/>
      <c r="R166"/>
      <c r="S166"/>
      <c r="T166"/>
      <c r="U166"/>
      <c r="V166"/>
      <c r="W166"/>
      <c r="X166" s="655"/>
      <c r="Y166" s="655"/>
      <c r="Z166" s="655"/>
      <c r="AA166" s="655"/>
      <c r="AB166"/>
      <c r="AC166"/>
      <c r="AD166"/>
      <c r="AE166"/>
      <c r="AF166"/>
      <c r="AG166"/>
      <c r="AH166" s="655"/>
      <c r="AI166" s="655"/>
      <c r="AJ166" s="655"/>
    </row>
    <row r="167" spans="1:36" x14ac:dyDescent="0.2">
      <c r="A167" s="655"/>
      <c r="B167" s="655"/>
      <c r="C167"/>
      <c r="D167" s="655"/>
      <c r="E167" s="655"/>
      <c r="F167" s="655"/>
      <c r="G167" s="655"/>
      <c r="H167"/>
      <c r="I167"/>
      <c r="J167"/>
      <c r="K167"/>
      <c r="L167" s="655"/>
      <c r="M167" s="655"/>
      <c r="N167"/>
      <c r="O167"/>
      <c r="P167"/>
      <c r="Q167"/>
      <c r="R167"/>
      <c r="S167"/>
      <c r="T167"/>
      <c r="U167"/>
      <c r="V167"/>
      <c r="W167"/>
      <c r="X167" s="655"/>
      <c r="Y167" s="655"/>
      <c r="Z167" s="655"/>
      <c r="AA167" s="655"/>
      <c r="AB167"/>
      <c r="AC167"/>
      <c r="AD167"/>
      <c r="AE167"/>
      <c r="AF167"/>
      <c r="AG167"/>
      <c r="AH167" s="655"/>
      <c r="AI167" s="655"/>
      <c r="AJ167" s="655"/>
    </row>
    <row r="168" spans="1:36" x14ac:dyDescent="0.2">
      <c r="A168" s="655"/>
      <c r="B168" s="655"/>
      <c r="C168"/>
      <c r="D168" s="655"/>
      <c r="E168" s="655"/>
      <c r="F168" s="655"/>
      <c r="G168" s="655"/>
      <c r="H168"/>
      <c r="I168"/>
      <c r="J168"/>
      <c r="K168"/>
      <c r="L168" s="655"/>
      <c r="M168" s="655"/>
      <c r="N168"/>
      <c r="O168"/>
      <c r="P168"/>
      <c r="Q168"/>
      <c r="R168"/>
      <c r="S168"/>
      <c r="T168"/>
      <c r="U168"/>
      <c r="V168"/>
      <c r="W168"/>
      <c r="X168" s="655"/>
      <c r="Y168" s="655"/>
      <c r="Z168" s="655"/>
      <c r="AA168" s="655"/>
      <c r="AB168"/>
      <c r="AC168"/>
      <c r="AD168"/>
      <c r="AE168"/>
      <c r="AF168"/>
      <c r="AG168"/>
      <c r="AH168" s="655"/>
      <c r="AI168" s="655"/>
      <c r="AJ168" s="655"/>
    </row>
    <row r="169" spans="1:36" x14ac:dyDescent="0.2">
      <c r="A169" s="655"/>
      <c r="B169" s="655"/>
      <c r="C169"/>
      <c r="D169" s="655"/>
      <c r="E169" s="655"/>
      <c r="F169" s="655"/>
      <c r="G169" s="655"/>
      <c r="H169"/>
      <c r="I169"/>
      <c r="J169"/>
      <c r="K169"/>
      <c r="L169" s="655"/>
      <c r="M169" s="655"/>
      <c r="N169"/>
      <c r="O169"/>
      <c r="P169"/>
      <c r="Q169"/>
      <c r="R169"/>
      <c r="S169"/>
      <c r="T169"/>
      <c r="U169"/>
      <c r="V169"/>
      <c r="W169"/>
      <c r="X169" s="655"/>
      <c r="Y169" s="655"/>
      <c r="Z169" s="655"/>
      <c r="AA169" s="655"/>
      <c r="AB169"/>
      <c r="AC169"/>
      <c r="AD169"/>
      <c r="AE169"/>
      <c r="AF169"/>
      <c r="AG169"/>
      <c r="AH169" s="655"/>
      <c r="AI169" s="655"/>
      <c r="AJ169" s="655"/>
    </row>
    <row r="170" spans="1:36" x14ac:dyDescent="0.2">
      <c r="A170" s="655"/>
      <c r="B170" s="655"/>
      <c r="C170"/>
      <c r="D170" s="655"/>
      <c r="E170" s="655"/>
      <c r="F170" s="655"/>
      <c r="G170" s="655"/>
      <c r="H170"/>
      <c r="I170"/>
      <c r="J170"/>
      <c r="K170"/>
      <c r="L170" s="655"/>
      <c r="M170" s="655"/>
      <c r="N170"/>
      <c r="O170"/>
      <c r="P170"/>
      <c r="Q170"/>
      <c r="R170"/>
      <c r="S170"/>
      <c r="T170"/>
      <c r="U170"/>
      <c r="V170"/>
      <c r="W170"/>
      <c r="X170" s="655"/>
      <c r="Y170" s="655"/>
      <c r="Z170" s="655"/>
      <c r="AA170" s="655"/>
      <c r="AB170"/>
      <c r="AD170"/>
      <c r="AE170"/>
      <c r="AF170"/>
      <c r="AG170"/>
      <c r="AH170" s="655"/>
      <c r="AI170" s="655"/>
      <c r="AJ170" s="655"/>
    </row>
    <row r="171" spans="1:36" x14ac:dyDescent="0.2">
      <c r="A171" s="655"/>
      <c r="B171" s="655"/>
      <c r="C171"/>
      <c r="D171" s="655"/>
      <c r="E171" s="655"/>
      <c r="F171" s="655"/>
      <c r="G171" s="655"/>
      <c r="H171"/>
      <c r="I171"/>
      <c r="J171"/>
      <c r="K171"/>
      <c r="L171" s="655"/>
      <c r="M171" s="655"/>
      <c r="N171"/>
      <c r="O171"/>
      <c r="P171"/>
      <c r="Q171"/>
      <c r="R171"/>
      <c r="S171"/>
      <c r="T171"/>
      <c r="U171"/>
      <c r="V171"/>
      <c r="W171"/>
      <c r="X171" s="655"/>
      <c r="Y171" s="655"/>
      <c r="Z171" s="655"/>
      <c r="AA171" s="655"/>
      <c r="AB171"/>
      <c r="AC171"/>
      <c r="AD171"/>
      <c r="AE171"/>
      <c r="AF171"/>
      <c r="AG171"/>
      <c r="AH171" s="655"/>
      <c r="AI171" s="655"/>
      <c r="AJ171" s="655"/>
    </row>
    <row r="172" spans="1:36" x14ac:dyDescent="0.2">
      <c r="A172" s="655"/>
      <c r="B172" s="655"/>
      <c r="C172"/>
      <c r="D172" s="655"/>
      <c r="E172" s="655"/>
      <c r="F172" s="655"/>
      <c r="G172" s="655"/>
      <c r="H172"/>
      <c r="I172"/>
      <c r="J172"/>
      <c r="K172"/>
      <c r="L172" s="655"/>
      <c r="M172" s="655"/>
      <c r="N172"/>
      <c r="O172"/>
      <c r="P172"/>
      <c r="Q172"/>
      <c r="R172"/>
      <c r="S172"/>
      <c r="T172"/>
      <c r="U172"/>
      <c r="V172"/>
      <c r="W172"/>
      <c r="X172" s="655"/>
      <c r="Y172" s="655"/>
      <c r="Z172" s="655"/>
      <c r="AA172" s="655"/>
      <c r="AB172"/>
      <c r="AC172"/>
      <c r="AD172"/>
      <c r="AE172"/>
      <c r="AF172"/>
      <c r="AG172"/>
      <c r="AH172" s="655"/>
      <c r="AI172" s="655"/>
      <c r="AJ172" s="655"/>
    </row>
    <row r="173" spans="1:36" x14ac:dyDescent="0.2">
      <c r="A173" s="655"/>
      <c r="B173" s="655"/>
      <c r="C173"/>
      <c r="D173" s="655"/>
      <c r="E173" s="655"/>
      <c r="F173" s="655"/>
      <c r="G173" s="655"/>
      <c r="H173"/>
      <c r="I173"/>
      <c r="J173"/>
      <c r="K173"/>
      <c r="L173" s="655"/>
      <c r="M173" s="655"/>
      <c r="N173"/>
      <c r="O173"/>
      <c r="P173"/>
      <c r="Q173"/>
      <c r="R173"/>
      <c r="S173"/>
      <c r="T173"/>
      <c r="U173"/>
      <c r="V173"/>
      <c r="W173"/>
      <c r="X173" s="655"/>
      <c r="Y173" s="655"/>
      <c r="Z173" s="655"/>
      <c r="AA173" s="655"/>
      <c r="AG173"/>
      <c r="AH173" s="655"/>
      <c r="AI173" s="655"/>
      <c r="AJ173" s="655"/>
    </row>
    <row r="174" spans="1:36" x14ac:dyDescent="0.2">
      <c r="A174" s="655"/>
      <c r="B174" s="655"/>
      <c r="C174"/>
      <c r="D174" s="655"/>
      <c r="E174" s="655"/>
      <c r="F174" s="655"/>
      <c r="G174" s="655"/>
      <c r="H174"/>
      <c r="I174"/>
      <c r="J174"/>
      <c r="K174"/>
      <c r="L174" s="655"/>
      <c r="M174" s="655"/>
      <c r="N174"/>
      <c r="O174"/>
      <c r="P174"/>
      <c r="Q174"/>
      <c r="R174"/>
      <c r="S174"/>
      <c r="T174"/>
      <c r="U174"/>
      <c r="V174"/>
      <c r="W174"/>
      <c r="X174" s="655"/>
      <c r="Y174" s="655"/>
      <c r="Z174" s="655"/>
      <c r="AA174" s="655"/>
      <c r="AB174"/>
      <c r="AC174"/>
      <c r="AD174"/>
      <c r="AE174"/>
      <c r="AF174"/>
      <c r="AG174"/>
      <c r="AH174" s="655"/>
      <c r="AI174" s="655"/>
      <c r="AJ174" s="655"/>
    </row>
    <row r="175" spans="1:36" x14ac:dyDescent="0.2">
      <c r="A175" s="655"/>
      <c r="B175" s="655"/>
      <c r="C175"/>
      <c r="D175" s="655"/>
      <c r="E175" s="655"/>
      <c r="F175" s="655"/>
      <c r="G175" s="655"/>
      <c r="H175"/>
      <c r="I175"/>
      <c r="J175"/>
      <c r="K175"/>
      <c r="L175" s="655"/>
      <c r="M175" s="655"/>
      <c r="N175"/>
      <c r="O175"/>
      <c r="P175"/>
      <c r="Q175"/>
      <c r="R175"/>
      <c r="S175"/>
      <c r="T175"/>
      <c r="U175"/>
      <c r="V175"/>
      <c r="W175"/>
      <c r="X175" s="655"/>
      <c r="Y175" s="655"/>
      <c r="Z175" s="655"/>
      <c r="AA175" s="655"/>
      <c r="AB175"/>
      <c r="AC175"/>
      <c r="AD175"/>
      <c r="AE175"/>
      <c r="AF175"/>
      <c r="AG175"/>
      <c r="AH175" s="655"/>
      <c r="AI175" s="655"/>
      <c r="AJ175" s="655"/>
    </row>
    <row r="176" spans="1:36" x14ac:dyDescent="0.2">
      <c r="A176" s="655"/>
      <c r="B176" s="655"/>
      <c r="C176"/>
      <c r="D176" s="655"/>
      <c r="E176" s="655"/>
      <c r="F176" s="655"/>
      <c r="G176" s="655"/>
      <c r="H176"/>
      <c r="I176"/>
      <c r="J176"/>
      <c r="K176"/>
      <c r="L176" s="655"/>
      <c r="M176" s="655"/>
      <c r="N176"/>
      <c r="O176"/>
      <c r="P176"/>
      <c r="Q176"/>
      <c r="R176"/>
      <c r="S176"/>
      <c r="T176"/>
      <c r="U176"/>
      <c r="V176"/>
      <c r="W176"/>
      <c r="X176" s="655"/>
      <c r="Y176" s="655"/>
      <c r="Z176" s="655"/>
      <c r="AA176" s="655"/>
      <c r="AB176"/>
      <c r="AC176"/>
      <c r="AD176"/>
      <c r="AE176"/>
      <c r="AF176"/>
      <c r="AG176"/>
      <c r="AH176" s="655"/>
      <c r="AI176" s="655"/>
      <c r="AJ176" s="655"/>
    </row>
    <row r="177" spans="1:36" x14ac:dyDescent="0.2">
      <c r="A177" s="655"/>
      <c r="B177" s="655"/>
      <c r="C177"/>
      <c r="D177" s="655"/>
      <c r="E177" s="655"/>
      <c r="F177" s="655"/>
      <c r="G177" s="655"/>
      <c r="H177"/>
      <c r="I177"/>
      <c r="J177"/>
      <c r="K177"/>
      <c r="L177" s="655"/>
      <c r="M177" s="655"/>
      <c r="N177"/>
      <c r="O177"/>
      <c r="P177"/>
      <c r="Q177"/>
      <c r="R177"/>
      <c r="S177"/>
      <c r="T177"/>
      <c r="U177"/>
      <c r="V177"/>
      <c r="W177"/>
      <c r="X177" s="655"/>
      <c r="Y177" s="655"/>
      <c r="Z177" s="655"/>
      <c r="AA177" s="655"/>
      <c r="AB177"/>
      <c r="AC177"/>
      <c r="AD177"/>
      <c r="AE177"/>
      <c r="AF177"/>
      <c r="AG177"/>
      <c r="AH177" s="655"/>
      <c r="AI177" s="655"/>
      <c r="AJ177" s="655"/>
    </row>
    <row r="178" spans="1:36" x14ac:dyDescent="0.2">
      <c r="A178" s="655"/>
      <c r="B178" s="655"/>
      <c r="C178"/>
      <c r="D178" s="655"/>
      <c r="E178" s="655"/>
      <c r="F178" s="655"/>
      <c r="G178" s="655"/>
      <c r="H178"/>
      <c r="I178"/>
      <c r="J178"/>
      <c r="K178"/>
      <c r="L178" s="655"/>
      <c r="M178" s="655"/>
      <c r="N178"/>
      <c r="O178"/>
      <c r="P178"/>
      <c r="Q178"/>
      <c r="R178"/>
      <c r="S178"/>
      <c r="T178"/>
      <c r="U178"/>
      <c r="V178"/>
      <c r="W178"/>
      <c r="X178" s="655"/>
      <c r="Y178" s="655"/>
      <c r="Z178" s="655"/>
      <c r="AA178" s="655"/>
      <c r="AB178"/>
      <c r="AC178"/>
      <c r="AD178"/>
      <c r="AE178"/>
      <c r="AF178"/>
      <c r="AG178"/>
      <c r="AH178" s="655"/>
      <c r="AI178" s="655"/>
      <c r="AJ178" s="655"/>
    </row>
    <row r="179" spans="1:36" x14ac:dyDescent="0.2">
      <c r="A179" s="655"/>
      <c r="B179" s="655"/>
      <c r="C179"/>
      <c r="D179" s="655"/>
      <c r="E179" s="655"/>
      <c r="F179" s="655"/>
      <c r="G179" s="655"/>
      <c r="H179"/>
      <c r="I179"/>
      <c r="J179"/>
      <c r="K179"/>
      <c r="L179" s="655"/>
      <c r="M179" s="655"/>
      <c r="N179"/>
      <c r="O179"/>
      <c r="P179"/>
      <c r="Q179"/>
      <c r="R179"/>
      <c r="S179"/>
      <c r="T179"/>
      <c r="U179"/>
      <c r="V179"/>
      <c r="W179"/>
      <c r="X179" s="655"/>
      <c r="Y179" s="655"/>
      <c r="Z179" s="655"/>
      <c r="AA179" s="655"/>
      <c r="AB179"/>
      <c r="AC179"/>
      <c r="AD179"/>
      <c r="AE179"/>
      <c r="AF179"/>
      <c r="AG179"/>
      <c r="AH179" s="655"/>
      <c r="AI179" s="655"/>
      <c r="AJ179" s="655"/>
    </row>
    <row r="180" spans="1:36" x14ac:dyDescent="0.2">
      <c r="A180" s="655"/>
      <c r="B180" s="655"/>
      <c r="C180"/>
      <c r="D180" s="655"/>
      <c r="E180" s="655"/>
      <c r="F180" s="655"/>
      <c r="G180" s="655"/>
      <c r="H180"/>
      <c r="I180"/>
      <c r="J180"/>
      <c r="K180"/>
      <c r="L180" s="655"/>
      <c r="M180" s="655"/>
      <c r="N180"/>
      <c r="O180"/>
      <c r="P180"/>
      <c r="Q180"/>
      <c r="R180"/>
      <c r="S180"/>
      <c r="T180"/>
      <c r="U180"/>
      <c r="V180"/>
      <c r="W180"/>
      <c r="X180" s="655"/>
      <c r="Y180" s="655"/>
      <c r="Z180" s="655"/>
      <c r="AA180" s="655"/>
      <c r="AB180"/>
      <c r="AC180"/>
      <c r="AD180"/>
      <c r="AE180"/>
      <c r="AF180"/>
      <c r="AG180"/>
      <c r="AH180" s="655"/>
      <c r="AI180" s="655"/>
      <c r="AJ180" s="655"/>
    </row>
    <row r="181" spans="1:36" x14ac:dyDescent="0.2">
      <c r="A181" s="655"/>
      <c r="B181" s="655"/>
      <c r="C181"/>
      <c r="D181" s="655"/>
      <c r="E181" s="655"/>
      <c r="F181" s="655"/>
      <c r="G181" s="655"/>
      <c r="H181"/>
      <c r="I181"/>
      <c r="J181"/>
      <c r="K181"/>
      <c r="L181" s="655"/>
      <c r="M181" s="655"/>
      <c r="N181"/>
      <c r="O181"/>
      <c r="P181"/>
      <c r="Q181"/>
      <c r="R181"/>
      <c r="S181"/>
      <c r="T181"/>
      <c r="U181"/>
      <c r="V181"/>
      <c r="W181"/>
      <c r="X181" s="655"/>
      <c r="Y181" s="655"/>
      <c r="Z181" s="655"/>
      <c r="AA181" s="655"/>
      <c r="AB181"/>
      <c r="AC181"/>
      <c r="AD181"/>
      <c r="AE181"/>
      <c r="AF181"/>
      <c r="AG181"/>
      <c r="AH181" s="655"/>
      <c r="AI181" s="655"/>
      <c r="AJ181" s="655"/>
    </row>
    <row r="182" spans="1:36" x14ac:dyDescent="0.2">
      <c r="A182" s="655"/>
      <c r="B182" s="655"/>
      <c r="C182"/>
      <c r="D182" s="655"/>
      <c r="E182" s="655"/>
      <c r="F182" s="655"/>
      <c r="G182" s="655"/>
      <c r="H182"/>
      <c r="I182"/>
      <c r="J182"/>
      <c r="K182"/>
      <c r="L182" s="655"/>
      <c r="M182" s="655"/>
      <c r="N182"/>
      <c r="O182"/>
      <c r="P182"/>
      <c r="Q182"/>
      <c r="R182"/>
      <c r="S182"/>
      <c r="T182"/>
      <c r="U182"/>
      <c r="V182"/>
      <c r="W182"/>
      <c r="X182" s="655"/>
      <c r="Y182" s="655"/>
      <c r="Z182" s="655"/>
      <c r="AA182" s="655"/>
      <c r="AB182"/>
      <c r="AC182"/>
      <c r="AD182"/>
      <c r="AE182"/>
      <c r="AF182"/>
      <c r="AG182"/>
      <c r="AH182" s="655"/>
      <c r="AI182" s="655"/>
      <c r="AJ182" s="655"/>
    </row>
    <row r="183" spans="1:36" x14ac:dyDescent="0.2">
      <c r="A183" s="655"/>
      <c r="B183" s="655"/>
      <c r="C183"/>
      <c r="D183" s="655"/>
      <c r="E183" s="655"/>
      <c r="F183" s="655"/>
      <c r="G183" s="655"/>
      <c r="H183"/>
      <c r="I183"/>
      <c r="J183"/>
      <c r="K183"/>
      <c r="L183" s="655"/>
      <c r="M183" s="655"/>
      <c r="N183"/>
      <c r="O183"/>
      <c r="P183"/>
      <c r="Q183"/>
      <c r="R183"/>
      <c r="S183"/>
      <c r="T183"/>
      <c r="U183"/>
      <c r="V183"/>
      <c r="W183"/>
      <c r="X183" s="655"/>
      <c r="Y183" s="655"/>
      <c r="Z183" s="655"/>
      <c r="AA183" s="655"/>
      <c r="AC183"/>
      <c r="AE183"/>
      <c r="AF183"/>
      <c r="AG183"/>
      <c r="AH183" s="655"/>
      <c r="AI183" s="655"/>
      <c r="AJ183" s="655"/>
    </row>
    <row r="184" spans="1:36" x14ac:dyDescent="0.2">
      <c r="A184" s="655"/>
      <c r="B184" s="655"/>
      <c r="C184"/>
      <c r="D184" s="655"/>
      <c r="E184" s="655"/>
      <c r="F184" s="655"/>
      <c r="G184" s="655"/>
      <c r="H184"/>
      <c r="I184"/>
      <c r="J184"/>
      <c r="K184"/>
      <c r="L184" s="655"/>
      <c r="M184" s="655"/>
      <c r="N184"/>
      <c r="O184"/>
      <c r="P184"/>
      <c r="Q184"/>
      <c r="R184"/>
      <c r="S184"/>
      <c r="T184"/>
      <c r="U184"/>
      <c r="V184"/>
      <c r="W184"/>
      <c r="X184" s="655"/>
      <c r="Y184" s="655"/>
      <c r="Z184" s="655"/>
      <c r="AA184" s="655"/>
      <c r="AB184"/>
      <c r="AC184"/>
      <c r="AD184"/>
      <c r="AE184"/>
      <c r="AF184"/>
      <c r="AG184"/>
      <c r="AH184" s="655"/>
      <c r="AI184" s="655"/>
      <c r="AJ184" s="655"/>
    </row>
    <row r="185" spans="1:36" x14ac:dyDescent="0.2">
      <c r="A185" s="655"/>
      <c r="B185" s="655"/>
      <c r="C185"/>
      <c r="D185" s="655"/>
      <c r="E185" s="655"/>
      <c r="F185" s="655"/>
      <c r="G185" s="655"/>
      <c r="H185"/>
      <c r="I185"/>
      <c r="J185"/>
      <c r="K185"/>
      <c r="L185" s="655"/>
      <c r="M185" s="655"/>
      <c r="N185"/>
      <c r="O185"/>
      <c r="P185"/>
      <c r="Q185"/>
      <c r="R185"/>
      <c r="S185"/>
      <c r="T185"/>
      <c r="U185"/>
      <c r="V185"/>
      <c r="W185"/>
      <c r="X185" s="655"/>
      <c r="Y185" s="655"/>
      <c r="Z185" s="655"/>
      <c r="AA185" s="655"/>
      <c r="AB185"/>
      <c r="AC185"/>
      <c r="AD185"/>
      <c r="AE185"/>
      <c r="AF185"/>
      <c r="AG185"/>
      <c r="AH185" s="655"/>
      <c r="AI185" s="655"/>
      <c r="AJ185" s="655"/>
    </row>
    <row r="186" spans="1:36" x14ac:dyDescent="0.2">
      <c r="A186" s="655"/>
      <c r="B186" s="655"/>
      <c r="C186"/>
      <c r="D186" s="655"/>
      <c r="E186" s="655"/>
      <c r="F186" s="655"/>
      <c r="G186" s="655"/>
      <c r="H186"/>
      <c r="I186"/>
      <c r="J186"/>
      <c r="K186"/>
      <c r="L186" s="655"/>
      <c r="M186" s="655"/>
      <c r="N186"/>
      <c r="O186"/>
      <c r="P186"/>
      <c r="Q186"/>
      <c r="R186"/>
      <c r="S186"/>
      <c r="T186"/>
      <c r="U186"/>
      <c r="V186"/>
      <c r="W186"/>
      <c r="X186" s="655"/>
      <c r="Y186" s="655"/>
      <c r="Z186" s="655"/>
      <c r="AA186" s="655"/>
      <c r="AB186"/>
      <c r="AC186"/>
      <c r="AD186"/>
      <c r="AE186"/>
      <c r="AF186"/>
      <c r="AG186"/>
      <c r="AH186" s="655"/>
      <c r="AI186" s="655"/>
      <c r="AJ186" s="655"/>
    </row>
    <row r="187" spans="1:36" x14ac:dyDescent="0.2">
      <c r="A187" s="655"/>
      <c r="B187" s="655"/>
      <c r="C187"/>
      <c r="D187" s="655"/>
      <c r="E187" s="655"/>
      <c r="F187" s="655"/>
      <c r="G187" s="655"/>
      <c r="H187"/>
      <c r="I187"/>
      <c r="J187"/>
      <c r="K187"/>
      <c r="L187" s="655"/>
      <c r="M187" s="655"/>
      <c r="N187"/>
      <c r="O187"/>
      <c r="P187"/>
      <c r="Q187"/>
      <c r="R187"/>
      <c r="S187"/>
      <c r="T187"/>
      <c r="U187"/>
      <c r="V187"/>
      <c r="W187"/>
      <c r="X187" s="655"/>
      <c r="Y187" s="655"/>
      <c r="Z187" s="655"/>
      <c r="AA187" s="655"/>
      <c r="AB187"/>
      <c r="AC187"/>
      <c r="AD187"/>
      <c r="AE187"/>
      <c r="AF187"/>
      <c r="AG187"/>
      <c r="AH187" s="655"/>
      <c r="AI187" s="655"/>
      <c r="AJ187" s="655"/>
    </row>
    <row r="188" spans="1:36" x14ac:dyDescent="0.2">
      <c r="A188" s="655"/>
      <c r="B188" s="655"/>
      <c r="C188"/>
      <c r="D188" s="655"/>
      <c r="E188" s="655"/>
      <c r="F188" s="655"/>
      <c r="G188" s="655"/>
      <c r="H188"/>
      <c r="I188"/>
      <c r="J188"/>
      <c r="K188"/>
      <c r="L188" s="655"/>
      <c r="M188" s="655"/>
      <c r="N188"/>
      <c r="O188"/>
      <c r="P188"/>
      <c r="Q188"/>
      <c r="R188"/>
      <c r="S188"/>
      <c r="T188"/>
      <c r="U188"/>
      <c r="V188"/>
      <c r="W188"/>
      <c r="X188" s="655"/>
      <c r="Y188" s="655"/>
      <c r="Z188" s="655"/>
      <c r="AA188" s="655"/>
      <c r="AB188"/>
      <c r="AC188"/>
      <c r="AD188"/>
      <c r="AE188"/>
      <c r="AF188"/>
      <c r="AG188"/>
      <c r="AH188" s="655"/>
      <c r="AI188" s="655"/>
      <c r="AJ188" s="655"/>
    </row>
    <row r="189" spans="1:36" x14ac:dyDescent="0.2">
      <c r="A189" s="655"/>
      <c r="B189" s="655"/>
      <c r="C189"/>
      <c r="D189" s="655"/>
      <c r="E189" s="655"/>
      <c r="F189" s="655"/>
      <c r="G189" s="655"/>
      <c r="H189"/>
      <c r="I189"/>
      <c r="J189"/>
      <c r="K189"/>
      <c r="L189" s="655"/>
      <c r="M189" s="655"/>
      <c r="N189"/>
      <c r="O189"/>
      <c r="P189"/>
      <c r="Q189"/>
      <c r="R189"/>
      <c r="S189"/>
      <c r="T189"/>
      <c r="U189"/>
      <c r="V189"/>
      <c r="W189"/>
      <c r="X189" s="655"/>
      <c r="Y189" s="655"/>
      <c r="Z189" s="655"/>
      <c r="AA189" s="655"/>
      <c r="AB189"/>
      <c r="AC189"/>
      <c r="AD189"/>
      <c r="AE189"/>
      <c r="AF189"/>
      <c r="AG189"/>
      <c r="AH189" s="655"/>
      <c r="AI189" s="655"/>
      <c r="AJ189" s="655"/>
    </row>
    <row r="190" spans="1:36" x14ac:dyDescent="0.2">
      <c r="A190" s="655"/>
      <c r="B190" s="655"/>
      <c r="C190"/>
      <c r="D190" s="655"/>
      <c r="E190" s="655"/>
      <c r="F190" s="655"/>
      <c r="G190" s="655"/>
      <c r="H190"/>
      <c r="I190"/>
      <c r="J190"/>
      <c r="K190"/>
      <c r="L190" s="655"/>
      <c r="M190" s="655"/>
      <c r="N190"/>
      <c r="O190"/>
      <c r="P190"/>
      <c r="Q190"/>
      <c r="R190"/>
      <c r="S190"/>
      <c r="T190"/>
      <c r="U190"/>
      <c r="V190"/>
      <c r="W190"/>
      <c r="X190" s="655"/>
      <c r="Y190" s="655"/>
      <c r="Z190" s="655"/>
      <c r="AA190" s="655"/>
      <c r="AB190"/>
      <c r="AC190"/>
      <c r="AD190"/>
      <c r="AE190"/>
      <c r="AF190"/>
      <c r="AG190"/>
      <c r="AH190" s="655"/>
      <c r="AI190" s="655"/>
      <c r="AJ190" s="655"/>
    </row>
    <row r="191" spans="1:36" x14ac:dyDescent="0.2">
      <c r="A191" s="655"/>
      <c r="B191" s="655"/>
      <c r="C191"/>
      <c r="D191" s="655"/>
      <c r="E191" s="655"/>
      <c r="F191" s="655"/>
      <c r="G191" s="655"/>
      <c r="H191"/>
      <c r="I191"/>
      <c r="J191"/>
      <c r="K191"/>
      <c r="L191" s="655"/>
      <c r="M191" s="655"/>
      <c r="N191"/>
      <c r="O191"/>
      <c r="P191"/>
      <c r="Q191"/>
      <c r="R191"/>
      <c r="S191"/>
      <c r="T191"/>
      <c r="U191"/>
      <c r="V191"/>
      <c r="W191"/>
      <c r="X191" s="655"/>
      <c r="Y191" s="655"/>
      <c r="Z191" s="655"/>
      <c r="AA191" s="655"/>
      <c r="AB191"/>
      <c r="AC191"/>
      <c r="AD191"/>
      <c r="AE191"/>
      <c r="AF191"/>
      <c r="AG191"/>
      <c r="AH191" s="655"/>
      <c r="AI191" s="655"/>
      <c r="AJ191" s="655"/>
    </row>
    <row r="192" spans="1:36" x14ac:dyDescent="0.2">
      <c r="A192" s="655"/>
      <c r="B192" s="655"/>
      <c r="C192"/>
      <c r="D192" s="655"/>
      <c r="E192" s="655"/>
      <c r="F192" s="655"/>
      <c r="G192" s="655"/>
      <c r="H192"/>
      <c r="I192"/>
      <c r="J192"/>
      <c r="K192"/>
      <c r="L192" s="655"/>
      <c r="M192" s="655"/>
      <c r="N192"/>
      <c r="O192"/>
      <c r="P192"/>
      <c r="Q192"/>
      <c r="R192"/>
      <c r="S192"/>
      <c r="T192"/>
      <c r="U192"/>
      <c r="V192"/>
      <c r="W192"/>
      <c r="X192" s="655"/>
      <c r="Y192" s="655"/>
      <c r="Z192" s="655"/>
      <c r="AA192" s="655"/>
      <c r="AB192"/>
      <c r="AC192"/>
      <c r="AD192"/>
      <c r="AE192"/>
      <c r="AF192"/>
      <c r="AG192"/>
      <c r="AH192" s="655"/>
      <c r="AI192" s="655"/>
      <c r="AJ192" s="655"/>
    </row>
    <row r="193" spans="1:36" x14ac:dyDescent="0.2">
      <c r="A193" s="655"/>
      <c r="B193" s="655"/>
      <c r="C193"/>
      <c r="D193" s="655"/>
      <c r="E193" s="655"/>
      <c r="F193" s="655"/>
      <c r="G193" s="655"/>
      <c r="H193"/>
      <c r="I193"/>
      <c r="J193"/>
      <c r="K193"/>
      <c r="L193" s="655"/>
      <c r="M193" s="655"/>
      <c r="N193"/>
      <c r="O193"/>
      <c r="P193"/>
      <c r="Q193"/>
      <c r="R193"/>
      <c r="S193"/>
      <c r="T193"/>
      <c r="U193"/>
      <c r="V193"/>
      <c r="W193"/>
      <c r="X193" s="655"/>
      <c r="Y193" s="655"/>
      <c r="Z193" s="655"/>
      <c r="AA193" s="655"/>
      <c r="AB193"/>
      <c r="AC193"/>
      <c r="AD193"/>
      <c r="AE193"/>
      <c r="AF193"/>
      <c r="AG193"/>
      <c r="AH193" s="655"/>
      <c r="AI193" s="655"/>
      <c r="AJ193" s="655"/>
    </row>
    <row r="194" spans="1:36" x14ac:dyDescent="0.2">
      <c r="A194" s="655"/>
      <c r="B194" s="655"/>
      <c r="C194"/>
      <c r="D194" s="655"/>
      <c r="E194" s="655"/>
      <c r="F194" s="655"/>
      <c r="G194" s="655"/>
      <c r="H194"/>
      <c r="I194"/>
      <c r="J194"/>
      <c r="K194"/>
      <c r="L194" s="655"/>
      <c r="M194" s="655"/>
      <c r="N194"/>
      <c r="O194"/>
      <c r="P194"/>
      <c r="Q194"/>
      <c r="R194"/>
      <c r="S194"/>
      <c r="T194"/>
      <c r="U194"/>
      <c r="V194"/>
      <c r="W194"/>
      <c r="X194" s="655"/>
      <c r="Y194" s="655"/>
      <c r="Z194" s="655"/>
      <c r="AA194" s="655"/>
      <c r="AB194"/>
      <c r="AC194"/>
      <c r="AD194"/>
      <c r="AE194"/>
      <c r="AF194"/>
      <c r="AG194"/>
      <c r="AH194" s="655"/>
      <c r="AI194" s="655"/>
      <c r="AJ194" s="655"/>
    </row>
    <row r="195" spans="1:36" x14ac:dyDescent="0.2">
      <c r="A195" s="655"/>
      <c r="B195" s="655"/>
      <c r="C195"/>
      <c r="D195" s="655"/>
      <c r="E195" s="655"/>
      <c r="F195" s="655"/>
      <c r="G195" s="655"/>
      <c r="H195"/>
      <c r="I195"/>
      <c r="J195"/>
      <c r="K195"/>
      <c r="L195" s="655"/>
      <c r="M195" s="655"/>
      <c r="N195"/>
      <c r="O195"/>
      <c r="P195"/>
      <c r="Q195"/>
      <c r="R195"/>
      <c r="S195"/>
      <c r="T195"/>
      <c r="U195"/>
      <c r="V195"/>
      <c r="W195"/>
      <c r="X195" s="655"/>
      <c r="Y195" s="655"/>
      <c r="Z195" s="655"/>
      <c r="AA195" s="655"/>
      <c r="AB195"/>
      <c r="AC195"/>
      <c r="AD195"/>
      <c r="AE195"/>
      <c r="AF195"/>
      <c r="AG195"/>
      <c r="AH195" s="655"/>
      <c r="AI195" s="655"/>
      <c r="AJ195" s="655"/>
    </row>
    <row r="196" spans="1:36" x14ac:dyDescent="0.2">
      <c r="A196" s="655"/>
      <c r="B196" s="655"/>
      <c r="C196"/>
      <c r="D196" s="655"/>
      <c r="E196" s="655"/>
      <c r="F196" s="655"/>
      <c r="G196" s="655"/>
      <c r="H196"/>
      <c r="I196"/>
      <c r="J196"/>
      <c r="K196"/>
      <c r="L196" s="655"/>
      <c r="M196" s="655"/>
      <c r="N196"/>
      <c r="O196"/>
      <c r="P196"/>
      <c r="Q196"/>
      <c r="R196"/>
      <c r="S196"/>
      <c r="T196"/>
      <c r="U196"/>
      <c r="V196"/>
      <c r="W196"/>
      <c r="X196" s="655"/>
      <c r="Y196" s="655"/>
      <c r="Z196" s="655"/>
      <c r="AA196" s="655"/>
      <c r="AB196"/>
      <c r="AC196"/>
      <c r="AD196"/>
      <c r="AE196"/>
      <c r="AF196"/>
      <c r="AG196"/>
      <c r="AH196" s="655"/>
      <c r="AI196" s="655"/>
      <c r="AJ196" s="655"/>
    </row>
    <row r="197" spans="1:36" x14ac:dyDescent="0.2">
      <c r="A197" s="655"/>
      <c r="B197" s="655"/>
      <c r="C197"/>
      <c r="D197" s="655"/>
      <c r="E197" s="655"/>
      <c r="F197" s="655"/>
      <c r="G197" s="655"/>
      <c r="H197"/>
      <c r="I197"/>
      <c r="J197"/>
      <c r="K197"/>
      <c r="L197" s="655"/>
      <c r="M197" s="655"/>
      <c r="N197"/>
      <c r="O197"/>
      <c r="P197"/>
      <c r="Q197"/>
      <c r="R197"/>
      <c r="S197"/>
      <c r="T197"/>
      <c r="U197"/>
      <c r="V197"/>
      <c r="W197"/>
      <c r="X197" s="655"/>
      <c r="Y197" s="655"/>
      <c r="Z197" s="655"/>
      <c r="AA197" s="655"/>
      <c r="AB197"/>
      <c r="AC197"/>
      <c r="AD197"/>
      <c r="AE197"/>
      <c r="AF197"/>
      <c r="AG197"/>
      <c r="AH197" s="655"/>
      <c r="AI197" s="655"/>
      <c r="AJ197" s="655"/>
    </row>
    <row r="198" spans="1:36" x14ac:dyDescent="0.2">
      <c r="A198" s="655"/>
      <c r="B198" s="655"/>
      <c r="C198"/>
      <c r="D198" s="655"/>
      <c r="E198" s="655"/>
      <c r="F198" s="655"/>
      <c r="G198" s="655"/>
      <c r="H198"/>
      <c r="I198"/>
      <c r="J198"/>
      <c r="K198"/>
      <c r="L198" s="655"/>
      <c r="M198" s="655"/>
      <c r="N198"/>
      <c r="O198"/>
      <c r="P198"/>
      <c r="Q198"/>
      <c r="R198"/>
      <c r="S198"/>
      <c r="T198"/>
      <c r="U198"/>
      <c r="V198"/>
      <c r="W198"/>
      <c r="X198" s="655"/>
      <c r="Y198" s="655"/>
      <c r="Z198" s="655"/>
      <c r="AA198" s="655"/>
      <c r="AB198"/>
      <c r="AC198"/>
      <c r="AD198"/>
      <c r="AE198"/>
      <c r="AF198"/>
      <c r="AG198"/>
      <c r="AH198" s="655"/>
      <c r="AI198" s="655"/>
      <c r="AJ198" s="655"/>
    </row>
    <row r="199" spans="1:36" x14ac:dyDescent="0.2">
      <c r="A199" s="655"/>
      <c r="B199" s="655"/>
      <c r="C199"/>
      <c r="D199" s="655"/>
      <c r="E199" s="655"/>
      <c r="F199" s="655"/>
      <c r="G199" s="655"/>
      <c r="H199"/>
      <c r="I199"/>
      <c r="J199"/>
      <c r="K199"/>
      <c r="L199" s="655"/>
      <c r="M199" s="655"/>
      <c r="N199"/>
      <c r="O199"/>
      <c r="P199"/>
      <c r="Q199"/>
      <c r="R199"/>
      <c r="S199"/>
      <c r="T199"/>
      <c r="U199"/>
      <c r="V199"/>
      <c r="W199"/>
      <c r="X199" s="655"/>
      <c r="Y199" s="655"/>
      <c r="Z199" s="655"/>
      <c r="AA199" s="655"/>
      <c r="AB199"/>
      <c r="AC199"/>
      <c r="AD199"/>
      <c r="AE199"/>
      <c r="AF199"/>
      <c r="AG199"/>
      <c r="AH199" s="655"/>
      <c r="AI199" s="655"/>
      <c r="AJ199" s="655"/>
    </row>
    <row r="200" spans="1:36" x14ac:dyDescent="0.2">
      <c r="A200" s="655"/>
      <c r="B200" s="655"/>
      <c r="C200"/>
      <c r="D200" s="655"/>
      <c r="E200" s="655"/>
      <c r="F200" s="655"/>
      <c r="G200" s="655"/>
      <c r="H200"/>
      <c r="I200"/>
      <c r="J200"/>
      <c r="K200"/>
      <c r="L200" s="655"/>
      <c r="M200" s="655"/>
      <c r="N200"/>
      <c r="O200"/>
      <c r="P200"/>
      <c r="Q200"/>
      <c r="R200"/>
      <c r="S200"/>
      <c r="T200"/>
      <c r="U200"/>
      <c r="V200"/>
      <c r="W200"/>
      <c r="X200" s="655"/>
      <c r="Y200" s="655"/>
      <c r="Z200" s="655"/>
      <c r="AA200" s="655"/>
      <c r="AB200"/>
      <c r="AD200"/>
      <c r="AE200"/>
      <c r="AF200"/>
      <c r="AG200"/>
      <c r="AH200" s="655"/>
      <c r="AI200" s="655"/>
      <c r="AJ200" s="655"/>
    </row>
    <row r="201" spans="1:36" x14ac:dyDescent="0.2">
      <c r="A201" s="655"/>
      <c r="B201" s="655"/>
      <c r="C201"/>
      <c r="D201" s="655"/>
      <c r="E201" s="655"/>
      <c r="F201" s="655"/>
      <c r="G201" s="655"/>
      <c r="H201"/>
      <c r="I201"/>
      <c r="J201"/>
      <c r="K201"/>
      <c r="L201" s="655"/>
      <c r="M201" s="655"/>
      <c r="N201"/>
      <c r="O201"/>
      <c r="P201"/>
      <c r="Q201"/>
      <c r="R201"/>
      <c r="S201"/>
      <c r="T201"/>
      <c r="U201"/>
      <c r="V201"/>
      <c r="W201"/>
      <c r="X201" s="655"/>
      <c r="Y201" s="655"/>
      <c r="Z201" s="655"/>
      <c r="AA201" s="655"/>
      <c r="AB201"/>
      <c r="AC201"/>
      <c r="AD201"/>
      <c r="AE201"/>
      <c r="AF201"/>
      <c r="AG201"/>
      <c r="AH201" s="655"/>
      <c r="AI201" s="655"/>
      <c r="AJ201" s="655"/>
    </row>
    <row r="202" spans="1:36" x14ac:dyDescent="0.2">
      <c r="A202" s="655"/>
      <c r="B202" s="655"/>
      <c r="C202"/>
      <c r="D202" s="655"/>
      <c r="E202" s="655"/>
      <c r="F202" s="655"/>
      <c r="G202" s="655"/>
      <c r="H202"/>
      <c r="I202"/>
      <c r="J202"/>
      <c r="K202"/>
      <c r="L202" s="655"/>
      <c r="M202" s="655"/>
      <c r="N202"/>
      <c r="O202"/>
      <c r="P202"/>
      <c r="Q202"/>
      <c r="R202"/>
      <c r="S202"/>
      <c r="T202"/>
      <c r="U202"/>
      <c r="V202"/>
      <c r="W202"/>
      <c r="X202" s="655"/>
      <c r="Y202" s="655"/>
      <c r="Z202" s="655"/>
      <c r="AA202" s="655"/>
      <c r="AB202"/>
      <c r="AC202"/>
      <c r="AD202"/>
      <c r="AE202"/>
      <c r="AF202"/>
      <c r="AG202"/>
      <c r="AH202" s="655"/>
      <c r="AI202" s="655"/>
      <c r="AJ202" s="655"/>
    </row>
    <row r="203" spans="1:36" x14ac:dyDescent="0.2">
      <c r="A203" s="655"/>
      <c r="B203" s="655"/>
      <c r="C203"/>
      <c r="D203" s="655"/>
      <c r="E203" s="655"/>
      <c r="F203" s="655"/>
      <c r="G203" s="655"/>
      <c r="H203"/>
      <c r="I203"/>
      <c r="J203"/>
      <c r="K203"/>
      <c r="L203" s="655"/>
      <c r="M203" s="655"/>
      <c r="N203"/>
      <c r="O203"/>
      <c r="P203"/>
      <c r="Q203"/>
      <c r="R203"/>
      <c r="S203"/>
      <c r="T203"/>
      <c r="U203"/>
      <c r="V203"/>
      <c r="W203"/>
      <c r="X203" s="655"/>
      <c r="Y203" s="655"/>
      <c r="Z203" s="655"/>
      <c r="AA203" s="655"/>
      <c r="AB203"/>
      <c r="AC203"/>
      <c r="AD203"/>
      <c r="AE203"/>
      <c r="AF203"/>
      <c r="AG203"/>
      <c r="AH203" s="655"/>
      <c r="AI203" s="655"/>
      <c r="AJ203" s="655"/>
    </row>
    <row r="204" spans="1:36" x14ac:dyDescent="0.2">
      <c r="A204" s="655"/>
      <c r="B204" s="655"/>
      <c r="C204"/>
      <c r="D204" s="655"/>
      <c r="E204" s="655"/>
      <c r="F204" s="655"/>
      <c r="G204" s="655"/>
      <c r="H204"/>
      <c r="I204"/>
      <c r="J204"/>
      <c r="K204"/>
      <c r="L204" s="655"/>
      <c r="M204" s="655"/>
      <c r="N204"/>
      <c r="O204"/>
      <c r="P204"/>
      <c r="Q204"/>
      <c r="R204"/>
      <c r="S204"/>
      <c r="T204"/>
      <c r="U204"/>
      <c r="V204"/>
      <c r="W204"/>
      <c r="X204" s="655"/>
      <c r="Y204" s="655"/>
      <c r="Z204" s="655"/>
      <c r="AA204" s="655"/>
      <c r="AB204"/>
      <c r="AC204"/>
      <c r="AD204"/>
      <c r="AE204"/>
      <c r="AF204"/>
      <c r="AG204"/>
      <c r="AH204" s="655"/>
      <c r="AI204" s="655"/>
      <c r="AJ204" s="655"/>
    </row>
    <row r="205" spans="1:36" x14ac:dyDescent="0.2">
      <c r="A205" s="655"/>
      <c r="B205" s="655"/>
      <c r="C205"/>
      <c r="D205" s="655"/>
      <c r="E205" s="655"/>
      <c r="F205" s="655"/>
      <c r="G205" s="655"/>
      <c r="H205"/>
      <c r="I205"/>
      <c r="J205"/>
      <c r="K205"/>
      <c r="L205" s="655"/>
      <c r="M205" s="655"/>
      <c r="N205"/>
      <c r="O205"/>
      <c r="P205"/>
      <c r="Q205"/>
      <c r="R205"/>
      <c r="S205"/>
      <c r="T205"/>
      <c r="U205"/>
      <c r="V205"/>
      <c r="W205"/>
      <c r="X205" s="655"/>
      <c r="Y205" s="655"/>
      <c r="Z205" s="655"/>
      <c r="AA205" s="655"/>
      <c r="AB205"/>
      <c r="AC205"/>
      <c r="AD205"/>
      <c r="AE205"/>
      <c r="AF205"/>
      <c r="AG205"/>
      <c r="AH205" s="655"/>
      <c r="AI205" s="655"/>
      <c r="AJ205" s="655"/>
    </row>
    <row r="206" spans="1:36" x14ac:dyDescent="0.2">
      <c r="A206" s="655"/>
      <c r="B206" s="655"/>
      <c r="C206"/>
      <c r="D206" s="655"/>
      <c r="E206" s="655"/>
      <c r="F206" s="655"/>
      <c r="G206" s="655"/>
      <c r="H206"/>
      <c r="I206"/>
      <c r="J206"/>
      <c r="K206"/>
      <c r="L206" s="655"/>
      <c r="M206" s="655"/>
      <c r="N206"/>
      <c r="O206"/>
      <c r="P206"/>
      <c r="Q206"/>
      <c r="R206"/>
      <c r="S206"/>
      <c r="T206"/>
      <c r="U206"/>
      <c r="V206"/>
      <c r="W206"/>
      <c r="X206" s="655"/>
      <c r="Y206" s="655"/>
      <c r="Z206" s="655"/>
      <c r="AA206" s="655"/>
      <c r="AB206"/>
      <c r="AC206"/>
      <c r="AD206"/>
      <c r="AE206"/>
      <c r="AF206"/>
      <c r="AG206"/>
      <c r="AH206" s="655"/>
      <c r="AI206" s="655"/>
      <c r="AJ206" s="655"/>
    </row>
    <row r="207" spans="1:36" x14ac:dyDescent="0.2">
      <c r="A207" s="655"/>
      <c r="B207" s="655"/>
      <c r="C207"/>
      <c r="D207" s="655"/>
      <c r="E207" s="655"/>
      <c r="F207" s="655"/>
      <c r="G207" s="655"/>
      <c r="H207"/>
      <c r="I207"/>
      <c r="J207"/>
      <c r="K207"/>
      <c r="L207" s="655"/>
      <c r="M207" s="655"/>
      <c r="N207"/>
      <c r="O207"/>
      <c r="P207"/>
      <c r="Q207"/>
      <c r="R207"/>
      <c r="S207"/>
      <c r="T207"/>
      <c r="U207"/>
      <c r="V207"/>
      <c r="W207"/>
      <c r="X207" s="655"/>
      <c r="Y207" s="655"/>
      <c r="Z207" s="655"/>
      <c r="AA207" s="655"/>
      <c r="AB207"/>
      <c r="AC207"/>
      <c r="AD207"/>
      <c r="AE207"/>
      <c r="AF207"/>
      <c r="AG207"/>
      <c r="AH207" s="655"/>
      <c r="AI207" s="655"/>
      <c r="AJ207" s="655"/>
    </row>
    <row r="208" spans="1:36" x14ac:dyDescent="0.2">
      <c r="A208" s="655"/>
      <c r="B208" s="655"/>
      <c r="C208"/>
      <c r="D208" s="655"/>
      <c r="E208" s="655"/>
      <c r="F208" s="655"/>
      <c r="G208" s="655"/>
      <c r="H208"/>
      <c r="I208"/>
      <c r="J208"/>
      <c r="K208"/>
      <c r="L208" s="655"/>
      <c r="M208" s="655"/>
      <c r="N208"/>
      <c r="O208"/>
      <c r="P208"/>
      <c r="Q208"/>
      <c r="R208"/>
      <c r="S208"/>
      <c r="T208"/>
      <c r="U208"/>
      <c r="V208"/>
      <c r="W208"/>
      <c r="X208" s="655"/>
      <c r="Y208" s="655"/>
      <c r="Z208" s="655"/>
      <c r="AA208" s="655"/>
      <c r="AB208"/>
      <c r="AC208"/>
      <c r="AD208"/>
      <c r="AE208"/>
      <c r="AF208"/>
      <c r="AG208"/>
      <c r="AH208" s="655"/>
      <c r="AI208" s="655"/>
      <c r="AJ208" s="655"/>
    </row>
    <row r="209" spans="1:36" x14ac:dyDescent="0.2">
      <c r="A209" s="655"/>
      <c r="B209" s="655"/>
      <c r="C209"/>
      <c r="D209" s="655"/>
      <c r="E209" s="655"/>
      <c r="F209" s="655"/>
      <c r="G209" s="655"/>
      <c r="H209"/>
      <c r="I209"/>
      <c r="J209"/>
      <c r="K209"/>
      <c r="L209" s="655"/>
      <c r="M209" s="655"/>
      <c r="N209"/>
      <c r="O209"/>
      <c r="P209"/>
      <c r="Q209"/>
      <c r="R209"/>
      <c r="S209"/>
      <c r="T209"/>
      <c r="U209"/>
      <c r="V209"/>
      <c r="W209"/>
      <c r="X209" s="655"/>
      <c r="Y209" s="655"/>
      <c r="Z209" s="655"/>
      <c r="AA209" s="655"/>
      <c r="AB209"/>
      <c r="AC209"/>
      <c r="AD209"/>
      <c r="AE209"/>
      <c r="AF209"/>
      <c r="AG209"/>
      <c r="AH209" s="655"/>
      <c r="AI209" s="655"/>
      <c r="AJ209" s="655"/>
    </row>
    <row r="210" spans="1:36" x14ac:dyDescent="0.2">
      <c r="A210" s="655"/>
      <c r="B210" s="655"/>
      <c r="C210"/>
      <c r="D210" s="655"/>
      <c r="E210" s="655"/>
      <c r="F210" s="655"/>
      <c r="G210" s="655"/>
      <c r="H210"/>
      <c r="I210"/>
      <c r="J210"/>
      <c r="K210"/>
      <c r="L210" s="655"/>
      <c r="M210" s="655"/>
      <c r="N210"/>
      <c r="O210"/>
      <c r="P210"/>
      <c r="Q210"/>
      <c r="R210"/>
      <c r="S210"/>
      <c r="T210"/>
      <c r="U210"/>
      <c r="V210"/>
      <c r="W210"/>
      <c r="X210" s="655"/>
      <c r="Y210" s="655"/>
      <c r="Z210" s="655"/>
      <c r="AA210" s="655"/>
      <c r="AB210"/>
      <c r="AC210"/>
      <c r="AD210"/>
      <c r="AE210"/>
      <c r="AF210"/>
      <c r="AG210"/>
      <c r="AH210" s="655"/>
      <c r="AI210" s="655"/>
      <c r="AJ210" s="655"/>
    </row>
    <row r="211" spans="1:36" x14ac:dyDescent="0.2">
      <c r="A211" s="655"/>
      <c r="B211" s="655"/>
      <c r="C211"/>
      <c r="D211" s="655"/>
      <c r="E211" s="655"/>
      <c r="F211" s="655"/>
      <c r="G211" s="655"/>
      <c r="H211"/>
      <c r="I211"/>
      <c r="J211"/>
      <c r="K211"/>
      <c r="L211" s="655"/>
      <c r="M211" s="655"/>
      <c r="N211"/>
      <c r="O211"/>
      <c r="P211"/>
      <c r="Q211"/>
      <c r="R211"/>
      <c r="S211"/>
      <c r="T211"/>
      <c r="U211"/>
      <c r="V211"/>
      <c r="W211"/>
      <c r="X211" s="655"/>
      <c r="Y211" s="655"/>
      <c r="Z211" s="655"/>
      <c r="AA211" s="655"/>
      <c r="AB211"/>
      <c r="AC211"/>
      <c r="AD211"/>
      <c r="AE211"/>
      <c r="AF211"/>
      <c r="AG211"/>
      <c r="AH211" s="655"/>
      <c r="AI211" s="655"/>
      <c r="AJ211" s="655"/>
    </row>
    <row r="212" spans="1:36" x14ac:dyDescent="0.2">
      <c r="A212" s="655"/>
      <c r="B212" s="655"/>
      <c r="C212"/>
      <c r="D212" s="655"/>
      <c r="E212" s="655"/>
      <c r="F212" s="655"/>
      <c r="G212" s="655"/>
      <c r="H212"/>
      <c r="I212"/>
      <c r="J212"/>
      <c r="K212"/>
      <c r="L212" s="655"/>
      <c r="M212" s="655"/>
      <c r="N212"/>
      <c r="O212"/>
      <c r="P212"/>
      <c r="Q212"/>
      <c r="R212"/>
      <c r="S212"/>
      <c r="T212"/>
      <c r="U212"/>
      <c r="V212"/>
      <c r="W212"/>
      <c r="X212" s="655"/>
      <c r="Y212" s="655"/>
      <c r="Z212" s="655"/>
      <c r="AA212" s="655"/>
      <c r="AB212"/>
      <c r="AC212"/>
      <c r="AD212"/>
      <c r="AE212"/>
      <c r="AF212"/>
      <c r="AG212"/>
      <c r="AH212" s="655"/>
      <c r="AI212" s="655"/>
      <c r="AJ212" s="655"/>
    </row>
    <row r="213" spans="1:36" x14ac:dyDescent="0.2">
      <c r="A213" s="655"/>
      <c r="B213" s="655"/>
      <c r="C213"/>
      <c r="D213" s="655"/>
      <c r="E213" s="655"/>
      <c r="F213" s="655"/>
      <c r="G213" s="655"/>
      <c r="H213"/>
      <c r="I213"/>
      <c r="J213"/>
      <c r="K213"/>
      <c r="L213" s="655"/>
      <c r="M213" s="655"/>
      <c r="O213"/>
      <c r="P213"/>
      <c r="Q213"/>
      <c r="R213"/>
      <c r="S213"/>
      <c r="T213"/>
      <c r="U213"/>
      <c r="V213"/>
      <c r="W213"/>
      <c r="X213" s="655"/>
      <c r="Y213" s="655"/>
      <c r="Z213" s="655"/>
      <c r="AA213" s="655"/>
      <c r="AB213"/>
      <c r="AC213"/>
      <c r="AD213"/>
      <c r="AE213"/>
      <c r="AF213"/>
      <c r="AG213"/>
      <c r="AH213" s="655"/>
      <c r="AI213" s="655"/>
      <c r="AJ213" s="655"/>
    </row>
    <row r="214" spans="1:36" x14ac:dyDescent="0.2">
      <c r="A214" s="655"/>
      <c r="B214" s="655"/>
      <c r="C214"/>
      <c r="D214" s="655"/>
      <c r="E214" s="655"/>
      <c r="F214" s="655"/>
      <c r="G214" s="655"/>
      <c r="H214"/>
      <c r="I214"/>
      <c r="J214"/>
      <c r="K214"/>
      <c r="L214" s="655"/>
      <c r="M214" s="655"/>
      <c r="N214"/>
      <c r="O214"/>
      <c r="P214"/>
      <c r="Q214"/>
      <c r="R214"/>
      <c r="S214"/>
      <c r="T214"/>
      <c r="U214"/>
      <c r="V214"/>
      <c r="W214"/>
      <c r="X214" s="655"/>
      <c r="Y214" s="655"/>
      <c r="Z214" s="655"/>
      <c r="AA214" s="655"/>
      <c r="AB214"/>
      <c r="AC214"/>
      <c r="AD214"/>
      <c r="AE214"/>
      <c r="AF214"/>
      <c r="AG214"/>
      <c r="AH214" s="655"/>
      <c r="AI214" s="655"/>
      <c r="AJ214" s="655"/>
    </row>
    <row r="215" spans="1:36" x14ac:dyDescent="0.2">
      <c r="A215" s="655"/>
      <c r="B215" s="655"/>
      <c r="C215"/>
      <c r="D215" s="655"/>
      <c r="E215" s="655"/>
      <c r="F215" s="655"/>
      <c r="G215" s="655"/>
      <c r="H215"/>
      <c r="I215"/>
      <c r="J215"/>
      <c r="K215"/>
      <c r="L215" s="655"/>
      <c r="M215" s="655"/>
      <c r="N215"/>
      <c r="O215"/>
      <c r="P215"/>
      <c r="Q215"/>
      <c r="R215"/>
      <c r="S215"/>
      <c r="T215"/>
      <c r="U215"/>
      <c r="V215"/>
      <c r="W215"/>
      <c r="X215" s="655"/>
      <c r="Y215" s="655"/>
      <c r="Z215" s="655"/>
      <c r="AA215" s="655"/>
      <c r="AB215"/>
      <c r="AC215"/>
      <c r="AD215"/>
      <c r="AE215"/>
      <c r="AF215"/>
      <c r="AG215"/>
      <c r="AH215" s="655"/>
      <c r="AI215" s="655"/>
      <c r="AJ215" s="655"/>
    </row>
    <row r="216" spans="1:36" x14ac:dyDescent="0.2">
      <c r="A216" s="655"/>
      <c r="B216" s="655"/>
      <c r="C216"/>
      <c r="D216" s="655"/>
      <c r="E216" s="655"/>
      <c r="F216" s="655"/>
      <c r="G216" s="655"/>
      <c r="H216"/>
      <c r="I216"/>
      <c r="J216"/>
      <c r="K216"/>
      <c r="L216" s="655"/>
      <c r="M216" s="655"/>
      <c r="N216"/>
      <c r="O216"/>
      <c r="P216"/>
      <c r="Q216"/>
      <c r="R216"/>
      <c r="S216"/>
      <c r="T216"/>
      <c r="U216"/>
      <c r="V216"/>
      <c r="W216"/>
      <c r="X216" s="655"/>
      <c r="Y216" s="655"/>
      <c r="Z216" s="655"/>
      <c r="AA216" s="655"/>
      <c r="AB216"/>
      <c r="AC216"/>
      <c r="AD216"/>
      <c r="AE216"/>
      <c r="AF216"/>
      <c r="AG216"/>
      <c r="AH216" s="655"/>
      <c r="AI216" s="655"/>
      <c r="AJ216" s="655"/>
    </row>
    <row r="217" spans="1:36" x14ac:dyDescent="0.2">
      <c r="A217" s="655"/>
      <c r="B217" s="655"/>
      <c r="C217"/>
      <c r="D217" s="655"/>
      <c r="E217" s="655"/>
      <c r="F217" s="655"/>
      <c r="G217" s="655"/>
      <c r="H217"/>
      <c r="I217"/>
      <c r="J217"/>
      <c r="K217"/>
      <c r="L217" s="655"/>
      <c r="M217" s="655"/>
      <c r="N217"/>
      <c r="O217"/>
      <c r="P217"/>
      <c r="Q217"/>
      <c r="R217"/>
      <c r="S217"/>
      <c r="T217"/>
      <c r="U217"/>
      <c r="V217"/>
      <c r="W217"/>
      <c r="X217" s="655"/>
      <c r="Y217" s="655"/>
      <c r="Z217" s="655"/>
      <c r="AA217" s="655"/>
      <c r="AB217"/>
      <c r="AC217"/>
      <c r="AD217"/>
      <c r="AE217"/>
      <c r="AF217"/>
      <c r="AG217"/>
      <c r="AH217" s="655"/>
      <c r="AI217" s="655"/>
      <c r="AJ217" s="655"/>
    </row>
    <row r="218" spans="1:36" x14ac:dyDescent="0.2">
      <c r="A218" s="655"/>
      <c r="B218" s="655"/>
      <c r="C218"/>
      <c r="D218" s="655"/>
      <c r="E218" s="655"/>
      <c r="F218" s="655"/>
      <c r="G218" s="655"/>
      <c r="H218"/>
      <c r="I218"/>
      <c r="J218"/>
      <c r="K218"/>
      <c r="L218" s="655"/>
      <c r="M218" s="655"/>
      <c r="N218"/>
      <c r="O218"/>
      <c r="P218"/>
      <c r="Q218"/>
      <c r="R218"/>
      <c r="S218"/>
      <c r="T218"/>
      <c r="U218"/>
      <c r="V218"/>
      <c r="W218"/>
      <c r="X218" s="655"/>
      <c r="Y218" s="655"/>
      <c r="Z218" s="655"/>
      <c r="AA218" s="655"/>
      <c r="AB218"/>
      <c r="AC218"/>
      <c r="AD218"/>
      <c r="AE218"/>
      <c r="AF218"/>
      <c r="AG218"/>
      <c r="AH218" s="655"/>
      <c r="AI218" s="655"/>
      <c r="AJ218" s="655"/>
    </row>
    <row r="219" spans="1:36" x14ac:dyDescent="0.2">
      <c r="A219" s="655"/>
      <c r="B219" s="655"/>
      <c r="C219"/>
      <c r="D219" s="655"/>
      <c r="E219" s="655"/>
      <c r="F219" s="655"/>
      <c r="G219" s="655"/>
      <c r="H219"/>
      <c r="I219"/>
      <c r="J219"/>
      <c r="K219"/>
      <c r="L219" s="655"/>
      <c r="M219" s="655"/>
      <c r="N219"/>
      <c r="O219"/>
      <c r="P219"/>
      <c r="Q219"/>
      <c r="R219"/>
      <c r="S219"/>
      <c r="T219"/>
      <c r="U219"/>
      <c r="V219"/>
      <c r="W219"/>
      <c r="X219" s="655"/>
      <c r="Y219" s="655"/>
      <c r="Z219" s="655"/>
      <c r="AA219" s="655"/>
      <c r="AB219"/>
      <c r="AC219"/>
      <c r="AD219"/>
      <c r="AE219"/>
      <c r="AF219"/>
      <c r="AG219"/>
      <c r="AH219" s="655"/>
      <c r="AI219" s="655"/>
      <c r="AJ219" s="655"/>
    </row>
    <row r="220" spans="1:36" x14ac:dyDescent="0.2">
      <c r="A220" s="655"/>
      <c r="B220" s="655"/>
      <c r="C220"/>
      <c r="D220" s="655"/>
      <c r="E220" s="655"/>
      <c r="F220" s="655"/>
      <c r="G220" s="655"/>
      <c r="H220"/>
      <c r="I220"/>
      <c r="J220"/>
      <c r="K220"/>
      <c r="L220" s="655"/>
      <c r="M220" s="655"/>
      <c r="N220"/>
      <c r="O220"/>
      <c r="P220"/>
      <c r="Q220"/>
      <c r="R220"/>
      <c r="S220"/>
      <c r="T220"/>
      <c r="U220"/>
      <c r="V220"/>
      <c r="W220"/>
      <c r="X220" s="655"/>
      <c r="Y220" s="655"/>
      <c r="Z220" s="655"/>
      <c r="AA220" s="655"/>
      <c r="AB220"/>
      <c r="AC220"/>
      <c r="AD220"/>
      <c r="AE220"/>
      <c r="AF220"/>
      <c r="AG220"/>
      <c r="AH220" s="655"/>
      <c r="AI220" s="655"/>
      <c r="AJ220" s="655"/>
    </row>
    <row r="221" spans="1:36" x14ac:dyDescent="0.2">
      <c r="A221" s="655"/>
      <c r="B221" s="655"/>
      <c r="C221"/>
      <c r="D221" s="655"/>
      <c r="E221" s="655"/>
      <c r="F221" s="655"/>
      <c r="G221" s="655"/>
      <c r="H221"/>
      <c r="I221"/>
      <c r="J221"/>
      <c r="K221"/>
      <c r="L221" s="655"/>
      <c r="M221" s="655"/>
      <c r="N221"/>
      <c r="O221"/>
      <c r="P221"/>
      <c r="Q221"/>
      <c r="R221"/>
      <c r="S221"/>
      <c r="T221"/>
      <c r="U221"/>
      <c r="V221"/>
      <c r="W221"/>
      <c r="X221" s="655"/>
      <c r="Y221" s="655"/>
      <c r="Z221" s="655"/>
      <c r="AA221" s="655"/>
      <c r="AB221"/>
      <c r="AC221"/>
      <c r="AD221"/>
      <c r="AE221"/>
      <c r="AF221"/>
      <c r="AG221"/>
      <c r="AH221" s="655"/>
      <c r="AI221" s="655"/>
      <c r="AJ221" s="655"/>
    </row>
    <row r="222" spans="1:36" x14ac:dyDescent="0.2">
      <c r="A222" s="655"/>
      <c r="B222" s="655"/>
      <c r="C222"/>
      <c r="D222" s="655"/>
      <c r="E222" s="655"/>
      <c r="F222" s="655"/>
      <c r="G222" s="655"/>
      <c r="H222"/>
      <c r="I222"/>
      <c r="J222"/>
      <c r="K222"/>
      <c r="L222" s="655"/>
      <c r="M222" s="655"/>
      <c r="N222"/>
      <c r="O222"/>
      <c r="P222"/>
      <c r="Q222"/>
      <c r="R222"/>
      <c r="S222"/>
      <c r="T222"/>
      <c r="U222"/>
      <c r="V222"/>
      <c r="W222"/>
      <c r="X222" s="655"/>
      <c r="Y222" s="655"/>
      <c r="Z222" s="655"/>
      <c r="AA222" s="655"/>
      <c r="AB222"/>
      <c r="AC222"/>
      <c r="AD222"/>
      <c r="AE222"/>
      <c r="AF222"/>
      <c r="AG222"/>
      <c r="AH222" s="655"/>
      <c r="AI222" s="655"/>
      <c r="AJ222" s="655"/>
    </row>
    <row r="223" spans="1:36" x14ac:dyDescent="0.2">
      <c r="A223" s="655"/>
      <c r="B223" s="655"/>
      <c r="C223"/>
      <c r="D223" s="655"/>
      <c r="E223" s="655"/>
      <c r="F223" s="655"/>
      <c r="G223" s="655"/>
      <c r="H223"/>
      <c r="I223"/>
      <c r="J223"/>
      <c r="K223"/>
      <c r="L223" s="655"/>
      <c r="M223" s="655"/>
      <c r="N223"/>
      <c r="O223"/>
      <c r="P223"/>
      <c r="Q223"/>
      <c r="R223"/>
      <c r="S223"/>
      <c r="T223"/>
      <c r="U223"/>
      <c r="V223"/>
      <c r="W223"/>
      <c r="X223" s="655"/>
      <c r="Y223" s="655"/>
      <c r="Z223" s="655"/>
      <c r="AA223" s="655"/>
      <c r="AB223"/>
      <c r="AC223"/>
      <c r="AD223"/>
      <c r="AE223"/>
      <c r="AF223"/>
      <c r="AG223"/>
      <c r="AH223" s="655"/>
      <c r="AI223" s="655"/>
      <c r="AJ223" s="655"/>
    </row>
    <row r="224" spans="1:36" x14ac:dyDescent="0.2">
      <c r="A224" s="655"/>
      <c r="B224" s="655"/>
      <c r="C224"/>
      <c r="D224" s="655"/>
      <c r="E224" s="655"/>
      <c r="F224" s="655"/>
      <c r="G224" s="655"/>
      <c r="H224"/>
      <c r="I224"/>
      <c r="J224"/>
      <c r="K224"/>
      <c r="L224" s="655"/>
      <c r="M224" s="655"/>
      <c r="N224"/>
      <c r="O224"/>
      <c r="P224"/>
      <c r="Q224"/>
      <c r="R224"/>
      <c r="S224"/>
      <c r="T224"/>
      <c r="U224"/>
      <c r="V224"/>
      <c r="W224"/>
      <c r="X224" s="655"/>
      <c r="Y224" s="655"/>
      <c r="Z224" s="655"/>
      <c r="AA224" s="655"/>
      <c r="AB224"/>
      <c r="AC224"/>
      <c r="AD224"/>
      <c r="AE224"/>
      <c r="AF224"/>
      <c r="AG224"/>
      <c r="AH224" s="655"/>
      <c r="AI224" s="655"/>
      <c r="AJ224" s="655"/>
    </row>
    <row r="225" spans="1:36" x14ac:dyDescent="0.2">
      <c r="A225" s="655"/>
      <c r="B225" s="655"/>
      <c r="C225"/>
      <c r="D225" s="655"/>
      <c r="E225" s="655"/>
      <c r="F225" s="655"/>
      <c r="G225" s="655"/>
      <c r="H225"/>
      <c r="I225"/>
      <c r="J225"/>
      <c r="K225"/>
      <c r="L225" s="655"/>
      <c r="M225" s="655"/>
      <c r="N225"/>
      <c r="O225"/>
      <c r="P225"/>
      <c r="Q225"/>
      <c r="R225"/>
      <c r="S225"/>
      <c r="T225"/>
      <c r="U225"/>
      <c r="V225"/>
      <c r="W225"/>
      <c r="X225" s="655"/>
      <c r="Y225" s="655"/>
      <c r="Z225" s="655"/>
      <c r="AA225" s="655"/>
      <c r="AB225"/>
      <c r="AC225"/>
      <c r="AD225"/>
      <c r="AE225"/>
      <c r="AF225"/>
      <c r="AG225"/>
      <c r="AH225" s="655"/>
      <c r="AI225" s="655"/>
      <c r="AJ225" s="655"/>
    </row>
    <row r="226" spans="1:36" x14ac:dyDescent="0.2">
      <c r="A226" s="655"/>
      <c r="B226" s="655"/>
      <c r="C226"/>
      <c r="D226" s="655"/>
      <c r="E226" s="655"/>
      <c r="F226" s="655"/>
      <c r="G226" s="655"/>
      <c r="H226"/>
      <c r="I226"/>
      <c r="J226"/>
      <c r="K226"/>
      <c r="L226" s="655"/>
      <c r="M226" s="655"/>
      <c r="N226"/>
      <c r="O226"/>
      <c r="P226"/>
      <c r="Q226"/>
      <c r="R226"/>
      <c r="S226"/>
      <c r="T226"/>
      <c r="U226"/>
      <c r="V226"/>
      <c r="W226"/>
      <c r="X226" s="655"/>
      <c r="Y226" s="655"/>
      <c r="Z226" s="655"/>
      <c r="AA226" s="655"/>
      <c r="AB226"/>
      <c r="AC226"/>
      <c r="AD226"/>
      <c r="AE226"/>
      <c r="AF226"/>
      <c r="AG226"/>
      <c r="AH226" s="655"/>
      <c r="AI226" s="655"/>
      <c r="AJ226" s="655"/>
    </row>
    <row r="227" spans="1:36" x14ac:dyDescent="0.2">
      <c r="A227" s="655"/>
      <c r="B227" s="655"/>
      <c r="C227"/>
      <c r="D227" s="655"/>
      <c r="E227" s="655"/>
      <c r="F227" s="655"/>
      <c r="G227" s="655"/>
      <c r="H227"/>
      <c r="I227"/>
      <c r="J227"/>
      <c r="K227"/>
      <c r="L227" s="655"/>
      <c r="M227" s="655"/>
      <c r="N227"/>
      <c r="O227"/>
      <c r="P227"/>
      <c r="Q227"/>
      <c r="R227"/>
      <c r="S227"/>
      <c r="T227"/>
      <c r="U227"/>
      <c r="V227"/>
      <c r="W227"/>
      <c r="X227" s="655"/>
      <c r="Y227" s="655"/>
      <c r="Z227" s="655"/>
      <c r="AA227" s="655"/>
      <c r="AB227"/>
      <c r="AC227"/>
      <c r="AD227"/>
      <c r="AE227"/>
      <c r="AF227"/>
      <c r="AG227"/>
      <c r="AH227" s="655"/>
      <c r="AI227" s="655"/>
      <c r="AJ227" s="655"/>
    </row>
    <row r="228" spans="1:36" x14ac:dyDescent="0.2">
      <c r="A228" s="655"/>
      <c r="B228" s="655"/>
      <c r="C228"/>
      <c r="D228" s="655"/>
      <c r="E228" s="655"/>
      <c r="F228" s="655"/>
      <c r="G228" s="655"/>
      <c r="H228"/>
      <c r="I228"/>
      <c r="J228"/>
      <c r="K228"/>
      <c r="L228" s="655"/>
      <c r="M228" s="655"/>
      <c r="N228"/>
      <c r="O228"/>
      <c r="P228"/>
      <c r="Q228"/>
      <c r="R228"/>
      <c r="S228"/>
      <c r="T228"/>
      <c r="U228"/>
      <c r="V228"/>
      <c r="W228"/>
      <c r="X228" s="655"/>
      <c r="Y228" s="655"/>
      <c r="Z228" s="655"/>
      <c r="AA228" s="655"/>
      <c r="AB228"/>
      <c r="AC228"/>
      <c r="AD228"/>
      <c r="AE228"/>
      <c r="AF228"/>
      <c r="AG228"/>
      <c r="AH228" s="655"/>
      <c r="AI228" s="655"/>
      <c r="AJ228" s="655"/>
    </row>
    <row r="229" spans="1:36" x14ac:dyDescent="0.2">
      <c r="A229" s="655"/>
      <c r="B229" s="655"/>
      <c r="C229"/>
      <c r="D229" s="655"/>
      <c r="E229" s="655"/>
      <c r="F229" s="655"/>
      <c r="G229" s="655"/>
      <c r="H229"/>
      <c r="I229"/>
      <c r="J229"/>
      <c r="K229"/>
      <c r="L229" s="655"/>
      <c r="M229" s="655"/>
      <c r="N229"/>
      <c r="O229"/>
      <c r="P229"/>
      <c r="Q229"/>
      <c r="R229"/>
      <c r="S229"/>
      <c r="T229"/>
      <c r="U229"/>
      <c r="V229"/>
      <c r="W229"/>
      <c r="X229" s="655"/>
      <c r="Y229" s="655"/>
      <c r="Z229" s="655"/>
      <c r="AA229" s="655"/>
      <c r="AB229"/>
      <c r="AC229"/>
      <c r="AD229"/>
      <c r="AE229"/>
      <c r="AF229"/>
      <c r="AG229"/>
      <c r="AH229" s="655"/>
      <c r="AI229" s="655"/>
      <c r="AJ229" s="655"/>
    </row>
    <row r="230" spans="1:36" x14ac:dyDescent="0.2">
      <c r="A230" s="655"/>
      <c r="B230" s="655"/>
      <c r="C230"/>
      <c r="D230" s="655"/>
      <c r="E230" s="655"/>
      <c r="F230" s="655"/>
      <c r="G230" s="655"/>
      <c r="H230"/>
      <c r="I230"/>
      <c r="J230"/>
      <c r="K230"/>
      <c r="L230" s="655"/>
      <c r="M230" s="655"/>
      <c r="N230"/>
      <c r="O230"/>
      <c r="P230"/>
      <c r="Q230"/>
      <c r="R230"/>
      <c r="S230"/>
      <c r="T230"/>
      <c r="U230"/>
      <c r="V230"/>
      <c r="W230"/>
      <c r="X230" s="655"/>
      <c r="Y230" s="655"/>
      <c r="Z230" s="655"/>
      <c r="AA230" s="655"/>
      <c r="AB230"/>
      <c r="AC230"/>
      <c r="AD230"/>
      <c r="AE230"/>
      <c r="AF230"/>
      <c r="AG230"/>
      <c r="AH230" s="655"/>
      <c r="AI230" s="655"/>
      <c r="AJ230" s="655"/>
    </row>
    <row r="231" spans="1:36" x14ac:dyDescent="0.2">
      <c r="A231" s="655"/>
      <c r="B231" s="655"/>
      <c r="C231"/>
      <c r="D231" s="655"/>
      <c r="E231" s="655"/>
      <c r="F231" s="655"/>
      <c r="G231" s="655"/>
      <c r="H231"/>
      <c r="I231"/>
      <c r="J231"/>
      <c r="K231"/>
      <c r="L231" s="655"/>
      <c r="M231" s="655"/>
      <c r="N231"/>
      <c r="O231"/>
      <c r="P231"/>
      <c r="Q231"/>
      <c r="R231"/>
      <c r="S231"/>
      <c r="T231"/>
      <c r="U231"/>
      <c r="V231"/>
      <c r="W231"/>
      <c r="X231" s="655"/>
      <c r="Y231" s="655"/>
      <c r="Z231" s="655"/>
      <c r="AA231" s="655"/>
      <c r="AB231"/>
      <c r="AE231"/>
      <c r="AF231"/>
      <c r="AG231"/>
      <c r="AH231" s="655"/>
      <c r="AI231" s="655"/>
      <c r="AJ231" s="655"/>
    </row>
    <row r="232" spans="1:36" x14ac:dyDescent="0.2">
      <c r="A232" s="655"/>
      <c r="B232" s="655"/>
      <c r="C232"/>
      <c r="D232" s="655"/>
      <c r="E232" s="655"/>
      <c r="F232" s="655"/>
      <c r="G232" s="655"/>
      <c r="H232"/>
      <c r="I232"/>
      <c r="J232"/>
      <c r="K232"/>
      <c r="L232" s="655"/>
      <c r="M232" s="655"/>
      <c r="N232"/>
      <c r="O232"/>
      <c r="P232"/>
      <c r="Q232"/>
      <c r="R232"/>
      <c r="S232"/>
      <c r="T232"/>
      <c r="U232"/>
      <c r="V232"/>
      <c r="W232"/>
      <c r="X232" s="655"/>
      <c r="Y232" s="655"/>
      <c r="Z232" s="655"/>
      <c r="AA232" s="655"/>
      <c r="AB232"/>
      <c r="AC232"/>
      <c r="AD232"/>
      <c r="AE232"/>
      <c r="AF232"/>
      <c r="AG232"/>
      <c r="AH232" s="655"/>
      <c r="AI232" s="655"/>
      <c r="AJ232" s="655"/>
    </row>
    <row r="233" spans="1:36" x14ac:dyDescent="0.2">
      <c r="A233" s="655"/>
      <c r="B233" s="655"/>
      <c r="C233"/>
      <c r="D233" s="655"/>
      <c r="E233" s="655"/>
      <c r="F233" s="655"/>
      <c r="G233" s="655"/>
      <c r="H233"/>
      <c r="I233"/>
      <c r="J233"/>
      <c r="K233"/>
      <c r="L233" s="655"/>
      <c r="M233" s="655"/>
      <c r="N233"/>
      <c r="O233"/>
      <c r="P233"/>
      <c r="Q233"/>
      <c r="R233"/>
      <c r="S233"/>
      <c r="T233"/>
      <c r="U233"/>
      <c r="V233"/>
      <c r="W233"/>
      <c r="X233" s="655"/>
      <c r="Y233" s="655"/>
      <c r="Z233" s="655"/>
      <c r="AA233" s="655"/>
      <c r="AB233"/>
      <c r="AC233"/>
      <c r="AD233"/>
      <c r="AE233"/>
      <c r="AF233"/>
      <c r="AG233"/>
      <c r="AH233" s="655"/>
      <c r="AI233" s="655"/>
      <c r="AJ233" s="655"/>
    </row>
    <row r="234" spans="1:36" x14ac:dyDescent="0.2">
      <c r="A234" s="655"/>
      <c r="B234" s="655"/>
      <c r="C234"/>
      <c r="D234" s="655"/>
      <c r="E234" s="655"/>
      <c r="F234" s="655"/>
      <c r="G234" s="655"/>
      <c r="H234"/>
      <c r="I234"/>
      <c r="J234"/>
      <c r="K234"/>
      <c r="L234" s="655"/>
      <c r="M234" s="655"/>
      <c r="N234"/>
      <c r="O234"/>
      <c r="P234"/>
      <c r="Q234"/>
      <c r="R234"/>
      <c r="S234"/>
      <c r="T234"/>
      <c r="U234"/>
      <c r="V234"/>
      <c r="W234"/>
      <c r="X234" s="655"/>
      <c r="Y234" s="655"/>
      <c r="Z234" s="655"/>
      <c r="AA234" s="655"/>
      <c r="AB234"/>
      <c r="AC234"/>
      <c r="AD234"/>
      <c r="AE234"/>
      <c r="AF234"/>
      <c r="AG234"/>
      <c r="AH234" s="655"/>
      <c r="AI234" s="655"/>
      <c r="AJ234" s="655"/>
    </row>
    <row r="235" spans="1:36" x14ac:dyDescent="0.2">
      <c r="A235" s="655"/>
      <c r="B235" s="655"/>
      <c r="C235"/>
      <c r="D235" s="655"/>
      <c r="E235" s="655"/>
      <c r="F235" s="655"/>
      <c r="G235" s="655"/>
      <c r="H235"/>
      <c r="I235"/>
      <c r="J235"/>
      <c r="K235"/>
      <c r="L235" s="655"/>
      <c r="M235" s="655"/>
      <c r="N235"/>
      <c r="O235"/>
      <c r="P235"/>
      <c r="Q235"/>
      <c r="R235"/>
      <c r="S235"/>
      <c r="T235"/>
      <c r="U235"/>
      <c r="V235"/>
      <c r="W235"/>
      <c r="X235" s="655"/>
      <c r="Y235" s="655"/>
      <c r="Z235" s="655"/>
      <c r="AA235" s="655"/>
      <c r="AB235"/>
      <c r="AC235"/>
      <c r="AD235"/>
      <c r="AE235"/>
      <c r="AF235"/>
      <c r="AG235"/>
      <c r="AH235" s="655"/>
      <c r="AI235" s="655"/>
      <c r="AJ235" s="655"/>
    </row>
    <row r="236" spans="1:36" x14ac:dyDescent="0.2">
      <c r="A236" s="655"/>
      <c r="B236" s="655"/>
      <c r="C236"/>
      <c r="D236" s="655"/>
      <c r="E236" s="655"/>
      <c r="F236" s="655"/>
      <c r="G236" s="655"/>
      <c r="H236"/>
      <c r="I236"/>
      <c r="J236"/>
      <c r="K236"/>
      <c r="L236" s="655"/>
      <c r="M236" s="655"/>
      <c r="N236"/>
      <c r="O236"/>
      <c r="P236"/>
      <c r="Q236"/>
      <c r="R236"/>
      <c r="S236"/>
      <c r="T236"/>
      <c r="U236"/>
      <c r="V236"/>
      <c r="W236"/>
      <c r="X236" s="655"/>
      <c r="Y236" s="655"/>
      <c r="Z236" s="655"/>
      <c r="AA236" s="655"/>
      <c r="AB236"/>
      <c r="AC236"/>
      <c r="AD236"/>
      <c r="AE236"/>
      <c r="AF236"/>
      <c r="AG236"/>
      <c r="AH236" s="655"/>
      <c r="AI236" s="655"/>
      <c r="AJ236" s="655"/>
    </row>
    <row r="237" spans="1:36" x14ac:dyDescent="0.2">
      <c r="A237" s="655"/>
      <c r="B237" s="655"/>
      <c r="C237"/>
      <c r="D237" s="655"/>
      <c r="E237" s="655"/>
      <c r="F237" s="655"/>
      <c r="G237" s="655"/>
      <c r="H237"/>
      <c r="I237"/>
      <c r="J237"/>
      <c r="K237"/>
      <c r="L237" s="655"/>
      <c r="M237" s="655"/>
      <c r="N237"/>
      <c r="O237"/>
      <c r="P237"/>
      <c r="Q237"/>
      <c r="R237"/>
      <c r="S237"/>
      <c r="T237"/>
      <c r="U237"/>
      <c r="V237"/>
      <c r="W237"/>
      <c r="X237" s="655"/>
      <c r="Y237" s="655"/>
      <c r="Z237" s="655"/>
      <c r="AA237" s="655"/>
      <c r="AB237"/>
      <c r="AC237"/>
      <c r="AD237"/>
      <c r="AE237"/>
      <c r="AF237"/>
      <c r="AG237"/>
      <c r="AH237" s="655"/>
      <c r="AI237" s="655"/>
      <c r="AJ237" s="655"/>
    </row>
    <row r="238" spans="1:36" x14ac:dyDescent="0.2">
      <c r="A238" s="655"/>
      <c r="B238" s="655"/>
      <c r="C238"/>
      <c r="D238" s="655"/>
      <c r="E238" s="655"/>
      <c r="F238" s="655"/>
      <c r="G238" s="655"/>
      <c r="H238"/>
      <c r="I238"/>
      <c r="J238"/>
      <c r="K238"/>
      <c r="L238" s="655"/>
      <c r="M238" s="655"/>
      <c r="N238"/>
      <c r="O238"/>
      <c r="P238"/>
      <c r="Q238"/>
      <c r="R238"/>
      <c r="S238"/>
      <c r="T238"/>
      <c r="U238"/>
      <c r="V238"/>
      <c r="W238"/>
      <c r="X238" s="655"/>
      <c r="Y238" s="655"/>
      <c r="Z238" s="655"/>
      <c r="AA238" s="655"/>
      <c r="AB238"/>
      <c r="AC238"/>
      <c r="AD238"/>
      <c r="AE238"/>
      <c r="AF238"/>
      <c r="AG238"/>
      <c r="AH238" s="655"/>
      <c r="AI238" s="655"/>
      <c r="AJ238" s="655"/>
    </row>
    <row r="239" spans="1:36" x14ac:dyDescent="0.2">
      <c r="A239" s="655"/>
      <c r="B239" s="655"/>
      <c r="C239"/>
      <c r="D239" s="655"/>
      <c r="E239" s="655"/>
      <c r="F239" s="655"/>
      <c r="G239" s="655"/>
      <c r="H239"/>
      <c r="I239"/>
      <c r="J239"/>
      <c r="K239"/>
      <c r="L239" s="655"/>
      <c r="M239" s="655"/>
      <c r="N239"/>
      <c r="O239"/>
      <c r="P239"/>
      <c r="Q239"/>
      <c r="R239"/>
      <c r="S239"/>
      <c r="T239"/>
      <c r="U239"/>
      <c r="V239"/>
      <c r="W239"/>
      <c r="X239" s="655"/>
      <c r="Y239" s="655"/>
      <c r="Z239" s="655"/>
      <c r="AA239" s="655"/>
      <c r="AB239"/>
      <c r="AC239"/>
      <c r="AD239"/>
      <c r="AE239"/>
      <c r="AF239"/>
      <c r="AG239"/>
      <c r="AH239" s="655"/>
      <c r="AI239" s="655"/>
      <c r="AJ239" s="655"/>
    </row>
    <row r="240" spans="1:36" x14ac:dyDescent="0.2">
      <c r="A240" s="655"/>
      <c r="B240" s="655"/>
      <c r="C240"/>
      <c r="D240" s="655"/>
      <c r="E240" s="655"/>
      <c r="F240" s="655"/>
      <c r="G240" s="655"/>
      <c r="H240"/>
      <c r="I240"/>
      <c r="J240"/>
      <c r="K240"/>
      <c r="L240" s="655"/>
      <c r="M240" s="655"/>
      <c r="N240"/>
      <c r="O240"/>
      <c r="P240"/>
      <c r="Q240"/>
      <c r="R240"/>
      <c r="S240"/>
      <c r="T240"/>
      <c r="U240"/>
      <c r="V240"/>
      <c r="W240"/>
      <c r="X240" s="655"/>
      <c r="Y240" s="655"/>
      <c r="Z240" s="655"/>
      <c r="AA240" s="655"/>
      <c r="AB240"/>
      <c r="AG240"/>
      <c r="AH240" s="655"/>
      <c r="AI240" s="655"/>
      <c r="AJ240" s="655"/>
    </row>
    <row r="241" spans="1:36" x14ac:dyDescent="0.2">
      <c r="A241" s="655"/>
      <c r="B241" s="655"/>
      <c r="C241"/>
      <c r="D241" s="655"/>
      <c r="E241" s="655"/>
      <c r="F241" s="655"/>
      <c r="G241" s="655"/>
      <c r="H241"/>
      <c r="I241"/>
      <c r="J241"/>
      <c r="K241"/>
      <c r="L241" s="655"/>
      <c r="M241" s="655"/>
      <c r="N241"/>
      <c r="O241"/>
      <c r="P241"/>
      <c r="Q241"/>
      <c r="R241"/>
      <c r="S241"/>
      <c r="T241"/>
      <c r="U241"/>
      <c r="V241"/>
      <c r="W241"/>
      <c r="X241" s="655"/>
      <c r="Y241" s="655"/>
      <c r="Z241" s="655"/>
      <c r="AA241" s="655"/>
      <c r="AB241"/>
      <c r="AC241"/>
      <c r="AD241"/>
      <c r="AE241"/>
      <c r="AF241"/>
      <c r="AG241"/>
      <c r="AH241" s="655"/>
      <c r="AI241" s="655"/>
      <c r="AJ241" s="655"/>
    </row>
    <row r="242" spans="1:36" x14ac:dyDescent="0.2">
      <c r="A242" s="655"/>
      <c r="B242" s="655"/>
      <c r="C242"/>
      <c r="D242" s="655"/>
      <c r="E242" s="655"/>
      <c r="F242" s="655"/>
      <c r="G242" s="655"/>
      <c r="H242"/>
      <c r="I242"/>
      <c r="J242"/>
      <c r="K242"/>
      <c r="L242" s="655"/>
      <c r="M242" s="655"/>
      <c r="N242"/>
      <c r="O242"/>
      <c r="P242"/>
      <c r="Q242"/>
      <c r="R242"/>
      <c r="S242"/>
      <c r="T242"/>
      <c r="U242"/>
      <c r="V242"/>
      <c r="W242"/>
      <c r="X242" s="655"/>
      <c r="Y242" s="655"/>
      <c r="Z242" s="655"/>
      <c r="AA242" s="655"/>
      <c r="AB242"/>
      <c r="AC242"/>
      <c r="AD242"/>
      <c r="AE242"/>
      <c r="AF242"/>
      <c r="AG242"/>
      <c r="AH242" s="655"/>
      <c r="AI242" s="655"/>
      <c r="AJ242" s="655"/>
    </row>
    <row r="243" spans="1:36" x14ac:dyDescent="0.2">
      <c r="A243" s="655"/>
      <c r="B243" s="655"/>
      <c r="C243"/>
      <c r="D243" s="655"/>
      <c r="E243" s="655"/>
      <c r="F243" s="655"/>
      <c r="G243" s="655"/>
      <c r="H243"/>
      <c r="I243"/>
      <c r="J243"/>
      <c r="K243"/>
      <c r="L243" s="655"/>
      <c r="M243" s="655"/>
      <c r="N243"/>
      <c r="O243"/>
      <c r="P243"/>
      <c r="Q243"/>
      <c r="R243"/>
      <c r="S243"/>
      <c r="T243"/>
      <c r="U243"/>
      <c r="V243"/>
      <c r="W243"/>
      <c r="X243" s="655"/>
      <c r="Y243" s="655"/>
      <c r="Z243" s="655"/>
      <c r="AA243" s="655"/>
      <c r="AB243"/>
      <c r="AC243"/>
      <c r="AD243"/>
      <c r="AE243"/>
      <c r="AF243"/>
      <c r="AG243"/>
      <c r="AH243" s="655"/>
      <c r="AI243" s="655"/>
      <c r="AJ243" s="655"/>
    </row>
    <row r="244" spans="1:36" x14ac:dyDescent="0.2">
      <c r="A244" s="655"/>
      <c r="B244" s="655"/>
      <c r="C244"/>
      <c r="D244" s="655"/>
      <c r="E244" s="655"/>
      <c r="F244" s="655"/>
      <c r="G244" s="655"/>
      <c r="H244"/>
      <c r="I244"/>
      <c r="J244"/>
      <c r="K244"/>
      <c r="L244" s="655"/>
      <c r="M244" s="655"/>
      <c r="N244"/>
      <c r="O244"/>
      <c r="P244"/>
      <c r="Q244"/>
      <c r="R244"/>
      <c r="S244"/>
      <c r="T244"/>
      <c r="U244"/>
      <c r="V244"/>
      <c r="W244"/>
      <c r="X244" s="655"/>
      <c r="Y244" s="655"/>
      <c r="Z244" s="655"/>
      <c r="AA244" s="655"/>
      <c r="AB244"/>
      <c r="AC244"/>
      <c r="AD244"/>
      <c r="AE244"/>
      <c r="AF244"/>
      <c r="AG244"/>
      <c r="AH244" s="655"/>
      <c r="AI244" s="655"/>
      <c r="AJ244" s="655"/>
    </row>
    <row r="245" spans="1:36" x14ac:dyDescent="0.2">
      <c r="A245" s="655"/>
      <c r="B245" s="655"/>
      <c r="C245"/>
      <c r="D245" s="655"/>
      <c r="E245" s="655"/>
      <c r="F245" s="655"/>
      <c r="G245" s="655"/>
      <c r="H245"/>
      <c r="I245"/>
      <c r="J245"/>
      <c r="K245"/>
      <c r="L245" s="655"/>
      <c r="M245" s="655"/>
      <c r="N245"/>
      <c r="O245"/>
      <c r="P245"/>
      <c r="Q245"/>
      <c r="R245"/>
      <c r="S245"/>
      <c r="T245"/>
      <c r="U245"/>
      <c r="V245"/>
      <c r="W245"/>
      <c r="X245" s="655"/>
      <c r="Y245" s="655"/>
      <c r="Z245" s="655"/>
      <c r="AA245" s="655"/>
      <c r="AB245"/>
      <c r="AC245"/>
      <c r="AD245"/>
      <c r="AE245"/>
      <c r="AF245"/>
      <c r="AG245"/>
      <c r="AH245" s="655"/>
      <c r="AI245" s="655"/>
      <c r="AJ245" s="655"/>
    </row>
    <row r="246" spans="1:36" x14ac:dyDescent="0.2">
      <c r="A246" s="655"/>
      <c r="B246" s="655"/>
      <c r="C246"/>
      <c r="D246" s="655"/>
      <c r="E246" s="655"/>
      <c r="F246" s="655"/>
      <c r="G246" s="655"/>
      <c r="H246"/>
      <c r="I246"/>
      <c r="J246"/>
      <c r="K246"/>
      <c r="L246" s="655"/>
      <c r="M246" s="655"/>
      <c r="N246"/>
      <c r="O246"/>
      <c r="P246"/>
      <c r="Q246"/>
      <c r="R246"/>
      <c r="S246"/>
      <c r="T246"/>
      <c r="U246"/>
      <c r="V246"/>
      <c r="W246"/>
      <c r="X246" s="655"/>
      <c r="Y246" s="655"/>
      <c r="Z246" s="655"/>
      <c r="AA246" s="655"/>
      <c r="AB246"/>
      <c r="AC246"/>
      <c r="AD246"/>
      <c r="AE246"/>
      <c r="AF246"/>
      <c r="AG246"/>
      <c r="AH246" s="655"/>
      <c r="AI246" s="655"/>
      <c r="AJ246" s="655"/>
    </row>
    <row r="247" spans="1:36" x14ac:dyDescent="0.2">
      <c r="A247" s="655"/>
      <c r="B247" s="655"/>
      <c r="C247"/>
      <c r="D247" s="655"/>
      <c r="E247" s="655"/>
      <c r="F247" s="655"/>
      <c r="G247" s="655"/>
      <c r="H247"/>
      <c r="I247"/>
      <c r="J247"/>
      <c r="K247"/>
      <c r="L247" s="655"/>
      <c r="M247" s="655"/>
      <c r="N247"/>
      <c r="O247"/>
      <c r="P247"/>
      <c r="Q247"/>
      <c r="R247"/>
      <c r="S247"/>
      <c r="T247"/>
      <c r="U247"/>
      <c r="V247"/>
      <c r="W247"/>
      <c r="X247" s="655"/>
      <c r="Y247" s="655"/>
      <c r="Z247" s="655"/>
      <c r="AA247" s="655"/>
      <c r="AB247"/>
      <c r="AC247"/>
      <c r="AD247"/>
      <c r="AE247"/>
      <c r="AF247"/>
      <c r="AG247"/>
      <c r="AH247" s="655"/>
      <c r="AI247" s="655"/>
      <c r="AJ247" s="655"/>
    </row>
    <row r="248" spans="1:36" x14ac:dyDescent="0.2">
      <c r="A248" s="655"/>
      <c r="B248" s="655"/>
      <c r="C248"/>
      <c r="D248" s="655"/>
      <c r="E248" s="655"/>
      <c r="F248" s="655"/>
      <c r="G248" s="655"/>
      <c r="H248"/>
      <c r="I248"/>
      <c r="J248"/>
      <c r="K248"/>
      <c r="L248" s="655"/>
      <c r="M248" s="655"/>
      <c r="N248"/>
      <c r="O248"/>
      <c r="P248"/>
      <c r="Q248"/>
      <c r="R248"/>
      <c r="S248"/>
      <c r="T248"/>
      <c r="U248"/>
      <c r="V248"/>
      <c r="W248"/>
      <c r="X248" s="655"/>
      <c r="Y248" s="655"/>
      <c r="Z248" s="655"/>
      <c r="AA248" s="655"/>
      <c r="AB248"/>
      <c r="AC248"/>
      <c r="AD248"/>
      <c r="AE248"/>
      <c r="AF248"/>
      <c r="AG248"/>
      <c r="AH248" s="655"/>
      <c r="AI248" s="655"/>
      <c r="AJ248" s="655"/>
    </row>
    <row r="249" spans="1:36" x14ac:dyDescent="0.2">
      <c r="A249" s="655"/>
      <c r="B249" s="655"/>
      <c r="C249"/>
      <c r="D249" s="655"/>
      <c r="E249" s="655"/>
      <c r="F249" s="655"/>
      <c r="G249" s="655"/>
      <c r="H249"/>
      <c r="I249"/>
      <c r="J249"/>
      <c r="K249"/>
      <c r="L249" s="655"/>
      <c r="M249" s="655"/>
      <c r="N249"/>
      <c r="O249"/>
      <c r="P249"/>
      <c r="Q249"/>
      <c r="R249"/>
      <c r="S249"/>
      <c r="T249"/>
      <c r="U249"/>
      <c r="V249"/>
      <c r="W249"/>
      <c r="X249" s="655"/>
      <c r="Y249" s="655"/>
      <c r="Z249" s="655"/>
      <c r="AA249" s="655"/>
      <c r="AB249"/>
      <c r="AE249"/>
      <c r="AF249"/>
      <c r="AG249"/>
      <c r="AH249" s="655"/>
      <c r="AI249" s="655"/>
      <c r="AJ249" s="655"/>
    </row>
    <row r="250" spans="1:36" x14ac:dyDescent="0.2">
      <c r="A250" s="655"/>
      <c r="B250" s="655"/>
      <c r="C250"/>
      <c r="D250" s="655"/>
      <c r="E250" s="655"/>
      <c r="F250" s="655"/>
      <c r="G250" s="655"/>
      <c r="H250"/>
      <c r="I250"/>
      <c r="J250"/>
      <c r="K250"/>
      <c r="L250" s="655"/>
      <c r="M250" s="655"/>
      <c r="N250"/>
      <c r="O250"/>
      <c r="P250"/>
      <c r="Q250"/>
      <c r="R250"/>
      <c r="S250"/>
      <c r="T250"/>
      <c r="U250"/>
      <c r="V250"/>
      <c r="W250"/>
      <c r="X250" s="655"/>
      <c r="Y250" s="655"/>
      <c r="Z250" s="655"/>
      <c r="AA250" s="655"/>
      <c r="AB250"/>
      <c r="AE250"/>
      <c r="AF250"/>
      <c r="AG250"/>
      <c r="AH250" s="655"/>
      <c r="AI250" s="655"/>
      <c r="AJ250" s="655"/>
    </row>
    <row r="251" spans="1:36" x14ac:dyDescent="0.2">
      <c r="A251" s="655"/>
      <c r="B251" s="655"/>
      <c r="C251"/>
      <c r="D251" s="655"/>
      <c r="E251" s="655"/>
      <c r="F251" s="655"/>
      <c r="G251" s="655"/>
      <c r="H251"/>
      <c r="I251"/>
      <c r="J251"/>
      <c r="K251"/>
      <c r="L251" s="655"/>
      <c r="M251" s="655"/>
      <c r="N251"/>
      <c r="O251"/>
      <c r="P251"/>
      <c r="Q251"/>
      <c r="R251"/>
      <c r="S251"/>
      <c r="T251"/>
      <c r="U251"/>
      <c r="V251"/>
      <c r="W251"/>
      <c r="X251" s="655"/>
      <c r="Y251" s="655"/>
      <c r="Z251" s="655"/>
      <c r="AA251" s="655"/>
      <c r="AB251"/>
      <c r="AC251"/>
      <c r="AD251"/>
      <c r="AE251"/>
      <c r="AF251"/>
      <c r="AG251"/>
      <c r="AH251" s="655"/>
      <c r="AI251" s="655"/>
      <c r="AJ251" s="655"/>
    </row>
    <row r="252" spans="1:36" x14ac:dyDescent="0.2">
      <c r="A252" s="655"/>
      <c r="B252" s="655"/>
      <c r="C252"/>
      <c r="D252" s="655"/>
      <c r="E252" s="655"/>
      <c r="F252" s="655"/>
      <c r="G252" s="655"/>
      <c r="H252"/>
      <c r="I252"/>
      <c r="J252"/>
      <c r="K252"/>
      <c r="L252" s="655"/>
      <c r="M252" s="655"/>
      <c r="N252"/>
      <c r="O252"/>
      <c r="P252"/>
      <c r="Q252"/>
      <c r="R252"/>
      <c r="S252"/>
      <c r="T252"/>
      <c r="U252"/>
      <c r="V252"/>
      <c r="W252"/>
      <c r="X252" s="655"/>
      <c r="Y252" s="655"/>
      <c r="Z252" s="655"/>
      <c r="AA252" s="655"/>
      <c r="AB252"/>
      <c r="AC252"/>
      <c r="AD252"/>
      <c r="AE252"/>
      <c r="AF252"/>
      <c r="AG252"/>
      <c r="AH252" s="655"/>
      <c r="AI252" s="655"/>
      <c r="AJ252" s="655"/>
    </row>
    <row r="253" spans="1:36" x14ac:dyDescent="0.2">
      <c r="A253" s="655"/>
      <c r="B253" s="655"/>
      <c r="C253"/>
      <c r="D253" s="655"/>
      <c r="E253" s="655"/>
      <c r="F253" s="655"/>
      <c r="G253" s="655"/>
      <c r="H253"/>
      <c r="I253"/>
      <c r="J253"/>
      <c r="K253"/>
      <c r="L253" s="655"/>
      <c r="M253" s="655"/>
      <c r="N253"/>
      <c r="O253"/>
      <c r="P253"/>
      <c r="Q253"/>
      <c r="R253"/>
      <c r="S253"/>
      <c r="T253"/>
      <c r="U253"/>
      <c r="V253"/>
      <c r="W253"/>
      <c r="X253" s="655"/>
      <c r="Y253" s="655"/>
      <c r="Z253" s="655"/>
      <c r="AA253" s="655"/>
      <c r="AB253"/>
      <c r="AC253"/>
      <c r="AD253"/>
      <c r="AE253"/>
      <c r="AF253"/>
      <c r="AG253"/>
      <c r="AH253" s="655"/>
      <c r="AI253" s="655"/>
      <c r="AJ253" s="655"/>
    </row>
    <row r="254" spans="1:36" x14ac:dyDescent="0.2">
      <c r="A254" s="655"/>
      <c r="B254" s="655"/>
      <c r="C254"/>
      <c r="D254" s="655"/>
      <c r="E254" s="655"/>
      <c r="F254" s="655"/>
      <c r="G254" s="655"/>
      <c r="H254"/>
      <c r="I254"/>
      <c r="J254"/>
      <c r="K254"/>
      <c r="L254" s="655"/>
      <c r="M254" s="655"/>
      <c r="N254"/>
      <c r="O254"/>
      <c r="P254"/>
      <c r="Q254"/>
      <c r="R254"/>
      <c r="S254"/>
      <c r="T254"/>
      <c r="U254"/>
      <c r="V254"/>
      <c r="W254"/>
      <c r="X254" s="655"/>
      <c r="Y254" s="655"/>
      <c r="Z254" s="655"/>
      <c r="AA254" s="655"/>
      <c r="AB254"/>
      <c r="AC254"/>
      <c r="AD254"/>
      <c r="AE254"/>
      <c r="AF254"/>
      <c r="AG254"/>
      <c r="AH254" s="655"/>
      <c r="AI254" s="655"/>
      <c r="AJ254" s="655"/>
    </row>
    <row r="255" spans="1:36" x14ac:dyDescent="0.2">
      <c r="A255" s="655"/>
      <c r="B255" s="655"/>
      <c r="C255"/>
      <c r="D255" s="655"/>
      <c r="E255" s="655"/>
      <c r="F255" s="655"/>
      <c r="G255" s="655"/>
      <c r="H255"/>
      <c r="I255"/>
      <c r="J255"/>
      <c r="K255"/>
      <c r="L255" s="655"/>
      <c r="M255" s="655"/>
      <c r="N255"/>
      <c r="O255"/>
      <c r="P255"/>
      <c r="Q255"/>
      <c r="R255"/>
      <c r="S255"/>
      <c r="T255"/>
      <c r="U255"/>
      <c r="V255"/>
      <c r="W255"/>
      <c r="X255" s="655"/>
      <c r="Y255" s="655"/>
      <c r="Z255" s="655"/>
      <c r="AA255" s="655"/>
      <c r="AB255"/>
      <c r="AC255"/>
      <c r="AD255"/>
      <c r="AE255"/>
      <c r="AF255"/>
      <c r="AG255"/>
      <c r="AH255" s="655"/>
      <c r="AI255" s="655"/>
      <c r="AJ255" s="655"/>
    </row>
    <row r="256" spans="1:36" x14ac:dyDescent="0.2">
      <c r="A256" s="655"/>
      <c r="B256" s="655"/>
      <c r="C256"/>
      <c r="D256" s="655"/>
      <c r="E256" s="655"/>
      <c r="F256" s="655"/>
      <c r="G256" s="655"/>
      <c r="H256"/>
      <c r="I256"/>
      <c r="J256"/>
      <c r="K256"/>
      <c r="L256" s="655"/>
      <c r="M256" s="655"/>
      <c r="N256"/>
      <c r="O256"/>
      <c r="P256"/>
      <c r="Q256"/>
      <c r="R256"/>
      <c r="S256"/>
      <c r="T256"/>
      <c r="U256"/>
      <c r="V256"/>
      <c r="W256"/>
      <c r="X256" s="655"/>
      <c r="Y256" s="655"/>
      <c r="Z256" s="655"/>
      <c r="AA256" s="655"/>
      <c r="AB256"/>
      <c r="AC256"/>
      <c r="AD256"/>
      <c r="AE256"/>
      <c r="AF256"/>
      <c r="AG256"/>
      <c r="AH256" s="655"/>
      <c r="AI256" s="655"/>
      <c r="AJ256" s="655"/>
    </row>
    <row r="257" spans="1:36" x14ac:dyDescent="0.2">
      <c r="A257" s="655"/>
      <c r="B257" s="655"/>
      <c r="C257"/>
      <c r="D257" s="655"/>
      <c r="E257" s="655"/>
      <c r="F257" s="655"/>
      <c r="G257" s="655"/>
      <c r="H257"/>
      <c r="I257"/>
      <c r="J257"/>
      <c r="K257"/>
      <c r="L257" s="655"/>
      <c r="M257" s="655"/>
      <c r="N257"/>
      <c r="O257"/>
      <c r="P257"/>
      <c r="Q257"/>
      <c r="R257"/>
      <c r="S257"/>
      <c r="T257"/>
      <c r="U257"/>
      <c r="V257"/>
      <c r="W257"/>
      <c r="X257" s="655"/>
      <c r="Y257" s="655"/>
      <c r="Z257" s="655"/>
      <c r="AA257" s="655"/>
      <c r="AB257"/>
      <c r="AC257"/>
      <c r="AD257"/>
      <c r="AE257"/>
      <c r="AF257"/>
      <c r="AG257"/>
      <c r="AH257" s="655"/>
      <c r="AI257" s="655"/>
      <c r="AJ257" s="655"/>
    </row>
    <row r="258" spans="1:36" x14ac:dyDescent="0.2">
      <c r="A258" s="655"/>
      <c r="B258" s="655"/>
      <c r="C258"/>
      <c r="D258" s="655"/>
      <c r="E258" s="655"/>
      <c r="F258" s="655"/>
      <c r="G258" s="655"/>
      <c r="H258"/>
      <c r="I258"/>
      <c r="J258"/>
      <c r="K258"/>
      <c r="L258" s="655"/>
      <c r="M258" s="655"/>
      <c r="N258"/>
      <c r="O258"/>
      <c r="P258"/>
      <c r="Q258"/>
      <c r="R258"/>
      <c r="S258"/>
      <c r="T258"/>
      <c r="U258"/>
      <c r="V258"/>
      <c r="W258"/>
      <c r="X258" s="655"/>
      <c r="Y258" s="655"/>
      <c r="Z258" s="655"/>
      <c r="AA258" s="655"/>
      <c r="AB258"/>
      <c r="AC258"/>
      <c r="AD258"/>
      <c r="AE258"/>
      <c r="AF258"/>
      <c r="AG258"/>
      <c r="AH258" s="655"/>
      <c r="AI258" s="655"/>
      <c r="AJ258" s="655"/>
    </row>
    <row r="259" spans="1:36" x14ac:dyDescent="0.2">
      <c r="A259" s="655"/>
      <c r="B259" s="655"/>
      <c r="C259"/>
      <c r="D259" s="655"/>
      <c r="E259" s="655"/>
      <c r="F259" s="655"/>
      <c r="G259" s="655"/>
      <c r="H259"/>
      <c r="I259"/>
      <c r="J259"/>
      <c r="K259"/>
      <c r="L259" s="655"/>
      <c r="M259" s="655"/>
      <c r="N259"/>
      <c r="O259"/>
      <c r="P259"/>
      <c r="Q259"/>
      <c r="R259"/>
      <c r="S259"/>
      <c r="T259"/>
      <c r="U259"/>
      <c r="V259"/>
      <c r="W259"/>
      <c r="X259" s="655"/>
      <c r="Y259" s="655"/>
      <c r="Z259" s="655"/>
      <c r="AA259" s="655"/>
      <c r="AB259"/>
      <c r="AC259"/>
      <c r="AD259"/>
      <c r="AE259"/>
      <c r="AF259"/>
      <c r="AG259"/>
      <c r="AH259" s="655"/>
      <c r="AI259" s="655"/>
      <c r="AJ259" s="655"/>
    </row>
    <row r="260" spans="1:36" x14ac:dyDescent="0.2">
      <c r="A260" s="655"/>
      <c r="B260" s="655"/>
      <c r="C260"/>
      <c r="D260" s="655"/>
      <c r="E260" s="655"/>
      <c r="F260" s="655"/>
      <c r="G260" s="655"/>
      <c r="H260"/>
      <c r="I260"/>
      <c r="J260"/>
      <c r="K260"/>
      <c r="L260" s="655"/>
      <c r="M260" s="655"/>
      <c r="N260"/>
      <c r="O260"/>
      <c r="P260"/>
      <c r="Q260"/>
      <c r="R260"/>
      <c r="S260"/>
      <c r="T260"/>
      <c r="U260"/>
      <c r="V260"/>
      <c r="W260"/>
      <c r="X260" s="655"/>
      <c r="Y260" s="655"/>
      <c r="Z260" s="655"/>
      <c r="AA260" s="655"/>
      <c r="AB260"/>
      <c r="AC260"/>
      <c r="AD260"/>
      <c r="AE260"/>
      <c r="AF260"/>
      <c r="AG260"/>
      <c r="AH260" s="655"/>
      <c r="AI260" s="655"/>
      <c r="AJ260" s="655"/>
    </row>
    <row r="261" spans="1:36" x14ac:dyDescent="0.2">
      <c r="A261" s="655"/>
      <c r="B261" s="655"/>
      <c r="C261"/>
      <c r="D261" s="655"/>
      <c r="E261" s="655"/>
      <c r="F261" s="655"/>
      <c r="G261" s="655"/>
      <c r="H261"/>
      <c r="I261"/>
      <c r="J261"/>
      <c r="K261"/>
      <c r="L261" s="655"/>
      <c r="M261" s="655"/>
      <c r="N261"/>
      <c r="O261"/>
      <c r="P261"/>
      <c r="Q261"/>
      <c r="R261"/>
      <c r="S261"/>
      <c r="T261"/>
      <c r="U261"/>
      <c r="V261"/>
      <c r="W261"/>
      <c r="X261" s="655"/>
      <c r="Y261" s="655"/>
      <c r="Z261" s="655"/>
      <c r="AA261" s="655"/>
      <c r="AB261"/>
      <c r="AC261"/>
      <c r="AD261"/>
      <c r="AE261"/>
      <c r="AF261"/>
      <c r="AG261"/>
      <c r="AH261" s="655"/>
      <c r="AI261" s="655"/>
      <c r="AJ261" s="655"/>
    </row>
    <row r="262" spans="1:36" x14ac:dyDescent="0.2">
      <c r="A262" s="655"/>
      <c r="B262" s="655"/>
      <c r="C262"/>
      <c r="D262" s="655"/>
      <c r="E262" s="655"/>
      <c r="F262" s="655"/>
      <c r="G262" s="655"/>
      <c r="H262"/>
      <c r="I262"/>
      <c r="J262"/>
      <c r="K262"/>
      <c r="L262" s="655"/>
      <c r="M262" s="655"/>
      <c r="N262"/>
      <c r="O262"/>
      <c r="P262"/>
      <c r="Q262"/>
      <c r="R262"/>
      <c r="S262"/>
      <c r="T262"/>
      <c r="U262"/>
      <c r="V262"/>
      <c r="W262"/>
      <c r="X262" s="655"/>
      <c r="Y262" s="655"/>
      <c r="Z262" s="655"/>
      <c r="AA262" s="655"/>
      <c r="AB262"/>
      <c r="AC262"/>
      <c r="AD262"/>
      <c r="AE262"/>
      <c r="AF262"/>
      <c r="AG262"/>
      <c r="AH262" s="655"/>
      <c r="AI262" s="655"/>
      <c r="AJ262" s="655"/>
    </row>
    <row r="263" spans="1:36" x14ac:dyDescent="0.2">
      <c r="A263" s="655"/>
      <c r="B263" s="655"/>
      <c r="C263"/>
      <c r="D263" s="655"/>
      <c r="E263" s="655"/>
      <c r="F263" s="655"/>
      <c r="G263" s="655"/>
      <c r="H263"/>
      <c r="I263"/>
      <c r="J263"/>
      <c r="K263"/>
      <c r="L263" s="655"/>
      <c r="M263" s="655"/>
      <c r="N263"/>
      <c r="O263"/>
      <c r="P263"/>
      <c r="Q263"/>
      <c r="R263"/>
      <c r="S263"/>
      <c r="T263"/>
      <c r="U263"/>
      <c r="V263"/>
      <c r="W263"/>
      <c r="X263" s="655"/>
      <c r="Y263" s="655"/>
      <c r="Z263" s="655"/>
      <c r="AA263" s="655"/>
      <c r="AB263"/>
      <c r="AC263"/>
      <c r="AD263"/>
      <c r="AE263"/>
      <c r="AF263"/>
      <c r="AG263"/>
      <c r="AH263" s="655"/>
      <c r="AI263" s="655"/>
      <c r="AJ263" s="655"/>
    </row>
    <row r="264" spans="1:36" x14ac:dyDescent="0.2">
      <c r="A264" s="655"/>
      <c r="B264" s="655"/>
      <c r="C264"/>
      <c r="D264" s="655"/>
      <c r="E264" s="655"/>
      <c r="F264" s="655"/>
      <c r="G264" s="655"/>
      <c r="H264"/>
      <c r="I264"/>
      <c r="J264"/>
      <c r="K264"/>
      <c r="L264" s="655"/>
      <c r="M264" s="655"/>
      <c r="N264"/>
      <c r="O264"/>
      <c r="P264"/>
      <c r="Q264"/>
      <c r="R264"/>
      <c r="S264"/>
      <c r="T264"/>
      <c r="U264"/>
      <c r="V264"/>
      <c r="W264"/>
      <c r="X264" s="655"/>
      <c r="Y264" s="655"/>
      <c r="Z264" s="655"/>
      <c r="AA264" s="655"/>
      <c r="AB264"/>
      <c r="AC264"/>
      <c r="AD264"/>
      <c r="AE264"/>
      <c r="AF264"/>
      <c r="AG264"/>
      <c r="AH264" s="655"/>
      <c r="AI264" s="655"/>
      <c r="AJ264" s="655"/>
    </row>
    <row r="265" spans="1:36" x14ac:dyDescent="0.2">
      <c r="A265" s="655"/>
      <c r="B265" s="655"/>
      <c r="C265"/>
      <c r="D265" s="655"/>
      <c r="E265" s="655"/>
      <c r="F265" s="655"/>
      <c r="G265" s="655"/>
      <c r="H265"/>
      <c r="I265"/>
      <c r="J265"/>
      <c r="K265"/>
      <c r="L265" s="655"/>
      <c r="M265" s="655"/>
      <c r="N265"/>
      <c r="O265"/>
      <c r="P265"/>
      <c r="Q265"/>
      <c r="R265"/>
      <c r="S265"/>
      <c r="T265"/>
      <c r="U265"/>
      <c r="V265"/>
      <c r="W265"/>
      <c r="X265" s="655"/>
      <c r="Y265" s="655"/>
      <c r="Z265" s="655"/>
      <c r="AA265" s="655"/>
      <c r="AB265"/>
      <c r="AC265"/>
      <c r="AD265"/>
      <c r="AE265"/>
      <c r="AF265"/>
      <c r="AG265"/>
      <c r="AH265" s="655"/>
      <c r="AI265" s="655"/>
      <c r="AJ265" s="655"/>
    </row>
    <row r="266" spans="1:36" x14ac:dyDescent="0.2">
      <c r="A266" s="655"/>
      <c r="B266" s="655"/>
      <c r="C266"/>
      <c r="D266" s="655"/>
      <c r="E266" s="655"/>
      <c r="F266" s="655"/>
      <c r="G266" s="655"/>
      <c r="H266"/>
      <c r="I266"/>
      <c r="J266"/>
      <c r="K266"/>
      <c r="L266" s="655"/>
      <c r="M266" s="655"/>
      <c r="N266"/>
      <c r="O266"/>
      <c r="P266"/>
      <c r="Q266"/>
      <c r="R266"/>
      <c r="S266"/>
      <c r="T266"/>
      <c r="U266"/>
      <c r="V266"/>
      <c r="W266"/>
      <c r="X266" s="655"/>
      <c r="Y266" s="655"/>
      <c r="Z266" s="655"/>
      <c r="AA266" s="655"/>
      <c r="AB266"/>
      <c r="AC266"/>
      <c r="AD266"/>
      <c r="AE266"/>
      <c r="AF266"/>
      <c r="AG266"/>
      <c r="AH266" s="655"/>
      <c r="AI266" s="655"/>
      <c r="AJ266" s="655"/>
    </row>
    <row r="267" spans="1:36" x14ac:dyDescent="0.2">
      <c r="A267" s="655"/>
      <c r="B267" s="655"/>
      <c r="C267"/>
      <c r="D267" s="655"/>
      <c r="E267" s="655"/>
      <c r="F267" s="655"/>
      <c r="G267" s="655"/>
      <c r="H267"/>
      <c r="I267"/>
      <c r="J267"/>
      <c r="K267"/>
      <c r="L267" s="655"/>
      <c r="M267" s="655"/>
      <c r="N267"/>
      <c r="O267"/>
      <c r="P267"/>
      <c r="Q267"/>
      <c r="R267"/>
      <c r="S267"/>
      <c r="T267"/>
      <c r="U267"/>
      <c r="V267"/>
      <c r="W267"/>
      <c r="X267" s="655"/>
      <c r="Y267" s="655"/>
      <c r="Z267" s="655"/>
      <c r="AA267" s="655"/>
      <c r="AB267"/>
      <c r="AC267"/>
      <c r="AD267"/>
      <c r="AE267"/>
      <c r="AF267"/>
      <c r="AG267"/>
      <c r="AH267" s="655"/>
      <c r="AI267" s="655"/>
      <c r="AJ267" s="655"/>
    </row>
    <row r="268" spans="1:36" x14ac:dyDescent="0.2">
      <c r="A268" s="655"/>
      <c r="B268" s="655"/>
      <c r="C268"/>
      <c r="D268" s="655"/>
      <c r="E268" s="655"/>
      <c r="F268" s="655"/>
      <c r="G268" s="655"/>
      <c r="H268"/>
      <c r="I268"/>
      <c r="J268"/>
      <c r="K268"/>
      <c r="L268" s="655"/>
      <c r="M268" s="655"/>
      <c r="N268"/>
      <c r="O268"/>
      <c r="P268"/>
      <c r="Q268"/>
      <c r="R268"/>
      <c r="S268"/>
      <c r="T268"/>
      <c r="U268"/>
      <c r="V268"/>
      <c r="W268"/>
      <c r="X268" s="655"/>
      <c r="Y268" s="655"/>
      <c r="Z268" s="655"/>
      <c r="AA268" s="655"/>
      <c r="AB268"/>
      <c r="AC268"/>
      <c r="AD268"/>
      <c r="AE268"/>
      <c r="AF268"/>
      <c r="AG268"/>
      <c r="AH268" s="655"/>
      <c r="AI268" s="655"/>
      <c r="AJ268" s="655"/>
    </row>
    <row r="269" spans="1:36" x14ac:dyDescent="0.2">
      <c r="A269" s="655"/>
      <c r="B269" s="655"/>
      <c r="C269"/>
      <c r="D269" s="655"/>
      <c r="E269" s="655"/>
      <c r="F269" s="655"/>
      <c r="G269" s="655"/>
      <c r="H269"/>
      <c r="I269"/>
      <c r="J269"/>
      <c r="K269"/>
      <c r="L269" s="655"/>
      <c r="M269" s="655"/>
      <c r="N269"/>
      <c r="O269"/>
      <c r="P269"/>
      <c r="Q269"/>
      <c r="R269"/>
      <c r="S269"/>
      <c r="T269"/>
      <c r="U269"/>
      <c r="V269"/>
      <c r="W269"/>
      <c r="X269" s="655"/>
      <c r="Y269" s="655"/>
      <c r="Z269" s="655"/>
      <c r="AA269" s="655"/>
      <c r="AB269"/>
      <c r="AC269"/>
      <c r="AD269"/>
      <c r="AE269"/>
      <c r="AF269"/>
      <c r="AG269"/>
      <c r="AH269" s="655"/>
      <c r="AI269" s="655"/>
      <c r="AJ269" s="655"/>
    </row>
    <row r="270" spans="1:36" x14ac:dyDescent="0.2">
      <c r="A270" s="655"/>
      <c r="B270" s="655"/>
      <c r="C270"/>
      <c r="D270" s="655"/>
      <c r="E270" s="655"/>
      <c r="F270" s="655"/>
      <c r="G270" s="655"/>
      <c r="H270"/>
      <c r="I270"/>
      <c r="J270"/>
      <c r="K270"/>
      <c r="L270" s="655"/>
      <c r="M270" s="655"/>
      <c r="N270"/>
      <c r="O270"/>
      <c r="P270"/>
      <c r="Q270"/>
      <c r="R270"/>
      <c r="S270"/>
      <c r="T270"/>
      <c r="U270"/>
      <c r="V270"/>
      <c r="W270"/>
      <c r="X270" s="655"/>
      <c r="Y270" s="655"/>
      <c r="Z270" s="655"/>
      <c r="AA270" s="655"/>
      <c r="AB270"/>
      <c r="AC270"/>
      <c r="AD270"/>
      <c r="AE270"/>
      <c r="AF270"/>
      <c r="AG270"/>
      <c r="AH270" s="655"/>
      <c r="AI270" s="655"/>
      <c r="AJ270" s="655"/>
    </row>
    <row r="271" spans="1:36" x14ac:dyDescent="0.2">
      <c r="A271" s="655"/>
      <c r="B271" s="655"/>
      <c r="C271"/>
      <c r="D271" s="655"/>
      <c r="E271" s="655"/>
      <c r="F271" s="655"/>
      <c r="G271" s="655"/>
      <c r="H271"/>
      <c r="I271"/>
      <c r="J271"/>
      <c r="K271"/>
      <c r="L271" s="655"/>
      <c r="M271" s="655"/>
      <c r="N271"/>
      <c r="O271"/>
      <c r="P271"/>
      <c r="Q271"/>
      <c r="R271"/>
      <c r="S271"/>
      <c r="T271"/>
      <c r="U271"/>
      <c r="V271"/>
      <c r="W271"/>
      <c r="X271" s="655"/>
      <c r="Y271" s="655"/>
      <c r="Z271" s="655"/>
      <c r="AA271" s="655"/>
      <c r="AB271"/>
      <c r="AC271"/>
      <c r="AD271"/>
      <c r="AE271"/>
      <c r="AF271"/>
      <c r="AG271"/>
      <c r="AH271" s="655"/>
      <c r="AI271" s="655"/>
      <c r="AJ271" s="655"/>
    </row>
    <row r="272" spans="1:36" x14ac:dyDescent="0.2">
      <c r="A272" s="655"/>
      <c r="B272" s="655"/>
      <c r="C272"/>
      <c r="D272" s="655"/>
      <c r="E272" s="655"/>
      <c r="F272" s="655"/>
      <c r="G272" s="655"/>
      <c r="H272"/>
      <c r="I272"/>
      <c r="J272"/>
      <c r="K272"/>
      <c r="L272" s="655"/>
      <c r="M272" s="655"/>
      <c r="N272"/>
      <c r="O272"/>
      <c r="P272"/>
      <c r="Q272"/>
      <c r="R272"/>
      <c r="S272"/>
      <c r="T272"/>
      <c r="U272"/>
      <c r="V272"/>
      <c r="W272"/>
      <c r="X272" s="655"/>
      <c r="Y272" s="655"/>
      <c r="Z272" s="655"/>
      <c r="AA272" s="655"/>
      <c r="AB272"/>
      <c r="AC272"/>
      <c r="AD272"/>
      <c r="AE272"/>
      <c r="AF272"/>
      <c r="AG272"/>
      <c r="AH272" s="655"/>
      <c r="AI272" s="655"/>
      <c r="AJ272" s="655"/>
    </row>
    <row r="273" spans="1:36" x14ac:dyDescent="0.2">
      <c r="A273" s="655"/>
      <c r="B273" s="655"/>
      <c r="C273"/>
      <c r="D273" s="655"/>
      <c r="E273" s="655"/>
      <c r="F273" s="655"/>
      <c r="G273" s="655"/>
      <c r="H273"/>
      <c r="I273"/>
      <c r="J273"/>
      <c r="K273"/>
      <c r="L273" s="655"/>
      <c r="M273" s="655"/>
      <c r="N273"/>
      <c r="O273"/>
      <c r="P273"/>
      <c r="Q273"/>
      <c r="R273"/>
      <c r="S273"/>
      <c r="T273"/>
      <c r="U273"/>
      <c r="V273"/>
      <c r="W273"/>
      <c r="X273" s="655"/>
      <c r="Y273" s="655"/>
      <c r="Z273" s="655"/>
      <c r="AA273" s="655"/>
      <c r="AB273"/>
      <c r="AC273"/>
      <c r="AD273"/>
      <c r="AE273"/>
      <c r="AF273"/>
      <c r="AG273"/>
      <c r="AH273" s="655"/>
      <c r="AI273" s="655"/>
      <c r="AJ273" s="655"/>
    </row>
    <row r="274" spans="1:36" x14ac:dyDescent="0.2">
      <c r="A274" s="655"/>
      <c r="B274" s="655"/>
      <c r="C274"/>
      <c r="D274" s="655"/>
      <c r="E274" s="655"/>
      <c r="F274" s="655"/>
      <c r="G274" s="655"/>
      <c r="H274"/>
      <c r="I274"/>
      <c r="J274"/>
      <c r="K274"/>
      <c r="L274" s="655"/>
      <c r="M274" s="655"/>
      <c r="N274"/>
      <c r="O274"/>
      <c r="P274"/>
      <c r="Q274"/>
      <c r="R274"/>
      <c r="S274"/>
      <c r="T274"/>
      <c r="U274"/>
      <c r="V274"/>
      <c r="W274"/>
      <c r="X274" s="655"/>
      <c r="Y274" s="655"/>
      <c r="Z274" s="655"/>
      <c r="AA274" s="655"/>
      <c r="AB274"/>
      <c r="AC274"/>
      <c r="AD274"/>
      <c r="AE274"/>
      <c r="AF274"/>
      <c r="AG274"/>
      <c r="AH274" s="655"/>
      <c r="AI274" s="655"/>
      <c r="AJ274" s="655"/>
    </row>
    <row r="275" spans="1:36" x14ac:dyDescent="0.2">
      <c r="A275" s="655"/>
      <c r="B275" s="655"/>
      <c r="C275"/>
      <c r="D275" s="655"/>
      <c r="E275" s="655"/>
      <c r="F275" s="655"/>
      <c r="G275" s="655"/>
      <c r="H275"/>
      <c r="I275"/>
      <c r="J275"/>
      <c r="K275"/>
      <c r="L275" s="655"/>
      <c r="M275" s="655"/>
      <c r="N275"/>
      <c r="O275"/>
      <c r="P275"/>
      <c r="Q275"/>
      <c r="R275"/>
      <c r="S275"/>
      <c r="T275"/>
      <c r="U275"/>
      <c r="V275"/>
      <c r="W275"/>
      <c r="X275" s="655"/>
      <c r="Y275" s="655"/>
      <c r="Z275" s="655"/>
      <c r="AA275" s="655"/>
      <c r="AB275"/>
      <c r="AC275"/>
      <c r="AD275"/>
      <c r="AE275"/>
      <c r="AF275"/>
      <c r="AG275"/>
      <c r="AH275" s="655"/>
      <c r="AI275" s="655"/>
      <c r="AJ275" s="655"/>
    </row>
    <row r="276" spans="1:36" x14ac:dyDescent="0.2">
      <c r="A276" s="655"/>
      <c r="B276" s="655"/>
      <c r="C276"/>
      <c r="D276" s="655"/>
      <c r="E276" s="655"/>
      <c r="F276" s="655"/>
      <c r="G276" s="655"/>
      <c r="H276"/>
      <c r="I276"/>
      <c r="J276"/>
      <c r="K276"/>
      <c r="L276" s="655"/>
      <c r="M276" s="655"/>
      <c r="N276"/>
      <c r="O276"/>
      <c r="P276"/>
      <c r="Q276"/>
      <c r="R276"/>
      <c r="S276"/>
      <c r="T276"/>
      <c r="U276"/>
      <c r="V276"/>
      <c r="W276"/>
      <c r="X276" s="655"/>
      <c r="Y276" s="655"/>
      <c r="Z276" s="655"/>
      <c r="AA276" s="655"/>
      <c r="AB276"/>
      <c r="AH276" s="655"/>
      <c r="AI276" s="655"/>
      <c r="AJ276" s="655"/>
    </row>
    <row r="277" spans="1:36" x14ac:dyDescent="0.2">
      <c r="A277" s="655"/>
      <c r="B277" s="655"/>
      <c r="C277"/>
      <c r="D277" s="655"/>
      <c r="E277" s="655"/>
      <c r="F277" s="655"/>
      <c r="G277" s="655"/>
      <c r="H277"/>
      <c r="I277"/>
      <c r="J277"/>
      <c r="K277"/>
      <c r="L277" s="655"/>
      <c r="M277" s="655"/>
      <c r="N277"/>
      <c r="O277"/>
      <c r="P277"/>
      <c r="Q277"/>
      <c r="R277"/>
      <c r="S277"/>
      <c r="T277"/>
      <c r="U277"/>
      <c r="V277"/>
      <c r="W277"/>
      <c r="X277" s="655"/>
      <c r="Y277" s="655"/>
      <c r="Z277" s="655"/>
      <c r="AA277" s="655"/>
      <c r="AB277"/>
      <c r="AC277"/>
      <c r="AD277"/>
      <c r="AE277"/>
      <c r="AF277"/>
      <c r="AG277"/>
      <c r="AH277" s="655"/>
      <c r="AI277" s="655"/>
      <c r="AJ277" s="655"/>
    </row>
    <row r="278" spans="1:36" x14ac:dyDescent="0.2">
      <c r="A278" s="655"/>
      <c r="B278" s="655"/>
      <c r="C278"/>
      <c r="D278" s="655"/>
      <c r="E278" s="655"/>
      <c r="F278" s="655"/>
      <c r="G278" s="655"/>
      <c r="H278"/>
      <c r="I278"/>
      <c r="J278"/>
      <c r="K278"/>
      <c r="L278" s="655"/>
      <c r="M278" s="655"/>
      <c r="N278"/>
      <c r="O278"/>
      <c r="P278"/>
      <c r="Q278"/>
      <c r="R278"/>
      <c r="S278"/>
      <c r="T278"/>
      <c r="U278"/>
      <c r="V278"/>
      <c r="W278"/>
      <c r="X278" s="655"/>
      <c r="Y278" s="655"/>
      <c r="Z278" s="655"/>
      <c r="AA278" s="655"/>
      <c r="AB278"/>
      <c r="AC278"/>
      <c r="AD278"/>
      <c r="AE278"/>
      <c r="AF278"/>
      <c r="AG278"/>
      <c r="AH278" s="655"/>
      <c r="AI278" s="655"/>
      <c r="AJ278" s="655"/>
    </row>
    <row r="279" spans="1:36" x14ac:dyDescent="0.2">
      <c r="A279" s="655"/>
      <c r="B279" s="655"/>
      <c r="C279"/>
      <c r="D279" s="655"/>
      <c r="E279" s="655"/>
      <c r="F279" s="655"/>
      <c r="G279" s="655"/>
      <c r="H279"/>
      <c r="I279"/>
      <c r="J279"/>
      <c r="K279"/>
      <c r="L279" s="655"/>
      <c r="M279" s="655"/>
      <c r="N279"/>
      <c r="O279"/>
      <c r="P279"/>
      <c r="Q279"/>
      <c r="R279"/>
      <c r="S279"/>
      <c r="T279"/>
      <c r="U279"/>
      <c r="V279"/>
      <c r="W279"/>
      <c r="X279" s="655"/>
      <c r="Y279" s="655"/>
      <c r="Z279" s="655"/>
      <c r="AA279" s="655"/>
      <c r="AB279"/>
      <c r="AC279"/>
      <c r="AD279"/>
      <c r="AE279"/>
      <c r="AF279"/>
      <c r="AG279"/>
      <c r="AH279" s="655"/>
      <c r="AI279" s="655"/>
      <c r="AJ279" s="655"/>
    </row>
    <row r="280" spans="1:36" x14ac:dyDescent="0.2">
      <c r="A280" s="655"/>
      <c r="B280" s="655"/>
      <c r="C280"/>
      <c r="D280" s="655"/>
      <c r="E280" s="655"/>
      <c r="F280" s="655"/>
      <c r="G280" s="655"/>
      <c r="H280"/>
      <c r="I280"/>
      <c r="J280"/>
      <c r="K280"/>
      <c r="L280" s="655"/>
      <c r="M280" s="655"/>
      <c r="N280"/>
      <c r="O280"/>
      <c r="P280"/>
      <c r="Q280"/>
      <c r="R280"/>
      <c r="S280"/>
      <c r="T280"/>
      <c r="U280"/>
      <c r="V280"/>
      <c r="W280"/>
      <c r="X280" s="655"/>
      <c r="Y280" s="655"/>
      <c r="Z280" s="655"/>
      <c r="AA280" s="655"/>
      <c r="AB280"/>
      <c r="AC280"/>
      <c r="AD280"/>
      <c r="AE280"/>
      <c r="AF280"/>
      <c r="AG280"/>
      <c r="AH280" s="655"/>
      <c r="AI280" s="655"/>
      <c r="AJ280" s="655"/>
    </row>
    <row r="281" spans="1:36" x14ac:dyDescent="0.2">
      <c r="A281" s="655"/>
      <c r="B281" s="655"/>
      <c r="C281"/>
      <c r="D281" s="655"/>
      <c r="E281" s="655"/>
      <c r="F281" s="655"/>
      <c r="G281" s="655"/>
      <c r="H281"/>
      <c r="I281"/>
      <c r="J281"/>
      <c r="K281"/>
      <c r="L281" s="655"/>
      <c r="M281" s="655"/>
      <c r="N281"/>
      <c r="O281"/>
      <c r="P281"/>
      <c r="Q281"/>
      <c r="R281"/>
      <c r="S281"/>
      <c r="T281"/>
      <c r="U281"/>
      <c r="V281"/>
      <c r="W281"/>
      <c r="X281" s="655"/>
      <c r="Y281" s="655"/>
      <c r="Z281" s="655"/>
      <c r="AA281" s="655"/>
      <c r="AB281"/>
      <c r="AC281"/>
      <c r="AD281"/>
      <c r="AE281"/>
      <c r="AF281"/>
      <c r="AG281"/>
      <c r="AH281" s="655"/>
      <c r="AI281" s="655"/>
      <c r="AJ281" s="655"/>
    </row>
    <row r="282" spans="1:36" x14ac:dyDescent="0.2">
      <c r="A282" s="655"/>
      <c r="B282" s="655"/>
      <c r="C282"/>
      <c r="D282" s="655"/>
      <c r="E282" s="655"/>
      <c r="F282" s="655"/>
      <c r="G282" s="655"/>
      <c r="H282"/>
      <c r="I282"/>
      <c r="J282"/>
      <c r="K282"/>
      <c r="L282" s="655"/>
      <c r="M282" s="655"/>
      <c r="N282"/>
      <c r="O282"/>
      <c r="P282"/>
      <c r="Q282"/>
      <c r="R282"/>
      <c r="S282"/>
      <c r="T282"/>
      <c r="U282"/>
      <c r="V282"/>
      <c r="W282"/>
      <c r="X282" s="655"/>
      <c r="Y282" s="655"/>
      <c r="Z282" s="655"/>
      <c r="AA282" s="655"/>
      <c r="AB282"/>
      <c r="AC282"/>
      <c r="AD282"/>
      <c r="AE282"/>
      <c r="AF282"/>
      <c r="AG282"/>
      <c r="AH282" s="655"/>
      <c r="AI282" s="655"/>
      <c r="AJ282" s="655"/>
    </row>
    <row r="283" spans="1:36" x14ac:dyDescent="0.2">
      <c r="A283" s="655"/>
      <c r="B283" s="655"/>
      <c r="C283"/>
      <c r="D283" s="655"/>
      <c r="E283" s="655"/>
      <c r="F283" s="655"/>
      <c r="G283" s="655"/>
      <c r="H283"/>
      <c r="I283"/>
      <c r="J283"/>
      <c r="K283"/>
      <c r="L283" s="655"/>
      <c r="M283" s="655"/>
      <c r="N283"/>
      <c r="O283"/>
      <c r="P283"/>
      <c r="Q283"/>
      <c r="R283"/>
      <c r="S283"/>
      <c r="T283"/>
      <c r="U283"/>
      <c r="V283"/>
      <c r="W283"/>
      <c r="X283" s="655"/>
      <c r="Y283" s="655"/>
      <c r="Z283" s="655"/>
      <c r="AA283" s="655"/>
      <c r="AB283"/>
      <c r="AC283"/>
      <c r="AD283"/>
      <c r="AE283"/>
      <c r="AF283"/>
      <c r="AG283"/>
      <c r="AH283" s="655"/>
      <c r="AI283" s="655"/>
      <c r="AJ283" s="655"/>
    </row>
    <row r="284" spans="1:36" x14ac:dyDescent="0.2">
      <c r="A284" s="655"/>
      <c r="B284" s="655"/>
      <c r="C284"/>
      <c r="D284" s="655"/>
      <c r="E284" s="655"/>
      <c r="F284" s="655"/>
      <c r="G284" s="655"/>
      <c r="H284"/>
      <c r="I284"/>
      <c r="J284"/>
      <c r="K284"/>
      <c r="L284" s="655"/>
      <c r="M284" s="655"/>
      <c r="N284"/>
      <c r="O284"/>
      <c r="P284"/>
      <c r="Q284"/>
      <c r="R284"/>
      <c r="S284"/>
      <c r="T284"/>
      <c r="U284"/>
      <c r="V284"/>
      <c r="W284"/>
      <c r="X284" s="655"/>
      <c r="Y284" s="655"/>
      <c r="Z284" s="655"/>
      <c r="AA284" s="655"/>
      <c r="AB284"/>
      <c r="AC284"/>
      <c r="AD284"/>
      <c r="AE284"/>
      <c r="AF284"/>
      <c r="AG284"/>
      <c r="AH284" s="655"/>
      <c r="AI284" s="655"/>
      <c r="AJ284" s="655"/>
    </row>
    <row r="285" spans="1:36" x14ac:dyDescent="0.2">
      <c r="A285" s="655"/>
      <c r="B285" s="655"/>
      <c r="C285"/>
      <c r="D285" s="655"/>
      <c r="E285" s="655"/>
      <c r="F285" s="655"/>
      <c r="G285" s="655"/>
      <c r="H285"/>
      <c r="I285"/>
      <c r="J285"/>
      <c r="K285"/>
      <c r="L285" s="655"/>
      <c r="M285" s="655"/>
      <c r="N285"/>
      <c r="O285"/>
      <c r="P285"/>
      <c r="Q285"/>
      <c r="R285"/>
      <c r="S285"/>
      <c r="T285"/>
      <c r="U285"/>
      <c r="V285"/>
      <c r="W285"/>
      <c r="X285" s="655"/>
      <c r="Y285" s="655"/>
      <c r="Z285" s="655"/>
      <c r="AA285" s="655"/>
      <c r="AB285"/>
      <c r="AC285"/>
      <c r="AD285"/>
      <c r="AE285"/>
      <c r="AF285"/>
      <c r="AG285"/>
      <c r="AH285" s="655"/>
      <c r="AI285" s="655"/>
      <c r="AJ285" s="655"/>
    </row>
    <row r="286" spans="1:36" x14ac:dyDescent="0.2">
      <c r="A286" s="655"/>
      <c r="B286" s="655"/>
      <c r="C286"/>
      <c r="D286" s="655"/>
      <c r="E286" s="655"/>
      <c r="F286" s="655"/>
      <c r="G286" s="655"/>
      <c r="H286"/>
      <c r="I286"/>
      <c r="J286"/>
      <c r="K286"/>
      <c r="L286" s="655"/>
      <c r="M286" s="655"/>
      <c r="N286"/>
      <c r="O286"/>
      <c r="P286"/>
      <c r="Q286"/>
      <c r="R286"/>
      <c r="S286"/>
      <c r="T286"/>
      <c r="U286"/>
      <c r="V286"/>
      <c r="W286"/>
      <c r="X286" s="655"/>
      <c r="Y286" s="655"/>
      <c r="Z286" s="655"/>
      <c r="AA286" s="655"/>
      <c r="AB286"/>
      <c r="AC286"/>
      <c r="AD286"/>
      <c r="AE286"/>
      <c r="AF286"/>
      <c r="AG286"/>
      <c r="AH286" s="655"/>
      <c r="AI286" s="655"/>
      <c r="AJ286" s="655"/>
    </row>
    <row r="287" spans="1:36" x14ac:dyDescent="0.2">
      <c r="A287" s="655"/>
      <c r="B287" s="655"/>
      <c r="C287"/>
      <c r="D287" s="655"/>
      <c r="E287" s="655"/>
      <c r="F287" s="655"/>
      <c r="G287" s="655"/>
      <c r="H287"/>
      <c r="I287"/>
      <c r="J287"/>
      <c r="K287"/>
      <c r="L287" s="655"/>
      <c r="M287" s="655"/>
      <c r="N287"/>
      <c r="O287"/>
      <c r="P287"/>
      <c r="Q287"/>
      <c r="R287"/>
      <c r="S287"/>
      <c r="T287"/>
      <c r="U287"/>
      <c r="V287"/>
      <c r="W287"/>
      <c r="X287" s="655"/>
      <c r="Y287" s="655"/>
      <c r="Z287" s="655"/>
      <c r="AA287" s="655"/>
      <c r="AB287"/>
      <c r="AC287"/>
      <c r="AD287"/>
      <c r="AE287"/>
      <c r="AF287"/>
      <c r="AG287"/>
      <c r="AH287" s="655"/>
      <c r="AI287" s="655"/>
      <c r="AJ287" s="655"/>
    </row>
    <row r="288" spans="1:36" x14ac:dyDescent="0.2">
      <c r="A288" s="655"/>
      <c r="B288" s="655"/>
      <c r="C288"/>
      <c r="D288" s="655"/>
      <c r="E288" s="655"/>
      <c r="F288" s="655"/>
      <c r="G288" s="655"/>
      <c r="H288"/>
      <c r="I288"/>
      <c r="J288"/>
      <c r="K288"/>
      <c r="L288" s="655"/>
      <c r="M288" s="655"/>
      <c r="N288"/>
      <c r="O288"/>
      <c r="P288"/>
      <c r="Q288"/>
      <c r="R288"/>
      <c r="S288"/>
      <c r="T288"/>
      <c r="U288"/>
      <c r="V288"/>
      <c r="W288"/>
      <c r="X288" s="655"/>
      <c r="Y288" s="655"/>
      <c r="Z288" s="655"/>
      <c r="AA288" s="655"/>
      <c r="AB288"/>
      <c r="AC288"/>
      <c r="AD288"/>
      <c r="AE288"/>
      <c r="AF288"/>
      <c r="AG288"/>
      <c r="AH288" s="655"/>
      <c r="AI288" s="655"/>
      <c r="AJ288" s="655"/>
    </row>
    <row r="289" spans="1:36" x14ac:dyDescent="0.2">
      <c r="A289" s="655"/>
      <c r="B289" s="655"/>
      <c r="C289"/>
      <c r="D289" s="655"/>
      <c r="E289" s="655"/>
      <c r="F289" s="655"/>
      <c r="G289" s="655"/>
      <c r="H289"/>
      <c r="I289"/>
      <c r="J289"/>
      <c r="K289"/>
      <c r="L289" s="655"/>
      <c r="M289" s="655"/>
      <c r="N289"/>
      <c r="O289"/>
      <c r="P289"/>
      <c r="Q289"/>
      <c r="R289"/>
      <c r="S289"/>
      <c r="T289"/>
      <c r="U289"/>
      <c r="V289"/>
      <c r="W289"/>
      <c r="X289" s="655"/>
      <c r="Y289" s="655"/>
      <c r="Z289" s="655"/>
      <c r="AA289" s="655"/>
      <c r="AB289"/>
      <c r="AC289"/>
      <c r="AD289"/>
      <c r="AE289"/>
      <c r="AF289"/>
      <c r="AG289"/>
      <c r="AH289" s="655"/>
      <c r="AI289" s="655"/>
      <c r="AJ289" s="655"/>
    </row>
    <row r="290" spans="1:36" x14ac:dyDescent="0.2">
      <c r="A290" s="655"/>
      <c r="B290" s="655"/>
      <c r="C290"/>
      <c r="D290" s="655"/>
      <c r="E290" s="655"/>
      <c r="F290" s="655"/>
      <c r="G290" s="655"/>
      <c r="H290"/>
      <c r="I290"/>
      <c r="J290"/>
      <c r="K290"/>
      <c r="L290" s="655"/>
      <c r="M290" s="655"/>
      <c r="N290"/>
      <c r="O290"/>
      <c r="P290"/>
      <c r="Q290"/>
      <c r="R290"/>
      <c r="S290"/>
      <c r="T290"/>
      <c r="U290"/>
      <c r="V290"/>
      <c r="W290"/>
      <c r="X290" s="655"/>
      <c r="Y290" s="655"/>
      <c r="Z290" s="655"/>
      <c r="AA290" s="655"/>
      <c r="AB290"/>
      <c r="AC290"/>
      <c r="AD290"/>
      <c r="AE290"/>
      <c r="AF290"/>
      <c r="AG290"/>
      <c r="AH290" s="655"/>
      <c r="AI290" s="655"/>
      <c r="AJ290" s="655"/>
    </row>
    <row r="291" spans="1:36" x14ac:dyDescent="0.2">
      <c r="A291" s="655"/>
      <c r="B291" s="655"/>
      <c r="C291"/>
      <c r="D291" s="655"/>
      <c r="E291" s="655"/>
      <c r="F291" s="655"/>
      <c r="G291" s="655"/>
      <c r="H291"/>
      <c r="I291"/>
      <c r="J291"/>
      <c r="K291"/>
      <c r="L291" s="655"/>
      <c r="M291" s="655"/>
      <c r="N291"/>
      <c r="O291"/>
      <c r="P291"/>
      <c r="Q291"/>
      <c r="R291"/>
      <c r="S291"/>
      <c r="T291"/>
      <c r="U291"/>
      <c r="V291"/>
      <c r="W291"/>
      <c r="X291" s="655"/>
      <c r="Y291" s="655"/>
      <c r="Z291" s="655"/>
      <c r="AA291" s="655"/>
      <c r="AB291"/>
      <c r="AC291"/>
      <c r="AD291"/>
      <c r="AE291"/>
      <c r="AF291"/>
      <c r="AG291"/>
      <c r="AH291" s="655"/>
      <c r="AI291" s="655"/>
      <c r="AJ291" s="655"/>
    </row>
    <row r="292" spans="1:36" x14ac:dyDescent="0.2">
      <c r="A292" s="655"/>
      <c r="B292" s="655"/>
      <c r="C292"/>
      <c r="D292" s="655"/>
      <c r="E292" s="655"/>
      <c r="F292" s="655"/>
      <c r="G292" s="655"/>
      <c r="H292"/>
      <c r="I292"/>
      <c r="J292"/>
      <c r="K292"/>
      <c r="L292" s="655"/>
      <c r="M292" s="655"/>
      <c r="N292"/>
      <c r="O292"/>
      <c r="P292"/>
      <c r="Q292"/>
      <c r="R292"/>
      <c r="S292"/>
      <c r="T292"/>
      <c r="U292"/>
      <c r="V292"/>
      <c r="W292"/>
      <c r="X292" s="655"/>
      <c r="Y292" s="655"/>
      <c r="Z292" s="655"/>
      <c r="AA292" s="655"/>
      <c r="AB292"/>
      <c r="AC292"/>
      <c r="AD292"/>
      <c r="AE292"/>
      <c r="AF292"/>
      <c r="AG292"/>
      <c r="AH292" s="655"/>
      <c r="AI292" s="655"/>
      <c r="AJ292" s="655"/>
    </row>
    <row r="293" spans="1:36" x14ac:dyDescent="0.2">
      <c r="A293" s="655"/>
      <c r="B293" s="655"/>
      <c r="C293"/>
      <c r="D293" s="655"/>
      <c r="E293" s="655"/>
      <c r="F293" s="655"/>
      <c r="G293" s="655"/>
      <c r="H293"/>
      <c r="I293"/>
      <c r="J293"/>
      <c r="K293"/>
      <c r="L293" s="655"/>
      <c r="M293" s="655"/>
      <c r="N293"/>
      <c r="O293"/>
      <c r="P293"/>
      <c r="Q293"/>
      <c r="R293"/>
      <c r="S293"/>
      <c r="T293"/>
      <c r="U293"/>
      <c r="V293"/>
      <c r="W293"/>
      <c r="X293" s="655"/>
      <c r="Y293" s="655"/>
      <c r="Z293" s="655"/>
      <c r="AA293" s="655"/>
      <c r="AB293"/>
      <c r="AC293"/>
      <c r="AD293"/>
      <c r="AE293"/>
      <c r="AF293"/>
      <c r="AG293"/>
      <c r="AH293" s="655"/>
      <c r="AI293" s="655"/>
      <c r="AJ293" s="655"/>
    </row>
    <row r="294" spans="1:36" x14ac:dyDescent="0.2">
      <c r="A294" s="655"/>
      <c r="B294" s="655"/>
      <c r="C294"/>
      <c r="D294" s="655"/>
      <c r="E294" s="655"/>
      <c r="F294" s="655"/>
      <c r="G294" s="655"/>
      <c r="H294"/>
      <c r="I294"/>
      <c r="J294"/>
      <c r="K294"/>
      <c r="L294" s="655"/>
      <c r="M294" s="655"/>
      <c r="N294"/>
      <c r="O294"/>
      <c r="P294"/>
      <c r="Q294"/>
      <c r="R294"/>
      <c r="S294"/>
      <c r="T294"/>
      <c r="U294"/>
      <c r="V294"/>
      <c r="W294"/>
      <c r="X294" s="655"/>
      <c r="Y294" s="655"/>
      <c r="Z294" s="655"/>
      <c r="AA294" s="655"/>
      <c r="AB294"/>
      <c r="AC294"/>
      <c r="AD294"/>
      <c r="AE294"/>
      <c r="AF294"/>
      <c r="AG294"/>
      <c r="AH294" s="655"/>
      <c r="AI294" s="655"/>
      <c r="AJ294" s="655"/>
    </row>
    <row r="295" spans="1:36" x14ac:dyDescent="0.2">
      <c r="A295" s="655"/>
      <c r="B295" s="655"/>
      <c r="C295"/>
      <c r="D295" s="655"/>
      <c r="E295" s="655"/>
      <c r="F295" s="655"/>
      <c r="G295" s="655"/>
      <c r="H295"/>
      <c r="I295"/>
      <c r="J295"/>
      <c r="K295"/>
      <c r="L295" s="655"/>
      <c r="M295" s="655"/>
      <c r="N295"/>
      <c r="O295"/>
      <c r="P295"/>
      <c r="Q295"/>
      <c r="R295"/>
      <c r="S295"/>
      <c r="T295"/>
      <c r="U295"/>
      <c r="V295"/>
      <c r="W295"/>
      <c r="X295" s="655"/>
      <c r="Y295" s="655"/>
      <c r="Z295" s="655"/>
      <c r="AA295" s="655"/>
      <c r="AB295"/>
      <c r="AC295"/>
      <c r="AD295"/>
      <c r="AE295"/>
      <c r="AF295"/>
      <c r="AG295"/>
      <c r="AH295" s="655"/>
      <c r="AI295" s="655"/>
      <c r="AJ295" s="655"/>
    </row>
    <row r="296" spans="1:36" x14ac:dyDescent="0.2">
      <c r="A296" s="655"/>
      <c r="B296" s="655"/>
      <c r="C296"/>
      <c r="D296" s="655"/>
      <c r="E296" s="655"/>
      <c r="F296" s="655"/>
      <c r="G296" s="655"/>
      <c r="H296"/>
      <c r="I296"/>
      <c r="J296"/>
      <c r="K296"/>
      <c r="L296" s="655"/>
      <c r="M296" s="655"/>
      <c r="N296"/>
      <c r="O296"/>
      <c r="P296"/>
      <c r="Q296"/>
      <c r="R296"/>
      <c r="S296"/>
      <c r="T296"/>
      <c r="U296"/>
      <c r="V296"/>
      <c r="W296"/>
      <c r="X296" s="655"/>
      <c r="Y296" s="655"/>
      <c r="Z296" s="655"/>
      <c r="AA296" s="655"/>
      <c r="AB296"/>
      <c r="AD296"/>
      <c r="AE296"/>
      <c r="AF296"/>
      <c r="AG296"/>
      <c r="AH296" s="655"/>
      <c r="AI296" s="655"/>
      <c r="AJ296" s="655"/>
    </row>
    <row r="297" spans="1:36" x14ac:dyDescent="0.2">
      <c r="A297" s="655"/>
      <c r="B297" s="655"/>
      <c r="C297"/>
      <c r="D297" s="655"/>
      <c r="E297" s="655"/>
      <c r="F297" s="655"/>
      <c r="G297" s="655"/>
      <c r="H297"/>
      <c r="I297"/>
      <c r="J297"/>
      <c r="K297"/>
      <c r="L297" s="655"/>
      <c r="M297" s="655"/>
      <c r="N297"/>
      <c r="O297"/>
      <c r="P297"/>
      <c r="Q297"/>
      <c r="R297"/>
      <c r="S297"/>
      <c r="T297"/>
      <c r="U297"/>
      <c r="V297"/>
      <c r="W297"/>
      <c r="X297" s="655"/>
      <c r="Y297" s="655"/>
      <c r="Z297" s="655"/>
      <c r="AA297" s="655"/>
      <c r="AB297"/>
      <c r="AC297"/>
      <c r="AD297"/>
      <c r="AE297"/>
      <c r="AF297"/>
      <c r="AG297"/>
      <c r="AH297" s="655"/>
      <c r="AI297" s="655"/>
      <c r="AJ297" s="655"/>
    </row>
    <row r="298" spans="1:36" x14ac:dyDescent="0.2">
      <c r="A298" s="655"/>
      <c r="B298" s="655"/>
      <c r="C298"/>
      <c r="D298" s="655"/>
      <c r="E298" s="655"/>
      <c r="F298" s="655"/>
      <c r="G298" s="655"/>
      <c r="H298"/>
      <c r="I298"/>
      <c r="J298"/>
      <c r="K298"/>
      <c r="L298" s="655"/>
      <c r="M298" s="655"/>
      <c r="N298"/>
      <c r="O298"/>
      <c r="P298"/>
      <c r="Q298"/>
      <c r="R298"/>
      <c r="S298"/>
      <c r="T298"/>
      <c r="U298"/>
      <c r="V298"/>
      <c r="W298"/>
      <c r="X298" s="655"/>
      <c r="Y298" s="655"/>
      <c r="Z298" s="655"/>
      <c r="AA298" s="655"/>
      <c r="AB298"/>
      <c r="AC298"/>
      <c r="AD298"/>
      <c r="AE298"/>
      <c r="AF298"/>
      <c r="AG298"/>
      <c r="AH298" s="655"/>
      <c r="AI298" s="655"/>
      <c r="AJ298" s="655"/>
    </row>
    <row r="299" spans="1:36" x14ac:dyDescent="0.2">
      <c r="A299" s="655"/>
      <c r="B299" s="655"/>
      <c r="C299"/>
      <c r="D299" s="655"/>
      <c r="E299" s="655"/>
      <c r="F299" s="655"/>
      <c r="G299" s="655"/>
      <c r="H299"/>
      <c r="I299"/>
      <c r="J299"/>
      <c r="K299"/>
      <c r="L299" s="655"/>
      <c r="M299" s="655"/>
      <c r="N299"/>
      <c r="O299"/>
      <c r="P299"/>
      <c r="Q299"/>
      <c r="R299"/>
      <c r="S299"/>
      <c r="T299"/>
      <c r="U299"/>
      <c r="V299"/>
      <c r="W299"/>
      <c r="X299" s="655"/>
      <c r="Y299" s="655"/>
      <c r="Z299" s="655"/>
      <c r="AA299" s="655"/>
      <c r="AB299"/>
      <c r="AC299"/>
      <c r="AD299"/>
      <c r="AE299"/>
      <c r="AF299"/>
      <c r="AG299"/>
      <c r="AH299" s="655"/>
      <c r="AI299" s="655"/>
      <c r="AJ299" s="655"/>
    </row>
    <row r="300" spans="1:36" x14ac:dyDescent="0.2">
      <c r="A300" s="655"/>
      <c r="B300" s="655"/>
      <c r="C300"/>
      <c r="D300" s="655"/>
      <c r="E300" s="655"/>
      <c r="F300" s="655"/>
      <c r="G300" s="655"/>
      <c r="H300"/>
      <c r="I300"/>
      <c r="J300"/>
      <c r="K300"/>
      <c r="L300" s="655"/>
      <c r="M300" s="655"/>
      <c r="N300"/>
      <c r="O300"/>
      <c r="P300"/>
      <c r="Q300"/>
      <c r="R300"/>
      <c r="S300"/>
      <c r="T300"/>
      <c r="U300"/>
      <c r="V300"/>
      <c r="W300"/>
      <c r="X300" s="655"/>
      <c r="Y300" s="655"/>
      <c r="Z300" s="655"/>
      <c r="AA300" s="655"/>
      <c r="AB300"/>
      <c r="AC300"/>
      <c r="AD300"/>
      <c r="AE300"/>
      <c r="AF300"/>
      <c r="AG300"/>
      <c r="AH300" s="655"/>
      <c r="AI300" s="655"/>
      <c r="AJ300" s="655"/>
    </row>
    <row r="301" spans="1:36" x14ac:dyDescent="0.2">
      <c r="A301" s="655"/>
      <c r="B301" s="655"/>
      <c r="C301"/>
      <c r="D301" s="655"/>
      <c r="E301" s="655"/>
      <c r="F301" s="655"/>
      <c r="G301" s="655"/>
      <c r="H301"/>
      <c r="I301"/>
      <c r="J301"/>
      <c r="K301"/>
      <c r="L301" s="655"/>
      <c r="M301" s="655"/>
      <c r="N301"/>
      <c r="O301"/>
      <c r="P301"/>
      <c r="Q301"/>
      <c r="R301"/>
      <c r="S301"/>
      <c r="T301"/>
      <c r="U301"/>
      <c r="V301"/>
      <c r="W301"/>
      <c r="X301" s="655"/>
      <c r="Y301" s="655"/>
      <c r="Z301" s="655"/>
      <c r="AA301" s="655"/>
      <c r="AB301"/>
      <c r="AC301"/>
      <c r="AD301"/>
      <c r="AE301"/>
      <c r="AF301"/>
      <c r="AG301"/>
      <c r="AH301" s="655"/>
      <c r="AI301" s="655"/>
      <c r="AJ301" s="655"/>
    </row>
    <row r="302" spans="1:36" x14ac:dyDescent="0.2">
      <c r="A302" s="655"/>
      <c r="B302" s="655"/>
      <c r="C302"/>
      <c r="D302" s="655"/>
      <c r="E302" s="655"/>
      <c r="F302" s="655"/>
      <c r="G302" s="655"/>
      <c r="H302"/>
      <c r="I302"/>
      <c r="J302"/>
      <c r="K302"/>
      <c r="L302" s="655"/>
      <c r="M302" s="655"/>
      <c r="N302"/>
      <c r="O302"/>
      <c r="P302"/>
      <c r="Q302"/>
      <c r="R302"/>
      <c r="S302"/>
      <c r="T302"/>
      <c r="U302"/>
      <c r="V302"/>
      <c r="W302"/>
      <c r="X302" s="655"/>
      <c r="Y302" s="655"/>
      <c r="Z302" s="655"/>
      <c r="AA302" s="655"/>
      <c r="AB302"/>
      <c r="AC302"/>
      <c r="AD302"/>
      <c r="AE302"/>
      <c r="AF302"/>
      <c r="AG302"/>
      <c r="AH302" s="655"/>
      <c r="AI302" s="655"/>
      <c r="AJ302" s="655"/>
    </row>
    <row r="303" spans="1:36" x14ac:dyDescent="0.2">
      <c r="A303" s="655"/>
      <c r="B303" s="655"/>
      <c r="C303"/>
      <c r="D303" s="655"/>
      <c r="E303" s="655"/>
      <c r="F303" s="655"/>
      <c r="G303" s="655"/>
      <c r="H303"/>
      <c r="I303"/>
      <c r="J303"/>
      <c r="K303"/>
      <c r="L303" s="655"/>
      <c r="M303" s="655"/>
      <c r="N303"/>
      <c r="O303"/>
      <c r="P303"/>
      <c r="Q303"/>
      <c r="R303"/>
      <c r="S303"/>
      <c r="T303"/>
      <c r="U303"/>
      <c r="V303"/>
      <c r="W303"/>
      <c r="X303" s="655"/>
      <c r="Y303" s="655"/>
      <c r="Z303" s="655"/>
      <c r="AA303" s="655"/>
      <c r="AB303"/>
      <c r="AC303"/>
      <c r="AD303"/>
      <c r="AE303"/>
      <c r="AF303"/>
      <c r="AG303"/>
      <c r="AH303" s="655"/>
      <c r="AI303" s="655"/>
      <c r="AJ303" s="655"/>
    </row>
    <row r="304" spans="1:36" x14ac:dyDescent="0.2">
      <c r="A304" s="655"/>
      <c r="B304" s="655"/>
      <c r="C304"/>
      <c r="D304" s="655"/>
      <c r="E304" s="655"/>
      <c r="F304" s="655"/>
      <c r="G304" s="655"/>
      <c r="H304"/>
      <c r="I304"/>
      <c r="J304"/>
      <c r="K304"/>
      <c r="L304" s="655"/>
      <c r="M304" s="655"/>
      <c r="N304"/>
      <c r="O304"/>
      <c r="P304"/>
      <c r="Q304"/>
      <c r="R304"/>
      <c r="S304"/>
      <c r="T304"/>
      <c r="U304"/>
      <c r="V304"/>
      <c r="W304"/>
      <c r="X304" s="655"/>
      <c r="Y304" s="655"/>
      <c r="Z304" s="655"/>
      <c r="AA304" s="655"/>
      <c r="AB304"/>
      <c r="AC304"/>
      <c r="AD304"/>
      <c r="AE304"/>
      <c r="AF304"/>
      <c r="AG304"/>
      <c r="AH304" s="655"/>
      <c r="AI304" s="655"/>
      <c r="AJ304" s="655"/>
    </row>
    <row r="305" spans="1:36" x14ac:dyDescent="0.2">
      <c r="A305" s="655"/>
      <c r="B305" s="655"/>
      <c r="C305"/>
      <c r="D305" s="655"/>
      <c r="E305" s="655"/>
      <c r="F305" s="655"/>
      <c r="G305" s="655"/>
      <c r="H305"/>
      <c r="I305"/>
      <c r="J305"/>
      <c r="K305"/>
      <c r="L305" s="655"/>
      <c r="M305" s="655"/>
      <c r="N305"/>
      <c r="O305"/>
      <c r="P305"/>
      <c r="Q305"/>
      <c r="R305"/>
      <c r="S305"/>
      <c r="T305"/>
      <c r="U305"/>
      <c r="V305"/>
      <c r="W305"/>
      <c r="X305" s="655"/>
      <c r="Y305" s="655"/>
      <c r="Z305" s="655"/>
      <c r="AA305" s="655"/>
      <c r="AB305"/>
      <c r="AC305"/>
      <c r="AD305"/>
      <c r="AE305"/>
      <c r="AH305" s="655"/>
      <c r="AI305" s="655"/>
      <c r="AJ305" s="655"/>
    </row>
    <row r="306" spans="1:36" x14ac:dyDescent="0.2">
      <c r="A306" s="655"/>
      <c r="B306" s="655"/>
      <c r="C306"/>
      <c r="D306" s="655"/>
      <c r="E306" s="655"/>
      <c r="F306" s="655"/>
      <c r="G306" s="655"/>
      <c r="H306"/>
      <c r="I306"/>
      <c r="J306"/>
      <c r="K306"/>
      <c r="L306" s="655"/>
      <c r="M306" s="655"/>
      <c r="N306"/>
      <c r="O306"/>
      <c r="P306"/>
      <c r="Q306"/>
      <c r="R306"/>
      <c r="S306"/>
      <c r="T306"/>
      <c r="U306"/>
      <c r="V306"/>
      <c r="W306"/>
      <c r="X306" s="655"/>
      <c r="Y306" s="655"/>
      <c r="Z306" s="655"/>
      <c r="AA306" s="655"/>
      <c r="AB306"/>
      <c r="AD306"/>
      <c r="AE306"/>
      <c r="AF306"/>
      <c r="AG306"/>
      <c r="AH306" s="655"/>
      <c r="AI306" s="655"/>
      <c r="AJ306" s="655"/>
    </row>
    <row r="307" spans="1:36" x14ac:dyDescent="0.2">
      <c r="A307" s="655"/>
      <c r="B307" s="655"/>
      <c r="C307"/>
      <c r="D307" s="655"/>
      <c r="E307" s="655"/>
      <c r="F307" s="655"/>
      <c r="G307" s="655"/>
      <c r="H307"/>
      <c r="I307"/>
      <c r="J307"/>
      <c r="K307"/>
      <c r="L307" s="655"/>
      <c r="M307" s="655"/>
      <c r="N307"/>
      <c r="O307"/>
      <c r="P307"/>
      <c r="Q307"/>
      <c r="R307"/>
      <c r="S307"/>
      <c r="T307"/>
      <c r="U307"/>
      <c r="V307"/>
      <c r="W307"/>
      <c r="X307" s="655"/>
      <c r="Y307" s="655"/>
      <c r="Z307" s="655"/>
      <c r="AA307" s="655"/>
      <c r="AB307"/>
      <c r="AC307"/>
      <c r="AD307"/>
      <c r="AE307"/>
      <c r="AF307"/>
      <c r="AG307"/>
      <c r="AH307" s="655"/>
      <c r="AI307" s="655"/>
      <c r="AJ307" s="655"/>
    </row>
    <row r="308" spans="1:36" x14ac:dyDescent="0.2">
      <c r="A308" s="655"/>
      <c r="B308" s="655"/>
      <c r="C308"/>
      <c r="D308" s="655"/>
      <c r="E308" s="655"/>
      <c r="F308" s="655"/>
      <c r="G308" s="655"/>
      <c r="H308"/>
      <c r="I308"/>
      <c r="J308"/>
      <c r="K308"/>
      <c r="L308" s="655"/>
      <c r="M308" s="655"/>
      <c r="N308"/>
      <c r="O308"/>
      <c r="P308"/>
      <c r="Q308"/>
      <c r="R308"/>
      <c r="S308"/>
      <c r="T308"/>
      <c r="U308"/>
      <c r="V308"/>
      <c r="W308"/>
      <c r="X308" s="655"/>
      <c r="Y308" s="655"/>
      <c r="Z308" s="655"/>
      <c r="AA308" s="655"/>
      <c r="AB308"/>
      <c r="AC308"/>
      <c r="AD308"/>
      <c r="AE308"/>
      <c r="AF308"/>
      <c r="AG308"/>
      <c r="AH308" s="655"/>
      <c r="AI308" s="655"/>
      <c r="AJ308" s="655"/>
    </row>
    <row r="309" spans="1:36" x14ac:dyDescent="0.2">
      <c r="A309" s="655"/>
      <c r="B309" s="655"/>
      <c r="C309"/>
      <c r="D309" s="655"/>
      <c r="E309" s="655"/>
      <c r="F309" s="655"/>
      <c r="G309" s="655"/>
      <c r="H309"/>
      <c r="I309"/>
      <c r="J309"/>
      <c r="K309"/>
      <c r="L309" s="655"/>
      <c r="M309" s="655"/>
      <c r="N309"/>
      <c r="O309"/>
      <c r="P309"/>
      <c r="Q309"/>
      <c r="R309"/>
      <c r="S309"/>
      <c r="T309"/>
      <c r="U309"/>
      <c r="V309"/>
      <c r="W309"/>
      <c r="X309" s="655"/>
      <c r="Y309" s="655"/>
      <c r="Z309" s="655"/>
      <c r="AA309" s="655"/>
      <c r="AB309"/>
      <c r="AC309"/>
      <c r="AD309"/>
      <c r="AE309"/>
      <c r="AF309"/>
      <c r="AG309"/>
      <c r="AH309" s="655"/>
      <c r="AI309" s="655"/>
      <c r="AJ309" s="655"/>
    </row>
    <row r="310" spans="1:36" x14ac:dyDescent="0.2">
      <c r="A310" s="655"/>
      <c r="B310" s="655"/>
      <c r="C310"/>
      <c r="D310" s="655"/>
      <c r="E310" s="655"/>
      <c r="F310" s="655"/>
      <c r="G310" s="655"/>
      <c r="H310"/>
      <c r="I310"/>
      <c r="J310"/>
      <c r="K310"/>
      <c r="L310" s="655"/>
      <c r="M310" s="655"/>
      <c r="N310"/>
      <c r="O310"/>
      <c r="P310"/>
      <c r="Q310"/>
      <c r="R310"/>
      <c r="S310"/>
      <c r="T310"/>
      <c r="U310"/>
      <c r="V310"/>
      <c r="W310"/>
      <c r="X310" s="655"/>
      <c r="Y310" s="655"/>
      <c r="Z310" s="655"/>
      <c r="AA310" s="655"/>
      <c r="AB310"/>
      <c r="AC310"/>
      <c r="AD310"/>
      <c r="AE310"/>
      <c r="AF310"/>
      <c r="AG310"/>
      <c r="AH310" s="655"/>
      <c r="AI310" s="655"/>
      <c r="AJ310" s="655"/>
    </row>
    <row r="311" spans="1:36" x14ac:dyDescent="0.2">
      <c r="A311" s="655"/>
      <c r="B311" s="655"/>
      <c r="C311"/>
      <c r="D311" s="655"/>
      <c r="E311" s="655"/>
      <c r="F311" s="655"/>
      <c r="G311" s="655"/>
      <c r="H311"/>
      <c r="I311"/>
      <c r="J311"/>
      <c r="K311"/>
      <c r="L311" s="655"/>
      <c r="M311" s="655"/>
      <c r="N311"/>
      <c r="O311"/>
      <c r="P311"/>
      <c r="Q311"/>
      <c r="R311"/>
      <c r="S311"/>
      <c r="T311"/>
      <c r="U311"/>
      <c r="V311"/>
      <c r="W311"/>
      <c r="X311" s="655"/>
      <c r="Y311" s="655"/>
      <c r="Z311" s="655"/>
      <c r="AA311" s="655"/>
      <c r="AB311"/>
      <c r="AC311"/>
      <c r="AD311"/>
      <c r="AE311"/>
      <c r="AF311"/>
      <c r="AG311"/>
      <c r="AH311" s="655"/>
      <c r="AI311" s="655"/>
      <c r="AJ311" s="655"/>
    </row>
    <row r="312" spans="1:36" x14ac:dyDescent="0.2">
      <c r="A312" s="655"/>
      <c r="B312" s="655"/>
      <c r="C312"/>
      <c r="D312" s="655"/>
      <c r="E312" s="655"/>
      <c r="F312" s="655"/>
      <c r="G312" s="655"/>
      <c r="H312"/>
      <c r="I312"/>
      <c r="J312"/>
      <c r="K312"/>
      <c r="L312" s="655"/>
      <c r="M312" s="655"/>
      <c r="N312"/>
      <c r="O312"/>
      <c r="P312"/>
      <c r="Q312"/>
      <c r="R312"/>
      <c r="S312"/>
      <c r="T312"/>
      <c r="U312"/>
      <c r="V312"/>
      <c r="W312"/>
      <c r="X312" s="655"/>
      <c r="Y312" s="655"/>
      <c r="Z312" s="655"/>
      <c r="AA312" s="655"/>
      <c r="AB312"/>
      <c r="AC312"/>
      <c r="AD312"/>
      <c r="AE312"/>
      <c r="AF312"/>
      <c r="AG312"/>
      <c r="AH312" s="655"/>
      <c r="AI312" s="655"/>
      <c r="AJ312" s="655"/>
    </row>
    <row r="313" spans="1:36" x14ac:dyDescent="0.2">
      <c r="A313" s="655"/>
      <c r="B313" s="655"/>
      <c r="C313"/>
      <c r="D313" s="655"/>
      <c r="E313" s="655"/>
      <c r="F313" s="655"/>
      <c r="G313" s="655"/>
      <c r="H313"/>
      <c r="I313"/>
      <c r="J313"/>
      <c r="K313"/>
      <c r="L313" s="655"/>
      <c r="M313" s="655"/>
      <c r="N313"/>
      <c r="O313"/>
      <c r="P313"/>
      <c r="Q313"/>
      <c r="R313"/>
      <c r="S313"/>
      <c r="T313"/>
      <c r="U313"/>
      <c r="V313"/>
      <c r="W313"/>
      <c r="X313" s="655"/>
      <c r="Y313" s="655"/>
      <c r="Z313" s="655"/>
      <c r="AA313" s="655"/>
      <c r="AB313"/>
      <c r="AC313"/>
      <c r="AD313"/>
      <c r="AE313"/>
      <c r="AF313"/>
      <c r="AG313"/>
      <c r="AH313" s="655"/>
      <c r="AI313" s="655"/>
      <c r="AJ313" s="655"/>
    </row>
    <row r="314" spans="1:36" x14ac:dyDescent="0.2">
      <c r="A314" s="655"/>
      <c r="B314" s="655"/>
      <c r="C314"/>
      <c r="D314" s="655"/>
      <c r="E314" s="655"/>
      <c r="F314" s="655"/>
      <c r="G314" s="655"/>
      <c r="H314"/>
      <c r="I314"/>
      <c r="J314"/>
      <c r="K314"/>
      <c r="L314" s="655"/>
      <c r="M314" s="655"/>
      <c r="N314"/>
      <c r="O314"/>
      <c r="P314"/>
      <c r="Q314"/>
      <c r="R314"/>
      <c r="S314"/>
      <c r="T314"/>
      <c r="U314"/>
      <c r="V314"/>
      <c r="W314"/>
      <c r="X314" s="655"/>
      <c r="Y314" s="655"/>
      <c r="Z314" s="655"/>
      <c r="AA314" s="655"/>
      <c r="AB314"/>
      <c r="AC314"/>
      <c r="AD314"/>
      <c r="AE314"/>
      <c r="AF314"/>
      <c r="AG314"/>
      <c r="AH314" s="655"/>
      <c r="AI314" s="655"/>
      <c r="AJ314" s="655"/>
    </row>
    <row r="315" spans="1:36" x14ac:dyDescent="0.2">
      <c r="A315" s="655"/>
      <c r="B315" s="655"/>
      <c r="C315"/>
      <c r="D315" s="655"/>
      <c r="E315" s="655"/>
      <c r="F315" s="655"/>
      <c r="G315" s="655"/>
      <c r="H315"/>
      <c r="I315"/>
      <c r="J315"/>
      <c r="K315"/>
      <c r="L315" s="655"/>
      <c r="M315" s="655"/>
      <c r="N315"/>
      <c r="O315"/>
      <c r="P315"/>
      <c r="Q315"/>
      <c r="R315"/>
      <c r="S315"/>
      <c r="T315"/>
      <c r="U315"/>
      <c r="V315"/>
      <c r="W315"/>
      <c r="X315" s="655"/>
      <c r="Y315" s="655"/>
      <c r="Z315" s="655"/>
      <c r="AA315" s="655"/>
      <c r="AB315"/>
      <c r="AC315"/>
      <c r="AD315"/>
      <c r="AE315"/>
      <c r="AF315"/>
      <c r="AG315"/>
      <c r="AH315" s="655"/>
      <c r="AI315" s="655"/>
      <c r="AJ315" s="655"/>
    </row>
    <row r="316" spans="1:36" x14ac:dyDescent="0.2">
      <c r="A316" s="655"/>
      <c r="B316" s="655"/>
      <c r="C316"/>
      <c r="D316" s="655"/>
      <c r="E316" s="655"/>
      <c r="F316" s="655"/>
      <c r="G316" s="655"/>
      <c r="H316"/>
      <c r="I316"/>
      <c r="J316"/>
      <c r="K316"/>
      <c r="L316" s="655"/>
      <c r="M316" s="655"/>
      <c r="N316"/>
      <c r="O316"/>
      <c r="P316"/>
      <c r="Q316"/>
      <c r="R316"/>
      <c r="S316"/>
      <c r="T316"/>
      <c r="U316"/>
      <c r="V316"/>
      <c r="W316"/>
      <c r="X316" s="655"/>
      <c r="Y316" s="655"/>
      <c r="Z316" s="655"/>
      <c r="AA316" s="655"/>
      <c r="AB316"/>
      <c r="AC316"/>
      <c r="AD316"/>
      <c r="AE316"/>
      <c r="AF316"/>
      <c r="AG316"/>
      <c r="AH316" s="655"/>
      <c r="AI316" s="655"/>
      <c r="AJ316" s="655"/>
    </row>
    <row r="317" spans="1:36" x14ac:dyDescent="0.2">
      <c r="A317" s="655"/>
      <c r="B317" s="655"/>
      <c r="C317"/>
      <c r="D317" s="655"/>
      <c r="E317" s="655"/>
      <c r="F317" s="655"/>
      <c r="G317" s="655"/>
      <c r="H317"/>
      <c r="I317"/>
      <c r="J317"/>
      <c r="K317"/>
      <c r="L317" s="655"/>
      <c r="M317" s="655"/>
      <c r="N317"/>
      <c r="O317"/>
      <c r="P317"/>
      <c r="Q317"/>
      <c r="R317"/>
      <c r="S317"/>
      <c r="T317"/>
      <c r="U317"/>
      <c r="V317"/>
      <c r="W317"/>
      <c r="X317" s="655"/>
      <c r="Y317" s="655"/>
      <c r="Z317" s="655"/>
      <c r="AA317" s="655"/>
      <c r="AB317"/>
      <c r="AH317" s="655"/>
      <c r="AI317" s="655"/>
      <c r="AJ317" s="655"/>
    </row>
    <row r="318" spans="1:36" x14ac:dyDescent="0.2">
      <c r="A318" s="655"/>
      <c r="B318" s="655"/>
      <c r="C318"/>
      <c r="D318" s="655"/>
      <c r="E318" s="655"/>
      <c r="F318" s="655"/>
      <c r="G318" s="655"/>
      <c r="H318"/>
      <c r="I318"/>
      <c r="J318"/>
      <c r="K318"/>
      <c r="L318" s="655"/>
      <c r="M318" s="655"/>
      <c r="N318"/>
      <c r="O318"/>
      <c r="P318"/>
      <c r="Q318"/>
      <c r="R318"/>
      <c r="S318"/>
      <c r="T318"/>
      <c r="U318"/>
      <c r="V318"/>
      <c r="W318"/>
      <c r="X318" s="655"/>
      <c r="Y318" s="655"/>
      <c r="Z318" s="655"/>
      <c r="AA318" s="655"/>
      <c r="AB318"/>
      <c r="AC318"/>
      <c r="AD318"/>
      <c r="AE318"/>
      <c r="AF318"/>
      <c r="AG318"/>
      <c r="AH318" s="655"/>
      <c r="AI318" s="655"/>
      <c r="AJ318" s="655"/>
    </row>
    <row r="319" spans="1:36" x14ac:dyDescent="0.2">
      <c r="A319" s="655"/>
      <c r="B319" s="655"/>
      <c r="C319"/>
      <c r="D319" s="655"/>
      <c r="E319" s="655"/>
      <c r="F319" s="655"/>
      <c r="G319" s="655"/>
      <c r="H319"/>
      <c r="I319"/>
      <c r="J319"/>
      <c r="K319"/>
      <c r="L319" s="655"/>
      <c r="M319" s="655"/>
      <c r="N319"/>
      <c r="O319"/>
      <c r="P319"/>
      <c r="Q319"/>
      <c r="R319"/>
      <c r="S319"/>
      <c r="T319"/>
      <c r="U319"/>
      <c r="V319"/>
      <c r="W319"/>
      <c r="X319" s="655"/>
      <c r="Y319" s="655"/>
      <c r="Z319" s="655"/>
      <c r="AA319" s="655"/>
      <c r="AB319"/>
      <c r="AC319"/>
      <c r="AD319"/>
      <c r="AE319"/>
      <c r="AF319"/>
      <c r="AG319"/>
      <c r="AH319" s="655"/>
      <c r="AI319" s="655"/>
      <c r="AJ319" s="655"/>
    </row>
    <row r="320" spans="1:36" x14ac:dyDescent="0.2">
      <c r="A320" s="655"/>
      <c r="B320" s="655"/>
      <c r="C320"/>
      <c r="D320" s="655"/>
      <c r="E320" s="655"/>
      <c r="F320" s="655"/>
      <c r="G320" s="655"/>
      <c r="H320"/>
      <c r="I320"/>
      <c r="J320"/>
      <c r="K320"/>
      <c r="L320" s="655"/>
      <c r="M320" s="655"/>
      <c r="N320"/>
      <c r="O320"/>
      <c r="P320"/>
      <c r="Q320"/>
      <c r="R320"/>
      <c r="S320"/>
      <c r="T320"/>
      <c r="U320"/>
      <c r="V320"/>
      <c r="W320"/>
      <c r="X320" s="655"/>
      <c r="Y320" s="655"/>
      <c r="Z320" s="655"/>
      <c r="AA320" s="655"/>
      <c r="AB320"/>
      <c r="AC320"/>
      <c r="AD320"/>
      <c r="AE320"/>
      <c r="AF320"/>
      <c r="AG320"/>
      <c r="AH320" s="655"/>
      <c r="AI320" s="655"/>
      <c r="AJ320" s="655"/>
    </row>
    <row r="321" spans="1:36" x14ac:dyDescent="0.2">
      <c r="A321" s="655"/>
      <c r="B321" s="655"/>
      <c r="C321"/>
      <c r="D321" s="655"/>
      <c r="E321" s="655"/>
      <c r="F321" s="655"/>
      <c r="G321" s="655"/>
      <c r="H321"/>
      <c r="I321"/>
      <c r="J321"/>
      <c r="K321"/>
      <c r="L321" s="655"/>
      <c r="M321" s="655"/>
      <c r="N321"/>
      <c r="O321"/>
      <c r="P321"/>
      <c r="Q321"/>
      <c r="R321"/>
      <c r="S321"/>
      <c r="T321"/>
      <c r="U321"/>
      <c r="V321"/>
      <c r="W321"/>
      <c r="X321" s="655"/>
      <c r="Y321" s="655"/>
      <c r="Z321" s="655"/>
      <c r="AA321" s="655"/>
      <c r="AB321"/>
      <c r="AC321"/>
      <c r="AD321"/>
      <c r="AE321"/>
      <c r="AF321"/>
      <c r="AG321"/>
      <c r="AH321" s="655"/>
      <c r="AI321" s="655"/>
      <c r="AJ321" s="655"/>
    </row>
    <row r="322" spans="1:36" x14ac:dyDescent="0.2">
      <c r="A322" s="655"/>
      <c r="B322" s="655"/>
      <c r="C322"/>
      <c r="D322" s="655"/>
      <c r="E322" s="655"/>
      <c r="F322" s="655"/>
      <c r="G322" s="655"/>
      <c r="H322"/>
      <c r="I322"/>
      <c r="J322"/>
      <c r="K322"/>
      <c r="L322" s="655"/>
      <c r="M322" s="655"/>
      <c r="N322"/>
      <c r="O322"/>
      <c r="P322"/>
      <c r="Q322"/>
      <c r="R322"/>
      <c r="S322"/>
      <c r="T322"/>
      <c r="U322"/>
      <c r="V322"/>
      <c r="W322"/>
      <c r="X322" s="655"/>
      <c r="Y322" s="655"/>
      <c r="Z322" s="655"/>
      <c r="AA322" s="655"/>
      <c r="AB322"/>
      <c r="AC322"/>
      <c r="AD322"/>
      <c r="AE322"/>
      <c r="AF322"/>
      <c r="AG322"/>
      <c r="AH322" s="655"/>
      <c r="AI322" s="655"/>
      <c r="AJ322" s="655"/>
    </row>
    <row r="323" spans="1:36" x14ac:dyDescent="0.2">
      <c r="A323" s="655"/>
      <c r="B323" s="655"/>
      <c r="C323"/>
      <c r="D323" s="655"/>
      <c r="E323" s="655"/>
      <c r="F323" s="655"/>
      <c r="G323" s="655"/>
      <c r="H323"/>
      <c r="I323"/>
      <c r="J323"/>
      <c r="K323"/>
      <c r="L323" s="655"/>
      <c r="M323" s="655"/>
      <c r="N323"/>
      <c r="O323"/>
      <c r="P323"/>
      <c r="Q323"/>
      <c r="R323"/>
      <c r="S323"/>
      <c r="T323"/>
      <c r="U323"/>
      <c r="V323"/>
      <c r="W323"/>
      <c r="X323" s="655"/>
      <c r="Y323" s="655"/>
      <c r="Z323" s="655"/>
      <c r="AA323" s="655"/>
      <c r="AB323"/>
      <c r="AC323"/>
      <c r="AD323"/>
      <c r="AE323"/>
      <c r="AF323"/>
      <c r="AG323"/>
      <c r="AH323" s="655"/>
      <c r="AI323" s="655"/>
      <c r="AJ323" s="655"/>
    </row>
    <row r="324" spans="1:36" x14ac:dyDescent="0.2">
      <c r="A324" s="655"/>
      <c r="B324" s="655"/>
      <c r="C324"/>
      <c r="D324" s="655"/>
      <c r="E324" s="655"/>
      <c r="F324" s="655"/>
      <c r="G324" s="655"/>
      <c r="H324"/>
      <c r="I324"/>
      <c r="J324"/>
      <c r="K324"/>
      <c r="L324" s="655"/>
      <c r="M324" s="655"/>
      <c r="N324"/>
      <c r="O324"/>
      <c r="P324"/>
      <c r="Q324"/>
      <c r="R324"/>
      <c r="S324"/>
      <c r="T324"/>
      <c r="U324"/>
      <c r="V324"/>
      <c r="W324"/>
      <c r="X324" s="655"/>
      <c r="Y324" s="655"/>
      <c r="Z324" s="655"/>
      <c r="AA324" s="655"/>
      <c r="AB324"/>
      <c r="AC324"/>
      <c r="AD324"/>
      <c r="AE324"/>
      <c r="AF324"/>
      <c r="AG324"/>
      <c r="AH324" s="655"/>
      <c r="AI324" s="655"/>
      <c r="AJ324" s="655"/>
    </row>
    <row r="325" spans="1:36" x14ac:dyDescent="0.2">
      <c r="A325" s="655"/>
      <c r="B325" s="655"/>
      <c r="C325"/>
      <c r="D325" s="655"/>
      <c r="E325" s="655"/>
      <c r="F325" s="655"/>
      <c r="G325" s="655"/>
      <c r="H325"/>
      <c r="I325"/>
      <c r="J325"/>
      <c r="K325"/>
      <c r="L325" s="655"/>
      <c r="M325" s="655"/>
      <c r="N325"/>
      <c r="O325"/>
      <c r="P325"/>
      <c r="Q325"/>
      <c r="R325"/>
      <c r="S325"/>
      <c r="T325"/>
      <c r="U325"/>
      <c r="V325"/>
      <c r="W325"/>
      <c r="X325" s="655"/>
      <c r="Y325" s="655"/>
      <c r="Z325" s="655"/>
      <c r="AA325" s="655"/>
      <c r="AB325"/>
      <c r="AC325"/>
      <c r="AD325"/>
      <c r="AE325"/>
      <c r="AF325"/>
      <c r="AG325"/>
      <c r="AH325" s="655"/>
      <c r="AI325" s="655"/>
      <c r="AJ325" s="655"/>
    </row>
    <row r="326" spans="1:36" x14ac:dyDescent="0.2">
      <c r="A326" s="655"/>
      <c r="B326" s="655"/>
      <c r="C326"/>
      <c r="D326" s="655"/>
      <c r="E326" s="655"/>
      <c r="F326" s="655"/>
      <c r="G326" s="655"/>
      <c r="H326"/>
      <c r="I326"/>
      <c r="J326"/>
      <c r="K326"/>
      <c r="L326" s="655"/>
      <c r="M326" s="655"/>
      <c r="N326"/>
      <c r="O326"/>
      <c r="P326"/>
      <c r="Q326"/>
      <c r="R326"/>
      <c r="S326"/>
      <c r="T326"/>
      <c r="U326"/>
      <c r="V326"/>
      <c r="W326"/>
      <c r="X326" s="655"/>
      <c r="Y326" s="655"/>
      <c r="Z326" s="655"/>
      <c r="AA326" s="655"/>
      <c r="AB326"/>
      <c r="AC326"/>
      <c r="AD326"/>
      <c r="AE326"/>
      <c r="AF326"/>
      <c r="AG326"/>
      <c r="AH326" s="655"/>
      <c r="AI326" s="655"/>
      <c r="AJ326" s="655"/>
    </row>
    <row r="327" spans="1:36" x14ac:dyDescent="0.2">
      <c r="A327" s="655"/>
      <c r="B327" s="655"/>
      <c r="C327"/>
      <c r="D327" s="655"/>
      <c r="E327" s="655"/>
      <c r="F327" s="655"/>
      <c r="G327" s="655"/>
      <c r="H327"/>
      <c r="I327"/>
      <c r="J327"/>
      <c r="K327"/>
      <c r="L327" s="655"/>
      <c r="M327" s="655"/>
      <c r="N327"/>
      <c r="O327"/>
      <c r="P327"/>
      <c r="Q327"/>
      <c r="R327"/>
      <c r="S327"/>
      <c r="T327"/>
      <c r="U327"/>
      <c r="V327"/>
      <c r="W327"/>
      <c r="X327" s="655"/>
      <c r="Y327" s="655"/>
      <c r="Z327" s="655"/>
      <c r="AA327" s="655"/>
      <c r="AB327"/>
      <c r="AC327"/>
      <c r="AD327"/>
      <c r="AE327"/>
      <c r="AF327"/>
      <c r="AG327"/>
      <c r="AH327" s="655"/>
      <c r="AI327" s="655"/>
      <c r="AJ327" s="655"/>
    </row>
    <row r="328" spans="1:36" x14ac:dyDescent="0.2">
      <c r="A328" s="655"/>
      <c r="B328" s="655"/>
      <c r="C328"/>
      <c r="D328" s="655"/>
      <c r="E328" s="655"/>
      <c r="F328" s="655"/>
      <c r="G328" s="655"/>
      <c r="H328"/>
      <c r="I328"/>
      <c r="J328"/>
      <c r="K328"/>
      <c r="L328" s="655"/>
      <c r="M328" s="655"/>
      <c r="N328"/>
      <c r="O328"/>
      <c r="P328"/>
      <c r="Q328"/>
      <c r="R328"/>
      <c r="S328"/>
      <c r="T328"/>
      <c r="U328"/>
      <c r="V328"/>
      <c r="W328"/>
      <c r="X328" s="655"/>
      <c r="Y328" s="655"/>
      <c r="Z328" s="655"/>
      <c r="AA328" s="655"/>
      <c r="AB328"/>
      <c r="AC328"/>
      <c r="AD328"/>
      <c r="AE328"/>
      <c r="AF328"/>
      <c r="AG328"/>
      <c r="AH328" s="655"/>
      <c r="AI328" s="655"/>
      <c r="AJ328" s="655"/>
    </row>
    <row r="329" spans="1:36" x14ac:dyDescent="0.2">
      <c r="A329" s="655"/>
      <c r="B329" s="655"/>
      <c r="C329"/>
      <c r="D329" s="655"/>
      <c r="E329" s="655"/>
      <c r="F329" s="655"/>
      <c r="G329" s="655"/>
      <c r="H329"/>
      <c r="I329"/>
      <c r="J329"/>
      <c r="K329"/>
      <c r="L329" s="655"/>
      <c r="M329" s="655"/>
      <c r="N329"/>
      <c r="O329"/>
      <c r="P329"/>
      <c r="Q329"/>
      <c r="R329"/>
      <c r="S329"/>
      <c r="T329"/>
      <c r="U329"/>
      <c r="V329"/>
      <c r="W329"/>
      <c r="X329" s="655"/>
      <c r="Y329" s="655"/>
      <c r="Z329" s="655"/>
      <c r="AA329" s="655"/>
      <c r="AB329"/>
      <c r="AC329"/>
      <c r="AD329"/>
      <c r="AE329"/>
      <c r="AF329"/>
      <c r="AG329"/>
      <c r="AH329" s="655"/>
      <c r="AI329" s="655"/>
      <c r="AJ329" s="655"/>
    </row>
    <row r="330" spans="1:36" x14ac:dyDescent="0.2">
      <c r="A330" s="655"/>
      <c r="B330" s="655"/>
      <c r="C330"/>
      <c r="D330" s="655"/>
      <c r="E330" s="655"/>
      <c r="F330" s="655"/>
      <c r="G330" s="655"/>
      <c r="H330"/>
      <c r="I330"/>
      <c r="J330"/>
      <c r="K330"/>
      <c r="L330" s="655"/>
      <c r="M330" s="655"/>
      <c r="N330"/>
      <c r="O330"/>
      <c r="P330"/>
      <c r="Q330"/>
      <c r="R330"/>
      <c r="S330"/>
      <c r="T330"/>
      <c r="U330"/>
      <c r="V330"/>
      <c r="W330"/>
      <c r="X330" s="655"/>
      <c r="Y330" s="655"/>
      <c r="Z330" s="655"/>
      <c r="AA330" s="655"/>
      <c r="AB330"/>
      <c r="AC330"/>
      <c r="AD330"/>
      <c r="AE330"/>
      <c r="AF330"/>
      <c r="AG330"/>
      <c r="AH330" s="655"/>
      <c r="AI330" s="655"/>
      <c r="AJ330" s="655"/>
    </row>
    <row r="331" spans="1:36" x14ac:dyDescent="0.2">
      <c r="A331" s="655"/>
      <c r="B331" s="655"/>
      <c r="C331"/>
      <c r="D331" s="655"/>
      <c r="E331" s="655"/>
      <c r="F331" s="655"/>
      <c r="G331" s="655"/>
      <c r="H331"/>
      <c r="I331"/>
      <c r="J331"/>
      <c r="K331"/>
      <c r="L331" s="655"/>
      <c r="M331" s="655"/>
      <c r="N331"/>
      <c r="O331"/>
      <c r="P331"/>
      <c r="Q331"/>
      <c r="R331"/>
      <c r="S331"/>
      <c r="T331"/>
      <c r="U331"/>
      <c r="V331"/>
      <c r="W331"/>
      <c r="X331" s="655"/>
      <c r="Y331" s="655"/>
      <c r="Z331" s="655"/>
      <c r="AA331" s="655"/>
      <c r="AB331"/>
      <c r="AC331"/>
      <c r="AD331"/>
      <c r="AE331"/>
      <c r="AF331"/>
      <c r="AG331"/>
      <c r="AH331" s="655"/>
      <c r="AI331" s="655"/>
      <c r="AJ331" s="655"/>
    </row>
    <row r="332" spans="1:36" x14ac:dyDescent="0.2">
      <c r="A332" s="655"/>
      <c r="B332" s="655"/>
      <c r="C332"/>
      <c r="D332" s="655"/>
      <c r="E332" s="655"/>
      <c r="F332" s="655"/>
      <c r="G332" s="655"/>
      <c r="H332"/>
      <c r="I332"/>
      <c r="J332"/>
      <c r="K332"/>
      <c r="L332" s="655"/>
      <c r="M332" s="655"/>
      <c r="N332"/>
      <c r="O332"/>
      <c r="P332"/>
      <c r="Q332"/>
      <c r="R332"/>
      <c r="S332"/>
      <c r="T332"/>
      <c r="U332"/>
      <c r="V332"/>
      <c r="W332"/>
      <c r="X332" s="655"/>
      <c r="Y332" s="655"/>
      <c r="Z332" s="655"/>
      <c r="AA332" s="655"/>
      <c r="AB332"/>
      <c r="AC332"/>
      <c r="AD332"/>
      <c r="AE332"/>
      <c r="AF332"/>
      <c r="AG332"/>
      <c r="AH332" s="655"/>
      <c r="AI332" s="655"/>
      <c r="AJ332" s="655"/>
    </row>
    <row r="333" spans="1:36" x14ac:dyDescent="0.2">
      <c r="A333" s="655"/>
      <c r="B333" s="655"/>
      <c r="C333"/>
      <c r="D333" s="655"/>
      <c r="E333" s="655"/>
      <c r="F333" s="655"/>
      <c r="G333" s="655"/>
      <c r="H333"/>
      <c r="I333"/>
      <c r="J333"/>
      <c r="K333"/>
      <c r="L333" s="655"/>
      <c r="M333" s="655"/>
      <c r="N333"/>
      <c r="O333"/>
      <c r="P333"/>
      <c r="Q333"/>
      <c r="R333"/>
      <c r="S333"/>
      <c r="T333"/>
      <c r="U333"/>
      <c r="V333"/>
      <c r="W333"/>
      <c r="X333" s="655"/>
      <c r="Y333" s="655"/>
      <c r="Z333" s="655"/>
      <c r="AA333" s="655"/>
      <c r="AB333"/>
      <c r="AC333"/>
      <c r="AD333"/>
      <c r="AE333"/>
      <c r="AF333"/>
      <c r="AG333"/>
      <c r="AH333" s="655"/>
      <c r="AI333" s="655"/>
      <c r="AJ333" s="655"/>
    </row>
    <row r="334" spans="1:36" x14ac:dyDescent="0.2">
      <c r="A334" s="655"/>
      <c r="B334" s="655"/>
      <c r="C334"/>
      <c r="D334" s="655"/>
      <c r="E334" s="655"/>
      <c r="F334" s="655"/>
      <c r="G334" s="655"/>
      <c r="H334"/>
      <c r="I334"/>
      <c r="J334"/>
      <c r="K334"/>
      <c r="L334" s="655"/>
      <c r="M334" s="655"/>
      <c r="N334"/>
      <c r="O334"/>
      <c r="P334"/>
      <c r="Q334"/>
      <c r="R334"/>
      <c r="S334"/>
      <c r="T334"/>
      <c r="U334"/>
      <c r="V334"/>
      <c r="W334"/>
      <c r="X334" s="655"/>
      <c r="Y334" s="655"/>
      <c r="Z334" s="655"/>
      <c r="AA334" s="655"/>
      <c r="AB334"/>
      <c r="AC334"/>
      <c r="AD334"/>
      <c r="AE334"/>
      <c r="AF334"/>
      <c r="AG334"/>
      <c r="AH334" s="655"/>
      <c r="AI334" s="655"/>
      <c r="AJ334" s="655"/>
    </row>
    <row r="335" spans="1:36" x14ac:dyDescent="0.2">
      <c r="A335" s="655"/>
      <c r="B335" s="655"/>
      <c r="C335"/>
      <c r="D335" s="655"/>
      <c r="E335" s="655"/>
      <c r="F335" s="655"/>
      <c r="G335" s="655"/>
      <c r="H335"/>
      <c r="I335"/>
      <c r="J335"/>
      <c r="K335"/>
      <c r="L335" s="655"/>
      <c r="M335" s="655"/>
      <c r="N335"/>
      <c r="O335"/>
      <c r="P335"/>
      <c r="Q335"/>
      <c r="R335"/>
      <c r="S335"/>
      <c r="T335"/>
      <c r="U335"/>
      <c r="V335"/>
      <c r="W335"/>
      <c r="X335" s="655"/>
      <c r="Y335" s="655"/>
      <c r="Z335" s="655"/>
      <c r="AA335" s="655"/>
      <c r="AB335"/>
      <c r="AC335"/>
      <c r="AD335"/>
      <c r="AE335"/>
      <c r="AF335"/>
      <c r="AG335"/>
      <c r="AH335" s="655"/>
      <c r="AI335" s="655"/>
      <c r="AJ335" s="655"/>
    </row>
    <row r="336" spans="1:36" x14ac:dyDescent="0.2">
      <c r="A336" s="655"/>
      <c r="B336" s="655"/>
      <c r="C336"/>
      <c r="D336" s="655"/>
      <c r="E336" s="655"/>
      <c r="F336" s="655"/>
      <c r="G336" s="655"/>
      <c r="H336"/>
      <c r="I336"/>
      <c r="J336"/>
      <c r="K336"/>
      <c r="L336" s="655"/>
      <c r="M336" s="655"/>
      <c r="N336"/>
      <c r="O336"/>
      <c r="P336"/>
      <c r="Q336"/>
      <c r="R336"/>
      <c r="S336"/>
      <c r="T336"/>
      <c r="U336"/>
      <c r="V336"/>
      <c r="W336"/>
      <c r="X336" s="655"/>
      <c r="Y336" s="655"/>
      <c r="Z336" s="655"/>
      <c r="AA336" s="655"/>
      <c r="AB336"/>
      <c r="AC336"/>
      <c r="AD336"/>
      <c r="AE336"/>
      <c r="AF336"/>
      <c r="AG336"/>
      <c r="AH336" s="655"/>
      <c r="AI336" s="655"/>
      <c r="AJ336" s="655"/>
    </row>
    <row r="337" spans="1:36" x14ac:dyDescent="0.2">
      <c r="A337" s="655"/>
      <c r="B337" s="655"/>
      <c r="C337"/>
      <c r="D337" s="655"/>
      <c r="E337" s="655"/>
      <c r="F337" s="655"/>
      <c r="G337" s="655"/>
      <c r="H337"/>
      <c r="I337"/>
      <c r="J337"/>
      <c r="K337"/>
      <c r="L337" s="655"/>
      <c r="M337" s="655"/>
      <c r="N337"/>
      <c r="O337"/>
      <c r="P337"/>
      <c r="Q337"/>
      <c r="R337"/>
      <c r="S337"/>
      <c r="T337"/>
      <c r="U337"/>
      <c r="V337"/>
      <c r="W337"/>
      <c r="X337" s="655"/>
      <c r="Y337" s="655"/>
      <c r="Z337" s="655"/>
      <c r="AA337" s="655"/>
      <c r="AB337"/>
      <c r="AC337"/>
      <c r="AD337"/>
      <c r="AE337"/>
      <c r="AF337"/>
      <c r="AG337"/>
      <c r="AH337" s="655"/>
      <c r="AI337" s="655"/>
      <c r="AJ337" s="655"/>
    </row>
    <row r="338" spans="1:36" x14ac:dyDescent="0.2">
      <c r="A338" s="655"/>
      <c r="B338" s="655"/>
      <c r="C338"/>
      <c r="D338" s="655"/>
      <c r="E338" s="655"/>
      <c r="F338" s="655"/>
      <c r="G338" s="655"/>
      <c r="H338"/>
      <c r="I338"/>
      <c r="J338"/>
      <c r="K338"/>
      <c r="L338" s="655"/>
      <c r="M338" s="655"/>
      <c r="N338"/>
      <c r="O338"/>
      <c r="P338"/>
      <c r="Q338"/>
      <c r="R338"/>
      <c r="S338"/>
      <c r="T338"/>
      <c r="U338"/>
      <c r="V338"/>
      <c r="W338"/>
      <c r="X338" s="655"/>
      <c r="Y338" s="655"/>
      <c r="Z338" s="655"/>
      <c r="AA338" s="655"/>
      <c r="AB338"/>
      <c r="AC338"/>
      <c r="AD338"/>
      <c r="AE338"/>
      <c r="AF338"/>
      <c r="AG338"/>
      <c r="AH338" s="655"/>
      <c r="AI338" s="655"/>
      <c r="AJ338" s="655"/>
    </row>
    <row r="339" spans="1:36" x14ac:dyDescent="0.2">
      <c r="A339" s="655"/>
      <c r="B339" s="655"/>
      <c r="C339"/>
      <c r="D339" s="655"/>
      <c r="E339" s="655"/>
      <c r="F339" s="655"/>
      <c r="G339" s="655"/>
      <c r="H339"/>
      <c r="I339"/>
      <c r="J339"/>
      <c r="K339"/>
      <c r="L339" s="655"/>
      <c r="M339" s="655"/>
      <c r="N339"/>
      <c r="O339"/>
      <c r="P339"/>
      <c r="Q339"/>
      <c r="R339"/>
      <c r="S339"/>
      <c r="T339"/>
      <c r="U339"/>
      <c r="V339"/>
      <c r="W339"/>
      <c r="X339" s="655"/>
      <c r="Y339" s="655"/>
      <c r="Z339" s="655"/>
      <c r="AA339" s="655"/>
      <c r="AB339"/>
      <c r="AC339"/>
      <c r="AD339"/>
      <c r="AE339"/>
      <c r="AF339"/>
      <c r="AG339"/>
      <c r="AH339" s="655"/>
      <c r="AI339" s="655"/>
      <c r="AJ339" s="655"/>
    </row>
    <row r="340" spans="1:36" x14ac:dyDescent="0.2">
      <c r="A340" s="655"/>
      <c r="B340" s="655"/>
      <c r="C340"/>
      <c r="D340" s="655"/>
      <c r="E340" s="655"/>
      <c r="F340" s="655"/>
      <c r="G340" s="655"/>
      <c r="H340"/>
      <c r="I340"/>
      <c r="J340"/>
      <c r="K340"/>
      <c r="L340" s="655"/>
      <c r="M340" s="655"/>
      <c r="N340"/>
      <c r="O340"/>
      <c r="P340"/>
      <c r="Q340"/>
      <c r="R340"/>
      <c r="S340"/>
      <c r="T340"/>
      <c r="U340"/>
      <c r="V340"/>
      <c r="W340"/>
      <c r="X340" s="655"/>
      <c r="Y340" s="655"/>
      <c r="Z340" s="655"/>
      <c r="AA340" s="655"/>
      <c r="AB340"/>
      <c r="AC340"/>
      <c r="AD340"/>
      <c r="AE340"/>
      <c r="AF340"/>
      <c r="AG340"/>
      <c r="AH340" s="655"/>
      <c r="AI340" s="655"/>
      <c r="AJ340" s="655"/>
    </row>
    <row r="341" spans="1:36" x14ac:dyDescent="0.2">
      <c r="A341" s="655"/>
      <c r="B341" s="655"/>
      <c r="C341"/>
      <c r="D341" s="655"/>
      <c r="E341" s="655"/>
      <c r="F341" s="655"/>
      <c r="G341" s="655"/>
      <c r="H341"/>
      <c r="I341"/>
      <c r="J341"/>
      <c r="K341"/>
      <c r="L341" s="655"/>
      <c r="M341" s="655"/>
      <c r="N341"/>
      <c r="O341"/>
      <c r="P341"/>
      <c r="Q341"/>
      <c r="R341"/>
      <c r="S341"/>
      <c r="T341"/>
      <c r="U341"/>
      <c r="V341"/>
      <c r="W341"/>
      <c r="X341" s="655"/>
      <c r="Y341" s="655"/>
      <c r="Z341" s="655"/>
      <c r="AA341" s="655"/>
      <c r="AB341"/>
      <c r="AC341"/>
      <c r="AD341"/>
      <c r="AE341"/>
      <c r="AF341"/>
      <c r="AG341"/>
      <c r="AH341" s="655"/>
      <c r="AI341" s="655"/>
      <c r="AJ341" s="655"/>
    </row>
    <row r="342" spans="1:36" x14ac:dyDescent="0.2">
      <c r="A342" s="655"/>
      <c r="B342" s="655"/>
      <c r="C342"/>
      <c r="D342" s="655"/>
      <c r="E342" s="655"/>
      <c r="F342" s="655"/>
      <c r="G342" s="655"/>
      <c r="H342"/>
      <c r="I342"/>
      <c r="J342"/>
      <c r="K342"/>
      <c r="L342" s="655"/>
      <c r="M342" s="655"/>
      <c r="N342"/>
      <c r="O342"/>
      <c r="P342"/>
      <c r="Q342"/>
      <c r="R342"/>
      <c r="S342"/>
      <c r="T342"/>
      <c r="U342"/>
      <c r="V342"/>
      <c r="W342"/>
      <c r="X342" s="655"/>
      <c r="Y342" s="655"/>
      <c r="Z342" s="655"/>
      <c r="AA342" s="655"/>
      <c r="AB342"/>
      <c r="AC342"/>
      <c r="AD342"/>
      <c r="AE342"/>
      <c r="AF342"/>
      <c r="AG342"/>
      <c r="AH342" s="655"/>
      <c r="AI342" s="655"/>
      <c r="AJ342" s="655"/>
    </row>
    <row r="343" spans="1:36" x14ac:dyDescent="0.2">
      <c r="A343" s="655"/>
      <c r="B343" s="655"/>
      <c r="C343"/>
      <c r="D343" s="655"/>
      <c r="E343" s="655"/>
      <c r="F343" s="655"/>
      <c r="G343" s="655"/>
      <c r="H343"/>
      <c r="I343"/>
      <c r="J343"/>
      <c r="K343"/>
      <c r="L343" s="655"/>
      <c r="M343" s="655"/>
      <c r="N343"/>
      <c r="P343"/>
      <c r="T343"/>
      <c r="X343" s="655"/>
      <c r="Y343" s="655"/>
      <c r="Z343" s="655"/>
      <c r="AA343" s="655"/>
      <c r="AB343"/>
      <c r="AC343"/>
      <c r="AD343"/>
      <c r="AE343"/>
      <c r="AF343"/>
      <c r="AG343"/>
      <c r="AH343" s="655"/>
      <c r="AI343" s="655"/>
      <c r="AJ343" s="655"/>
    </row>
    <row r="344" spans="1:36" x14ac:dyDescent="0.2">
      <c r="A344" s="655"/>
      <c r="B344" s="655"/>
      <c r="C344"/>
      <c r="D344" s="655"/>
      <c r="E344" s="655"/>
      <c r="F344" s="655"/>
      <c r="G344" s="655"/>
      <c r="H344"/>
      <c r="I344"/>
      <c r="J344"/>
      <c r="K344"/>
      <c r="L344" s="655"/>
      <c r="M344" s="655"/>
      <c r="N344"/>
      <c r="O344"/>
      <c r="P344"/>
      <c r="T344"/>
      <c r="X344" s="655"/>
      <c r="Y344" s="655"/>
      <c r="Z344" s="655"/>
      <c r="AA344" s="655"/>
      <c r="AB344"/>
      <c r="AC344"/>
      <c r="AD344"/>
      <c r="AE344"/>
      <c r="AF344"/>
      <c r="AG344"/>
      <c r="AH344" s="655"/>
      <c r="AI344" s="655"/>
      <c r="AJ344" s="655"/>
    </row>
    <row r="345" spans="1:36" x14ac:dyDescent="0.2">
      <c r="A345" s="655"/>
      <c r="B345" s="655"/>
      <c r="C345"/>
      <c r="D345" s="655"/>
      <c r="E345" s="655"/>
      <c r="F345" s="655"/>
      <c r="G345" s="655"/>
      <c r="H345"/>
      <c r="I345"/>
      <c r="J345"/>
      <c r="K345"/>
      <c r="L345" s="655"/>
      <c r="M345" s="655"/>
      <c r="N345"/>
      <c r="O345"/>
      <c r="P345"/>
      <c r="Q345"/>
      <c r="R345"/>
      <c r="S345"/>
      <c r="T345"/>
      <c r="U345"/>
      <c r="V345"/>
      <c r="W345"/>
      <c r="X345" s="655"/>
      <c r="Y345" s="655"/>
      <c r="Z345" s="655"/>
      <c r="AA345" s="655"/>
      <c r="AB345"/>
      <c r="AC345"/>
      <c r="AD345"/>
      <c r="AE345"/>
      <c r="AF345"/>
      <c r="AG345"/>
      <c r="AH345" s="655"/>
      <c r="AI345" s="655"/>
      <c r="AJ345" s="655"/>
    </row>
    <row r="346" spans="1:36" x14ac:dyDescent="0.2">
      <c r="A346" s="655"/>
      <c r="B346" s="655"/>
      <c r="C346"/>
      <c r="D346" s="655"/>
      <c r="E346" s="655"/>
      <c r="F346" s="655"/>
      <c r="G346" s="655"/>
      <c r="H346"/>
      <c r="I346"/>
      <c r="J346"/>
      <c r="K346"/>
      <c r="L346" s="655"/>
      <c r="M346" s="655"/>
      <c r="N346"/>
      <c r="O346"/>
      <c r="P346"/>
      <c r="Q346"/>
      <c r="R346"/>
      <c r="S346"/>
      <c r="T346"/>
      <c r="U346"/>
      <c r="V346"/>
      <c r="W346"/>
      <c r="X346" s="655"/>
      <c r="Y346" s="655"/>
      <c r="Z346" s="655"/>
      <c r="AA346" s="655"/>
      <c r="AB346"/>
      <c r="AC346"/>
      <c r="AD346"/>
      <c r="AE346"/>
      <c r="AF346"/>
      <c r="AG346"/>
      <c r="AH346" s="655"/>
      <c r="AI346" s="655"/>
      <c r="AJ346" s="655"/>
    </row>
    <row r="347" spans="1:36" x14ac:dyDescent="0.2">
      <c r="A347" s="655"/>
      <c r="B347" s="655"/>
      <c r="C347"/>
      <c r="D347" s="655"/>
      <c r="E347" s="655"/>
      <c r="F347" s="655"/>
      <c r="G347" s="655"/>
      <c r="H347"/>
      <c r="I347"/>
      <c r="J347"/>
      <c r="K347"/>
      <c r="L347" s="655"/>
      <c r="M347" s="655"/>
      <c r="N347"/>
      <c r="O347"/>
      <c r="P347"/>
      <c r="Q347"/>
      <c r="R347"/>
      <c r="S347"/>
      <c r="T347"/>
      <c r="U347"/>
      <c r="V347"/>
      <c r="W347"/>
      <c r="X347" s="655"/>
      <c r="Y347" s="655"/>
      <c r="Z347" s="655"/>
      <c r="AA347" s="655"/>
      <c r="AB347"/>
      <c r="AC347"/>
      <c r="AD347"/>
      <c r="AE347"/>
      <c r="AF347"/>
      <c r="AG347"/>
      <c r="AH347" s="655"/>
      <c r="AI347" s="655"/>
      <c r="AJ347" s="655"/>
    </row>
    <row r="348" spans="1:36" x14ac:dyDescent="0.2">
      <c r="A348" s="655"/>
      <c r="B348" s="655"/>
      <c r="C348"/>
      <c r="D348" s="655"/>
      <c r="E348" s="655"/>
      <c r="F348" s="655"/>
      <c r="G348" s="655"/>
      <c r="H348"/>
      <c r="I348"/>
      <c r="J348"/>
      <c r="K348"/>
      <c r="L348" s="655"/>
      <c r="M348" s="655"/>
      <c r="N348"/>
      <c r="O348"/>
      <c r="P348"/>
      <c r="Q348"/>
      <c r="R348"/>
      <c r="S348"/>
      <c r="T348"/>
      <c r="U348"/>
      <c r="V348"/>
      <c r="W348"/>
      <c r="X348" s="655"/>
      <c r="Y348" s="655"/>
      <c r="Z348" s="655"/>
      <c r="AA348" s="655"/>
      <c r="AB348"/>
      <c r="AC348"/>
      <c r="AD348"/>
      <c r="AE348"/>
      <c r="AF348"/>
      <c r="AG348"/>
      <c r="AH348" s="655"/>
      <c r="AI348" s="655"/>
      <c r="AJ348" s="655"/>
    </row>
    <row r="349" spans="1:36" x14ac:dyDescent="0.2">
      <c r="A349" s="655"/>
      <c r="B349" s="655"/>
      <c r="C349"/>
      <c r="D349" s="655"/>
      <c r="E349" s="655"/>
      <c r="F349" s="655"/>
      <c r="G349" s="655"/>
      <c r="H349"/>
      <c r="I349"/>
      <c r="J349"/>
      <c r="K349"/>
      <c r="L349" s="655"/>
      <c r="M349" s="655"/>
      <c r="N349"/>
      <c r="O349"/>
      <c r="P349"/>
      <c r="Q349"/>
      <c r="R349"/>
      <c r="S349"/>
      <c r="T349"/>
      <c r="U349"/>
      <c r="V349"/>
      <c r="W349"/>
      <c r="X349" s="655"/>
      <c r="Y349" s="655"/>
      <c r="Z349" s="655"/>
      <c r="AA349" s="655"/>
      <c r="AB349"/>
      <c r="AC349"/>
      <c r="AD349"/>
      <c r="AE349"/>
      <c r="AF349"/>
      <c r="AG349"/>
      <c r="AH349" s="655"/>
      <c r="AI349" s="655"/>
      <c r="AJ349" s="655"/>
    </row>
    <row r="350" spans="1:36" x14ac:dyDescent="0.2">
      <c r="A350" s="655"/>
      <c r="B350" s="655"/>
      <c r="C350"/>
      <c r="D350" s="655"/>
      <c r="E350" s="655"/>
      <c r="F350" s="655"/>
      <c r="G350" s="655"/>
      <c r="H350"/>
      <c r="I350"/>
      <c r="J350"/>
      <c r="K350"/>
      <c r="L350" s="655"/>
      <c r="M350" s="655"/>
      <c r="P350"/>
      <c r="T350"/>
      <c r="X350" s="655"/>
      <c r="Y350" s="655"/>
      <c r="Z350" s="655"/>
      <c r="AA350" s="655"/>
      <c r="AB350"/>
      <c r="AC350"/>
      <c r="AD350"/>
      <c r="AE350"/>
      <c r="AF350"/>
      <c r="AG350"/>
      <c r="AH350" s="655"/>
      <c r="AI350" s="655"/>
      <c r="AJ350" s="655"/>
    </row>
    <row r="351" spans="1:36" x14ac:dyDescent="0.2">
      <c r="A351" s="655"/>
      <c r="B351" s="655"/>
      <c r="C351"/>
      <c r="D351" s="655"/>
      <c r="E351" s="655"/>
      <c r="F351" s="655"/>
      <c r="G351" s="655"/>
      <c r="H351"/>
      <c r="I351"/>
      <c r="J351"/>
      <c r="K351"/>
      <c r="L351" s="655"/>
      <c r="M351" s="655"/>
      <c r="P351"/>
      <c r="T351"/>
      <c r="X351" s="655"/>
      <c r="Y351" s="655"/>
      <c r="Z351" s="655"/>
      <c r="AA351" s="655"/>
      <c r="AB351"/>
      <c r="AC351"/>
      <c r="AD351"/>
      <c r="AE351"/>
      <c r="AF351"/>
      <c r="AG351"/>
      <c r="AH351" s="655"/>
      <c r="AI351" s="655"/>
      <c r="AJ351" s="655"/>
    </row>
    <row r="352" spans="1:36" x14ac:dyDescent="0.2">
      <c r="A352" s="655"/>
      <c r="B352" s="655"/>
      <c r="C352"/>
      <c r="D352" s="655"/>
      <c r="E352" s="655"/>
      <c r="F352" s="655"/>
      <c r="G352" s="655"/>
      <c r="H352"/>
      <c r="I352"/>
      <c r="J352"/>
      <c r="K352"/>
      <c r="L352" s="655"/>
      <c r="M352" s="655"/>
      <c r="N352"/>
      <c r="O352"/>
      <c r="Q352"/>
      <c r="R352"/>
      <c r="S352"/>
      <c r="U352"/>
      <c r="V352"/>
      <c r="W352"/>
      <c r="X352" s="655"/>
      <c r="Y352" s="655"/>
      <c r="Z352" s="655"/>
      <c r="AA352" s="655"/>
      <c r="AB352"/>
      <c r="AH352" s="655"/>
      <c r="AI352" s="655"/>
      <c r="AJ352" s="655"/>
    </row>
    <row r="353" spans="1:36" x14ac:dyDescent="0.2">
      <c r="A353" s="655"/>
      <c r="B353" s="655"/>
      <c r="C353"/>
      <c r="D353" s="655"/>
      <c r="E353" s="655"/>
      <c r="F353" s="655"/>
      <c r="G353" s="655"/>
      <c r="H353"/>
      <c r="I353"/>
      <c r="J353"/>
      <c r="K353"/>
      <c r="L353" s="655"/>
      <c r="M353" s="655"/>
      <c r="N353"/>
      <c r="O353"/>
      <c r="Q353"/>
      <c r="R353"/>
      <c r="S353"/>
      <c r="U353"/>
      <c r="V353"/>
      <c r="W353"/>
      <c r="X353" s="655"/>
      <c r="Y353" s="655"/>
      <c r="Z353" s="655"/>
      <c r="AA353" s="655"/>
      <c r="AB353"/>
      <c r="AH353" s="655"/>
      <c r="AI353" s="655"/>
      <c r="AJ353" s="655"/>
    </row>
    <row r="354" spans="1:36" x14ac:dyDescent="0.2">
      <c r="A354" s="655"/>
      <c r="B354" s="655"/>
      <c r="C354"/>
      <c r="D354" s="655"/>
      <c r="E354" s="655"/>
      <c r="F354" s="655"/>
      <c r="G354" s="655"/>
      <c r="H354"/>
      <c r="I354"/>
      <c r="J354"/>
      <c r="K354"/>
      <c r="L354" s="655"/>
      <c r="M354" s="655"/>
      <c r="N354"/>
      <c r="O354"/>
      <c r="P354"/>
      <c r="Q354"/>
      <c r="R354"/>
      <c r="S354"/>
      <c r="T354"/>
      <c r="U354"/>
      <c r="V354"/>
      <c r="W354"/>
      <c r="X354" s="655"/>
      <c r="Y354" s="655"/>
      <c r="Z354" s="655"/>
      <c r="AA354" s="655"/>
      <c r="AB354"/>
      <c r="AC354"/>
      <c r="AD354"/>
      <c r="AE354"/>
      <c r="AF354"/>
      <c r="AG354"/>
      <c r="AH354" s="655"/>
      <c r="AI354" s="655"/>
      <c r="AJ354" s="655"/>
    </row>
    <row r="355" spans="1:36" x14ac:dyDescent="0.2">
      <c r="A355" s="655"/>
      <c r="B355" s="655"/>
      <c r="C355"/>
      <c r="D355" s="655"/>
      <c r="E355" s="655"/>
      <c r="F355" s="655"/>
      <c r="G355" s="655"/>
      <c r="H355"/>
      <c r="I355"/>
      <c r="J355"/>
      <c r="K355"/>
      <c r="L355" s="655"/>
      <c r="M355" s="655"/>
      <c r="N355"/>
      <c r="O355"/>
      <c r="P355"/>
      <c r="Q355"/>
      <c r="R355"/>
      <c r="S355"/>
      <c r="T355"/>
      <c r="U355"/>
      <c r="V355"/>
      <c r="W355"/>
      <c r="X355" s="655"/>
      <c r="Y355" s="655"/>
      <c r="Z355" s="655"/>
      <c r="AA355" s="655"/>
      <c r="AB355"/>
      <c r="AC355"/>
      <c r="AD355"/>
      <c r="AE355"/>
      <c r="AF355"/>
      <c r="AG355"/>
      <c r="AH355" s="655"/>
      <c r="AI355" s="655"/>
      <c r="AJ355" s="655"/>
    </row>
    <row r="356" spans="1:36" x14ac:dyDescent="0.2">
      <c r="A356" s="655"/>
      <c r="B356" s="655"/>
      <c r="C356"/>
      <c r="D356" s="655"/>
      <c r="E356" s="655"/>
      <c r="F356" s="655"/>
      <c r="G356" s="655"/>
      <c r="H356"/>
      <c r="I356"/>
      <c r="J356"/>
      <c r="K356"/>
      <c r="L356" s="655"/>
      <c r="M356" s="655"/>
      <c r="N356"/>
      <c r="O356"/>
      <c r="P356"/>
      <c r="Q356"/>
      <c r="R356"/>
      <c r="S356"/>
      <c r="T356"/>
      <c r="U356"/>
      <c r="V356"/>
      <c r="W356"/>
      <c r="X356" s="655"/>
      <c r="Y356" s="655"/>
      <c r="Z356" s="655"/>
      <c r="AA356" s="655"/>
      <c r="AB356"/>
      <c r="AC356"/>
      <c r="AD356"/>
      <c r="AE356"/>
      <c r="AF356"/>
      <c r="AG356"/>
      <c r="AH356" s="655"/>
      <c r="AI356" s="655"/>
      <c r="AJ356" s="655"/>
    </row>
    <row r="357" spans="1:36" x14ac:dyDescent="0.2">
      <c r="A357" s="655"/>
      <c r="B357" s="655"/>
      <c r="C357"/>
      <c r="D357" s="655"/>
      <c r="E357" s="655"/>
      <c r="F357" s="655"/>
      <c r="G357" s="655"/>
      <c r="H357"/>
      <c r="I357"/>
      <c r="J357"/>
      <c r="K357"/>
      <c r="L357" s="655"/>
      <c r="M357" s="655"/>
      <c r="N357"/>
      <c r="O357"/>
      <c r="P357"/>
      <c r="Q357"/>
      <c r="R357"/>
      <c r="S357"/>
      <c r="T357"/>
      <c r="U357"/>
      <c r="V357"/>
      <c r="W357"/>
      <c r="X357" s="655"/>
      <c r="Y357" s="655"/>
      <c r="Z357" s="655"/>
      <c r="AA357" s="655"/>
      <c r="AB357"/>
      <c r="AD357"/>
      <c r="AE357"/>
      <c r="AF357"/>
      <c r="AG357"/>
      <c r="AH357" s="655"/>
      <c r="AI357" s="655"/>
      <c r="AJ357" s="655"/>
    </row>
    <row r="358" spans="1:36" x14ac:dyDescent="0.2">
      <c r="A358" s="655"/>
      <c r="B358" s="655"/>
      <c r="C358"/>
      <c r="D358" s="655"/>
      <c r="E358" s="655"/>
      <c r="F358" s="655"/>
      <c r="G358" s="655"/>
      <c r="H358"/>
      <c r="I358"/>
      <c r="J358"/>
      <c r="K358"/>
      <c r="L358" s="655"/>
      <c r="M358" s="655"/>
      <c r="N358"/>
      <c r="O358"/>
      <c r="P358"/>
      <c r="Q358"/>
      <c r="R358"/>
      <c r="S358"/>
      <c r="T358"/>
      <c r="U358"/>
      <c r="V358"/>
      <c r="W358"/>
      <c r="X358" s="655"/>
      <c r="Y358" s="655"/>
      <c r="Z358" s="655"/>
      <c r="AA358" s="655"/>
      <c r="AB358"/>
      <c r="AC358"/>
      <c r="AD358"/>
      <c r="AE358"/>
      <c r="AF358"/>
      <c r="AG358"/>
      <c r="AH358" s="655"/>
      <c r="AI358" s="655"/>
      <c r="AJ358" s="655"/>
    </row>
    <row r="359" spans="1:36" x14ac:dyDescent="0.2">
      <c r="A359" s="655"/>
      <c r="B359" s="655"/>
      <c r="C359"/>
      <c r="D359" s="655"/>
      <c r="E359" s="655"/>
      <c r="F359" s="655"/>
      <c r="G359" s="655"/>
      <c r="H359"/>
      <c r="I359"/>
      <c r="J359"/>
      <c r="K359"/>
      <c r="L359" s="655"/>
      <c r="M359" s="655"/>
      <c r="N359"/>
      <c r="O359"/>
      <c r="P359"/>
      <c r="Q359"/>
      <c r="R359"/>
      <c r="S359"/>
      <c r="T359"/>
      <c r="U359"/>
      <c r="V359"/>
      <c r="W359"/>
      <c r="X359" s="655"/>
      <c r="Y359" s="655"/>
      <c r="Z359" s="655"/>
      <c r="AA359" s="655"/>
      <c r="AB359"/>
      <c r="AC359"/>
      <c r="AD359"/>
      <c r="AE359"/>
      <c r="AF359"/>
      <c r="AG359"/>
      <c r="AH359" s="655"/>
      <c r="AI359" s="655"/>
      <c r="AJ359" s="655"/>
    </row>
    <row r="360" spans="1:36" x14ac:dyDescent="0.2">
      <c r="A360" s="655"/>
      <c r="B360" s="655"/>
      <c r="C360"/>
      <c r="D360" s="655"/>
      <c r="E360" s="655"/>
      <c r="F360" s="655"/>
      <c r="G360" s="655"/>
      <c r="H360"/>
      <c r="I360"/>
      <c r="J360"/>
      <c r="K360"/>
      <c r="L360" s="655"/>
      <c r="M360" s="655"/>
      <c r="N360"/>
      <c r="O360"/>
      <c r="P360"/>
      <c r="Q360"/>
      <c r="R360"/>
      <c r="S360"/>
      <c r="T360"/>
      <c r="U360"/>
      <c r="V360"/>
      <c r="W360"/>
      <c r="X360" s="655"/>
      <c r="Y360" s="655"/>
      <c r="Z360" s="655"/>
      <c r="AA360" s="655"/>
      <c r="AB360"/>
      <c r="AC360"/>
      <c r="AD360"/>
      <c r="AE360"/>
      <c r="AF360"/>
      <c r="AG360"/>
      <c r="AH360" s="655"/>
      <c r="AI360" s="655"/>
      <c r="AJ360" s="655"/>
    </row>
    <row r="361" spans="1:36" x14ac:dyDescent="0.2">
      <c r="A361" s="655"/>
      <c r="B361" s="655"/>
      <c r="C361"/>
      <c r="D361" s="655"/>
      <c r="E361" s="655"/>
      <c r="F361" s="655"/>
      <c r="G361" s="655"/>
      <c r="H361"/>
      <c r="I361"/>
      <c r="J361"/>
      <c r="K361"/>
      <c r="L361" s="655"/>
      <c r="M361" s="655"/>
      <c r="N361"/>
      <c r="O361"/>
      <c r="P361"/>
      <c r="Q361"/>
      <c r="R361"/>
      <c r="S361"/>
      <c r="T361"/>
      <c r="U361"/>
      <c r="V361"/>
      <c r="W361"/>
      <c r="X361" s="655"/>
      <c r="Y361" s="655"/>
      <c r="Z361" s="655"/>
      <c r="AA361" s="655"/>
      <c r="AB361"/>
      <c r="AC361"/>
      <c r="AD361"/>
      <c r="AE361"/>
      <c r="AF361"/>
      <c r="AG361"/>
      <c r="AH361" s="655"/>
      <c r="AI361" s="655"/>
      <c r="AJ361" s="655"/>
    </row>
    <row r="362" spans="1:36" x14ac:dyDescent="0.2">
      <c r="A362" s="655"/>
      <c r="B362" s="655"/>
      <c r="C362"/>
      <c r="D362" s="655"/>
      <c r="E362" s="655"/>
      <c r="F362" s="655"/>
      <c r="G362" s="655"/>
      <c r="H362"/>
      <c r="I362"/>
      <c r="J362"/>
      <c r="K362"/>
      <c r="L362" s="655"/>
      <c r="M362" s="655"/>
      <c r="N362"/>
      <c r="O362"/>
      <c r="P362"/>
      <c r="Q362"/>
      <c r="R362"/>
      <c r="S362"/>
      <c r="T362"/>
      <c r="U362"/>
      <c r="V362"/>
      <c r="W362"/>
      <c r="X362" s="655"/>
      <c r="Y362" s="655"/>
      <c r="Z362" s="655"/>
      <c r="AA362" s="655"/>
      <c r="AB362"/>
      <c r="AC362"/>
      <c r="AD362"/>
      <c r="AE362"/>
      <c r="AF362"/>
      <c r="AG362"/>
      <c r="AH362" s="655"/>
      <c r="AI362" s="655"/>
      <c r="AJ362" s="655"/>
    </row>
    <row r="363" spans="1:36" x14ac:dyDescent="0.2">
      <c r="A363" s="655"/>
      <c r="B363" s="655"/>
      <c r="C363"/>
      <c r="D363" s="655"/>
      <c r="E363" s="655"/>
      <c r="F363" s="655"/>
      <c r="G363" s="655"/>
      <c r="H363"/>
      <c r="I363"/>
      <c r="J363"/>
      <c r="K363"/>
      <c r="L363" s="655"/>
      <c r="M363" s="655"/>
      <c r="N363"/>
      <c r="P363"/>
      <c r="Q363"/>
      <c r="R363"/>
      <c r="S363"/>
      <c r="T363"/>
      <c r="U363"/>
      <c r="V363"/>
      <c r="W363"/>
      <c r="X363" s="655"/>
      <c r="Y363" s="655"/>
      <c r="Z363" s="655"/>
      <c r="AA363" s="655"/>
      <c r="AB363"/>
      <c r="AH363" s="655"/>
      <c r="AI363" s="655"/>
      <c r="AJ363" s="655"/>
    </row>
    <row r="364" spans="1:36" x14ac:dyDescent="0.2">
      <c r="A364" s="655"/>
      <c r="B364" s="655"/>
      <c r="C364"/>
      <c r="D364" s="655"/>
      <c r="E364" s="655"/>
      <c r="F364" s="655"/>
      <c r="G364" s="655"/>
      <c r="H364"/>
      <c r="I364"/>
      <c r="J364"/>
      <c r="K364"/>
      <c r="L364" s="655"/>
      <c r="M364" s="655"/>
      <c r="N364"/>
      <c r="O364"/>
      <c r="P364"/>
      <c r="Q364"/>
      <c r="R364"/>
      <c r="S364"/>
      <c r="T364"/>
      <c r="U364"/>
      <c r="V364"/>
      <c r="W364"/>
      <c r="X364" s="655"/>
      <c r="Y364" s="655"/>
      <c r="Z364" s="655"/>
      <c r="AA364" s="655"/>
      <c r="AB364"/>
      <c r="AC364"/>
      <c r="AD364"/>
      <c r="AE364"/>
      <c r="AF364"/>
      <c r="AG364"/>
      <c r="AH364" s="655"/>
      <c r="AI364" s="655"/>
      <c r="AJ364" s="655"/>
    </row>
    <row r="365" spans="1:36" x14ac:dyDescent="0.2">
      <c r="A365" s="655"/>
      <c r="B365" s="655"/>
      <c r="C365"/>
      <c r="D365" s="655"/>
      <c r="E365" s="655"/>
      <c r="F365" s="655"/>
      <c r="G365" s="655"/>
      <c r="H365"/>
      <c r="I365"/>
      <c r="J365"/>
      <c r="K365"/>
      <c r="L365" s="655"/>
      <c r="M365" s="655"/>
      <c r="N365"/>
      <c r="O365"/>
      <c r="P365"/>
      <c r="Q365"/>
      <c r="R365"/>
      <c r="S365"/>
      <c r="T365"/>
      <c r="U365"/>
      <c r="V365"/>
      <c r="W365"/>
      <c r="X365" s="655"/>
      <c r="Y365" s="655"/>
      <c r="Z365" s="655"/>
      <c r="AA365" s="655"/>
      <c r="AB365"/>
      <c r="AC365"/>
      <c r="AD365"/>
      <c r="AE365"/>
      <c r="AF365"/>
      <c r="AG365"/>
      <c r="AH365" s="655"/>
      <c r="AI365" s="655"/>
      <c r="AJ365" s="655"/>
    </row>
    <row r="366" spans="1:36" x14ac:dyDescent="0.2">
      <c r="A366" s="655"/>
      <c r="B366" s="655"/>
      <c r="C366"/>
      <c r="D366" s="655"/>
      <c r="E366" s="655"/>
      <c r="F366" s="655"/>
      <c r="G366" s="655"/>
      <c r="H366"/>
      <c r="I366"/>
      <c r="J366"/>
      <c r="K366"/>
      <c r="L366" s="655"/>
      <c r="M366" s="655"/>
      <c r="N366"/>
      <c r="O366"/>
      <c r="P366"/>
      <c r="Q366"/>
      <c r="R366"/>
      <c r="S366"/>
      <c r="T366"/>
      <c r="U366"/>
      <c r="V366"/>
      <c r="W366"/>
      <c r="X366" s="655"/>
      <c r="Y366" s="655"/>
      <c r="Z366" s="655"/>
      <c r="AA366" s="655"/>
      <c r="AB366"/>
      <c r="AC366"/>
      <c r="AD366"/>
      <c r="AE366"/>
      <c r="AF366"/>
      <c r="AG366"/>
      <c r="AH366" s="655"/>
      <c r="AI366" s="655"/>
      <c r="AJ366" s="655"/>
    </row>
    <row r="367" spans="1:36" x14ac:dyDescent="0.2">
      <c r="A367" s="655"/>
      <c r="B367" s="655"/>
      <c r="C367"/>
      <c r="D367" s="655"/>
      <c r="E367" s="655"/>
      <c r="F367" s="655"/>
      <c r="G367" s="655"/>
      <c r="H367"/>
      <c r="I367"/>
      <c r="J367"/>
      <c r="K367"/>
      <c r="L367" s="655"/>
      <c r="M367" s="655"/>
      <c r="N367"/>
      <c r="O367"/>
      <c r="P367"/>
      <c r="Q367"/>
      <c r="R367"/>
      <c r="S367"/>
      <c r="T367"/>
      <c r="U367"/>
      <c r="V367"/>
      <c r="W367"/>
      <c r="X367" s="655"/>
      <c r="Y367" s="655"/>
      <c r="Z367" s="655"/>
      <c r="AA367" s="655"/>
      <c r="AB367"/>
      <c r="AC367"/>
      <c r="AD367"/>
      <c r="AE367"/>
      <c r="AF367"/>
      <c r="AG367"/>
      <c r="AH367" s="655"/>
      <c r="AI367" s="655"/>
      <c r="AJ367" s="655"/>
    </row>
    <row r="368" spans="1:36" x14ac:dyDescent="0.2">
      <c r="A368" s="655"/>
      <c r="B368" s="655"/>
      <c r="C368"/>
      <c r="D368" s="655"/>
      <c r="E368" s="655"/>
      <c r="F368" s="655"/>
      <c r="G368" s="655"/>
      <c r="H368"/>
      <c r="I368"/>
      <c r="J368"/>
      <c r="K368"/>
      <c r="L368" s="655"/>
      <c r="M368" s="655"/>
      <c r="N368"/>
      <c r="O368"/>
      <c r="P368"/>
      <c r="Q368"/>
      <c r="R368"/>
      <c r="S368"/>
      <c r="T368"/>
      <c r="U368"/>
      <c r="V368"/>
      <c r="W368"/>
      <c r="X368" s="655"/>
      <c r="Y368" s="655"/>
      <c r="Z368" s="655"/>
      <c r="AA368" s="655"/>
      <c r="AB368"/>
      <c r="AC368"/>
      <c r="AD368"/>
      <c r="AE368"/>
      <c r="AF368"/>
      <c r="AG368"/>
      <c r="AH368" s="655"/>
      <c r="AI368" s="655"/>
      <c r="AJ368" s="655"/>
    </row>
    <row r="369" spans="1:36" x14ac:dyDescent="0.2">
      <c r="A369" s="655"/>
      <c r="B369" s="655"/>
      <c r="C369"/>
      <c r="D369" s="655"/>
      <c r="E369" s="655"/>
      <c r="F369" s="655"/>
      <c r="G369" s="655"/>
      <c r="H369"/>
      <c r="I369"/>
      <c r="J369"/>
      <c r="K369"/>
      <c r="L369" s="655"/>
      <c r="M369" s="655"/>
      <c r="N369"/>
      <c r="O369"/>
      <c r="P369"/>
      <c r="Q369"/>
      <c r="R369"/>
      <c r="S369"/>
      <c r="T369"/>
      <c r="U369"/>
      <c r="V369"/>
      <c r="W369"/>
      <c r="X369" s="655"/>
      <c r="Y369" s="655"/>
      <c r="Z369" s="655"/>
      <c r="AA369" s="655"/>
      <c r="AB369"/>
      <c r="AC369"/>
      <c r="AD369"/>
      <c r="AE369"/>
      <c r="AF369"/>
      <c r="AG369"/>
      <c r="AH369" s="655"/>
      <c r="AI369" s="655"/>
      <c r="AJ369" s="655"/>
    </row>
    <row r="370" spans="1:36" x14ac:dyDescent="0.2">
      <c r="A370" s="655"/>
      <c r="B370" s="655"/>
      <c r="C370"/>
      <c r="D370" s="655"/>
      <c r="E370" s="655"/>
      <c r="F370" s="655"/>
      <c r="G370" s="655"/>
      <c r="H370"/>
      <c r="I370"/>
      <c r="J370"/>
      <c r="K370"/>
      <c r="L370" s="655"/>
      <c r="M370" s="655"/>
      <c r="N370"/>
      <c r="O370"/>
      <c r="P370"/>
      <c r="Q370"/>
      <c r="R370"/>
      <c r="S370"/>
      <c r="T370"/>
      <c r="U370"/>
      <c r="V370"/>
      <c r="W370"/>
      <c r="X370" s="655"/>
      <c r="Y370" s="655"/>
      <c r="Z370" s="655"/>
      <c r="AA370" s="655"/>
      <c r="AB370"/>
      <c r="AC370"/>
      <c r="AD370"/>
      <c r="AE370"/>
      <c r="AF370"/>
      <c r="AG370"/>
      <c r="AH370" s="655"/>
      <c r="AI370" s="655"/>
      <c r="AJ370" s="655"/>
    </row>
    <row r="371" spans="1:36" x14ac:dyDescent="0.2">
      <c r="A371" s="655"/>
      <c r="B371" s="655"/>
      <c r="C371"/>
      <c r="D371" s="655"/>
      <c r="E371" s="655"/>
      <c r="F371" s="655"/>
      <c r="G371" s="655"/>
      <c r="H371"/>
      <c r="I371"/>
      <c r="J371"/>
      <c r="K371"/>
      <c r="L371" s="655"/>
      <c r="M371" s="655"/>
      <c r="N371"/>
      <c r="O371"/>
      <c r="P371"/>
      <c r="Q371"/>
      <c r="R371"/>
      <c r="S371"/>
      <c r="T371"/>
      <c r="U371"/>
      <c r="V371"/>
      <c r="W371"/>
      <c r="X371" s="655"/>
      <c r="Y371" s="655"/>
      <c r="Z371" s="655"/>
      <c r="AA371" s="655"/>
      <c r="AB371"/>
      <c r="AC371"/>
      <c r="AD371"/>
      <c r="AE371"/>
      <c r="AF371"/>
      <c r="AG371"/>
      <c r="AH371" s="655"/>
      <c r="AI371" s="655"/>
      <c r="AJ371" s="655"/>
    </row>
    <row r="372" spans="1:36" x14ac:dyDescent="0.2">
      <c r="A372" s="655"/>
      <c r="B372" s="655"/>
      <c r="C372"/>
      <c r="D372" s="655"/>
      <c r="E372" s="655"/>
      <c r="F372" s="655"/>
      <c r="G372" s="655"/>
      <c r="H372"/>
      <c r="I372"/>
      <c r="J372"/>
      <c r="K372"/>
      <c r="L372" s="655"/>
      <c r="M372" s="655"/>
      <c r="N372"/>
      <c r="O372"/>
      <c r="P372"/>
      <c r="Q372"/>
      <c r="R372"/>
      <c r="S372"/>
      <c r="T372"/>
      <c r="U372"/>
      <c r="V372"/>
      <c r="W372"/>
      <c r="X372" s="655"/>
      <c r="Y372" s="655"/>
      <c r="Z372" s="655"/>
      <c r="AA372" s="655"/>
      <c r="AB372"/>
      <c r="AC372"/>
      <c r="AD372"/>
      <c r="AE372"/>
      <c r="AF372"/>
      <c r="AG372"/>
      <c r="AH372" s="655"/>
      <c r="AI372" s="655"/>
      <c r="AJ372" s="655"/>
    </row>
    <row r="373" spans="1:36" x14ac:dyDescent="0.2">
      <c r="A373" s="655"/>
      <c r="B373" s="655"/>
      <c r="C373"/>
      <c r="D373" s="655"/>
      <c r="E373" s="655"/>
      <c r="F373" s="655"/>
      <c r="G373" s="655"/>
      <c r="H373"/>
      <c r="I373"/>
      <c r="J373"/>
      <c r="K373"/>
      <c r="L373" s="655"/>
      <c r="M373" s="655"/>
      <c r="N373"/>
      <c r="O373"/>
      <c r="P373"/>
      <c r="Q373"/>
      <c r="R373"/>
      <c r="S373"/>
      <c r="T373"/>
      <c r="U373"/>
      <c r="V373"/>
      <c r="W373"/>
      <c r="X373" s="655"/>
      <c r="Y373" s="655"/>
      <c r="Z373" s="655"/>
      <c r="AA373" s="655"/>
      <c r="AB373"/>
      <c r="AC373"/>
      <c r="AD373"/>
      <c r="AE373"/>
      <c r="AF373"/>
      <c r="AG373"/>
      <c r="AH373" s="655"/>
      <c r="AI373" s="655"/>
      <c r="AJ373" s="655"/>
    </row>
    <row r="374" spans="1:36" x14ac:dyDescent="0.2">
      <c r="A374" s="655"/>
      <c r="B374" s="655"/>
      <c r="C374"/>
      <c r="D374" s="655"/>
      <c r="E374" s="655"/>
      <c r="F374" s="655"/>
      <c r="G374" s="655"/>
      <c r="H374"/>
      <c r="I374"/>
      <c r="J374"/>
      <c r="K374"/>
      <c r="L374" s="655"/>
      <c r="M374" s="655"/>
      <c r="N374"/>
      <c r="O374"/>
      <c r="P374"/>
      <c r="Q374"/>
      <c r="R374"/>
      <c r="S374"/>
      <c r="T374"/>
      <c r="U374"/>
      <c r="V374"/>
      <c r="W374"/>
      <c r="X374" s="655"/>
      <c r="Y374" s="655"/>
      <c r="Z374" s="655"/>
      <c r="AA374" s="655"/>
      <c r="AB374"/>
      <c r="AC374"/>
      <c r="AD374"/>
      <c r="AE374"/>
      <c r="AF374"/>
      <c r="AG374"/>
      <c r="AH374" s="655"/>
      <c r="AI374" s="655"/>
      <c r="AJ374" s="655"/>
    </row>
    <row r="375" spans="1:36" x14ac:dyDescent="0.2">
      <c r="A375" s="655"/>
      <c r="B375" s="655"/>
      <c r="C375"/>
      <c r="D375" s="655"/>
      <c r="E375" s="655"/>
      <c r="F375" s="655"/>
      <c r="G375" s="655"/>
      <c r="H375"/>
      <c r="I375"/>
      <c r="J375"/>
      <c r="K375"/>
      <c r="L375" s="655"/>
      <c r="M375" s="655"/>
      <c r="N375"/>
      <c r="O375"/>
      <c r="P375"/>
      <c r="Q375"/>
      <c r="R375"/>
      <c r="S375"/>
      <c r="T375"/>
      <c r="U375"/>
      <c r="V375"/>
      <c r="W375"/>
      <c r="X375" s="655"/>
      <c r="Y375" s="655"/>
      <c r="Z375" s="655"/>
      <c r="AA375" s="655"/>
      <c r="AB375"/>
      <c r="AC375"/>
      <c r="AD375"/>
      <c r="AE375"/>
      <c r="AF375"/>
      <c r="AG375"/>
      <c r="AH375" s="655"/>
      <c r="AI375" s="655"/>
      <c r="AJ375" s="655"/>
    </row>
    <row r="376" spans="1:36" x14ac:dyDescent="0.2">
      <c r="A376" s="655"/>
      <c r="B376" s="655"/>
      <c r="C376"/>
      <c r="D376" s="655"/>
      <c r="E376" s="655"/>
      <c r="F376" s="655"/>
      <c r="G376" s="655"/>
      <c r="H376"/>
      <c r="I376"/>
      <c r="J376"/>
      <c r="K376"/>
      <c r="L376" s="655"/>
      <c r="M376" s="655"/>
      <c r="N376"/>
      <c r="O376"/>
      <c r="P376"/>
      <c r="Q376"/>
      <c r="R376"/>
      <c r="S376"/>
      <c r="T376"/>
      <c r="U376"/>
      <c r="V376"/>
      <c r="W376"/>
      <c r="X376" s="655"/>
      <c r="Y376" s="655"/>
      <c r="Z376" s="655"/>
      <c r="AA376" s="655"/>
      <c r="AB376"/>
      <c r="AC376"/>
      <c r="AD376"/>
      <c r="AE376"/>
      <c r="AF376"/>
      <c r="AG376"/>
      <c r="AH376" s="655"/>
      <c r="AI376" s="655"/>
      <c r="AJ376" s="655"/>
    </row>
    <row r="377" spans="1:36" x14ac:dyDescent="0.2">
      <c r="A377" s="655"/>
      <c r="B377" s="655"/>
      <c r="C377"/>
      <c r="D377" s="655"/>
      <c r="E377" s="655"/>
      <c r="F377" s="655"/>
      <c r="G377" s="655"/>
      <c r="H377"/>
      <c r="I377"/>
      <c r="J377"/>
      <c r="K377"/>
      <c r="L377" s="655"/>
      <c r="M377" s="655"/>
      <c r="N377"/>
      <c r="O377"/>
      <c r="P377"/>
      <c r="Q377"/>
      <c r="R377"/>
      <c r="S377"/>
      <c r="T377"/>
      <c r="U377"/>
      <c r="V377"/>
      <c r="W377"/>
      <c r="X377" s="655"/>
      <c r="Y377" s="655"/>
      <c r="Z377" s="655"/>
      <c r="AA377" s="655"/>
      <c r="AB377"/>
      <c r="AC377"/>
      <c r="AD377"/>
      <c r="AE377"/>
      <c r="AF377"/>
      <c r="AG377"/>
      <c r="AH377" s="655"/>
      <c r="AI377" s="655"/>
      <c r="AJ377" s="655"/>
    </row>
    <row r="378" spans="1:36" x14ac:dyDescent="0.2">
      <c r="A378" s="655"/>
      <c r="B378" s="655"/>
      <c r="C378"/>
      <c r="D378" s="655"/>
      <c r="E378" s="655"/>
      <c r="F378" s="655"/>
      <c r="G378" s="655"/>
      <c r="H378"/>
      <c r="I378"/>
      <c r="J378"/>
      <c r="K378"/>
      <c r="L378" s="655"/>
      <c r="M378" s="655"/>
      <c r="O378"/>
      <c r="P378"/>
      <c r="Q378"/>
      <c r="R378"/>
      <c r="S378"/>
      <c r="T378"/>
      <c r="U378"/>
      <c r="V378"/>
      <c r="W378"/>
      <c r="X378" s="655"/>
      <c r="Y378" s="655"/>
      <c r="Z378" s="655"/>
      <c r="AA378" s="655"/>
      <c r="AB378"/>
      <c r="AC378"/>
      <c r="AD378"/>
      <c r="AE378"/>
      <c r="AF378"/>
      <c r="AG378"/>
      <c r="AH378" s="655"/>
      <c r="AI378" s="655"/>
      <c r="AJ378" s="655"/>
    </row>
    <row r="379" spans="1:36" x14ac:dyDescent="0.2">
      <c r="A379" s="655"/>
      <c r="B379" s="655"/>
      <c r="C379"/>
      <c r="D379" s="655"/>
      <c r="E379" s="655"/>
      <c r="F379" s="655"/>
      <c r="G379" s="655"/>
      <c r="H379"/>
      <c r="I379"/>
      <c r="J379"/>
      <c r="K379"/>
      <c r="L379" s="655"/>
      <c r="M379" s="655"/>
      <c r="N379"/>
      <c r="O379"/>
      <c r="P379"/>
      <c r="Q379"/>
      <c r="R379"/>
      <c r="S379"/>
      <c r="T379"/>
      <c r="U379"/>
      <c r="V379"/>
      <c r="W379"/>
      <c r="X379" s="655"/>
      <c r="Y379" s="655"/>
      <c r="Z379" s="655"/>
      <c r="AA379" s="655"/>
      <c r="AB379"/>
      <c r="AC379"/>
      <c r="AD379"/>
      <c r="AE379"/>
      <c r="AF379"/>
      <c r="AG379"/>
      <c r="AH379" s="655"/>
      <c r="AI379" s="655"/>
      <c r="AJ379" s="655"/>
    </row>
    <row r="380" spans="1:36" x14ac:dyDescent="0.2">
      <c r="A380" s="655"/>
      <c r="B380" s="655"/>
      <c r="C380"/>
      <c r="D380" s="655"/>
      <c r="E380" s="655"/>
      <c r="F380" s="655"/>
      <c r="G380" s="655"/>
      <c r="H380"/>
      <c r="I380"/>
      <c r="J380"/>
      <c r="K380"/>
      <c r="L380" s="655"/>
      <c r="M380" s="655"/>
      <c r="N380"/>
      <c r="O380"/>
      <c r="P380"/>
      <c r="Q380"/>
      <c r="R380"/>
      <c r="S380"/>
      <c r="T380"/>
      <c r="U380"/>
      <c r="V380"/>
      <c r="W380"/>
      <c r="X380" s="655"/>
      <c r="Y380" s="655"/>
      <c r="Z380" s="655"/>
      <c r="AA380" s="655"/>
      <c r="AB380"/>
      <c r="AC380"/>
      <c r="AD380"/>
      <c r="AE380"/>
      <c r="AF380"/>
      <c r="AG380"/>
      <c r="AH380" s="655"/>
      <c r="AI380" s="655"/>
      <c r="AJ380" s="655"/>
    </row>
    <row r="381" spans="1:36" x14ac:dyDescent="0.2">
      <c r="A381" s="655"/>
      <c r="B381" s="655"/>
      <c r="C381"/>
      <c r="D381" s="655"/>
      <c r="E381" s="655"/>
      <c r="F381" s="655"/>
      <c r="G381" s="655"/>
      <c r="H381"/>
      <c r="I381"/>
      <c r="J381"/>
      <c r="K381"/>
      <c r="L381" s="655"/>
      <c r="M381" s="655"/>
      <c r="N381"/>
      <c r="O381"/>
      <c r="P381"/>
      <c r="Q381"/>
      <c r="R381"/>
      <c r="S381"/>
      <c r="T381"/>
      <c r="U381"/>
      <c r="V381"/>
      <c r="W381"/>
      <c r="X381" s="655"/>
      <c r="Y381" s="655"/>
      <c r="Z381" s="655"/>
      <c r="AA381" s="655"/>
      <c r="AB381"/>
      <c r="AC381"/>
      <c r="AD381"/>
      <c r="AE381"/>
      <c r="AF381"/>
      <c r="AG381"/>
      <c r="AH381" s="655"/>
      <c r="AI381" s="655"/>
      <c r="AJ381" s="655"/>
    </row>
    <row r="382" spans="1:36" x14ac:dyDescent="0.2">
      <c r="A382" s="655"/>
      <c r="B382" s="655"/>
      <c r="C382"/>
      <c r="D382" s="655"/>
      <c r="E382" s="655"/>
      <c r="F382" s="655"/>
      <c r="G382" s="655"/>
      <c r="H382"/>
      <c r="I382"/>
      <c r="J382"/>
      <c r="K382"/>
      <c r="L382" s="655"/>
      <c r="M382" s="655"/>
      <c r="N382"/>
      <c r="O382"/>
      <c r="P382"/>
      <c r="Q382"/>
      <c r="R382"/>
      <c r="S382"/>
      <c r="T382"/>
      <c r="U382"/>
      <c r="V382"/>
      <c r="W382"/>
      <c r="X382" s="655"/>
      <c r="Y382" s="655"/>
      <c r="Z382" s="655"/>
      <c r="AA382" s="655"/>
      <c r="AB382"/>
      <c r="AC382"/>
      <c r="AD382"/>
      <c r="AE382"/>
      <c r="AF382"/>
      <c r="AG382"/>
      <c r="AH382" s="655"/>
      <c r="AI382" s="655"/>
      <c r="AJ382" s="655"/>
    </row>
    <row r="383" spans="1:36" x14ac:dyDescent="0.2">
      <c r="A383" s="655"/>
      <c r="B383" s="655"/>
      <c r="C383"/>
      <c r="D383" s="655"/>
      <c r="E383" s="655"/>
      <c r="F383" s="655"/>
      <c r="G383" s="655"/>
      <c r="H383"/>
      <c r="I383"/>
      <c r="J383"/>
      <c r="K383"/>
      <c r="L383" s="655"/>
      <c r="M383" s="655"/>
      <c r="N383"/>
      <c r="O383"/>
      <c r="P383"/>
      <c r="Q383"/>
      <c r="R383"/>
      <c r="S383"/>
      <c r="T383"/>
      <c r="U383"/>
      <c r="V383"/>
      <c r="W383"/>
      <c r="X383" s="655"/>
      <c r="Y383" s="655"/>
      <c r="Z383" s="655"/>
      <c r="AA383" s="655"/>
      <c r="AB383"/>
      <c r="AC383"/>
      <c r="AD383"/>
      <c r="AE383"/>
      <c r="AF383"/>
      <c r="AG383"/>
      <c r="AH383" s="655"/>
      <c r="AI383" s="655"/>
      <c r="AJ383" s="655"/>
    </row>
    <row r="384" spans="1:36" x14ac:dyDescent="0.2">
      <c r="A384" s="655"/>
      <c r="B384" s="655"/>
      <c r="C384"/>
      <c r="D384" s="655"/>
      <c r="E384" s="655"/>
      <c r="F384" s="655"/>
      <c r="G384" s="655"/>
      <c r="H384"/>
      <c r="I384"/>
      <c r="J384"/>
      <c r="K384"/>
      <c r="L384" s="655"/>
      <c r="M384" s="655"/>
      <c r="N384"/>
      <c r="O384"/>
      <c r="P384"/>
      <c r="Q384"/>
      <c r="R384"/>
      <c r="S384"/>
      <c r="T384"/>
      <c r="U384"/>
      <c r="V384"/>
      <c r="W384"/>
      <c r="X384" s="655"/>
      <c r="Y384" s="655"/>
      <c r="Z384" s="655"/>
      <c r="AA384" s="655"/>
      <c r="AB384"/>
      <c r="AC384"/>
      <c r="AD384"/>
      <c r="AE384"/>
      <c r="AF384"/>
      <c r="AG384"/>
      <c r="AH384" s="655"/>
      <c r="AI384" s="655"/>
      <c r="AJ384" s="655"/>
    </row>
    <row r="385" spans="1:36" x14ac:dyDescent="0.2">
      <c r="A385" s="655"/>
      <c r="B385" s="655"/>
      <c r="C385"/>
      <c r="D385" s="655"/>
      <c r="E385" s="655"/>
      <c r="F385" s="655"/>
      <c r="G385" s="655"/>
      <c r="H385"/>
      <c r="I385"/>
      <c r="J385"/>
      <c r="K385"/>
      <c r="L385" s="655"/>
      <c r="M385" s="655"/>
      <c r="N385"/>
      <c r="O385"/>
      <c r="P385"/>
      <c r="Q385"/>
      <c r="R385"/>
      <c r="S385"/>
      <c r="T385"/>
      <c r="U385"/>
      <c r="V385"/>
      <c r="W385"/>
      <c r="X385" s="655"/>
      <c r="Y385" s="655"/>
      <c r="Z385" s="655"/>
      <c r="AA385" s="655"/>
      <c r="AB385"/>
      <c r="AD385"/>
      <c r="AE385"/>
      <c r="AF385"/>
      <c r="AG385"/>
      <c r="AH385" s="655"/>
      <c r="AI385" s="655"/>
      <c r="AJ385" s="655"/>
    </row>
    <row r="386" spans="1:36" x14ac:dyDescent="0.2">
      <c r="A386" s="655"/>
      <c r="B386" s="655"/>
      <c r="C386"/>
      <c r="D386" s="655"/>
      <c r="E386" s="655"/>
      <c r="F386" s="655"/>
      <c r="G386" s="655"/>
      <c r="H386"/>
      <c r="I386"/>
      <c r="J386"/>
      <c r="K386"/>
      <c r="L386" s="655"/>
      <c r="M386" s="655"/>
      <c r="N386"/>
      <c r="O386"/>
      <c r="P386"/>
      <c r="Q386"/>
      <c r="R386"/>
      <c r="S386"/>
      <c r="T386"/>
      <c r="U386"/>
      <c r="V386"/>
      <c r="W386"/>
      <c r="X386" s="655"/>
      <c r="Y386" s="655"/>
      <c r="Z386" s="655"/>
      <c r="AA386" s="655"/>
      <c r="AB386"/>
      <c r="AD386"/>
      <c r="AE386"/>
      <c r="AF386"/>
      <c r="AG386"/>
      <c r="AH386" s="655"/>
      <c r="AI386" s="655"/>
      <c r="AJ386" s="655"/>
    </row>
    <row r="387" spans="1:36" x14ac:dyDescent="0.2">
      <c r="A387" s="655"/>
      <c r="B387" s="655"/>
      <c r="C387"/>
      <c r="D387" s="655"/>
      <c r="E387" s="655"/>
      <c r="F387" s="655"/>
      <c r="G387" s="655"/>
      <c r="H387"/>
      <c r="I387"/>
      <c r="J387"/>
      <c r="K387"/>
      <c r="L387" s="655"/>
      <c r="M387" s="655"/>
      <c r="N387"/>
      <c r="O387"/>
      <c r="P387"/>
      <c r="Q387"/>
      <c r="R387"/>
      <c r="S387"/>
      <c r="T387"/>
      <c r="U387"/>
      <c r="V387"/>
      <c r="W387"/>
      <c r="X387" s="655"/>
      <c r="Y387" s="655"/>
      <c r="Z387" s="655"/>
      <c r="AA387" s="655"/>
      <c r="AB387"/>
      <c r="AC387"/>
      <c r="AD387"/>
      <c r="AE387"/>
      <c r="AF387"/>
      <c r="AG387"/>
      <c r="AH387" s="655"/>
      <c r="AI387" s="655"/>
      <c r="AJ387" s="655"/>
    </row>
    <row r="388" spans="1:36" x14ac:dyDescent="0.2">
      <c r="A388" s="655"/>
      <c r="B388" s="655"/>
      <c r="C388"/>
      <c r="D388" s="655"/>
      <c r="E388" s="655"/>
      <c r="F388" s="655"/>
      <c r="G388" s="655"/>
      <c r="H388"/>
      <c r="I388"/>
      <c r="J388"/>
      <c r="K388"/>
      <c r="L388" s="655"/>
      <c r="M388" s="655"/>
      <c r="N388"/>
      <c r="O388"/>
      <c r="P388"/>
      <c r="Q388"/>
      <c r="R388"/>
      <c r="S388"/>
      <c r="T388"/>
      <c r="U388"/>
      <c r="V388"/>
      <c r="W388"/>
      <c r="X388" s="655"/>
      <c r="Y388" s="655"/>
      <c r="Z388" s="655"/>
      <c r="AA388" s="655"/>
      <c r="AB388"/>
      <c r="AC388"/>
      <c r="AD388"/>
      <c r="AE388"/>
      <c r="AF388"/>
      <c r="AG388"/>
      <c r="AH388" s="655"/>
      <c r="AI388" s="655"/>
      <c r="AJ388" s="655"/>
    </row>
    <row r="389" spans="1:36" x14ac:dyDescent="0.2">
      <c r="A389" s="655"/>
      <c r="B389" s="655"/>
      <c r="C389"/>
      <c r="D389" s="655"/>
      <c r="E389" s="655"/>
      <c r="F389" s="655"/>
      <c r="G389" s="655"/>
      <c r="H389"/>
      <c r="I389"/>
      <c r="J389"/>
      <c r="K389"/>
      <c r="L389" s="655"/>
      <c r="M389" s="655"/>
      <c r="N389"/>
      <c r="O389"/>
      <c r="P389"/>
      <c r="Q389"/>
      <c r="R389"/>
      <c r="S389"/>
      <c r="T389"/>
      <c r="U389"/>
      <c r="V389"/>
      <c r="W389"/>
      <c r="X389" s="655"/>
      <c r="Y389" s="655"/>
      <c r="Z389" s="655"/>
      <c r="AA389" s="655"/>
      <c r="AB389"/>
      <c r="AC389"/>
      <c r="AD389"/>
      <c r="AE389"/>
      <c r="AF389"/>
      <c r="AG389"/>
      <c r="AH389" s="655"/>
      <c r="AI389" s="655"/>
      <c r="AJ389" s="655"/>
    </row>
    <row r="390" spans="1:36" x14ac:dyDescent="0.2">
      <c r="A390" s="655"/>
      <c r="B390" s="655"/>
      <c r="C390"/>
      <c r="D390" s="655"/>
      <c r="E390" s="655"/>
      <c r="F390" s="655"/>
      <c r="G390" s="655"/>
      <c r="H390"/>
      <c r="I390"/>
      <c r="J390"/>
      <c r="K390"/>
      <c r="L390" s="655"/>
      <c r="M390" s="655"/>
      <c r="N390"/>
      <c r="O390"/>
      <c r="P390"/>
      <c r="Q390"/>
      <c r="R390"/>
      <c r="S390"/>
      <c r="T390"/>
      <c r="U390"/>
      <c r="V390"/>
      <c r="W390"/>
      <c r="X390" s="655"/>
      <c r="Y390" s="655"/>
      <c r="Z390" s="655"/>
      <c r="AA390" s="655"/>
      <c r="AB390"/>
      <c r="AC390"/>
      <c r="AD390"/>
      <c r="AE390"/>
      <c r="AF390"/>
      <c r="AG390"/>
      <c r="AH390" s="655"/>
      <c r="AI390" s="655"/>
      <c r="AJ390" s="655"/>
    </row>
    <row r="391" spans="1:36" x14ac:dyDescent="0.2">
      <c r="A391" s="655"/>
      <c r="B391" s="655"/>
      <c r="C391"/>
      <c r="D391" s="655"/>
      <c r="E391" s="655"/>
      <c r="F391" s="655"/>
      <c r="G391" s="655"/>
      <c r="H391"/>
      <c r="I391"/>
      <c r="J391"/>
      <c r="K391"/>
      <c r="L391" s="655"/>
      <c r="M391" s="655"/>
      <c r="N391"/>
      <c r="O391"/>
      <c r="P391"/>
      <c r="Q391"/>
      <c r="R391"/>
      <c r="S391"/>
      <c r="T391"/>
      <c r="U391"/>
      <c r="V391"/>
      <c r="W391"/>
      <c r="X391" s="655"/>
      <c r="Y391" s="655"/>
      <c r="Z391" s="655"/>
      <c r="AA391" s="655"/>
      <c r="AB391"/>
      <c r="AC391"/>
      <c r="AD391"/>
      <c r="AE391"/>
      <c r="AF391"/>
      <c r="AG391"/>
      <c r="AH391" s="655"/>
      <c r="AI391" s="655"/>
      <c r="AJ391" s="655"/>
    </row>
    <row r="392" spans="1:36" x14ac:dyDescent="0.2">
      <c r="A392" s="655"/>
      <c r="B392" s="655"/>
      <c r="C392"/>
      <c r="D392" s="655"/>
      <c r="E392" s="655"/>
      <c r="F392" s="655"/>
      <c r="G392" s="655"/>
      <c r="H392"/>
      <c r="I392"/>
      <c r="J392"/>
      <c r="K392"/>
      <c r="L392" s="655"/>
      <c r="M392" s="655"/>
      <c r="N392"/>
      <c r="O392"/>
      <c r="P392"/>
      <c r="Q392"/>
      <c r="R392"/>
      <c r="S392"/>
      <c r="T392"/>
      <c r="U392"/>
      <c r="V392"/>
      <c r="W392"/>
      <c r="X392" s="655"/>
      <c r="Y392" s="655"/>
      <c r="Z392" s="655"/>
      <c r="AA392" s="655"/>
      <c r="AB392"/>
      <c r="AC392"/>
      <c r="AD392"/>
      <c r="AE392"/>
      <c r="AF392"/>
      <c r="AG392"/>
      <c r="AH392" s="655"/>
      <c r="AI392" s="655"/>
      <c r="AJ392" s="655"/>
    </row>
    <row r="393" spans="1:36" x14ac:dyDescent="0.2">
      <c r="A393" s="655"/>
      <c r="B393" s="655"/>
      <c r="C393"/>
      <c r="D393" s="655"/>
      <c r="E393" s="655"/>
      <c r="F393" s="655"/>
      <c r="G393" s="655"/>
      <c r="H393"/>
      <c r="I393"/>
      <c r="J393"/>
      <c r="K393"/>
      <c r="L393" s="655"/>
      <c r="M393" s="655"/>
      <c r="N393"/>
      <c r="O393"/>
      <c r="P393"/>
      <c r="Q393"/>
      <c r="R393"/>
      <c r="S393"/>
      <c r="T393"/>
      <c r="U393"/>
      <c r="V393"/>
      <c r="W393"/>
      <c r="X393" s="655"/>
      <c r="Y393" s="655"/>
      <c r="Z393" s="655"/>
      <c r="AA393" s="655"/>
      <c r="AB393"/>
      <c r="AC393"/>
      <c r="AD393"/>
      <c r="AE393"/>
      <c r="AF393"/>
      <c r="AG393"/>
      <c r="AH393" s="655"/>
      <c r="AI393" s="655"/>
      <c r="AJ393" s="655"/>
    </row>
    <row r="394" spans="1:36" x14ac:dyDescent="0.2">
      <c r="A394" s="655"/>
      <c r="B394" s="655"/>
      <c r="C394"/>
      <c r="D394" s="655"/>
      <c r="E394" s="655"/>
      <c r="F394" s="655"/>
      <c r="G394" s="655"/>
      <c r="H394"/>
      <c r="I394"/>
      <c r="J394"/>
      <c r="K394"/>
      <c r="L394" s="655"/>
      <c r="M394" s="655"/>
      <c r="N394"/>
      <c r="O394"/>
      <c r="P394"/>
      <c r="Q394"/>
      <c r="R394"/>
      <c r="S394"/>
      <c r="T394"/>
      <c r="U394"/>
      <c r="V394"/>
      <c r="W394"/>
      <c r="X394" s="655"/>
      <c r="Y394" s="655"/>
      <c r="Z394" s="655"/>
      <c r="AA394" s="655"/>
      <c r="AB394"/>
      <c r="AC394"/>
      <c r="AD394"/>
      <c r="AE394"/>
      <c r="AF394"/>
      <c r="AG394"/>
      <c r="AH394" s="655"/>
      <c r="AI394" s="655"/>
      <c r="AJ394" s="655"/>
    </row>
    <row r="395" spans="1:36" x14ac:dyDescent="0.2">
      <c r="A395" s="655"/>
      <c r="B395" s="655"/>
      <c r="C395"/>
      <c r="D395" s="655"/>
      <c r="E395" s="655"/>
      <c r="F395" s="655"/>
      <c r="G395" s="655"/>
      <c r="H395"/>
      <c r="I395"/>
      <c r="J395"/>
      <c r="K395"/>
      <c r="L395" s="655"/>
      <c r="M395" s="655"/>
      <c r="N395"/>
      <c r="O395"/>
      <c r="P395"/>
      <c r="Q395"/>
      <c r="R395"/>
      <c r="S395"/>
      <c r="T395"/>
      <c r="U395"/>
      <c r="V395"/>
      <c r="W395"/>
      <c r="X395" s="655"/>
      <c r="Y395" s="655"/>
      <c r="Z395" s="655"/>
      <c r="AA395" s="655"/>
      <c r="AB395"/>
      <c r="AC395"/>
      <c r="AD395"/>
      <c r="AE395"/>
      <c r="AF395"/>
      <c r="AG395"/>
      <c r="AH395" s="655"/>
      <c r="AI395" s="655"/>
      <c r="AJ395" s="655"/>
    </row>
    <row r="396" spans="1:36" x14ac:dyDescent="0.2">
      <c r="A396" s="655"/>
      <c r="B396" s="655"/>
      <c r="C396"/>
      <c r="D396" s="655"/>
      <c r="E396" s="655"/>
      <c r="F396" s="655"/>
      <c r="G396" s="655"/>
      <c r="H396"/>
      <c r="I396"/>
      <c r="J396"/>
      <c r="K396"/>
      <c r="L396" s="655"/>
      <c r="M396" s="655"/>
      <c r="N396"/>
      <c r="O396"/>
      <c r="P396"/>
      <c r="Q396"/>
      <c r="R396"/>
      <c r="S396"/>
      <c r="T396"/>
      <c r="U396"/>
      <c r="V396"/>
      <c r="W396"/>
      <c r="X396" s="655"/>
      <c r="Y396" s="655"/>
      <c r="Z396" s="655"/>
      <c r="AA396" s="655"/>
      <c r="AB396"/>
      <c r="AC396"/>
      <c r="AD396"/>
      <c r="AE396"/>
      <c r="AF396"/>
      <c r="AG396"/>
      <c r="AH396" s="655"/>
      <c r="AI396" s="655"/>
      <c r="AJ396" s="655"/>
    </row>
    <row r="397" spans="1:36" x14ac:dyDescent="0.2">
      <c r="A397" s="655"/>
      <c r="B397" s="655"/>
      <c r="C397"/>
      <c r="D397" s="655"/>
      <c r="E397" s="655"/>
      <c r="F397" s="655"/>
      <c r="G397" s="655"/>
      <c r="H397"/>
      <c r="I397"/>
      <c r="J397"/>
      <c r="K397"/>
      <c r="L397" s="655"/>
      <c r="M397" s="655"/>
      <c r="N397"/>
      <c r="O397"/>
      <c r="P397"/>
      <c r="Q397"/>
      <c r="R397"/>
      <c r="S397"/>
      <c r="T397"/>
      <c r="U397"/>
      <c r="V397"/>
      <c r="W397"/>
      <c r="X397" s="655"/>
      <c r="Y397" s="655"/>
      <c r="Z397" s="655"/>
      <c r="AA397" s="655"/>
      <c r="AB397"/>
      <c r="AC397"/>
      <c r="AD397"/>
      <c r="AE397"/>
      <c r="AF397"/>
      <c r="AG397"/>
      <c r="AH397" s="655"/>
      <c r="AI397" s="655"/>
      <c r="AJ397" s="655"/>
    </row>
    <row r="398" spans="1:36" x14ac:dyDescent="0.2">
      <c r="A398" s="655"/>
      <c r="B398" s="655"/>
      <c r="C398"/>
      <c r="D398" s="655"/>
      <c r="E398" s="655"/>
      <c r="F398" s="655"/>
      <c r="G398" s="655"/>
      <c r="H398"/>
      <c r="I398"/>
      <c r="J398"/>
      <c r="K398"/>
      <c r="L398" s="655"/>
      <c r="M398" s="655"/>
      <c r="N398"/>
      <c r="O398"/>
      <c r="P398"/>
      <c r="Q398"/>
      <c r="R398"/>
      <c r="S398"/>
      <c r="T398"/>
      <c r="U398"/>
      <c r="V398"/>
      <c r="W398"/>
      <c r="X398" s="655"/>
      <c r="Y398" s="655"/>
      <c r="Z398" s="655"/>
      <c r="AA398" s="655"/>
      <c r="AB398"/>
      <c r="AC398"/>
      <c r="AD398"/>
      <c r="AE398"/>
      <c r="AF398"/>
      <c r="AG398"/>
      <c r="AH398" s="655"/>
      <c r="AI398" s="655"/>
      <c r="AJ398" s="655"/>
    </row>
    <row r="399" spans="1:36" x14ac:dyDescent="0.2">
      <c r="A399" s="655"/>
      <c r="B399" s="655"/>
      <c r="C399"/>
      <c r="D399" s="655"/>
      <c r="E399" s="655"/>
      <c r="F399" s="655"/>
      <c r="G399" s="655"/>
      <c r="H399"/>
      <c r="I399"/>
      <c r="J399"/>
      <c r="K399"/>
      <c r="L399" s="655"/>
      <c r="M399" s="655"/>
      <c r="N399"/>
      <c r="O399"/>
      <c r="P399"/>
      <c r="Q399"/>
      <c r="R399"/>
      <c r="S399"/>
      <c r="T399"/>
      <c r="U399"/>
      <c r="V399"/>
      <c r="W399"/>
      <c r="X399" s="655"/>
      <c r="Y399" s="655"/>
      <c r="Z399" s="655"/>
      <c r="AA399" s="655"/>
      <c r="AB399"/>
      <c r="AC399"/>
      <c r="AD399"/>
      <c r="AE399"/>
      <c r="AF399"/>
      <c r="AG399"/>
      <c r="AH399" s="655"/>
      <c r="AI399" s="655"/>
      <c r="AJ399" s="655"/>
    </row>
    <row r="400" spans="1:36" x14ac:dyDescent="0.2">
      <c r="A400" s="655"/>
      <c r="B400" s="655"/>
      <c r="C400"/>
      <c r="D400" s="655"/>
      <c r="E400" s="655"/>
      <c r="F400" s="655"/>
      <c r="G400" s="655"/>
      <c r="H400"/>
      <c r="I400"/>
      <c r="J400"/>
      <c r="K400"/>
      <c r="L400" s="655"/>
      <c r="M400" s="655"/>
      <c r="N400"/>
      <c r="O400"/>
      <c r="P400"/>
      <c r="Q400"/>
      <c r="R400"/>
      <c r="S400"/>
      <c r="T400"/>
      <c r="U400"/>
      <c r="V400"/>
      <c r="W400"/>
      <c r="X400" s="655"/>
      <c r="Y400" s="655"/>
      <c r="Z400" s="655"/>
      <c r="AA400" s="655"/>
      <c r="AB400"/>
      <c r="AC400"/>
      <c r="AD400"/>
      <c r="AE400"/>
      <c r="AF400"/>
      <c r="AG400"/>
      <c r="AH400" s="655"/>
      <c r="AI400" s="655"/>
      <c r="AJ400" s="655"/>
    </row>
    <row r="401" spans="1:36" x14ac:dyDescent="0.2">
      <c r="A401" s="655"/>
      <c r="B401" s="655"/>
      <c r="C401"/>
      <c r="D401" s="655"/>
      <c r="E401" s="655"/>
      <c r="F401" s="655"/>
      <c r="G401" s="655"/>
      <c r="H401"/>
      <c r="I401"/>
      <c r="J401"/>
      <c r="K401"/>
      <c r="L401" s="655"/>
      <c r="M401" s="655"/>
      <c r="N401"/>
      <c r="O401"/>
      <c r="P401"/>
      <c r="Q401"/>
      <c r="R401"/>
      <c r="S401"/>
      <c r="T401"/>
      <c r="U401"/>
      <c r="V401"/>
      <c r="W401"/>
      <c r="X401" s="655"/>
      <c r="Y401" s="655"/>
      <c r="Z401" s="655"/>
      <c r="AA401" s="655"/>
      <c r="AB401"/>
      <c r="AC401"/>
      <c r="AD401"/>
      <c r="AE401"/>
      <c r="AF401"/>
      <c r="AG401"/>
      <c r="AH401" s="655"/>
      <c r="AI401" s="655"/>
      <c r="AJ401" s="655"/>
    </row>
    <row r="402" spans="1:36" x14ac:dyDescent="0.2">
      <c r="A402" s="655"/>
      <c r="B402" s="655"/>
      <c r="C402"/>
      <c r="D402" s="655"/>
      <c r="E402" s="655"/>
      <c r="F402" s="655"/>
      <c r="G402" s="655"/>
      <c r="H402"/>
      <c r="I402"/>
      <c r="J402"/>
      <c r="K402"/>
      <c r="L402" s="655"/>
      <c r="M402" s="655"/>
      <c r="N402"/>
      <c r="O402"/>
      <c r="P402"/>
      <c r="Q402"/>
      <c r="R402"/>
      <c r="S402"/>
      <c r="T402"/>
      <c r="U402"/>
      <c r="V402"/>
      <c r="W402"/>
      <c r="X402" s="655"/>
      <c r="Y402" s="655"/>
      <c r="Z402" s="655"/>
      <c r="AA402" s="655"/>
      <c r="AB402"/>
      <c r="AC402"/>
      <c r="AD402"/>
      <c r="AE402"/>
      <c r="AF402"/>
      <c r="AG402"/>
      <c r="AH402" s="655"/>
      <c r="AI402" s="655"/>
      <c r="AJ402" s="655"/>
    </row>
    <row r="403" spans="1:36" x14ac:dyDescent="0.2">
      <c r="A403" s="655"/>
      <c r="B403" s="655"/>
      <c r="C403"/>
      <c r="D403" s="655"/>
      <c r="E403" s="655"/>
      <c r="F403" s="655"/>
      <c r="G403" s="655"/>
      <c r="H403"/>
      <c r="I403"/>
      <c r="J403"/>
      <c r="K403"/>
      <c r="L403" s="655"/>
      <c r="M403" s="655"/>
      <c r="N403"/>
      <c r="O403"/>
      <c r="P403"/>
      <c r="Q403"/>
      <c r="R403"/>
      <c r="S403"/>
      <c r="T403"/>
      <c r="U403"/>
      <c r="V403"/>
      <c r="W403"/>
      <c r="X403" s="655"/>
      <c r="Y403" s="655"/>
      <c r="Z403" s="655"/>
      <c r="AA403" s="655"/>
      <c r="AB403"/>
      <c r="AC403"/>
      <c r="AD403"/>
      <c r="AE403"/>
      <c r="AF403"/>
      <c r="AG403"/>
      <c r="AH403" s="655"/>
      <c r="AI403" s="655"/>
      <c r="AJ403" s="655"/>
    </row>
    <row r="404" spans="1:36" x14ac:dyDescent="0.2">
      <c r="A404" s="655"/>
      <c r="B404" s="655"/>
      <c r="C404"/>
      <c r="D404" s="655"/>
      <c r="E404" s="655"/>
      <c r="F404" s="655"/>
      <c r="G404" s="655"/>
      <c r="H404"/>
      <c r="I404"/>
      <c r="J404"/>
      <c r="K404"/>
      <c r="L404" s="655"/>
      <c r="M404" s="655"/>
      <c r="N404"/>
      <c r="O404"/>
      <c r="P404"/>
      <c r="Q404"/>
      <c r="R404"/>
      <c r="S404"/>
      <c r="T404"/>
      <c r="U404"/>
      <c r="V404"/>
      <c r="W404"/>
      <c r="X404" s="655"/>
      <c r="Y404" s="655"/>
      <c r="Z404" s="655"/>
      <c r="AA404" s="655"/>
      <c r="AB404"/>
      <c r="AC404"/>
      <c r="AD404"/>
      <c r="AE404"/>
      <c r="AF404"/>
      <c r="AG404"/>
      <c r="AH404" s="655"/>
      <c r="AI404" s="655"/>
      <c r="AJ404" s="655"/>
    </row>
    <row r="405" spans="1:36" x14ac:dyDescent="0.2">
      <c r="A405" s="655"/>
      <c r="B405" s="655"/>
      <c r="C405"/>
      <c r="D405" s="655"/>
      <c r="E405" s="655"/>
      <c r="F405" s="655"/>
      <c r="G405" s="655"/>
      <c r="H405"/>
      <c r="I405"/>
      <c r="J405"/>
      <c r="K405"/>
      <c r="L405" s="655"/>
      <c r="M405" s="655"/>
      <c r="N405"/>
      <c r="O405"/>
      <c r="P405"/>
      <c r="Q405"/>
      <c r="R405"/>
      <c r="S405"/>
      <c r="T405"/>
      <c r="U405"/>
      <c r="V405"/>
      <c r="W405"/>
      <c r="X405" s="655"/>
      <c r="Y405" s="655"/>
      <c r="Z405" s="655"/>
      <c r="AA405" s="655"/>
      <c r="AB405"/>
      <c r="AC405"/>
      <c r="AD405"/>
      <c r="AE405"/>
      <c r="AF405"/>
      <c r="AG405"/>
      <c r="AH405" s="655"/>
      <c r="AI405" s="655"/>
      <c r="AJ405" s="655"/>
    </row>
    <row r="406" spans="1:36" x14ac:dyDescent="0.2">
      <c r="A406" s="655"/>
      <c r="B406" s="655"/>
      <c r="C406"/>
      <c r="D406" s="655"/>
      <c r="E406" s="655"/>
      <c r="F406" s="655"/>
      <c r="G406" s="655"/>
      <c r="H406"/>
      <c r="I406"/>
      <c r="J406"/>
      <c r="K406"/>
      <c r="L406" s="655"/>
      <c r="M406" s="655"/>
      <c r="N406"/>
      <c r="O406"/>
      <c r="P406"/>
      <c r="Q406"/>
      <c r="R406"/>
      <c r="S406"/>
      <c r="T406"/>
      <c r="U406"/>
      <c r="V406"/>
      <c r="W406"/>
      <c r="X406" s="655"/>
      <c r="Y406" s="655"/>
      <c r="Z406" s="655"/>
      <c r="AA406" s="655"/>
      <c r="AB406"/>
      <c r="AC406"/>
      <c r="AD406"/>
      <c r="AE406"/>
      <c r="AF406"/>
      <c r="AG406"/>
      <c r="AH406" s="655"/>
      <c r="AI406" s="655"/>
      <c r="AJ406" s="655"/>
    </row>
    <row r="407" spans="1:36" x14ac:dyDescent="0.2">
      <c r="A407" s="655"/>
      <c r="B407" s="655"/>
      <c r="C407"/>
      <c r="D407" s="655"/>
      <c r="E407" s="655"/>
      <c r="F407" s="655"/>
      <c r="G407" s="655"/>
      <c r="H407"/>
      <c r="I407"/>
      <c r="J407"/>
      <c r="K407"/>
      <c r="L407" s="655"/>
      <c r="M407" s="655"/>
      <c r="N407"/>
      <c r="O407"/>
      <c r="P407"/>
      <c r="Q407"/>
      <c r="R407"/>
      <c r="S407"/>
      <c r="T407"/>
      <c r="U407"/>
      <c r="V407"/>
      <c r="W407"/>
      <c r="X407" s="655"/>
      <c r="Y407" s="655"/>
      <c r="Z407" s="655"/>
      <c r="AA407" s="655"/>
      <c r="AB407"/>
      <c r="AC407"/>
      <c r="AD407"/>
      <c r="AE407"/>
      <c r="AF407"/>
      <c r="AG407"/>
      <c r="AH407" s="655"/>
      <c r="AI407" s="655"/>
      <c r="AJ407" s="655"/>
    </row>
    <row r="408" spans="1:36" x14ac:dyDescent="0.2">
      <c r="A408" s="655"/>
      <c r="B408" s="655"/>
      <c r="C408"/>
      <c r="D408" s="655"/>
      <c r="E408" s="655"/>
      <c r="F408" s="655"/>
      <c r="G408" s="655"/>
      <c r="H408"/>
      <c r="I408"/>
      <c r="J408"/>
      <c r="K408"/>
      <c r="L408" s="655"/>
      <c r="M408" s="655"/>
      <c r="N408"/>
      <c r="O408"/>
      <c r="P408"/>
      <c r="Q408"/>
      <c r="R408"/>
      <c r="S408"/>
      <c r="T408"/>
      <c r="U408"/>
      <c r="V408"/>
      <c r="W408"/>
      <c r="X408" s="655"/>
      <c r="Y408" s="655"/>
      <c r="Z408" s="655"/>
      <c r="AA408" s="655"/>
      <c r="AB408"/>
      <c r="AC408"/>
      <c r="AD408"/>
      <c r="AE408"/>
      <c r="AF408"/>
      <c r="AG408"/>
      <c r="AH408" s="655"/>
      <c r="AI408" s="655"/>
      <c r="AJ408" s="655"/>
    </row>
    <row r="409" spans="1:36" x14ac:dyDescent="0.2">
      <c r="A409" s="655"/>
      <c r="B409" s="655"/>
      <c r="C409"/>
      <c r="D409" s="655"/>
      <c r="E409" s="655"/>
      <c r="F409" s="655"/>
      <c r="G409" s="655"/>
      <c r="H409"/>
      <c r="I409"/>
      <c r="J409"/>
      <c r="K409"/>
      <c r="L409" s="655"/>
      <c r="M409" s="655"/>
      <c r="N409"/>
      <c r="O409"/>
      <c r="P409"/>
      <c r="Q409"/>
      <c r="R409"/>
      <c r="S409"/>
      <c r="T409"/>
      <c r="U409"/>
      <c r="V409"/>
      <c r="W409"/>
      <c r="X409" s="655"/>
      <c r="Y409" s="655"/>
      <c r="Z409" s="655"/>
      <c r="AA409" s="655"/>
      <c r="AB409"/>
      <c r="AC409"/>
      <c r="AD409"/>
      <c r="AE409"/>
      <c r="AF409"/>
      <c r="AG409"/>
      <c r="AH409" s="655"/>
      <c r="AI409" s="655"/>
      <c r="AJ409" s="655"/>
    </row>
    <row r="410" spans="1:36" x14ac:dyDescent="0.2">
      <c r="A410" s="655"/>
      <c r="B410" s="655"/>
      <c r="C410"/>
      <c r="D410" s="655"/>
      <c r="E410" s="655"/>
      <c r="F410" s="655"/>
      <c r="G410" s="655"/>
      <c r="H410"/>
      <c r="I410"/>
      <c r="J410"/>
      <c r="K410"/>
      <c r="L410" s="655"/>
      <c r="M410" s="655"/>
      <c r="N410"/>
      <c r="O410"/>
      <c r="P410"/>
      <c r="Q410"/>
      <c r="R410"/>
      <c r="S410"/>
      <c r="T410"/>
      <c r="U410"/>
      <c r="V410"/>
      <c r="W410"/>
      <c r="X410" s="655"/>
      <c r="Y410" s="655"/>
      <c r="Z410" s="655"/>
      <c r="AA410" s="655"/>
      <c r="AB410"/>
      <c r="AC410"/>
      <c r="AD410"/>
      <c r="AE410"/>
      <c r="AF410"/>
      <c r="AG410"/>
      <c r="AH410" s="655"/>
      <c r="AI410" s="655"/>
      <c r="AJ410" s="655"/>
    </row>
    <row r="411" spans="1:36" x14ac:dyDescent="0.2">
      <c r="A411" s="655"/>
      <c r="B411" s="655"/>
      <c r="C411"/>
      <c r="D411" s="655"/>
      <c r="E411" s="655"/>
      <c r="F411" s="655"/>
      <c r="G411" s="655"/>
      <c r="H411"/>
      <c r="I411"/>
      <c r="J411"/>
      <c r="K411"/>
      <c r="L411" s="655"/>
      <c r="M411" s="655"/>
      <c r="N411"/>
      <c r="O411"/>
      <c r="P411"/>
      <c r="Q411"/>
      <c r="R411"/>
      <c r="S411"/>
      <c r="T411"/>
      <c r="U411"/>
      <c r="V411"/>
      <c r="W411"/>
      <c r="X411" s="655"/>
      <c r="Y411" s="655"/>
      <c r="Z411" s="655"/>
      <c r="AA411" s="655"/>
      <c r="AB411"/>
      <c r="AC411"/>
      <c r="AD411"/>
      <c r="AE411"/>
      <c r="AF411"/>
      <c r="AG411"/>
      <c r="AH411" s="655"/>
      <c r="AI411" s="655"/>
      <c r="AJ411" s="655"/>
    </row>
    <row r="412" spans="1:36" x14ac:dyDescent="0.2">
      <c r="A412" s="655"/>
      <c r="B412" s="655"/>
      <c r="C412"/>
      <c r="D412" s="655"/>
      <c r="E412" s="655"/>
      <c r="F412" s="655"/>
      <c r="G412" s="655"/>
      <c r="H412"/>
      <c r="I412"/>
      <c r="J412"/>
      <c r="K412"/>
      <c r="L412" s="655"/>
      <c r="M412" s="655"/>
      <c r="N412"/>
      <c r="O412"/>
      <c r="P412"/>
      <c r="Q412"/>
      <c r="R412"/>
      <c r="S412"/>
      <c r="T412"/>
      <c r="U412"/>
      <c r="V412"/>
      <c r="W412"/>
      <c r="X412" s="655"/>
      <c r="Y412" s="655"/>
      <c r="Z412" s="655"/>
      <c r="AA412" s="655"/>
      <c r="AB412"/>
      <c r="AC412"/>
      <c r="AD412"/>
      <c r="AE412"/>
      <c r="AF412"/>
      <c r="AG412"/>
      <c r="AH412" s="655"/>
      <c r="AI412" s="655"/>
      <c r="AJ412" s="655"/>
    </row>
    <row r="413" spans="1:36" x14ac:dyDescent="0.2">
      <c r="A413" s="655"/>
      <c r="B413" s="655"/>
      <c r="C413"/>
      <c r="D413" s="655"/>
      <c r="E413" s="655"/>
      <c r="F413" s="655"/>
      <c r="G413" s="655"/>
      <c r="H413"/>
      <c r="I413"/>
      <c r="J413"/>
      <c r="K413"/>
      <c r="L413" s="655"/>
      <c r="M413" s="655"/>
      <c r="N413"/>
      <c r="O413"/>
      <c r="P413"/>
      <c r="Q413"/>
      <c r="R413"/>
      <c r="S413"/>
      <c r="T413"/>
      <c r="U413"/>
      <c r="V413"/>
      <c r="W413"/>
      <c r="X413" s="655"/>
      <c r="Y413" s="655"/>
      <c r="Z413" s="655"/>
      <c r="AA413" s="655"/>
      <c r="AB413"/>
      <c r="AC413"/>
      <c r="AD413"/>
      <c r="AE413"/>
      <c r="AF413"/>
      <c r="AG413"/>
      <c r="AH413" s="655"/>
      <c r="AI413" s="655"/>
      <c r="AJ413" s="655"/>
    </row>
    <row r="414" spans="1:36" x14ac:dyDescent="0.2">
      <c r="A414" s="655"/>
      <c r="B414" s="655"/>
      <c r="C414"/>
      <c r="D414" s="655"/>
      <c r="E414" s="655"/>
      <c r="F414" s="655"/>
      <c r="G414" s="655"/>
      <c r="H414"/>
      <c r="I414"/>
      <c r="J414"/>
      <c r="K414"/>
      <c r="L414" s="655"/>
      <c r="M414" s="655"/>
      <c r="N414"/>
      <c r="O414"/>
      <c r="P414"/>
      <c r="Q414"/>
      <c r="R414"/>
      <c r="S414"/>
      <c r="T414"/>
      <c r="U414"/>
      <c r="V414"/>
      <c r="W414"/>
      <c r="X414" s="655"/>
      <c r="Y414" s="655"/>
      <c r="Z414" s="655"/>
      <c r="AA414" s="655"/>
      <c r="AH414" s="655"/>
      <c r="AI414" s="655"/>
      <c r="AJ414" s="655"/>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1">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650°F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7" t="s">
        <v>773</v>
      </c>
      <c r="B1" s="316"/>
      <c r="C1" s="508" t="s">
        <v>49</v>
      </c>
      <c r="D1" s="509"/>
      <c r="E1" s="509"/>
      <c r="F1" s="509"/>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1"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10" t="s">
        <v>98</v>
      </c>
      <c r="K3" s="511"/>
      <c r="L3" s="512"/>
      <c r="M3" s="299"/>
      <c r="N3" s="526" t="s">
        <v>87</v>
      </c>
      <c r="O3" s="526"/>
      <c r="P3" s="526"/>
      <c r="Q3" s="526"/>
      <c r="R3" s="526"/>
      <c r="S3" s="526"/>
    </row>
    <row r="4" spans="1:19" s="277" customFormat="1" x14ac:dyDescent="0.2">
      <c r="A4" s="317"/>
      <c r="B4" s="140"/>
      <c r="C4" s="141" t="s">
        <v>187</v>
      </c>
      <c r="D4" s="284" t="str">
        <f>IF(Condition="","",Condition)</f>
        <v/>
      </c>
      <c r="F4" s="299"/>
      <c r="G4" s="299"/>
      <c r="H4" s="299"/>
      <c r="I4" s="479" t="s">
        <v>757</v>
      </c>
      <c r="J4" s="515" t="s">
        <v>1</v>
      </c>
      <c r="K4" s="516"/>
      <c r="L4" s="142">
        <f>MAX(Survey[Deviations])</f>
        <v>0</v>
      </c>
      <c r="M4" s="299"/>
      <c r="N4" s="143" t="s">
        <v>86</v>
      </c>
      <c r="O4" s="144" t="s">
        <v>85</v>
      </c>
      <c r="P4" s="513" t="s">
        <v>96</v>
      </c>
      <c r="Q4" s="514"/>
      <c r="R4" s="143" t="s">
        <v>128</v>
      </c>
      <c r="S4" s="143" t="s">
        <v>132</v>
      </c>
    </row>
    <row r="5" spans="1:19" s="277" customFormat="1" x14ac:dyDescent="0.2">
      <c r="A5" s="317"/>
      <c r="B5" s="140"/>
      <c r="C5" s="141" t="s">
        <v>41</v>
      </c>
      <c r="D5" s="530" t="e">
        <f>companyName</f>
        <v>#N/A</v>
      </c>
      <c r="E5" s="531"/>
      <c r="F5" s="531"/>
      <c r="G5" s="531"/>
      <c r="H5" s="532"/>
      <c r="I5" s="480" t="e">
        <f>clientCompanyId</f>
        <v>#N/A</v>
      </c>
      <c r="J5" s="515" t="s">
        <v>2</v>
      </c>
      <c r="K5" s="516"/>
      <c r="L5" s="142">
        <f>MIN(Survey[Deviations])</f>
        <v>0</v>
      </c>
      <c r="M5" s="299"/>
      <c r="N5" s="397">
        <v>1</v>
      </c>
      <c r="O5" s="145"/>
      <c r="P5" s="449" t="str" cm="1">
        <f t="array" ref="P5:P44">Alerts[Alert]</f>
        <v/>
      </c>
      <c r="Q5" s="450"/>
      <c r="R5" s="448" t="e" cm="1">
        <f t="array" ref="R5:R44">Alerts[Temp]</f>
        <v>#VALUE!</v>
      </c>
      <c r="S5" s="146" t="str" cm="1">
        <f t="array" ref="S5:S44">Alerts[Time]</f>
        <v/>
      </c>
    </row>
    <row r="6" spans="1:19" s="277" customFormat="1" x14ac:dyDescent="0.2">
      <c r="A6" s="317"/>
      <c r="B6" s="140"/>
      <c r="C6" s="141" t="s">
        <v>40</v>
      </c>
      <c r="D6" s="527" t="e">
        <f>_xlfn.XLOOKUP(D24,WorkItemsCache[OrderItemNumber],WorkItemsCache[AssetName])</f>
        <v>#N/A</v>
      </c>
      <c r="E6" s="528"/>
      <c r="F6" s="528"/>
      <c r="G6" s="528"/>
      <c r="H6" s="529"/>
      <c r="I6" s="480" t="e">
        <f>AssetId</f>
        <v>#N/A</v>
      </c>
      <c r="J6" s="515" t="s">
        <v>97</v>
      </c>
      <c r="K6" s="516"/>
      <c r="L6" s="142">
        <f>L4-L5</f>
        <v>0</v>
      </c>
      <c r="M6" s="299"/>
      <c r="N6" s="397">
        <v>2</v>
      </c>
      <c r="O6" s="145"/>
      <c r="P6" s="449" t="str">
        <v/>
      </c>
      <c r="Q6" s="450"/>
      <c r="R6" s="448" t="e">
        <v>#VALUE!</v>
      </c>
      <c r="S6" s="146" t="str">
        <v/>
      </c>
    </row>
    <row r="7" spans="1:19" s="277" customFormat="1" x14ac:dyDescent="0.2">
      <c r="A7" s="317"/>
      <c r="B7" s="147"/>
      <c r="C7" s="148" t="s">
        <v>27</v>
      </c>
      <c r="D7" s="359" t="str" cm="1">
        <f t="array" ref="D7">_xlfn.XLOOKUP(User[User],Employees[login_email],Employees[Name])</f>
        <v>Jeff Hall</v>
      </c>
      <c r="E7" s="299"/>
      <c r="F7" s="332" t="str">
        <f>IF(ROWS(_xlfn.ANCHORARRAY(Unit))&gt;1,"ERROR: Mixed tolerance units across ranges for this UUT","")</f>
        <v/>
      </c>
      <c r="G7" s="299"/>
      <c r="H7" s="299"/>
      <c r="I7" s="299"/>
      <c r="J7" s="320"/>
      <c r="K7" s="320"/>
      <c r="L7" s="320"/>
      <c r="M7" s="299"/>
      <c r="N7" s="397">
        <v>3</v>
      </c>
      <c r="O7" s="145"/>
      <c r="P7" s="449" t="str">
        <v/>
      </c>
      <c r="Q7" s="450"/>
      <c r="R7" s="448" t="e">
        <v>#VALUE!</v>
      </c>
      <c r="S7" s="146" t="str">
        <v/>
      </c>
    </row>
    <row r="8" spans="1:19" s="277" customFormat="1" x14ac:dyDescent="0.2">
      <c r="A8" s="317"/>
      <c r="B8" s="489" t="str">
        <f>IF(AND(DaqbookAssetTag&lt;&gt;"",ISNA(MATCH(DaqbookAssetTag,AllDaqbookOffsets[AssetTag2],0))),"WARNING: No offsets available for "&amp;DaqbookAssetTag&amp;"!","")</f>
        <v/>
      </c>
      <c r="C8" s="321"/>
      <c r="D8" s="322"/>
      <c r="E8" s="299"/>
      <c r="F8" s="323" t="str">
        <f>IF(N49="","CHECK TUNING CONSTANTS","")</f>
        <v>CHECK TUNING CONSTANTS</v>
      </c>
      <c r="G8" s="299"/>
      <c r="H8" s="299"/>
      <c r="I8" s="299"/>
      <c r="J8" s="299"/>
      <c r="K8" s="299"/>
      <c r="L8" s="299"/>
      <c r="M8" s="299"/>
      <c r="N8" s="397">
        <v>4</v>
      </c>
      <c r="O8" s="145"/>
      <c r="P8" s="449" t="str">
        <v/>
      </c>
      <c r="Q8" s="450"/>
      <c r="R8" s="448" t="e">
        <v>#VALUE!</v>
      </c>
      <c r="S8" s="146" t="str">
        <v/>
      </c>
    </row>
    <row r="9" spans="1:19" s="277" customFormat="1" ht="12.75" customHeight="1" x14ac:dyDescent="0.2">
      <c r="A9" s="317"/>
      <c r="B9" s="487" t="str" cm="1">
        <f t="array" ref="B9">IFERROR(
  _xlfn.XLOOKUP(
    Main!$D$9,
    _xlfn._xlws.FILTER(AssetPool[AssetTag], AssetPool[RootCategoryName]= "DAQ Modules"),
    _xlfn._xlws.FILTER(AssetPool[AssetId], AssetPool[RootCategoryName]= "DAQ Modules")
  ),
  ""
)</f>
        <v/>
      </c>
      <c r="C9" s="149" t="s">
        <v>63</v>
      </c>
      <c r="D9" s="281"/>
      <c r="E9" s="285"/>
      <c r="F9" s="476" t="str" cm="1">
        <f t="array" ref="F9">IF($S$48, "Class " &amp; RIGHT(_xlfn.REGEXEXTRACT(TRIM(Class), "(?&lt;=[0-9])[AC]"), 1) &amp; " Oven: Check Hot/Cold Sensor Analysis", "")</f>
        <v/>
      </c>
      <c r="G9" s="299"/>
      <c r="H9" s="299"/>
      <c r="I9" s="299"/>
      <c r="J9" s="299"/>
      <c r="K9" s="299"/>
      <c r="L9" s="299"/>
      <c r="M9" s="299"/>
      <c r="N9" s="397">
        <v>5</v>
      </c>
      <c r="O9" s="145"/>
      <c r="P9" s="449" t="str">
        <v/>
      </c>
      <c r="Q9" s="450"/>
      <c r="R9" s="448" t="e">
        <v>#VALUE!</v>
      </c>
      <c r="S9" s="146" t="str">
        <v/>
      </c>
    </row>
    <row r="10" spans="1:19" s="277" customFormat="1" x14ac:dyDescent="0.2">
      <c r="A10" s="317"/>
      <c r="B10" s="488" t="str">
        <f>_xlfn.XLOOKUP(DaqbookAssetTag,ServerAlerts[asset_tag],ServerAlerts[detail_hint],"")</f>
        <v/>
      </c>
      <c r="C10" s="315"/>
      <c r="D10" s="299"/>
      <c r="E10" s="299"/>
      <c r="F10" s="299"/>
      <c r="G10" s="300"/>
      <c r="H10" s="299"/>
      <c r="I10" s="299"/>
      <c r="J10" s="299"/>
      <c r="K10" s="299"/>
      <c r="L10" s="299"/>
      <c r="M10" s="299"/>
      <c r="N10" s="397">
        <v>6</v>
      </c>
      <c r="O10" s="145"/>
      <c r="P10" s="449" t="str">
        <v/>
      </c>
      <c r="Q10" s="450"/>
      <c r="R10" s="448" t="e">
        <v>#VALUE!</v>
      </c>
      <c r="S10" s="146" t="str">
        <v/>
      </c>
    </row>
    <row r="11" spans="1:19" s="277" customFormat="1" x14ac:dyDescent="0.2">
      <c r="A11" s="317"/>
      <c r="B11" s="140"/>
      <c r="C11" s="149" t="s">
        <v>52</v>
      </c>
      <c r="D11" s="469"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7">
        <v>7</v>
      </c>
      <c r="O11" s="145"/>
      <c r="P11" s="449" t="str">
        <v/>
      </c>
      <c r="Q11" s="450"/>
      <c r="R11" s="448"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7">
        <v>8</v>
      </c>
      <c r="O12" s="145"/>
      <c r="P12" s="449" t="str">
        <v/>
      </c>
      <c r="Q12" s="450"/>
      <c r="R12" s="448"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24"/>
      <c r="L13" s="525"/>
      <c r="M13" s="299"/>
      <c r="N13" s="397">
        <v>9</v>
      </c>
      <c r="O13" s="145"/>
      <c r="P13" s="449" t="str">
        <v/>
      </c>
      <c r="Q13" s="450"/>
      <c r="R13" s="448" t="e">
        <v>#VALUE!</v>
      </c>
      <c r="S13" s="146" t="str">
        <v/>
      </c>
    </row>
    <row r="14" spans="1:19" s="277" customFormat="1" x14ac:dyDescent="0.2">
      <c r="A14" s="317"/>
      <c r="B14" s="140"/>
      <c r="C14" s="149" t="s">
        <v>84</v>
      </c>
      <c r="D14" s="469"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3"/>
      <c r="L14" s="534"/>
      <c r="M14" s="299"/>
      <c r="N14" s="397">
        <v>10</v>
      </c>
      <c r="O14" s="145"/>
      <c r="P14" s="449" t="str">
        <v/>
      </c>
      <c r="Q14" s="450"/>
      <c r="R14" s="448" t="e">
        <v>#VALUE!</v>
      </c>
      <c r="S14" s="146" t="str">
        <v/>
      </c>
    </row>
    <row r="15" spans="1:19" s="277" customFormat="1" x14ac:dyDescent="0.2">
      <c r="A15" s="317"/>
      <c r="B15" s="187"/>
      <c r="C15" s="185" t="s">
        <v>62</v>
      </c>
      <c r="D15" s="293"/>
      <c r="E15" s="299"/>
      <c r="F15" s="299"/>
      <c r="G15" s="299"/>
      <c r="I15" s="299"/>
      <c r="J15" s="153" t="s">
        <v>122</v>
      </c>
      <c r="K15" s="519"/>
      <c r="L15" s="520"/>
      <c r="M15" s="299"/>
      <c r="N15" s="397">
        <v>11</v>
      </c>
      <c r="O15" s="145"/>
      <c r="P15" s="449" t="str">
        <v/>
      </c>
      <c r="Q15" s="450"/>
      <c r="R15" s="448" t="e">
        <v>#VALUE!</v>
      </c>
      <c r="S15" s="146" t="str">
        <v/>
      </c>
    </row>
    <row r="16" spans="1:19" s="277" customFormat="1" x14ac:dyDescent="0.2">
      <c r="A16" s="317"/>
      <c r="B16" s="154"/>
      <c r="C16" s="186" t="s">
        <v>198</v>
      </c>
      <c r="D16" s="293"/>
      <c r="E16" s="299"/>
      <c r="F16" s="152" t="s">
        <v>74</v>
      </c>
      <c r="G16" s="385" t="s">
        <v>200</v>
      </c>
      <c r="H16" s="386"/>
      <c r="I16" s="299"/>
      <c r="J16" s="538" t="s">
        <v>150</v>
      </c>
      <c r="K16" s="539"/>
      <c r="L16" s="283"/>
      <c r="M16" s="299"/>
      <c r="N16" s="397">
        <v>12</v>
      </c>
      <c r="O16" s="145"/>
      <c r="P16" s="449" t="str">
        <v/>
      </c>
      <c r="Q16" s="450"/>
      <c r="R16" s="448" t="e">
        <v>#VALUE!</v>
      </c>
      <c r="S16" s="146" t="str">
        <v/>
      </c>
    </row>
    <row r="17" spans="2:22" s="277" customFormat="1" x14ac:dyDescent="0.2">
      <c r="B17" s="140"/>
      <c r="C17" s="141" t="s">
        <v>61</v>
      </c>
      <c r="D17" s="294"/>
      <c r="E17" s="299"/>
      <c r="F17" s="153" t="s">
        <v>92</v>
      </c>
      <c r="G17" s="360" t="str">
        <f>IF(ISBLANK(Load),"",Load)</f>
        <v/>
      </c>
      <c r="H17" s="412" t="b">
        <v>1</v>
      </c>
      <c r="I17" s="300"/>
      <c r="J17" s="538" t="s">
        <v>151</v>
      </c>
      <c r="K17" s="539"/>
      <c r="L17" s="156" t="str">
        <f>IF(K15="SIM Load Hot",TEXT(D26,"hh:mm"),"")</f>
        <v/>
      </c>
      <c r="M17" s="299"/>
      <c r="N17" s="397">
        <v>13</v>
      </c>
      <c r="O17" s="145"/>
      <c r="P17" s="449" t="str">
        <v/>
      </c>
      <c r="Q17" s="450"/>
      <c r="R17" s="448" t="e">
        <v>#VALUE!</v>
      </c>
      <c r="S17" s="146" t="str">
        <v/>
      </c>
      <c r="T17" s="423"/>
    </row>
    <row r="18" spans="2:22" s="277" customFormat="1" x14ac:dyDescent="0.2">
      <c r="B18" s="150"/>
      <c r="C18" s="157" t="s">
        <v>64</v>
      </c>
      <c r="D18" s="281"/>
      <c r="E18" s="299"/>
      <c r="F18" s="158" t="s">
        <v>75</v>
      </c>
      <c r="G18" s="491" t="s">
        <v>19</v>
      </c>
      <c r="H18" s="492"/>
      <c r="I18" s="300"/>
      <c r="J18" s="325"/>
      <c r="K18" s="299"/>
      <c r="L18" s="300"/>
      <c r="M18" s="299"/>
      <c r="N18" s="397">
        <v>14</v>
      </c>
      <c r="O18" s="145"/>
      <c r="P18" s="449" t="str">
        <v/>
      </c>
      <c r="Q18" s="450"/>
      <c r="R18" s="448" t="e">
        <v>#VALUE!</v>
      </c>
      <c r="S18" s="146" t="str">
        <v/>
      </c>
      <c r="T18" s="423"/>
    </row>
    <row r="19" spans="2:22" s="277" customFormat="1" x14ac:dyDescent="0.2">
      <c r="B19" s="140"/>
      <c r="C19" s="141" t="s">
        <v>10</v>
      </c>
      <c r="D19" s="430"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17" t="str">
        <f>IF(K15="Salt",0, IF(OR(K15="Hot",K15="SIM Load Hot"),IF(OR(D26="",D28=""),"N/A",IF(ISBLANK(D26),"N/A",D28-D26)),"N/A"))</f>
        <v>N/A</v>
      </c>
      <c r="H19" s="518"/>
      <c r="I19" s="326" t="str">
        <f>IF(G19="N/A","N/A",IF(G19=0,"&lt;2",ROUND(IF(LEN(G19)&gt;3,G19*1440,RIGHT(TEXT(G19,"hh:mm"),2)),0))&amp;" MINUTES")</f>
        <v>N/A</v>
      </c>
      <c r="J19" s="425">
        <f>V21</f>
        <v>40</v>
      </c>
      <c r="K19" s="299"/>
      <c r="L19" s="300"/>
      <c r="M19" s="299"/>
      <c r="N19" s="397">
        <v>15</v>
      </c>
      <c r="O19" s="145"/>
      <c r="P19" s="449" t="str">
        <v/>
      </c>
      <c r="Q19" s="450"/>
      <c r="R19" s="448" t="e">
        <v>#VALUE!</v>
      </c>
      <c r="S19" s="146" t="str">
        <v/>
      </c>
      <c r="T19" s="423"/>
      <c r="U19" s="285" t="s">
        <v>416</v>
      </c>
      <c r="V19" s="285">
        <f>L20</f>
        <v>1</v>
      </c>
    </row>
    <row r="20" spans="2:22" s="277" customFormat="1" ht="13.7" customHeight="1" x14ac:dyDescent="0.2">
      <c r="B20" s="521" t="s">
        <v>433</v>
      </c>
      <c r="C20" s="522"/>
      <c r="D20" s="473">
        <f>G82*MAX(NominalTemp/CONVERT(1000,"F",_unit),1)</f>
        <v>0</v>
      </c>
      <c r="E20" s="410"/>
      <c r="F20" s="332" t="str">
        <f>IF(AND(NOT(ISNA(AssetId)),ISNA(MATCH(AssetId,Header_Info[AssetId],0))),"WARNING: UUT not found in Header_Info!!!","")</f>
        <v/>
      </c>
      <c r="G20" s="299"/>
      <c r="H20" s="299"/>
      <c r="I20" s="300"/>
      <c r="J20" s="299"/>
      <c r="K20" s="299"/>
      <c r="L20" s="411">
        <v>1</v>
      </c>
      <c r="M20" s="299"/>
      <c r="N20" s="397">
        <v>16</v>
      </c>
      <c r="O20" s="145"/>
      <c r="P20" s="449" t="str">
        <v/>
      </c>
      <c r="Q20" s="450"/>
      <c r="R20" s="448" t="e">
        <v>#VALUE!</v>
      </c>
      <c r="S20" s="146" t="str">
        <v/>
      </c>
      <c r="T20" s="423"/>
      <c r="U20" s="285" t="s">
        <v>415</v>
      </c>
      <c r="V20" s="285">
        <f>(V19-1)*14</f>
        <v>0</v>
      </c>
    </row>
    <row r="21" spans="2:22" s="277" customFormat="1" x14ac:dyDescent="0.2">
      <c r="C21" s="327"/>
      <c r="D21" s="322"/>
      <c r="F21" s="489" t="str">
        <f>IF(AND(NOT(ISNA(AssetId)),ISNA(MATCH(AssetId,UUTRangeTol[AssetId],0))),"WARNING: UUT not found in RangeTol!!!","")</f>
        <v/>
      </c>
      <c r="G21" s="299"/>
      <c r="H21" s="299"/>
      <c r="I21" s="300"/>
      <c r="J21" s="299"/>
      <c r="K21" s="299"/>
      <c r="L21" s="300"/>
      <c r="M21" s="299"/>
      <c r="N21" s="397">
        <v>17</v>
      </c>
      <c r="O21" s="145"/>
      <c r="P21" s="449" t="str">
        <v/>
      </c>
      <c r="Q21" s="450"/>
      <c r="R21" s="448" t="e">
        <v>#VALUE!</v>
      </c>
      <c r="S21" s="146" t="str">
        <v/>
      </c>
      <c r="T21" s="423"/>
      <c r="U21" s="285" t="s">
        <v>414</v>
      </c>
      <c r="V21" s="426">
        <f>IF(D17=0,40,D17)</f>
        <v>40</v>
      </c>
    </row>
    <row r="22" spans="2:22" s="277" customFormat="1" x14ac:dyDescent="0.2">
      <c r="B22" s="154"/>
      <c r="C22" s="155" t="s">
        <v>42</v>
      </c>
      <c r="D22" s="280"/>
      <c r="E22" s="299"/>
      <c r="F22" s="490" t="str">
        <f>IF(AND(F21="",F20=""),"",HYPERLINK("https://jgiquality.sharepoint.com/:x:/s/JGI/IQD14wtn63e6Sa_dXoRkyRnqAeasTeZ0y64nSNfem0zwdLY?e=Kh6avu","Add "&amp;D6&amp;" ("&amp;AssetId&amp;") to ClientOvens.xlsx"))</f>
        <v/>
      </c>
      <c r="G22" s="299"/>
      <c r="H22" s="299"/>
      <c r="I22" s="300"/>
      <c r="J22" s="299"/>
      <c r="K22" s="299"/>
      <c r="L22" s="300"/>
      <c r="M22" s="299"/>
      <c r="N22" s="397">
        <v>18</v>
      </c>
      <c r="O22" s="145"/>
      <c r="P22" s="449" t="str">
        <v/>
      </c>
      <c r="Q22" s="450"/>
      <c r="R22" s="448" t="e">
        <v>#VALUE!</v>
      </c>
      <c r="S22" s="146" t="str">
        <v/>
      </c>
      <c r="T22" s="423"/>
      <c r="U22" s="285" t="s">
        <v>413</v>
      </c>
      <c r="V22" s="285">
        <f>V20+1</f>
        <v>1</v>
      </c>
    </row>
    <row r="23" spans="2:22" s="277" customFormat="1" x14ac:dyDescent="0.2">
      <c r="B23" s="140"/>
      <c r="C23" s="388" t="s">
        <v>384</v>
      </c>
      <c r="D23" s="281"/>
      <c r="E23" s="299"/>
      <c r="F23" s="159" t="s">
        <v>93</v>
      </c>
      <c r="G23" s="546" t="s">
        <v>296</v>
      </c>
      <c r="H23" s="547"/>
      <c r="I23" s="547"/>
      <c r="J23" s="547"/>
      <c r="K23" s="548"/>
      <c r="L23" s="300"/>
      <c r="M23" s="299"/>
      <c r="N23" s="397">
        <v>19</v>
      </c>
      <c r="O23" s="145"/>
      <c r="P23" s="449" t="str">
        <v/>
      </c>
      <c r="Q23" s="450"/>
      <c r="R23" s="448" t="e">
        <v>#VALUE!</v>
      </c>
      <c r="S23" s="146" t="str">
        <v/>
      </c>
      <c r="T23" s="423"/>
      <c r="U23" s="285" t="s">
        <v>412</v>
      </c>
      <c r="V23" s="285">
        <f>V20+V21</f>
        <v>40</v>
      </c>
    </row>
    <row r="24" spans="2:22" s="277" customFormat="1" x14ac:dyDescent="0.2">
      <c r="B24" s="521" t="s">
        <v>322</v>
      </c>
      <c r="C24" s="523"/>
      <c r="D24" s="281">
        <v>1</v>
      </c>
      <c r="E24" s="299"/>
      <c r="F24" s="159" t="s">
        <v>94</v>
      </c>
      <c r="G24" s="549"/>
      <c r="H24" s="550"/>
      <c r="I24" s="550"/>
      <c r="J24" s="550"/>
      <c r="K24" s="551"/>
      <c r="L24" s="300"/>
      <c r="M24" s="299"/>
      <c r="N24" s="397">
        <v>20</v>
      </c>
      <c r="O24" s="145"/>
      <c r="P24" s="449" t="str">
        <v/>
      </c>
      <c r="Q24" s="450"/>
      <c r="R24" s="448" t="e">
        <v>#VALUE!</v>
      </c>
      <c r="S24" s="146" t="str">
        <v/>
      </c>
      <c r="T24" s="423"/>
      <c r="U24" s="285" t="s">
        <v>411</v>
      </c>
      <c r="V24" s="285" t="str">
        <f>IF(V19=1,"","DaqBook points "&amp;V22&amp;"-"&amp;V23&amp;" used.")</f>
        <v/>
      </c>
    </row>
    <row r="25" spans="2:22" s="277" customFormat="1" x14ac:dyDescent="0.2">
      <c r="B25" s="314"/>
      <c r="C25" s="315"/>
      <c r="D25" s="322"/>
      <c r="E25" s="299"/>
      <c r="F25" s="159" t="s">
        <v>95</v>
      </c>
      <c r="G25" s="549"/>
      <c r="H25" s="550"/>
      <c r="I25" s="550"/>
      <c r="J25" s="550"/>
      <c r="K25" s="551"/>
      <c r="L25" s="300"/>
      <c r="M25" s="299"/>
      <c r="N25" s="397">
        <v>21</v>
      </c>
      <c r="O25" s="145"/>
      <c r="P25" s="449" t="str">
        <v/>
      </c>
      <c r="Q25" s="450"/>
      <c r="R25" s="448" t="e">
        <v>#VALUE!</v>
      </c>
      <c r="S25" s="146" t="str">
        <v/>
      </c>
      <c r="T25" s="423"/>
    </row>
    <row r="26" spans="2:22" s="277" customFormat="1" x14ac:dyDescent="0.2">
      <c r="B26" s="154"/>
      <c r="C26" s="155" t="s">
        <v>57</v>
      </c>
      <c r="D26" s="289"/>
      <c r="E26" s="301" t="str">
        <f>TEXT(D26,"hh:mm")</f>
        <v>00:00</v>
      </c>
      <c r="F26" s="300"/>
      <c r="G26" s="300"/>
      <c r="H26" s="300"/>
      <c r="I26" s="300"/>
      <c r="J26" s="300"/>
      <c r="K26" s="300"/>
      <c r="L26" s="300"/>
      <c r="M26" s="299"/>
      <c r="N26" s="397">
        <v>22</v>
      </c>
      <c r="O26" s="145"/>
      <c r="P26" s="449" t="str">
        <v/>
      </c>
      <c r="Q26" s="450"/>
      <c r="R26" s="448" t="e">
        <v>#VALUE!</v>
      </c>
      <c r="S26" s="146" t="str">
        <v/>
      </c>
      <c r="T26" s="423"/>
    </row>
    <row r="27" spans="2:22" s="277" customFormat="1" x14ac:dyDescent="0.2">
      <c r="B27" s="160">
        <v>10</v>
      </c>
      <c r="C27" s="141" t="s">
        <v>58</v>
      </c>
      <c r="D27" s="289"/>
      <c r="E27" s="301"/>
      <c r="F27" s="239" t="s">
        <v>203</v>
      </c>
      <c r="G27" s="238" t="str">
        <f>G28</f>
        <v/>
      </c>
      <c r="H27" s="544" t="str">
        <f>IF(ISBLANK(D6),"",IF(CheckRec="x","CHECK INSTRUMENT CAL DATES!!!!             CHECK INSTRUMENT CAL DATES!!!!",""))</f>
        <v/>
      </c>
      <c r="I27" s="545"/>
      <c r="J27" s="545"/>
      <c r="K27" s="545"/>
      <c r="L27" s="300"/>
      <c r="M27" s="299"/>
      <c r="N27" s="397">
        <v>23</v>
      </c>
      <c r="O27" s="145"/>
      <c r="P27" s="449" t="str">
        <v/>
      </c>
      <c r="Q27" s="450"/>
      <c r="R27" s="448" t="e">
        <v>#VALUE!</v>
      </c>
      <c r="S27" s="146" t="str">
        <v/>
      </c>
      <c r="T27" s="423"/>
    </row>
    <row r="28" spans="2:22" s="277" customFormat="1" x14ac:dyDescent="0.2">
      <c r="B28" s="161">
        <v>30</v>
      </c>
      <c r="C28" s="157" t="s">
        <v>59</v>
      </c>
      <c r="D28" s="289"/>
      <c r="E28" s="301"/>
      <c r="F28" s="239" t="s">
        <v>204</v>
      </c>
      <c r="G28" s="238" t="str">
        <f>IF(CheckRec="y","Cal by Customer",IF(D$3,D$3,""))</f>
        <v/>
      </c>
      <c r="H28" s="544"/>
      <c r="I28" s="545"/>
      <c r="J28" s="545"/>
      <c r="K28" s="545"/>
      <c r="L28" s="300"/>
      <c r="M28" s="299"/>
      <c r="N28" s="397">
        <v>24</v>
      </c>
      <c r="O28" s="145"/>
      <c r="P28" s="449" t="str">
        <v/>
      </c>
      <c r="Q28" s="450"/>
      <c r="R28" s="448" t="e">
        <v>#VALUE!</v>
      </c>
      <c r="S28" s="146" t="str">
        <v/>
      </c>
      <c r="T28" s="423"/>
    </row>
    <row r="29" spans="2:22" s="277" customFormat="1" x14ac:dyDescent="0.2">
      <c r="B29" s="160">
        <v>40</v>
      </c>
      <c r="C29" s="141" t="s">
        <v>70</v>
      </c>
      <c r="D29" s="162" t="str">
        <f>(IF(OR(D27="",D28=""),"",IF(ISBLANK(D27),"",D28-D27)))</f>
        <v/>
      </c>
      <c r="E29" s="328" t="str">
        <f>IFERROR(IF(D29=0,"&lt;2",ROUND(IF(LEN(D29)&gt;3,D29*1440,TEXT(D29,"hh:mm")),0)) &amp;" MINUTES","")</f>
        <v/>
      </c>
      <c r="F29" s="303" t="s">
        <v>205</v>
      </c>
      <c r="G29" s="300"/>
      <c r="H29" s="300"/>
      <c r="I29" s="300"/>
      <c r="J29" s="300"/>
      <c r="K29" s="300"/>
      <c r="L29" s="300"/>
      <c r="M29" s="299"/>
      <c r="N29" s="397">
        <v>25</v>
      </c>
      <c r="O29" s="145"/>
      <c r="P29" s="449" t="str">
        <v/>
      </c>
      <c r="Q29" s="450"/>
      <c r="R29" s="448" t="e">
        <v>#VALUE!</v>
      </c>
      <c r="S29" s="146" t="str">
        <v/>
      </c>
      <c r="T29" s="423"/>
    </row>
    <row r="30" spans="2:22" s="277" customFormat="1" x14ac:dyDescent="0.2">
      <c r="B30" s="246">
        <v>45</v>
      </c>
      <c r="C30" s="157" t="s">
        <v>60</v>
      </c>
      <c r="D30" s="357"/>
      <c r="E30" s="329" t="str">
        <f>IF(ISBLANK(D30), "", TEXT(D30, "H:mm"))</f>
        <v/>
      </c>
      <c r="F30" s="323" t="str">
        <f>IFERROR(IF(OR(Survey[OutOfTolerance]),"!!!!! OVEN IS OOT !!!!!",""),"")</f>
        <v/>
      </c>
      <c r="G30" s="302"/>
      <c r="H30" s="330">
        <f>D28-D26</f>
        <v>0</v>
      </c>
      <c r="I30" s="300"/>
      <c r="J30" s="300"/>
      <c r="K30" s="300"/>
      <c r="L30" s="331"/>
      <c r="M30" s="299"/>
      <c r="N30" s="397">
        <v>26</v>
      </c>
      <c r="O30" s="145"/>
      <c r="P30" s="449" t="str">
        <v/>
      </c>
      <c r="Q30" s="450"/>
      <c r="R30" s="448" t="e">
        <v>#VALUE!</v>
      </c>
      <c r="S30" s="146" t="str">
        <v/>
      </c>
      <c r="T30" s="423"/>
    </row>
    <row r="31" spans="2:22" s="277" customFormat="1" x14ac:dyDescent="0.2">
      <c r="B31" s="140"/>
      <c r="C31" s="141" t="s">
        <v>51</v>
      </c>
      <c r="D31" s="275">
        <f>D30+TIME(0,D32,0)</f>
        <v>0</v>
      </c>
      <c r="E31" s="299"/>
      <c r="F31" s="332" t="str">
        <f>IF(AND(LagLimit&gt;0,IF(D29="",0,D29)&gt;LagLimit),"LAG TIME TOO HIGH!!!","")</f>
        <v/>
      </c>
      <c r="G31" s="300"/>
      <c r="H31" s="333" t="str">
        <f>IF(AND(RecoveryLimit&gt;0,H30&gt;RecoveryLimit),"RECOVERY TIME TOO HIGH!!!!","")</f>
        <v/>
      </c>
      <c r="I31" s="300"/>
      <c r="J31" s="300"/>
      <c r="K31" s="300"/>
      <c r="L31" s="334"/>
      <c r="M31" s="334"/>
      <c r="N31" s="397">
        <v>27</v>
      </c>
      <c r="O31" s="145"/>
      <c r="P31" s="449" t="str">
        <v/>
      </c>
      <c r="Q31" s="450"/>
      <c r="R31" s="448" t="e">
        <v>#VALUE!</v>
      </c>
      <c r="S31" s="146" t="str">
        <v/>
      </c>
      <c r="T31" s="423"/>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7">
        <v>28</v>
      </c>
      <c r="O32" s="145"/>
      <c r="P32" s="449" t="str">
        <v/>
      </c>
      <c r="Q32" s="450"/>
      <c r="R32" s="448" t="e">
        <v>#VALUE!</v>
      </c>
      <c r="S32" s="146" t="str">
        <v/>
      </c>
      <c r="T32" s="423"/>
    </row>
    <row r="33" spans="1:24" s="277" customFormat="1" x14ac:dyDescent="0.2">
      <c r="A33" s="317"/>
      <c r="B33" s="314"/>
      <c r="C33" s="335"/>
      <c r="D33" s="139"/>
      <c r="E33" s="139"/>
      <c r="F33" s="139"/>
      <c r="G33" s="139"/>
      <c r="H33" s="139"/>
      <c r="I33" s="139"/>
      <c r="J33" s="139"/>
      <c r="K33" s="139"/>
      <c r="L33" s="139"/>
      <c r="M33" s="299"/>
      <c r="N33" s="397">
        <v>29</v>
      </c>
      <c r="O33" s="145"/>
      <c r="P33" s="449" t="str">
        <v/>
      </c>
      <c r="Q33" s="450"/>
      <c r="R33" s="448" t="e">
        <v>#VALUE!</v>
      </c>
      <c r="S33" s="146" t="str">
        <v/>
      </c>
      <c r="T33" s="423"/>
    </row>
    <row r="34" spans="1:24" s="277" customFormat="1" ht="12.75" customHeight="1" x14ac:dyDescent="0.2">
      <c r="A34" s="317"/>
      <c r="B34" s="510" t="s">
        <v>48</v>
      </c>
      <c r="C34" s="511"/>
      <c r="D34" s="511"/>
      <c r="E34" s="511"/>
      <c r="F34" s="511"/>
      <c r="G34" s="511"/>
      <c r="H34" s="511"/>
      <c r="I34" s="511"/>
      <c r="J34" s="511"/>
      <c r="K34" s="511"/>
      <c r="L34" s="512"/>
      <c r="M34" s="299"/>
      <c r="N34" s="397">
        <v>30</v>
      </c>
      <c r="O34" s="145"/>
      <c r="P34" s="449" t="str">
        <v/>
      </c>
      <c r="Q34" s="450"/>
      <c r="R34" s="448" t="e">
        <v>#VALUE!</v>
      </c>
      <c r="S34" s="146" t="str">
        <v/>
      </c>
      <c r="T34" s="424"/>
    </row>
    <row r="35" spans="1:24" s="277" customFormat="1" ht="12.75" customHeight="1" thickBot="1" x14ac:dyDescent="0.25">
      <c r="A35" s="428"/>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7">
        <v>31</v>
      </c>
      <c r="O35" s="145"/>
      <c r="P35" s="449" t="str">
        <v/>
      </c>
      <c r="Q35" s="450"/>
      <c r="R35" s="448" t="e">
        <v>#VALUE!</v>
      </c>
      <c r="S35" s="146" t="str">
        <v/>
      </c>
      <c r="T35" s="424"/>
    </row>
    <row r="36" spans="1:24" s="277" customFormat="1" ht="13.5" thickBot="1" x14ac:dyDescent="0.25">
      <c r="A36" s="429"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7">
        <v>32</v>
      </c>
      <c r="O36" s="145"/>
      <c r="P36" s="449" t="str">
        <v/>
      </c>
      <c r="Q36" s="450"/>
      <c r="R36" s="448" t="e">
        <v>#VALUE!</v>
      </c>
      <c r="S36" s="146" t="str">
        <v/>
      </c>
      <c r="T36" s="424"/>
    </row>
    <row r="37" spans="1:24" s="277" customFormat="1" x14ac:dyDescent="0.2">
      <c r="A37" s="451" t="str">
        <f t="shared" ref="A37:A44" si="0">IF(B37,1,"")</f>
        <v/>
      </c>
      <c r="B37" s="452"/>
      <c r="C37" s="433"/>
      <c r="D37" s="434"/>
      <c r="E37" s="434"/>
      <c r="F37" s="434"/>
      <c r="G37" s="434"/>
      <c r="H37" s="434"/>
      <c r="I37" s="435"/>
      <c r="J37" s="435"/>
      <c r="K37" s="435"/>
      <c r="L37" s="435"/>
      <c r="M37" s="299"/>
      <c r="N37" s="397">
        <v>33</v>
      </c>
      <c r="O37" s="145"/>
      <c r="P37" s="449" t="str">
        <v/>
      </c>
      <c r="Q37" s="450"/>
      <c r="R37" s="448" t="e">
        <v>#VALUE!</v>
      </c>
      <c r="S37" s="146" t="str">
        <v/>
      </c>
      <c r="T37" s="424"/>
    </row>
    <row r="38" spans="1:24" s="277" customFormat="1" x14ac:dyDescent="0.2">
      <c r="A38" s="451" t="str">
        <f t="shared" si="0"/>
        <v/>
      </c>
      <c r="B38" s="453"/>
      <c r="C38" s="436"/>
      <c r="D38" s="434"/>
      <c r="E38" s="434"/>
      <c r="F38" s="434"/>
      <c r="G38" s="434"/>
      <c r="H38" s="434"/>
      <c r="I38" s="435"/>
      <c r="J38" s="435"/>
      <c r="K38" s="435"/>
      <c r="L38" s="435"/>
      <c r="M38" s="299"/>
      <c r="N38" s="397">
        <v>34</v>
      </c>
      <c r="O38" s="145"/>
      <c r="P38" s="449" t="str">
        <v/>
      </c>
      <c r="Q38" s="450"/>
      <c r="R38" s="448" t="e">
        <v>#VALUE!</v>
      </c>
      <c r="S38" s="146" t="str">
        <v/>
      </c>
      <c r="T38" s="424"/>
    </row>
    <row r="39" spans="1:24" s="277" customFormat="1" x14ac:dyDescent="0.2">
      <c r="A39" s="451" t="str">
        <f t="shared" si="0"/>
        <v/>
      </c>
      <c r="B39" s="453"/>
      <c r="C39" s="436"/>
      <c r="D39" s="434"/>
      <c r="E39" s="434"/>
      <c r="F39" s="434"/>
      <c r="G39" s="434"/>
      <c r="H39" s="435"/>
      <c r="I39" s="435"/>
      <c r="J39" s="435"/>
      <c r="K39" s="435"/>
      <c r="L39" s="435"/>
      <c r="M39" s="299"/>
      <c r="N39" s="397">
        <v>35</v>
      </c>
      <c r="O39" s="145"/>
      <c r="P39" s="449" t="str">
        <v/>
      </c>
      <c r="Q39" s="450"/>
      <c r="R39" s="448" t="e">
        <v>#VALUE!</v>
      </c>
      <c r="S39" s="146" t="str">
        <v/>
      </c>
      <c r="T39" s="424"/>
    </row>
    <row r="40" spans="1:24" s="277" customFormat="1" x14ac:dyDescent="0.2">
      <c r="A40" s="451" t="str">
        <f t="shared" si="0"/>
        <v/>
      </c>
      <c r="B40" s="453"/>
      <c r="C40" s="436"/>
      <c r="D40" s="434"/>
      <c r="E40" s="434"/>
      <c r="F40" s="434"/>
      <c r="G40" s="434"/>
      <c r="H40" s="435"/>
      <c r="I40" s="435"/>
      <c r="J40" s="435"/>
      <c r="K40" s="435"/>
      <c r="L40" s="435"/>
      <c r="M40" s="299"/>
      <c r="N40" s="397">
        <v>36</v>
      </c>
      <c r="O40" s="145"/>
      <c r="P40" s="449" t="str">
        <v/>
      </c>
      <c r="Q40" s="450"/>
      <c r="R40" s="448" t="e">
        <v>#VALUE!</v>
      </c>
      <c r="S40" s="146" t="str">
        <v/>
      </c>
      <c r="T40" s="424"/>
    </row>
    <row r="41" spans="1:24" s="277" customFormat="1" x14ac:dyDescent="0.2">
      <c r="A41" s="451" t="str">
        <f t="shared" si="0"/>
        <v/>
      </c>
      <c r="B41" s="454"/>
      <c r="C41" s="437"/>
      <c r="D41" s="438"/>
      <c r="E41" s="438"/>
      <c r="F41" s="438"/>
      <c r="G41" s="438"/>
      <c r="H41" s="438"/>
      <c r="I41" s="438"/>
      <c r="J41" s="438"/>
      <c r="K41" s="438"/>
      <c r="L41" s="438"/>
      <c r="M41" s="299"/>
      <c r="N41" s="397">
        <v>37</v>
      </c>
      <c r="O41" s="145"/>
      <c r="P41" s="449" t="str">
        <v/>
      </c>
      <c r="Q41" s="450"/>
      <c r="R41" s="448" t="e">
        <v>#VALUE!</v>
      </c>
      <c r="S41" s="146" t="str">
        <v/>
      </c>
      <c r="T41" s="424"/>
    </row>
    <row r="42" spans="1:24" s="277" customFormat="1" x14ac:dyDescent="0.2">
      <c r="A42" s="451" t="str">
        <f t="shared" si="0"/>
        <v/>
      </c>
      <c r="B42" s="454"/>
      <c r="C42" s="437"/>
      <c r="D42" s="438"/>
      <c r="E42" s="438"/>
      <c r="F42" s="438"/>
      <c r="G42" s="438"/>
      <c r="H42" s="438"/>
      <c r="I42" s="438"/>
      <c r="J42" s="438"/>
      <c r="K42" s="438"/>
      <c r="L42" s="438"/>
      <c r="M42" s="299"/>
      <c r="N42" s="397">
        <v>38</v>
      </c>
      <c r="O42" s="145"/>
      <c r="P42" s="449" t="str">
        <v/>
      </c>
      <c r="Q42" s="450"/>
      <c r="R42" s="448" t="e">
        <v>#VALUE!</v>
      </c>
      <c r="S42" s="146" t="str">
        <v/>
      </c>
      <c r="T42" s="424"/>
    </row>
    <row r="43" spans="1:24" s="277" customFormat="1" x14ac:dyDescent="0.2">
      <c r="A43" s="451" t="str">
        <f t="shared" si="0"/>
        <v/>
      </c>
      <c r="B43" s="454"/>
      <c r="C43" s="437"/>
      <c r="D43" s="438"/>
      <c r="E43" s="438"/>
      <c r="F43" s="438"/>
      <c r="G43" s="438"/>
      <c r="H43" s="438"/>
      <c r="I43" s="438"/>
      <c r="J43" s="438"/>
      <c r="K43" s="438"/>
      <c r="L43" s="438"/>
      <c r="M43" s="299"/>
      <c r="N43" s="397">
        <v>39</v>
      </c>
      <c r="O43" s="145"/>
      <c r="P43" s="449" t="str">
        <v/>
      </c>
      <c r="Q43" s="450"/>
      <c r="R43" s="448" t="e">
        <v>#VALUE!</v>
      </c>
      <c r="S43" s="146" t="str">
        <v/>
      </c>
      <c r="T43" s="424"/>
    </row>
    <row r="44" spans="1:24" s="277" customFormat="1" x14ac:dyDescent="0.2">
      <c r="A44" s="451" t="str">
        <f t="shared" si="0"/>
        <v/>
      </c>
      <c r="B44" s="454"/>
      <c r="C44" s="437"/>
      <c r="D44" s="438"/>
      <c r="E44" s="438"/>
      <c r="F44" s="438"/>
      <c r="G44" s="438"/>
      <c r="H44" s="438"/>
      <c r="I44" s="438"/>
      <c r="J44" s="438"/>
      <c r="K44" s="438"/>
      <c r="L44" s="438"/>
      <c r="M44" s="299"/>
      <c r="N44" s="397">
        <v>40</v>
      </c>
      <c r="O44" s="145"/>
      <c r="P44" s="449" t="str">
        <v/>
      </c>
      <c r="Q44" s="450"/>
      <c r="R44" s="448" t="e">
        <v>#VALUE!</v>
      </c>
      <c r="S44" s="146" t="str">
        <v/>
      </c>
      <c r="T44" s="424"/>
    </row>
    <row r="45" spans="1:24" s="303" customFormat="1" x14ac:dyDescent="0.2">
      <c r="A45" s="317"/>
      <c r="B45" s="337"/>
      <c r="C45" s="338"/>
      <c r="D45" s="299"/>
      <c r="E45" s="299"/>
      <c r="F45" s="299"/>
      <c r="G45" s="299"/>
      <c r="H45" s="299"/>
      <c r="I45" s="299"/>
      <c r="J45" s="299"/>
      <c r="K45" s="339"/>
      <c r="L45" s="299"/>
      <c r="M45" s="299"/>
      <c r="N45" s="301"/>
      <c r="P45" s="301"/>
      <c r="Q45" s="301"/>
      <c r="R45" s="301"/>
      <c r="S45" s="443"/>
      <c r="T45" s="301"/>
      <c r="X45" s="443"/>
    </row>
    <row r="46" spans="1:24" x14ac:dyDescent="0.2">
      <c r="A46" s="321"/>
      <c r="B46" s="340"/>
      <c r="C46" s="341"/>
      <c r="D46" s="535" t="s">
        <v>33</v>
      </c>
      <c r="E46" s="536"/>
      <c r="F46" s="536"/>
      <c r="G46" s="536"/>
      <c r="H46" s="536"/>
      <c r="I46" s="537"/>
      <c r="J46" s="342"/>
      <c r="K46" s="342"/>
      <c r="L46" s="342"/>
      <c r="M46" s="552" t="s">
        <v>258</v>
      </c>
      <c r="N46" s="553"/>
      <c r="O46" s="554"/>
      <c r="P46" s="555"/>
      <c r="Q46" s="303"/>
      <c r="S46" s="303"/>
      <c r="T46" s="303"/>
      <c r="U46" s="303"/>
    </row>
    <row r="47" spans="1:24" x14ac:dyDescent="0.2">
      <c r="A47" s="321"/>
      <c r="B47" s="340"/>
      <c r="C47" s="374" t="s">
        <v>56</v>
      </c>
      <c r="D47" s="465" t="str">
        <f>IF(D$48="","",_xlfn.XLOOKUP(D$48,WireSets[serial_number],WireSets[type],"",0))</f>
        <v/>
      </c>
      <c r="E47" s="465" t="str">
        <f>IF(E$48="","",_xlfn.XLOOKUP(E$48,WireSets[serial_number],WireSets[type],"",0))</f>
        <v/>
      </c>
      <c r="F47" s="465" t="str">
        <f>IF(F$48="","",_xlfn.XLOOKUP(F$48,WireSets[serial_number],WireSets[type],"",0))</f>
        <v/>
      </c>
      <c r="G47" s="465" t="str">
        <f>IF(G$48="","",_xlfn.XLOOKUP(G$48,WireSets[serial_number],WireSets[type],"",0))</f>
        <v/>
      </c>
      <c r="H47" s="465" t="str">
        <f>IF(H$48="","",_xlfn.XLOOKUP(H$48,WireSets[serial_number],WireSets[type],"",0))</f>
        <v/>
      </c>
      <c r="I47" s="465" t="str">
        <f>IF(I$48="","",_xlfn.XLOOKUP(I$48,WireSets[serial_number],WireSets[type],"",0))</f>
        <v/>
      </c>
      <c r="J47" s="342"/>
      <c r="K47" s="471">
        <v>1</v>
      </c>
      <c r="L47" s="299"/>
      <c r="M47" s="239" t="s">
        <v>259</v>
      </c>
      <c r="N47" s="297" t="s">
        <v>260</v>
      </c>
      <c r="O47" s="343"/>
      <c r="P47" s="542" t="s">
        <v>261</v>
      </c>
      <c r="Q47" s="542"/>
      <c r="R47" s="377" t="s">
        <v>262</v>
      </c>
      <c r="T47" s="303"/>
      <c r="U47" s="303"/>
    </row>
    <row r="48" spans="1:24" x14ac:dyDescent="0.2">
      <c r="A48" s="317"/>
      <c r="B48" s="340"/>
      <c r="C48" s="375" t="s">
        <v>34</v>
      </c>
      <c r="D48" s="287"/>
      <c r="E48" s="287"/>
      <c r="F48" s="287"/>
      <c r="G48" s="287"/>
      <c r="H48" s="287"/>
      <c r="I48" s="287"/>
      <c r="J48" s="342"/>
      <c r="K48" s="342"/>
      <c r="L48" s="342"/>
      <c r="M48" s="543" t="s">
        <v>263</v>
      </c>
      <c r="N48" s="543"/>
      <c r="O48" s="344"/>
      <c r="P48" s="502" t="s">
        <v>304</v>
      </c>
      <c r="Q48" s="503"/>
      <c r="R48" s="504"/>
      <c r="S48" s="459" t="b">
        <f>_xlfn.REGEXTEST(TRIM(Class),"^[0-9][AC]",1)</f>
        <v>0</v>
      </c>
      <c r="T48" s="304"/>
      <c r="U48" s="502" t="s">
        <v>307</v>
      </c>
      <c r="V48" s="503"/>
      <c r="W48" s="504"/>
      <c r="X48" s="442"/>
    </row>
    <row r="49" spans="3:24" x14ac:dyDescent="0.2">
      <c r="C49" s="374" t="s">
        <v>35</v>
      </c>
      <c r="D49" s="468" t="str">
        <f>_xlfn.XLOOKUP(D$48,WireSets[serial_number],WireSets[service_date],"",0)</f>
        <v/>
      </c>
      <c r="E49" s="468" t="str">
        <f>_xlfn.XLOOKUP(E$48,WireSets[serial_number],WireSets[service_date],"",0)</f>
        <v/>
      </c>
      <c r="F49" s="468" t="str">
        <f>_xlfn.XLOOKUP(F$48,WireSets[serial_number],WireSets[service_date],"",0)</f>
        <v/>
      </c>
      <c r="G49" s="468" t="str">
        <f>_xlfn.XLOOKUP(G$48,WireSets[serial_number],WireSets[service_date],"",0)</f>
        <v/>
      </c>
      <c r="H49" s="468" t="str">
        <f>_xlfn.XLOOKUP(H$48,WireSets[serial_number],WireSets[service_date],"",0)</f>
        <v/>
      </c>
      <c r="I49" s="468" t="str">
        <f>_xlfn.XLOOKUP(I$48,WireSets[serial_number],WireSets[service_date],"",0)</f>
        <v/>
      </c>
      <c r="J49" s="342"/>
      <c r="K49" s="342" t="s">
        <v>331</v>
      </c>
      <c r="L49" s="342"/>
      <c r="M49" s="239" t="s">
        <v>264</v>
      </c>
      <c r="N49" s="296" t="str">
        <f>IF(PB="","",PB)</f>
        <v/>
      </c>
      <c r="O49" s="313"/>
      <c r="P49" s="505" t="s">
        <v>309</v>
      </c>
      <c r="Q49" s="506"/>
      <c r="R49" s="507"/>
      <c r="S49" s="378" t="str">
        <f>IF($S$48, IF(MAX(Survey[RawTemp])&lt;=HalfTolMax,"Yes","No"), "")</f>
        <v/>
      </c>
      <c r="T49" s="305"/>
      <c r="U49" s="505" t="s">
        <v>308</v>
      </c>
      <c r="V49" s="506"/>
      <c r="W49" s="507"/>
      <c r="X49" s="378" t="str">
        <f>IF($S$48, IF(MIN(Survey[RawTemp])&gt;=HalfTolMin,"Yes","No"), "")</f>
        <v/>
      </c>
    </row>
    <row r="50" spans="3:24" x14ac:dyDescent="0.2">
      <c r="C50" s="374" t="s">
        <v>36</v>
      </c>
      <c r="D50" s="468" t="str">
        <f>IF(D49="","",IF(D48="ENV101",EDATE(D49,6),EDATE(D49,3)))</f>
        <v/>
      </c>
      <c r="E50" s="468" t="str">
        <f t="shared" ref="E50:I50" si="1">IF(E49="","",IF(E48="ENV101",EDATE(E49,6),EDATE(E49,3)))</f>
        <v/>
      </c>
      <c r="F50" s="468" t="str">
        <f t="shared" si="1"/>
        <v/>
      </c>
      <c r="G50" s="468" t="str">
        <f t="shared" si="1"/>
        <v/>
      </c>
      <c r="H50" s="468" t="str">
        <f t="shared" si="1"/>
        <v/>
      </c>
      <c r="I50" s="468" t="str">
        <f t="shared" si="1"/>
        <v/>
      </c>
      <c r="J50" s="342"/>
      <c r="K50" s="342"/>
      <c r="L50" s="342"/>
      <c r="M50" s="239" t="s">
        <v>265</v>
      </c>
      <c r="N50" s="296" t="str">
        <f>IF(Integral="","",Integral)</f>
        <v/>
      </c>
      <c r="O50" s="313"/>
      <c r="P50" s="493" t="s">
        <v>266</v>
      </c>
      <c r="Q50" s="494"/>
      <c r="R50" s="495"/>
      <c r="S50" s="345"/>
      <c r="T50" s="306"/>
      <c r="U50" s="493" t="s">
        <v>266</v>
      </c>
      <c r="V50" s="494"/>
      <c r="W50" s="495"/>
      <c r="X50" s="303"/>
    </row>
    <row r="51" spans="3:24" x14ac:dyDescent="0.2">
      <c r="C51" s="374" t="s">
        <v>54</v>
      </c>
      <c r="D51" s="287"/>
      <c r="E51" s="287"/>
      <c r="F51" s="287"/>
      <c r="G51" s="287"/>
      <c r="H51" s="287"/>
      <c r="I51" s="287"/>
      <c r="J51" s="342"/>
      <c r="K51" s="346"/>
      <c r="L51" s="342"/>
      <c r="M51" s="361" t="s">
        <v>267</v>
      </c>
      <c r="N51" s="296" t="str">
        <f>IF(Derivative="","",Derivative)</f>
        <v/>
      </c>
      <c r="O51" s="299"/>
      <c r="P51" s="505" t="s">
        <v>305</v>
      </c>
      <c r="Q51" s="506"/>
      <c r="R51" s="507"/>
      <c r="S51" s="378"/>
      <c r="T51" s="307"/>
      <c r="U51" s="505" t="s">
        <v>310</v>
      </c>
      <c r="V51" s="506"/>
      <c r="W51" s="507"/>
      <c r="X51" s="378"/>
    </row>
    <row r="52" spans="3:24" x14ac:dyDescent="0.2">
      <c r="C52" s="374" t="str">
        <f>"Uses Above " &amp; IF(Unit="°C","260°C","500°F") &amp; ":"</f>
        <v>Uses Above 500°F:</v>
      </c>
      <c r="D52" s="287"/>
      <c r="E52" s="287"/>
      <c r="F52" s="287"/>
      <c r="G52" s="287"/>
      <c r="H52" s="287"/>
      <c r="I52" s="287"/>
      <c r="J52" s="342"/>
      <c r="K52" s="346"/>
      <c r="L52" s="342"/>
      <c r="M52" s="361" t="s">
        <v>268</v>
      </c>
      <c r="N52" s="296" t="str">
        <f>IF(Other1="","",Other1)</f>
        <v/>
      </c>
      <c r="O52" s="313"/>
      <c r="P52" s="493" t="s">
        <v>266</v>
      </c>
      <c r="Q52" s="494"/>
      <c r="R52" s="495"/>
      <c r="S52" s="345"/>
      <c r="T52" s="308"/>
      <c r="U52" s="493" t="s">
        <v>266</v>
      </c>
      <c r="V52" s="494"/>
      <c r="W52" s="495"/>
      <c r="X52" s="303"/>
    </row>
    <row r="53" spans="3:24" ht="12.75" customHeight="1" x14ac:dyDescent="0.2">
      <c r="C53" s="374" t="s">
        <v>55</v>
      </c>
      <c r="D53" s="292"/>
      <c r="E53" s="292"/>
      <c r="F53" s="292"/>
      <c r="G53" s="292"/>
      <c r="H53" s="292"/>
      <c r="I53" s="292"/>
      <c r="J53" s="342"/>
      <c r="K53" s="347"/>
      <c r="L53" s="347"/>
      <c r="M53" s="362" t="s">
        <v>268</v>
      </c>
      <c r="N53" s="296" t="str">
        <f>IF(Other2="","",Other2)</f>
        <v/>
      </c>
      <c r="O53" s="313"/>
      <c r="P53" s="496" t="s">
        <v>306</v>
      </c>
      <c r="Q53" s="497"/>
      <c r="R53" s="498"/>
      <c r="S53" s="378"/>
      <c r="T53" s="309"/>
      <c r="U53" s="496" t="s">
        <v>311</v>
      </c>
      <c r="V53" s="497"/>
      <c r="W53" s="498"/>
      <c r="X53" s="378"/>
    </row>
    <row r="54" spans="3:24" x14ac:dyDescent="0.2">
      <c r="C54" s="376" t="s">
        <v>742</v>
      </c>
      <c r="D54" s="417" t="str">
        <f>_xlfn.XLOOKUP(D$48,WireSets[serial_number],WireSets[traceability_number],"",0)</f>
        <v/>
      </c>
      <c r="E54" s="417" t="str">
        <f>_xlfn.XLOOKUP(E$48,WireSets[serial_number],WireSets[traceability_number],"",0)</f>
        <v/>
      </c>
      <c r="F54" s="417" t="str">
        <f>_xlfn.XLOOKUP(F$48,WireSets[serial_number],WireSets[traceability_number],"",0)</f>
        <v/>
      </c>
      <c r="G54" s="417" t="str">
        <f>_xlfn.XLOOKUP(G$48,WireSets[serial_number],WireSets[traceability_number],"",0)</f>
        <v/>
      </c>
      <c r="H54" s="417" t="str">
        <f>_xlfn.XLOOKUP(H$48,WireSets[serial_number],WireSets[traceability_number],"",0)</f>
        <v/>
      </c>
      <c r="I54" s="417" t="str">
        <f>_xlfn.XLOOKUP(I$48,WireSets[serial_number],WireSets[traceability_number],"",0)</f>
        <v/>
      </c>
      <c r="J54" s="348"/>
      <c r="K54" s="363"/>
      <c r="L54" s="364"/>
      <c r="M54" s="365" t="s">
        <v>291</v>
      </c>
      <c r="N54" s="477"/>
      <c r="O54" s="301"/>
      <c r="P54" s="499"/>
      <c r="Q54" s="500"/>
      <c r="R54" s="501"/>
      <c r="S54" s="349"/>
      <c r="T54" s="310"/>
      <c r="U54" s="499"/>
      <c r="V54" s="500"/>
      <c r="W54" s="501"/>
    </row>
    <row r="55" spans="3:24" x14ac:dyDescent="0.2">
      <c r="C55" s="376" t="s">
        <v>140</v>
      </c>
      <c r="D55" s="418" t="str">
        <f>_xlfn.XLOOKUP(D$48,WireSets[serial_number],WireSets[wire_roll_cert_number],"",0)</f>
        <v/>
      </c>
      <c r="E55" s="418" t="str">
        <f>_xlfn.XLOOKUP(E$48,WireSets[serial_number],WireSets[wire_roll_cert_number],"",0)</f>
        <v/>
      </c>
      <c r="F55" s="418" t="str">
        <f>_xlfn.XLOOKUP(F$48,WireSets[serial_number],WireSets[wire_roll_cert_number],"",0)</f>
        <v/>
      </c>
      <c r="G55" s="418" t="str">
        <f>_xlfn.XLOOKUP(G$48,WireSets[serial_number],WireSets[wire_roll_cert_number],"",0)</f>
        <v/>
      </c>
      <c r="H55" s="418" t="str">
        <f>_xlfn.XLOOKUP(H$48,WireSets[serial_number],WireSets[wire_roll_cert_number],"",0)</f>
        <v/>
      </c>
      <c r="I55" s="418" t="str">
        <f>_xlfn.XLOOKUP(I$48,WireSets[serial_number],WireSets[wire_roll_cert_number],"",0)</f>
        <v/>
      </c>
      <c r="J55" s="350"/>
      <c r="K55" s="366"/>
      <c r="L55" s="367"/>
      <c r="M55" s="368" t="s">
        <v>292</v>
      </c>
      <c r="N55" s="477"/>
      <c r="O55" s="301"/>
      <c r="P55" s="242" t="s">
        <v>269</v>
      </c>
      <c r="Q55" s="242" t="s">
        <v>14</v>
      </c>
      <c r="R55" s="250" t="s">
        <v>270</v>
      </c>
      <c r="S55" s="351"/>
      <c r="T55" s="311"/>
      <c r="U55" s="298" t="s">
        <v>271</v>
      </c>
      <c r="V55" s="242" t="s">
        <v>14</v>
      </c>
      <c r="W55" s="242" t="s">
        <v>272</v>
      </c>
    </row>
    <row r="56" spans="3:24" x14ac:dyDescent="0.2">
      <c r="C56" s="376" t="s">
        <v>141</v>
      </c>
      <c r="D56" s="287"/>
      <c r="E56" s="287"/>
      <c r="F56" s="287"/>
      <c r="G56" s="287"/>
      <c r="H56" s="287"/>
      <c r="I56" s="287"/>
      <c r="J56" s="352"/>
      <c r="K56" s="369"/>
      <c r="L56" s="370"/>
      <c r="M56" s="368" t="s">
        <v>293</v>
      </c>
      <c r="N56" s="477"/>
      <c r="O56" s="301"/>
      <c r="P56" s="379" t="str">
        <f>IF($S$56, MAX(Survey[RawTemp]), "")</f>
        <v/>
      </c>
      <c r="Q56" s="380" t="str" cm="1">
        <f t="array" ref="Q56">IF($S$56, _xlfn.TEXTJOIN(", ",TRUE, _xlfn.UNIQUE(TEXT(Alerts[High],"h:mm am/pm"))), "")</f>
        <v/>
      </c>
      <c r="R56" s="381"/>
      <c r="S56" s="464" t="b">
        <f>AND(S49="No",S51="No",S53="No")</f>
        <v>0</v>
      </c>
      <c r="T56" s="312"/>
      <c r="U56" s="382" t="str">
        <f>IF($X$56, MIN(Survey[RawTemp]), "")</f>
        <v/>
      </c>
      <c r="V56" s="380" t="str" cm="1">
        <f t="array" ref="V56">IF($X$56, _xlfn.TEXTJOIN(", ",TRUE, _xlfn.UNIQUE(TEXT(Alerts[Low],"h:mm am/pm"))), "")</f>
        <v/>
      </c>
      <c r="W56" s="379"/>
      <c r="X56" s="464" t="b">
        <f>AND(X49="No",X51="No",X53="No")</f>
        <v>0</v>
      </c>
    </row>
    <row r="57" spans="3:24" x14ac:dyDescent="0.2">
      <c r="C57" s="239" t="str">
        <f>"Max Wire Depth (K only, over  "&amp; IF(Unit="°C","260°C","500°F") &amp; "):"</f>
        <v>Max Wire Depth (K only, over  500°F):</v>
      </c>
      <c r="D57" s="288"/>
      <c r="E57" s="288"/>
      <c r="F57" s="288"/>
      <c r="G57" s="288"/>
      <c r="H57" s="288"/>
      <c r="I57" s="288"/>
      <c r="J57" s="299"/>
      <c r="K57" s="371"/>
      <c r="L57" s="372"/>
      <c r="M57" s="373" t="s">
        <v>294</v>
      </c>
      <c r="N57" s="477"/>
      <c r="O57" s="301"/>
      <c r="P57" s="299"/>
      <c r="Q57" s="444"/>
      <c r="S57" s="299"/>
      <c r="V57" s="444"/>
    </row>
    <row r="58" spans="3:24" x14ac:dyDescent="0.2">
      <c r="C58" s="535" t="s">
        <v>145</v>
      </c>
      <c r="D58" s="536"/>
      <c r="E58" s="536"/>
      <c r="F58" s="536"/>
      <c r="G58" s="536"/>
      <c r="H58" s="536"/>
      <c r="I58" s="536"/>
      <c r="J58" s="536"/>
      <c r="K58" s="540"/>
      <c r="L58" s="541"/>
      <c r="M58" s="303"/>
      <c r="N58" s="303"/>
      <c r="O58" s="303"/>
      <c r="P58" s="299"/>
      <c r="Q58" s="446"/>
      <c r="S58" s="303"/>
      <c r="T58" s="303"/>
      <c r="U58" s="303"/>
      <c r="V58" s="444"/>
    </row>
    <row r="59" spans="3:24" x14ac:dyDescent="0.2">
      <c r="C59" s="535" t="s">
        <v>148</v>
      </c>
      <c r="D59" s="536"/>
      <c r="E59" s="536"/>
      <c r="F59" s="536"/>
      <c r="G59" s="536"/>
      <c r="H59" s="536"/>
      <c r="I59" s="536"/>
      <c r="J59" s="536"/>
      <c r="K59" s="536"/>
      <c r="L59" s="537"/>
      <c r="M59" s="303"/>
      <c r="N59" s="313" t="str">
        <f>"DOORS OPENED FOR " &amp;L16&amp; " SECONDS TO SIMULATE LOAD ENTRY AT " &amp;L17&amp; "."</f>
        <v>DOORS OPENED FOR  SECONDS TO SIMULATE LOAD ENTRY AT .</v>
      </c>
      <c r="O59" s="313"/>
      <c r="P59" s="313"/>
      <c r="Q59" s="445"/>
      <c r="R59" s="313"/>
      <c r="S59" s="313"/>
      <c r="T59" s="313"/>
      <c r="U59" s="313"/>
      <c r="V59" s="445"/>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2"/>
      <c r="N60" s="353" t="str">
        <f>"AFTER TUS, HIGH LIMIT SET AT " &amp;E60&amp;Unit&amp; " AND OVEN SETPOINT RAISED UNTIL HIGH LIMIT SYSTEM ACTIVATED AT " &amp;K60&amp;Unit&amp; "."</f>
        <v>AFTER TUS, HIGH LIMIT SET AT °F AND OVEN SETPOINT RAISED UNTIL HIGH LIMIT SYSTEM ACTIVATED AT °F.</v>
      </c>
      <c r="O60" s="353"/>
      <c r="P60" s="313"/>
      <c r="Q60" s="445"/>
      <c r="R60" s="313"/>
      <c r="S60" s="313"/>
      <c r="T60" s="313"/>
      <c r="U60" s="313"/>
      <c r="V60" s="445"/>
    </row>
    <row r="61" spans="3:24" x14ac:dyDescent="0.2">
      <c r="C61" s="173"/>
      <c r="D61" s="173" t="s">
        <v>147</v>
      </c>
      <c r="E61" s="295"/>
      <c r="F61" s="179" t="s">
        <v>149</v>
      </c>
      <c r="G61" s="180"/>
      <c r="H61" s="180"/>
      <c r="I61" s="181"/>
      <c r="J61" s="295"/>
      <c r="K61" s="182" t="str">
        <f>Unit&amp;"."</f>
        <v>°F.</v>
      </c>
      <c r="L61" s="299"/>
      <c r="M61" s="303"/>
      <c r="N61" s="353" t="str">
        <f>"AFTER TUS, HIGH LIMIT READING " &amp;E61&amp;Unit&amp; " AND HIGH LIMIT SETPOINT LOWERED UNTIL ACTIVATION AT " &amp;J61&amp;Unit&amp; "."</f>
        <v>AFTER TUS, HIGH LIMIT READING °F AND HIGH LIMIT SETPOINT LOWERED UNTIL ACTIVATION AT °F.</v>
      </c>
      <c r="O61" s="354"/>
      <c r="P61" s="313"/>
      <c r="Q61" s="445"/>
      <c r="R61" s="313"/>
      <c r="S61" s="313"/>
      <c r="T61" s="313"/>
      <c r="U61" s="313"/>
      <c r="V61" s="445"/>
    </row>
    <row r="62" spans="3:24" x14ac:dyDescent="0.2">
      <c r="C62" s="315"/>
      <c r="D62" s="299"/>
      <c r="E62" s="299"/>
      <c r="F62" s="303" t="s">
        <v>289</v>
      </c>
      <c r="G62" s="336"/>
      <c r="H62" s="336"/>
      <c r="I62" s="336"/>
      <c r="J62" s="299"/>
      <c r="K62" s="299"/>
      <c r="L62" s="299"/>
      <c r="M62" s="355"/>
      <c r="N62" s="354"/>
      <c r="O62" s="354"/>
      <c r="P62" s="313"/>
      <c r="Q62" s="445"/>
      <c r="R62" s="313"/>
      <c r="S62" s="313"/>
      <c r="T62" s="313"/>
      <c r="U62" s="313"/>
      <c r="V62" s="445"/>
    </row>
    <row r="65" spans="5:10" x14ac:dyDescent="0.2">
      <c r="E65" t="s">
        <v>377</v>
      </c>
      <c r="F65" t="s">
        <v>139</v>
      </c>
      <c r="G65" s="36" t="s">
        <v>739</v>
      </c>
      <c r="H65" t="s">
        <v>421</v>
      </c>
    </row>
    <row r="66" spans="5:10" x14ac:dyDescent="0.2">
      <c r="E66">
        <v>1</v>
      </c>
      <c r="F66">
        <v>5</v>
      </c>
      <c r="G66">
        <v>2</v>
      </c>
      <c r="H66" t="s">
        <v>737</v>
      </c>
      <c r="J66" s="475" cm="1">
        <f t="array" ref="J66:J71">_xlfn._xlws.FILTER(SAT_Tolerance_Lookup[SAT Tol],SAT_Tolerance_Lookup[Unit]=Unit)</f>
        <v>2</v>
      </c>
    </row>
    <row r="67" spans="5:10" x14ac:dyDescent="0.2">
      <c r="E67">
        <v>2</v>
      </c>
      <c r="F67">
        <v>10</v>
      </c>
      <c r="G67">
        <v>3</v>
      </c>
      <c r="H67" t="s">
        <v>737</v>
      </c>
      <c r="J67" s="475">
        <v>3</v>
      </c>
    </row>
    <row r="68" spans="5:10" x14ac:dyDescent="0.2">
      <c r="E68">
        <v>3</v>
      </c>
      <c r="F68">
        <v>15</v>
      </c>
      <c r="G68">
        <v>4</v>
      </c>
      <c r="H68" t="s">
        <v>737</v>
      </c>
      <c r="J68" s="475">
        <v>4</v>
      </c>
    </row>
    <row r="69" spans="5:10" x14ac:dyDescent="0.2">
      <c r="E69">
        <v>4</v>
      </c>
      <c r="F69">
        <v>20</v>
      </c>
      <c r="G69">
        <v>4</v>
      </c>
      <c r="H69" t="s">
        <v>737</v>
      </c>
      <c r="J69" s="475">
        <v>4</v>
      </c>
    </row>
    <row r="70" spans="5:10" x14ac:dyDescent="0.2">
      <c r="E70">
        <v>5</v>
      </c>
      <c r="F70">
        <v>25</v>
      </c>
      <c r="G70">
        <v>5</v>
      </c>
      <c r="H70" t="s">
        <v>737</v>
      </c>
      <c r="J70" s="475">
        <v>5</v>
      </c>
    </row>
    <row r="71" spans="5:10" x14ac:dyDescent="0.2">
      <c r="E71">
        <v>6</v>
      </c>
      <c r="F71">
        <v>50</v>
      </c>
      <c r="G71">
        <v>10</v>
      </c>
      <c r="H71" t="s">
        <v>737</v>
      </c>
      <c r="J71" s="475">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6"/>
    </row>
    <row r="79" spans="5:10" x14ac:dyDescent="0.2">
      <c r="F79" s="356"/>
    </row>
    <row r="80" spans="5:10" x14ac:dyDescent="0.2">
      <c r="F80" s="356"/>
    </row>
    <row r="81" spans="6:8" x14ac:dyDescent="0.2">
      <c r="F81" s="374" t="s">
        <v>434</v>
      </c>
      <c r="G81" s="432" t="b">
        <f>AND(UUTRangeTol!R2+UUTRangeTol!S2=0,UUTRangeTol!S2&gt;0)</f>
        <v>0</v>
      </c>
    </row>
    <row r="82" spans="6:8" x14ac:dyDescent="0.2">
      <c r="F82" s="374" t="s">
        <v>435</v>
      </c>
      <c r="G82" s="472" cm="1">
        <f t="array" ref="G82">IF(
  Symmetric_Tol,
  _xlfn.XLOOKUP(
    1,
    (UUTRangeTol!$S$2 = SAT_Tolerance_Lookup[TUS Tol])*(SAT_Tolerance_Lookup[Unit]=Unit),
    SAT_Tolerance_Lookup[SAT Tol]
  ),
  SAT_Tol
)</f>
        <v>0</v>
      </c>
      <c r="H82" s="139" t="str">
        <f>Unit</f>
        <v>°F</v>
      </c>
    </row>
  </sheetData>
  <sheetProtection algorithmName="SHA-512" hashValue="chqmpbmftgM4n4WxTUAME6MlfSSRUlUyg+Fz5z8WHe36mQDQ3oUOBfFzD8b05Fv+l1Yk0H2ud4rC0Aq6CXsc0g==" saltValue="0KSEYkicLAvsXYZ5KjKv9w=="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evalError="1"/>
    <ignoredError sqref="G27:G28 D55:I55 D49:I49 D47:I47 F48:I48 D54:I54 A37:A44 P56:V56 T49:W49 D50:I50"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06" r:id="rId7"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8"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9"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0"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1"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2"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3"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4"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5"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6"/>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VpqjYILTz51xMwAMt0+d1JFV3cKYnquiDdEW4gOgIaJnUndPCFsrKtgCGDoRH44KRa9rpvkMkhzIya/mNgyQxw==" saltValue="hUhs5WReCCs0IVL3Zay2Sw=="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19" bestFit="1" customWidth="1"/>
    <col min="2" max="15" width="6" style="49" customWidth="1"/>
    <col min="16" max="16" width="2.140625" style="49" customWidth="1"/>
    <col min="17" max="17" width="9" style="387" bestFit="1" customWidth="1"/>
    <col min="18" max="31" width="6" style="49" customWidth="1"/>
    <col min="32" max="32" width="2.140625" style="49" customWidth="1"/>
    <col min="33" max="33" width="9" style="387" bestFit="1" customWidth="1"/>
    <col min="34" max="45" width="6" style="49" customWidth="1"/>
    <col min="46" max="16384" width="9.140625" style="49"/>
  </cols>
  <sheetData>
    <row r="1" spans="1:45" s="389" customFormat="1" ht="24.75" customHeight="1" x14ac:dyDescent="0.25"/>
    <row r="2" spans="1:45" s="390" customFormat="1" x14ac:dyDescent="0.2">
      <c r="A2" s="387"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7"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7"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0"/>
      <c r="C3" s="420"/>
      <c r="D3" s="420"/>
      <c r="E3" s="420"/>
      <c r="F3" s="420"/>
      <c r="G3" s="420"/>
      <c r="H3" s="420"/>
      <c r="I3" s="420"/>
      <c r="J3" s="420"/>
      <c r="K3" s="420"/>
      <c r="L3" s="421"/>
      <c r="M3" s="421"/>
      <c r="N3" s="421"/>
      <c r="O3" s="416"/>
      <c r="Q3" s="419"/>
      <c r="R3" s="420"/>
      <c r="S3" s="420"/>
      <c r="T3" s="420"/>
      <c r="U3" s="420"/>
      <c r="V3" s="420"/>
      <c r="W3" s="420"/>
      <c r="X3" s="420"/>
      <c r="Y3" s="420"/>
      <c r="Z3" s="420"/>
      <c r="AA3" s="420"/>
      <c r="AD3" s="422"/>
      <c r="AE3" s="416"/>
      <c r="AG3" s="419"/>
      <c r="AH3" s="420"/>
      <c r="AI3" s="420"/>
      <c r="AJ3" s="420"/>
      <c r="AK3" s="420"/>
      <c r="AL3" s="420"/>
      <c r="AM3" s="420"/>
      <c r="AN3" s="420"/>
      <c r="AO3" s="420"/>
      <c r="AP3" s="420"/>
      <c r="AQ3" s="420"/>
    </row>
    <row r="4" spans="1:45" x14ac:dyDescent="0.2">
      <c r="Q4" s="419"/>
      <c r="AG4" s="419"/>
    </row>
    <row r="5" spans="1:45" x14ac:dyDescent="0.2">
      <c r="Q5" s="419"/>
      <c r="AG5" s="419"/>
    </row>
    <row r="6" spans="1:45" x14ac:dyDescent="0.2">
      <c r="Q6" s="419"/>
      <c r="AG6" s="419"/>
    </row>
    <row r="7" spans="1:45" x14ac:dyDescent="0.2">
      <c r="Q7" s="419"/>
      <c r="AG7" s="419"/>
    </row>
    <row r="8" spans="1:45" x14ac:dyDescent="0.2">
      <c r="Q8" s="419"/>
      <c r="AG8" s="419"/>
    </row>
    <row r="9" spans="1:45" x14ac:dyDescent="0.2">
      <c r="Q9" s="419"/>
      <c r="AG9" s="419"/>
    </row>
    <row r="10" spans="1:45" x14ac:dyDescent="0.2">
      <c r="Q10" s="419"/>
      <c r="AG10" s="419"/>
    </row>
    <row r="11" spans="1:45" x14ac:dyDescent="0.2">
      <c r="Q11" s="419"/>
      <c r="AG11" s="419"/>
    </row>
    <row r="12" spans="1:45" x14ac:dyDescent="0.2">
      <c r="Q12" s="419"/>
      <c r="AG12" s="419"/>
    </row>
    <row r="13" spans="1:45" x14ac:dyDescent="0.2">
      <c r="Q13" s="419"/>
      <c r="AG13" s="419"/>
    </row>
    <row r="14" spans="1:45" x14ac:dyDescent="0.2">
      <c r="Q14" s="419"/>
      <c r="AG14" s="419"/>
    </row>
    <row r="15" spans="1:45" x14ac:dyDescent="0.2">
      <c r="Q15" s="419"/>
      <c r="AG15" s="419"/>
    </row>
    <row r="16" spans="1:45" x14ac:dyDescent="0.2">
      <c r="Q16" s="419"/>
      <c r="AG16" s="419"/>
    </row>
    <row r="17" spans="17:33" x14ac:dyDescent="0.2">
      <c r="Q17" s="419"/>
      <c r="AG17" s="419"/>
    </row>
    <row r="18" spans="17:33" x14ac:dyDescent="0.2">
      <c r="Q18" s="419"/>
      <c r="AG18" s="419"/>
    </row>
    <row r="19" spans="17:33" x14ac:dyDescent="0.2">
      <c r="Q19" s="419"/>
      <c r="AG19" s="419"/>
    </row>
    <row r="20" spans="17:33" x14ac:dyDescent="0.2">
      <c r="Q20" s="419"/>
      <c r="AG20" s="419"/>
    </row>
    <row r="21" spans="17:33" x14ac:dyDescent="0.2">
      <c r="Q21" s="419"/>
      <c r="AG21" s="419"/>
    </row>
    <row r="22" spans="17:33" x14ac:dyDescent="0.2">
      <c r="Q22" s="419"/>
      <c r="AG22" s="419"/>
    </row>
    <row r="23" spans="17:33" x14ac:dyDescent="0.2">
      <c r="Q23" s="419"/>
      <c r="AG23" s="419"/>
    </row>
    <row r="24" spans="17:33" x14ac:dyDescent="0.2">
      <c r="Q24" s="419"/>
      <c r="AG24" s="419"/>
    </row>
    <row r="25" spans="17:33" x14ac:dyDescent="0.2">
      <c r="Q25" s="419"/>
      <c r="AG25" s="419"/>
    </row>
    <row r="26" spans="17:33" x14ac:dyDescent="0.2">
      <c r="Q26" s="419"/>
      <c r="AG26" s="419"/>
    </row>
    <row r="27" spans="17:33" x14ac:dyDescent="0.2">
      <c r="Q27" s="419"/>
      <c r="AG27" s="419"/>
    </row>
    <row r="28" spans="17:33" x14ac:dyDescent="0.2">
      <c r="Q28" s="419"/>
      <c r="AG28" s="419"/>
    </row>
    <row r="29" spans="17:33" x14ac:dyDescent="0.2">
      <c r="Q29" s="419"/>
      <c r="AG29" s="419"/>
    </row>
    <row r="30" spans="17:33" x14ac:dyDescent="0.2">
      <c r="Q30" s="419"/>
      <c r="AG30" s="419"/>
    </row>
    <row r="31" spans="17:33" x14ac:dyDescent="0.2">
      <c r="Q31" s="419"/>
      <c r="AG31" s="419"/>
    </row>
    <row r="32" spans="17:33" x14ac:dyDescent="0.2">
      <c r="Q32" s="419"/>
      <c r="AG32" s="419"/>
    </row>
    <row r="33" spans="17:33" x14ac:dyDescent="0.2">
      <c r="Q33" s="419"/>
      <c r="AG33" s="419"/>
    </row>
    <row r="34" spans="17:33" x14ac:dyDescent="0.2">
      <c r="Q34" s="419"/>
      <c r="AG34" s="419"/>
    </row>
    <row r="35" spans="17:33" x14ac:dyDescent="0.2">
      <c r="Q35" s="419"/>
      <c r="AG35" s="419"/>
    </row>
    <row r="36" spans="17:33" x14ac:dyDescent="0.2">
      <c r="Q36" s="419"/>
      <c r="AG36" s="419"/>
    </row>
    <row r="37" spans="17:33" x14ac:dyDescent="0.2">
      <c r="Q37" s="419"/>
      <c r="AG37" s="419"/>
    </row>
    <row r="38" spans="17:33" x14ac:dyDescent="0.2">
      <c r="Q38" s="419"/>
      <c r="AG38" s="419"/>
    </row>
    <row r="39" spans="17:33" x14ac:dyDescent="0.2">
      <c r="Q39" s="419"/>
      <c r="AG39" s="419"/>
    </row>
    <row r="40" spans="17:33" x14ac:dyDescent="0.2">
      <c r="Q40" s="419"/>
      <c r="AG40" s="419"/>
    </row>
    <row r="41" spans="17:33" x14ac:dyDescent="0.2">
      <c r="Q41" s="419"/>
      <c r="AG41" s="419"/>
    </row>
    <row r="42" spans="17:33" x14ac:dyDescent="0.2">
      <c r="Q42" s="419"/>
      <c r="AG42" s="419"/>
    </row>
    <row r="43" spans="17:33" x14ac:dyDescent="0.2">
      <c r="Q43" s="419"/>
      <c r="AG43" s="419"/>
    </row>
    <row r="44" spans="17:33" x14ac:dyDescent="0.2">
      <c r="Q44" s="419"/>
      <c r="AG44" s="419"/>
    </row>
    <row r="45" spans="17:33" x14ac:dyDescent="0.2">
      <c r="Q45" s="419"/>
      <c r="AG45" s="419"/>
    </row>
    <row r="46" spans="17:33" x14ac:dyDescent="0.2">
      <c r="Q46" s="419"/>
      <c r="AG46" s="419"/>
    </row>
    <row r="47" spans="17:33" x14ac:dyDescent="0.2">
      <c r="Q47" s="419"/>
      <c r="AG47" s="419"/>
    </row>
    <row r="48" spans="17:33" x14ac:dyDescent="0.2">
      <c r="Q48" s="419"/>
      <c r="AG48" s="419"/>
    </row>
    <row r="49" spans="17:33" x14ac:dyDescent="0.2">
      <c r="Q49" s="419"/>
      <c r="AG49" s="419"/>
    </row>
    <row r="50" spans="17:33" x14ac:dyDescent="0.2">
      <c r="Q50" s="419"/>
      <c r="AG50" s="419"/>
    </row>
    <row r="51" spans="17:33" x14ac:dyDescent="0.2">
      <c r="Q51" s="419"/>
      <c r="AG51" s="419"/>
    </row>
    <row r="52" spans="17:33" x14ac:dyDescent="0.2">
      <c r="Q52" s="419"/>
      <c r="AG52" s="419"/>
    </row>
    <row r="53" spans="17:33" x14ac:dyDescent="0.2">
      <c r="Q53" s="419"/>
      <c r="AG53" s="419"/>
    </row>
    <row r="54" spans="17:33" x14ac:dyDescent="0.2">
      <c r="Q54" s="419"/>
      <c r="AG54" s="419"/>
    </row>
    <row r="55" spans="17:33" x14ac:dyDescent="0.2">
      <c r="Q55" s="419"/>
      <c r="AG55" s="419"/>
    </row>
    <row r="56" spans="17:33" x14ac:dyDescent="0.2">
      <c r="Q56" s="419"/>
      <c r="AG56" s="419"/>
    </row>
    <row r="57" spans="17:33" x14ac:dyDescent="0.2">
      <c r="Q57" s="419"/>
      <c r="AG57" s="419"/>
    </row>
    <row r="58" spans="17:33" x14ac:dyDescent="0.2">
      <c r="Q58" s="419"/>
      <c r="AG58" s="419"/>
    </row>
    <row r="59" spans="17:33" x14ac:dyDescent="0.2">
      <c r="Q59" s="419"/>
      <c r="AG59" s="419"/>
    </row>
    <row r="60" spans="17:33" x14ac:dyDescent="0.2">
      <c r="Q60" s="419"/>
      <c r="AG60" s="419"/>
    </row>
    <row r="61" spans="17:33" x14ac:dyDescent="0.2">
      <c r="Q61" s="419"/>
      <c r="AG61" s="419"/>
    </row>
    <row r="62" spans="17:33" x14ac:dyDescent="0.2">
      <c r="Q62" s="419"/>
      <c r="AG62" s="419"/>
    </row>
    <row r="63" spans="17:33" x14ac:dyDescent="0.2">
      <c r="Q63" s="419"/>
      <c r="AG63" s="419"/>
    </row>
    <row r="64" spans="17:33" x14ac:dyDescent="0.2">
      <c r="Q64" s="419"/>
      <c r="AG64" s="419"/>
    </row>
    <row r="65" spans="17:33" x14ac:dyDescent="0.2">
      <c r="Q65" s="419"/>
      <c r="AG65" s="419"/>
    </row>
    <row r="66" spans="17:33" x14ac:dyDescent="0.2">
      <c r="Q66" s="419"/>
      <c r="AG66" s="419"/>
    </row>
    <row r="67" spans="17:33" x14ac:dyDescent="0.2">
      <c r="Q67" s="419"/>
      <c r="AG67" s="419"/>
    </row>
    <row r="68" spans="17:33" x14ac:dyDescent="0.2">
      <c r="Q68" s="419"/>
      <c r="AG68" s="419"/>
    </row>
    <row r="69" spans="17:33" x14ac:dyDescent="0.2">
      <c r="Q69" s="419"/>
      <c r="AG69" s="419"/>
    </row>
    <row r="70" spans="17:33" x14ac:dyDescent="0.2">
      <c r="Q70" s="419"/>
      <c r="AG70" s="419"/>
    </row>
    <row r="71" spans="17:33" x14ac:dyDescent="0.2">
      <c r="Q71" s="419"/>
      <c r="AG71" s="419"/>
    </row>
    <row r="72" spans="17:33" x14ac:dyDescent="0.2">
      <c r="Q72" s="419"/>
      <c r="AG72" s="419"/>
    </row>
    <row r="73" spans="17:33" x14ac:dyDescent="0.2">
      <c r="Q73" s="419"/>
      <c r="AG73" s="419"/>
    </row>
    <row r="74" spans="17:33" x14ac:dyDescent="0.2">
      <c r="Q74" s="419"/>
      <c r="AG74" s="419"/>
    </row>
    <row r="75" spans="17:33" x14ac:dyDescent="0.2">
      <c r="Q75" s="419"/>
      <c r="AG75" s="419"/>
    </row>
    <row r="76" spans="17:33" x14ac:dyDescent="0.2">
      <c r="Q76" s="419"/>
      <c r="AG76" s="419"/>
    </row>
    <row r="77" spans="17:33" x14ac:dyDescent="0.2">
      <c r="Q77" s="419"/>
      <c r="AG77" s="419"/>
    </row>
    <row r="78" spans="17:33" x14ac:dyDescent="0.2">
      <c r="Q78" s="419"/>
      <c r="AG78" s="419"/>
    </row>
    <row r="79" spans="17:33" x14ac:dyDescent="0.2">
      <c r="Q79" s="419"/>
      <c r="AG79" s="419"/>
    </row>
    <row r="80" spans="17:33" x14ac:dyDescent="0.2">
      <c r="Q80" s="419"/>
      <c r="AG80" s="419"/>
    </row>
    <row r="81" spans="17:33" x14ac:dyDescent="0.2">
      <c r="Q81" s="419"/>
      <c r="AG81" s="419"/>
    </row>
    <row r="82" spans="17:33" x14ac:dyDescent="0.2">
      <c r="Q82" s="419"/>
      <c r="AG82" s="419"/>
    </row>
    <row r="83" spans="17:33" x14ac:dyDescent="0.2">
      <c r="Q83" s="419"/>
      <c r="AG83" s="419"/>
    </row>
    <row r="84" spans="17:33" x14ac:dyDescent="0.2">
      <c r="Q84" s="419"/>
      <c r="AG84" s="419"/>
    </row>
    <row r="85" spans="17:33" x14ac:dyDescent="0.2">
      <c r="Q85" s="419"/>
      <c r="AG85" s="419"/>
    </row>
    <row r="86" spans="17:33" x14ac:dyDescent="0.2">
      <c r="Q86" s="419"/>
      <c r="AG86" s="419"/>
    </row>
    <row r="87" spans="17:33" x14ac:dyDescent="0.2">
      <c r="Q87" s="419"/>
      <c r="AG87" s="419"/>
    </row>
    <row r="88" spans="17:33" x14ac:dyDescent="0.2">
      <c r="Q88" s="419"/>
      <c r="AG88" s="419"/>
    </row>
    <row r="89" spans="17:33" x14ac:dyDescent="0.2">
      <c r="Q89" s="419"/>
      <c r="AG89" s="419"/>
    </row>
    <row r="90" spans="17:33" x14ac:dyDescent="0.2">
      <c r="Q90" s="419"/>
      <c r="AG90" s="419"/>
    </row>
    <row r="91" spans="17:33" x14ac:dyDescent="0.2">
      <c r="Q91" s="419"/>
      <c r="AG91" s="419"/>
    </row>
    <row r="92" spans="17:33" x14ac:dyDescent="0.2">
      <c r="Q92" s="419"/>
      <c r="AG92" s="419"/>
    </row>
    <row r="93" spans="17:33" x14ac:dyDescent="0.2">
      <c r="Q93" s="419"/>
      <c r="AG93" s="419"/>
    </row>
    <row r="94" spans="17:33" x14ac:dyDescent="0.2">
      <c r="Q94" s="419"/>
      <c r="AG94" s="419"/>
    </row>
    <row r="95" spans="17:33" x14ac:dyDescent="0.2">
      <c r="Q95" s="419"/>
      <c r="AG95" s="419"/>
    </row>
    <row r="96" spans="17:33" x14ac:dyDescent="0.2">
      <c r="Q96" s="419"/>
      <c r="AG96" s="419"/>
    </row>
    <row r="97" spans="17:33" x14ac:dyDescent="0.2">
      <c r="Q97" s="419"/>
      <c r="AG97" s="419"/>
    </row>
    <row r="98" spans="17:33" x14ac:dyDescent="0.2">
      <c r="Q98" s="419"/>
      <c r="AG98" s="419"/>
    </row>
    <row r="99" spans="17:33" x14ac:dyDescent="0.2">
      <c r="Q99" s="419"/>
      <c r="AG99" s="419"/>
    </row>
    <row r="100" spans="17:33" x14ac:dyDescent="0.2">
      <c r="Q100" s="419"/>
      <c r="AG100" s="419"/>
    </row>
    <row r="101" spans="17:33" x14ac:dyDescent="0.2">
      <c r="Q101" s="419"/>
      <c r="AG101" s="419"/>
    </row>
    <row r="102" spans="17:33" x14ac:dyDescent="0.2">
      <c r="Q102" s="419"/>
      <c r="AG102" s="419"/>
    </row>
    <row r="103" spans="17:33" x14ac:dyDescent="0.2">
      <c r="Q103" s="419"/>
      <c r="AG103" s="419"/>
    </row>
    <row r="104" spans="17:33" x14ac:dyDescent="0.2">
      <c r="Q104" s="419"/>
      <c r="AG104" s="419"/>
    </row>
    <row r="105" spans="17:33" x14ac:dyDescent="0.2">
      <c r="Q105" s="419"/>
      <c r="AG105" s="419"/>
    </row>
    <row r="106" spans="17:33" x14ac:dyDescent="0.2">
      <c r="Q106" s="419"/>
      <c r="AG106" s="419"/>
    </row>
    <row r="107" spans="17:33" x14ac:dyDescent="0.2">
      <c r="Q107" s="419"/>
      <c r="AG107" s="419"/>
    </row>
    <row r="108" spans="17:33" x14ac:dyDescent="0.2">
      <c r="Q108" s="419"/>
      <c r="AG108" s="419"/>
    </row>
    <row r="109" spans="17:33" x14ac:dyDescent="0.2">
      <c r="Q109" s="419"/>
      <c r="AG109" s="419"/>
    </row>
    <row r="110" spans="17:33" x14ac:dyDescent="0.2">
      <c r="Q110" s="419"/>
      <c r="AG110" s="419"/>
    </row>
    <row r="111" spans="17:33" x14ac:dyDescent="0.2">
      <c r="Q111" s="419"/>
      <c r="AG111" s="419"/>
    </row>
    <row r="112" spans="17:33" x14ac:dyDescent="0.2">
      <c r="Q112" s="419"/>
      <c r="AG112" s="419"/>
    </row>
    <row r="113" spans="17:33" x14ac:dyDescent="0.2">
      <c r="Q113" s="419"/>
      <c r="AG113" s="419"/>
    </row>
    <row r="114" spans="17:33" x14ac:dyDescent="0.2">
      <c r="Q114" s="419"/>
      <c r="AG114" s="419"/>
    </row>
    <row r="115" spans="17:33" x14ac:dyDescent="0.2">
      <c r="Q115" s="419"/>
      <c r="AG115" s="419"/>
    </row>
    <row r="116" spans="17:33" x14ac:dyDescent="0.2">
      <c r="Q116" s="419"/>
      <c r="AG116" s="419"/>
    </row>
    <row r="117" spans="17:33" x14ac:dyDescent="0.2">
      <c r="Q117" s="419"/>
      <c r="AG117" s="419"/>
    </row>
    <row r="118" spans="17:33" x14ac:dyDescent="0.2">
      <c r="Q118" s="419"/>
      <c r="AG118" s="419"/>
    </row>
    <row r="119" spans="17:33" x14ac:dyDescent="0.2">
      <c r="Q119" s="419"/>
      <c r="AG119" s="419"/>
    </row>
    <row r="120" spans="17:33" x14ac:dyDescent="0.2">
      <c r="Q120" s="419"/>
      <c r="AG120" s="419"/>
    </row>
    <row r="121" spans="17:33" x14ac:dyDescent="0.2">
      <c r="Q121" s="419"/>
      <c r="AG121" s="419"/>
    </row>
    <row r="122" spans="17:33" x14ac:dyDescent="0.2">
      <c r="Q122" s="419"/>
      <c r="AG122" s="419"/>
    </row>
    <row r="123" spans="17:33" x14ac:dyDescent="0.2">
      <c r="Q123" s="419"/>
      <c r="AG123" s="419"/>
    </row>
    <row r="124" spans="17:33" x14ac:dyDescent="0.2">
      <c r="Q124" s="419"/>
      <c r="AG124" s="419"/>
    </row>
    <row r="125" spans="17:33" x14ac:dyDescent="0.2">
      <c r="Q125" s="419"/>
      <c r="AG125" s="419"/>
    </row>
    <row r="126" spans="17:33" x14ac:dyDescent="0.2">
      <c r="Q126" s="419"/>
      <c r="AG126" s="419"/>
    </row>
    <row r="127" spans="17:33" x14ac:dyDescent="0.2">
      <c r="Q127" s="419"/>
      <c r="AG127" s="419"/>
    </row>
    <row r="128" spans="17:33" x14ac:dyDescent="0.2">
      <c r="Q128" s="419"/>
      <c r="AG128" s="419"/>
    </row>
    <row r="129" spans="17:33" x14ac:dyDescent="0.2">
      <c r="Q129" s="419"/>
      <c r="AG129" s="419"/>
    </row>
    <row r="130" spans="17:33" x14ac:dyDescent="0.2">
      <c r="Q130" s="419"/>
      <c r="AG130" s="419"/>
    </row>
    <row r="131" spans="17:33" x14ac:dyDescent="0.2">
      <c r="Q131" s="419"/>
      <c r="AG131" s="419"/>
    </row>
    <row r="132" spans="17:33" x14ac:dyDescent="0.2">
      <c r="Q132" s="419"/>
      <c r="AG132" s="419"/>
    </row>
    <row r="133" spans="17:33" x14ac:dyDescent="0.2">
      <c r="Q133" s="419"/>
      <c r="AG133" s="419"/>
    </row>
    <row r="134" spans="17:33" x14ac:dyDescent="0.2">
      <c r="Q134" s="419"/>
      <c r="AG134" s="419"/>
    </row>
    <row r="135" spans="17:33" x14ac:dyDescent="0.2">
      <c r="Q135" s="419"/>
      <c r="AG135" s="419"/>
    </row>
    <row r="136" spans="17:33" x14ac:dyDescent="0.2">
      <c r="Q136" s="419"/>
      <c r="AG136" s="419"/>
    </row>
    <row r="137" spans="17:33" x14ac:dyDescent="0.2">
      <c r="Q137" s="419"/>
      <c r="AG137" s="419"/>
    </row>
    <row r="138" spans="17:33" x14ac:dyDescent="0.2">
      <c r="Q138" s="419"/>
      <c r="AG138" s="419"/>
    </row>
    <row r="139" spans="17:33" x14ac:dyDescent="0.2">
      <c r="Q139" s="419"/>
      <c r="AG139" s="419"/>
    </row>
    <row r="140" spans="17:33" x14ac:dyDescent="0.2">
      <c r="Q140" s="419"/>
      <c r="AG140" s="419"/>
    </row>
    <row r="141" spans="17:33" x14ac:dyDescent="0.2">
      <c r="Q141" s="419"/>
      <c r="AG141" s="419"/>
    </row>
    <row r="142" spans="17:33" x14ac:dyDescent="0.2">
      <c r="Q142" s="419"/>
      <c r="AG142" s="419"/>
    </row>
    <row r="143" spans="17:33" x14ac:dyDescent="0.2">
      <c r="Q143" s="419"/>
      <c r="AG143" s="419"/>
    </row>
    <row r="144" spans="17:33" x14ac:dyDescent="0.2">
      <c r="Q144" s="419"/>
      <c r="AG144" s="419"/>
    </row>
    <row r="145" spans="17:33" x14ac:dyDescent="0.2">
      <c r="Q145" s="419"/>
      <c r="AG145" s="419"/>
    </row>
    <row r="146" spans="17:33" x14ac:dyDescent="0.2">
      <c r="Q146" s="419"/>
      <c r="AG146" s="419"/>
    </row>
    <row r="147" spans="17:33" x14ac:dyDescent="0.2">
      <c r="Q147" s="419"/>
      <c r="AG147" s="419"/>
    </row>
    <row r="148" spans="17:33" x14ac:dyDescent="0.2">
      <c r="Q148" s="419"/>
      <c r="AG148" s="419"/>
    </row>
    <row r="149" spans="17:33" x14ac:dyDescent="0.2">
      <c r="Q149" s="419"/>
      <c r="AG149" s="419"/>
    </row>
    <row r="150" spans="17:33" x14ac:dyDescent="0.2">
      <c r="Q150" s="419"/>
      <c r="AG150" s="419"/>
    </row>
    <row r="151" spans="17:33" x14ac:dyDescent="0.2">
      <c r="Q151" s="419"/>
      <c r="AG151" s="419"/>
    </row>
    <row r="152" spans="17:33" x14ac:dyDescent="0.2">
      <c r="Q152" s="419"/>
      <c r="AG152" s="419"/>
    </row>
    <row r="153" spans="17:33" x14ac:dyDescent="0.2">
      <c r="Q153" s="419"/>
      <c r="AG153" s="419"/>
    </row>
    <row r="154" spans="17:33" x14ac:dyDescent="0.2">
      <c r="Q154" s="419"/>
      <c r="AG154" s="419"/>
    </row>
    <row r="155" spans="17:33" x14ac:dyDescent="0.2">
      <c r="Q155" s="419"/>
      <c r="AG155" s="419"/>
    </row>
    <row r="156" spans="17:33" x14ac:dyDescent="0.2">
      <c r="Q156" s="419"/>
      <c r="AG156" s="419"/>
    </row>
    <row r="157" spans="17:33" x14ac:dyDescent="0.2">
      <c r="Q157" s="419"/>
      <c r="AG157" s="419"/>
    </row>
    <row r="158" spans="17:33" x14ac:dyDescent="0.2">
      <c r="Q158" s="419"/>
      <c r="AG158" s="419"/>
    </row>
    <row r="159" spans="17:33" x14ac:dyDescent="0.2">
      <c r="Q159" s="419"/>
      <c r="AG159" s="419"/>
    </row>
    <row r="160" spans="17:33" x14ac:dyDescent="0.2">
      <c r="Q160" s="419"/>
      <c r="AG160" s="419"/>
    </row>
    <row r="161" spans="17:33" x14ac:dyDescent="0.2">
      <c r="Q161" s="419"/>
      <c r="AG161" s="419"/>
    </row>
    <row r="162" spans="17:33" x14ac:dyDescent="0.2">
      <c r="Q162" s="419"/>
      <c r="AG162" s="419"/>
    </row>
    <row r="163" spans="17:33" x14ac:dyDescent="0.2">
      <c r="Q163" s="419"/>
      <c r="AG163" s="419"/>
    </row>
    <row r="164" spans="17:33" x14ac:dyDescent="0.2">
      <c r="Q164" s="419"/>
      <c r="AG164" s="419"/>
    </row>
    <row r="165" spans="17:33" x14ac:dyDescent="0.2">
      <c r="Q165" s="419"/>
      <c r="AG165" s="419"/>
    </row>
    <row r="166" spans="17:33" x14ac:dyDescent="0.2">
      <c r="Q166" s="419"/>
      <c r="AG166" s="419"/>
    </row>
    <row r="167" spans="17:33" x14ac:dyDescent="0.2">
      <c r="Q167" s="419"/>
      <c r="AG167" s="419"/>
    </row>
    <row r="168" spans="17:33" x14ac:dyDescent="0.2">
      <c r="Q168" s="419"/>
      <c r="AG168" s="419"/>
    </row>
    <row r="169" spans="17:33" x14ac:dyDescent="0.2">
      <c r="Q169" s="419"/>
      <c r="AG169" s="419"/>
    </row>
    <row r="170" spans="17:33" x14ac:dyDescent="0.2">
      <c r="Q170" s="419"/>
      <c r="AG170" s="419"/>
    </row>
    <row r="171" spans="17:33" x14ac:dyDescent="0.2">
      <c r="Q171" s="419"/>
      <c r="AG171" s="419"/>
    </row>
    <row r="172" spans="17:33" x14ac:dyDescent="0.2">
      <c r="Q172" s="419"/>
      <c r="AG172" s="419"/>
    </row>
    <row r="173" spans="17:33" x14ac:dyDescent="0.2">
      <c r="Q173" s="419"/>
      <c r="AG173" s="419"/>
    </row>
    <row r="174" spans="17:33" x14ac:dyDescent="0.2">
      <c r="Q174" s="419"/>
      <c r="AG174" s="419"/>
    </row>
    <row r="175" spans="17:33" x14ac:dyDescent="0.2">
      <c r="Q175" s="419"/>
      <c r="AG175" s="419"/>
    </row>
    <row r="176" spans="17:33" x14ac:dyDescent="0.2">
      <c r="Q176" s="419"/>
      <c r="AG176" s="419"/>
    </row>
    <row r="177" spans="17:33" x14ac:dyDescent="0.2">
      <c r="Q177" s="419"/>
      <c r="AG177" s="419"/>
    </row>
    <row r="178" spans="17:33" x14ac:dyDescent="0.2">
      <c r="Q178" s="419"/>
      <c r="AG178" s="419"/>
    </row>
    <row r="179" spans="17:33" x14ac:dyDescent="0.2">
      <c r="Q179" s="419"/>
      <c r="AG179" s="419"/>
    </row>
    <row r="180" spans="17:33" x14ac:dyDescent="0.2">
      <c r="Q180" s="419"/>
      <c r="AG180" s="419"/>
    </row>
    <row r="181" spans="17:33" x14ac:dyDescent="0.2">
      <c r="Q181" s="419"/>
      <c r="AG181" s="419"/>
    </row>
    <row r="182" spans="17:33" x14ac:dyDescent="0.2">
      <c r="Q182" s="419"/>
      <c r="AG182" s="419"/>
    </row>
    <row r="183" spans="17:33" x14ac:dyDescent="0.2">
      <c r="Q183" s="419"/>
      <c r="AG183" s="419"/>
    </row>
    <row r="184" spans="17:33" x14ac:dyDescent="0.2">
      <c r="Q184" s="419"/>
      <c r="AG184" s="419"/>
    </row>
    <row r="185" spans="17:33" x14ac:dyDescent="0.2">
      <c r="Q185" s="419"/>
      <c r="AG185" s="419"/>
    </row>
    <row r="186" spans="17:33" x14ac:dyDescent="0.2">
      <c r="Q186" s="419"/>
      <c r="AG186" s="419"/>
    </row>
    <row r="187" spans="17:33" x14ac:dyDescent="0.2">
      <c r="Q187" s="419"/>
      <c r="AG187" s="419"/>
    </row>
    <row r="188" spans="17:33" x14ac:dyDescent="0.2">
      <c r="Q188" s="419"/>
      <c r="AG188" s="419"/>
    </row>
    <row r="189" spans="17:33" x14ac:dyDescent="0.2">
      <c r="Q189" s="419"/>
      <c r="AG189" s="419"/>
    </row>
    <row r="190" spans="17:33" x14ac:dyDescent="0.2">
      <c r="Q190" s="419"/>
      <c r="AG190" s="419"/>
    </row>
    <row r="191" spans="17:33" x14ac:dyDescent="0.2">
      <c r="Q191" s="419"/>
      <c r="AG191" s="419"/>
    </row>
    <row r="192" spans="17:33" x14ac:dyDescent="0.2">
      <c r="Q192" s="419"/>
      <c r="AG192" s="419"/>
    </row>
    <row r="193" spans="17:33" x14ac:dyDescent="0.2">
      <c r="Q193" s="419"/>
      <c r="AG193" s="419"/>
    </row>
    <row r="194" spans="17:33" x14ac:dyDescent="0.2">
      <c r="Q194" s="419"/>
      <c r="AG194" s="419"/>
    </row>
    <row r="195" spans="17:33" x14ac:dyDescent="0.2">
      <c r="Q195" s="419"/>
      <c r="AG195" s="419"/>
    </row>
    <row r="196" spans="17:33" x14ac:dyDescent="0.2">
      <c r="Q196" s="419"/>
      <c r="AG196" s="419"/>
    </row>
    <row r="197" spans="17:33" x14ac:dyDescent="0.2">
      <c r="Q197" s="419"/>
      <c r="AG197" s="419"/>
    </row>
    <row r="198" spans="17:33" x14ac:dyDescent="0.2">
      <c r="Q198" s="419"/>
      <c r="AG198" s="419"/>
    </row>
    <row r="199" spans="17:33" x14ac:dyDescent="0.2">
      <c r="Q199" s="419"/>
      <c r="AG199" s="419"/>
    </row>
    <row r="200" spans="17:33" x14ac:dyDescent="0.2">
      <c r="Q200" s="419"/>
      <c r="AG200" s="419"/>
    </row>
    <row r="201" spans="17:33" x14ac:dyDescent="0.2">
      <c r="Q201" s="419"/>
      <c r="AG201" s="419"/>
    </row>
    <row r="202" spans="17:33" x14ac:dyDescent="0.2">
      <c r="Q202" s="419"/>
      <c r="AG202" s="419"/>
    </row>
    <row r="203" spans="17:33" x14ac:dyDescent="0.2">
      <c r="Q203" s="419"/>
      <c r="AG203" s="419"/>
    </row>
    <row r="204" spans="17:33" x14ac:dyDescent="0.2">
      <c r="Q204" s="419"/>
      <c r="AG204" s="419"/>
    </row>
    <row r="205" spans="17:33" x14ac:dyDescent="0.2">
      <c r="Q205" s="419"/>
      <c r="AG205" s="419"/>
    </row>
    <row r="206" spans="17:33" x14ac:dyDescent="0.2">
      <c r="Q206" s="419"/>
      <c r="AG206" s="419"/>
    </row>
    <row r="207" spans="17:33" x14ac:dyDescent="0.2">
      <c r="Q207" s="419"/>
      <c r="AG207" s="419"/>
    </row>
    <row r="208" spans="17:33" x14ac:dyDescent="0.2">
      <c r="Q208" s="419"/>
      <c r="AG208" s="419"/>
    </row>
    <row r="209" spans="17:33" x14ac:dyDescent="0.2">
      <c r="Q209" s="419"/>
      <c r="AG209" s="419"/>
    </row>
    <row r="210" spans="17:33" x14ac:dyDescent="0.2">
      <c r="Q210" s="419"/>
      <c r="AG210" s="419"/>
    </row>
    <row r="211" spans="17:33" x14ac:dyDescent="0.2">
      <c r="Q211" s="419"/>
      <c r="AG211" s="419"/>
    </row>
    <row r="212" spans="17:33" x14ac:dyDescent="0.2">
      <c r="Q212" s="419"/>
      <c r="AG212" s="419"/>
    </row>
    <row r="213" spans="17:33" x14ac:dyDescent="0.2">
      <c r="Q213" s="419"/>
      <c r="AG213" s="419"/>
    </row>
    <row r="214" spans="17:33" x14ac:dyDescent="0.2">
      <c r="Q214" s="419"/>
      <c r="AG214" s="419"/>
    </row>
    <row r="215" spans="17:33" x14ac:dyDescent="0.2">
      <c r="Q215" s="419"/>
      <c r="AG215" s="419"/>
    </row>
    <row r="216" spans="17:33" x14ac:dyDescent="0.2">
      <c r="Q216" s="419"/>
      <c r="AG216" s="419"/>
    </row>
    <row r="217" spans="17:33" x14ac:dyDescent="0.2">
      <c r="Q217" s="419"/>
      <c r="AG217" s="419"/>
    </row>
    <row r="218" spans="17:33" x14ac:dyDescent="0.2">
      <c r="Q218" s="419"/>
      <c r="AG218" s="419"/>
    </row>
    <row r="219" spans="17:33" x14ac:dyDescent="0.2">
      <c r="Q219" s="419"/>
      <c r="AG219" s="419"/>
    </row>
    <row r="220" spans="17:33" x14ac:dyDescent="0.2">
      <c r="Q220" s="419"/>
      <c r="AG220" s="419"/>
    </row>
    <row r="221" spans="17:33" x14ac:dyDescent="0.2">
      <c r="Q221" s="419"/>
      <c r="AG221" s="419"/>
    </row>
    <row r="222" spans="17:33" x14ac:dyDescent="0.2">
      <c r="Q222" s="419"/>
      <c r="AG222" s="419"/>
    </row>
    <row r="223" spans="17:33" x14ac:dyDescent="0.2">
      <c r="Q223" s="419"/>
      <c r="AG223" s="419"/>
    </row>
    <row r="224" spans="17:33" x14ac:dyDescent="0.2">
      <c r="Q224" s="419"/>
      <c r="AG224" s="419"/>
    </row>
    <row r="225" spans="17:33" x14ac:dyDescent="0.2">
      <c r="Q225" s="419"/>
      <c r="AG225" s="419"/>
    </row>
    <row r="226" spans="17:33" x14ac:dyDescent="0.2">
      <c r="Q226" s="419"/>
      <c r="AG226" s="419"/>
    </row>
    <row r="227" spans="17:33" x14ac:dyDescent="0.2">
      <c r="Q227" s="419"/>
      <c r="AG227" s="419"/>
    </row>
    <row r="228" spans="17:33" x14ac:dyDescent="0.2">
      <c r="Q228" s="419"/>
      <c r="AG228" s="419"/>
    </row>
    <row r="229" spans="17:33" x14ac:dyDescent="0.2">
      <c r="Q229" s="419"/>
      <c r="AG229" s="419"/>
    </row>
    <row r="230" spans="17:33" x14ac:dyDescent="0.2">
      <c r="Q230" s="419"/>
      <c r="AG230" s="419"/>
    </row>
    <row r="231" spans="17:33" x14ac:dyDescent="0.2">
      <c r="Q231" s="419"/>
      <c r="AG231" s="419"/>
    </row>
    <row r="232" spans="17:33" x14ac:dyDescent="0.2">
      <c r="Q232" s="419"/>
      <c r="AG232" s="419"/>
    </row>
    <row r="233" spans="17:33" x14ac:dyDescent="0.2">
      <c r="Q233" s="419"/>
      <c r="AG233" s="419"/>
    </row>
    <row r="234" spans="17:33" x14ac:dyDescent="0.2">
      <c r="Q234" s="419"/>
      <c r="AG234" s="419"/>
    </row>
    <row r="235" spans="17:33" x14ac:dyDescent="0.2">
      <c r="Q235" s="419"/>
      <c r="AG235" s="419"/>
    </row>
    <row r="236" spans="17:33" x14ac:dyDescent="0.2">
      <c r="Q236" s="419"/>
      <c r="AG236" s="419"/>
    </row>
    <row r="237" spans="17:33" x14ac:dyDescent="0.2">
      <c r="Q237" s="419"/>
      <c r="AG237" s="419"/>
    </row>
    <row r="238" spans="17:33" x14ac:dyDescent="0.2">
      <c r="Q238" s="419"/>
      <c r="AG238" s="419"/>
    </row>
    <row r="239" spans="17:33" x14ac:dyDescent="0.2">
      <c r="Q239" s="419"/>
      <c r="AG239" s="419"/>
    </row>
    <row r="240" spans="17:33" x14ac:dyDescent="0.2">
      <c r="Q240" s="419"/>
      <c r="AG240" s="419"/>
    </row>
    <row r="241" spans="17:33" x14ac:dyDescent="0.2">
      <c r="Q241" s="419"/>
      <c r="AG241" s="419"/>
    </row>
    <row r="242" spans="17:33" x14ac:dyDescent="0.2">
      <c r="Q242" s="419"/>
      <c r="AG242" s="419"/>
    </row>
    <row r="243" spans="17:33" x14ac:dyDescent="0.2">
      <c r="Q243" s="419"/>
      <c r="AG243" s="419"/>
    </row>
    <row r="244" spans="17:33" x14ac:dyDescent="0.2">
      <c r="Q244" s="419"/>
      <c r="AG244" s="419"/>
    </row>
    <row r="245" spans="17:33" x14ac:dyDescent="0.2">
      <c r="Q245" s="419"/>
      <c r="AG245" s="419"/>
    </row>
    <row r="246" spans="17:33" x14ac:dyDescent="0.2">
      <c r="Q246" s="419"/>
      <c r="AG246" s="419"/>
    </row>
    <row r="247" spans="17:33" x14ac:dyDescent="0.2">
      <c r="Q247" s="419"/>
      <c r="AG247" s="419"/>
    </row>
    <row r="248" spans="17:33" x14ac:dyDescent="0.2">
      <c r="Q248" s="419"/>
      <c r="AG248" s="419"/>
    </row>
    <row r="249" spans="17:33" x14ac:dyDescent="0.2">
      <c r="Q249" s="419"/>
      <c r="AG249" s="419"/>
    </row>
    <row r="250" spans="17:33" x14ac:dyDescent="0.2">
      <c r="Q250" s="419"/>
      <c r="AG250" s="419"/>
    </row>
    <row r="251" spans="17:33" x14ac:dyDescent="0.2">
      <c r="Q251" s="419"/>
      <c r="AG251" s="419"/>
    </row>
    <row r="252" spans="17:33" x14ac:dyDescent="0.2">
      <c r="Q252" s="419"/>
      <c r="AG252" s="419"/>
    </row>
    <row r="253" spans="17:33" x14ac:dyDescent="0.2">
      <c r="Q253" s="419"/>
      <c r="AG253" s="419"/>
    </row>
    <row r="254" spans="17:33" x14ac:dyDescent="0.2">
      <c r="Q254" s="419"/>
      <c r="AG254" s="419"/>
    </row>
    <row r="255" spans="17:33" x14ac:dyDescent="0.2">
      <c r="Q255" s="419"/>
      <c r="AG255" s="419"/>
    </row>
    <row r="256" spans="17:33" x14ac:dyDescent="0.2">
      <c r="Q256" s="419"/>
      <c r="AG256" s="419"/>
    </row>
    <row r="257" spans="17:33" x14ac:dyDescent="0.2">
      <c r="Q257" s="419"/>
      <c r="AG257" s="419"/>
    </row>
    <row r="258" spans="17:33" x14ac:dyDescent="0.2">
      <c r="Q258" s="419"/>
      <c r="AG258" s="419"/>
    </row>
    <row r="259" spans="17:33" x14ac:dyDescent="0.2">
      <c r="Q259" s="419"/>
      <c r="AG259" s="419"/>
    </row>
    <row r="260" spans="17:33" x14ac:dyDescent="0.2">
      <c r="Q260" s="419"/>
      <c r="AG260" s="419"/>
    </row>
    <row r="261" spans="17:33" x14ac:dyDescent="0.2">
      <c r="Q261" s="419"/>
      <c r="AG261" s="419"/>
    </row>
    <row r="262" spans="17:33" x14ac:dyDescent="0.2">
      <c r="Q262" s="419"/>
      <c r="AG262" s="419"/>
    </row>
    <row r="263" spans="17:33" x14ac:dyDescent="0.2">
      <c r="Q263" s="419"/>
      <c r="AG263" s="419"/>
    </row>
    <row r="264" spans="17:33" x14ac:dyDescent="0.2">
      <c r="Q264" s="419"/>
      <c r="AG264" s="419"/>
    </row>
    <row r="265" spans="17:33" x14ac:dyDescent="0.2">
      <c r="Q265" s="419"/>
      <c r="AG265" s="419"/>
    </row>
    <row r="266" spans="17:33" x14ac:dyDescent="0.2">
      <c r="Q266" s="419"/>
      <c r="AG266" s="419"/>
    </row>
    <row r="267" spans="17:33" x14ac:dyDescent="0.2">
      <c r="Q267" s="419"/>
      <c r="AG267" s="419"/>
    </row>
    <row r="268" spans="17:33" x14ac:dyDescent="0.2">
      <c r="Q268" s="419"/>
      <c r="AG268" s="419"/>
    </row>
    <row r="269" spans="17:33" x14ac:dyDescent="0.2">
      <c r="Q269" s="419"/>
      <c r="AG269" s="419"/>
    </row>
    <row r="270" spans="17:33" x14ac:dyDescent="0.2">
      <c r="Q270" s="419"/>
      <c r="AG270" s="419"/>
    </row>
    <row r="271" spans="17:33" x14ac:dyDescent="0.2">
      <c r="Q271" s="419"/>
      <c r="AG271" s="419"/>
    </row>
    <row r="272" spans="17:33" x14ac:dyDescent="0.2">
      <c r="Q272" s="419"/>
      <c r="AG272" s="419"/>
    </row>
    <row r="273" spans="17:33" x14ac:dyDescent="0.2">
      <c r="Q273" s="419"/>
      <c r="AG273" s="419"/>
    </row>
    <row r="274" spans="17:33" x14ac:dyDescent="0.2">
      <c r="Q274" s="419"/>
      <c r="AG274" s="419"/>
    </row>
    <row r="275" spans="17:33" x14ac:dyDescent="0.2">
      <c r="Q275" s="419"/>
      <c r="AG275" s="419"/>
    </row>
    <row r="276" spans="17:33" x14ac:dyDescent="0.2">
      <c r="Q276" s="419"/>
      <c r="AG276" s="419"/>
    </row>
    <row r="277" spans="17:33" x14ac:dyDescent="0.2">
      <c r="Q277" s="419"/>
      <c r="AG277" s="419"/>
    </row>
    <row r="278" spans="17:33" x14ac:dyDescent="0.2">
      <c r="Q278" s="419"/>
      <c r="AG278" s="419"/>
    </row>
    <row r="279" spans="17:33" x14ac:dyDescent="0.2">
      <c r="Q279" s="419"/>
      <c r="AG279" s="419"/>
    </row>
    <row r="280" spans="17:33" x14ac:dyDescent="0.2">
      <c r="Q280" s="419"/>
      <c r="AG280" s="419"/>
    </row>
    <row r="281" spans="17:33" x14ac:dyDescent="0.2">
      <c r="Q281" s="419"/>
      <c r="AG281" s="419"/>
    </row>
    <row r="282" spans="17:33" x14ac:dyDescent="0.2">
      <c r="Q282" s="419"/>
      <c r="AG282" s="419"/>
    </row>
    <row r="283" spans="17:33" x14ac:dyDescent="0.2">
      <c r="Q283" s="419"/>
      <c r="AG283" s="419"/>
    </row>
    <row r="284" spans="17:33" x14ac:dyDescent="0.2">
      <c r="Q284" s="419"/>
      <c r="AG284" s="419"/>
    </row>
    <row r="285" spans="17:33" x14ac:dyDescent="0.2">
      <c r="Q285" s="419"/>
      <c r="AG285" s="419"/>
    </row>
    <row r="286" spans="17:33" x14ac:dyDescent="0.2">
      <c r="Q286" s="419"/>
      <c r="AG286" s="419"/>
    </row>
    <row r="287" spans="17:33" x14ac:dyDescent="0.2">
      <c r="Q287" s="419"/>
      <c r="AG287" s="419"/>
    </row>
    <row r="288" spans="17:33" x14ac:dyDescent="0.2">
      <c r="Q288" s="419"/>
      <c r="AG288" s="419"/>
    </row>
    <row r="289" spans="17:33" x14ac:dyDescent="0.2">
      <c r="Q289" s="419"/>
      <c r="AG289" s="419"/>
    </row>
    <row r="290" spans="17:33" x14ac:dyDescent="0.2">
      <c r="Q290" s="419"/>
      <c r="AG290" s="419"/>
    </row>
    <row r="291" spans="17:33" x14ac:dyDescent="0.2">
      <c r="Q291" s="419"/>
      <c r="AG291" s="419"/>
    </row>
    <row r="292" spans="17:33" x14ac:dyDescent="0.2">
      <c r="Q292" s="419"/>
      <c r="AG292" s="419"/>
    </row>
    <row r="293" spans="17:33" x14ac:dyDescent="0.2">
      <c r="Q293" s="419"/>
      <c r="AG293" s="419"/>
    </row>
    <row r="294" spans="17:33" x14ac:dyDescent="0.2">
      <c r="Q294" s="419"/>
      <c r="AG294" s="419"/>
    </row>
    <row r="295" spans="17:33" x14ac:dyDescent="0.2">
      <c r="Q295" s="419"/>
      <c r="AG295" s="419"/>
    </row>
    <row r="296" spans="17:33" x14ac:dyDescent="0.2">
      <c r="Q296" s="419"/>
      <c r="AG296" s="419"/>
    </row>
    <row r="297" spans="17:33" x14ac:dyDescent="0.2">
      <c r="Q297" s="419"/>
      <c r="AG297" s="419"/>
    </row>
    <row r="298" spans="17:33" x14ac:dyDescent="0.2">
      <c r="Q298" s="419"/>
      <c r="AG298" s="419"/>
    </row>
    <row r="299" spans="17:33" x14ac:dyDescent="0.2">
      <c r="Q299" s="419"/>
      <c r="AG299" s="419"/>
    </row>
    <row r="300" spans="17:33" x14ac:dyDescent="0.2">
      <c r="Q300" s="419"/>
      <c r="AG300" s="419"/>
    </row>
    <row r="301" spans="17:33" x14ac:dyDescent="0.2">
      <c r="Q301" s="419"/>
      <c r="AG301" s="419"/>
    </row>
    <row r="302" spans="17:33" x14ac:dyDescent="0.2">
      <c r="Q302" s="419"/>
      <c r="AG302" s="419"/>
    </row>
    <row r="303" spans="17:33" x14ac:dyDescent="0.2">
      <c r="Q303" s="419"/>
      <c r="AG303" s="419"/>
    </row>
    <row r="304" spans="17:33" x14ac:dyDescent="0.2">
      <c r="Q304" s="419"/>
      <c r="AG304" s="419"/>
    </row>
    <row r="305" spans="17:33" x14ac:dyDescent="0.2">
      <c r="Q305" s="419"/>
      <c r="AG305" s="419"/>
    </row>
    <row r="306" spans="17:33" x14ac:dyDescent="0.2">
      <c r="Q306" s="419"/>
      <c r="AG306" s="419"/>
    </row>
    <row r="307" spans="17:33" x14ac:dyDescent="0.2">
      <c r="Q307" s="419"/>
      <c r="AG307" s="419"/>
    </row>
    <row r="308" spans="17:33" x14ac:dyDescent="0.2">
      <c r="Q308" s="419"/>
      <c r="AG308" s="419"/>
    </row>
    <row r="309" spans="17:33" x14ac:dyDescent="0.2">
      <c r="Q309" s="419"/>
      <c r="AG309" s="419"/>
    </row>
    <row r="310" spans="17:33" x14ac:dyDescent="0.2">
      <c r="Q310" s="419"/>
      <c r="AG310" s="419"/>
    </row>
    <row r="311" spans="17:33" x14ac:dyDescent="0.2">
      <c r="Q311" s="419"/>
      <c r="AG311" s="419"/>
    </row>
    <row r="312" spans="17:33" x14ac:dyDescent="0.2">
      <c r="Q312" s="419"/>
      <c r="AG312" s="419"/>
    </row>
    <row r="313" spans="17:33" x14ac:dyDescent="0.2">
      <c r="Q313" s="419"/>
      <c r="AG313" s="419"/>
    </row>
    <row r="314" spans="17:33" x14ac:dyDescent="0.2">
      <c r="Q314" s="419"/>
      <c r="AG314" s="419"/>
    </row>
    <row r="315" spans="17:33" x14ac:dyDescent="0.2">
      <c r="Q315" s="419"/>
      <c r="AG315" s="419"/>
    </row>
    <row r="316" spans="17:33" x14ac:dyDescent="0.2">
      <c r="Q316" s="419"/>
      <c r="AG316" s="419"/>
    </row>
    <row r="317" spans="17:33" x14ac:dyDescent="0.2">
      <c r="Q317" s="419"/>
      <c r="AG317" s="419"/>
    </row>
    <row r="318" spans="17:33" x14ac:dyDescent="0.2">
      <c r="Q318" s="419"/>
      <c r="AG318" s="419"/>
    </row>
    <row r="319" spans="17:33" x14ac:dyDescent="0.2">
      <c r="Q319" s="419"/>
      <c r="AG319" s="419"/>
    </row>
    <row r="320" spans="17:33" x14ac:dyDescent="0.2">
      <c r="Q320" s="419"/>
      <c r="AG320" s="419"/>
    </row>
    <row r="321" spans="17:33" x14ac:dyDescent="0.2">
      <c r="Q321" s="419"/>
      <c r="AG321" s="419"/>
    </row>
    <row r="322" spans="17:33" x14ac:dyDescent="0.2">
      <c r="Q322" s="419"/>
      <c r="AG322" s="419"/>
    </row>
    <row r="323" spans="17:33" x14ac:dyDescent="0.2">
      <c r="Q323" s="419"/>
      <c r="AG323" s="419"/>
    </row>
    <row r="324" spans="17:33" x14ac:dyDescent="0.2">
      <c r="Q324" s="419"/>
      <c r="AG324" s="419"/>
    </row>
    <row r="325" spans="17:33" x14ac:dyDescent="0.2">
      <c r="Q325" s="419"/>
      <c r="AG325" s="419"/>
    </row>
    <row r="326" spans="17:33" x14ac:dyDescent="0.2">
      <c r="Q326" s="419"/>
      <c r="AG326" s="419"/>
    </row>
    <row r="327" spans="17:33" x14ac:dyDescent="0.2">
      <c r="Q327" s="419"/>
      <c r="AG327" s="419"/>
    </row>
    <row r="328" spans="17:33" x14ac:dyDescent="0.2">
      <c r="Q328" s="419"/>
      <c r="AG328" s="419"/>
    </row>
    <row r="329" spans="17:33" x14ac:dyDescent="0.2">
      <c r="Q329" s="419"/>
      <c r="AG329" s="419"/>
    </row>
    <row r="330" spans="17:33" x14ac:dyDescent="0.2">
      <c r="Q330" s="419"/>
      <c r="AG330" s="419"/>
    </row>
    <row r="331" spans="17:33" x14ac:dyDescent="0.2">
      <c r="Q331" s="419"/>
      <c r="AG331" s="419"/>
    </row>
    <row r="332" spans="17:33" x14ac:dyDescent="0.2">
      <c r="Q332" s="419"/>
      <c r="AG332" s="419"/>
    </row>
    <row r="333" spans="17:33" x14ac:dyDescent="0.2">
      <c r="Q333" s="419"/>
      <c r="AG333" s="419"/>
    </row>
    <row r="334" spans="17:33" x14ac:dyDescent="0.2">
      <c r="Q334" s="419"/>
      <c r="AG334" s="419"/>
    </row>
    <row r="335" spans="17:33" x14ac:dyDescent="0.2">
      <c r="Q335" s="419"/>
      <c r="AG335" s="419"/>
    </row>
    <row r="336" spans="17:33" x14ac:dyDescent="0.2">
      <c r="Q336" s="419"/>
      <c r="AG336" s="419"/>
    </row>
    <row r="337" spans="17:33" x14ac:dyDescent="0.2">
      <c r="Q337" s="419"/>
      <c r="AG337" s="419"/>
    </row>
    <row r="338" spans="17:33" x14ac:dyDescent="0.2">
      <c r="Q338" s="419"/>
      <c r="AG338" s="419"/>
    </row>
    <row r="339" spans="17:33" x14ac:dyDescent="0.2">
      <c r="Q339" s="419"/>
      <c r="AG339" s="419"/>
    </row>
    <row r="340" spans="17:33" x14ac:dyDescent="0.2">
      <c r="Q340" s="419"/>
      <c r="AG340" s="419"/>
    </row>
    <row r="341" spans="17:33" x14ac:dyDescent="0.2">
      <c r="Q341" s="419"/>
      <c r="AG341" s="419"/>
    </row>
    <row r="342" spans="17:33" x14ac:dyDescent="0.2">
      <c r="Q342" s="419"/>
      <c r="AG342" s="419"/>
    </row>
    <row r="343" spans="17:33" x14ac:dyDescent="0.2">
      <c r="Q343" s="419"/>
      <c r="AG343" s="419"/>
    </row>
    <row r="344" spans="17:33" x14ac:dyDescent="0.2">
      <c r="Q344" s="419"/>
      <c r="AG344" s="419"/>
    </row>
    <row r="345" spans="17:33" x14ac:dyDescent="0.2">
      <c r="Q345" s="419"/>
      <c r="AG345" s="419"/>
    </row>
    <row r="346" spans="17:33" x14ac:dyDescent="0.2">
      <c r="Q346" s="419"/>
      <c r="AG346" s="419"/>
    </row>
    <row r="347" spans="17:33" x14ac:dyDescent="0.2">
      <c r="Q347" s="419"/>
      <c r="AG347" s="419"/>
    </row>
    <row r="348" spans="17:33" x14ac:dyDescent="0.2">
      <c r="Q348" s="419"/>
      <c r="AG348" s="419"/>
    </row>
    <row r="349" spans="17:33" x14ac:dyDescent="0.2">
      <c r="Q349" s="419"/>
      <c r="AG349" s="419"/>
    </row>
    <row r="350" spans="17:33" x14ac:dyDescent="0.2">
      <c r="Q350" s="419"/>
      <c r="AG350" s="419"/>
    </row>
    <row r="351" spans="17:33" x14ac:dyDescent="0.2">
      <c r="Q351" s="419"/>
      <c r="AG351" s="419"/>
    </row>
    <row r="352" spans="17:33" x14ac:dyDescent="0.2">
      <c r="Q352" s="419"/>
      <c r="AG352" s="419"/>
    </row>
    <row r="353" spans="17:33" x14ac:dyDescent="0.2">
      <c r="Q353" s="419"/>
      <c r="AG353" s="419"/>
    </row>
    <row r="354" spans="17:33" x14ac:dyDescent="0.2">
      <c r="Q354" s="419"/>
      <c r="AG354" s="419"/>
    </row>
    <row r="355" spans="17:33" x14ac:dyDescent="0.2">
      <c r="Q355" s="419"/>
      <c r="AG355" s="419"/>
    </row>
    <row r="356" spans="17:33" x14ac:dyDescent="0.2">
      <c r="Q356" s="419"/>
      <c r="AG356" s="419"/>
    </row>
    <row r="357" spans="17:33" x14ac:dyDescent="0.2">
      <c r="Q357" s="419"/>
      <c r="AG357" s="419"/>
    </row>
    <row r="358" spans="17:33" x14ac:dyDescent="0.2">
      <c r="Q358" s="419"/>
      <c r="AG358" s="419"/>
    </row>
    <row r="359" spans="17:33" x14ac:dyDescent="0.2">
      <c r="Q359" s="419"/>
      <c r="AG359" s="419"/>
    </row>
    <row r="360" spans="17:33" x14ac:dyDescent="0.2">
      <c r="Q360" s="419"/>
      <c r="AG360" s="419"/>
    </row>
    <row r="361" spans="17:33" x14ac:dyDescent="0.2">
      <c r="Q361" s="419"/>
      <c r="AG361" s="419"/>
    </row>
    <row r="362" spans="17:33" x14ac:dyDescent="0.2">
      <c r="Q362" s="419"/>
      <c r="AG362" s="419"/>
    </row>
    <row r="363" spans="17:33" x14ac:dyDescent="0.2">
      <c r="Q363" s="419"/>
      <c r="AG363" s="419"/>
    </row>
    <row r="364" spans="17:33" x14ac:dyDescent="0.2">
      <c r="Q364" s="419"/>
      <c r="AG364" s="419"/>
    </row>
    <row r="365" spans="17:33" x14ac:dyDescent="0.2">
      <c r="Q365" s="419"/>
      <c r="AG365" s="419"/>
    </row>
    <row r="366" spans="17:33" x14ac:dyDescent="0.2">
      <c r="Q366" s="419"/>
      <c r="AG366" s="419"/>
    </row>
    <row r="367" spans="17:33" x14ac:dyDescent="0.2">
      <c r="Q367" s="419"/>
      <c r="AG367" s="419"/>
    </row>
    <row r="368" spans="17:33" x14ac:dyDescent="0.2">
      <c r="Q368" s="419"/>
      <c r="AG368" s="419"/>
    </row>
    <row r="369" spans="17:33" x14ac:dyDescent="0.2">
      <c r="Q369" s="419"/>
      <c r="AG369" s="419"/>
    </row>
    <row r="370" spans="17:33" x14ac:dyDescent="0.2">
      <c r="Q370" s="419"/>
      <c r="AG370" s="419"/>
    </row>
    <row r="371" spans="17:33" x14ac:dyDescent="0.2">
      <c r="Q371" s="419"/>
      <c r="AG371" s="419"/>
    </row>
    <row r="372" spans="17:33" x14ac:dyDescent="0.2">
      <c r="Q372" s="419"/>
      <c r="AG372" s="419"/>
    </row>
    <row r="373" spans="17:33" x14ac:dyDescent="0.2">
      <c r="Q373" s="419"/>
      <c r="AG373" s="419"/>
    </row>
    <row r="374" spans="17:33" x14ac:dyDescent="0.2">
      <c r="Q374" s="419"/>
      <c r="AG374" s="419"/>
    </row>
    <row r="375" spans="17:33" x14ac:dyDescent="0.2">
      <c r="Q375" s="419"/>
      <c r="AG375" s="419"/>
    </row>
    <row r="376" spans="17:33" x14ac:dyDescent="0.2">
      <c r="Q376" s="419"/>
      <c r="AG376" s="419"/>
    </row>
    <row r="377" spans="17:33" x14ac:dyDescent="0.2">
      <c r="Q377" s="419"/>
      <c r="AG377" s="419"/>
    </row>
    <row r="378" spans="17:33" x14ac:dyDescent="0.2">
      <c r="Q378" s="419"/>
      <c r="AG378" s="419"/>
    </row>
    <row r="379" spans="17:33" x14ac:dyDescent="0.2">
      <c r="Q379" s="419"/>
      <c r="AG379" s="419"/>
    </row>
    <row r="380" spans="17:33" x14ac:dyDescent="0.2">
      <c r="Q380" s="419"/>
      <c r="AG380" s="419"/>
    </row>
    <row r="381" spans="17:33" x14ac:dyDescent="0.2">
      <c r="Q381" s="419"/>
      <c r="AG381" s="419"/>
    </row>
    <row r="382" spans="17:33" x14ac:dyDescent="0.2">
      <c r="Q382" s="419"/>
      <c r="AG382" s="419"/>
    </row>
    <row r="383" spans="17:33" x14ac:dyDescent="0.2">
      <c r="Q383" s="419"/>
      <c r="AG383" s="419"/>
    </row>
    <row r="384" spans="17:33" x14ac:dyDescent="0.2">
      <c r="Q384" s="419"/>
      <c r="AG384" s="419"/>
    </row>
    <row r="385" spans="17:33" x14ac:dyDescent="0.2">
      <c r="Q385" s="419"/>
      <c r="AG385" s="419"/>
    </row>
    <row r="386" spans="17:33" x14ac:dyDescent="0.2">
      <c r="Q386" s="419"/>
      <c r="AG386" s="419"/>
    </row>
    <row r="387" spans="17:33" x14ac:dyDescent="0.2">
      <c r="Q387" s="419"/>
      <c r="AG387" s="419"/>
    </row>
    <row r="388" spans="17:33" x14ac:dyDescent="0.2">
      <c r="Q388" s="419"/>
      <c r="AG388" s="419"/>
    </row>
    <row r="389" spans="17:33" x14ac:dyDescent="0.2">
      <c r="Q389" s="419"/>
      <c r="AG389" s="419"/>
    </row>
    <row r="390" spans="17:33" x14ac:dyDescent="0.2">
      <c r="Q390" s="419"/>
      <c r="AG390" s="419"/>
    </row>
    <row r="391" spans="17:33" x14ac:dyDescent="0.2">
      <c r="Q391" s="419"/>
      <c r="AG391" s="419"/>
    </row>
    <row r="392" spans="17:33" x14ac:dyDescent="0.2">
      <c r="Q392" s="419"/>
      <c r="AG392" s="419"/>
    </row>
    <row r="393" spans="17:33" x14ac:dyDescent="0.2">
      <c r="Q393" s="419"/>
      <c r="AG393" s="419"/>
    </row>
    <row r="394" spans="17:33" x14ac:dyDescent="0.2">
      <c r="Q394" s="419"/>
      <c r="AG394" s="419"/>
    </row>
    <row r="395" spans="17:33" x14ac:dyDescent="0.2">
      <c r="Q395" s="419"/>
      <c r="AG395" s="419"/>
    </row>
    <row r="396" spans="17:33" x14ac:dyDescent="0.2">
      <c r="Q396" s="419"/>
      <c r="AG396" s="419"/>
    </row>
    <row r="397" spans="17:33" x14ac:dyDescent="0.2">
      <c r="Q397" s="419"/>
      <c r="AG397" s="419"/>
    </row>
    <row r="398" spans="17:33" x14ac:dyDescent="0.2">
      <c r="Q398" s="419"/>
      <c r="AG398" s="419"/>
    </row>
    <row r="399" spans="17:33" x14ac:dyDescent="0.2">
      <c r="Q399" s="419"/>
      <c r="AG399" s="419"/>
    </row>
    <row r="400" spans="17:33" x14ac:dyDescent="0.2">
      <c r="Q400" s="419"/>
      <c r="AG400" s="419"/>
    </row>
    <row r="401" spans="17:33" x14ac:dyDescent="0.2">
      <c r="Q401" s="419"/>
      <c r="AG401" s="419"/>
    </row>
    <row r="402" spans="17:33" x14ac:dyDescent="0.2">
      <c r="Q402" s="419"/>
      <c r="AG402" s="419"/>
    </row>
    <row r="403" spans="17:33" x14ac:dyDescent="0.2">
      <c r="Q403" s="419"/>
      <c r="AG403" s="419"/>
    </row>
    <row r="404" spans="17:33" x14ac:dyDescent="0.2">
      <c r="Q404" s="419"/>
      <c r="AG404" s="419"/>
    </row>
    <row r="405" spans="17:33" x14ac:dyDescent="0.2">
      <c r="Q405" s="419"/>
      <c r="AG405" s="419"/>
    </row>
    <row r="406" spans="17:33" x14ac:dyDescent="0.2">
      <c r="Q406" s="419"/>
      <c r="AG406" s="419"/>
    </row>
    <row r="407" spans="17:33" x14ac:dyDescent="0.2">
      <c r="Q407" s="419"/>
      <c r="AG407" s="419"/>
    </row>
    <row r="408" spans="17:33" x14ac:dyDescent="0.2">
      <c r="Q408" s="419"/>
      <c r="AG408" s="419"/>
    </row>
    <row r="409" spans="17:33" x14ac:dyDescent="0.2">
      <c r="Q409" s="419"/>
      <c r="AG409" s="419"/>
    </row>
    <row r="410" spans="17:33" x14ac:dyDescent="0.2">
      <c r="Q410" s="419"/>
      <c r="AG410" s="419"/>
    </row>
    <row r="411" spans="17:33" x14ac:dyDescent="0.2">
      <c r="Q411" s="419"/>
      <c r="AG411" s="419"/>
    </row>
    <row r="412" spans="17:33" x14ac:dyDescent="0.2">
      <c r="Q412" s="419"/>
      <c r="AG412" s="419"/>
    </row>
    <row r="413" spans="17:33" x14ac:dyDescent="0.2">
      <c r="Q413" s="419"/>
      <c r="AG413" s="419"/>
    </row>
    <row r="414" spans="17:33" x14ac:dyDescent="0.2">
      <c r="Q414" s="419"/>
      <c r="AG414" s="419"/>
    </row>
    <row r="415" spans="17:33" x14ac:dyDescent="0.2">
      <c r="Q415" s="419"/>
      <c r="AG415" s="419"/>
    </row>
    <row r="416" spans="17:33" x14ac:dyDescent="0.2">
      <c r="Q416" s="419"/>
      <c r="AG416" s="419"/>
    </row>
    <row r="417" spans="17:33" x14ac:dyDescent="0.2">
      <c r="Q417" s="419"/>
      <c r="AG417" s="419"/>
    </row>
    <row r="418" spans="17:33" x14ac:dyDescent="0.2">
      <c r="Q418" s="419"/>
      <c r="AG418" s="419"/>
    </row>
    <row r="419" spans="17:33" x14ac:dyDescent="0.2">
      <c r="Q419" s="419"/>
      <c r="AG419" s="419"/>
    </row>
    <row r="420" spans="17:33" x14ac:dyDescent="0.2">
      <c r="Q420" s="419"/>
      <c r="AG420" s="419"/>
    </row>
    <row r="421" spans="17:33" x14ac:dyDescent="0.2">
      <c r="Q421" s="419"/>
      <c r="AG421" s="419"/>
    </row>
    <row r="422" spans="17:33" x14ac:dyDescent="0.2">
      <c r="Q422" s="419"/>
      <c r="AG422" s="419"/>
    </row>
    <row r="423" spans="17:33" x14ac:dyDescent="0.2">
      <c r="Q423" s="419"/>
      <c r="AG423" s="419"/>
    </row>
    <row r="424" spans="17:33" x14ac:dyDescent="0.2">
      <c r="Q424" s="419"/>
      <c r="AG424" s="419"/>
    </row>
    <row r="425" spans="17:33" x14ac:dyDescent="0.2">
      <c r="Q425" s="419"/>
      <c r="AG425" s="419"/>
    </row>
    <row r="426" spans="17:33" x14ac:dyDescent="0.2">
      <c r="Q426" s="419"/>
      <c r="AG426" s="419"/>
    </row>
    <row r="427" spans="17:33" x14ac:dyDescent="0.2">
      <c r="Q427" s="419"/>
      <c r="AG427" s="419"/>
    </row>
    <row r="428" spans="17:33" x14ac:dyDescent="0.2">
      <c r="Q428" s="419"/>
      <c r="AG428" s="419"/>
    </row>
    <row r="429" spans="17:33" x14ac:dyDescent="0.2">
      <c r="Q429" s="419"/>
      <c r="AG429" s="419"/>
    </row>
    <row r="430" spans="17:33" x14ac:dyDescent="0.2">
      <c r="Q430" s="419"/>
      <c r="AG430" s="419"/>
    </row>
    <row r="431" spans="17:33" x14ac:dyDescent="0.2">
      <c r="Q431" s="419"/>
      <c r="AG431" s="419"/>
    </row>
    <row r="432" spans="17:33" x14ac:dyDescent="0.2">
      <c r="Q432" s="419"/>
      <c r="AG432" s="419"/>
    </row>
    <row r="433" spans="17:33" x14ac:dyDescent="0.2">
      <c r="Q433" s="419"/>
      <c r="AG433" s="419"/>
    </row>
    <row r="434" spans="17:33" x14ac:dyDescent="0.2">
      <c r="Q434" s="419"/>
      <c r="AG434" s="419"/>
    </row>
    <row r="435" spans="17:33" x14ac:dyDescent="0.2">
      <c r="Q435" s="419"/>
      <c r="AG435" s="419"/>
    </row>
    <row r="436" spans="17:33" x14ac:dyDescent="0.2">
      <c r="Q436" s="419"/>
      <c r="AG436" s="419"/>
    </row>
    <row r="437" spans="17:33" x14ac:dyDescent="0.2">
      <c r="Q437" s="419"/>
      <c r="AG437" s="419"/>
    </row>
    <row r="438" spans="17:33" x14ac:dyDescent="0.2">
      <c r="Q438" s="419"/>
      <c r="AG438" s="419"/>
    </row>
    <row r="439" spans="17:33" x14ac:dyDescent="0.2">
      <c r="Q439" s="419"/>
      <c r="AG439" s="419"/>
    </row>
    <row r="440" spans="17:33" x14ac:dyDescent="0.2">
      <c r="Q440" s="419"/>
      <c r="AG440" s="419"/>
    </row>
    <row r="441" spans="17:33" x14ac:dyDescent="0.2">
      <c r="Q441" s="419"/>
      <c r="AG441" s="419"/>
    </row>
    <row r="442" spans="17:33" x14ac:dyDescent="0.2">
      <c r="Q442" s="419"/>
      <c r="AG442" s="419"/>
    </row>
    <row r="443" spans="17:33" x14ac:dyDescent="0.2">
      <c r="Q443" s="419"/>
      <c r="AG443" s="419"/>
    </row>
    <row r="444" spans="17:33" x14ac:dyDescent="0.2">
      <c r="Q444" s="419"/>
      <c r="AG444" s="419"/>
    </row>
    <row r="445" spans="17:33" x14ac:dyDescent="0.2">
      <c r="Q445" s="419"/>
      <c r="AG445" s="419"/>
    </row>
    <row r="446" spans="17:33" x14ac:dyDescent="0.2">
      <c r="Q446" s="419"/>
      <c r="AG446" s="419"/>
    </row>
    <row r="447" spans="17:33" x14ac:dyDescent="0.2">
      <c r="Q447" s="419"/>
      <c r="AG447" s="419"/>
    </row>
    <row r="448" spans="17:33" x14ac:dyDescent="0.2">
      <c r="Q448" s="419"/>
      <c r="AG448" s="419"/>
    </row>
    <row r="449" spans="17:33" x14ac:dyDescent="0.2">
      <c r="Q449" s="419"/>
      <c r="AG449" s="419"/>
    </row>
    <row r="450" spans="17:33" x14ac:dyDescent="0.2">
      <c r="Q450" s="419"/>
      <c r="AG450" s="419"/>
    </row>
    <row r="451" spans="17:33" x14ac:dyDescent="0.2">
      <c r="Q451" s="419"/>
      <c r="AG451" s="419"/>
    </row>
    <row r="452" spans="17:33" x14ac:dyDescent="0.2">
      <c r="Q452" s="419"/>
      <c r="AG452" s="419"/>
    </row>
    <row r="453" spans="17:33" x14ac:dyDescent="0.2">
      <c r="Q453" s="419"/>
      <c r="AG453" s="419"/>
    </row>
    <row r="454" spans="17:33" x14ac:dyDescent="0.2">
      <c r="Q454" s="419"/>
      <c r="AG454" s="419"/>
    </row>
    <row r="455" spans="17:33" x14ac:dyDescent="0.2">
      <c r="Q455" s="419"/>
      <c r="AG455" s="419"/>
    </row>
    <row r="456" spans="17:33" x14ac:dyDescent="0.2">
      <c r="Q456" s="419"/>
      <c r="AG456" s="419"/>
    </row>
    <row r="457" spans="17:33" x14ac:dyDescent="0.2">
      <c r="Q457" s="419"/>
      <c r="AG457" s="419"/>
    </row>
    <row r="458" spans="17:33" x14ac:dyDescent="0.2">
      <c r="Q458" s="419"/>
      <c r="AG458" s="419"/>
    </row>
    <row r="459" spans="17:33" x14ac:dyDescent="0.2">
      <c r="Q459" s="419"/>
      <c r="AG459" s="419"/>
    </row>
    <row r="460" spans="17:33" x14ac:dyDescent="0.2">
      <c r="Q460" s="419"/>
      <c r="AG460" s="419"/>
    </row>
    <row r="461" spans="17:33" x14ac:dyDescent="0.2">
      <c r="Q461" s="419"/>
      <c r="AG461" s="419"/>
    </row>
    <row r="462" spans="17:33" x14ac:dyDescent="0.2">
      <c r="Q462" s="419"/>
      <c r="AG462" s="419"/>
    </row>
    <row r="463" spans="17:33" x14ac:dyDescent="0.2">
      <c r="Q463" s="419"/>
      <c r="AG463" s="419"/>
    </row>
    <row r="464" spans="17:33" x14ac:dyDescent="0.2">
      <c r="Q464" s="419"/>
      <c r="AG464" s="419"/>
    </row>
    <row r="465" spans="17:33" x14ac:dyDescent="0.2">
      <c r="Q465" s="419"/>
      <c r="AG465" s="419"/>
    </row>
    <row r="466" spans="17:33" x14ac:dyDescent="0.2">
      <c r="Q466" s="419"/>
      <c r="AG466" s="419"/>
    </row>
    <row r="467" spans="17:33" x14ac:dyDescent="0.2">
      <c r="Q467" s="419"/>
      <c r="AG467" s="419"/>
    </row>
    <row r="468" spans="17:33" x14ac:dyDescent="0.2">
      <c r="Q468" s="419"/>
      <c r="AG468" s="419"/>
    </row>
    <row r="469" spans="17:33" x14ac:dyDescent="0.2">
      <c r="Q469" s="419"/>
      <c r="AG469" s="419"/>
    </row>
    <row r="470" spans="17:33" x14ac:dyDescent="0.2">
      <c r="Q470" s="419"/>
      <c r="AG470" s="419"/>
    </row>
    <row r="471" spans="17:33" x14ac:dyDescent="0.2">
      <c r="Q471" s="419"/>
      <c r="AG471" s="419"/>
    </row>
    <row r="472" spans="17:33" x14ac:dyDescent="0.2">
      <c r="Q472" s="419"/>
      <c r="AG472" s="419"/>
    </row>
    <row r="473" spans="17:33" x14ac:dyDescent="0.2">
      <c r="Q473" s="419"/>
      <c r="AG473" s="419"/>
    </row>
    <row r="474" spans="17:33" x14ac:dyDescent="0.2">
      <c r="Q474" s="419"/>
      <c r="AG474" s="419"/>
    </row>
    <row r="475" spans="17:33" x14ac:dyDescent="0.2">
      <c r="Q475" s="419"/>
      <c r="AG475" s="419"/>
    </row>
    <row r="476" spans="17:33" x14ac:dyDescent="0.2">
      <c r="Q476" s="419"/>
      <c r="AG476" s="419"/>
    </row>
    <row r="477" spans="17:33" x14ac:dyDescent="0.2">
      <c r="Q477" s="419"/>
      <c r="AG477" s="419"/>
    </row>
    <row r="478" spans="17:33" x14ac:dyDescent="0.2">
      <c r="Q478" s="419"/>
      <c r="AG478" s="419"/>
    </row>
    <row r="479" spans="17:33" x14ac:dyDescent="0.2">
      <c r="Q479" s="419"/>
      <c r="AG479" s="419"/>
    </row>
    <row r="480" spans="17:33" x14ac:dyDescent="0.2">
      <c r="Q480" s="419"/>
      <c r="AG480" s="419"/>
    </row>
    <row r="481" spans="17:33" x14ac:dyDescent="0.2">
      <c r="Q481" s="419"/>
      <c r="AG481" s="419"/>
    </row>
    <row r="482" spans="17:33" x14ac:dyDescent="0.2">
      <c r="Q482" s="419"/>
      <c r="AG482" s="419"/>
    </row>
    <row r="483" spans="17:33" x14ac:dyDescent="0.2">
      <c r="Q483" s="419"/>
      <c r="AG483" s="419"/>
    </row>
    <row r="484" spans="17:33" x14ac:dyDescent="0.2">
      <c r="Q484" s="419"/>
      <c r="AG484" s="419"/>
    </row>
    <row r="485" spans="17:33" x14ac:dyDescent="0.2">
      <c r="Q485" s="419"/>
      <c r="AG485" s="419"/>
    </row>
    <row r="486" spans="17:33" x14ac:dyDescent="0.2">
      <c r="Q486" s="419"/>
      <c r="AG486" s="419"/>
    </row>
    <row r="487" spans="17:33" x14ac:dyDescent="0.2">
      <c r="Q487" s="419"/>
      <c r="AG487" s="419"/>
    </row>
    <row r="488" spans="17:33" x14ac:dyDescent="0.2">
      <c r="Q488" s="419"/>
      <c r="AG488" s="419"/>
    </row>
    <row r="489" spans="17:33" x14ac:dyDescent="0.2">
      <c r="Q489" s="419"/>
      <c r="AG489" s="419"/>
    </row>
    <row r="490" spans="17:33" x14ac:dyDescent="0.2">
      <c r="Q490" s="419"/>
      <c r="AG490" s="419"/>
    </row>
    <row r="491" spans="17:33" x14ac:dyDescent="0.2">
      <c r="Q491" s="419"/>
      <c r="AG491" s="419"/>
    </row>
    <row r="492" spans="17:33" x14ac:dyDescent="0.2">
      <c r="Q492" s="419"/>
      <c r="AG492" s="419"/>
    </row>
    <row r="493" spans="17:33" x14ac:dyDescent="0.2">
      <c r="Q493" s="419"/>
      <c r="AG493" s="419"/>
    </row>
    <row r="494" spans="17:33" x14ac:dyDescent="0.2">
      <c r="Q494" s="419"/>
      <c r="AG494" s="419"/>
    </row>
    <row r="495" spans="17:33" x14ac:dyDescent="0.2">
      <c r="Q495" s="419"/>
      <c r="AG495" s="419"/>
    </row>
    <row r="496" spans="17:33" x14ac:dyDescent="0.2">
      <c r="Q496" s="419"/>
      <c r="AG496" s="419"/>
    </row>
    <row r="497" spans="17:33" x14ac:dyDescent="0.2">
      <c r="Q497" s="419"/>
      <c r="AG497" s="419"/>
    </row>
    <row r="498" spans="17:33" x14ac:dyDescent="0.2">
      <c r="Q498" s="419"/>
      <c r="AG498" s="419"/>
    </row>
    <row r="499" spans="17:33" x14ac:dyDescent="0.2">
      <c r="Q499" s="419"/>
      <c r="AG499" s="419"/>
    </row>
    <row r="500" spans="17:33" x14ac:dyDescent="0.2">
      <c r="Q500" s="419"/>
      <c r="AG500" s="419"/>
    </row>
    <row r="501" spans="17:33" x14ac:dyDescent="0.2">
      <c r="Q501" s="419"/>
      <c r="AG501" s="419"/>
    </row>
    <row r="502" spans="17:33" x14ac:dyDescent="0.2">
      <c r="Q502" s="419"/>
      <c r="AG502" s="419"/>
    </row>
    <row r="503" spans="17:33" x14ac:dyDescent="0.2">
      <c r="Q503" s="419"/>
      <c r="AG503" s="419"/>
    </row>
    <row r="504" spans="17:33" x14ac:dyDescent="0.2">
      <c r="Q504" s="419"/>
      <c r="AG504" s="419"/>
    </row>
    <row r="505" spans="17:33" x14ac:dyDescent="0.2">
      <c r="Q505" s="419"/>
      <c r="AG505" s="419"/>
    </row>
    <row r="506" spans="17:33" x14ac:dyDescent="0.2">
      <c r="Q506" s="419"/>
      <c r="AG506" s="419"/>
    </row>
    <row r="507" spans="17:33" x14ac:dyDescent="0.2">
      <c r="Q507" s="419"/>
      <c r="AG507" s="419"/>
    </row>
    <row r="508" spans="17:33" x14ac:dyDescent="0.2">
      <c r="Q508" s="419"/>
      <c r="AG508" s="419"/>
    </row>
    <row r="509" spans="17:33" x14ac:dyDescent="0.2">
      <c r="Q509" s="419"/>
      <c r="AG509" s="419"/>
    </row>
    <row r="510" spans="17:33" x14ac:dyDescent="0.2">
      <c r="Q510" s="419"/>
      <c r="AG510" s="419"/>
    </row>
    <row r="511" spans="17:33" x14ac:dyDescent="0.2">
      <c r="Q511" s="419"/>
      <c r="AG511" s="419"/>
    </row>
    <row r="512" spans="17:33" x14ac:dyDescent="0.2">
      <c r="Q512" s="419"/>
      <c r="AG512" s="419"/>
    </row>
    <row r="513" spans="17:33" x14ac:dyDescent="0.2">
      <c r="Q513" s="419"/>
      <c r="AG513" s="419"/>
    </row>
    <row r="514" spans="17:33" x14ac:dyDescent="0.2">
      <c r="Q514" s="419"/>
      <c r="AG514" s="419"/>
    </row>
    <row r="515" spans="17:33" x14ac:dyDescent="0.2">
      <c r="Q515" s="419"/>
      <c r="AG515" s="419"/>
    </row>
    <row r="516" spans="17:33" x14ac:dyDescent="0.2">
      <c r="Q516" s="419"/>
      <c r="AG516" s="419"/>
    </row>
    <row r="517" spans="17:33" x14ac:dyDescent="0.2">
      <c r="Q517" s="419"/>
      <c r="AG517" s="419"/>
    </row>
    <row r="518" spans="17:33" x14ac:dyDescent="0.2">
      <c r="Q518" s="419"/>
      <c r="AG518" s="419"/>
    </row>
    <row r="519" spans="17:33" x14ac:dyDescent="0.2">
      <c r="Q519" s="419"/>
      <c r="AG519" s="419"/>
    </row>
    <row r="520" spans="17:33" x14ac:dyDescent="0.2">
      <c r="Q520" s="419"/>
      <c r="AG520" s="419"/>
    </row>
    <row r="521" spans="17:33" x14ac:dyDescent="0.2">
      <c r="Q521" s="419"/>
      <c r="AG521" s="419"/>
    </row>
    <row r="522" spans="17:33" x14ac:dyDescent="0.2">
      <c r="Q522" s="419"/>
      <c r="AG522" s="419"/>
    </row>
    <row r="523" spans="17:33" x14ac:dyDescent="0.2">
      <c r="Q523" s="419"/>
      <c r="AG523" s="419"/>
    </row>
    <row r="524" spans="17:33" x14ac:dyDescent="0.2">
      <c r="Q524" s="419"/>
      <c r="AG524" s="419"/>
    </row>
    <row r="525" spans="17:33" x14ac:dyDescent="0.2">
      <c r="Q525" s="419"/>
      <c r="AG525" s="419"/>
    </row>
    <row r="526" spans="17:33" x14ac:dyDescent="0.2">
      <c r="Q526" s="419"/>
      <c r="AG526" s="419"/>
    </row>
    <row r="527" spans="17:33" x14ac:dyDescent="0.2">
      <c r="Q527" s="419"/>
      <c r="AG527" s="419"/>
    </row>
    <row r="528" spans="17:33" x14ac:dyDescent="0.2">
      <c r="Q528" s="419"/>
      <c r="AG528" s="419"/>
    </row>
    <row r="529" spans="17:33" x14ac:dyDescent="0.2">
      <c r="Q529" s="419"/>
      <c r="AG529" s="419"/>
    </row>
    <row r="530" spans="17:33" x14ac:dyDescent="0.2">
      <c r="Q530" s="419"/>
      <c r="AG530" s="419"/>
    </row>
    <row r="531" spans="17:33" x14ac:dyDescent="0.2">
      <c r="Q531" s="419"/>
      <c r="AG531" s="419"/>
    </row>
    <row r="532" spans="17:33" x14ac:dyDescent="0.2">
      <c r="Q532" s="419"/>
      <c r="AG532" s="419"/>
    </row>
    <row r="533" spans="17:33" x14ac:dyDescent="0.2">
      <c r="Q533" s="419"/>
      <c r="AG533" s="419"/>
    </row>
    <row r="534" spans="17:33" x14ac:dyDescent="0.2">
      <c r="Q534" s="419"/>
      <c r="AG534" s="419"/>
    </row>
    <row r="535" spans="17:33" x14ac:dyDescent="0.2">
      <c r="AG535" s="419"/>
    </row>
    <row r="536" spans="17:33" x14ac:dyDescent="0.2">
      <c r="AG536" s="419"/>
    </row>
    <row r="537" spans="17:33" x14ac:dyDescent="0.2">
      <c r="AG537" s="419"/>
    </row>
    <row r="538" spans="17:33" x14ac:dyDescent="0.2">
      <c r="AG538" s="419"/>
    </row>
    <row r="539" spans="17:33" x14ac:dyDescent="0.2">
      <c r="AG539" s="419"/>
    </row>
    <row r="540" spans="17:33" x14ac:dyDescent="0.2">
      <c r="AG540" s="419"/>
    </row>
    <row r="541" spans="17:33" x14ac:dyDescent="0.2">
      <c r="AG541" s="419"/>
    </row>
    <row r="542" spans="17:33" x14ac:dyDescent="0.2">
      <c r="AG542" s="419"/>
    </row>
    <row r="543" spans="17:33" x14ac:dyDescent="0.2">
      <c r="AG543" s="419"/>
    </row>
    <row r="544" spans="17:33" x14ac:dyDescent="0.2">
      <c r="AG544" s="419"/>
    </row>
    <row r="545" spans="33:33" x14ac:dyDescent="0.2">
      <c r="AG545" s="419"/>
    </row>
    <row r="546" spans="33:33" x14ac:dyDescent="0.2">
      <c r="AG546" s="419"/>
    </row>
    <row r="547" spans="33:33" x14ac:dyDescent="0.2">
      <c r="AG547" s="419"/>
    </row>
    <row r="548" spans="33:33" x14ac:dyDescent="0.2">
      <c r="AG548" s="419"/>
    </row>
    <row r="549" spans="33:33" x14ac:dyDescent="0.2">
      <c r="AG549" s="419"/>
    </row>
    <row r="550" spans="33:33" x14ac:dyDescent="0.2">
      <c r="AG550" s="419"/>
    </row>
    <row r="551" spans="33:33" x14ac:dyDescent="0.2">
      <c r="AG551" s="419"/>
    </row>
    <row r="552" spans="33:33" x14ac:dyDescent="0.2">
      <c r="AG552" s="419"/>
    </row>
    <row r="553" spans="33:33" x14ac:dyDescent="0.2">
      <c r="AG553" s="419"/>
    </row>
    <row r="554" spans="33:33" x14ac:dyDescent="0.2">
      <c r="AG554" s="419"/>
    </row>
    <row r="555" spans="33:33" x14ac:dyDescent="0.2">
      <c r="AG555" s="419"/>
    </row>
    <row r="556" spans="33:33" x14ac:dyDescent="0.2">
      <c r="AG556" s="419"/>
    </row>
    <row r="557" spans="33:33" x14ac:dyDescent="0.2">
      <c r="AG557" s="419"/>
    </row>
    <row r="558" spans="33:33" x14ac:dyDescent="0.2">
      <c r="AG558" s="419"/>
    </row>
    <row r="559" spans="33:33" x14ac:dyDescent="0.2">
      <c r="AG559" s="419"/>
    </row>
    <row r="560" spans="33:33" x14ac:dyDescent="0.2">
      <c r="AG560" s="419"/>
    </row>
    <row r="561" spans="33:33" x14ac:dyDescent="0.2">
      <c r="AG561" s="419"/>
    </row>
    <row r="562" spans="33:33" x14ac:dyDescent="0.2">
      <c r="AG562" s="419"/>
    </row>
    <row r="563" spans="33:33" x14ac:dyDescent="0.2">
      <c r="AG563" s="419"/>
    </row>
    <row r="564" spans="33:33" x14ac:dyDescent="0.2">
      <c r="AG564" s="419"/>
    </row>
    <row r="565" spans="33:33" x14ac:dyDescent="0.2">
      <c r="AG565" s="419"/>
    </row>
    <row r="566" spans="33:33" x14ac:dyDescent="0.2">
      <c r="AG566" s="419"/>
    </row>
    <row r="567" spans="33:33" x14ac:dyDescent="0.2">
      <c r="AG567" s="419"/>
    </row>
    <row r="568" spans="33:33" x14ac:dyDescent="0.2">
      <c r="AG568" s="419"/>
    </row>
    <row r="569" spans="33:33" x14ac:dyDescent="0.2">
      <c r="AG569" s="419"/>
    </row>
    <row r="570" spans="33:33" x14ac:dyDescent="0.2">
      <c r="AG570" s="419"/>
    </row>
    <row r="571" spans="33:33" x14ac:dyDescent="0.2">
      <c r="AG571" s="419"/>
    </row>
    <row r="572" spans="33:33" x14ac:dyDescent="0.2">
      <c r="AG572" s="419"/>
    </row>
    <row r="573" spans="33:33" x14ac:dyDescent="0.2">
      <c r="AG573" s="419"/>
    </row>
    <row r="574" spans="33:33" x14ac:dyDescent="0.2">
      <c r="AG574" s="419"/>
    </row>
    <row r="575" spans="33:33" x14ac:dyDescent="0.2">
      <c r="AG575" s="419"/>
    </row>
    <row r="576" spans="33:33" x14ac:dyDescent="0.2">
      <c r="AG576" s="419"/>
    </row>
    <row r="577" spans="33:33" x14ac:dyDescent="0.2">
      <c r="AG577" s="419"/>
    </row>
    <row r="578" spans="33:33" x14ac:dyDescent="0.2">
      <c r="AG578" s="419"/>
    </row>
    <row r="579" spans="33:33" x14ac:dyDescent="0.2">
      <c r="AG579" s="419"/>
    </row>
    <row r="580" spans="33:33" x14ac:dyDescent="0.2">
      <c r="AG580" s="419"/>
    </row>
    <row r="581" spans="33:33" x14ac:dyDescent="0.2">
      <c r="AG581" s="419"/>
    </row>
    <row r="582" spans="33:33" x14ac:dyDescent="0.2">
      <c r="AG582" s="419"/>
    </row>
    <row r="583" spans="33:33" x14ac:dyDescent="0.2">
      <c r="AG583" s="419"/>
    </row>
    <row r="584" spans="33:33" x14ac:dyDescent="0.2">
      <c r="AG584" s="419"/>
    </row>
    <row r="585" spans="33:33" x14ac:dyDescent="0.2">
      <c r="AG585" s="419"/>
    </row>
    <row r="586" spans="33:33" x14ac:dyDescent="0.2">
      <c r="AG586" s="419"/>
    </row>
    <row r="587" spans="33:33" x14ac:dyDescent="0.2">
      <c r="AG587" s="419"/>
    </row>
    <row r="588" spans="33:33" x14ac:dyDescent="0.2">
      <c r="AG588" s="419"/>
    </row>
    <row r="589" spans="33:33" x14ac:dyDescent="0.2">
      <c r="AG589" s="419"/>
    </row>
    <row r="590" spans="33:33" x14ac:dyDescent="0.2">
      <c r="AG590" s="419"/>
    </row>
    <row r="591" spans="33:33" x14ac:dyDescent="0.2">
      <c r="AG591" s="419"/>
    </row>
    <row r="592" spans="33:33" x14ac:dyDescent="0.2">
      <c r="AG592" s="419"/>
    </row>
    <row r="593" spans="33:33" x14ac:dyDescent="0.2">
      <c r="AG593" s="419"/>
    </row>
    <row r="594" spans="33:33" x14ac:dyDescent="0.2">
      <c r="AG594" s="419"/>
    </row>
    <row r="595" spans="33:33" x14ac:dyDescent="0.2">
      <c r="AG595" s="419"/>
    </row>
    <row r="596" spans="33:33" x14ac:dyDescent="0.2">
      <c r="AG596" s="419"/>
    </row>
    <row r="597" spans="33:33" x14ac:dyDescent="0.2">
      <c r="AG597" s="419"/>
    </row>
    <row r="598" spans="33:33" x14ac:dyDescent="0.2">
      <c r="AG598" s="419"/>
    </row>
    <row r="599" spans="33:33" x14ac:dyDescent="0.2">
      <c r="AG599" s="419"/>
    </row>
    <row r="600" spans="33:33" x14ac:dyDescent="0.2">
      <c r="AG600" s="419"/>
    </row>
    <row r="601" spans="33:33" x14ac:dyDescent="0.2">
      <c r="AG601" s="419"/>
    </row>
    <row r="602" spans="33:33" x14ac:dyDescent="0.2">
      <c r="AG602" s="419"/>
    </row>
    <row r="603" spans="33:33" x14ac:dyDescent="0.2">
      <c r="AG603" s="419"/>
    </row>
    <row r="604" spans="33:33" x14ac:dyDescent="0.2">
      <c r="AG604" s="419"/>
    </row>
    <row r="605" spans="33:33" x14ac:dyDescent="0.2">
      <c r="AG605" s="419"/>
    </row>
    <row r="606" spans="33:33" x14ac:dyDescent="0.2">
      <c r="AG606" s="419"/>
    </row>
    <row r="607" spans="33:33" x14ac:dyDescent="0.2">
      <c r="AG607" s="419"/>
    </row>
    <row r="608" spans="33:33" x14ac:dyDescent="0.2">
      <c r="AG608" s="419"/>
    </row>
    <row r="609" spans="33:33" x14ac:dyDescent="0.2">
      <c r="AG609" s="419"/>
    </row>
    <row r="610" spans="33:33" x14ac:dyDescent="0.2">
      <c r="AG610" s="419"/>
    </row>
    <row r="611" spans="33:33" x14ac:dyDescent="0.2">
      <c r="AG611" s="419"/>
    </row>
    <row r="612" spans="33:33" x14ac:dyDescent="0.2">
      <c r="AG612" s="419"/>
    </row>
    <row r="613" spans="33:33" x14ac:dyDescent="0.2">
      <c r="AG613" s="419"/>
    </row>
    <row r="614" spans="33:33" x14ac:dyDescent="0.2">
      <c r="AG614" s="419"/>
    </row>
    <row r="615" spans="33:33" x14ac:dyDescent="0.2">
      <c r="AG615" s="419"/>
    </row>
    <row r="616" spans="33:33" x14ac:dyDescent="0.2">
      <c r="AG616" s="419"/>
    </row>
    <row r="617" spans="33:33" x14ac:dyDescent="0.2">
      <c r="AG617" s="419"/>
    </row>
    <row r="618" spans="33:33" x14ac:dyDescent="0.2">
      <c r="AG618" s="419"/>
    </row>
    <row r="619" spans="33:33" x14ac:dyDescent="0.2">
      <c r="AG619" s="419"/>
    </row>
    <row r="620" spans="33:33" x14ac:dyDescent="0.2">
      <c r="AG620" s="419"/>
    </row>
    <row r="621" spans="33:33" x14ac:dyDescent="0.2">
      <c r="AG621" s="419"/>
    </row>
    <row r="622" spans="33:33" x14ac:dyDescent="0.2">
      <c r="AG622" s="419"/>
    </row>
    <row r="623" spans="33:33" x14ac:dyDescent="0.2">
      <c r="AG623" s="419"/>
    </row>
    <row r="624" spans="33:33" x14ac:dyDescent="0.2">
      <c r="AG624" s="419"/>
    </row>
    <row r="625" spans="33:33" x14ac:dyDescent="0.2">
      <c r="AG625" s="419"/>
    </row>
    <row r="626" spans="33:33" x14ac:dyDescent="0.2">
      <c r="AG626" s="419"/>
    </row>
    <row r="627" spans="33:33" x14ac:dyDescent="0.2">
      <c r="AG627" s="419"/>
    </row>
    <row r="628" spans="33:33" x14ac:dyDescent="0.2">
      <c r="AG628" s="419"/>
    </row>
    <row r="629" spans="33:33" x14ac:dyDescent="0.2">
      <c r="AG629" s="419"/>
    </row>
    <row r="630" spans="33:33" x14ac:dyDescent="0.2">
      <c r="AG630" s="419"/>
    </row>
    <row r="631" spans="33:33" x14ac:dyDescent="0.2">
      <c r="AG631" s="419"/>
    </row>
    <row r="632" spans="33:33" x14ac:dyDescent="0.2">
      <c r="AG632" s="419"/>
    </row>
    <row r="633" spans="33:33" x14ac:dyDescent="0.2">
      <c r="AG633" s="419"/>
    </row>
    <row r="634" spans="33:33" x14ac:dyDescent="0.2">
      <c r="AG634" s="419"/>
    </row>
    <row r="635" spans="33:33" x14ac:dyDescent="0.2">
      <c r="AG635" s="419"/>
    </row>
    <row r="636" spans="33:33" x14ac:dyDescent="0.2">
      <c r="AG636" s="419"/>
    </row>
    <row r="637" spans="33:33" x14ac:dyDescent="0.2">
      <c r="AG637" s="419"/>
    </row>
    <row r="638" spans="33:33" x14ac:dyDescent="0.2">
      <c r="AG638" s="419"/>
    </row>
    <row r="639" spans="33:33" x14ac:dyDescent="0.2">
      <c r="AG639" s="419"/>
    </row>
    <row r="640" spans="33:33" x14ac:dyDescent="0.2">
      <c r="AG640" s="419"/>
    </row>
    <row r="641" spans="33:33" x14ac:dyDescent="0.2">
      <c r="AG641" s="419"/>
    </row>
    <row r="642" spans="33:33" x14ac:dyDescent="0.2">
      <c r="AG642" s="419"/>
    </row>
    <row r="643" spans="33:33" x14ac:dyDescent="0.2">
      <c r="AG643" s="419"/>
    </row>
    <row r="644" spans="33:33" x14ac:dyDescent="0.2">
      <c r="AG644" s="419"/>
    </row>
    <row r="645" spans="33:33" x14ac:dyDescent="0.2">
      <c r="AG645" s="419"/>
    </row>
    <row r="646" spans="33:33" x14ac:dyDescent="0.2">
      <c r="AG646" s="419"/>
    </row>
    <row r="647" spans="33:33" x14ac:dyDescent="0.2">
      <c r="AG647" s="419"/>
    </row>
    <row r="648" spans="33:33" x14ac:dyDescent="0.2">
      <c r="AG648" s="419"/>
    </row>
    <row r="649" spans="33:33" x14ac:dyDescent="0.2">
      <c r="AG649" s="419"/>
    </row>
    <row r="650" spans="33:33" x14ac:dyDescent="0.2">
      <c r="AG650" s="419"/>
    </row>
    <row r="651" spans="33:33" x14ac:dyDescent="0.2">
      <c r="AG651" s="419"/>
    </row>
    <row r="652" spans="33:33" x14ac:dyDescent="0.2">
      <c r="AG652" s="419"/>
    </row>
    <row r="653" spans="33:33" x14ac:dyDescent="0.2">
      <c r="AG653" s="419"/>
    </row>
    <row r="654" spans="33:33" x14ac:dyDescent="0.2">
      <c r="AG654" s="419"/>
    </row>
    <row r="655" spans="33:33" x14ac:dyDescent="0.2">
      <c r="AG655" s="419"/>
    </row>
    <row r="656" spans="33:33" x14ac:dyDescent="0.2">
      <c r="AG656" s="419"/>
    </row>
    <row r="657" spans="33:33" x14ac:dyDescent="0.2">
      <c r="AG657" s="419"/>
    </row>
    <row r="658" spans="33:33" x14ac:dyDescent="0.2">
      <c r="AG658" s="419"/>
    </row>
    <row r="659" spans="33:33" x14ac:dyDescent="0.2">
      <c r="AG659" s="419"/>
    </row>
    <row r="660" spans="33:33" x14ac:dyDescent="0.2">
      <c r="AG660" s="419"/>
    </row>
    <row r="661" spans="33:33" x14ac:dyDescent="0.2">
      <c r="AG661" s="419"/>
    </row>
    <row r="662" spans="33:33" x14ac:dyDescent="0.2">
      <c r="AG662" s="419"/>
    </row>
    <row r="663" spans="33:33" x14ac:dyDescent="0.2">
      <c r="AG663" s="419"/>
    </row>
    <row r="664" spans="33:33" x14ac:dyDescent="0.2">
      <c r="AG664" s="419"/>
    </row>
    <row r="665" spans="33:33" x14ac:dyDescent="0.2">
      <c r="AG665" s="419"/>
    </row>
    <row r="666" spans="33:33" x14ac:dyDescent="0.2">
      <c r="AG666" s="419"/>
    </row>
    <row r="667" spans="33:33" x14ac:dyDescent="0.2">
      <c r="AG667" s="419"/>
    </row>
    <row r="668" spans="33:33" x14ac:dyDescent="0.2">
      <c r="AG668" s="419"/>
    </row>
    <row r="669" spans="33:33" x14ac:dyDescent="0.2">
      <c r="AG669" s="419"/>
    </row>
    <row r="670" spans="33:33" x14ac:dyDescent="0.2">
      <c r="AG670" s="419"/>
    </row>
    <row r="671" spans="33:33" x14ac:dyDescent="0.2">
      <c r="AG671" s="419"/>
    </row>
    <row r="672" spans="33:33" x14ac:dyDescent="0.2">
      <c r="AG672" s="419"/>
    </row>
    <row r="673" spans="33:33" x14ac:dyDescent="0.2">
      <c r="AG673" s="419"/>
    </row>
    <row r="674" spans="33:33" x14ac:dyDescent="0.2">
      <c r="AG674" s="419"/>
    </row>
    <row r="675" spans="33:33" x14ac:dyDescent="0.2">
      <c r="AG675" s="419"/>
    </row>
    <row r="676" spans="33:33" x14ac:dyDescent="0.2">
      <c r="AG676" s="419"/>
    </row>
    <row r="677" spans="33:33" x14ac:dyDescent="0.2">
      <c r="AG677" s="419"/>
    </row>
    <row r="678" spans="33:33" x14ac:dyDescent="0.2">
      <c r="AG678" s="419"/>
    </row>
    <row r="679" spans="33:33" x14ac:dyDescent="0.2">
      <c r="AG679" s="419"/>
    </row>
    <row r="680" spans="33:33" x14ac:dyDescent="0.2">
      <c r="AG680" s="419"/>
    </row>
    <row r="681" spans="33:33" x14ac:dyDescent="0.2">
      <c r="AG681" s="419"/>
    </row>
    <row r="682" spans="33:33" x14ac:dyDescent="0.2">
      <c r="AG682" s="419"/>
    </row>
    <row r="683" spans="33:33" x14ac:dyDescent="0.2">
      <c r="AG683" s="419"/>
    </row>
    <row r="684" spans="33:33" x14ac:dyDescent="0.2">
      <c r="AG684" s="419"/>
    </row>
    <row r="685" spans="33:33" x14ac:dyDescent="0.2">
      <c r="AG685" s="419"/>
    </row>
    <row r="686" spans="33:33" x14ac:dyDescent="0.2">
      <c r="AG686" s="419"/>
    </row>
    <row r="687" spans="33:33" x14ac:dyDescent="0.2">
      <c r="AG687" s="419"/>
    </row>
    <row r="688" spans="33:33" x14ac:dyDescent="0.2">
      <c r="AG688" s="419"/>
    </row>
    <row r="689" spans="33:33" x14ac:dyDescent="0.2">
      <c r="AG689" s="419"/>
    </row>
    <row r="690" spans="33:33" x14ac:dyDescent="0.2">
      <c r="AG690" s="419"/>
    </row>
    <row r="691" spans="33:33" x14ac:dyDescent="0.2">
      <c r="AG691" s="419"/>
    </row>
    <row r="692" spans="33:33" x14ac:dyDescent="0.2">
      <c r="AG692" s="419"/>
    </row>
    <row r="693" spans="33:33" x14ac:dyDescent="0.2">
      <c r="AG693" s="419"/>
    </row>
    <row r="694" spans="33:33" x14ac:dyDescent="0.2">
      <c r="AG694" s="419"/>
    </row>
    <row r="695" spans="33:33" x14ac:dyDescent="0.2">
      <c r="AG695" s="419"/>
    </row>
    <row r="696" spans="33:33" x14ac:dyDescent="0.2">
      <c r="AG696" s="419"/>
    </row>
    <row r="697" spans="33:33" x14ac:dyDescent="0.2">
      <c r="AG697" s="419"/>
    </row>
    <row r="698" spans="33:33" x14ac:dyDescent="0.2">
      <c r="AG698" s="419"/>
    </row>
    <row r="699" spans="33:33" x14ac:dyDescent="0.2">
      <c r="AG699" s="419"/>
    </row>
    <row r="700" spans="33:33" x14ac:dyDescent="0.2">
      <c r="AG700" s="419"/>
    </row>
    <row r="701" spans="33:33" x14ac:dyDescent="0.2">
      <c r="AG701" s="419"/>
    </row>
    <row r="702" spans="33:33" x14ac:dyDescent="0.2">
      <c r="AG702" s="419"/>
    </row>
    <row r="703" spans="33:33" x14ac:dyDescent="0.2">
      <c r="AG703" s="419"/>
    </row>
    <row r="704" spans="33:33" x14ac:dyDescent="0.2">
      <c r="AG704" s="419"/>
    </row>
    <row r="705" spans="33:33" x14ac:dyDescent="0.2">
      <c r="AG705" s="419"/>
    </row>
    <row r="706" spans="33:33" x14ac:dyDescent="0.2">
      <c r="AG706" s="419"/>
    </row>
    <row r="707" spans="33:33" x14ac:dyDescent="0.2">
      <c r="AG707" s="419"/>
    </row>
    <row r="708" spans="33:33" x14ac:dyDescent="0.2">
      <c r="AG708" s="419"/>
    </row>
    <row r="709" spans="33:33" x14ac:dyDescent="0.2">
      <c r="AG709" s="419"/>
    </row>
    <row r="710" spans="33:33" x14ac:dyDescent="0.2">
      <c r="AG710" s="419"/>
    </row>
    <row r="711" spans="33:33" x14ac:dyDescent="0.2">
      <c r="AG711" s="419"/>
    </row>
    <row r="712" spans="33:33" x14ac:dyDescent="0.2">
      <c r="AG712" s="419"/>
    </row>
    <row r="713" spans="33:33" x14ac:dyDescent="0.2">
      <c r="AG713" s="419"/>
    </row>
    <row r="714" spans="33:33" x14ac:dyDescent="0.2">
      <c r="AG714" s="419"/>
    </row>
    <row r="715" spans="33:33" x14ac:dyDescent="0.2">
      <c r="AG715" s="419"/>
    </row>
    <row r="716" spans="33:33" x14ac:dyDescent="0.2">
      <c r="AG716" s="419"/>
    </row>
    <row r="717" spans="33:33" x14ac:dyDescent="0.2">
      <c r="AG717" s="419"/>
    </row>
    <row r="718" spans="33:33" x14ac:dyDescent="0.2">
      <c r="AG718" s="419"/>
    </row>
    <row r="719" spans="33:33" x14ac:dyDescent="0.2">
      <c r="AG719" s="419"/>
    </row>
    <row r="720" spans="33:33" x14ac:dyDescent="0.2">
      <c r="AG720" s="419"/>
    </row>
    <row r="721" spans="33:33" x14ac:dyDescent="0.2">
      <c r="AG721" s="419"/>
    </row>
    <row r="722" spans="33:33" x14ac:dyDescent="0.2">
      <c r="AG722" s="419"/>
    </row>
    <row r="723" spans="33:33" x14ac:dyDescent="0.2">
      <c r="AG723" s="419"/>
    </row>
    <row r="724" spans="33:33" x14ac:dyDescent="0.2">
      <c r="AG724" s="419"/>
    </row>
    <row r="725" spans="33:33" x14ac:dyDescent="0.2">
      <c r="AG725" s="419"/>
    </row>
    <row r="726" spans="33:33" x14ac:dyDescent="0.2">
      <c r="AG726" s="419"/>
    </row>
    <row r="727" spans="33:33" x14ac:dyDescent="0.2">
      <c r="AG727" s="419"/>
    </row>
    <row r="728" spans="33:33" x14ac:dyDescent="0.2">
      <c r="AG728" s="419"/>
    </row>
    <row r="729" spans="33:33" x14ac:dyDescent="0.2">
      <c r="AG729" s="419"/>
    </row>
    <row r="730" spans="33:33" x14ac:dyDescent="0.2">
      <c r="AG730" s="419"/>
    </row>
    <row r="731" spans="33:33" x14ac:dyDescent="0.2">
      <c r="AG731" s="419"/>
    </row>
    <row r="732" spans="33:33" x14ac:dyDescent="0.2">
      <c r="AG732" s="419"/>
    </row>
    <row r="733" spans="33:33" x14ac:dyDescent="0.2">
      <c r="AG733" s="419"/>
    </row>
    <row r="734" spans="33:33" x14ac:dyDescent="0.2">
      <c r="AG734" s="419"/>
    </row>
    <row r="735" spans="33:33" x14ac:dyDescent="0.2">
      <c r="AG735" s="419"/>
    </row>
    <row r="736" spans="33:33" x14ac:dyDescent="0.2">
      <c r="AG736" s="419"/>
    </row>
    <row r="737" spans="33:33" x14ac:dyDescent="0.2">
      <c r="AG737" s="419"/>
    </row>
    <row r="738" spans="33:33" x14ac:dyDescent="0.2">
      <c r="AG738" s="419"/>
    </row>
    <row r="739" spans="33:33" x14ac:dyDescent="0.2">
      <c r="AG739" s="419"/>
    </row>
    <row r="740" spans="33:33" x14ac:dyDescent="0.2">
      <c r="AG740" s="419"/>
    </row>
    <row r="741" spans="33:33" x14ac:dyDescent="0.2">
      <c r="AG741" s="419"/>
    </row>
    <row r="742" spans="33:33" x14ac:dyDescent="0.2">
      <c r="AG742" s="419"/>
    </row>
    <row r="743" spans="33:33" x14ac:dyDescent="0.2">
      <c r="AG743" s="419"/>
    </row>
    <row r="744" spans="33:33" x14ac:dyDescent="0.2">
      <c r="AG744" s="419"/>
    </row>
    <row r="745" spans="33:33" x14ac:dyDescent="0.2">
      <c r="AG745" s="419"/>
    </row>
    <row r="746" spans="33:33" x14ac:dyDescent="0.2">
      <c r="AG746" s="419"/>
    </row>
    <row r="747" spans="33:33" x14ac:dyDescent="0.2">
      <c r="AG747" s="419"/>
    </row>
    <row r="748" spans="33:33" x14ac:dyDescent="0.2">
      <c r="AG748" s="419"/>
    </row>
    <row r="749" spans="33:33" x14ac:dyDescent="0.2">
      <c r="AG749" s="419"/>
    </row>
    <row r="750" spans="33:33" x14ac:dyDescent="0.2">
      <c r="AG750" s="419"/>
    </row>
    <row r="751" spans="33:33" x14ac:dyDescent="0.2">
      <c r="AG751" s="419"/>
    </row>
    <row r="752" spans="33:33" x14ac:dyDescent="0.2">
      <c r="AG752" s="419"/>
    </row>
    <row r="753" spans="33:33" x14ac:dyDescent="0.2">
      <c r="AG753" s="419"/>
    </row>
    <row r="754" spans="33:33" x14ac:dyDescent="0.2">
      <c r="AG754" s="419"/>
    </row>
    <row r="755" spans="33:33" x14ac:dyDescent="0.2">
      <c r="AG755" s="419"/>
    </row>
    <row r="756" spans="33:33" x14ac:dyDescent="0.2">
      <c r="AG756" s="419"/>
    </row>
    <row r="757" spans="33:33" x14ac:dyDescent="0.2">
      <c r="AG757" s="419"/>
    </row>
    <row r="758" spans="33:33" x14ac:dyDescent="0.2">
      <c r="AG758" s="419"/>
    </row>
    <row r="759" spans="33:33" x14ac:dyDescent="0.2">
      <c r="AG759" s="419"/>
    </row>
    <row r="760" spans="33:33" x14ac:dyDescent="0.2">
      <c r="AG760" s="419"/>
    </row>
    <row r="761" spans="33:33" x14ac:dyDescent="0.2">
      <c r="AG761" s="419"/>
    </row>
    <row r="762" spans="33:33" x14ac:dyDescent="0.2">
      <c r="AG762" s="419"/>
    </row>
    <row r="763" spans="33:33" x14ac:dyDescent="0.2">
      <c r="AG763" s="419"/>
    </row>
    <row r="764" spans="33:33" x14ac:dyDescent="0.2">
      <c r="AG764" s="419"/>
    </row>
    <row r="765" spans="33:33" x14ac:dyDescent="0.2">
      <c r="AG765" s="419"/>
    </row>
    <row r="766" spans="33:33" x14ac:dyDescent="0.2">
      <c r="AG766" s="419"/>
    </row>
    <row r="767" spans="33:33" x14ac:dyDescent="0.2">
      <c r="AG767" s="419"/>
    </row>
    <row r="768" spans="33:33" x14ac:dyDescent="0.2">
      <c r="AG768" s="419"/>
    </row>
    <row r="769" spans="33:33" x14ac:dyDescent="0.2">
      <c r="AG769" s="419"/>
    </row>
    <row r="770" spans="33:33" x14ac:dyDescent="0.2">
      <c r="AG770" s="419"/>
    </row>
    <row r="771" spans="33:33" x14ac:dyDescent="0.2">
      <c r="AG771" s="419"/>
    </row>
    <row r="772" spans="33:33" x14ac:dyDescent="0.2">
      <c r="AG772" s="419"/>
    </row>
    <row r="773" spans="33:33" x14ac:dyDescent="0.2">
      <c r="AG773" s="419"/>
    </row>
    <row r="774" spans="33:33" x14ac:dyDescent="0.2">
      <c r="AG774" s="419"/>
    </row>
    <row r="775" spans="33:33" x14ac:dyDescent="0.2">
      <c r="AG775" s="419"/>
    </row>
    <row r="776" spans="33:33" x14ac:dyDescent="0.2">
      <c r="AG776" s="419"/>
    </row>
    <row r="777" spans="33:33" x14ac:dyDescent="0.2">
      <c r="AG777" s="419"/>
    </row>
    <row r="778" spans="33:33" x14ac:dyDescent="0.2">
      <c r="AG778" s="419"/>
    </row>
    <row r="779" spans="33:33" x14ac:dyDescent="0.2">
      <c r="AG779" s="419"/>
    </row>
    <row r="780" spans="33:33" x14ac:dyDescent="0.2">
      <c r="AG780" s="419"/>
    </row>
    <row r="781" spans="33:33" x14ac:dyDescent="0.2">
      <c r="AG781" s="419"/>
    </row>
    <row r="782" spans="33:33" x14ac:dyDescent="0.2">
      <c r="AG782" s="419"/>
    </row>
    <row r="783" spans="33:33" x14ac:dyDescent="0.2">
      <c r="AG783" s="419"/>
    </row>
    <row r="784" spans="33:33" x14ac:dyDescent="0.2">
      <c r="AG784" s="419"/>
    </row>
    <row r="785" spans="33:33" x14ac:dyDescent="0.2">
      <c r="AG785" s="419"/>
    </row>
    <row r="786" spans="33:33" x14ac:dyDescent="0.2">
      <c r="AG786" s="419"/>
    </row>
    <row r="787" spans="33:33" x14ac:dyDescent="0.2">
      <c r="AG787" s="419"/>
    </row>
    <row r="788" spans="33:33" x14ac:dyDescent="0.2">
      <c r="AG788" s="419"/>
    </row>
    <row r="789" spans="33:33" x14ac:dyDescent="0.2">
      <c r="AG789" s="419"/>
    </row>
    <row r="790" spans="33:33" x14ac:dyDescent="0.2">
      <c r="AG790" s="419"/>
    </row>
    <row r="791" spans="33:33" x14ac:dyDescent="0.2">
      <c r="AG791" s="419"/>
    </row>
    <row r="792" spans="33:33" x14ac:dyDescent="0.2">
      <c r="AG792" s="419"/>
    </row>
    <row r="793" spans="33:33" x14ac:dyDescent="0.2">
      <c r="AG793" s="419"/>
    </row>
    <row r="794" spans="33:33" x14ac:dyDescent="0.2">
      <c r="AG794" s="419"/>
    </row>
    <row r="795" spans="33:33" x14ac:dyDescent="0.2">
      <c r="AG795" s="419"/>
    </row>
    <row r="796" spans="33:33" x14ac:dyDescent="0.2">
      <c r="AG796" s="419"/>
    </row>
    <row r="797" spans="33:33" x14ac:dyDescent="0.2">
      <c r="AG797" s="419"/>
    </row>
    <row r="798" spans="33:33" x14ac:dyDescent="0.2">
      <c r="AG798" s="419"/>
    </row>
    <row r="799" spans="33:33" x14ac:dyDescent="0.2">
      <c r="AG799" s="419"/>
    </row>
    <row r="800" spans="33:33" x14ac:dyDescent="0.2">
      <c r="AG800" s="419"/>
    </row>
    <row r="801" spans="33:33" x14ac:dyDescent="0.2">
      <c r="AG801" s="419"/>
    </row>
    <row r="802" spans="33:33" x14ac:dyDescent="0.2">
      <c r="AG802" s="419"/>
    </row>
    <row r="803" spans="33:33" x14ac:dyDescent="0.2">
      <c r="AG803" s="419"/>
    </row>
    <row r="804" spans="33:33" x14ac:dyDescent="0.2">
      <c r="AG804" s="419"/>
    </row>
    <row r="805" spans="33:33" x14ac:dyDescent="0.2">
      <c r="AG805" s="419"/>
    </row>
    <row r="806" spans="33:33" x14ac:dyDescent="0.2">
      <c r="AG806" s="419"/>
    </row>
    <row r="807" spans="33:33" x14ac:dyDescent="0.2">
      <c r="AG807" s="419"/>
    </row>
    <row r="808" spans="33:33" x14ac:dyDescent="0.2">
      <c r="AG808" s="419"/>
    </row>
    <row r="809" spans="33:33" x14ac:dyDescent="0.2">
      <c r="AG809" s="419"/>
    </row>
    <row r="810" spans="33:33" x14ac:dyDescent="0.2">
      <c r="AG810" s="419"/>
    </row>
    <row r="811" spans="33:33" x14ac:dyDescent="0.2">
      <c r="AG811" s="419"/>
    </row>
    <row r="812" spans="33:33" x14ac:dyDescent="0.2">
      <c r="AG812" s="419"/>
    </row>
    <row r="813" spans="33:33" x14ac:dyDescent="0.2">
      <c r="AG813" s="419"/>
    </row>
    <row r="814" spans="33:33" x14ac:dyDescent="0.2">
      <c r="AG814" s="419"/>
    </row>
    <row r="815" spans="33:33" x14ac:dyDescent="0.2">
      <c r="AG815" s="419"/>
    </row>
    <row r="816" spans="33:33" x14ac:dyDescent="0.2">
      <c r="AG816" s="419"/>
    </row>
    <row r="817" spans="33:33" x14ac:dyDescent="0.2">
      <c r="AG817" s="419"/>
    </row>
    <row r="818" spans="33:33" x14ac:dyDescent="0.2">
      <c r="AG818" s="419"/>
    </row>
    <row r="819" spans="33:33" x14ac:dyDescent="0.2">
      <c r="AG819" s="419"/>
    </row>
    <row r="820" spans="33:33" x14ac:dyDescent="0.2">
      <c r="AG820" s="419"/>
    </row>
    <row r="821" spans="33:33" x14ac:dyDescent="0.2">
      <c r="AG821" s="419"/>
    </row>
    <row r="822" spans="33:33" x14ac:dyDescent="0.2">
      <c r="AG822" s="419"/>
    </row>
    <row r="823" spans="33:33" x14ac:dyDescent="0.2">
      <c r="AG823" s="419"/>
    </row>
    <row r="824" spans="33:33" x14ac:dyDescent="0.2">
      <c r="AG824" s="419"/>
    </row>
    <row r="825" spans="33:33" x14ac:dyDescent="0.2">
      <c r="AG825" s="419"/>
    </row>
    <row r="826" spans="33:33" x14ac:dyDescent="0.2">
      <c r="AG826" s="419"/>
    </row>
    <row r="827" spans="33:33" x14ac:dyDescent="0.2">
      <c r="AG827" s="419"/>
    </row>
    <row r="828" spans="33:33" x14ac:dyDescent="0.2">
      <c r="AG828" s="419"/>
    </row>
    <row r="829" spans="33:33" x14ac:dyDescent="0.2">
      <c r="AG829" s="419"/>
    </row>
    <row r="830" spans="33:33" x14ac:dyDescent="0.2">
      <c r="AG830" s="419"/>
    </row>
    <row r="831" spans="33:33" x14ac:dyDescent="0.2">
      <c r="AG831" s="419"/>
    </row>
    <row r="832" spans="33:33" x14ac:dyDescent="0.2">
      <c r="AG832" s="419"/>
    </row>
    <row r="833" spans="33:33" x14ac:dyDescent="0.2">
      <c r="AG833" s="419"/>
    </row>
    <row r="834" spans="33:33" x14ac:dyDescent="0.2">
      <c r="AG834" s="419"/>
    </row>
    <row r="835" spans="33:33" x14ac:dyDescent="0.2">
      <c r="AG835" s="419"/>
    </row>
    <row r="836" spans="33:33" x14ac:dyDescent="0.2">
      <c r="AG836" s="419"/>
    </row>
    <row r="837" spans="33:33" x14ac:dyDescent="0.2">
      <c r="AG837" s="419"/>
    </row>
    <row r="838" spans="33:33" x14ac:dyDescent="0.2">
      <c r="AG838" s="419"/>
    </row>
    <row r="839" spans="33:33" x14ac:dyDescent="0.2">
      <c r="AG839" s="419"/>
    </row>
    <row r="840" spans="33:33" x14ac:dyDescent="0.2">
      <c r="AG840" s="419"/>
    </row>
    <row r="841" spans="33:33" x14ac:dyDescent="0.2">
      <c r="AG841" s="419"/>
    </row>
    <row r="842" spans="33:33" x14ac:dyDescent="0.2">
      <c r="AG842" s="419"/>
    </row>
    <row r="843" spans="33:33" x14ac:dyDescent="0.2">
      <c r="AG843" s="419"/>
    </row>
    <row r="844" spans="33:33" x14ac:dyDescent="0.2">
      <c r="AG844" s="419"/>
    </row>
    <row r="845" spans="33:33" x14ac:dyDescent="0.2">
      <c r="AG845" s="419"/>
    </row>
    <row r="846" spans="33:33" x14ac:dyDescent="0.2">
      <c r="AG846" s="419"/>
    </row>
    <row r="847" spans="33:33" x14ac:dyDescent="0.2">
      <c r="AG847" s="419"/>
    </row>
    <row r="848" spans="33:33" x14ac:dyDescent="0.2">
      <c r="AG848" s="419"/>
    </row>
    <row r="849" spans="33:33" x14ac:dyDescent="0.2">
      <c r="AG849" s="419"/>
    </row>
    <row r="850" spans="33:33" x14ac:dyDescent="0.2">
      <c r="AG850" s="419"/>
    </row>
    <row r="851" spans="33:33" x14ac:dyDescent="0.2">
      <c r="AG851" s="419"/>
    </row>
    <row r="852" spans="33:33" x14ac:dyDescent="0.2">
      <c r="AG852" s="419"/>
    </row>
    <row r="853" spans="33:33" x14ac:dyDescent="0.2">
      <c r="AG853" s="419"/>
    </row>
    <row r="854" spans="33:33" x14ac:dyDescent="0.2">
      <c r="AG854" s="419"/>
    </row>
    <row r="855" spans="33:33" x14ac:dyDescent="0.2">
      <c r="AG855" s="419"/>
    </row>
    <row r="856" spans="33:33" x14ac:dyDescent="0.2">
      <c r="AG856" s="419"/>
    </row>
    <row r="857" spans="33:33" x14ac:dyDescent="0.2">
      <c r="AG857" s="419"/>
    </row>
    <row r="858" spans="33:33" x14ac:dyDescent="0.2">
      <c r="AG858" s="419"/>
    </row>
    <row r="859" spans="33:33" x14ac:dyDescent="0.2">
      <c r="AG859" s="419"/>
    </row>
    <row r="860" spans="33:33" x14ac:dyDescent="0.2">
      <c r="AG860" s="419"/>
    </row>
    <row r="861" spans="33:33" x14ac:dyDescent="0.2">
      <c r="AG861" s="419"/>
    </row>
    <row r="862" spans="33:33" x14ac:dyDescent="0.2">
      <c r="AG862" s="419"/>
    </row>
    <row r="863" spans="33:33" x14ac:dyDescent="0.2">
      <c r="AG863" s="419"/>
    </row>
    <row r="864" spans="33:33" x14ac:dyDescent="0.2">
      <c r="AG864" s="419"/>
    </row>
    <row r="865" spans="33:33" x14ac:dyDescent="0.2">
      <c r="AG865" s="419"/>
    </row>
    <row r="866" spans="33:33" x14ac:dyDescent="0.2">
      <c r="AG866" s="419"/>
    </row>
    <row r="867" spans="33:33" x14ac:dyDescent="0.2">
      <c r="AG867" s="419"/>
    </row>
    <row r="868" spans="33:33" x14ac:dyDescent="0.2">
      <c r="AG868" s="419"/>
    </row>
    <row r="869" spans="33:33" x14ac:dyDescent="0.2">
      <c r="AG869" s="419"/>
    </row>
    <row r="870" spans="33:33" x14ac:dyDescent="0.2">
      <c r="AG870" s="419"/>
    </row>
    <row r="871" spans="33:33" x14ac:dyDescent="0.2">
      <c r="AG871" s="419"/>
    </row>
    <row r="872" spans="33:33" x14ac:dyDescent="0.2">
      <c r="AG872" s="419"/>
    </row>
    <row r="873" spans="33:33" x14ac:dyDescent="0.2">
      <c r="AG873" s="419"/>
    </row>
    <row r="874" spans="33:33" x14ac:dyDescent="0.2">
      <c r="AG874" s="419"/>
    </row>
    <row r="875" spans="33:33" x14ac:dyDescent="0.2">
      <c r="AG875" s="419"/>
    </row>
    <row r="876" spans="33:33" x14ac:dyDescent="0.2">
      <c r="AG876" s="419"/>
    </row>
    <row r="877" spans="33:33" x14ac:dyDescent="0.2">
      <c r="AG877" s="419"/>
    </row>
    <row r="878" spans="33:33" x14ac:dyDescent="0.2">
      <c r="AG878" s="419"/>
    </row>
    <row r="879" spans="33:33" x14ac:dyDescent="0.2">
      <c r="AG879" s="419"/>
    </row>
    <row r="880" spans="33:33" x14ac:dyDescent="0.2">
      <c r="AG880" s="419"/>
    </row>
    <row r="881" spans="33:33" x14ac:dyDescent="0.2">
      <c r="AG881" s="419"/>
    </row>
    <row r="882" spans="33:33" x14ac:dyDescent="0.2">
      <c r="AG882" s="419"/>
    </row>
    <row r="883" spans="33:33" x14ac:dyDescent="0.2">
      <c r="AG883" s="419"/>
    </row>
    <row r="884" spans="33:33" x14ac:dyDescent="0.2">
      <c r="AG884" s="419"/>
    </row>
    <row r="885" spans="33:33" x14ac:dyDescent="0.2">
      <c r="AG885" s="419"/>
    </row>
    <row r="886" spans="33:33" x14ac:dyDescent="0.2">
      <c r="AG886" s="419"/>
    </row>
    <row r="887" spans="33:33" x14ac:dyDescent="0.2">
      <c r="AG887" s="419"/>
    </row>
    <row r="888" spans="33:33" x14ac:dyDescent="0.2">
      <c r="AG888" s="419"/>
    </row>
    <row r="889" spans="33:33" x14ac:dyDescent="0.2">
      <c r="AG889" s="419"/>
    </row>
    <row r="890" spans="33:33" x14ac:dyDescent="0.2">
      <c r="AG890" s="419"/>
    </row>
    <row r="891" spans="33:33" x14ac:dyDescent="0.2">
      <c r="AG891" s="419"/>
    </row>
    <row r="892" spans="33:33" x14ac:dyDescent="0.2">
      <c r="AG892" s="419"/>
    </row>
    <row r="893" spans="33:33" x14ac:dyDescent="0.2">
      <c r="AG893" s="419"/>
    </row>
    <row r="894" spans="33:33" x14ac:dyDescent="0.2">
      <c r="AG894" s="419"/>
    </row>
    <row r="895" spans="33:33" x14ac:dyDescent="0.2">
      <c r="AG895" s="419"/>
    </row>
    <row r="896" spans="33:33" x14ac:dyDescent="0.2">
      <c r="AG896" s="419"/>
    </row>
    <row r="897" spans="33:33" x14ac:dyDescent="0.2">
      <c r="AG897" s="419"/>
    </row>
    <row r="898" spans="33:33" x14ac:dyDescent="0.2">
      <c r="AG898" s="419"/>
    </row>
    <row r="899" spans="33:33" x14ac:dyDescent="0.2">
      <c r="AG899" s="419"/>
    </row>
    <row r="900" spans="33:33" x14ac:dyDescent="0.2">
      <c r="AG900" s="419"/>
    </row>
    <row r="901" spans="33:33" x14ac:dyDescent="0.2">
      <c r="AG901" s="419"/>
    </row>
    <row r="902" spans="33:33" x14ac:dyDescent="0.2">
      <c r="AG902" s="419"/>
    </row>
    <row r="903" spans="33:33" x14ac:dyDescent="0.2">
      <c r="AG903" s="419"/>
    </row>
    <row r="904" spans="33:33" x14ac:dyDescent="0.2">
      <c r="AG904" s="419"/>
    </row>
    <row r="905" spans="33:33" x14ac:dyDescent="0.2">
      <c r="AG905" s="419"/>
    </row>
    <row r="906" spans="33:33" x14ac:dyDescent="0.2">
      <c r="AG906" s="419"/>
    </row>
    <row r="907" spans="33:33" x14ac:dyDescent="0.2">
      <c r="AG907" s="419"/>
    </row>
    <row r="908" spans="33:33" x14ac:dyDescent="0.2">
      <c r="AG908" s="419"/>
    </row>
    <row r="909" spans="33:33" x14ac:dyDescent="0.2">
      <c r="AG909" s="419"/>
    </row>
    <row r="910" spans="33:33" x14ac:dyDescent="0.2">
      <c r="AG910" s="419"/>
    </row>
    <row r="911" spans="33:33" x14ac:dyDescent="0.2">
      <c r="AG911" s="419"/>
    </row>
    <row r="912" spans="33:33" x14ac:dyDescent="0.2">
      <c r="AG912" s="419"/>
    </row>
    <row r="913" spans="33:33" x14ac:dyDescent="0.2">
      <c r="AG913" s="419"/>
    </row>
    <row r="914" spans="33:33" x14ac:dyDescent="0.2">
      <c r="AG914" s="419"/>
    </row>
    <row r="915" spans="33:33" x14ac:dyDescent="0.2">
      <c r="AG915" s="419"/>
    </row>
    <row r="916" spans="33:33" x14ac:dyDescent="0.2">
      <c r="AG916" s="419"/>
    </row>
    <row r="917" spans="33:33" x14ac:dyDescent="0.2">
      <c r="AG917" s="419"/>
    </row>
    <row r="918" spans="33:33" x14ac:dyDescent="0.2">
      <c r="AG918" s="419"/>
    </row>
    <row r="919" spans="33:33" x14ac:dyDescent="0.2">
      <c r="AG919" s="419"/>
    </row>
    <row r="920" spans="33:33" x14ac:dyDescent="0.2">
      <c r="AG920" s="419"/>
    </row>
    <row r="921" spans="33:33" x14ac:dyDescent="0.2">
      <c r="AG921" s="419"/>
    </row>
    <row r="922" spans="33:33" x14ac:dyDescent="0.2">
      <c r="AG922" s="419"/>
    </row>
    <row r="923" spans="33:33" x14ac:dyDescent="0.2">
      <c r="AG923" s="419"/>
    </row>
    <row r="924" spans="33:33" x14ac:dyDescent="0.2">
      <c r="AG924" s="419"/>
    </row>
    <row r="925" spans="33:33" x14ac:dyDescent="0.2">
      <c r="AG925" s="419"/>
    </row>
    <row r="926" spans="33:33" x14ac:dyDescent="0.2">
      <c r="AG926" s="419"/>
    </row>
    <row r="927" spans="33:33" x14ac:dyDescent="0.2">
      <c r="AG927" s="419"/>
    </row>
  </sheetData>
  <sheetProtection algorithmName="SHA-512" hashValue="p+5iH/SGuPKhX/1e72RManwhHBBJ7Ok9jg+5g/9Mv+3PQ8myH3qNh0KzrOPCY2z2Cle4IIriJ8M2s8epFNODyw==" saltValue="yyUZdyC7anFeMIBXRZHJvw=="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60">
        <f>Main!D3</f>
        <v>0</v>
      </c>
      <c r="E10" s="560"/>
      <c r="F10" s="560"/>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9" t="s">
        <v>298</v>
      </c>
      <c r="F15" s="559"/>
      <c r="G15" s="559"/>
      <c r="H15" s="559"/>
    </row>
    <row r="16" spans="3:8" ht="15" x14ac:dyDescent="0.2">
      <c r="C16" s="129"/>
      <c r="D16" s="72"/>
      <c r="E16" s="286" t="s">
        <v>115</v>
      </c>
      <c r="F16" s="286"/>
      <c r="G16" s="286"/>
      <c r="H16" s="286"/>
    </row>
    <row r="17" spans="3:8" ht="15" x14ac:dyDescent="0.2">
      <c r="C17" s="129"/>
      <c r="D17" s="72"/>
      <c r="E17" s="558" t="s">
        <v>116</v>
      </c>
      <c r="F17" s="558"/>
      <c r="G17" s="558"/>
      <c r="H17" s="558"/>
    </row>
    <row r="18" spans="3:8" ht="15" x14ac:dyDescent="0.2">
      <c r="C18" s="129"/>
      <c r="D18" s="72"/>
      <c r="E18" s="558" t="s">
        <v>6</v>
      </c>
      <c r="F18" s="558"/>
      <c r="G18" s="558"/>
      <c r="H18" s="558"/>
    </row>
    <row r="19" spans="3:8" ht="15" x14ac:dyDescent="0.2">
      <c r="C19" s="129"/>
      <c r="D19" s="72"/>
      <c r="E19" s="558" t="s">
        <v>121</v>
      </c>
      <c r="F19" s="558"/>
      <c r="G19" s="558"/>
      <c r="H19" s="558"/>
    </row>
    <row r="20" spans="3:8" ht="15" x14ac:dyDescent="0.2">
      <c r="C20" s="129"/>
      <c r="D20" s="72"/>
      <c r="E20" s="558" t="s">
        <v>118</v>
      </c>
      <c r="F20" s="558"/>
      <c r="G20" s="558"/>
      <c r="H20" s="558"/>
    </row>
    <row r="21" spans="3:8" ht="15" x14ac:dyDescent="0.2">
      <c r="C21" s="129"/>
      <c r="D21" s="72"/>
      <c r="E21" s="558" t="s">
        <v>119</v>
      </c>
      <c r="F21" s="558"/>
      <c r="G21" s="558"/>
      <c r="H21" s="558"/>
    </row>
    <row r="22" spans="3:8" ht="15" x14ac:dyDescent="0.2">
      <c r="C22" s="129"/>
      <c r="D22" s="72"/>
      <c r="E22" s="558" t="s">
        <v>102</v>
      </c>
      <c r="F22" s="558"/>
      <c r="G22" s="558"/>
      <c r="H22" s="558"/>
    </row>
    <row r="23" spans="3:8" ht="15" x14ac:dyDescent="0.2">
      <c r="C23" s="129"/>
      <c r="D23" s="72"/>
      <c r="E23" s="558" t="s">
        <v>120</v>
      </c>
      <c r="F23" s="558"/>
      <c r="G23" s="558"/>
      <c r="H23" s="558"/>
    </row>
    <row r="24" spans="3:8" ht="15" x14ac:dyDescent="0.2">
      <c r="C24" s="81"/>
      <c r="D24" s="72"/>
      <c r="E24" s="558" t="s">
        <v>138</v>
      </c>
      <c r="F24" s="558"/>
      <c r="G24" s="558"/>
      <c r="H24" s="558"/>
    </row>
    <row r="25" spans="3:8" ht="15" x14ac:dyDescent="0.2">
      <c r="C25" s="81"/>
      <c r="D25" s="72"/>
      <c r="E25" s="558"/>
      <c r="F25" s="558"/>
      <c r="G25" s="558"/>
      <c r="H25" s="558"/>
    </row>
    <row r="26" spans="3:8" ht="15" x14ac:dyDescent="0.2">
      <c r="C26" s="81"/>
      <c r="D26" s="72"/>
      <c r="E26" s="558"/>
      <c r="F26" s="558"/>
      <c r="G26" s="558"/>
      <c r="H26" s="558"/>
    </row>
    <row r="27" spans="3:8" ht="15" x14ac:dyDescent="0.2">
      <c r="C27" s="81"/>
      <c r="D27" s="72"/>
      <c r="E27" s="558"/>
      <c r="F27" s="558"/>
      <c r="G27" s="558"/>
      <c r="H27" s="558"/>
    </row>
    <row r="28" spans="3:8" ht="15" x14ac:dyDescent="0.2">
      <c r="C28" s="81"/>
      <c r="D28" s="72"/>
      <c r="E28" s="558"/>
      <c r="F28" s="558"/>
      <c r="G28" s="558"/>
      <c r="H28" s="558"/>
    </row>
    <row r="29" spans="3:8" ht="15" x14ac:dyDescent="0.2">
      <c r="C29" s="81"/>
      <c r="D29" s="72"/>
      <c r="E29" s="558"/>
      <c r="F29" s="558"/>
      <c r="G29" s="558"/>
      <c r="H29" s="558"/>
    </row>
    <row r="30" spans="3:8" ht="15" x14ac:dyDescent="0.2">
      <c r="C30" s="81"/>
      <c r="D30" s="72"/>
      <c r="E30" s="558"/>
      <c r="F30" s="558"/>
      <c r="G30" s="558"/>
      <c r="H30" s="558"/>
    </row>
    <row r="31" spans="3:8" ht="15" x14ac:dyDescent="0.2">
      <c r="C31" s="247" t="s">
        <v>299</v>
      </c>
      <c r="E31" s="558"/>
      <c r="F31" s="558"/>
      <c r="G31" s="558"/>
      <c r="H31" s="558"/>
    </row>
    <row r="32" spans="3:8" ht="15" x14ac:dyDescent="0.2">
      <c r="C32" s="81"/>
      <c r="D32" s="72"/>
      <c r="E32" s="558"/>
      <c r="F32" s="558"/>
      <c r="G32" s="558"/>
      <c r="H32" s="558"/>
    </row>
    <row r="33" spans="3:8" ht="15" x14ac:dyDescent="0.2">
      <c r="C33" s="81"/>
      <c r="D33" s="72"/>
      <c r="E33" s="558"/>
      <c r="F33" s="558"/>
      <c r="G33" s="558"/>
      <c r="H33" s="558"/>
    </row>
    <row r="34" spans="3:8" ht="15" x14ac:dyDescent="0.2">
      <c r="C34" s="81"/>
      <c r="D34" s="72"/>
      <c r="E34" s="558"/>
      <c r="F34" s="558"/>
      <c r="G34" s="558"/>
      <c r="H34" s="558"/>
    </row>
    <row r="35" spans="3:8" ht="15" x14ac:dyDescent="0.2">
      <c r="C35" s="81"/>
      <c r="D35" s="72"/>
      <c r="E35" s="558"/>
      <c r="F35" s="558"/>
      <c r="G35" s="558"/>
      <c r="H35" s="558"/>
    </row>
    <row r="36" spans="3:8" ht="15" x14ac:dyDescent="0.2">
      <c r="C36" s="72"/>
      <c r="D36" s="72"/>
      <c r="E36" s="558"/>
      <c r="F36" s="558"/>
      <c r="G36" s="558"/>
      <c r="H36" s="558"/>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p1lFiPxSO4zj0AykJrKQka6HjpNRZwQeEC11Gw3lm0IJ6xu+QUfIcvdIuGMBCF7NJktUX+jP6g1tfD5DLXYV1g==" saltValue="YTuLjYOxPcUEjmOGF1pMDA=="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8" t="s">
        <v>107</v>
      </c>
      <c r="E1" s="578"/>
      <c r="F1" s="578"/>
      <c r="G1" s="578"/>
      <c r="H1" s="578"/>
      <c r="I1" s="578"/>
      <c r="J1" s="578"/>
      <c r="K1" s="578"/>
      <c r="L1" s="578"/>
      <c r="M1" s="578"/>
    </row>
    <row r="2" spans="1:18" ht="23.25" customHeight="1" x14ac:dyDescent="0.3">
      <c r="C2" s="229"/>
      <c r="D2" s="229" t="s">
        <v>254</v>
      </c>
      <c r="E2" s="229"/>
      <c r="F2" s="229"/>
      <c r="G2" s="229"/>
      <c r="H2" s="229"/>
      <c r="I2" s="229"/>
      <c r="J2" s="229"/>
      <c r="K2" s="229"/>
      <c r="L2" s="229"/>
      <c r="M2" s="229"/>
    </row>
    <row r="3" spans="1:18" ht="23.25" x14ac:dyDescent="0.35">
      <c r="C3" s="579"/>
      <c r="D3" s="579"/>
      <c r="E3" s="579"/>
      <c r="F3" s="579"/>
      <c r="G3" s="579"/>
      <c r="H3" s="579"/>
      <c r="I3" s="579"/>
      <c r="J3" s="579"/>
      <c r="K3" s="579"/>
      <c r="L3" s="579"/>
      <c r="M3" s="579"/>
    </row>
    <row r="4" spans="1:18" ht="23.25" x14ac:dyDescent="0.35">
      <c r="C4" s="213"/>
      <c r="D4" s="213"/>
      <c r="E4" s="213"/>
      <c r="F4" s="213"/>
      <c r="G4" s="213"/>
      <c r="H4" s="213"/>
      <c r="I4" s="213"/>
      <c r="J4" s="213"/>
      <c r="K4" s="213"/>
      <c r="L4" s="213"/>
      <c r="M4" s="213"/>
    </row>
    <row r="5" spans="1:18" ht="23.25" x14ac:dyDescent="0.35">
      <c r="C5" s="596" t="s">
        <v>6</v>
      </c>
      <c r="D5" s="596"/>
      <c r="E5" s="596"/>
      <c r="F5" s="596"/>
      <c r="G5" s="596"/>
      <c r="H5" s="596"/>
      <c r="I5" s="596"/>
      <c r="J5" s="596"/>
      <c r="K5" s="596"/>
      <c r="L5" s="596"/>
      <c r="M5" s="596"/>
    </row>
    <row r="6" spans="1:18" ht="23.25" x14ac:dyDescent="0.35">
      <c r="C6" s="214"/>
      <c r="D6" s="214"/>
      <c r="E6" s="562" t="str">
        <f>IFERROR(CONCATENATE("Report Number: ", WorkItemNumber),"")</f>
        <v/>
      </c>
      <c r="F6" s="562"/>
      <c r="G6" s="562"/>
      <c r="H6" s="562"/>
      <c r="I6" s="562"/>
      <c r="J6" s="562"/>
      <c r="K6" s="562"/>
      <c r="L6" s="214"/>
      <c r="M6" s="214"/>
    </row>
    <row r="7" spans="1:18" ht="18.75" customHeight="1" x14ac:dyDescent="0.3">
      <c r="G7" s="574"/>
      <c r="H7" s="574"/>
      <c r="I7" s="191"/>
      <c r="R7" t="str">
        <f>CONCATENATE("Page ",Main!L9," of ",Main!L10)</f>
        <v xml:space="preserve">Page  of </v>
      </c>
    </row>
    <row r="8" spans="1:18" ht="18" customHeight="1" x14ac:dyDescent="0.25">
      <c r="G8" s="591"/>
      <c r="H8" s="591"/>
      <c r="J8" s="78"/>
      <c r="K8" s="215" t="s">
        <v>251</v>
      </c>
      <c r="L8" s="575">
        <f>FormNumber</f>
        <v>0</v>
      </c>
      <c r="M8" s="575"/>
      <c r="N8" s="575"/>
      <c r="O8" s="575"/>
    </row>
    <row r="9" spans="1:18" ht="18" customHeight="1" x14ac:dyDescent="0.25">
      <c r="A9" s="215" t="s">
        <v>208</v>
      </c>
      <c r="B9" s="32" t="e">
        <f>Main!D5</f>
        <v>#N/A</v>
      </c>
      <c r="J9" s="78"/>
      <c r="K9" s="215" t="s">
        <v>252</v>
      </c>
      <c r="L9" s="576" t="str">
        <f>"JGI WP4100, "&amp;CalMethod</f>
        <v xml:space="preserve">JGI WP4100, </v>
      </c>
      <c r="M9" s="576"/>
      <c r="N9" s="576"/>
      <c r="O9" s="576"/>
    </row>
    <row r="10" spans="1:18" ht="18" customHeight="1" x14ac:dyDescent="0.25">
      <c r="A10" s="86"/>
      <c r="B10" s="210" t="str" cm="1">
        <f t="array" ref="B10">IFZERO('Customer Table'!R2,"")</f>
        <v/>
      </c>
      <c r="J10" s="78"/>
      <c r="K10" s="215"/>
      <c r="L10" s="576"/>
      <c r="M10" s="576"/>
      <c r="N10" s="576"/>
      <c r="O10" s="576"/>
    </row>
    <row r="11" spans="1:18" ht="18" customHeight="1" x14ac:dyDescent="0.25">
      <c r="A11" s="86"/>
      <c r="B11" s="210" t="str" cm="1">
        <f t="array" ref="B11">IFZERO('Customer Table'!S2,"")</f>
        <v/>
      </c>
      <c r="J11" s="78"/>
      <c r="K11" s="215" t="s">
        <v>253</v>
      </c>
      <c r="L11" s="575">
        <f>TolSource</f>
        <v>0</v>
      </c>
      <c r="M11" s="575"/>
      <c r="N11" s="575"/>
      <c r="O11" s="575"/>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657" t="e">
        <f>Main!D19</f>
        <v>#N/A</v>
      </c>
      <c r="M15" s="215" t="s">
        <v>220</v>
      </c>
      <c r="N15" s="223">
        <f>Main!D3</f>
        <v>0</v>
      </c>
      <c r="O15" s="194"/>
    </row>
    <row r="16" spans="1:18" ht="18" customHeight="1" x14ac:dyDescent="0.25">
      <c r="A16" s="221" t="s">
        <v>211</v>
      </c>
      <c r="B16" s="593">
        <f>SerialNumber</f>
        <v>0</v>
      </c>
      <c r="C16" s="593"/>
      <c r="D16" s="593"/>
      <c r="E16" s="593"/>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82">
        <f>Class</f>
        <v>0</v>
      </c>
      <c r="C18" s="582"/>
      <c r="D18" s="582"/>
      <c r="E18" s="582"/>
      <c r="G18" s="215" t="s">
        <v>218</v>
      </c>
      <c r="H18" s="219">
        <f>CubicFeet</f>
        <v>0</v>
      </c>
      <c r="M18" s="215" t="s">
        <v>222</v>
      </c>
      <c r="N18" s="219" t="str">
        <f>Main!G18</f>
        <v>ACCEPTED</v>
      </c>
      <c r="O18" s="194"/>
    </row>
    <row r="19" spans="1:19" ht="18" customHeight="1" x14ac:dyDescent="0.25">
      <c r="A19" s="205"/>
      <c r="B19" s="583"/>
      <c r="C19" s="583"/>
      <c r="D19" s="583"/>
      <c r="E19" s="583"/>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94">
        <f>Controller</f>
        <v>0</v>
      </c>
      <c r="C21" s="594"/>
      <c r="D21" s="594"/>
      <c r="E21" s="594"/>
      <c r="F21" s="206" t="s">
        <v>225</v>
      </c>
      <c r="G21" s="594">
        <f>ContSN</f>
        <v>0</v>
      </c>
      <c r="H21" s="594"/>
      <c r="I21" s="594"/>
      <c r="J21" s="206" t="s">
        <v>226</v>
      </c>
      <c r="K21" s="218">
        <f>ContTol</f>
        <v>0</v>
      </c>
      <c r="L21" s="192"/>
      <c r="M21" s="206" t="s">
        <v>227</v>
      </c>
      <c r="N21" s="231" t="str">
        <f>Main!G27</f>
        <v/>
      </c>
      <c r="O21" s="193"/>
    </row>
    <row r="22" spans="1:19" ht="18" customHeight="1" x14ac:dyDescent="0.25">
      <c r="A22" s="224" t="s">
        <v>224</v>
      </c>
      <c r="B22" s="595">
        <f>_xlnm.Recorder</f>
        <v>0</v>
      </c>
      <c r="C22" s="595"/>
      <c r="D22" s="595"/>
      <c r="E22" s="595"/>
      <c r="F22" s="207" t="s">
        <v>225</v>
      </c>
      <c r="G22" s="595">
        <f>RecSN</f>
        <v>0</v>
      </c>
      <c r="H22" s="595"/>
      <c r="I22" s="595"/>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IF(Main!H17=TRUE,Main!G17,"VERIFY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92" t="s">
        <v>236</v>
      </c>
      <c r="D27" s="592"/>
      <c r="E27" s="592"/>
      <c r="F27" s="592"/>
      <c r="G27" s="592"/>
      <c r="H27" s="592"/>
      <c r="I27" s="592"/>
      <c r="J27" s="592"/>
      <c r="K27" s="592"/>
      <c r="L27" s="592"/>
      <c r="M27" s="592"/>
      <c r="N27" s="195"/>
      <c r="O27" s="196"/>
    </row>
    <row r="28" spans="1:19" ht="8.1" customHeight="1" x14ac:dyDescent="0.2"/>
    <row r="29" spans="1:19" ht="18" customHeight="1" x14ac:dyDescent="0.2">
      <c r="A29" s="588" t="s">
        <v>206</v>
      </c>
      <c r="B29" s="589"/>
      <c r="C29" s="590"/>
      <c r="D29" s="588" t="s">
        <v>237</v>
      </c>
      <c r="E29" s="589"/>
      <c r="F29" s="589"/>
      <c r="G29" s="590"/>
      <c r="H29" s="588" t="s">
        <v>207</v>
      </c>
      <c r="I29" s="589"/>
      <c r="J29" s="589"/>
      <c r="K29" s="590"/>
      <c r="L29" s="588" t="s">
        <v>193</v>
      </c>
      <c r="M29" s="589"/>
      <c r="N29" s="589"/>
      <c r="O29" s="590"/>
    </row>
    <row r="30" spans="1:19" ht="18" customHeight="1" x14ac:dyDescent="0.2">
      <c r="A30" s="211"/>
      <c r="B30" s="201" t="s">
        <v>427</v>
      </c>
      <c r="C30" s="212"/>
      <c r="D30" s="585" t="str">
        <f>CONCATENATE(Main!D22,Unit," / ",Main!D23,"% RH")</f>
        <v>°F / % RH</v>
      </c>
      <c r="E30" s="586"/>
      <c r="F30" s="586"/>
      <c r="G30" s="587"/>
      <c r="H30" s="585">
        <f>OvenLocation</f>
        <v>0</v>
      </c>
      <c r="I30" s="586"/>
      <c r="J30" s="586"/>
      <c r="K30" s="587"/>
      <c r="L30" s="585" t="str">
        <f>Main!D4</f>
        <v/>
      </c>
      <c r="M30" s="586"/>
      <c r="N30" s="586"/>
      <c r="O30" s="587"/>
    </row>
    <row r="31" spans="1:19" ht="18" customHeight="1" x14ac:dyDescent="0.2"/>
    <row r="32" spans="1:19" ht="18" customHeight="1" x14ac:dyDescent="0.25">
      <c r="A32" s="234" t="s">
        <v>238</v>
      </c>
      <c r="B32" s="577" t="s">
        <v>239</v>
      </c>
      <c r="C32" s="577"/>
      <c r="D32" s="234" t="s">
        <v>202</v>
      </c>
      <c r="E32" s="234" t="s">
        <v>201</v>
      </c>
      <c r="F32" s="234" t="s">
        <v>240</v>
      </c>
      <c r="G32" s="78"/>
      <c r="H32" s="78"/>
      <c r="I32" s="234" t="s">
        <v>238</v>
      </c>
      <c r="J32" s="577" t="s">
        <v>239</v>
      </c>
      <c r="K32" s="577"/>
      <c r="L32" s="234" t="s">
        <v>202</v>
      </c>
      <c r="M32" s="234" t="s">
        <v>201</v>
      </c>
      <c r="N32" s="234" t="s">
        <v>240</v>
      </c>
    </row>
    <row r="33" spans="1:14" ht="18" customHeight="1" x14ac:dyDescent="0.2">
      <c r="A33" s="235" t="str">
        <f>IF(B33="","",1)</f>
        <v/>
      </c>
      <c r="B33" s="574" t="str">
        <f>IF(Main!O5="","",Main!O5)</f>
        <v/>
      </c>
      <c r="C33" s="574"/>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4" t="str">
        <f>IF(Main!O25="","",Main!O25)</f>
        <v/>
      </c>
      <c r="K33" s="574"/>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4" t="str">
        <f>IF(Main!O6="","",Main!O6)</f>
        <v/>
      </c>
      <c r="C34" s="574"/>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4" t="str">
        <f>IF(Main!O26="","",Main!O26)</f>
        <v/>
      </c>
      <c r="K34" s="574"/>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4" t="str">
        <f>IF(Main!O7="","",Main!O7)</f>
        <v/>
      </c>
      <c r="C35" s="574"/>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4" t="str">
        <f>IF(Main!O27="","",Main!O27)</f>
        <v/>
      </c>
      <c r="K35" s="574"/>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4" t="str">
        <f>IF(Main!O8="","",Main!O8)</f>
        <v/>
      </c>
      <c r="C36" s="574"/>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4" t="str">
        <f>IF(Main!O28="","",Main!O28)</f>
        <v/>
      </c>
      <c r="K36" s="574"/>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4" t="str">
        <f>IF(Main!O9="","",Main!O9)</f>
        <v/>
      </c>
      <c r="C37" s="574"/>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4" t="str">
        <f>IF(Main!O29="","",Main!O29)</f>
        <v/>
      </c>
      <c r="K37" s="574"/>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4" t="str">
        <f>IF(Main!O10="","",Main!O10)</f>
        <v/>
      </c>
      <c r="C38" s="574"/>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4" t="str">
        <f>IF(Main!O30="","",Main!O30)</f>
        <v/>
      </c>
      <c r="K38" s="574"/>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4" t="str">
        <f>IF(Main!O11="","",Main!O11)</f>
        <v/>
      </c>
      <c r="C39" s="574"/>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4" t="str">
        <f>IF(Main!O31="","",Main!O31)</f>
        <v/>
      </c>
      <c r="K39" s="574"/>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4" t="str">
        <f>IF(Main!O12="","",Main!O12)</f>
        <v/>
      </c>
      <c r="C40" s="574"/>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4" t="str">
        <f>IF(Main!O32="","",Main!O32)</f>
        <v/>
      </c>
      <c r="K40" s="574"/>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4" t="str">
        <f>IF(Main!O13="","",Main!O13)</f>
        <v/>
      </c>
      <c r="C41" s="574"/>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4" t="str">
        <f>IF(Main!O33="","",Main!O33)</f>
        <v/>
      </c>
      <c r="K41" s="574"/>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4" t="str">
        <f>IF(Main!O14="","",Main!O14)</f>
        <v/>
      </c>
      <c r="C42" s="574"/>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4" t="str">
        <f>IF(Main!O34="","",Main!O34)</f>
        <v/>
      </c>
      <c r="K42" s="574"/>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4" t="str">
        <f>IF(Main!O15="","",Main!O15)</f>
        <v/>
      </c>
      <c r="C43" s="574"/>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4" t="str">
        <f>IF(Main!O35="","",Main!O35)</f>
        <v/>
      </c>
      <c r="K43" s="574"/>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4" t="str">
        <f>IF(Main!O16="","",Main!O16)</f>
        <v/>
      </c>
      <c r="C44" s="574"/>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4" t="str">
        <f>IF(Main!O36="","",Main!O36)</f>
        <v/>
      </c>
      <c r="K44" s="574"/>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4" t="str">
        <f>IF(Main!O17="","",Main!O17)</f>
        <v/>
      </c>
      <c r="C45" s="574"/>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4" t="str">
        <f>IF(Main!O37="","",Main!O37)</f>
        <v/>
      </c>
      <c r="K45" s="574"/>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4" t="str">
        <f>IF(Main!O18="","",Main!O18)</f>
        <v/>
      </c>
      <c r="C46" s="574"/>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4" t="str">
        <f>IF(Main!O38="","",Main!O38)</f>
        <v/>
      </c>
      <c r="K46" s="574"/>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4" t="str">
        <f>IF(Main!O19="","",Main!O19)</f>
        <v/>
      </c>
      <c r="C47" s="574"/>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4" t="str">
        <f>IF(Main!O39="","",Main!O39)</f>
        <v/>
      </c>
      <c r="K47" s="574"/>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4" t="str">
        <f>IF(Main!O20="","",Main!O20)</f>
        <v/>
      </c>
      <c r="C48" s="574"/>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4" t="str">
        <f>IF(Main!O40="","",Main!O40)</f>
        <v/>
      </c>
      <c r="K48" s="574"/>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4" t="str">
        <f>IF(Main!O21="","",Main!O21)</f>
        <v/>
      </c>
      <c r="C49" s="574"/>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4" t="str">
        <f>IF(Main!O41="","",Main!O41)</f>
        <v/>
      </c>
      <c r="K49" s="574"/>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4" t="str">
        <f>IF(Main!O22="","",Main!O22)</f>
        <v/>
      </c>
      <c r="C50" s="574"/>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4" t="str">
        <f>IF(Main!O42="","",Main!O42)</f>
        <v/>
      </c>
      <c r="K50" s="574"/>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4" t="str">
        <f>IF(Main!O23="","",Main!O23)</f>
        <v/>
      </c>
      <c r="C51" s="574"/>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4" t="str">
        <f>IF(Main!O43="","",Main!O43)</f>
        <v/>
      </c>
      <c r="K51" s="574"/>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4" t="str">
        <f>IF(Main!O24="","",Main!O24)</f>
        <v/>
      </c>
      <c r="C52" s="574"/>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4" t="str">
        <f>IF(Main!O44="","",Main!O44)</f>
        <v/>
      </c>
      <c r="K52" s="574"/>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81" t="s">
        <v>241</v>
      </c>
      <c r="C53" s="581"/>
      <c r="D53" s="581"/>
      <c r="E53" s="581"/>
      <c r="F53" s="581"/>
      <c r="G53" s="581"/>
      <c r="H53" s="581"/>
      <c r="I53" s="581"/>
      <c r="J53" s="581"/>
      <c r="K53" s="581"/>
      <c r="L53" s="581"/>
      <c r="M53" s="581"/>
      <c r="N53" s="581"/>
    </row>
    <row r="54" spans="1:21" ht="18" customHeight="1" x14ac:dyDescent="0.25">
      <c r="A54" s="237" t="s">
        <v>242</v>
      </c>
      <c r="B54" s="576" t="str">
        <f>CONCATENATE(Main!G23,"  ",FurnaceSpecificComments,Main!V24)</f>
        <v xml:space="preserve">Found in tolerance.  No adjustment required.  </v>
      </c>
      <c r="C54" s="576"/>
      <c r="D54" s="576"/>
      <c r="E54" s="576"/>
      <c r="F54" s="576"/>
      <c r="G54" s="576"/>
      <c r="H54" s="576"/>
      <c r="I54" s="576"/>
      <c r="J54" s="576"/>
      <c r="K54" s="576"/>
      <c r="L54" s="576"/>
      <c r="M54" s="576"/>
      <c r="N54" s="576"/>
      <c r="O54" s="576"/>
    </row>
    <row r="55" spans="1:21" ht="18" customHeight="1" x14ac:dyDescent="0.25">
      <c r="A55" s="75"/>
      <c r="B55" s="576"/>
      <c r="C55" s="576"/>
      <c r="D55" s="576"/>
      <c r="E55" s="576"/>
      <c r="F55" s="576"/>
      <c r="G55" s="576"/>
      <c r="H55" s="576"/>
      <c r="I55" s="576"/>
      <c r="J55" s="576"/>
      <c r="K55" s="576"/>
      <c r="L55" s="576"/>
      <c r="M55" s="576"/>
      <c r="N55" s="576"/>
      <c r="O55" s="576"/>
    </row>
    <row r="56" spans="1:21" ht="18" customHeight="1" x14ac:dyDescent="0.25">
      <c r="A56" s="75"/>
      <c r="B56" s="576"/>
      <c r="C56" s="576"/>
      <c r="D56" s="576"/>
      <c r="E56" s="576"/>
      <c r="F56" s="576"/>
      <c r="G56" s="576"/>
      <c r="H56" s="576"/>
      <c r="I56" s="576"/>
      <c r="J56" s="576"/>
      <c r="K56" s="576"/>
      <c r="L56" s="576"/>
      <c r="M56" s="576"/>
      <c r="N56" s="576"/>
      <c r="O56" s="576"/>
    </row>
    <row r="57" spans="1:21" ht="18" customHeight="1" x14ac:dyDescent="0.25">
      <c r="A57" s="75"/>
      <c r="B57" s="576"/>
      <c r="C57" s="576"/>
      <c r="D57" s="576"/>
      <c r="E57" s="576"/>
      <c r="F57" s="576"/>
      <c r="G57" s="576"/>
      <c r="H57" s="576"/>
      <c r="I57" s="576"/>
      <c r="J57" s="576"/>
      <c r="K57" s="576"/>
      <c r="L57" s="576"/>
      <c r="M57" s="576"/>
      <c r="N57" s="576"/>
      <c r="O57" s="576"/>
    </row>
    <row r="58" spans="1:21" ht="18" customHeight="1" x14ac:dyDescent="0.25">
      <c r="A58" s="75"/>
      <c r="B58" s="576"/>
      <c r="C58" s="576"/>
      <c r="D58" s="576"/>
      <c r="E58" s="576"/>
      <c r="F58" s="576"/>
      <c r="G58" s="576"/>
      <c r="H58" s="576"/>
      <c r="I58" s="576"/>
      <c r="J58" s="576"/>
      <c r="K58" s="576"/>
      <c r="L58" s="576"/>
      <c r="M58" s="576"/>
      <c r="N58" s="576"/>
      <c r="O58" s="576"/>
    </row>
    <row r="59" spans="1:21" ht="18" customHeight="1" x14ac:dyDescent="0.25">
      <c r="A59" s="75"/>
      <c r="B59" s="576"/>
      <c r="C59" s="576"/>
      <c r="D59" s="576"/>
      <c r="E59" s="576"/>
      <c r="F59" s="576"/>
      <c r="G59" s="576"/>
      <c r="H59" s="576"/>
      <c r="I59" s="576"/>
      <c r="J59" s="576"/>
      <c r="K59" s="576"/>
      <c r="L59" s="576"/>
      <c r="M59" s="576"/>
      <c r="N59" s="576"/>
      <c r="O59" s="576"/>
    </row>
    <row r="60" spans="1:21" ht="18" customHeight="1" x14ac:dyDescent="0.2">
      <c r="A60" s="580" t="s">
        <v>250</v>
      </c>
      <c r="B60" s="580"/>
      <c r="C60" s="580"/>
      <c r="D60" s="580"/>
      <c r="E60" s="580"/>
      <c r="F60" s="580"/>
      <c r="G60" s="580"/>
      <c r="H60" s="580"/>
      <c r="I60" s="580"/>
      <c r="J60" s="580"/>
      <c r="K60" s="580"/>
      <c r="L60" s="580"/>
      <c r="M60" s="580"/>
      <c r="N60" s="580"/>
      <c r="O60" s="580"/>
    </row>
    <row r="61" spans="1:21" ht="18" customHeight="1" x14ac:dyDescent="0.2">
      <c r="A61" s="584" t="s">
        <v>243</v>
      </c>
      <c r="B61" s="584"/>
      <c r="C61" s="584"/>
      <c r="D61" s="584"/>
      <c r="E61" s="584"/>
      <c r="F61" s="573" t="s">
        <v>244</v>
      </c>
      <c r="G61" s="573"/>
      <c r="H61" s="573"/>
      <c r="I61" s="573" t="s">
        <v>245</v>
      </c>
      <c r="J61" s="573"/>
      <c r="K61" s="573" t="s">
        <v>246</v>
      </c>
      <c r="L61" s="573"/>
      <c r="M61" s="573" t="s">
        <v>247</v>
      </c>
      <c r="N61" s="573"/>
      <c r="O61" s="573"/>
      <c r="R61" s="36" t="s">
        <v>329</v>
      </c>
      <c r="T61" s="36" t="s">
        <v>330</v>
      </c>
      <c r="U61" s="36" t="s">
        <v>65</v>
      </c>
    </row>
    <row r="62" spans="1:21" ht="18" customHeight="1" x14ac:dyDescent="0.2">
      <c r="A62" s="563" t="str">
        <f>IF(F62="","",CONCATENATE(T62," - ",R62))</f>
        <v/>
      </c>
      <c r="B62" s="564"/>
      <c r="C62" s="564"/>
      <c r="D62" s="564"/>
      <c r="E62" s="565"/>
      <c r="F62" s="563" t="str" cm="1">
        <f t="array" ref="F62">IFERROR(
  _xlfn.XLOOKUP(
    Main!D9,
    _xlfn._xlws.FILTER(AssetPool[AssetTag], AssetPool[RootCategoryName]= "DAQ Modules"),
    _xlfn._xlws.FILTER(AssetPool[SerialNumber], AssetPool[RootCategoryName]= "DAQ Modules")
  ),
  ""
)</f>
        <v/>
      </c>
      <c r="G62" s="564"/>
      <c r="H62" s="565"/>
      <c r="I62" s="569" t="str">
        <f>IF(F62="","",Main!D12)</f>
        <v/>
      </c>
      <c r="J62" s="570"/>
      <c r="K62" s="569" t="str">
        <f>IF(F62="","",Main!D13)</f>
        <v/>
      </c>
      <c r="L62" s="570"/>
      <c r="M62" s="597" t="str">
        <f>IF(F62="","",Main!D14)</f>
        <v/>
      </c>
      <c r="N62" s="598"/>
      <c r="O62" s="599"/>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66" t="str">
        <f>IF(Q63="","",CONCATENATE("Type """,U63,""" Thermocouple"))</f>
        <v/>
      </c>
      <c r="B63" s="567"/>
      <c r="C63" s="567"/>
      <c r="D63" s="567"/>
      <c r="E63" s="568"/>
      <c r="F63" s="566" t="str">
        <f>IF(Main!D48="","",Main!D48)</f>
        <v/>
      </c>
      <c r="G63" s="567"/>
      <c r="H63" s="568"/>
      <c r="I63" s="571" t="str">
        <f>IF(Q63="","",Main!D49)</f>
        <v/>
      </c>
      <c r="J63" s="572"/>
      <c r="K63" s="571" t="str">
        <f>IF(Q63="","",Main!D50)</f>
        <v/>
      </c>
      <c r="L63" s="572"/>
      <c r="M63" s="566" t="str">
        <f>IF(Q63="","",Main!D54)</f>
        <v/>
      </c>
      <c r="N63" s="567"/>
      <c r="O63" s="568"/>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66" t="str">
        <f t="shared" ref="A64:A69" si="0">IF(Q64="","",CONCATENATE("Type """,U64,""" Thermocouple"))</f>
        <v/>
      </c>
      <c r="B64" s="567"/>
      <c r="C64" s="567"/>
      <c r="D64" s="567"/>
      <c r="E64" s="568"/>
      <c r="F64" s="566" t="str">
        <f>IF(Main!E48="","",Main!E48)</f>
        <v/>
      </c>
      <c r="G64" s="567"/>
      <c r="H64" s="568"/>
      <c r="I64" s="571" t="str">
        <f>IF(Q64="","",Main!E49)</f>
        <v/>
      </c>
      <c r="J64" s="572"/>
      <c r="K64" s="571" t="str">
        <f>IF(Q64="","",Main!E50)</f>
        <v/>
      </c>
      <c r="L64" s="572"/>
      <c r="M64" s="566" t="str">
        <f>IF(Q64="","",Main!E54)</f>
        <v/>
      </c>
      <c r="N64" s="567"/>
      <c r="O64" s="568"/>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66" t="str">
        <f t="shared" si="0"/>
        <v/>
      </c>
      <c r="B65" s="567"/>
      <c r="C65" s="567"/>
      <c r="D65" s="567"/>
      <c r="E65" s="568"/>
      <c r="F65" s="566" t="str">
        <f>IF(Main!F48="","",Main!F48)</f>
        <v/>
      </c>
      <c r="G65" s="567"/>
      <c r="H65" s="568"/>
      <c r="I65" s="571" t="str">
        <f>IF(Q65="","",Main!F49)</f>
        <v/>
      </c>
      <c r="J65" s="572"/>
      <c r="K65" s="571" t="str">
        <f>IF(Q65="","",Main!F50)</f>
        <v/>
      </c>
      <c r="L65" s="572"/>
      <c r="M65" s="566" t="str">
        <f>IF(Q65="","",Main!F54)</f>
        <v/>
      </c>
      <c r="N65" s="567"/>
      <c r="O65" s="568"/>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66" t="str">
        <f t="shared" si="0"/>
        <v/>
      </c>
      <c r="B66" s="567"/>
      <c r="C66" s="567"/>
      <c r="D66" s="567"/>
      <c r="E66" s="568"/>
      <c r="F66" s="566" t="str">
        <f>IF(Main!G48="","",Main!G48)</f>
        <v/>
      </c>
      <c r="G66" s="567"/>
      <c r="H66" s="568"/>
      <c r="I66" s="571" t="str">
        <f>IF(Q66="","",Main!G49)</f>
        <v/>
      </c>
      <c r="J66" s="572"/>
      <c r="K66" s="571" t="str">
        <f>IF(Q66="","",Main!G50)</f>
        <v/>
      </c>
      <c r="L66" s="572"/>
      <c r="M66" s="566" t="str">
        <f>IF(Q66="","",Main!G54)</f>
        <v/>
      </c>
      <c r="N66" s="567"/>
      <c r="O66" s="568"/>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66" t="str">
        <f t="shared" si="0"/>
        <v/>
      </c>
      <c r="B67" s="567"/>
      <c r="C67" s="567"/>
      <c r="D67" s="567"/>
      <c r="E67" s="568"/>
      <c r="F67" s="566" t="str">
        <f>IF(Main!H48="","",Main!H48)</f>
        <v/>
      </c>
      <c r="G67" s="567"/>
      <c r="H67" s="568"/>
      <c r="I67" s="571" t="str">
        <f>IF(Q67="","",Main!H49)</f>
        <v/>
      </c>
      <c r="J67" s="572"/>
      <c r="K67" s="571" t="str">
        <f>IF(Q67="","",Main!H50)</f>
        <v/>
      </c>
      <c r="L67" s="572"/>
      <c r="M67" s="566" t="str">
        <f>IF(Q67="","",Main!H54)</f>
        <v/>
      </c>
      <c r="N67" s="567"/>
      <c r="O67" s="568"/>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66" t="str">
        <f t="shared" si="0"/>
        <v/>
      </c>
      <c r="B68" s="567"/>
      <c r="C68" s="567"/>
      <c r="D68" s="567"/>
      <c r="E68" s="568"/>
      <c r="F68" s="566" t="str">
        <f>IF(Main!I48="","",Main!I48)</f>
        <v/>
      </c>
      <c r="G68" s="567"/>
      <c r="H68" s="568"/>
      <c r="I68" s="571" t="str">
        <f>IF(Q68="","",Main!I49)</f>
        <v/>
      </c>
      <c r="J68" s="572"/>
      <c r="K68" s="571" t="str">
        <f>IF(Q68="","",Main!I50)</f>
        <v/>
      </c>
      <c r="L68" s="572"/>
      <c r="M68" s="566" t="str">
        <f>IF(Q68="","",Main!I54)</f>
        <v/>
      </c>
      <c r="N68" s="567"/>
      <c r="O68" s="568"/>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66" t="str">
        <f t="shared" si="0"/>
        <v/>
      </c>
      <c r="B69" s="567"/>
      <c r="C69" s="567"/>
      <c r="D69" s="567"/>
      <c r="E69" s="568"/>
      <c r="F69" s="585" t="str">
        <f>IF(Main!J48="","",Main!J48)</f>
        <v/>
      </c>
      <c r="G69" s="586"/>
      <c r="H69" s="587"/>
      <c r="I69" s="600" t="str">
        <f>IF(Q69="","",Main!J49)</f>
        <v/>
      </c>
      <c r="J69" s="601"/>
      <c r="K69" s="600" t="str">
        <f>IF(Q69="","",Main!J50)</f>
        <v/>
      </c>
      <c r="L69" s="601"/>
      <c r="M69" s="585" t="str">
        <f>IF(Q69="","",Main!J54)</f>
        <v/>
      </c>
      <c r="N69" s="586"/>
      <c r="O69" s="587"/>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61" t="s">
        <v>431</v>
      </c>
      <c r="B71" s="561"/>
      <c r="C71" s="561"/>
      <c r="D71" s="561"/>
      <c r="E71" s="561"/>
      <c r="F71" s="561"/>
      <c r="G71" s="561"/>
      <c r="H71" s="561"/>
      <c r="I71" s="561"/>
      <c r="J71" s="561"/>
      <c r="K71" s="561"/>
      <c r="L71" s="561"/>
      <c r="M71" s="561"/>
      <c r="N71" s="561"/>
      <c r="O71" s="561"/>
    </row>
    <row r="72" spans="1:21" ht="18" customHeight="1" x14ac:dyDescent="0.2">
      <c r="A72" s="561"/>
      <c r="B72" s="561"/>
      <c r="C72" s="561"/>
      <c r="D72" s="561"/>
      <c r="E72" s="561"/>
      <c r="F72" s="561"/>
      <c r="G72" s="561"/>
      <c r="H72" s="561"/>
      <c r="I72" s="561"/>
      <c r="J72" s="561"/>
      <c r="K72" s="561"/>
      <c r="L72" s="561"/>
      <c r="M72" s="561"/>
      <c r="N72" s="561"/>
      <c r="O72" s="561"/>
    </row>
    <row r="73" spans="1:21" ht="18" customHeight="1" x14ac:dyDescent="0.2">
      <c r="A73" s="561"/>
      <c r="B73" s="561"/>
      <c r="C73" s="561"/>
      <c r="D73" s="561"/>
      <c r="E73" s="561"/>
      <c r="F73" s="561"/>
      <c r="G73" s="561"/>
      <c r="H73" s="561"/>
      <c r="I73" s="561"/>
      <c r="J73" s="561"/>
      <c r="K73" s="561"/>
      <c r="L73" s="561"/>
      <c r="M73" s="561"/>
      <c r="N73" s="561"/>
      <c r="O73" s="561"/>
    </row>
    <row r="74" spans="1:21" ht="18" customHeight="1" x14ac:dyDescent="0.2">
      <c r="A74" s="561"/>
      <c r="B74" s="561"/>
      <c r="C74" s="561"/>
      <c r="D74" s="561"/>
      <c r="E74" s="561"/>
      <c r="F74" s="561"/>
      <c r="G74" s="561"/>
      <c r="H74" s="561"/>
      <c r="I74" s="561"/>
      <c r="J74" s="561"/>
      <c r="K74" s="561"/>
      <c r="L74" s="561"/>
      <c r="M74" s="561"/>
      <c r="N74" s="561"/>
      <c r="O74" s="561"/>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jet6cLPrV9qlaNE1UvFsKi/pQcRAsjIbcrb5nmXghY47OYiIxFok+tucvvT5tfw/enS0WUZOMUMaceolLnY5bQ==" saltValue="s0rtWA5yzGK1ZEUxw4oHGA=="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7"/>
      <c r="E2" s="467"/>
    </row>
    <row r="3" spans="1:5" x14ac:dyDescent="0.2">
      <c r="A3"/>
      <c r="B3"/>
      <c r="C3"/>
      <c r="D3" s="467"/>
      <c r="E3" s="467"/>
    </row>
    <row r="4" spans="1:5" x14ac:dyDescent="0.2">
      <c r="A4"/>
      <c r="B4"/>
      <c r="C4"/>
      <c r="D4" s="467"/>
      <c r="E4" s="467"/>
    </row>
    <row r="5" spans="1:5" x14ac:dyDescent="0.2">
      <c r="A5"/>
      <c r="B5"/>
      <c r="C5"/>
      <c r="D5" s="467"/>
      <c r="E5" s="467"/>
    </row>
    <row r="6" spans="1:5" x14ac:dyDescent="0.2">
      <c r="A6"/>
      <c r="B6"/>
      <c r="C6"/>
      <c r="D6" s="467"/>
      <c r="E6" s="467"/>
    </row>
    <row r="7" spans="1:5" x14ac:dyDescent="0.2">
      <c r="A7"/>
      <c r="B7"/>
      <c r="C7"/>
      <c r="D7" s="467"/>
      <c r="E7" s="467"/>
    </row>
    <row r="8" spans="1:5" x14ac:dyDescent="0.2">
      <c r="A8"/>
      <c r="B8"/>
      <c r="C8"/>
      <c r="D8" s="467"/>
      <c r="E8" s="467"/>
    </row>
    <row r="9" spans="1:5" x14ac:dyDescent="0.2">
      <c r="A9"/>
      <c r="B9"/>
      <c r="C9"/>
      <c r="D9" s="467"/>
      <c r="E9" s="467"/>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605" t="s">
        <v>99</v>
      </c>
      <c r="N2" s="605"/>
      <c r="O2" s="605"/>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606" t="s">
        <v>100</v>
      </c>
      <c r="N3" s="607"/>
      <c r="O3" s="608"/>
      <c r="P3" s="102"/>
      <c r="Q3" s="102"/>
    </row>
    <row r="4" spans="1:18" ht="15" x14ac:dyDescent="0.25">
      <c r="B4" s="112" t="s">
        <v>25</v>
      </c>
      <c r="C4" s="59"/>
      <c r="D4" s="36"/>
      <c r="E4" s="36"/>
      <c r="F4" s="36"/>
      <c r="G4" s="36"/>
      <c r="H4" s="36"/>
      <c r="I4" s="36"/>
      <c r="J4" s="36"/>
      <c r="K4" s="36"/>
      <c r="L4" s="36"/>
      <c r="M4" s="609" t="s">
        <v>135</v>
      </c>
      <c r="N4" s="610"/>
      <c r="O4" s="611"/>
      <c r="P4" s="84"/>
    </row>
    <row r="5" spans="1:18" x14ac:dyDescent="0.2">
      <c r="B5" s="113" t="s">
        <v>26</v>
      </c>
      <c r="C5" s="53">
        <f>Main!D3</f>
        <v>0</v>
      </c>
      <c r="D5" s="36"/>
      <c r="E5" s="36"/>
      <c r="F5" s="36"/>
      <c r="G5" s="36"/>
      <c r="H5" s="36"/>
      <c r="I5" s="51" t="s">
        <v>4</v>
      </c>
      <c r="J5" s="36" t="e">
        <f>Main!D5</f>
        <v>#N/A</v>
      </c>
      <c r="L5" s="36"/>
      <c r="M5" s="612" t="s">
        <v>134</v>
      </c>
      <c r="N5" s="613"/>
      <c r="O5" s="614"/>
      <c r="P5" s="128"/>
    </row>
    <row r="6" spans="1:18" ht="13.5" thickBot="1" x14ac:dyDescent="0.25">
      <c r="B6" s="113" t="s">
        <v>3</v>
      </c>
      <c r="C6" s="54" t="e">
        <f>Main!D6</f>
        <v>#N/A</v>
      </c>
      <c r="D6" s="36"/>
      <c r="E6" s="36"/>
      <c r="F6" s="36"/>
      <c r="G6" s="36"/>
      <c r="H6" s="36"/>
      <c r="I6" s="51" t="s">
        <v>5</v>
      </c>
      <c r="J6" s="50">
        <f>Main!D16</f>
        <v>0</v>
      </c>
      <c r="L6" s="36"/>
      <c r="M6" s="615" t="str">
        <f>IF(MaxMode,"","In 1/2 Tolerance")</f>
        <v>In 1/2 Tolerance</v>
      </c>
      <c r="N6" s="616"/>
      <c r="O6" s="617"/>
      <c r="P6" s="85"/>
    </row>
    <row r="7" spans="1:18" ht="13.5" thickBot="1" x14ac:dyDescent="0.25">
      <c r="B7" s="113" t="s">
        <v>27</v>
      </c>
      <c r="C7" s="54" t="str">
        <f>Main!D7</f>
        <v>Jeff Hall</v>
      </c>
      <c r="D7" s="36"/>
      <c r="E7" s="36"/>
      <c r="F7" s="36"/>
      <c r="G7" s="36"/>
      <c r="H7" s="36"/>
      <c r="I7" s="56" t="s">
        <v>153</v>
      </c>
      <c r="J7" s="603">
        <f>Main!$D$30</f>
        <v>0</v>
      </c>
      <c r="K7" s="604"/>
      <c r="L7" s="99"/>
      <c r="M7" s="602" t="s">
        <v>133</v>
      </c>
      <c r="N7" s="602"/>
      <c r="O7" s="602"/>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2" customFormat="1" x14ac:dyDescent="0.2">
      <c r="A12" s="391"/>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tWb5wiRpM++/7UCptO7b1G0+VVQFRMPL9PlQmXazfnrIb0SsXZUG1RzPvNgjxFqBdiTtNXJXNOq5fHoTSvS2Gw==" saltValue="gBkKM1lWjZI9OrNeaMDgRg=="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63" priority="1">
      <formula>AND(ROW() &gt;= $Q$1, ROW() &lt;= $Q$2)</formula>
    </cfRule>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8" t="s">
        <v>99</v>
      </c>
      <c r="N2" s="618"/>
      <c r="O2" s="618"/>
      <c r="P2" s="290" t="str">
        <f>IF(Main!$E$30="","A10",ADDRESS(13+Standards_Info!W2+(MATCH(Main!$E$30,Data_Sheet!$A$14:$A$903,0)),1,4))</f>
        <v>A10</v>
      </c>
      <c r="Q2" s="290">
        <f>VALUE(MID(P2, 2, LEN(P2)-1))</f>
        <v>10</v>
      </c>
    </row>
    <row r="3" spans="1:17" ht="15" x14ac:dyDescent="0.25">
      <c r="B3" s="125" t="s">
        <v>0</v>
      </c>
      <c r="C3" s="3"/>
      <c r="M3" s="606" t="s">
        <v>100</v>
      </c>
      <c r="N3" s="607"/>
      <c r="O3" s="608"/>
      <c r="P3" s="39"/>
    </row>
    <row r="4" spans="1:17" ht="15" x14ac:dyDescent="0.25">
      <c r="B4" s="112" t="s">
        <v>25</v>
      </c>
      <c r="C4" s="4"/>
      <c r="M4" s="609" t="s">
        <v>135</v>
      </c>
      <c r="N4" s="610"/>
      <c r="O4" s="611"/>
    </row>
    <row r="5" spans="1:17" x14ac:dyDescent="0.2">
      <c r="B5" s="113" t="s">
        <v>26</v>
      </c>
      <c r="C5" s="53">
        <f>Main!D3</f>
        <v>0</v>
      </c>
      <c r="D5" s="36"/>
      <c r="E5" s="36"/>
      <c r="F5" s="36"/>
      <c r="G5" s="36"/>
      <c r="H5" s="36"/>
      <c r="I5" s="51" t="s">
        <v>4</v>
      </c>
      <c r="J5" t="e">
        <f>Main!D5</f>
        <v>#N/A</v>
      </c>
      <c r="M5" s="619" t="s">
        <v>134</v>
      </c>
      <c r="N5" s="620"/>
      <c r="O5" s="621"/>
    </row>
    <row r="6" spans="1:17" ht="13.5" thickBot="1" x14ac:dyDescent="0.25">
      <c r="B6" s="113" t="s">
        <v>3</v>
      </c>
      <c r="C6" s="54" t="e">
        <f>Main!D6</f>
        <v>#N/A</v>
      </c>
      <c r="D6" s="36"/>
      <c r="E6" s="36"/>
      <c r="F6" s="36"/>
      <c r="G6" s="36"/>
      <c r="H6" s="36"/>
      <c r="I6" s="51" t="s">
        <v>5</v>
      </c>
      <c r="J6" s="38">
        <f>Main!D16</f>
        <v>0</v>
      </c>
      <c r="M6" s="615" t="str">
        <f>IF(MaxMode,"","In 1/2 Tolerance")</f>
        <v>In 1/2 Tolerance</v>
      </c>
      <c r="N6" s="616"/>
      <c r="O6" s="617"/>
    </row>
    <row r="7" spans="1:17" ht="13.5" thickBot="1" x14ac:dyDescent="0.25">
      <c r="B7" s="113" t="s">
        <v>27</v>
      </c>
      <c r="C7" s="54" t="str">
        <f>Main!D7</f>
        <v>Jeff Hall</v>
      </c>
      <c r="D7" s="36"/>
      <c r="E7" s="36"/>
      <c r="F7" s="36"/>
      <c r="G7" s="36"/>
      <c r="H7" s="36"/>
      <c r="I7" s="56" t="s">
        <v>153</v>
      </c>
      <c r="J7" s="603">
        <f>Main!$D$30</f>
        <v>0</v>
      </c>
      <c r="K7" s="604"/>
      <c r="L7" s="99"/>
      <c r="M7" s="602" t="s">
        <v>133</v>
      </c>
      <c r="N7" s="602"/>
      <c r="O7" s="602"/>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4" customFormat="1" x14ac:dyDescent="0.2">
      <c r="A12" s="393"/>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fpc2dXCOpWAxFWbgUdhCOn59lALkiipCbtzcaIh/6q4HI8SFrkuolJSRrDGAVQLLxuLGp5SMIsppQLMQX45OTQ==" saltValue="m7Ewk0ZYwSRHiKJLVGvqlQ=="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5"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8" t="s">
        <v>99</v>
      </c>
      <c r="N2" s="618"/>
      <c r="O2" s="618"/>
      <c r="P2" s="290" t="str">
        <f>IF(Main!$E$30="","A10",ADDRESS(13+Standards_Info!W2+(MATCH(Main!$E$30,Data_Sheet!$A$14:$A$903,0)),1,4))</f>
        <v>A10</v>
      </c>
      <c r="Q2" s="290">
        <f>VALUE(MID(P2, 2, LEN(P2)-1))</f>
        <v>10</v>
      </c>
    </row>
    <row r="3" spans="1:17" ht="15" x14ac:dyDescent="0.25">
      <c r="B3" s="125" t="s">
        <v>0</v>
      </c>
      <c r="C3" s="3"/>
      <c r="M3" s="606" t="s">
        <v>100</v>
      </c>
      <c r="N3" s="607"/>
      <c r="O3" s="608"/>
      <c r="P3" s="39"/>
    </row>
    <row r="4" spans="1:17" ht="15" x14ac:dyDescent="0.25">
      <c r="B4" s="112" t="s">
        <v>25</v>
      </c>
      <c r="C4" s="4"/>
      <c r="M4" s="609" t="s">
        <v>135</v>
      </c>
      <c r="N4" s="610"/>
      <c r="O4" s="611"/>
    </row>
    <row r="5" spans="1:17" x14ac:dyDescent="0.2">
      <c r="B5" s="113" t="s">
        <v>26</v>
      </c>
      <c r="C5" s="53">
        <f>Main!D3</f>
        <v>0</v>
      </c>
      <c r="D5" s="36"/>
      <c r="E5" s="36"/>
      <c r="F5" s="36"/>
      <c r="G5" s="36"/>
      <c r="H5" s="36"/>
      <c r="I5" s="51" t="s">
        <v>4</v>
      </c>
      <c r="J5" s="36" t="e">
        <f>Main!D5</f>
        <v>#N/A</v>
      </c>
      <c r="L5" s="36"/>
      <c r="M5" s="612" t="s">
        <v>134</v>
      </c>
      <c r="N5" s="613"/>
      <c r="O5" s="614"/>
    </row>
    <row r="6" spans="1:17" ht="13.5" thickBot="1" x14ac:dyDescent="0.25">
      <c r="B6" s="113" t="s">
        <v>3</v>
      </c>
      <c r="C6" s="54" t="e">
        <f>Main!D6</f>
        <v>#N/A</v>
      </c>
      <c r="D6" s="36"/>
      <c r="E6" s="36"/>
      <c r="F6" s="36"/>
      <c r="G6" s="36"/>
      <c r="H6" s="36"/>
      <c r="I6" s="51" t="s">
        <v>5</v>
      </c>
      <c r="J6" s="50">
        <f>Main!D16</f>
        <v>0</v>
      </c>
      <c r="L6" s="36"/>
      <c r="M6" s="615" t="str">
        <f>IF(MaxMode,"","In 1/2 Tolerance")</f>
        <v>In 1/2 Tolerance</v>
      </c>
      <c r="N6" s="616"/>
      <c r="O6" s="617"/>
    </row>
    <row r="7" spans="1:17" ht="13.5" thickBot="1" x14ac:dyDescent="0.25">
      <c r="B7" s="113" t="s">
        <v>27</v>
      </c>
      <c r="C7" s="54" t="str">
        <f>Main!D7</f>
        <v>Jeff Hall</v>
      </c>
      <c r="D7" s="36"/>
      <c r="E7" s="36"/>
      <c r="F7" s="36"/>
      <c r="G7" s="36"/>
      <c r="H7" s="36"/>
      <c r="I7" s="56" t="s">
        <v>153</v>
      </c>
      <c r="J7" s="603">
        <f>Main!$D$30</f>
        <v>0</v>
      </c>
      <c r="K7" s="604"/>
      <c r="L7" s="99"/>
      <c r="M7" s="602" t="s">
        <v>133</v>
      </c>
      <c r="N7" s="602"/>
      <c r="O7" s="602"/>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4" customFormat="1" x14ac:dyDescent="0.2">
      <c r="A12" s="393"/>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lG6ZzSp3ytNAiQVPSMyo+wyipUBwnY2Guzws0Xij1QTYr4apJ1adBFOcrZ48KNyVqLeTH2U623fUDrFLGDjQyw==" saltValue="2Pl9LH45jECDgIC6eLVEYg=="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53" priority="2" stopIfTrue="1" operator="between">
      <formula>HalfTolMin</formula>
      <formula>HalfTolMax</formula>
    </cfRule>
    <cfRule type="cellIs" dxfId="52" priority="3" stopIfTrue="1" operator="greaterThan">
      <formula>TolMax</formula>
    </cfRule>
    <cfRule type="cellIs" dxfId="51" priority="4" stopIfTrue="1" operator="lessThan">
      <formula>TolMin</formula>
    </cfRule>
    <cfRule type="cellIs" dxfId="50" priority="6" stopIfTrue="1" operator="between">
      <formula>TolMin</formula>
      <formula>TolMax</formula>
    </cfRule>
  </conditionalFormatting>
  <conditionalFormatting sqref="B14:P903">
    <cfRule type="expression" dxfId="4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4"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0" t="s">
        <v>14</v>
      </c>
      <c r="B9" s="15"/>
      <c r="C9" s="441" t="str" cm="1">
        <f t="array" ref="C9">IFERROR(_xlfn._TRO_TRAILING(Main!$B37:$C37),"")</f>
        <v/>
      </c>
      <c r="D9" s="16"/>
      <c r="E9" s="16" t="s">
        <v>15</v>
      </c>
      <c r="F9" s="441" t="str" cm="1">
        <f t="array" ref="F9">IFERROR(_xlfn._TRO_TRAILING(Main!B38:C38),"")</f>
        <v/>
      </c>
      <c r="G9" s="16"/>
      <c r="H9" s="16" t="s">
        <v>15</v>
      </c>
      <c r="I9" s="441" t="str" cm="1">
        <f t="array" ref="I9">IFERROR(_xlfn._TRO_TRAILING(Main!$B39:$C39),"")</f>
        <v/>
      </c>
      <c r="J9" s="16"/>
      <c r="K9" s="16" t="s">
        <v>15</v>
      </c>
      <c r="L9" s="441"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39"/>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39"/>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39"/>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3" t="str">
        <f>Main!A37</f>
        <v/>
      </c>
      <c r="E19" s="11" t="str" cm="1">
        <f t="array" ref="E19">IF(OR(P16:P23=1),"CHECK READINGS!!!","")</f>
        <v/>
      </c>
      <c r="F19" s="13"/>
      <c r="G19" s="414" t="str">
        <f>Main!A38</f>
        <v/>
      </c>
      <c r="H19" s="11" t="str" cm="1">
        <f t="array" ref="H19">IF(OR(S16:S23=1),"CHECK READINGS!!!","")</f>
        <v/>
      </c>
      <c r="I19" s="13"/>
      <c r="J19" s="414" t="str">
        <f>Main!A39</f>
        <v/>
      </c>
      <c r="K19" s="13" t="str">
        <f>IF(ISNUMBER(SEARCH(".",K10)),".","")</f>
        <v/>
      </c>
      <c r="L19" s="13"/>
      <c r="M19" s="414"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0" t="s">
        <v>14</v>
      </c>
      <c r="B21" s="15"/>
      <c r="C21" s="441" t="str" cm="1">
        <f t="array" ref="C21">IFERROR(_xlfn._TRO_TRAILING(Main!$B41:$C41),"")</f>
        <v/>
      </c>
      <c r="D21" s="16"/>
      <c r="E21" s="16" t="s">
        <v>15</v>
      </c>
      <c r="F21" s="441" t="str" cm="1">
        <f t="array" ref="F21">IFERROR(_xlfn._TRO_TRAILING(Main!$B42:$C42),"")</f>
        <v/>
      </c>
      <c r="G21" s="16"/>
      <c r="H21" s="16" t="s">
        <v>15</v>
      </c>
      <c r="I21" s="441" t="str" cm="1">
        <f t="array" ref="I21">IFERROR(_xlfn._TRO_TRAILING(Main!$B43:$C43),"")</f>
        <v/>
      </c>
      <c r="J21" s="16"/>
      <c r="K21" s="16" t="s">
        <v>15</v>
      </c>
      <c r="L21" s="441"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5" t="str">
        <f>Main!A41</f>
        <v/>
      </c>
      <c r="E31" s="20"/>
      <c r="F31" s="19"/>
      <c r="G31" s="415" t="str">
        <f>Main!A42</f>
        <v/>
      </c>
      <c r="H31" s="20"/>
      <c r="I31" s="19"/>
      <c r="J31" s="415" t="str">
        <f>Main!A43</f>
        <v/>
      </c>
      <c r="K31" s="20"/>
      <c r="L31" s="19"/>
      <c r="M31" s="415" t="str">
        <f>Main!A44</f>
        <v/>
      </c>
      <c r="N31" s="20"/>
    </row>
    <row r="32" spans="1:22" x14ac:dyDescent="0.25">
      <c r="C32" s="21" t="s">
        <v>16</v>
      </c>
      <c r="D32" s="622" t="s">
        <v>17</v>
      </c>
      <c r="E32" s="622"/>
      <c r="F32" s="622"/>
      <c r="G32" s="622"/>
      <c r="H32" s="622"/>
      <c r="I32" s="622"/>
      <c r="J32" s="622"/>
      <c r="K32" s="622"/>
      <c r="L32" s="622"/>
      <c r="M32" s="622"/>
    </row>
    <row r="33" spans="1:14" ht="15" customHeight="1" x14ac:dyDescent="0.25">
      <c r="D33" s="623"/>
      <c r="E33" s="623"/>
      <c r="F33" s="623"/>
      <c r="G33" s="623"/>
      <c r="H33" s="623"/>
      <c r="I33" s="623"/>
      <c r="J33" s="623"/>
      <c r="K33" s="623"/>
      <c r="L33" s="623"/>
      <c r="M33" s="623"/>
      <c r="N33" s="22"/>
    </row>
    <row r="34" spans="1:14" x14ac:dyDescent="0.25">
      <c r="A34" s="17"/>
      <c r="B34" s="17"/>
      <c r="D34" s="623"/>
      <c r="E34" s="623"/>
      <c r="F34" s="623"/>
      <c r="G34" s="623"/>
      <c r="H34" s="623"/>
      <c r="I34" s="623"/>
      <c r="J34" s="623"/>
      <c r="K34" s="623"/>
      <c r="L34" s="623"/>
      <c r="M34" s="623"/>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24" t="s">
        <v>20</v>
      </c>
      <c r="D37" s="624"/>
      <c r="E37" s="624"/>
      <c r="F37" s="624"/>
      <c r="G37" s="624"/>
      <c r="H37" s="624"/>
      <c r="I37" s="624"/>
      <c r="J37" s="624"/>
      <c r="K37" s="624"/>
      <c r="L37" s="624"/>
      <c r="M37" s="624"/>
    </row>
    <row r="38" spans="1:14" x14ac:dyDescent="0.25">
      <c r="A38" s="17"/>
      <c r="B38" s="17"/>
      <c r="C38" s="624"/>
      <c r="D38" s="624"/>
      <c r="E38" s="624"/>
      <c r="F38" s="624"/>
      <c r="G38" s="624"/>
      <c r="H38" s="624"/>
      <c r="I38" s="624"/>
      <c r="J38" s="624"/>
      <c r="K38" s="624"/>
      <c r="L38" s="624"/>
      <c r="M38" s="624"/>
    </row>
    <row r="39" spans="1:14" x14ac:dyDescent="0.25">
      <c r="A39" s="17"/>
      <c r="B39" s="17"/>
      <c r="C39" s="624"/>
      <c r="D39" s="624"/>
      <c r="E39" s="624"/>
      <c r="F39" s="624"/>
      <c r="G39" s="624"/>
      <c r="H39" s="624"/>
      <c r="I39" s="624"/>
      <c r="J39" s="624"/>
      <c r="K39" s="624"/>
      <c r="L39" s="624"/>
      <c r="M39" s="624"/>
    </row>
    <row r="40" spans="1:14" x14ac:dyDescent="0.25">
      <c r="A40" s="17"/>
      <c r="B40" s="17"/>
      <c r="C40" s="624"/>
      <c r="D40" s="624"/>
      <c r="E40" s="624"/>
      <c r="F40" s="624"/>
      <c r="G40" s="624"/>
      <c r="H40" s="624"/>
      <c r="I40" s="624"/>
      <c r="J40" s="624"/>
      <c r="K40" s="624"/>
      <c r="L40" s="624"/>
      <c r="M40" s="624"/>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v+2k+a6meyhqd3leKbssxh7lEgXTMegYM1ZMwusYrYPPCFWHhUAUNg9xsz3Il9TDFVYF0FZOOtHQDK4oHEKKXA==" saltValue="dZ/nZEENipZBGQYzsSsY8w==" spinCount="100000" sheet="1" scenarios="1" selectLockedCells="1" autoFilter="0"/>
  <mergeCells count="2">
    <mergeCell ref="D32:M34"/>
    <mergeCell ref="C37:M40"/>
  </mergeCells>
  <phoneticPr fontId="22" type="noConversion"/>
  <conditionalFormatting sqref="C45">
    <cfRule type="expression" dxfId="48" priority="65">
      <formula>ISNUMBER(SEARCH(".",C45))</formula>
    </cfRule>
    <cfRule type="expression" dxfId="47" priority="66">
      <formula>ISERROR(SEARCH(".",C45))</formula>
    </cfRule>
  </conditionalFormatting>
  <conditionalFormatting sqref="D14:D18">
    <cfRule type="expression" dxfId="46" priority="63">
      <formula>ISERROR(SEARCH(1,$D$19))</formula>
    </cfRule>
    <cfRule type="expression" dxfId="45" priority="64">
      <formula>ISNUMBER(SEARCH(1,$D$19))</formula>
    </cfRule>
  </conditionalFormatting>
  <conditionalFormatting sqref="G14:G17">
    <cfRule type="expression" dxfId="44" priority="61">
      <formula>ISERROR(SEARCH(1,$G$19))</formula>
    </cfRule>
    <cfRule type="expression" dxfId="43" priority="62">
      <formula>ISNUMBER(SEARCH(1,$G$19))</formula>
    </cfRule>
  </conditionalFormatting>
  <conditionalFormatting sqref="J14:J17">
    <cfRule type="expression" dxfId="42" priority="57">
      <formula>ISERROR(SEARCH(1,$J$19))</formula>
    </cfRule>
    <cfRule type="expression" dxfId="41" priority="58">
      <formula>ISNUMBER(SEARCH(1,$J$19))</formula>
    </cfRule>
  </conditionalFormatting>
  <conditionalFormatting sqref="M14:M17">
    <cfRule type="expression" dxfId="40" priority="53">
      <formula>ISERROR(SEARCH(1,$M$19))</formula>
    </cfRule>
    <cfRule type="expression" dxfId="39" priority="54">
      <formula>ISNUMBER(SEARCH(1,$M$19))</formula>
    </cfRule>
  </conditionalFormatting>
  <conditionalFormatting sqref="G26:G29">
    <cfRule type="expression" dxfId="38" priority="45">
      <formula>ISERROR(SEARCH(1,$G$31))</formula>
    </cfRule>
    <cfRule type="expression" dxfId="37" priority="46">
      <formula>ISNUMBER(SEARCH(1,$G$31))</formula>
    </cfRule>
  </conditionalFormatting>
  <conditionalFormatting sqref="J26:J29">
    <cfRule type="expression" dxfId="36" priority="41">
      <formula>ISERROR(SEARCH(1,$J$31))</formula>
    </cfRule>
    <cfRule type="expression" dxfId="35" priority="42">
      <formula>ISNUMBER(SEARCH(1,$J$31))</formula>
    </cfRule>
  </conditionalFormatting>
  <conditionalFormatting sqref="M26:M29">
    <cfRule type="expression" dxfId="34" priority="37">
      <formula>ISERROR(SEARCH(1,$M$31))</formula>
    </cfRule>
    <cfRule type="expression" dxfId="33" priority="38">
      <formula>ISNUMBER(SEARCH(1,$M$31))</formula>
    </cfRule>
  </conditionalFormatting>
  <conditionalFormatting sqref="D26:D30">
    <cfRule type="expression" dxfId="32" priority="33">
      <formula>ISERROR(SEARCH(1,$D$19))</formula>
    </cfRule>
    <cfRule type="expression" dxfId="31" priority="34">
      <formula>ISNUMBER(SEARCH(1,$D$19))</formula>
    </cfRule>
  </conditionalFormatting>
  <conditionalFormatting sqref="D11:D13">
    <cfRule type="expression" dxfId="30" priority="31">
      <formula>ISERROR(SEARCH(1,$G$19))</formula>
    </cfRule>
    <cfRule type="expression" dxfId="29" priority="32">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42" t="s">
        <v>273</v>
      </c>
      <c r="I28" s="642"/>
      <c r="J28" s="642"/>
      <c r="K28" s="642"/>
      <c r="L28" s="642"/>
      <c r="M28" s="642"/>
      <c r="N28" s="642"/>
      <c r="O28" s="642"/>
      <c r="P28" s="642"/>
      <c r="Q28" s="642"/>
      <c r="R28" s="642"/>
    </row>
    <row r="29" spans="1:20" x14ac:dyDescent="0.2">
      <c r="A29" s="631" t="s">
        <v>34</v>
      </c>
      <c r="B29" s="632"/>
      <c r="C29" s="46" t="str">
        <f>IF(Main!D48="","",Main!D48)</f>
        <v/>
      </c>
      <c r="D29" s="46" t="str">
        <f>IF(Main!E48="","",Main!E48)</f>
        <v/>
      </c>
      <c r="E29" s="46" t="str">
        <f>IF(Main!F48="","",Main!F48)</f>
        <v/>
      </c>
      <c r="F29" s="46" t="str">
        <f>IF(Main!G48="","",Main!G48)</f>
        <v/>
      </c>
      <c r="G29" s="258"/>
      <c r="H29" s="255" t="s">
        <v>274</v>
      </c>
      <c r="I29" s="111" t="str">
        <f>IF(Main!N47="","",Main!N47)</f>
        <v>Periodic</v>
      </c>
      <c r="J29" s="648" t="s">
        <v>275</v>
      </c>
      <c r="K29" s="649"/>
      <c r="L29" s="111" t="str">
        <f>IF(Main!R47="","",Main!R47)</f>
        <v>Air</v>
      </c>
    </row>
    <row r="30" spans="1:20" x14ac:dyDescent="0.2">
      <c r="A30" s="631" t="s">
        <v>35</v>
      </c>
      <c r="B30" s="632"/>
      <c r="C30" s="47" t="str">
        <f>IF(Main!D49="","",Main!D49)</f>
        <v/>
      </c>
      <c r="D30" s="47" t="str">
        <f>IF(Main!E49="","",Main!E49)</f>
        <v/>
      </c>
      <c r="E30" s="47" t="str">
        <f>IF(Main!F49="","",Main!F49)</f>
        <v/>
      </c>
      <c r="F30" s="47" t="str">
        <f>IF(Main!G49="","",Main!G49)</f>
        <v/>
      </c>
      <c r="G30" s="260"/>
      <c r="H30" s="643" t="s">
        <v>263</v>
      </c>
      <c r="I30" s="643"/>
      <c r="J30" s="650" t="s">
        <v>304</v>
      </c>
      <c r="K30" s="651"/>
      <c r="L30" s="652"/>
      <c r="M30" s="253"/>
      <c r="O30" s="644" t="s">
        <v>307</v>
      </c>
      <c r="P30" s="645"/>
      <c r="Q30" s="646"/>
      <c r="T30" s="36"/>
    </row>
    <row r="31" spans="1:20" x14ac:dyDescent="0.2">
      <c r="A31" s="631" t="s">
        <v>36</v>
      </c>
      <c r="B31" s="632"/>
      <c r="C31" s="47" t="str">
        <f>IF(Main!D50="","",Main!D50)</f>
        <v/>
      </c>
      <c r="D31" s="47" t="str">
        <f>IF(Main!E50="","",Main!E50)</f>
        <v/>
      </c>
      <c r="E31" s="47" t="str">
        <f>IF(Main!F50="","",Main!F50)</f>
        <v/>
      </c>
      <c r="F31" s="47" t="str">
        <f>IF(Main!G50="","",Main!G50)</f>
        <v/>
      </c>
      <c r="G31" s="260"/>
      <c r="H31" s="241" t="s">
        <v>276</v>
      </c>
      <c r="I31" s="243" t="str">
        <f>IF(Main!N49="","",Main!N49)</f>
        <v/>
      </c>
      <c r="J31" s="633" t="s">
        <v>312</v>
      </c>
      <c r="K31" s="634"/>
      <c r="L31" s="635"/>
      <c r="M31" s="254" t="str">
        <f>IF(Main!S49="","",Main!S49)</f>
        <v/>
      </c>
      <c r="O31" s="552" t="s">
        <v>314</v>
      </c>
      <c r="P31" s="553"/>
      <c r="Q31" s="647"/>
      <c r="R31" s="55" t="str">
        <f>IF(Main!X49="","",Main!X49)</f>
        <v/>
      </c>
      <c r="T31" s="36"/>
    </row>
    <row r="32" spans="1:20" ht="12.75" customHeight="1" x14ac:dyDescent="0.2">
      <c r="A32" s="631" t="s">
        <v>37</v>
      </c>
      <c r="B32" s="632"/>
      <c r="C32" s="46" t="str">
        <f>IF(Main!D51="","",Main!D51)</f>
        <v/>
      </c>
      <c r="D32" s="46" t="str">
        <f>IF(Main!E51="","",Main!E51)</f>
        <v/>
      </c>
      <c r="E32" s="46" t="str">
        <f>IF(Main!F51="","",Main!F51)</f>
        <v/>
      </c>
      <c r="F32" s="46" t="str">
        <f>IF(Main!G51="","",Main!G51)</f>
        <v/>
      </c>
      <c r="G32" s="258"/>
      <c r="H32" s="241" t="s">
        <v>290</v>
      </c>
      <c r="I32" s="243" t="str">
        <f>IF(Main!N50="","",Main!N50)</f>
        <v/>
      </c>
      <c r="J32" s="636" t="s">
        <v>266</v>
      </c>
      <c r="K32" s="637"/>
      <c r="L32" s="638"/>
      <c r="M32" s="249"/>
      <c r="O32" s="636" t="s">
        <v>266</v>
      </c>
      <c r="P32" s="637"/>
      <c r="Q32" s="638"/>
      <c r="T32" s="36"/>
    </row>
    <row r="33" spans="1:20" ht="12.75" customHeight="1" x14ac:dyDescent="0.2">
      <c r="A33" s="631" t="str">
        <f>"Uses Above " &amp; IF(Unit="°C","260°C","500°F") &amp;  ":*"</f>
        <v>Uses Above 500°F:*</v>
      </c>
      <c r="B33" s="632"/>
      <c r="C33" s="46" t="str">
        <f>IF(Main!D52="","",Main!D52)</f>
        <v/>
      </c>
      <c r="D33" s="46" t="str">
        <f>IF(Main!E52="","",Main!E52)</f>
        <v/>
      </c>
      <c r="E33" s="46" t="str">
        <f>IF(Main!F52="","",Main!F52)</f>
        <v/>
      </c>
      <c r="F33" s="46" t="str">
        <f>IF(Main!G52="","",Main!G52)</f>
        <v/>
      </c>
      <c r="G33" s="258"/>
      <c r="H33" s="241" t="s">
        <v>277</v>
      </c>
      <c r="I33" s="243" t="str">
        <f>IF(Main!N51="","",Main!N51)</f>
        <v/>
      </c>
      <c r="J33" s="639" t="s">
        <v>313</v>
      </c>
      <c r="K33" s="640"/>
      <c r="L33" s="641"/>
      <c r="M33" s="248" t="str">
        <f>IF(Main!S51="","",Main!S51)</f>
        <v/>
      </c>
      <c r="O33" s="639" t="s">
        <v>315</v>
      </c>
      <c r="P33" s="640"/>
      <c r="Q33" s="641"/>
      <c r="R33" s="55" t="str">
        <f>IF(Main!X51="","",Main!X51)</f>
        <v/>
      </c>
      <c r="T33" s="36"/>
    </row>
    <row r="34" spans="1:20" ht="12.75" customHeight="1" x14ac:dyDescent="0.2">
      <c r="A34" s="631" t="s">
        <v>38</v>
      </c>
      <c r="B34" s="632"/>
      <c r="C34" s="48" t="str">
        <f>IF(Main!D53="","",Main!D53)</f>
        <v/>
      </c>
      <c r="D34" s="48" t="str">
        <f>IF(Main!E53="","",Main!E53)</f>
        <v/>
      </c>
      <c r="E34" s="48" t="str">
        <f>IF(Main!F53="","",Main!F53)</f>
        <v/>
      </c>
      <c r="F34" s="48" t="str">
        <f>IF(Main!G53="","",Main!G53)</f>
        <v/>
      </c>
      <c r="G34" s="261"/>
      <c r="H34" s="241" t="s">
        <v>278</v>
      </c>
      <c r="I34" s="240" t="str">
        <f>IF(Main!N52="","",Main!N52)</f>
        <v/>
      </c>
      <c r="J34" s="636" t="s">
        <v>266</v>
      </c>
      <c r="K34" s="637"/>
      <c r="L34" s="638"/>
      <c r="O34" s="636" t="s">
        <v>266</v>
      </c>
      <c r="P34" s="637"/>
      <c r="Q34" s="638"/>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25" t="s">
        <v>316</v>
      </c>
      <c r="K35" s="626"/>
      <c r="L35" s="627"/>
      <c r="M35" s="256" t="str">
        <f>IF(Main!S53="","",Main!S53)</f>
        <v/>
      </c>
      <c r="O35" s="625" t="s">
        <v>317</v>
      </c>
      <c r="P35" s="626"/>
      <c r="Q35" s="627"/>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28"/>
      <c r="K36" s="629"/>
      <c r="L36" s="630"/>
      <c r="M36" s="252"/>
      <c r="O36" s="628"/>
      <c r="P36" s="629"/>
      <c r="Q36" s="630"/>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8" t="str">
        <f>IF(Main!N54="","",Main!N54)</f>
        <v/>
      </c>
      <c r="O40" s="56" t="s">
        <v>293</v>
      </c>
      <c r="P40" s="478" t="str">
        <f>IF(Main!N56="","",Main!N56)</f>
        <v/>
      </c>
    </row>
    <row r="41" spans="1:20" x14ac:dyDescent="0.2">
      <c r="K41" s="56" t="s">
        <v>292</v>
      </c>
      <c r="L41" s="478" t="str">
        <f>IF(Main!N55="","",Main!N55)</f>
        <v/>
      </c>
      <c r="O41" s="56" t="s">
        <v>294</v>
      </c>
      <c r="P41" s="478"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kQQA5aTFfkMoSfxwu2FyTU/REuGiL+XI0yq6xoBY/xC2OfPS5v6f/LI2zVzjFL5dR5/896QxBHxIIlGUkdonGQ==" saltValue="FVOY4k84IiymUAROoTXZjg=="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7"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7"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6"/>
    </row>
    <row r="13" spans="1:14" x14ac:dyDescent="0.2">
      <c r="B13" t="str">
        <v/>
      </c>
      <c r="D13" s="457"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7"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7"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7"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7"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7"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7"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7"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7"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7"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7"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7"/>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VhXfXt4oSE/tQXeqQMILt+FLEwOjpNtm6RY9dYiTdNIw4fJJ9/SK5825z/7M3k3G+n7mPqD0HLifK26i1qXZBg==" saltValue="dEvzRn+RKYMGk+CXtHdghg=="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83"/>
    <col min="2" max="2" width="10.7109375" style="483" customWidth="1"/>
    <col min="3" max="3" width="10.42578125" style="483" customWidth="1"/>
    <col min="4" max="16384" width="9.140625" style="483"/>
  </cols>
  <sheetData>
    <row r="1" spans="2:6" x14ac:dyDescent="0.25">
      <c r="B1" s="483" t="s">
        <v>107</v>
      </c>
    </row>
    <row r="2" spans="2:6" x14ac:dyDescent="0.25">
      <c r="B2" s="483" t="s">
        <v>760</v>
      </c>
    </row>
    <row r="3" spans="2:6" x14ac:dyDescent="0.25">
      <c r="B3" s="483" t="s">
        <v>761</v>
      </c>
    </row>
    <row r="4" spans="2:6" x14ac:dyDescent="0.25">
      <c r="B4" s="653" t="s">
        <v>762</v>
      </c>
      <c r="C4" s="653"/>
      <c r="D4" s="653"/>
      <c r="E4" s="653"/>
      <c r="F4" s="653"/>
    </row>
    <row r="5" spans="2:6" x14ac:dyDescent="0.25">
      <c r="B5" s="483" t="s">
        <v>763</v>
      </c>
      <c r="C5" s="484"/>
      <c r="E5" s="483" t="s">
        <v>764</v>
      </c>
      <c r="F5" s="484"/>
    </row>
    <row r="6" spans="2:6" x14ac:dyDescent="0.25">
      <c r="B6" s="483" t="s">
        <v>765</v>
      </c>
      <c r="C6" s="484"/>
      <c r="E6" s="483" t="s">
        <v>765</v>
      </c>
      <c r="F6" s="484"/>
    </row>
    <row r="8" spans="2:6" x14ac:dyDescent="0.25">
      <c r="B8" s="483" t="s">
        <v>766</v>
      </c>
      <c r="C8" s="484">
        <f>NominalTemp</f>
        <v>0</v>
      </c>
    </row>
    <row r="9" spans="2:6" x14ac:dyDescent="0.25">
      <c r="B9" s="483" t="s">
        <v>767</v>
      </c>
      <c r="C9" s="485" t="e" cm="1">
        <f t="array" ref="C9">QRound(C6+(C8-C5)*C13)</f>
        <v>#VALUE!</v>
      </c>
    </row>
    <row r="11" spans="2:6" x14ac:dyDescent="0.25">
      <c r="B11" s="483" t="s">
        <v>768</v>
      </c>
      <c r="C11" s="483">
        <f>F5-C5</f>
        <v>0</v>
      </c>
    </row>
    <row r="12" spans="2:6" x14ac:dyDescent="0.25">
      <c r="B12" s="483" t="s">
        <v>769</v>
      </c>
      <c r="C12" s="483">
        <f>F6-C6</f>
        <v>0</v>
      </c>
    </row>
    <row r="13" spans="2:6" x14ac:dyDescent="0.25">
      <c r="B13" s="483" t="s">
        <v>770</v>
      </c>
      <c r="C13" s="483" t="e">
        <f>C12/C11</f>
        <v>#DIV/0!</v>
      </c>
    </row>
  </sheetData>
  <sheetProtection algorithmName="SHA-512" hashValue="kBNQVV5N216REqggpfZSVeOZ5rk6HYZF10woViAHB5RVK5zwRJoE3gHzVslKQ8RetSuX93Z1GHZqFszfsBMIUg==" saltValue="Nm2fi3u2RAZCtaX4RlF7ew=="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83" bestFit="1" customWidth="1"/>
    <col min="2" max="2" width="11.5703125" style="483" bestFit="1" customWidth="1"/>
    <col min="3" max="3" width="20.5703125" style="483" bestFit="1" customWidth="1"/>
    <col min="4" max="4" width="16.28515625" style="483" bestFit="1" customWidth="1"/>
    <col min="5" max="5" width="19" style="483" bestFit="1" customWidth="1"/>
    <col min="6" max="6" width="21.5703125" style="483" bestFit="1" customWidth="1"/>
    <col min="7" max="7" width="24.140625" style="483" bestFit="1" customWidth="1"/>
    <col min="8" max="8" width="17.28515625" style="483" bestFit="1" customWidth="1"/>
    <col min="9" max="9" width="20.7109375" style="483" bestFit="1" customWidth="1"/>
    <col min="10" max="10" width="5.42578125" style="483" bestFit="1" customWidth="1"/>
    <col min="11" max="11" width="8.5703125" style="483" bestFit="1" customWidth="1"/>
    <col min="12" max="12" width="11" style="483" bestFit="1" customWidth="1"/>
    <col min="13" max="13" width="10.5703125" style="483" bestFit="1" customWidth="1"/>
    <col min="14" max="14" width="29.140625" style="483" bestFit="1" customWidth="1"/>
    <col min="15" max="15" width="34.85546875" style="483" bestFit="1" customWidth="1"/>
    <col min="16" max="16" width="32.7109375" style="483" bestFit="1" customWidth="1"/>
    <col min="17" max="17" width="26" style="483" bestFit="1" customWidth="1"/>
    <col min="18" max="18" width="10.7109375" style="483" bestFit="1" customWidth="1"/>
    <col min="19" max="19" width="11.7109375" style="483" bestFit="1" customWidth="1"/>
    <col min="20" max="20" width="20.7109375" style="483" bestFit="1" customWidth="1"/>
    <col min="21" max="21" width="25.7109375" style="483" bestFit="1" customWidth="1"/>
    <col min="22" max="22" width="24" style="483" bestFit="1" customWidth="1"/>
    <col min="23" max="23" width="5" style="483" bestFit="1" customWidth="1"/>
    <col min="24" max="24" width="17" style="483" bestFit="1" customWidth="1"/>
    <col min="25" max="25" width="18.85546875" style="483" bestFit="1" customWidth="1"/>
    <col min="26" max="26" width="21.5703125" style="483" bestFit="1" customWidth="1"/>
    <col min="27" max="27" width="25.7109375" style="483" bestFit="1" customWidth="1"/>
    <col min="28" max="28" width="17" style="483" bestFit="1" customWidth="1"/>
    <col min="29" max="16384" width="9.140625" style="483"/>
  </cols>
  <sheetData>
    <row r="1" spans="1:15" x14ac:dyDescent="0.25">
      <c r="A1" s="483"/>
      <c r="B1" s="483"/>
      <c r="C1" s="483"/>
      <c r="D1" s="483"/>
      <c r="E1" s="483"/>
      <c r="F1" s="483"/>
      <c r="G1" s="483"/>
      <c r="H1" s="483"/>
      <c r="J1" s="483"/>
      <c r="K1" s="483"/>
      <c r="L1" s="483"/>
      <c r="M1" s="483"/>
      <c r="N1" s="483"/>
      <c r="O1" s="483"/>
    </row>
    <row r="2" spans="1:15" x14ac:dyDescent="0.25">
      <c r="A2" s="486"/>
      <c r="B2" s="486"/>
      <c r="C2" s="486"/>
      <c r="D2" s="486"/>
      <c r="E2" s="486"/>
      <c r="F2" s="486"/>
      <c r="G2" s="486"/>
      <c r="H2" s="486"/>
    </row>
    <row r="3" spans="1:15" x14ac:dyDescent="0.25">
      <c r="A3" s="486"/>
      <c r="B3" s="486"/>
      <c r="C3" s="486"/>
      <c r="D3" s="486"/>
      <c r="E3" s="486"/>
      <c r="F3" s="486"/>
      <c r="G3" s="486"/>
      <c r="H3" s="486"/>
    </row>
    <row r="4" spans="1:15" x14ac:dyDescent="0.25">
      <c r="A4" s="486"/>
      <c r="B4" s="486"/>
      <c r="C4" s="486"/>
      <c r="D4" s="486"/>
      <c r="E4" s="486"/>
      <c r="F4" s="486"/>
      <c r="G4" s="486"/>
      <c r="H4" s="486"/>
    </row>
    <row r="5" spans="1:15" x14ac:dyDescent="0.25">
      <c r="A5" s="486"/>
      <c r="B5" s="486"/>
      <c r="C5" s="486"/>
      <c r="D5" s="486"/>
      <c r="E5" s="486"/>
      <c r="F5" s="486"/>
      <c r="G5" s="486"/>
      <c r="H5" s="486"/>
    </row>
    <row r="6" spans="1:15" x14ac:dyDescent="0.25">
      <c r="A6" s="486"/>
      <c r="B6" s="486"/>
      <c r="C6" s="486"/>
      <c r="D6" s="486"/>
      <c r="E6" s="486"/>
      <c r="F6" s="486"/>
      <c r="G6" s="486"/>
      <c r="H6" s="486"/>
    </row>
    <row r="7" spans="1:15" x14ac:dyDescent="0.25">
      <c r="A7" s="486"/>
      <c r="B7" s="486"/>
      <c r="C7" s="486"/>
      <c r="D7" s="486"/>
      <c r="E7" s="486"/>
      <c r="F7" s="486"/>
      <c r="G7" s="486"/>
      <c r="H7" s="486"/>
    </row>
    <row r="8" spans="1:15" x14ac:dyDescent="0.25">
      <c r="A8" s="486"/>
      <c r="B8" s="486"/>
      <c r="C8" s="486"/>
      <c r="D8" s="486"/>
      <c r="E8" s="486"/>
      <c r="F8" s="486"/>
      <c r="G8" s="486"/>
      <c r="H8" s="486"/>
    </row>
    <row r="9" spans="1:15" x14ac:dyDescent="0.25">
      <c r="A9" s="486"/>
      <c r="B9" s="486"/>
      <c r="C9" s="486"/>
      <c r="D9" s="486"/>
      <c r="E9" s="486"/>
      <c r="F9" s="486"/>
      <c r="G9" s="486"/>
      <c r="H9" s="486"/>
    </row>
    <row r="10" spans="1:15" x14ac:dyDescent="0.25">
      <c r="A10" s="486"/>
      <c r="B10" s="486"/>
      <c r="C10" s="486"/>
      <c r="D10" s="486"/>
      <c r="E10" s="486"/>
      <c r="F10" s="486"/>
      <c r="G10" s="486"/>
      <c r="H10" s="486"/>
    </row>
    <row r="11" spans="1:15" x14ac:dyDescent="0.25">
      <c r="A11" s="486"/>
      <c r="B11" s="486"/>
      <c r="C11" s="486"/>
      <c r="D11" s="486"/>
      <c r="E11" s="486"/>
      <c r="F11" s="486"/>
      <c r="G11" s="486"/>
      <c r="H11" s="486"/>
    </row>
    <row r="12" spans="1:15" x14ac:dyDescent="0.25">
      <c r="A12" s="486"/>
      <c r="B12" s="486"/>
      <c r="C12" s="486"/>
      <c r="D12" s="486"/>
      <c r="E12" s="486"/>
      <c r="F12" s="486"/>
      <c r="G12" s="486"/>
      <c r="H12" s="486"/>
    </row>
    <row r="13" spans="1:15" x14ac:dyDescent="0.25">
      <c r="A13" s="486"/>
      <c r="B13" s="486"/>
      <c r="C13" s="486"/>
      <c r="D13" s="486"/>
      <c r="E13" s="486"/>
      <c r="F13" s="486"/>
      <c r="G13" s="486"/>
      <c r="H13" s="486"/>
    </row>
    <row r="14" spans="1:15" x14ac:dyDescent="0.25">
      <c r="A14" s="486"/>
      <c r="B14" s="486"/>
      <c r="C14" s="486"/>
      <c r="D14" s="486"/>
      <c r="E14" s="486"/>
      <c r="F14" s="486"/>
      <c r="G14" s="486"/>
      <c r="H14" s="486"/>
    </row>
    <row r="15" spans="1:15" x14ac:dyDescent="0.25">
      <c r="A15" s="486"/>
      <c r="B15" s="486"/>
      <c r="C15" s="486"/>
      <c r="D15" s="486"/>
      <c r="E15" s="486"/>
      <c r="F15" s="486"/>
      <c r="G15" s="486"/>
      <c r="H15" s="486"/>
    </row>
    <row r="16" spans="1:15" x14ac:dyDescent="0.25">
      <c r="A16" s="486"/>
      <c r="B16" s="486"/>
      <c r="C16" s="486"/>
      <c r="D16" s="486"/>
      <c r="E16" s="486"/>
      <c r="F16" s="486"/>
      <c r="G16" s="486"/>
      <c r="H16" s="486"/>
    </row>
    <row r="17" spans="1:8" x14ac:dyDescent="0.25">
      <c r="A17" s="486"/>
      <c r="B17" s="486"/>
      <c r="C17" s="486"/>
      <c r="D17" s="486"/>
      <c r="E17" s="486"/>
      <c r="F17" s="486"/>
      <c r="G17" s="486"/>
      <c r="H17" s="486"/>
    </row>
    <row r="18" spans="1:8" x14ac:dyDescent="0.25">
      <c r="A18" s="486"/>
      <c r="B18" s="486"/>
      <c r="C18" s="486"/>
      <c r="D18" s="486"/>
      <c r="E18" s="486"/>
      <c r="F18" s="486"/>
      <c r="G18" s="486"/>
      <c r="H18" s="486"/>
    </row>
    <row r="19" spans="1:8" x14ac:dyDescent="0.25">
      <c r="A19" s="486"/>
      <c r="B19" s="486"/>
      <c r="C19" s="486"/>
      <c r="D19" s="486"/>
      <c r="E19" s="486"/>
      <c r="F19" s="486"/>
      <c r="G19" s="486"/>
      <c r="H19" s="486"/>
    </row>
    <row r="20" spans="1:8" x14ac:dyDescent="0.25">
      <c r="A20" s="486"/>
      <c r="B20" s="486"/>
      <c r="C20" s="486"/>
      <c r="D20" s="486"/>
      <c r="E20" s="486"/>
      <c r="F20" s="486"/>
      <c r="G20" s="486"/>
      <c r="H20" s="486"/>
    </row>
    <row r="21" spans="1:8" x14ac:dyDescent="0.25">
      <c r="A21" s="486"/>
      <c r="B21" s="486"/>
      <c r="C21" s="486"/>
      <c r="D21" s="486"/>
      <c r="E21" s="486"/>
      <c r="F21" s="486"/>
      <c r="G21" s="486"/>
      <c r="H21" s="486"/>
    </row>
    <row r="22" spans="1:8" x14ac:dyDescent="0.25">
      <c r="A22" s="486"/>
      <c r="B22" s="486"/>
      <c r="C22" s="486"/>
      <c r="D22" s="486"/>
      <c r="E22" s="486"/>
      <c r="F22" s="486"/>
      <c r="G22" s="486"/>
      <c r="H22" s="486"/>
    </row>
    <row r="23" spans="1:8" x14ac:dyDescent="0.25">
      <c r="A23" s="486"/>
      <c r="B23" s="486"/>
      <c r="C23" s="486"/>
      <c r="D23" s="486"/>
      <c r="E23" s="486"/>
      <c r="F23" s="486"/>
      <c r="G23" s="486"/>
      <c r="H23" s="486"/>
    </row>
    <row r="24" spans="1:8" x14ac:dyDescent="0.25">
      <c r="A24" s="486"/>
      <c r="B24" s="486"/>
      <c r="C24" s="486"/>
      <c r="D24" s="486"/>
      <c r="E24" s="486"/>
      <c r="F24" s="486"/>
      <c r="G24" s="486"/>
      <c r="H24" s="486"/>
    </row>
    <row r="25" spans="1:8" x14ac:dyDescent="0.25">
      <c r="A25" s="486"/>
      <c r="B25" s="486"/>
      <c r="C25" s="486"/>
      <c r="D25" s="486"/>
      <c r="E25" s="486"/>
      <c r="F25" s="486"/>
      <c r="G25" s="486"/>
      <c r="H25" s="486"/>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4"/>
  <sheetViews>
    <sheetView workbookViewId="0">
      <selection activeCell="E12" sqref="E12"/>
    </sheetView>
  </sheetViews>
  <sheetFormatPr defaultRowHeight="12.75" x14ac:dyDescent="0.2"/>
  <cols>
    <col min="1" max="1" width="5" bestFit="1" customWidth="1"/>
    <col min="2" max="2" width="12.140625" bestFit="1" customWidth="1"/>
    <col min="3" max="3" width="12"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772</v>
      </c>
      <c r="C1" s="358" t="s">
        <v>771</v>
      </c>
    </row>
    <row r="3" spans="1:10" x14ac:dyDescent="0.2">
      <c r="A3"/>
      <c r="B3"/>
      <c r="C3"/>
      <c r="D3"/>
      <c r="E3"/>
      <c r="F3"/>
      <c r="G3"/>
      <c r="H3"/>
      <c r="I3"/>
      <c r="J3"/>
    </row>
    <row r="4" spans="1:10" x14ac:dyDescent="0.2">
      <c r="A4"/>
      <c r="B4"/>
      <c r="C4"/>
      <c r="D4"/>
      <c r="E4"/>
      <c r="F4"/>
      <c r="G4"/>
      <c r="H4"/>
      <c r="I4"/>
      <c r="J4"/>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4" t="s">
        <v>53</v>
      </c>
      <c r="B1" s="591"/>
      <c r="C1" s="591"/>
      <c r="D1" s="591"/>
      <c r="E1" s="33" t="s">
        <v>144</v>
      </c>
      <c r="G1" s="591" t="s">
        <v>65</v>
      </c>
      <c r="H1" s="591"/>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cEbjZ443ks9Uf3iiNAb/9fxNOykrUpqv92eQ53sG0zsrsynluiBPeYSyPA9iWdGnk5VN5tGUqHwC7KV+rXErkw==" saltValue="joD/6KqoD/C3kCDT8XHJFg=="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2026-04-03T21:31:30Z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