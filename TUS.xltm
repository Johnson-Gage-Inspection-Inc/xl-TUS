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8A80F20-8DFF-4639-A4EA-97CBE47E744A}"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c r="P5" i="8" a="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K7" i="95" s="1"/>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J27" i="95"/>
  <c r="J28" i="95"/>
  <c r="J29" i="95"/>
  <c r="J30" i="95"/>
  <c r="J31" i="95"/>
  <c r="J32" i="95"/>
  <c r="J33" i="95"/>
  <c r="J34" i="95"/>
  <c r="J35" i="95"/>
  <c r="J36" i="95"/>
  <c r="J37" i="95"/>
  <c r="J38" i="95"/>
  <c r="J39" i="95"/>
  <c r="K39" i="95" s="1"/>
  <c r="J40" i="95"/>
  <c r="J41" i="95"/>
  <c r="J42" i="95"/>
  <c r="J43" i="95"/>
  <c r="J44" i="95"/>
  <c r="J45" i="95"/>
  <c r="J46" i="95"/>
  <c r="J47" i="95"/>
  <c r="J48" i="95"/>
  <c r="J49" i="95"/>
  <c r="J50" i="95"/>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J68" i="95"/>
  <c r="J69" i="95"/>
  <c r="J70" i="95"/>
  <c r="J71" i="95"/>
  <c r="K71" i="95" s="1"/>
  <c r="J72" i="95"/>
  <c r="J73" i="95"/>
  <c r="J74" i="95"/>
  <c r="J75" i="95"/>
  <c r="J76" i="95"/>
  <c r="J77" i="95"/>
  <c r="J78" i="95"/>
  <c r="J79" i="95"/>
  <c r="J80" i="95"/>
  <c r="J81" i="95"/>
  <c r="J82" i="95"/>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K103" i="95" s="1"/>
  <c r="J104" i="95"/>
  <c r="J105" i="95"/>
  <c r="J106" i="95"/>
  <c r="J107" i="95"/>
  <c r="J108" i="95"/>
  <c r="J109" i="95"/>
  <c r="J110" i="95"/>
  <c r="J111" i="95"/>
  <c r="J112" i="95"/>
  <c r="J113" i="95"/>
  <c r="J114" i="95"/>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K135" i="95" s="1"/>
  <c r="J136" i="95"/>
  <c r="J137" i="95"/>
  <c r="J138" i="95"/>
  <c r="J139" i="95"/>
  <c r="J140" i="95"/>
  <c r="J141" i="95"/>
  <c r="J142" i="95"/>
  <c r="J143" i="95"/>
  <c r="J144" i="95"/>
  <c r="J145" i="95"/>
  <c r="J146" i="95"/>
  <c r="J147" i="95"/>
  <c r="K147" i="95" s="1"/>
  <c r="J148" i="95"/>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K167" i="95" s="1"/>
  <c r="J168" i="95"/>
  <c r="J169" i="95"/>
  <c r="J170" i="95"/>
  <c r="J171" i="95"/>
  <c r="J172" i="95"/>
  <c r="J173" i="95"/>
  <c r="J174" i="95"/>
  <c r="J175" i="95"/>
  <c r="J176" i="95"/>
  <c r="J177" i="95"/>
  <c r="J178" i="95"/>
  <c r="J179" i="95"/>
  <c r="K179" i="95" s="1"/>
  <c r="J180" i="95"/>
  <c r="J181" i="95"/>
  <c r="K181" i="95" s="1"/>
  <c r="J182" i="95"/>
  <c r="K182" i="95" s="1"/>
  <c r="J183" i="95"/>
  <c r="K183" i="95" s="1"/>
  <c r="J184" i="95"/>
  <c r="K184" i="95" s="1"/>
  <c r="J185" i="95"/>
  <c r="K185" i="95" s="1"/>
  <c r="J186" i="95"/>
  <c r="J187" i="95"/>
  <c r="J188" i="95"/>
  <c r="J189" i="95"/>
  <c r="J190" i="95"/>
  <c r="J191" i="95"/>
  <c r="J192" i="95"/>
  <c r="J193" i="95"/>
  <c r="J194" i="95"/>
  <c r="J195" i="95"/>
  <c r="J196" i="95"/>
  <c r="J197" i="95"/>
  <c r="J198" i="95"/>
  <c r="J199" i="95"/>
  <c r="K199" i="95" s="1"/>
  <c r="J200" i="95"/>
  <c r="J201" i="95"/>
  <c r="J202" i="95"/>
  <c r="J203" i="95"/>
  <c r="J204" i="95"/>
  <c r="J205" i="95"/>
  <c r="J206" i="95"/>
  <c r="J207" i="95"/>
  <c r="J208" i="95"/>
  <c r="J209" i="95"/>
  <c r="J210" i="95"/>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K231" i="95" s="1"/>
  <c r="J232" i="95"/>
  <c r="J233" i="95"/>
  <c r="J234" i="95"/>
  <c r="J235" i="95"/>
  <c r="J236" i="95"/>
  <c r="J237" i="95"/>
  <c r="J238" i="95"/>
  <c r="J239" i="95"/>
  <c r="J240" i="95"/>
  <c r="J241" i="95"/>
  <c r="J242" i="95"/>
  <c r="J243" i="95"/>
  <c r="K243" i="95" s="1"/>
  <c r="J244" i="95"/>
  <c r="J245" i="95"/>
  <c r="K245" i="95" s="1"/>
  <c r="J246" i="95"/>
  <c r="K246" i="95" s="1"/>
  <c r="J247" i="95"/>
  <c r="K247" i="95" s="1"/>
  <c r="J248" i="95"/>
  <c r="K248" i="95" s="1"/>
  <c r="J249" i="95"/>
  <c r="K249" i="95" s="1"/>
  <c r="J250" i="95"/>
  <c r="J251" i="95"/>
  <c r="J252" i="95"/>
  <c r="J253" i="95"/>
  <c r="J254" i="95"/>
  <c r="J255" i="95"/>
  <c r="J256" i="95"/>
  <c r="J257" i="95"/>
  <c r="K257" i="95" s="1"/>
  <c r="J258" i="95"/>
  <c r="K258" i="95" s="1"/>
  <c r="J259" i="95"/>
  <c r="J260" i="95"/>
  <c r="J261" i="95"/>
  <c r="J262" i="95"/>
  <c r="J263" i="95"/>
  <c r="K263" i="95" s="1"/>
  <c r="J264" i="95"/>
  <c r="J265" i="95"/>
  <c r="J266" i="95"/>
  <c r="J267" i="95"/>
  <c r="K267" i="95" s="1"/>
  <c r="J268" i="95"/>
  <c r="J269" i="95"/>
  <c r="J270" i="95"/>
  <c r="J271" i="95"/>
  <c r="J272" i="95"/>
  <c r="J273" i="95"/>
  <c r="J274" i="95"/>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K289" i="95" s="1"/>
  <c r="J290" i="95"/>
  <c r="K290" i="95" s="1"/>
  <c r="J291" i="95"/>
  <c r="J292" i="95"/>
  <c r="J293" i="95"/>
  <c r="J294" i="95"/>
  <c r="J295" i="95"/>
  <c r="K295" i="95" s="1"/>
  <c r="J296" i="95"/>
  <c r="J297" i="95"/>
  <c r="J298" i="95"/>
  <c r="J299" i="95"/>
  <c r="K299" i="95" s="1"/>
  <c r="J300" i="95"/>
  <c r="J301" i="95"/>
  <c r="J302" i="95"/>
  <c r="J303" i="95"/>
  <c r="J304" i="95"/>
  <c r="J305" i="95"/>
  <c r="J306" i="95"/>
  <c r="J307" i="95"/>
  <c r="K307" i="95" s="1"/>
  <c r="J308" i="95"/>
  <c r="J309" i="95"/>
  <c r="K309" i="95" s="1"/>
  <c r="J310" i="95"/>
  <c r="K310" i="95" s="1"/>
  <c r="J311" i="95"/>
  <c r="K311" i="95" s="1"/>
  <c r="J312" i="95"/>
  <c r="K312" i="95" s="1"/>
  <c r="J313" i="95"/>
  <c r="K313" i="95" s="1"/>
  <c r="J314" i="95"/>
  <c r="J315" i="95"/>
  <c r="J316" i="95"/>
  <c r="J317" i="95"/>
  <c r="J318" i="95"/>
  <c r="J319" i="95"/>
  <c r="J320" i="95"/>
  <c r="J321" i="95"/>
  <c r="K321" i="95" s="1"/>
  <c r="J322" i="95"/>
  <c r="K322" i="95" s="1"/>
  <c r="J323" i="95"/>
  <c r="J324" i="95"/>
  <c r="J325" i="95"/>
  <c r="J326" i="95"/>
  <c r="J327" i="95"/>
  <c r="K327" i="95" s="1"/>
  <c r="J328" i="95"/>
  <c r="J329" i="95"/>
  <c r="J330" i="95"/>
  <c r="J331" i="95"/>
  <c r="K331" i="95" s="1"/>
  <c r="J332" i="95"/>
  <c r="J333" i="95"/>
  <c r="J334" i="95"/>
  <c r="J335" i="95"/>
  <c r="J336" i="95"/>
  <c r="J337" i="95"/>
  <c r="J338" i="95"/>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K353" i="95" s="1"/>
  <c r="J354" i="95"/>
  <c r="K354" i="95" s="1"/>
  <c r="J355" i="95"/>
  <c r="J356" i="95"/>
  <c r="J357" i="95"/>
  <c r="J358" i="95"/>
  <c r="J359" i="95"/>
  <c r="K359" i="95" s="1"/>
  <c r="J360" i="95"/>
  <c r="J361" i="95"/>
  <c r="J362" i="95"/>
  <c r="J363" i="95"/>
  <c r="K363" i="95" s="1"/>
  <c r="J364" i="95"/>
  <c r="J365" i="95"/>
  <c r="J366" i="95"/>
  <c r="J367" i="95"/>
  <c r="J368" i="95"/>
  <c r="J369" i="95"/>
  <c r="J370" i="95"/>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K385" i="95" s="1"/>
  <c r="J386" i="95"/>
  <c r="K386" i="95" s="1"/>
  <c r="J387" i="95"/>
  <c r="J388" i="95"/>
  <c r="J389" i="95"/>
  <c r="J390" i="95"/>
  <c r="J391" i="95"/>
  <c r="K391" i="95" s="1"/>
  <c r="J392" i="95"/>
  <c r="J393" i="95"/>
  <c r="J394" i="95"/>
  <c r="J395" i="95"/>
  <c r="K395" i="95" s="1"/>
  <c r="J396" i="95"/>
  <c r="J397" i="95"/>
  <c r="J398" i="95"/>
  <c r="J399" i="95"/>
  <c r="J400" i="95"/>
  <c r="J401" i="95"/>
  <c r="J402" i="95"/>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J416" i="95"/>
  <c r="J417" i="95"/>
  <c r="K417" i="95" s="1"/>
  <c r="J418" i="95"/>
  <c r="K418" i="95" s="1"/>
  <c r="J419" i="95"/>
  <c r="J420" i="95"/>
  <c r="J421" i="95"/>
  <c r="J422" i="95"/>
  <c r="J423" i="95"/>
  <c r="K423" i="95" s="1"/>
  <c r="J424" i="95"/>
  <c r="J425" i="95"/>
  <c r="K2" i="95"/>
  <c r="K3" i="95"/>
  <c r="K4" i="95"/>
  <c r="K5" i="95"/>
  <c r="K6" i="95"/>
  <c r="K8" i="95"/>
  <c r="K9" i="95"/>
  <c r="K10" i="95"/>
  <c r="K11" i="95"/>
  <c r="K12" i="95"/>
  <c r="K13" i="95"/>
  <c r="K14" i="95"/>
  <c r="K15" i="95"/>
  <c r="K16" i="95"/>
  <c r="K17" i="95"/>
  <c r="K18" i="95"/>
  <c r="K26" i="95"/>
  <c r="K27" i="95"/>
  <c r="K28" i="95"/>
  <c r="K29" i="95"/>
  <c r="K30" i="95"/>
  <c r="K31" i="95"/>
  <c r="K32" i="95"/>
  <c r="K33" i="95"/>
  <c r="K34" i="95"/>
  <c r="K35" i="95"/>
  <c r="K36" i="95"/>
  <c r="K37" i="95"/>
  <c r="K38" i="95"/>
  <c r="K40" i="95"/>
  <c r="K41" i="95"/>
  <c r="K42" i="95"/>
  <c r="K43" i="95"/>
  <c r="K44" i="95"/>
  <c r="K45" i="95"/>
  <c r="K46" i="95"/>
  <c r="K47" i="95"/>
  <c r="K48" i="95"/>
  <c r="K49" i="95"/>
  <c r="K50" i="95"/>
  <c r="K58" i="95"/>
  <c r="K59" i="95"/>
  <c r="K60" i="95"/>
  <c r="K61" i="95"/>
  <c r="K62" i="95"/>
  <c r="K63" i="95"/>
  <c r="K64" i="95"/>
  <c r="K65" i="95"/>
  <c r="K66" i="95"/>
  <c r="K67" i="95"/>
  <c r="K68" i="95"/>
  <c r="K69" i="95"/>
  <c r="K70" i="95"/>
  <c r="K72" i="95"/>
  <c r="K73" i="95"/>
  <c r="K74" i="95"/>
  <c r="K75" i="95"/>
  <c r="K76" i="95"/>
  <c r="K77" i="95"/>
  <c r="K78" i="95"/>
  <c r="K79" i="95"/>
  <c r="K80" i="95"/>
  <c r="K81" i="95"/>
  <c r="K82" i="95"/>
  <c r="K90" i="95"/>
  <c r="K91" i="95"/>
  <c r="K92" i="95"/>
  <c r="K93" i="95"/>
  <c r="K94" i="95"/>
  <c r="K95" i="95"/>
  <c r="K96" i="95"/>
  <c r="K97" i="95"/>
  <c r="K98" i="95"/>
  <c r="K99" i="95"/>
  <c r="K100" i="95"/>
  <c r="K101" i="95"/>
  <c r="K102" i="95"/>
  <c r="K104" i="95"/>
  <c r="K105" i="95"/>
  <c r="K106" i="95"/>
  <c r="K107" i="95"/>
  <c r="K108" i="95"/>
  <c r="K109" i="95"/>
  <c r="K110" i="95"/>
  <c r="K111" i="95"/>
  <c r="K112" i="95"/>
  <c r="K113" i="95"/>
  <c r="K114" i="95"/>
  <c r="K122" i="95"/>
  <c r="K123" i="95"/>
  <c r="K124" i="95"/>
  <c r="K125" i="95"/>
  <c r="K126" i="95"/>
  <c r="K127" i="95"/>
  <c r="K128" i="95"/>
  <c r="K129" i="95"/>
  <c r="K130" i="95"/>
  <c r="K131" i="95"/>
  <c r="K132" i="95"/>
  <c r="K133" i="95"/>
  <c r="K134" i="95"/>
  <c r="K136" i="95"/>
  <c r="K137" i="95"/>
  <c r="K138" i="95"/>
  <c r="K139" i="95"/>
  <c r="K140" i="95"/>
  <c r="K141" i="95"/>
  <c r="K142" i="95"/>
  <c r="K143" i="95"/>
  <c r="K144" i="95"/>
  <c r="K145" i="95"/>
  <c r="K146" i="95"/>
  <c r="K148" i="95"/>
  <c r="K154" i="95"/>
  <c r="K155" i="95"/>
  <c r="K156" i="95"/>
  <c r="K157" i="95"/>
  <c r="K158" i="95"/>
  <c r="K159" i="95"/>
  <c r="K160" i="95"/>
  <c r="K161" i="95"/>
  <c r="K162" i="95"/>
  <c r="K163" i="95"/>
  <c r="K164" i="95"/>
  <c r="K165" i="95"/>
  <c r="K166" i="95"/>
  <c r="K168" i="95"/>
  <c r="K169" i="95"/>
  <c r="K170" i="95"/>
  <c r="K171" i="95"/>
  <c r="K172" i="95"/>
  <c r="K173" i="95"/>
  <c r="K174" i="95"/>
  <c r="K175" i="95"/>
  <c r="K176" i="95"/>
  <c r="K177" i="95"/>
  <c r="K178" i="95"/>
  <c r="K180" i="95"/>
  <c r="K186" i="95"/>
  <c r="K187" i="95"/>
  <c r="K188" i="95"/>
  <c r="K189" i="95"/>
  <c r="K190" i="95"/>
  <c r="K191" i="95"/>
  <c r="K192" i="95"/>
  <c r="K193" i="95"/>
  <c r="K194" i="95"/>
  <c r="K195" i="95"/>
  <c r="K196" i="95"/>
  <c r="K197" i="95"/>
  <c r="K198" i="95"/>
  <c r="K200" i="95"/>
  <c r="K201" i="95"/>
  <c r="K202" i="95"/>
  <c r="K203" i="95"/>
  <c r="K204" i="95"/>
  <c r="K205" i="95"/>
  <c r="K206" i="95"/>
  <c r="K207" i="95"/>
  <c r="K208" i="95"/>
  <c r="K209" i="95"/>
  <c r="K210" i="95"/>
  <c r="K218" i="95"/>
  <c r="K219" i="95"/>
  <c r="K220" i="95"/>
  <c r="K221" i="95"/>
  <c r="K223" i="95"/>
  <c r="K224" i="95"/>
  <c r="K225" i="95"/>
  <c r="K226" i="95"/>
  <c r="K227" i="95"/>
  <c r="K228" i="95"/>
  <c r="K229" i="95"/>
  <c r="K230" i="95"/>
  <c r="K232" i="95"/>
  <c r="K233" i="95"/>
  <c r="K234" i="95"/>
  <c r="K235" i="95"/>
  <c r="K236" i="95"/>
  <c r="K237" i="95"/>
  <c r="K238" i="95"/>
  <c r="K239" i="95"/>
  <c r="K240" i="95"/>
  <c r="K241" i="95"/>
  <c r="K242" i="95"/>
  <c r="K244" i="95"/>
  <c r="K250" i="95"/>
  <c r="K251" i="95"/>
  <c r="K252" i="95"/>
  <c r="K253" i="95"/>
  <c r="K254" i="95"/>
  <c r="K255" i="95"/>
  <c r="K256" i="95"/>
  <c r="K259" i="95"/>
  <c r="K260" i="95"/>
  <c r="K261" i="95"/>
  <c r="K262" i="95"/>
  <c r="K264" i="95"/>
  <c r="K265" i="95"/>
  <c r="K266" i="95"/>
  <c r="K268" i="95"/>
  <c r="K269" i="95"/>
  <c r="K270" i="95"/>
  <c r="K271" i="95"/>
  <c r="K272" i="95"/>
  <c r="K273" i="95"/>
  <c r="K274" i="95"/>
  <c r="K282" i="95"/>
  <c r="K283" i="95"/>
  <c r="K284" i="95"/>
  <c r="K285" i="95"/>
  <c r="K286" i="95"/>
  <c r="K287" i="95"/>
  <c r="K288" i="95"/>
  <c r="K291" i="95"/>
  <c r="K292" i="95"/>
  <c r="K293" i="95"/>
  <c r="K294" i="95"/>
  <c r="K296" i="95"/>
  <c r="K297" i="95"/>
  <c r="K298" i="95"/>
  <c r="K300" i="95"/>
  <c r="K301" i="95"/>
  <c r="K302" i="95"/>
  <c r="K303" i="95"/>
  <c r="K304" i="95"/>
  <c r="K305" i="95"/>
  <c r="K306" i="95"/>
  <c r="K308" i="95"/>
  <c r="K314" i="95"/>
  <c r="K315" i="95"/>
  <c r="K316" i="95"/>
  <c r="K317" i="95"/>
  <c r="K320" i="95"/>
  <c r="K323" i="95"/>
  <c r="K324" i="95"/>
  <c r="K325" i="95"/>
  <c r="K326" i="95"/>
  <c r="K328" i="95"/>
  <c r="K329" i="95"/>
  <c r="K330" i="95"/>
  <c r="K332" i="95"/>
  <c r="K333" i="95"/>
  <c r="K334" i="95"/>
  <c r="K335" i="95"/>
  <c r="K336" i="95"/>
  <c r="K337" i="95"/>
  <c r="K338" i="95"/>
  <c r="K346" i="95"/>
  <c r="K347" i="95"/>
  <c r="K348" i="95"/>
  <c r="K349" i="95"/>
  <c r="K350" i="95"/>
  <c r="K351" i="95"/>
  <c r="K352" i="95"/>
  <c r="K355" i="95"/>
  <c r="K356" i="95"/>
  <c r="K357" i="95"/>
  <c r="K358" i="95"/>
  <c r="K360" i="95"/>
  <c r="K361" i="95"/>
  <c r="K362" i="95"/>
  <c r="K364" i="95"/>
  <c r="K365" i="95"/>
  <c r="K366" i="95"/>
  <c r="K367" i="95"/>
  <c r="K368" i="95"/>
  <c r="K369" i="95"/>
  <c r="K370" i="95"/>
  <c r="K378" i="95"/>
  <c r="K379" i="95"/>
  <c r="K380" i="95"/>
  <c r="K381" i="95"/>
  <c r="K383" i="95"/>
  <c r="K384" i="95"/>
  <c r="K387" i="95"/>
  <c r="K388" i="95"/>
  <c r="K389" i="95"/>
  <c r="K390" i="95"/>
  <c r="K392" i="95"/>
  <c r="K393" i="95"/>
  <c r="K394" i="95"/>
  <c r="K396" i="95"/>
  <c r="K397" i="95"/>
  <c r="K398" i="95"/>
  <c r="K399" i="95"/>
  <c r="K400" i="95"/>
  <c r="K401" i="95"/>
  <c r="K402" i="95"/>
  <c r="K410" i="95"/>
  <c r="K411" i="95"/>
  <c r="K412" i="95"/>
  <c r="K413" i="95"/>
  <c r="K415" i="95"/>
  <c r="K416" i="95"/>
  <c r="K419" i="95"/>
  <c r="K420" i="95"/>
  <c r="K421" i="95"/>
  <c r="K422" i="95"/>
  <c r="K424" i="95"/>
  <c r="K425" i="95"/>
  <c r="L2" i="95"/>
  <c r="M2" i="95" s="1"/>
  <c r="L3" i="95"/>
  <c r="M3" i="95" s="1"/>
  <c r="L4" i="95"/>
  <c r="M4" i="95" s="1"/>
  <c r="L5" i="95"/>
  <c r="M5" i="95" s="1"/>
  <c r="L6" i="95"/>
  <c r="M6" i="95" s="1"/>
  <c r="L7" i="95"/>
  <c r="M7" i="95" s="1"/>
  <c r="L8" i="95"/>
  <c r="L9" i="95"/>
  <c r="M9" i="95" s="1"/>
  <c r="L10" i="95"/>
  <c r="L11" i="95"/>
  <c r="L12" i="95"/>
  <c r="M12" i="95" s="1"/>
  <c r="L13" i="95"/>
  <c r="L14" i="95"/>
  <c r="M14" i="95" s="1"/>
  <c r="L15" i="95"/>
  <c r="L16" i="95"/>
  <c r="L17" i="95"/>
  <c r="M17" i="95" s="1"/>
  <c r="L18" i="95"/>
  <c r="M18" i="95" s="1"/>
  <c r="L19" i="95"/>
  <c r="L20" i="95"/>
  <c r="L21" i="95"/>
  <c r="L22" i="95"/>
  <c r="L23" i="95"/>
  <c r="M23" i="95" s="1"/>
  <c r="L24" i="95"/>
  <c r="M24" i="95" s="1"/>
  <c r="L25" i="95"/>
  <c r="L26" i="95"/>
  <c r="M26" i="95" s="1"/>
  <c r="L27" i="95"/>
  <c r="M27" i="95" s="1"/>
  <c r="L28" i="95"/>
  <c r="M28" i="95" s="1"/>
  <c r="L29" i="95"/>
  <c r="M29" i="95" s="1"/>
  <c r="L30" i="95"/>
  <c r="M30" i="95" s="1"/>
  <c r="L31" i="95"/>
  <c r="M31" i="95" s="1"/>
  <c r="L32" i="95"/>
  <c r="M32" i="95" s="1"/>
  <c r="L33" i="95"/>
  <c r="L34" i="95"/>
  <c r="M34" i="95" s="1"/>
  <c r="L35" i="95"/>
  <c r="M35" i="95" s="1"/>
  <c r="L36" i="95"/>
  <c r="M36" i="95" s="1"/>
  <c r="L37" i="95"/>
  <c r="M37" i="95" s="1"/>
  <c r="L38" i="95"/>
  <c r="M38" i="95" s="1"/>
  <c r="L39" i="95"/>
  <c r="M39" i="95" s="1"/>
  <c r="L40" i="95"/>
  <c r="L41" i="95"/>
  <c r="M41" i="95" s="1"/>
  <c r="L42" i="95"/>
  <c r="L43" i="95"/>
  <c r="L44" i="95"/>
  <c r="M44" i="95" s="1"/>
  <c r="L45" i="95"/>
  <c r="L46" i="95"/>
  <c r="M46" i="95" s="1"/>
  <c r="L47" i="95"/>
  <c r="L48" i="95"/>
  <c r="L49" i="95"/>
  <c r="M49" i="95" s="1"/>
  <c r="L50" i="95"/>
  <c r="M50" i="95" s="1"/>
  <c r="L51" i="95"/>
  <c r="L52" i="95"/>
  <c r="L53" i="95"/>
  <c r="L54" i="95"/>
  <c r="L55" i="95"/>
  <c r="M55" i="95" s="1"/>
  <c r="L56" i="95"/>
  <c r="M56" i="95" s="1"/>
  <c r="L57" i="95"/>
  <c r="L58" i="95"/>
  <c r="M58" i="95" s="1"/>
  <c r="L59" i="95"/>
  <c r="M59" i="95" s="1"/>
  <c r="L60" i="95"/>
  <c r="M60" i="95" s="1"/>
  <c r="L61" i="95"/>
  <c r="M61" i="95" s="1"/>
  <c r="L62" i="95"/>
  <c r="M62" i="95" s="1"/>
  <c r="L63" i="95"/>
  <c r="M63" i="95" s="1"/>
  <c r="L64" i="95"/>
  <c r="M64" i="95" s="1"/>
  <c r="L65" i="95"/>
  <c r="L66" i="95"/>
  <c r="M66" i="95" s="1"/>
  <c r="L67" i="95"/>
  <c r="M67" i="95" s="1"/>
  <c r="L68" i="95"/>
  <c r="L69" i="95"/>
  <c r="M69" i="95" s="1"/>
  <c r="L70" i="95"/>
  <c r="M70" i="95" s="1"/>
  <c r="L71" i="95"/>
  <c r="M71" i="95" s="1"/>
  <c r="L72" i="95"/>
  <c r="M72" i="95" s="1"/>
  <c r="L73" i="95"/>
  <c r="M73" i="95" s="1"/>
  <c r="L74" i="95"/>
  <c r="L75" i="95"/>
  <c r="L76" i="95"/>
  <c r="M76" i="95" s="1"/>
  <c r="L77" i="95"/>
  <c r="L78" i="95"/>
  <c r="M78" i="95" s="1"/>
  <c r="L79" i="95"/>
  <c r="L80" i="95"/>
  <c r="L81" i="95"/>
  <c r="M81" i="95" s="1"/>
  <c r="L82" i="95"/>
  <c r="M82" i="95" s="1"/>
  <c r="L83" i="95"/>
  <c r="L84" i="95"/>
  <c r="L85" i="95"/>
  <c r="L86" i="95"/>
  <c r="L87" i="95"/>
  <c r="M87" i="95" s="1"/>
  <c r="L88" i="95"/>
  <c r="M88" i="95" s="1"/>
  <c r="L89" i="95"/>
  <c r="L90" i="95"/>
  <c r="L91" i="95"/>
  <c r="M91" i="95" s="1"/>
  <c r="L92" i="95"/>
  <c r="L93" i="95"/>
  <c r="M93" i="95" s="1"/>
  <c r="L94" i="95"/>
  <c r="M94" i="95" s="1"/>
  <c r="L95" i="95"/>
  <c r="L96" i="95"/>
  <c r="L97" i="95"/>
  <c r="L98" i="95"/>
  <c r="M98" i="95" s="1"/>
  <c r="L99" i="95"/>
  <c r="M99" i="95" s="1"/>
  <c r="L100" i="95"/>
  <c r="L101" i="95"/>
  <c r="M101" i="95" s="1"/>
  <c r="L102" i="95"/>
  <c r="M102" i="95" s="1"/>
  <c r="L103" i="95"/>
  <c r="M103" i="95" s="1"/>
  <c r="L104" i="95"/>
  <c r="M104" i="95" s="1"/>
  <c r="L105" i="95"/>
  <c r="M105" i="95" s="1"/>
  <c r="L106" i="95"/>
  <c r="L107" i="95"/>
  <c r="L108" i="95"/>
  <c r="M108" i="95" s="1"/>
  <c r="L109" i="95"/>
  <c r="L110" i="95"/>
  <c r="M110" i="95" s="1"/>
  <c r="L111" i="95"/>
  <c r="L112" i="95"/>
  <c r="L113" i="95"/>
  <c r="M113" i="95" s="1"/>
  <c r="L114" i="95"/>
  <c r="M114" i="95" s="1"/>
  <c r="L115" i="95"/>
  <c r="L116" i="95"/>
  <c r="L117" i="95"/>
  <c r="L118" i="95"/>
  <c r="L119" i="95"/>
  <c r="M119" i="95" s="1"/>
  <c r="L120" i="95"/>
  <c r="M120" i="95" s="1"/>
  <c r="L121" i="95"/>
  <c r="L122" i="95"/>
  <c r="M122" i="95" s="1"/>
  <c r="L123" i="95"/>
  <c r="M123" i="95" s="1"/>
  <c r="L124" i="95"/>
  <c r="L125" i="95"/>
  <c r="M125" i="95" s="1"/>
  <c r="L126" i="95"/>
  <c r="M126" i="95" s="1"/>
  <c r="L127" i="95"/>
  <c r="M127" i="95" s="1"/>
  <c r="L128" i="95"/>
  <c r="M128" i="95" s="1"/>
  <c r="L129" i="95"/>
  <c r="L130" i="95"/>
  <c r="M130" i="95" s="1"/>
  <c r="L131" i="95"/>
  <c r="M131" i="95" s="1"/>
  <c r="L132" i="95"/>
  <c r="L133" i="95"/>
  <c r="M133" i="95" s="1"/>
  <c r="L134" i="95"/>
  <c r="M134" i="95" s="1"/>
  <c r="L135" i="95"/>
  <c r="M135" i="95" s="1"/>
  <c r="L136" i="95"/>
  <c r="M136" i="95" s="1"/>
  <c r="L137" i="95"/>
  <c r="M137" i="95" s="1"/>
  <c r="L138" i="95"/>
  <c r="L139" i="95"/>
  <c r="L140" i="95"/>
  <c r="M140" i="95" s="1"/>
  <c r="L141" i="95"/>
  <c r="L142" i="95"/>
  <c r="M142" i="95" s="1"/>
  <c r="L143" i="95"/>
  <c r="L144" i="95"/>
  <c r="L145" i="95"/>
  <c r="M145" i="95" s="1"/>
  <c r="L146" i="95"/>
  <c r="M146" i="95" s="1"/>
  <c r="L147" i="95"/>
  <c r="L148" i="95"/>
  <c r="L149" i="95"/>
  <c r="L150" i="95"/>
  <c r="L151" i="95"/>
  <c r="M151" i="95" s="1"/>
  <c r="L152" i="95"/>
  <c r="M152" i="95" s="1"/>
  <c r="L153" i="95"/>
  <c r="L154" i="95"/>
  <c r="L155" i="95"/>
  <c r="M155" i="95" s="1"/>
  <c r="L156" i="95"/>
  <c r="M156" i="95" s="1"/>
  <c r="L157" i="95"/>
  <c r="M157" i="95" s="1"/>
  <c r="L158" i="95"/>
  <c r="M158" i="95" s="1"/>
  <c r="L159" i="95"/>
  <c r="M159" i="95" s="1"/>
  <c r="L160" i="95"/>
  <c r="M160" i="95" s="1"/>
  <c r="L161" i="95"/>
  <c r="L162" i="95"/>
  <c r="M162" i="95" s="1"/>
  <c r="L163" i="95"/>
  <c r="M163" i="95" s="1"/>
  <c r="L164" i="95"/>
  <c r="L165" i="95"/>
  <c r="M165" i="95" s="1"/>
  <c r="L166" i="95"/>
  <c r="M166" i="95" s="1"/>
  <c r="L167" i="95"/>
  <c r="M167" i="95" s="1"/>
  <c r="L168" i="95"/>
  <c r="L169" i="95"/>
  <c r="M169" i="95" s="1"/>
  <c r="L170" i="95"/>
  <c r="L171" i="95"/>
  <c r="L172" i="95"/>
  <c r="M172" i="95" s="1"/>
  <c r="L173" i="95"/>
  <c r="L174" i="95"/>
  <c r="M174" i="95" s="1"/>
  <c r="L175" i="95"/>
  <c r="L176" i="95"/>
  <c r="L177" i="95"/>
  <c r="M177" i="95" s="1"/>
  <c r="L178" i="95"/>
  <c r="M178" i="95" s="1"/>
  <c r="L179" i="95"/>
  <c r="L180" i="95"/>
  <c r="L181" i="95"/>
  <c r="L182" i="95"/>
  <c r="L183" i="95"/>
  <c r="M183" i="95" s="1"/>
  <c r="L184" i="95"/>
  <c r="M184" i="95" s="1"/>
  <c r="L185" i="95"/>
  <c r="L186" i="95"/>
  <c r="M186" i="95" s="1"/>
  <c r="L187" i="95"/>
  <c r="M187" i="95" s="1"/>
  <c r="L188" i="95"/>
  <c r="M188" i="95" s="1"/>
  <c r="L189" i="95"/>
  <c r="M189" i="95" s="1"/>
  <c r="L190" i="95"/>
  <c r="M190" i="95" s="1"/>
  <c r="L191" i="95"/>
  <c r="M191" i="95" s="1"/>
  <c r="L192" i="95"/>
  <c r="M192" i="95" s="1"/>
  <c r="L193" i="95"/>
  <c r="L194" i="95"/>
  <c r="M194" i="95" s="1"/>
  <c r="L195" i="95"/>
  <c r="M195" i="95" s="1"/>
  <c r="L196" i="95"/>
  <c r="L197" i="95"/>
  <c r="M197" i="95" s="1"/>
  <c r="L198" i="95"/>
  <c r="M198" i="95" s="1"/>
  <c r="L199" i="95"/>
  <c r="M199" i="95" s="1"/>
  <c r="L200" i="95"/>
  <c r="L201" i="95"/>
  <c r="M201" i="95" s="1"/>
  <c r="L202" i="95"/>
  <c r="L203" i="95"/>
  <c r="L204" i="95"/>
  <c r="M204" i="95" s="1"/>
  <c r="L205" i="95"/>
  <c r="L206" i="95"/>
  <c r="M206" i="95" s="1"/>
  <c r="L207" i="95"/>
  <c r="L208" i="95"/>
  <c r="L209" i="95"/>
  <c r="M209" i="95" s="1"/>
  <c r="L210" i="95"/>
  <c r="M210" i="95" s="1"/>
  <c r="L211" i="95"/>
  <c r="L212" i="95"/>
  <c r="L213" i="95"/>
  <c r="L214" i="95"/>
  <c r="L215" i="95"/>
  <c r="M215" i="95" s="1"/>
  <c r="L216" i="95"/>
  <c r="M216" i="95" s="1"/>
  <c r="L217" i="95"/>
  <c r="L218" i="95"/>
  <c r="M218" i="95" s="1"/>
  <c r="L219" i="95"/>
  <c r="M219" i="95" s="1"/>
  <c r="L220" i="95"/>
  <c r="M220" i="95" s="1"/>
  <c r="L221" i="95"/>
  <c r="M221" i="95" s="1"/>
  <c r="L222" i="95"/>
  <c r="M222" i="95" s="1"/>
  <c r="L223" i="95"/>
  <c r="M223" i="95" s="1"/>
  <c r="L224" i="95"/>
  <c r="M224" i="95" s="1"/>
  <c r="L225" i="95"/>
  <c r="L226" i="95"/>
  <c r="M226" i="95" s="1"/>
  <c r="L227" i="95"/>
  <c r="M227" i="95" s="1"/>
  <c r="L228" i="95"/>
  <c r="L229" i="95"/>
  <c r="M229" i="95" s="1"/>
  <c r="L230" i="95"/>
  <c r="M230" i="95" s="1"/>
  <c r="L231" i="95"/>
  <c r="M231" i="95" s="1"/>
  <c r="L232" i="95"/>
  <c r="L233" i="95"/>
  <c r="M233" i="95" s="1"/>
  <c r="L234" i="95"/>
  <c r="L235" i="95"/>
  <c r="L236" i="95"/>
  <c r="M236" i="95" s="1"/>
  <c r="L237" i="95"/>
  <c r="L238" i="95"/>
  <c r="M238" i="95" s="1"/>
  <c r="L239" i="95"/>
  <c r="L240" i="95"/>
  <c r="L241" i="95"/>
  <c r="M241" i="95" s="1"/>
  <c r="L242" i="95"/>
  <c r="M242" i="95" s="1"/>
  <c r="L243" i="95"/>
  <c r="L244" i="95"/>
  <c r="L245" i="95"/>
  <c r="L246" i="95"/>
  <c r="L247" i="95"/>
  <c r="M247" i="95" s="1"/>
  <c r="L248" i="95"/>
  <c r="M248" i="95" s="1"/>
  <c r="L249" i="95"/>
  <c r="L250" i="95"/>
  <c r="M250" i="95" s="1"/>
  <c r="L251" i="95"/>
  <c r="M251" i="95" s="1"/>
  <c r="L252" i="95"/>
  <c r="L253" i="95"/>
  <c r="M253" i="95" s="1"/>
  <c r="L254" i="95"/>
  <c r="M254" i="95" s="1"/>
  <c r="L255" i="95"/>
  <c r="L256" i="95"/>
  <c r="L257" i="95"/>
  <c r="L258" i="95"/>
  <c r="L259" i="95"/>
  <c r="M259" i="95" s="1"/>
  <c r="L260" i="95"/>
  <c r="M260" i="95" s="1"/>
  <c r="L261" i="95"/>
  <c r="M261" i="95" s="1"/>
  <c r="L262" i="95"/>
  <c r="M262" i="95" s="1"/>
  <c r="L263" i="95"/>
  <c r="M263" i="95" s="1"/>
  <c r="L264" i="95"/>
  <c r="L265" i="95"/>
  <c r="M265" i="95" s="1"/>
  <c r="L266" i="95"/>
  <c r="L267" i="95"/>
  <c r="L268" i="95"/>
  <c r="M268" i="95" s="1"/>
  <c r="L269" i="95"/>
  <c r="L270" i="95"/>
  <c r="M270" i="95" s="1"/>
  <c r="L271" i="95"/>
  <c r="L272" i="95"/>
  <c r="L273" i="95"/>
  <c r="M273" i="95" s="1"/>
  <c r="L274" i="95"/>
  <c r="M274" i="95" s="1"/>
  <c r="L275" i="95"/>
  <c r="L276" i="95"/>
  <c r="L277" i="95"/>
  <c r="L278" i="95"/>
  <c r="L279" i="95"/>
  <c r="M279" i="95" s="1"/>
  <c r="L280" i="95"/>
  <c r="M280" i="95" s="1"/>
  <c r="L281" i="95"/>
  <c r="L282" i="95"/>
  <c r="L283" i="95"/>
  <c r="M283" i="95" s="1"/>
  <c r="L284" i="95"/>
  <c r="M284" i="95" s="1"/>
  <c r="L285" i="95"/>
  <c r="L286" i="95"/>
  <c r="M286" i="95" s="1"/>
  <c r="L287" i="95"/>
  <c r="M287" i="95" s="1"/>
  <c r="L288" i="95"/>
  <c r="M288" i="95" s="1"/>
  <c r="L289" i="95"/>
  <c r="L290" i="95"/>
  <c r="L291" i="95"/>
  <c r="M291" i="95" s="1"/>
  <c r="L292" i="95"/>
  <c r="L293" i="95"/>
  <c r="M293" i="95" s="1"/>
  <c r="L294" i="95"/>
  <c r="M294" i="95" s="1"/>
  <c r="L295" i="95"/>
  <c r="M295" i="95" s="1"/>
  <c r="L296" i="95"/>
  <c r="M296" i="95" s="1"/>
  <c r="L297" i="95"/>
  <c r="M297" i="95" s="1"/>
  <c r="L298" i="95"/>
  <c r="L299" i="95"/>
  <c r="L300" i="95"/>
  <c r="M300" i="95" s="1"/>
  <c r="L301" i="95"/>
  <c r="L302" i="95"/>
  <c r="M302" i="95" s="1"/>
  <c r="L303" i="95"/>
  <c r="L304" i="95"/>
  <c r="L305" i="95"/>
  <c r="M305" i="95" s="1"/>
  <c r="L306" i="95"/>
  <c r="M306" i="95" s="1"/>
  <c r="L307" i="95"/>
  <c r="L308" i="95"/>
  <c r="L309" i="95"/>
  <c r="L310" i="95"/>
  <c r="L311" i="95"/>
  <c r="M311" i="95" s="1"/>
  <c r="L312" i="95"/>
  <c r="M312" i="95" s="1"/>
  <c r="L313" i="95"/>
  <c r="L314" i="95"/>
  <c r="L315" i="95"/>
  <c r="M315" i="95" s="1"/>
  <c r="L316" i="95"/>
  <c r="M316" i="95" s="1"/>
  <c r="L317" i="95"/>
  <c r="M317" i="95" s="1"/>
  <c r="L318" i="95"/>
  <c r="M318" i="95" s="1"/>
  <c r="L319" i="95"/>
  <c r="M319" i="95" s="1"/>
  <c r="L320" i="95"/>
  <c r="M320" i="95" s="1"/>
  <c r="L321" i="95"/>
  <c r="L322" i="95"/>
  <c r="L323" i="95"/>
  <c r="M323" i="95" s="1"/>
  <c r="L324" i="95"/>
  <c r="L325" i="95"/>
  <c r="M325" i="95" s="1"/>
  <c r="L326" i="95"/>
  <c r="M326" i="95" s="1"/>
  <c r="L327" i="95"/>
  <c r="M327" i="95" s="1"/>
  <c r="L328" i="95"/>
  <c r="L329" i="95"/>
  <c r="M329" i="95" s="1"/>
  <c r="L330" i="95"/>
  <c r="L331" i="95"/>
  <c r="L332" i="95"/>
  <c r="M332" i="95" s="1"/>
  <c r="L333" i="95"/>
  <c r="L334" i="95"/>
  <c r="M334" i="95" s="1"/>
  <c r="L335" i="95"/>
  <c r="L336" i="95"/>
  <c r="L337" i="95"/>
  <c r="M337" i="95" s="1"/>
  <c r="L338" i="95"/>
  <c r="M338" i="95" s="1"/>
  <c r="L339" i="95"/>
  <c r="L340" i="95"/>
  <c r="L341" i="95"/>
  <c r="L342" i="95"/>
  <c r="L343" i="95"/>
  <c r="M343" i="95" s="1"/>
  <c r="L344" i="95"/>
  <c r="M344" i="95" s="1"/>
  <c r="L345" i="95"/>
  <c r="L346" i="95"/>
  <c r="M346" i="95" s="1"/>
  <c r="L347" i="95"/>
  <c r="M347" i="95" s="1"/>
  <c r="L348" i="95"/>
  <c r="M348" i="95" s="1"/>
  <c r="L349" i="95"/>
  <c r="M349" i="95" s="1"/>
  <c r="L350" i="95"/>
  <c r="M350" i="95" s="1"/>
  <c r="L351" i="95"/>
  <c r="M351" i="95" s="1"/>
  <c r="L352" i="95"/>
  <c r="M352" i="95" s="1"/>
  <c r="L353" i="95"/>
  <c r="L354" i="95"/>
  <c r="L355" i="95"/>
  <c r="M355" i="95" s="1"/>
  <c r="L356" i="95"/>
  <c r="L357" i="95"/>
  <c r="M357" i="95" s="1"/>
  <c r="L358" i="95"/>
  <c r="M358" i="95" s="1"/>
  <c r="L359" i="95"/>
  <c r="M359" i="95" s="1"/>
  <c r="L360" i="95"/>
  <c r="L361" i="95"/>
  <c r="M361" i="95" s="1"/>
  <c r="L362" i="95"/>
  <c r="L363" i="95"/>
  <c r="L364" i="95"/>
  <c r="M364" i="95" s="1"/>
  <c r="L365" i="95"/>
  <c r="L366" i="95"/>
  <c r="M366" i="95" s="1"/>
  <c r="L367" i="95"/>
  <c r="L368" i="95"/>
  <c r="L369" i="95"/>
  <c r="M369" i="95" s="1"/>
  <c r="L370" i="95"/>
  <c r="M370" i="95" s="1"/>
  <c r="L371" i="95"/>
  <c r="L372" i="95"/>
  <c r="L373" i="95"/>
  <c r="L374" i="95"/>
  <c r="L375" i="95"/>
  <c r="M375" i="95" s="1"/>
  <c r="L376" i="95"/>
  <c r="M376" i="95" s="1"/>
  <c r="L377" i="95"/>
  <c r="L378" i="95"/>
  <c r="M378" i="95" s="1"/>
  <c r="L379" i="95"/>
  <c r="M379" i="95" s="1"/>
  <c r="L380" i="95"/>
  <c r="L381" i="95"/>
  <c r="M381" i="95" s="1"/>
  <c r="L382" i="95"/>
  <c r="M382" i="95" s="1"/>
  <c r="L383" i="95"/>
  <c r="M383" i="95" s="1"/>
  <c r="L384" i="95"/>
  <c r="M384" i="95" s="1"/>
  <c r="L385" i="95"/>
  <c r="L386" i="95"/>
  <c r="L387" i="95"/>
  <c r="M387" i="95" s="1"/>
  <c r="L388" i="95"/>
  <c r="L389" i="95"/>
  <c r="M389" i="95" s="1"/>
  <c r="L390" i="95"/>
  <c r="M390" i="95" s="1"/>
  <c r="L391" i="95"/>
  <c r="M391" i="95" s="1"/>
  <c r="L392" i="95"/>
  <c r="L393" i="95"/>
  <c r="M393" i="95" s="1"/>
  <c r="L394" i="95"/>
  <c r="L395" i="95"/>
  <c r="L396" i="95"/>
  <c r="M396" i="95" s="1"/>
  <c r="L397" i="95"/>
  <c r="L398" i="95"/>
  <c r="M398" i="95" s="1"/>
  <c r="L399" i="95"/>
  <c r="L400" i="95"/>
  <c r="L401" i="95"/>
  <c r="M401" i="95" s="1"/>
  <c r="L402" i="95"/>
  <c r="M402" i="95" s="1"/>
  <c r="L403" i="95"/>
  <c r="L404" i="95"/>
  <c r="L405" i="95"/>
  <c r="L406" i="95"/>
  <c r="L407" i="95"/>
  <c r="M407" i="95" s="1"/>
  <c r="L408" i="95"/>
  <c r="M408" i="95" s="1"/>
  <c r="L409" i="95"/>
  <c r="L410" i="95"/>
  <c r="L411" i="95"/>
  <c r="M411" i="95" s="1"/>
  <c r="L412" i="95"/>
  <c r="L413" i="95"/>
  <c r="L414" i="95"/>
  <c r="M414" i="95" s="1"/>
  <c r="L415" i="95"/>
  <c r="L416" i="95"/>
  <c r="M416" i="95" s="1"/>
  <c r="L417" i="95"/>
  <c r="L418" i="95"/>
  <c r="L419" i="95"/>
  <c r="M419" i="95" s="1"/>
  <c r="L420" i="95"/>
  <c r="L421" i="95"/>
  <c r="M421" i="95" s="1"/>
  <c r="L422" i="95"/>
  <c r="M422" i="95" s="1"/>
  <c r="L423" i="95"/>
  <c r="M423" i="95" s="1"/>
  <c r="L424" i="95"/>
  <c r="L425" i="95"/>
  <c r="M425" i="95" s="1"/>
  <c r="M8" i="95"/>
  <c r="M10" i="95"/>
  <c r="M11" i="95"/>
  <c r="M13" i="95"/>
  <c r="M15" i="95"/>
  <c r="M16" i="95"/>
  <c r="M19" i="95"/>
  <c r="M20" i="95"/>
  <c r="M21" i="95"/>
  <c r="M22" i="95"/>
  <c r="M25" i="95"/>
  <c r="M33" i="95"/>
  <c r="M40" i="95"/>
  <c r="M42" i="95"/>
  <c r="M43" i="95"/>
  <c r="M45" i="95"/>
  <c r="M47" i="95"/>
  <c r="M48" i="95"/>
  <c r="M51" i="95"/>
  <c r="M52" i="95"/>
  <c r="M53" i="95"/>
  <c r="M54" i="95"/>
  <c r="M57" i="95"/>
  <c r="M65" i="95"/>
  <c r="M68" i="95"/>
  <c r="M74" i="95"/>
  <c r="M75" i="95"/>
  <c r="M77" i="95"/>
  <c r="M79" i="95"/>
  <c r="M80" i="95"/>
  <c r="M83" i="95"/>
  <c r="M84" i="95"/>
  <c r="M85" i="95"/>
  <c r="M86" i="95"/>
  <c r="M89" i="95"/>
  <c r="M90" i="95"/>
  <c r="M92" i="95"/>
  <c r="M95" i="95"/>
  <c r="M96" i="95"/>
  <c r="M97" i="95"/>
  <c r="M100" i="95"/>
  <c r="M106" i="95"/>
  <c r="M107" i="95"/>
  <c r="M109" i="95"/>
  <c r="M111" i="95"/>
  <c r="M112" i="95"/>
  <c r="M115" i="95"/>
  <c r="M116" i="95"/>
  <c r="M117" i="95"/>
  <c r="M118" i="95"/>
  <c r="M121" i="95"/>
  <c r="M124" i="95"/>
  <c r="M129" i="95"/>
  <c r="M132" i="95"/>
  <c r="M138" i="95"/>
  <c r="M139" i="95"/>
  <c r="M141" i="95"/>
  <c r="M143" i="95"/>
  <c r="M144" i="95"/>
  <c r="M147" i="95"/>
  <c r="M148" i="95"/>
  <c r="M149" i="95"/>
  <c r="M150" i="95"/>
  <c r="M153" i="95"/>
  <c r="M154" i="95"/>
  <c r="M161" i="95"/>
  <c r="M164" i="95"/>
  <c r="M168" i="95"/>
  <c r="M170" i="95"/>
  <c r="M171" i="95"/>
  <c r="M173" i="95"/>
  <c r="M175" i="95"/>
  <c r="M176" i="95"/>
  <c r="M179" i="95"/>
  <c r="M180" i="95"/>
  <c r="M181" i="95"/>
  <c r="M182" i="95"/>
  <c r="M185" i="95"/>
  <c r="M193" i="95"/>
  <c r="M196" i="95"/>
  <c r="M200" i="95"/>
  <c r="M202" i="95"/>
  <c r="M203" i="95"/>
  <c r="M205" i="95"/>
  <c r="M207" i="95"/>
  <c r="M208" i="95"/>
  <c r="M211" i="95"/>
  <c r="M212" i="95"/>
  <c r="M213" i="95"/>
  <c r="M214" i="95"/>
  <c r="M217" i="95"/>
  <c r="M225" i="95"/>
  <c r="M228" i="95"/>
  <c r="M232" i="95"/>
  <c r="M234" i="95"/>
  <c r="M235" i="95"/>
  <c r="M237" i="95"/>
  <c r="M239" i="95"/>
  <c r="M240" i="95"/>
  <c r="M243" i="95"/>
  <c r="M244" i="95"/>
  <c r="M245" i="95"/>
  <c r="M246" i="95"/>
  <c r="M249" i="95"/>
  <c r="M252" i="95"/>
  <c r="M255" i="95"/>
  <c r="M256" i="95"/>
  <c r="M257" i="95"/>
  <c r="M258" i="95"/>
  <c r="M264" i="95"/>
  <c r="M266" i="95"/>
  <c r="M267" i="95"/>
  <c r="M269" i="95"/>
  <c r="M271" i="95"/>
  <c r="M272" i="95"/>
  <c r="M275" i="95"/>
  <c r="M276" i="95"/>
  <c r="M277" i="95"/>
  <c r="M278" i="95"/>
  <c r="M281" i="95"/>
  <c r="M282" i="95"/>
  <c r="M285" i="95"/>
  <c r="M289" i="95"/>
  <c r="M290" i="95"/>
  <c r="M292" i="95"/>
  <c r="M298" i="95"/>
  <c r="M299" i="95"/>
  <c r="M301" i="95"/>
  <c r="M303" i="95"/>
  <c r="M304" i="95"/>
  <c r="M307" i="95"/>
  <c r="M308" i="95"/>
  <c r="M309" i="95"/>
  <c r="M310" i="95"/>
  <c r="M313" i="95"/>
  <c r="M314" i="95"/>
  <c r="M321" i="95"/>
  <c r="M322" i="95"/>
  <c r="M324" i="95"/>
  <c r="M328" i="95"/>
  <c r="M330" i="95"/>
  <c r="M331" i="95"/>
  <c r="M333" i="95"/>
  <c r="M335" i="95"/>
  <c r="M336" i="95"/>
  <c r="M339" i="95"/>
  <c r="M340" i="95"/>
  <c r="M341" i="95"/>
  <c r="M342" i="95"/>
  <c r="M345" i="95"/>
  <c r="M353" i="95"/>
  <c r="M354" i="95"/>
  <c r="M356" i="95"/>
  <c r="M360" i="95"/>
  <c r="M362" i="95"/>
  <c r="M363" i="95"/>
  <c r="M365" i="95"/>
  <c r="M367" i="95"/>
  <c r="M368" i="95"/>
  <c r="M371" i="95"/>
  <c r="M372" i="95"/>
  <c r="M373" i="95"/>
  <c r="M374" i="95"/>
  <c r="M377" i="95"/>
  <c r="M380" i="95"/>
  <c r="M385" i="95"/>
  <c r="M386" i="95"/>
  <c r="M388" i="95"/>
  <c r="M392" i="95"/>
  <c r="M394" i="95"/>
  <c r="M395" i="95"/>
  <c r="M397" i="95"/>
  <c r="M399" i="95"/>
  <c r="M400" i="95"/>
  <c r="M403" i="95"/>
  <c r="M404" i="95"/>
  <c r="M405" i="95"/>
  <c r="M406" i="95"/>
  <c r="M409" i="95"/>
  <c r="M410" i="95"/>
  <c r="M412" i="95"/>
  <c r="M413" i="95"/>
  <c r="M415" i="95"/>
  <c r="M417" i="95"/>
  <c r="M418" i="95"/>
  <c r="M420" i="95"/>
  <c r="M424"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2" i="101" l="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<sst xmlns="http://schemas.openxmlformats.org/spreadsheetml/2006/main" count="1344" uniqueCount="775">
  <si>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</si>
  <si>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</si>
  <si>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</si>
  <si>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</si>
  <si>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</si>
  <si>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</si>
  <si>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</si>
  <si>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</si>
  <si>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</si>
  <si>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</si>
  <si>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</si>
  <si>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</si>
  <si>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</si>
  <si>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</si>
  <si>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</si>
  <si>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</si>
  <si>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</si>
  <si>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</si>
  <si>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</si>
  <si>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</si>
  <si>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</si>
  <si>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</si>
  <si>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</si>
  <si>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</si>
  <si>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</si>
  <si>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</si>
  <si>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</si>
  <si>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</si>
  <si>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</si>
  <si>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</si>
  <si>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</si>
  <si>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</si>
  <si>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</si>
  <si>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</si>
  <si>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</si>
  <si>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</si>
  <si>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</si>
  <si>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</si>
  <si>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</si>
  <si>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</si>
  <si>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</si>
  <si>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</si>
  <si>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</si>
  <si>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</si>
  <si>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</si>
  <si>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</si>
  <si>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</si>
  <si>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</si>
  <si>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</si>
  <si>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</si>
  <si>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</si>
  <si>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</si>
  <si>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</si>
  <si>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</si>
  <si>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</si>
  <si>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</si>
  <si>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</si>
  <si>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</si>
  <si>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</si>
  <si>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</si>
  <si>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</si>
  <si>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</si>
  <si>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</si>
  <si>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</si>
  <si>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</si>
  <si>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</si>
  <si>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</si>
  <si>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</si>
  <si>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</si>
  <si>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</si>
  <si>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</si>
  <si>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</si>
  <si>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</si>
  <si>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</si>
  <si>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</si>
  <si>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</si>
  <si>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</si>
  <si>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</si>
  <si>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</si>
  <si>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</si>
  <si>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</si>
  <si>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</si>
  <si>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</si>
  <si>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</si>
  <si>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</si>
  <si>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</si>
  <si>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</si>
  <si>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</si>
  <si>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</si>
  <si>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</si>
  <si>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</si>
  <si>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</si>
  <si>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</si>
  <si>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</si>
  <si>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</si>
  <si>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</si>
  <si>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</si>
  <si>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</si>
  <si>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</si>
  <si>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</si>
  <si>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</si>
  <si>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</si>
  <si>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</si>
  <si>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</si>
  <si>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</si>
  <si>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</si>
  <si>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</si>
  <si>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</si>
  <si>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</si>
  <si>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</si>
  <si>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</si>
  <si>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</si>
  <si>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</si>
  <si>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</si>
  <si>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</si>
  <si>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</si>
  <si>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</si>
  <si>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</si>
  <si>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</si>
  <si>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</si>
  <si>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</si>
  <si>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</si>
  <si>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</si>
  <si>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</si>
  <si>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</si>
  <si>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</si>
  <si>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</si>
  <si>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</si>
  <si>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</si>
  <si>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</si>
  <si>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</si>
  <si>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</si>
  <si>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</si>
  <si>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</si>
  <si>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</si>
  <si>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</si>
  <si>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</si>
  <si>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</si>
  <si>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</si>
  <si>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</si>
  <si>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</si>
  <si>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</si>
  <si>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</si>
  <si>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</si>
  <si>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</si>
  <si>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</si>
  <si>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</si>
  <si>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</si>
  <si>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</si>
  <si>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</si>
  <si>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</si>
  <si>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</si>
  <si>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</si>
  <si>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</si>
  <si>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</si>
  <si>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</si>
  <si>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</si>
  <si>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</si>
  <si>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</si>
  <si>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</si>
  <si>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</si>
  <si>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</si>
  <si>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</si>
  <si>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</si>
  <si>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</si>
  <si>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</si>
  <si>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</si>
  <si>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</si>
  <si>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</si>
  <si>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</si>
  <si>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</si>
  <si>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</si>
  <si>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</si>
  <si>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</si>
  <si>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</si>
  <si>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</si>
  <si>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</si>
  <si>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</si>
  <si>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</si>
  <si>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</si>
  <si>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</si>
  <si>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</si>
  <si>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</si>
  <si>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</si>
  <si>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</si>
  <si>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</si>
  <si>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</si>
  <si>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</si>
  <si>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</si>
  <si>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</si>
  <si>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</si>
  <si>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</si>
  <si>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</si>
  <si>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</si>
  <si>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</si>
  <si>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</si>
  <si>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</si>
  <si>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</si>
  <si>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</si>
  <si>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</si>
  <si>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</si>
  <si>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</si>
  <si>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</si>
  <si>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</si>
  <si>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</si>
  <si>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</si>
  <si>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</si>
  <si>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</si>
  <si>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</si>
  <si>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</si>
  <si>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</si>
  <si>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</si>
  <si>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</si>
  <si>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</si>
  <si>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</si>
  <si>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</si>
  <si>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</si>
  <si>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</si>
  <si>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</si>
  <si>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</si>
  <si>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</si>
  <si>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</si>
  <si>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</si>
  <si>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</si>
  <si>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</si>
  <si>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</si>
  <si>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</si>
  <si>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</si>
  <si>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</si>
  <si>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</si>
  <si>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</si>
  <si>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</si>
  <si>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</si>
  <si>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</si>
  <si>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</si>
  <si>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</si>
  <si>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</si>
  <si>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</si>
  <si>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</si>
  <si>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</si>
  <si>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</si>
  <si>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</si>
  <si>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</si>
  <si>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</si>
  <si>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</si>
  <si>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</si>
  <si>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</si>
  <si>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</si>
  <si>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</si>
  <si>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</si>
  <si>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</si>
  <si>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</si>
  <si>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</si>
  <si>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</si>
  <si>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</si>
  <si>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</si>
  <si>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</si>
  <si>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</si>
  <si>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</si>
  <si>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</si>
  <si>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</si>
  <si>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</si>
  <si>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</si>
  <si>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</si>
  <si>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</si>
  <si>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</si>
  <si>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</si>
  <si>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</si>
  <si>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</si>
  <si>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</si>
  <si>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</si>
  <si>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</si>
  <si>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</si>
  <si>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</si>
  <si>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</si>
  <si>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</si>
  <si>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</si>
  <si>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</si>
  <si>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</si>
  <si>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</si>
  <si>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</si>
  <si>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</si>
  <si>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</si>
  <si>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</si>
  <si>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</si>
  <si>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</si>
  <si>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</si>
  <si>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</si>
  <si>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</si>
  <si>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</si>
  <si>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</si>
  <si>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</si>
  <si>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</si>
  <si>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</si>
  <si>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</si>
  <si>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</si>
  <si>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</si>
  <si>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</si>
  <si>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</si>
  <si>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</si>
  <si>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</si>
  <si>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</si>
  <si>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</si>
  <si>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</si>
  <si>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</si>
  <si>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</si>
  <si>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</si>
  <si>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</si>
  <si>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</si>
  <si>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</si>
  <si>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</si>
  <si>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</si>
  <si>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</si>
  <si>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</si>
  <si>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</si>
  <si>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</si>
  <si>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</si>
  <si>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</si>
  <si>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</si>
  <si>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</si>
  <si>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</si>
  <si>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</si>
  <si>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</si>
  <si>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</si>
  <si>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</si>
  <si>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</si>
  <si>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</si>
  <si>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</si>
  <si>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</si>
  <si>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</si>
  <si>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</si>
  <si>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</si>
  <si>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</si>
  <si>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</si>
  <si>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</si>
  <si>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</si>
  <si>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</si>
  <si>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</si>
  <si>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</si>
  <si>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</si>
  <si>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</si>
  <si>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</si>
  <si>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</si>
  <si>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</si>
  <si>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</si>
  <si>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</si>
  <si>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</si>
  <si>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</si>
  <si>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</si>
  <si>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</si>
  <si>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</si>
  <si>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</si>
  <si>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</si>
  <si>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</si>
  <si>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</si>
  <si>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</si>
  <si>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</si>
  <si>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</si>
  <si>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</si>
  <si>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</si>
  <si>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</si>
  <si>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</si>
  <si>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</si>
  <si>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</si>
  <si>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</si>
  <si>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</si>
  <si>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</si>
  <si>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</si>
  <si>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</si>
  <si>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</si>
  <si>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</si>
  <si>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</si>
  <si>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</si>
  <si>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</si>
  <si>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</si>
  <si>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</si>
  <si>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</si>
  <si>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</si>
  <si>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</si>
  <si>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</si>
  <si>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</si>
  <si>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</si>
  <si>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</si>
  <si>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</si>
  <si>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</si>
  <si>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</si>
  <si>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</si>
  <si>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</si>
  <si>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</si>
  <si>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</si>
  <si>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</si>
  <si>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</si>
  <si>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</si>
  <si>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</si>
  <si>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</si>
  <si>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</si>
  <si>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</si>
  <si>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</si>
  <si>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</si>
  <si>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</si>
  <si>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</si>
  <si>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</si>
  <si>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</si>
  <si>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</si>
  <si>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</si>
  <si>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</si>
  <si>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</si>
  <si>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</si>
  <si>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</si>
  <si>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</si>
  <si>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</si>
  <si>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</si>
  <si>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</si>
  <si>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</si>
  <si>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</si>
  <si>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</si>
  <si>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</si>
  <si>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</si>
  <si>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</si>
  <si>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</si>
  <si>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</si>
  <si>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</si>
  <si>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</si>
  <si>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</si>
  <si>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</si>
  <si>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</si>
  <si>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</si>
  <si>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</si>
  <si>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</si>
  <si>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</si>
  <si>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</si>
  <si>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</si>
  <si>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</si>
  <si>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</si>
  <si>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</si>
  <si>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</si>
  <si>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</si>
  <si>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</si>
  <si>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</si>
  <si>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</si>
  <si>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</si>
  <si>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</si>
  <si>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</si>
  <si>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</si>
  <si>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</si>
  <si>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</si>
  <si>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</si>
  <si>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</si>
  <si>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</si>
  <si>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</si>
  <si>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</si>
  <si>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</si>
  <si>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</si>
  <si>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</si>
  <si>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</si>
  <si>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</si>
  <si>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</si>
  <si>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</si>
  <si>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</si>
  <si>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</si>
  <si>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</si>
  <si>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</si>
  <si>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</si>
  <si>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</si>
  <si>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</si>
  <si>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</si>
  <si>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</si>
  <si>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</si>
  <si>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</si>
  <si>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</si>
  <si>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</si>
  <si>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</si>
  <si>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</si>
  <si>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</si>
  <si>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</si>
  <si>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</si>
  <si>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</si>
  <si>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</si>
  <si>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</si>
  <si>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</si>
  <si>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</si>
  <si>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</si>
  <si>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</si>
  <si>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</si>
  <si>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</si>
  <si>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</si>
  <si>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</si>
  <si>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</si>
  <si>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</si>
  <si>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</si>
  <si>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</si>
  <si>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</si>
  <si>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</si>
  <si>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</si>
  <si>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</si>
  <si>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</si>
  <si>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</si>
  <si>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</si>
  <si>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</si>
  <si>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</si>
  <si>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</si>
  <si>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</si>
  <si>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</si>
  <si>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</si>
  <si>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</si>
  <si>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</si>
  <si>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</si>
  <si>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</si>
  <si>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</si>
  <si>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</si>
  <si>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</si>
  <si>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</si>
  <si>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</si>
  <si>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</si>
  <si>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</si>
  <si>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</si>
  <si>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</si>
  <si>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</si>
  <si>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</si>
  <si>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</si>
  <si>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</si>
  <si>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</si>
  <si>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</si>
  <si>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</si>
  <si>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</si>
  <si>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</si>
  <si>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</si>
  <si>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</si>
  <si>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</si>
  <si>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</si>
  <si>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</si>
  <si>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</si>
  <si>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</si>
  <si>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</si>
  <si>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</si>
  <si>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</si>
  <si>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</si>
  <si>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</si>
  <si>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</si>
  <si>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</si>
  <si>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</si>
  <si>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</si>
  <si>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</si>
  <si>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</si>
  <si>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</si>
  <si>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</si>
  <si>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</si>
  <si>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</si>
  <si>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</si>
  <si>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</si>
  <si>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</si>
  <si>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</si>
  <si>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</si>
  <si>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</si>
  <si>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</si>
  <si>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</si>
  <si>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</si>
  <si>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</si>
  <si>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</si>
  <si>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</si>
  <si>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</si>
  <si>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</si>
  <si>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</si>
  <si>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</si>
  <si>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</si>
  <si>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</si>
  <si>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</si>
  <si>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</si>
  <si>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</si>
  <si>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</si>
  <si>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</si>
  <si>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</si>
  <si>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</si>
  <si>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</si>
  <si>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</si>
  <si>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</si>
  <si>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</si>
  <si>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</si>
  <si>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</si>
  <si>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</si>
  <si>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</si>
  <si>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</si>
  <si>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</si>
  <si>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</si>
  <si>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</si>
  <si>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</si>
  <si>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</si>
  <si>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</si>
  <si>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</si>
  <si>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</si>
  <si>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</si>
  <si>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</si>
  <si>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</si>
  <si>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</si>
  <si>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</si>
  <si>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</si>
  <si>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</si>
  <si>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</si>
  <si>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</si>
  <si>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</si>
  <si>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</si>
  <si>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</si>
  <si>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</si>
  <si>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</si>
  <si>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</si>
  <si>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</si>
  <si>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</si>
  <si>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</si>
  <si>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</si>
  <si>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</si>
  <si>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</si>
  <si>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</si>
  <si>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</si>
  <si>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</si>
  <si>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</si>
  <si>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</si>
  <si>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</si>
  <si>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</si>
  <si>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</si>
  <si>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</si>
  <si>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</si>
  <si>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</si>
  <si>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</si>
  <si>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</si>
  <si>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</si>
  <si>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</si>
  <si>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</si>
  <si>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</si>
  <si>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</si>
  <si>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</si>
  <si>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</si>
  <si>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</si>
  <si>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</si>
  <si>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</si>
  <si>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</si>
  <si>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</si>
  <si>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</si>
  <si>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</si>
  <si>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</si>
  <si>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</si>
  <si>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</si>
  <si>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</si>
  <si>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</si>
  <si>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</si>
  <si>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</si>
  <si>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</si>
  <si>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</si>
  <si>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</si>
  <si>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</si>
  <si>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</si>
  <si>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</si>
  <si>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</si>
  <si>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</si>
  <si>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</si>
  <si>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</si>
  <si>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</si>
  <si>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</si>
  <si>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</si>
  <si>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</si>
  <si>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</si>
  <si>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</si>
  <si>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</si>
  <si>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</si>
  <si>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</si>
  <si>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</si>
  <si>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</si>
  <si>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</si>
  <si>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</si>
  <si>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</si>
  <si>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</si>
  <si>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</si>
  <si>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</si>
  <si>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</si>
  <si>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</si>
  <si>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</si>
  <si>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</si>
  <si>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</si>
  <si>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</si>
  <si>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</si>
  <si>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</si>
  <si>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</si>
  <si>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</si>
  <si>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</si>
  <si>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</si>
  <si>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</si>
  <si>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</si>
  <si>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</si>
  <si>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</si>
  <si>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</si>
  <si>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</si>
  <si>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</si>
  <si>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</si>
  <si>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</si>
  <si>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</si>
  <si>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</si>
  <si>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</si>
  <si>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</si>
  <si>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</si>
  <si>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</si>
  <si>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</si>
  <si>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</si>
  <si>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</si>
  <si>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</si>
  <si>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</si>
  <si>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</si>
  <si>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</si>
  <si>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</si>
  <si>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</si>
  <si>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</si>
  <si>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</si>
  <si>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</si>
  <si>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</si>
  <si>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</si>
  <si>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</si>
  <si>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</si>
  <si>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</si>
  <si>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</si>
  <si>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</si>
  <si>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</si>
  <si>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</si>
  <si>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</si>
  <si>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</si>
  <si>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</si>
  <si>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</si>
  <si>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</si>
  <si>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</si>
  <si>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</si>
  <si>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</si>
  <si>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</si>
  <si>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</si>
  <si>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</si>
  <si>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</si>
  <si>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</si>
  <si>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</si>
  <si>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</si>
  <si>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</si>
  <si>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</si>
  <si>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</si>
  <si>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</si>
  <si>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</si>
  <si>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</si>
  <si>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</si>
  <si>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</si>
  <si>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</si>
  <si>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</si>
  <si>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</si>
  <si>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</si>
  <si>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</si>
  <si>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</si>
  <si>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</si>
  <si>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</si>
  <si>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</si>
  <si>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</si>
  <si>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</si>
  <si>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</si>
  <si>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</si>
  <si>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</si>
  <si>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</si>
  <si>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</si>
  <si>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</si>
  <si>
    <t>dropdown</t>
  </si>
  <si>
    <t>password: jgi</t>
  </si>
  <si>
    <t>Thermocouple wire correction factor</t>
  </si>
  <si>
    <t>Ref. Report Number:</t>
  </si>
  <si>
    <t>In °F</t>
  </si>
  <si>
    <t>Lo Rdg</t>
  </si>
  <si>
    <t>Hi Rdg</t>
  </si>
  <si>
    <t>cf</t>
  </si>
  <si>
    <t>Interp Rdg</t>
  </si>
  <si>
    <t>Interp cf</t>
  </si>
  <si>
    <t>range Rdgs</t>
  </si>
  <si>
    <t>Range cfs</t>
  </si>
  <si>
    <t>factor</t>
  </si>
  <si>
    <t>https://jgiapi.com/data-sync/alerts/view</t>
  </si>
  <si>
    <t>Web 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</si>
</sst>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1">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1"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vertical="top" wrapText="1"/>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100" fillId="12" borderId="0" xfId="0" applyFont="1" applyFill="1" applyAlignment="1">
      <alignment horizontal="center"/>
    </xf>
    <xf numFmtId="0" fontId="99"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0" fillId="0" borderId="20" xfId="0" applyBorder="1" applyAlignment="1">
      <alignment horizontal="center"/>
    </xf>
    <xf numFmtId="0" fontId="1" fillId="0" borderId="0" xfId="7"/>
    <xf numFmtId="0" fontId="1" fillId="0" borderId="0" xfId="7" applyAlignment="1">
      <alignment horizontal="center"/>
    </xf>
    <xf numFmtId="0" fontId="1" fillId="20" borderId="4" xfId="7" applyFill="1" applyBorder="1" applyProtection="1">
      <protection locked="0"/>
    </xf>
    <xf numFmtId="0" fontId="127" fillId="0" borderId="0" xfId="7" applyFont="1"/>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09">
    <dxf>
      <numFmt numFmtId="182"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203"/>
    <tableColumn id="2" xr3:uid="{D07D770F-21F7-425E-8CCA-AA85FFD513A3}" uniqueName="2" name="serial_number" queryTableFieldId="2" dataDxfId="202"/>
    <tableColumn id="3" xr3:uid="{D963BD5C-EE98-4CDD-ABAE-5315BBDA1135}" uniqueName="3" name="asset_tag" queryTableFieldId="3" dataDxfId="201"/>
    <tableColumn id="4" xr3:uid="{44F03B5B-6C09-4D5C-B2E2-D809B4EDF2B0}" uniqueName="4" name="custom_order_number" queryTableFieldId="4" dataDxfId="200"/>
    <tableColumn id="5" xr3:uid="{412A70E1-7452-417E-A3A9-BD3499EBD33C}" uniqueName="5" name="service_date" queryTableFieldId="5" dataDxfId="67"/>
    <tableColumn id="7" xr3:uid="{297A4F29-F6E9-4BD3-A7A2-5F1039480BAE}" uniqueName="7" name="certificate_number" queryTableFieldId="7" dataDxfId="199"/>
    <tableColumn id="6" xr3:uid="{7231074C-78F5-4F41-8E96-7068B6555E6F}" uniqueName="6" name="traceability_number" queryTableFieldId="61" dataDxfId="198"/>
    <tableColumn id="8" xr3:uid="{7C740CB9-37DA-435E-A87E-AF050E31623C}" uniqueName="8" name="wire_roll_cert_number" queryTableFieldId="8" dataDxfId="197"/>
    <tableColumn id="10" xr3:uid="{D46DFD3D-4FFF-4C46-B438-38B7E2ADB9AB}" uniqueName="10" name="Daqbook Compatibility" queryTableFieldId="81" dataDxfId="196">
      <calculatedColumnFormula>_xlfn.XLOOKUP(WireSets[[#This Row],[type]],Table6[TC Type],Table6[Daqbook Type],NA())</calculatedColumnFormula>
    </tableColumn>
    <tableColumn id="9" xr3:uid="{5B17E9FC-0D68-4EA9-9145-B5DC8FAF5A93}" uniqueName="9" name="type" queryTableFieldId="9" dataDxfId="195"/>
    <tableColumn id="11" xr3:uid="{2D3288D5-A49B-43E9-9125-CE335E115BBC}" uniqueName="11" name="daqbook_ok" queryTableFieldId="82" dataDxfId="194">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3"/>
    <tableColumn id="2" xr3:uid="{482A691C-AB89-4876-8603-17E1B8A0060D}" uniqueName="2" name="Temp" queryTableFieldId="10" dataDxfId="192"/>
    <tableColumn id="3" xr3:uid="{C18C26D0-4A5B-4C1F-9EEC-A3DBCC51F857}" uniqueName="3" name="Offset" queryTableFieldId="11" dataDxfId="19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2"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82" dataDxfId="81">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65"/>
    <tableColumn id="4" xr3:uid="{04C8F569-A520-43B3-A7E7-E09CFF80F449}" uniqueName="4" name="service_date" queryTableFieldId="4" dataDxfId="6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autoFilter ref="A1:H25" xr:uid="{FA779040-C31C-471C-8328-05373E52699D}"/>
  <tableColumns count="8">
    <tableColumn id="29" xr3:uid="{9CA2ECB0-FD2B-46CE-B9E0-401FA597A18A}" uniqueName="29" name="asset_id" queryTableFieldId="29" dataCellStyle="Normal 5"/>
    <tableColumn id="22" xr3:uid="{A5EA559D-5224-4583-9A43-B47439078CA1}" uniqueName="22" name="asset_tag" queryTableFieldId="22" dataCellStyle="Normal 5"/>
    <tableColumn id="24" xr3:uid="{8DBBB763-1A78-4DCD-8200-8E69D481AF34}" uniqueName="24" name="certificate_number" queryTableFieldId="24" dataCellStyle="Normal 5"/>
    <tableColumn id="23" xr3:uid="{7AB8F791-1519-4425-BD12-A72F2C4977C2}" uniqueName="23" name="serial_number" queryTableFieldId="23" dataCellStyle="Normal 5"/>
    <tableColumn id="25" xr3:uid="{5F01AA16-2DC7-4474-BC41-91CA4EC14EBA}" uniqueName="25" name="service_date" queryTableFieldId="25" dataCellStyle="Normal 5"/>
    <tableColumn id="26" xr3:uid="{4F1AE608-7AC1-4C9D-8198-1A708CCAC701}" uniqueName="26" name="traceability_number" queryTableFieldId="26" dataCellStyle="Normal 5"/>
    <tableColumn id="27" xr3:uid="{28A300D7-6887-427A-AD68-0B621A919025}" uniqueName="27" name="wire_roll_cert_number" queryTableFieldId="27" dataCellStyle="Normal 5"/>
    <tableColumn id="28" xr3:uid="{0282DC9A-51B0-4CC4-8B6E-41941531A4ED}" uniqueName="28" name="wire_set_group" queryTableFieldId="28"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Alerts_1" displayName="Alerts_1"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760</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9" t="s">
        <v>383</v>
      </c>
      <c r="K1" s="550"/>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6nTbrMBtd2gVnYCcTQOL8dDOPAt2Ivz8iq9jDP96b0KLWL7/Tv3zjDns7QXYClg0Mrj4/eLPZ/AqT/OQR5rGlg==" saltValue="gz0Wu0ajgBLsnJZ79Cu7A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4" t="s">
        <v>49</v>
      </c>
      <c r="D1" s="515"/>
      <c r="E1" s="515"/>
      <c r="F1" s="515"/>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6" t="s">
        <v>98</v>
      </c>
      <c r="K3" s="517"/>
      <c r="L3" s="518"/>
      <c r="M3" s="299"/>
      <c r="N3" s="532" t="s">
        <v>87</v>
      </c>
      <c r="O3" s="532"/>
      <c r="P3" s="532"/>
      <c r="Q3" s="532"/>
      <c r="R3" s="532"/>
      <c r="S3" s="532"/>
    </row>
    <row r="4" spans="1:19" s="277" customFormat="1" x14ac:dyDescent="0.2">
      <c r="A4" s="317"/>
      <c r="B4" s="140"/>
      <c r="C4" s="141" t="s">
        <v>187</v>
      </c>
      <c r="D4" s="284" t="str">
        <f>IF(Condition="","",Condition)</f>
        <v/>
      </c>
      <c r="F4" s="299"/>
      <c r="G4" s="299"/>
      <c r="H4" s="299"/>
      <c r="I4" s="480" t="s">
        <v>757</v>
      </c>
      <c r="J4" s="521" t="s">
        <v>1</v>
      </c>
      <c r="K4" s="522"/>
      <c r="L4" s="142">
        <f>MAX(Survey[Deviations])</f>
        <v>0</v>
      </c>
      <c r="M4" s="299"/>
      <c r="N4" s="143" t="s">
        <v>86</v>
      </c>
      <c r="O4" s="144" t="s">
        <v>85</v>
      </c>
      <c r="P4" s="519" t="s">
        <v>96</v>
      </c>
      <c r="Q4" s="520"/>
      <c r="R4" s="143" t="s">
        <v>128</v>
      </c>
      <c r="S4" s="143" t="s">
        <v>132</v>
      </c>
    </row>
    <row r="5" spans="1:19" s="277" customFormat="1" x14ac:dyDescent="0.2">
      <c r="A5" s="317"/>
      <c r="B5" s="140"/>
      <c r="C5" s="141" t="s">
        <v>41</v>
      </c>
      <c r="D5" s="536" t="e">
        <f>companyName</f>
        <v>#N/A</v>
      </c>
      <c r="E5" s="537"/>
      <c r="F5" s="537"/>
      <c r="G5" s="537"/>
      <c r="H5" s="538"/>
      <c r="I5" s="481" t="e">
        <f>clientCompanyId</f>
        <v>#N/A</v>
      </c>
      <c r="J5" s="521" t="s">
        <v>2</v>
      </c>
      <c r="K5" s="522"/>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3" t="e">
        <f>_xlfn.XLOOKUP(D24,WorkItemsCache[OrderItemNumber],WorkItemsCache[AssetName])</f>
        <v>#N/A</v>
      </c>
      <c r="E6" s="534"/>
      <c r="F6" s="534"/>
      <c r="G6" s="534"/>
      <c r="H6" s="535"/>
      <c r="I6" s="481" t="e">
        <f>AssetId</f>
        <v>#N/A</v>
      </c>
      <c r="J6" s="521" t="s">
        <v>97</v>
      </c>
      <c r="K6" s="522"/>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0"/>
      <c r="L13" s="531"/>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9"/>
      <c r="L14" s="540"/>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5"/>
      <c r="L15" s="526"/>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7" t="s">
        <v>150</v>
      </c>
      <c r="K16" s="488"/>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7" t="s">
        <v>151</v>
      </c>
      <c r="K17" s="488"/>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41" t="s">
        <v>19</v>
      </c>
      <c r="H18" s="542"/>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3" t="str">
        <f>IF(K15="Salt",0, IF(OR(K15="Hot",K15="SIM Load Hot"),IF(OR(D26="",D28=""),"N/A",IF(ISBLANK(D26),"N/A",D28-D26)),"N/A"))</f>
        <v>N/A</v>
      </c>
      <c r="H19" s="524"/>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27" t="s">
        <v>433</v>
      </c>
      <c r="C20" s="528"/>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4" t="s">
        <v>296</v>
      </c>
      <c r="H23" s="505"/>
      <c r="I23" s="505"/>
      <c r="J23" s="505"/>
      <c r="K23" s="506"/>
      <c r="L23" s="300"/>
      <c r="M23" s="299"/>
      <c r="N23" s="398">
        <v>19</v>
      </c>
      <c r="O23" s="145"/>
      <c r="P23" s="450" t="str">
        <v/>
      </c>
      <c r="Q23" s="451"/>
      <c r="R23" s="449" t="e">
        <v>#VALUE!</v>
      </c>
      <c r="S23" s="146" t="str">
        <v/>
      </c>
      <c r="T23" s="424"/>
      <c r="U23" s="285" t="s">
        <v>412</v>
      </c>
      <c r="V23" s="285">
        <f>V20+V21</f>
        <v>40</v>
      </c>
    </row>
    <row r="24" spans="2:22" s="277" customFormat="1" x14ac:dyDescent="0.2">
      <c r="B24" s="527" t="s">
        <v>322</v>
      </c>
      <c r="C24" s="529"/>
      <c r="D24" s="281">
        <v>1</v>
      </c>
      <c r="E24" s="299"/>
      <c r="F24" s="159" t="s">
        <v>94</v>
      </c>
      <c r="G24" s="507"/>
      <c r="H24" s="508"/>
      <c r="I24" s="508"/>
      <c r="J24" s="508"/>
      <c r="K24" s="509"/>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07"/>
      <c r="H25" s="508"/>
      <c r="I25" s="508"/>
      <c r="J25" s="508"/>
      <c r="K25" s="509"/>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2" t="str">
        <f>IF(ISBLANK(D6),"",IF(CheckRec="x","CHECK INSTRUMENT CAL DATES!!!!             CHECK INSTRUMENT CAL DATES!!!!",""))</f>
        <v/>
      </c>
      <c r="I27" s="503"/>
      <c r="J27" s="503"/>
      <c r="K27" s="503"/>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2"/>
      <c r="I28" s="503"/>
      <c r="J28" s="503"/>
      <c r="K28" s="503"/>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6" t="s">
        <v>48</v>
      </c>
      <c r="C34" s="517"/>
      <c r="D34" s="517"/>
      <c r="E34" s="517"/>
      <c r="F34" s="517"/>
      <c r="G34" s="517"/>
      <c r="H34" s="517"/>
      <c r="I34" s="517"/>
      <c r="J34" s="517"/>
      <c r="K34" s="517"/>
      <c r="L34" s="518"/>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4" t="s">
        <v>33</v>
      </c>
      <c r="E46" s="485"/>
      <c r="F46" s="485"/>
      <c r="G46" s="485"/>
      <c r="H46" s="485"/>
      <c r="I46" s="486"/>
      <c r="J46" s="343"/>
      <c r="K46" s="343"/>
      <c r="L46" s="343"/>
      <c r="M46" s="510" t="s">
        <v>258</v>
      </c>
      <c r="N46" s="511"/>
      <c r="O46" s="512"/>
      <c r="P46" s="513"/>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91" t="s">
        <v>261</v>
      </c>
      <c r="Q47" s="491"/>
      <c r="R47" s="378" t="s">
        <v>262</v>
      </c>
      <c r="T47" s="303"/>
      <c r="U47" s="303"/>
    </row>
    <row r="48" spans="1:24" x14ac:dyDescent="0.2">
      <c r="A48" s="317"/>
      <c r="B48" s="341"/>
      <c r="C48" s="376" t="s">
        <v>34</v>
      </c>
      <c r="D48" s="287"/>
      <c r="E48" s="287"/>
      <c r="F48" s="287"/>
      <c r="G48" s="287"/>
      <c r="H48" s="287"/>
      <c r="I48" s="287"/>
      <c r="J48" s="343"/>
      <c r="K48" s="343"/>
      <c r="L48" s="343"/>
      <c r="M48" s="492" t="s">
        <v>263</v>
      </c>
      <c r="N48" s="492"/>
      <c r="O48" s="345"/>
      <c r="P48" s="493" t="s">
        <v>304</v>
      </c>
      <c r="Q48" s="494"/>
      <c r="R48" s="495"/>
      <c r="S48" s="460" t="b">
        <f>_xlfn.REGEXTEST(TRIM(Class),"^[0-9][AC]",1)</f>
        <v>0</v>
      </c>
      <c r="T48" s="304"/>
      <c r="U48" s="493" t="s">
        <v>307</v>
      </c>
      <c r="V48" s="494"/>
      <c r="W48" s="495"/>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6" t="s">
        <v>309</v>
      </c>
      <c r="Q49" s="497"/>
      <c r="R49" s="498"/>
      <c r="S49" s="379" t="str">
        <f>IF($S$48, IF(MAX(Survey[RawTemp])&lt;=HalfTolMax,"Yes","No"), "")</f>
        <v/>
      </c>
      <c r="T49" s="305"/>
      <c r="U49" s="496" t="s">
        <v>308</v>
      </c>
      <c r="V49" s="497"/>
      <c r="W49" s="498"/>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9" t="s">
        <v>266</v>
      </c>
      <c r="Q50" s="500"/>
      <c r="R50" s="501"/>
      <c r="S50" s="346"/>
      <c r="T50" s="306"/>
      <c r="U50" s="499" t="s">
        <v>266</v>
      </c>
      <c r="V50" s="500"/>
      <c r="W50" s="501"/>
      <c r="X50" s="303"/>
    </row>
    <row r="51" spans="3:24" x14ac:dyDescent="0.2">
      <c r="C51" s="375" t="s">
        <v>54</v>
      </c>
      <c r="D51" s="287"/>
      <c r="E51" s="287"/>
      <c r="F51" s="287"/>
      <c r="G51" s="287"/>
      <c r="H51" s="287"/>
      <c r="I51" s="287"/>
      <c r="J51" s="343"/>
      <c r="K51" s="347"/>
      <c r="L51" s="343"/>
      <c r="M51" s="362" t="s">
        <v>267</v>
      </c>
      <c r="N51" s="296" t="str">
        <f>IF(Derivative="","",Derivative)</f>
        <v/>
      </c>
      <c r="O51" s="299"/>
      <c r="P51" s="496" t="s">
        <v>305</v>
      </c>
      <c r="Q51" s="497"/>
      <c r="R51" s="498"/>
      <c r="S51" s="379"/>
      <c r="T51" s="307"/>
      <c r="U51" s="496" t="s">
        <v>310</v>
      </c>
      <c r="V51" s="497"/>
      <c r="W51" s="498"/>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9" t="s">
        <v>266</v>
      </c>
      <c r="Q52" s="500"/>
      <c r="R52" s="501"/>
      <c r="S52" s="346"/>
      <c r="T52" s="308"/>
      <c r="U52" s="499" t="s">
        <v>266</v>
      </c>
      <c r="V52" s="500"/>
      <c r="W52" s="501"/>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3" t="s">
        <v>306</v>
      </c>
      <c r="Q53" s="544"/>
      <c r="R53" s="545"/>
      <c r="S53" s="379"/>
      <c r="T53" s="309"/>
      <c r="U53" s="543" t="s">
        <v>311</v>
      </c>
      <c r="V53" s="544"/>
      <c r="W53" s="54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6"/>
      <c r="Q54" s="547"/>
      <c r="R54" s="548"/>
      <c r="S54" s="350"/>
      <c r="T54" s="310"/>
      <c r="U54" s="546"/>
      <c r="V54" s="547"/>
      <c r="W54" s="54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4" t="s">
        <v>145</v>
      </c>
      <c r="D58" s="485"/>
      <c r="E58" s="485"/>
      <c r="F58" s="485"/>
      <c r="G58" s="485"/>
      <c r="H58" s="485"/>
      <c r="I58" s="485"/>
      <c r="J58" s="485"/>
      <c r="K58" s="489"/>
      <c r="L58" s="490"/>
      <c r="M58" s="303"/>
      <c r="N58" s="303"/>
      <c r="O58" s="303"/>
      <c r="P58" s="299"/>
      <c r="Q58" s="447"/>
      <c r="S58" s="303"/>
      <c r="T58" s="303"/>
      <c r="U58" s="303"/>
      <c r="V58" s="445"/>
    </row>
    <row r="59" spans="3:24" x14ac:dyDescent="0.2">
      <c r="C59" s="484" t="s">
        <v>148</v>
      </c>
      <c r="D59" s="485"/>
      <c r="E59" s="485"/>
      <c r="F59" s="485"/>
      <c r="G59" s="485"/>
      <c r="H59" s="485"/>
      <c r="I59" s="485"/>
      <c r="J59" s="485"/>
      <c r="K59" s="485"/>
      <c r="L59" s="486"/>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NcfMWbxioyQQLVJsRZph6fsRiTH/poePUnQeUbosyZtLCftwWicerLSCgMyDvC4D4xuts4LGfTvzwSxm7g+KPw==" saltValue="mZoIwrGqVxzs4ZrysQRrDQ=="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jCaTmFBvPTyCbECH6LQwPwyE8+CkidQDdUmhwS000Q0tzrqK2d97p4jpXCoG3XHlR16/bHWwe4KdTLE+h7i+iQ==" saltValue="5k4pXcuMSQBk5Wkrer8di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h0pozKfqiut7683ewEKbFECMsq6HqBld9J3Nisd8SLfHdFZWjqcEbPQv5jujERIgSJUgqmed0t6+Kd1R7yWSg==" saltValue="0vR9Nr9Huhll11Y8b3giJ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3">
        <f>Main!D3</f>
        <v>0</v>
      </c>
      <c r="E10" s="553"/>
      <c r="F10" s="553"/>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2" t="s">
        <v>298</v>
      </c>
      <c r="F15" s="552"/>
      <c r="G15" s="552"/>
      <c r="H15" s="552"/>
    </row>
    <row r="16" spans="3:8" ht="15" x14ac:dyDescent="0.2">
      <c r="C16" s="129"/>
      <c r="D16" s="72"/>
      <c r="E16" s="286" t="s">
        <v>115</v>
      </c>
      <c r="F16" s="286"/>
      <c r="G16" s="286"/>
      <c r="H16" s="286"/>
    </row>
    <row r="17" spans="3:8" ht="15" x14ac:dyDescent="0.2">
      <c r="C17" s="129"/>
      <c r="D17" s="72"/>
      <c r="E17" s="551" t="s">
        <v>116</v>
      </c>
      <c r="F17" s="551"/>
      <c r="G17" s="551"/>
      <c r="H17" s="551"/>
    </row>
    <row r="18" spans="3:8" ht="15" x14ac:dyDescent="0.2">
      <c r="C18" s="129"/>
      <c r="D18" s="72"/>
      <c r="E18" s="551" t="s">
        <v>6</v>
      </c>
      <c r="F18" s="551"/>
      <c r="G18" s="551"/>
      <c r="H18" s="551"/>
    </row>
    <row r="19" spans="3:8" ht="15" x14ac:dyDescent="0.2">
      <c r="C19" s="129"/>
      <c r="D19" s="72"/>
      <c r="E19" s="551" t="s">
        <v>121</v>
      </c>
      <c r="F19" s="551"/>
      <c r="G19" s="551"/>
      <c r="H19" s="551"/>
    </row>
    <row r="20" spans="3:8" ht="15" x14ac:dyDescent="0.2">
      <c r="C20" s="129"/>
      <c r="D20" s="72"/>
      <c r="E20" s="551" t="s">
        <v>118</v>
      </c>
      <c r="F20" s="551"/>
      <c r="G20" s="551"/>
      <c r="H20" s="551"/>
    </row>
    <row r="21" spans="3:8" ht="15" x14ac:dyDescent="0.2">
      <c r="C21" s="129"/>
      <c r="D21" s="72"/>
      <c r="E21" s="551" t="s">
        <v>119</v>
      </c>
      <c r="F21" s="551"/>
      <c r="G21" s="551"/>
      <c r="H21" s="551"/>
    </row>
    <row r="22" spans="3:8" ht="15" x14ac:dyDescent="0.2">
      <c r="C22" s="129"/>
      <c r="D22" s="72"/>
      <c r="E22" s="551" t="s">
        <v>102</v>
      </c>
      <c r="F22" s="551"/>
      <c r="G22" s="551"/>
      <c r="H22" s="551"/>
    </row>
    <row r="23" spans="3:8" ht="15" x14ac:dyDescent="0.2">
      <c r="C23" s="129"/>
      <c r="D23" s="72"/>
      <c r="E23" s="551" t="s">
        <v>120</v>
      </c>
      <c r="F23" s="551"/>
      <c r="G23" s="551"/>
      <c r="H23" s="551"/>
    </row>
    <row r="24" spans="3:8" ht="15" x14ac:dyDescent="0.2">
      <c r="C24" s="81"/>
      <c r="D24" s="72"/>
      <c r="E24" s="551" t="s">
        <v>138</v>
      </c>
      <c r="F24" s="551"/>
      <c r="G24" s="551"/>
      <c r="H24" s="551"/>
    </row>
    <row r="25" spans="3:8" ht="15" x14ac:dyDescent="0.2">
      <c r="C25" s="81"/>
      <c r="D25" s="72"/>
      <c r="E25" s="551"/>
      <c r="F25" s="551"/>
      <c r="G25" s="551"/>
      <c r="H25" s="551"/>
    </row>
    <row r="26" spans="3:8" ht="15" x14ac:dyDescent="0.2">
      <c r="C26" s="81"/>
      <c r="D26" s="72"/>
      <c r="E26" s="551"/>
      <c r="F26" s="551"/>
      <c r="G26" s="551"/>
      <c r="H26" s="551"/>
    </row>
    <row r="27" spans="3:8" ht="15" x14ac:dyDescent="0.2">
      <c r="C27" s="81"/>
      <c r="D27" s="72"/>
      <c r="E27" s="551"/>
      <c r="F27" s="551"/>
      <c r="G27" s="551"/>
      <c r="H27" s="551"/>
    </row>
    <row r="28" spans="3:8" ht="15" x14ac:dyDescent="0.2">
      <c r="C28" s="81"/>
      <c r="D28" s="72"/>
      <c r="E28" s="551"/>
      <c r="F28" s="551"/>
      <c r="G28" s="551"/>
      <c r="H28" s="551"/>
    </row>
    <row r="29" spans="3:8" ht="15" x14ac:dyDescent="0.2">
      <c r="C29" s="81"/>
      <c r="D29" s="72"/>
      <c r="E29" s="551"/>
      <c r="F29" s="551"/>
      <c r="G29" s="551"/>
      <c r="H29" s="551"/>
    </row>
    <row r="30" spans="3:8" ht="15" x14ac:dyDescent="0.2">
      <c r="C30" s="81"/>
      <c r="D30" s="72"/>
      <c r="E30" s="551"/>
      <c r="F30" s="551"/>
      <c r="G30" s="551"/>
      <c r="H30" s="551"/>
    </row>
    <row r="31" spans="3:8" ht="15" x14ac:dyDescent="0.2">
      <c r="C31" s="247" t="s">
        <v>299</v>
      </c>
      <c r="E31" s="551"/>
      <c r="F31" s="551"/>
      <c r="G31" s="551"/>
      <c r="H31" s="551"/>
    </row>
    <row r="32" spans="3:8" ht="15" x14ac:dyDescent="0.2">
      <c r="C32" s="81"/>
      <c r="D32" s="72"/>
      <c r="E32" s="551"/>
      <c r="F32" s="551"/>
      <c r="G32" s="551"/>
      <c r="H32" s="551"/>
    </row>
    <row r="33" spans="3:8" ht="15" x14ac:dyDescent="0.2">
      <c r="C33" s="81"/>
      <c r="D33" s="72"/>
      <c r="E33" s="551"/>
      <c r="F33" s="551"/>
      <c r="G33" s="551"/>
      <c r="H33" s="551"/>
    </row>
    <row r="34" spans="3:8" ht="15" x14ac:dyDescent="0.2">
      <c r="C34" s="81"/>
      <c r="D34" s="72"/>
      <c r="E34" s="551"/>
      <c r="F34" s="551"/>
      <c r="G34" s="551"/>
      <c r="H34" s="551"/>
    </row>
    <row r="35" spans="3:8" ht="15" x14ac:dyDescent="0.2">
      <c r="C35" s="81"/>
      <c r="D35" s="72"/>
      <c r="E35" s="551"/>
      <c r="F35" s="551"/>
      <c r="G35" s="551"/>
      <c r="H35" s="551"/>
    </row>
    <row r="36" spans="3:8" ht="15" x14ac:dyDescent="0.2">
      <c r="C36" s="72"/>
      <c r="D36" s="72"/>
      <c r="E36" s="551"/>
      <c r="F36" s="551"/>
      <c r="G36" s="551"/>
      <c r="H36" s="551"/>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7Jorh0F901aaEwjDz/ALDmdlFNdr0VJKc0ZmhRImn8A+aD/uP/PaCsV2AOpGpraeFZxvuNnPWxL2/GLbovrhaQ==" saltValue="AaNRDMsqp8TEZqfPhY87C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3" t="s">
        <v>107</v>
      </c>
      <c r="E1" s="573"/>
      <c r="F1" s="573"/>
      <c r="G1" s="573"/>
      <c r="H1" s="573"/>
      <c r="I1" s="573"/>
      <c r="J1" s="573"/>
      <c r="K1" s="573"/>
      <c r="L1" s="573"/>
      <c r="M1" s="573"/>
    </row>
    <row r="2" spans="1:18" ht="23.25" customHeight="1" x14ac:dyDescent="0.3">
      <c r="C2" s="229"/>
      <c r="D2" s="229" t="s">
        <v>254</v>
      </c>
      <c r="E2" s="229"/>
      <c r="F2" s="229"/>
      <c r="G2" s="229"/>
      <c r="H2" s="229"/>
      <c r="I2" s="229"/>
      <c r="J2" s="229"/>
      <c r="K2" s="229"/>
      <c r="L2" s="229"/>
      <c r="M2" s="229"/>
    </row>
    <row r="3" spans="1:18" ht="23.25" x14ac:dyDescent="0.35">
      <c r="C3" s="574"/>
      <c r="D3" s="574"/>
      <c r="E3" s="574"/>
      <c r="F3" s="574"/>
      <c r="G3" s="574"/>
      <c r="H3" s="574"/>
      <c r="I3" s="574"/>
      <c r="J3" s="574"/>
      <c r="K3" s="574"/>
      <c r="L3" s="574"/>
      <c r="M3" s="574"/>
    </row>
    <row r="4" spans="1:18" ht="23.25" x14ac:dyDescent="0.35">
      <c r="C4" s="213"/>
      <c r="D4" s="213"/>
      <c r="E4" s="213"/>
      <c r="F4" s="213"/>
      <c r="G4" s="213"/>
      <c r="H4" s="213"/>
      <c r="I4" s="213"/>
      <c r="J4" s="213"/>
      <c r="K4" s="213"/>
      <c r="L4" s="213"/>
      <c r="M4" s="213"/>
    </row>
    <row r="5" spans="1:18" ht="23.25" x14ac:dyDescent="0.35">
      <c r="C5" s="570" t="s">
        <v>6</v>
      </c>
      <c r="D5" s="570"/>
      <c r="E5" s="570"/>
      <c r="F5" s="570"/>
      <c r="G5" s="570"/>
      <c r="H5" s="570"/>
      <c r="I5" s="570"/>
      <c r="J5" s="570"/>
      <c r="K5" s="570"/>
      <c r="L5" s="570"/>
      <c r="M5" s="570"/>
    </row>
    <row r="6" spans="1:18" ht="23.25" x14ac:dyDescent="0.35">
      <c r="C6" s="214"/>
      <c r="D6" s="214"/>
      <c r="E6" s="590" t="str">
        <f>IFERROR(CONCATENATE("Report Number: ", WorkItemNumber),"")</f>
        <v/>
      </c>
      <c r="F6" s="590"/>
      <c r="G6" s="590"/>
      <c r="H6" s="590"/>
      <c r="I6" s="590"/>
      <c r="J6" s="590"/>
      <c r="K6" s="590"/>
      <c r="L6" s="214"/>
      <c r="M6" s="214"/>
    </row>
    <row r="7" spans="1:18" ht="18.75" customHeight="1" x14ac:dyDescent="0.3">
      <c r="G7" s="571"/>
      <c r="H7" s="571"/>
      <c r="I7" s="191"/>
      <c r="R7" t="str">
        <f>CONCATENATE("Page ",Main!L9," of ",Main!L10)</f>
        <v xml:space="preserve">Page  of </v>
      </c>
    </row>
    <row r="8" spans="1:18" ht="18" customHeight="1" x14ac:dyDescent="0.25">
      <c r="G8" s="583"/>
      <c r="H8" s="583"/>
      <c r="J8" s="78"/>
      <c r="K8" s="215" t="s">
        <v>251</v>
      </c>
      <c r="L8" s="594">
        <f>FormNumber</f>
        <v>0</v>
      </c>
      <c r="M8" s="594"/>
      <c r="N8" s="594"/>
      <c r="O8" s="594"/>
    </row>
    <row r="9" spans="1:18" ht="18" customHeight="1" x14ac:dyDescent="0.25">
      <c r="A9" s="215" t="s">
        <v>208</v>
      </c>
      <c r="B9" s="32" t="e">
        <f>Main!D5</f>
        <v>#N/A</v>
      </c>
      <c r="J9" s="78"/>
      <c r="K9" s="215" t="s">
        <v>252</v>
      </c>
      <c r="L9" s="585" t="str">
        <f>"JGI WP4100, "&amp;CalMethod</f>
        <v xml:space="preserve">JGI WP4100, </v>
      </c>
      <c r="M9" s="585"/>
      <c r="N9" s="585"/>
      <c r="O9" s="585"/>
    </row>
    <row r="10" spans="1:18" ht="18" customHeight="1" x14ac:dyDescent="0.25">
      <c r="A10" s="86"/>
      <c r="B10" s="210" t="str" cm="1">
        <f t="array" ref="B10">IFZERO('Customer Table'!R2,"")</f>
        <v/>
      </c>
      <c r="J10" s="78"/>
      <c r="K10" s="215"/>
      <c r="L10" s="585"/>
      <c r="M10" s="585"/>
      <c r="N10" s="585"/>
      <c r="O10" s="585"/>
    </row>
    <row r="11" spans="1:18" ht="18" customHeight="1" x14ac:dyDescent="0.25">
      <c r="A11" s="86"/>
      <c r="B11" s="210" t="str" cm="1">
        <f t="array" ref="B11">IFZERO('Customer Table'!S2,"")</f>
        <v/>
      </c>
      <c r="J11" s="78"/>
      <c r="K11" s="215" t="s">
        <v>253</v>
      </c>
      <c r="L11" s="594">
        <f>TolSource</f>
        <v>0</v>
      </c>
      <c r="M11" s="594"/>
      <c r="N11" s="594"/>
      <c r="O11" s="594"/>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6">
        <f>SerialNumber</f>
        <v>0</v>
      </c>
      <c r="C16" s="586"/>
      <c r="D16" s="586"/>
      <c r="E16" s="586"/>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7">
        <f>Class</f>
        <v>0</v>
      </c>
      <c r="C18" s="577"/>
      <c r="D18" s="577"/>
      <c r="E18" s="577"/>
      <c r="G18" s="215" t="s">
        <v>218</v>
      </c>
      <c r="H18" s="219">
        <f>CubicFeet</f>
        <v>0</v>
      </c>
      <c r="M18" s="215" t="s">
        <v>222</v>
      </c>
      <c r="N18" s="219" t="str">
        <f>Main!G18</f>
        <v>ACCEPTED</v>
      </c>
      <c r="O18" s="194"/>
    </row>
    <row r="19" spans="1:19" ht="18" customHeight="1" x14ac:dyDescent="0.25">
      <c r="A19" s="205"/>
      <c r="B19" s="578"/>
      <c r="C19" s="578"/>
      <c r="D19" s="578"/>
      <c r="E19" s="578"/>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7">
        <f>Controller</f>
        <v>0</v>
      </c>
      <c r="C21" s="587"/>
      <c r="D21" s="587"/>
      <c r="E21" s="587"/>
      <c r="F21" s="206" t="s">
        <v>225</v>
      </c>
      <c r="G21" s="587">
        <f>ContSN</f>
        <v>0</v>
      </c>
      <c r="H21" s="587"/>
      <c r="I21" s="587"/>
      <c r="J21" s="206" t="s">
        <v>226</v>
      </c>
      <c r="K21" s="218">
        <f>ContTol</f>
        <v>0</v>
      </c>
      <c r="L21" s="192"/>
      <c r="M21" s="206" t="s">
        <v>227</v>
      </c>
      <c r="N21" s="231" t="str">
        <f>Main!G27</f>
        <v/>
      </c>
      <c r="O21" s="193"/>
    </row>
    <row r="22" spans="1:19" ht="18" customHeight="1" x14ac:dyDescent="0.25">
      <c r="A22" s="224" t="s">
        <v>224</v>
      </c>
      <c r="B22" s="588">
        <f>_xlnm.Recorder</f>
        <v>0</v>
      </c>
      <c r="C22" s="588"/>
      <c r="D22" s="588"/>
      <c r="E22" s="588"/>
      <c r="F22" s="207" t="s">
        <v>225</v>
      </c>
      <c r="G22" s="588">
        <f>RecSN</f>
        <v>0</v>
      </c>
      <c r="H22" s="588"/>
      <c r="I22" s="588"/>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4" t="s">
        <v>236</v>
      </c>
      <c r="D27" s="584"/>
      <c r="E27" s="584"/>
      <c r="F27" s="584"/>
      <c r="G27" s="584"/>
      <c r="H27" s="584"/>
      <c r="I27" s="584"/>
      <c r="J27" s="584"/>
      <c r="K27" s="584"/>
      <c r="L27" s="584"/>
      <c r="M27" s="584"/>
      <c r="N27" s="195"/>
      <c r="O27" s="196"/>
    </row>
    <row r="28" spans="1:19" ht="8.1" customHeight="1" x14ac:dyDescent="0.2"/>
    <row r="29" spans="1:19" ht="18" customHeight="1" x14ac:dyDescent="0.2">
      <c r="A29" s="580" t="s">
        <v>206</v>
      </c>
      <c r="B29" s="581"/>
      <c r="C29" s="582"/>
      <c r="D29" s="580" t="s">
        <v>237</v>
      </c>
      <c r="E29" s="581"/>
      <c r="F29" s="581"/>
      <c r="G29" s="582"/>
      <c r="H29" s="580" t="s">
        <v>207</v>
      </c>
      <c r="I29" s="581"/>
      <c r="J29" s="581"/>
      <c r="K29" s="582"/>
      <c r="L29" s="580" t="s">
        <v>193</v>
      </c>
      <c r="M29" s="581"/>
      <c r="N29" s="581"/>
      <c r="O29" s="582"/>
    </row>
    <row r="30" spans="1:19" ht="18" customHeight="1" x14ac:dyDescent="0.2">
      <c r="A30" s="211"/>
      <c r="B30" s="201" t="s">
        <v>427</v>
      </c>
      <c r="C30" s="212"/>
      <c r="D30" s="563" t="str">
        <f>CONCATENATE(Main!D22,Unit," / ",Main!D23,"% RH")</f>
        <v>°F / % RH</v>
      </c>
      <c r="E30" s="564"/>
      <c r="F30" s="564"/>
      <c r="G30" s="565"/>
      <c r="H30" s="563">
        <f>OvenLocation</f>
        <v>0</v>
      </c>
      <c r="I30" s="564"/>
      <c r="J30" s="564"/>
      <c r="K30" s="565"/>
      <c r="L30" s="563">
        <f>Condition</f>
        <v>0</v>
      </c>
      <c r="M30" s="564"/>
      <c r="N30" s="564"/>
      <c r="O30" s="565"/>
    </row>
    <row r="31" spans="1:19" ht="18" customHeight="1" x14ac:dyDescent="0.2"/>
    <row r="32" spans="1:19" ht="18" customHeight="1" x14ac:dyDescent="0.25">
      <c r="A32" s="234" t="s">
        <v>238</v>
      </c>
      <c r="B32" s="572" t="s">
        <v>239</v>
      </c>
      <c r="C32" s="572"/>
      <c r="D32" s="234" t="s">
        <v>202</v>
      </c>
      <c r="E32" s="234" t="s">
        <v>201</v>
      </c>
      <c r="F32" s="234" t="s">
        <v>240</v>
      </c>
      <c r="G32" s="78"/>
      <c r="H32" s="78"/>
      <c r="I32" s="234" t="s">
        <v>238</v>
      </c>
      <c r="J32" s="572" t="s">
        <v>239</v>
      </c>
      <c r="K32" s="572"/>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6" t="s">
        <v>241</v>
      </c>
      <c r="C53" s="576"/>
      <c r="D53" s="576"/>
      <c r="E53" s="576"/>
      <c r="F53" s="576"/>
      <c r="G53" s="576"/>
      <c r="H53" s="576"/>
      <c r="I53" s="576"/>
      <c r="J53" s="576"/>
      <c r="K53" s="576"/>
      <c r="L53" s="576"/>
      <c r="M53" s="576"/>
      <c r="N53" s="576"/>
    </row>
    <row r="54" spans="1:21" ht="18" customHeight="1" x14ac:dyDescent="0.25">
      <c r="A54" s="237" t="s">
        <v>242</v>
      </c>
      <c r="B54" s="585" t="str">
        <f>CONCATENATE(Main!G23,"  ",FurnaceSpecificComments,Main!V24)</f>
        <v xml:space="preserve">Found in tolerance.  No adjustment required.  </v>
      </c>
      <c r="C54" s="585"/>
      <c r="D54" s="585"/>
      <c r="E54" s="585"/>
      <c r="F54" s="585"/>
      <c r="G54" s="585"/>
      <c r="H54" s="585"/>
      <c r="I54" s="585"/>
      <c r="J54" s="585"/>
      <c r="K54" s="585"/>
      <c r="L54" s="585"/>
      <c r="M54" s="585"/>
      <c r="N54" s="585"/>
      <c r="O54" s="585"/>
    </row>
    <row r="55" spans="1:21" ht="18" customHeight="1" x14ac:dyDescent="0.25">
      <c r="A55" s="75"/>
      <c r="B55" s="585"/>
      <c r="C55" s="585"/>
      <c r="D55" s="585"/>
      <c r="E55" s="585"/>
      <c r="F55" s="585"/>
      <c r="G55" s="585"/>
      <c r="H55" s="585"/>
      <c r="I55" s="585"/>
      <c r="J55" s="585"/>
      <c r="K55" s="585"/>
      <c r="L55" s="585"/>
      <c r="M55" s="585"/>
      <c r="N55" s="585"/>
      <c r="O55" s="585"/>
    </row>
    <row r="56" spans="1:21" ht="18" customHeight="1" x14ac:dyDescent="0.25">
      <c r="A56" s="75"/>
      <c r="B56" s="585"/>
      <c r="C56" s="585"/>
      <c r="D56" s="585"/>
      <c r="E56" s="585"/>
      <c r="F56" s="585"/>
      <c r="G56" s="585"/>
      <c r="H56" s="585"/>
      <c r="I56" s="585"/>
      <c r="J56" s="585"/>
      <c r="K56" s="585"/>
      <c r="L56" s="585"/>
      <c r="M56" s="585"/>
      <c r="N56" s="585"/>
      <c r="O56" s="585"/>
    </row>
    <row r="57" spans="1:21" ht="18" customHeight="1" x14ac:dyDescent="0.25">
      <c r="A57" s="75"/>
      <c r="B57" s="585"/>
      <c r="C57" s="585"/>
      <c r="D57" s="585"/>
      <c r="E57" s="585"/>
      <c r="F57" s="585"/>
      <c r="G57" s="585"/>
      <c r="H57" s="585"/>
      <c r="I57" s="585"/>
      <c r="J57" s="585"/>
      <c r="K57" s="585"/>
      <c r="L57" s="585"/>
      <c r="M57" s="585"/>
      <c r="N57" s="585"/>
      <c r="O57" s="585"/>
    </row>
    <row r="58" spans="1:21" ht="18" customHeight="1" x14ac:dyDescent="0.25">
      <c r="A58" s="75"/>
      <c r="B58" s="585"/>
      <c r="C58" s="585"/>
      <c r="D58" s="585"/>
      <c r="E58" s="585"/>
      <c r="F58" s="585"/>
      <c r="G58" s="585"/>
      <c r="H58" s="585"/>
      <c r="I58" s="585"/>
      <c r="J58" s="585"/>
      <c r="K58" s="585"/>
      <c r="L58" s="585"/>
      <c r="M58" s="585"/>
      <c r="N58" s="585"/>
      <c r="O58" s="585"/>
    </row>
    <row r="59" spans="1:21" ht="18" customHeight="1" x14ac:dyDescent="0.25">
      <c r="A59" s="75"/>
      <c r="B59" s="585"/>
      <c r="C59" s="585"/>
      <c r="D59" s="585"/>
      <c r="E59" s="585"/>
      <c r="F59" s="585"/>
      <c r="G59" s="585"/>
      <c r="H59" s="585"/>
      <c r="I59" s="585"/>
      <c r="J59" s="585"/>
      <c r="K59" s="585"/>
      <c r="L59" s="585"/>
      <c r="M59" s="585"/>
      <c r="N59" s="585"/>
      <c r="O59" s="585"/>
    </row>
    <row r="60" spans="1:21" ht="18" customHeight="1" x14ac:dyDescent="0.2">
      <c r="A60" s="575" t="s">
        <v>250</v>
      </c>
      <c r="B60" s="575"/>
      <c r="C60" s="575"/>
      <c r="D60" s="575"/>
      <c r="E60" s="575"/>
      <c r="F60" s="575"/>
      <c r="G60" s="575"/>
      <c r="H60" s="575"/>
      <c r="I60" s="575"/>
      <c r="J60" s="575"/>
      <c r="K60" s="575"/>
      <c r="L60" s="575"/>
      <c r="M60" s="575"/>
      <c r="N60" s="575"/>
      <c r="O60" s="575"/>
    </row>
    <row r="61" spans="1:21" ht="18" customHeight="1" x14ac:dyDescent="0.2">
      <c r="A61" s="579" t="s">
        <v>243</v>
      </c>
      <c r="B61" s="579"/>
      <c r="C61" s="579"/>
      <c r="D61" s="579"/>
      <c r="E61" s="579"/>
      <c r="F61" s="593" t="s">
        <v>244</v>
      </c>
      <c r="G61" s="593"/>
      <c r="H61" s="593"/>
      <c r="I61" s="593" t="s">
        <v>245</v>
      </c>
      <c r="J61" s="593"/>
      <c r="K61" s="593" t="s">
        <v>246</v>
      </c>
      <c r="L61" s="593"/>
      <c r="M61" s="593" t="s">
        <v>247</v>
      </c>
      <c r="N61" s="593"/>
      <c r="O61" s="593"/>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91" t="str">
        <f>IF(F62="","",Main!D12)</f>
        <v/>
      </c>
      <c r="J62" s="592"/>
      <c r="K62" s="591" t="str">
        <f>IF(F62="","",Main!D13)</f>
        <v/>
      </c>
      <c r="L62" s="592"/>
      <c r="M62" s="557" t="str">
        <f>IF(F62="","",Main!D14)</f>
        <v/>
      </c>
      <c r="N62" s="558"/>
      <c r="O62" s="55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68" t="str">
        <f>IF(Q63="","",Main!D49)</f>
        <v/>
      </c>
      <c r="J63" s="569"/>
      <c r="K63" s="568" t="str">
        <f>IF(Q63="","",Main!D50)</f>
        <v/>
      </c>
      <c r="L63" s="569"/>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68" t="str">
        <f>IF(Q64="","",Main!E49)</f>
        <v/>
      </c>
      <c r="J64" s="569"/>
      <c r="K64" s="568" t="str">
        <f>IF(Q64="","",Main!E50)</f>
        <v/>
      </c>
      <c r="L64" s="569"/>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68" t="str">
        <f>IF(Q65="","",Main!F49)</f>
        <v/>
      </c>
      <c r="J65" s="569"/>
      <c r="K65" s="568" t="str">
        <f>IF(Q65="","",Main!F50)</f>
        <v/>
      </c>
      <c r="L65" s="569"/>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68" t="str">
        <f>IF(Q66="","",Main!G49)</f>
        <v/>
      </c>
      <c r="J66" s="569"/>
      <c r="K66" s="568" t="str">
        <f>IF(Q66="","",Main!G50)</f>
        <v/>
      </c>
      <c r="L66" s="569"/>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68" t="str">
        <f>IF(Q67="","",Main!H49)</f>
        <v/>
      </c>
      <c r="J67" s="569"/>
      <c r="K67" s="568" t="str">
        <f>IF(Q67="","",Main!H50)</f>
        <v/>
      </c>
      <c r="L67" s="569"/>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68" t="str">
        <f>IF(Q68="","",Main!I49)</f>
        <v/>
      </c>
      <c r="J68" s="569"/>
      <c r="K68" s="568" t="str">
        <f>IF(Q68="","",Main!I50)</f>
        <v/>
      </c>
      <c r="L68" s="569"/>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63" t="str">
        <f>IF(Main!J48="","",Main!J48)</f>
        <v/>
      </c>
      <c r="G69" s="564"/>
      <c r="H69" s="565"/>
      <c r="I69" s="566" t="str">
        <f>IF(Q69="","",Main!J49)</f>
        <v/>
      </c>
      <c r="J69" s="567"/>
      <c r="K69" s="566" t="str">
        <f>IF(Q69="","",Main!J50)</f>
        <v/>
      </c>
      <c r="L69" s="567"/>
      <c r="M69" s="563" t="str">
        <f>IF(Q69="","",Main!J54)</f>
        <v/>
      </c>
      <c r="N69" s="564"/>
      <c r="O69" s="56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9" t="s">
        <v>431</v>
      </c>
      <c r="B71" s="589"/>
      <c r="C71" s="589"/>
      <c r="D71" s="589"/>
      <c r="E71" s="589"/>
      <c r="F71" s="589"/>
      <c r="G71" s="589"/>
      <c r="H71" s="589"/>
      <c r="I71" s="589"/>
      <c r="J71" s="589"/>
      <c r="K71" s="589"/>
      <c r="L71" s="589"/>
      <c r="M71" s="589"/>
      <c r="N71" s="589"/>
      <c r="O71" s="589"/>
    </row>
    <row r="72" spans="1:21" ht="18" customHeight="1" x14ac:dyDescent="0.2">
      <c r="A72" s="589"/>
      <c r="B72" s="589"/>
      <c r="C72" s="589"/>
      <c r="D72" s="589"/>
      <c r="E72" s="589"/>
      <c r="F72" s="589"/>
      <c r="G72" s="589"/>
      <c r="H72" s="589"/>
      <c r="I72" s="589"/>
      <c r="J72" s="589"/>
      <c r="K72" s="589"/>
      <c r="L72" s="589"/>
      <c r="M72" s="589"/>
      <c r="N72" s="589"/>
      <c r="O72" s="589"/>
    </row>
    <row r="73" spans="1:21" ht="18" customHeight="1" x14ac:dyDescent="0.2">
      <c r="A73" s="589"/>
      <c r="B73" s="589"/>
      <c r="C73" s="589"/>
      <c r="D73" s="589"/>
      <c r="E73" s="589"/>
      <c r="F73" s="589"/>
      <c r="G73" s="589"/>
      <c r="H73" s="589"/>
      <c r="I73" s="589"/>
      <c r="J73" s="589"/>
      <c r="K73" s="589"/>
      <c r="L73" s="589"/>
      <c r="M73" s="589"/>
      <c r="N73" s="589"/>
      <c r="O73" s="589"/>
    </row>
    <row r="74" spans="1:21" ht="18" customHeight="1" x14ac:dyDescent="0.2">
      <c r="A74" s="589"/>
      <c r="B74" s="589"/>
      <c r="C74" s="589"/>
      <c r="D74" s="589"/>
      <c r="E74" s="589"/>
      <c r="F74" s="589"/>
      <c r="G74" s="589"/>
      <c r="H74" s="589"/>
      <c r="I74" s="589"/>
      <c r="J74" s="589"/>
      <c r="K74" s="589"/>
      <c r="L74" s="589"/>
      <c r="M74" s="589"/>
      <c r="N74" s="589"/>
      <c r="O74" s="58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RBO0Tc14Xj3dHuC6BT/jw2KQZn+ckFTvIBUx4Dxw5r2kYRoKZP/v0iPe/d7Eas8cVtdFAgwmEPmaIZeeYdCEyg==" saltValue="RiHI7rcvkj8fqf9x4DkpD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8" t="s">
        <v>99</v>
      </c>
      <c r="N2" s="598"/>
      <c r="O2" s="598"/>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9" t="s">
        <v>100</v>
      </c>
      <c r="N3" s="600"/>
      <c r="O3" s="601"/>
      <c r="P3" s="102"/>
      <c r="Q3" s="102"/>
    </row>
    <row r="4" spans="1:18" ht="15" x14ac:dyDescent="0.25">
      <c r="B4" s="112" t="s">
        <v>25</v>
      </c>
      <c r="C4" s="59"/>
      <c r="D4" s="36"/>
      <c r="E4" s="36"/>
      <c r="F4" s="36"/>
      <c r="G4" s="36"/>
      <c r="H4" s="36"/>
      <c r="I4" s="36"/>
      <c r="J4" s="36"/>
      <c r="K4" s="36"/>
      <c r="L4" s="36"/>
      <c r="M4" s="602" t="s">
        <v>135</v>
      </c>
      <c r="N4" s="603"/>
      <c r="O4" s="604"/>
      <c r="P4" s="84"/>
    </row>
    <row r="5" spans="1:18" x14ac:dyDescent="0.2">
      <c r="B5" s="113" t="s">
        <v>26</v>
      </c>
      <c r="C5" s="53">
        <f>Main!D3</f>
        <v>0</v>
      </c>
      <c r="D5" s="36"/>
      <c r="E5" s="36"/>
      <c r="F5" s="36"/>
      <c r="G5" s="36"/>
      <c r="H5" s="36"/>
      <c r="I5" s="51" t="s">
        <v>4</v>
      </c>
      <c r="J5" s="36" t="e">
        <f>Main!D5</f>
        <v>#N/A</v>
      </c>
      <c r="L5" s="36"/>
      <c r="M5" s="605" t="s">
        <v>134</v>
      </c>
      <c r="N5" s="606"/>
      <c r="O5" s="607"/>
      <c r="P5" s="128"/>
    </row>
    <row r="6" spans="1:18" ht="13.5" thickBot="1" x14ac:dyDescent="0.25">
      <c r="B6" s="113" t="s">
        <v>3</v>
      </c>
      <c r="C6" s="54" t="e">
        <f>Main!D6</f>
        <v>#N/A</v>
      </c>
      <c r="D6" s="36"/>
      <c r="E6" s="36"/>
      <c r="F6" s="36"/>
      <c r="G6" s="36"/>
      <c r="H6" s="36"/>
      <c r="I6" s="51" t="s">
        <v>5</v>
      </c>
      <c r="J6" s="50">
        <f>Main!D16</f>
        <v>0</v>
      </c>
      <c r="L6" s="36"/>
      <c r="M6" s="608" t="str">
        <f>IF(MaxMode,"","In 1/2 Tolerance")</f>
        <v>In 1/2 Tolerance</v>
      </c>
      <c r="N6" s="609"/>
      <c r="O6" s="610"/>
      <c r="P6" s="85"/>
    </row>
    <row r="7" spans="1:18" ht="13.5" thickBot="1" x14ac:dyDescent="0.25">
      <c r="B7" s="113" t="s">
        <v>27</v>
      </c>
      <c r="C7" s="54" t="str">
        <f>Main!D7</f>
        <v>Jeff Hall</v>
      </c>
      <c r="D7" s="36"/>
      <c r="E7" s="36"/>
      <c r="F7" s="36"/>
      <c r="G7" s="36"/>
      <c r="H7" s="36"/>
      <c r="I7" s="56" t="s">
        <v>153</v>
      </c>
      <c r="J7" s="596">
        <f>Main!$D$30</f>
        <v>0</v>
      </c>
      <c r="K7" s="597"/>
      <c r="L7" s="99"/>
      <c r="M7" s="595" t="s">
        <v>133</v>
      </c>
      <c r="N7" s="595"/>
      <c r="O7" s="595"/>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AcVVJo/w5xbmUt6BBqr2T8VDNF8nwQrsFK9KSSXO9lHzFsSBcbobG6Btc/lXY+jq6AepUBoxOiVc7OJv3AuGPQ==" saltValue="zICZOuO7RDTUq8y/yjgOlw=="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t="e">
        <f>Main!D5</f>
        <v>#N/A</v>
      </c>
      <c r="M5" s="612" t="s">
        <v>134</v>
      </c>
      <c r="N5" s="613"/>
      <c r="O5" s="614"/>
    </row>
    <row r="6" spans="1:17" ht="13.5" thickBot="1" x14ac:dyDescent="0.25">
      <c r="B6" s="113" t="s">
        <v>3</v>
      </c>
      <c r="C6" s="54" t="e">
        <f>Main!D6</f>
        <v>#N/A</v>
      </c>
      <c r="D6" s="36"/>
      <c r="E6" s="36"/>
      <c r="F6" s="36"/>
      <c r="G6" s="36"/>
      <c r="H6" s="36"/>
      <c r="I6" s="51" t="s">
        <v>5</v>
      </c>
      <c r="J6" s="38">
        <f>Main!D16</f>
        <v>0</v>
      </c>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F54b8+qmHstrQ5+edUCazsCfPBp03wrIaJf/P2vm0kw0IfUkBLYitYIO7JkDXckjpX5T0qCAELnEzFe2GQkpfg==" saltValue="pE3qWYzXCfsHekQ6Pbcwy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s="36" t="e">
        <f>Main!D5</f>
        <v>#N/A</v>
      </c>
      <c r="L5" s="36"/>
      <c r="M5" s="605" t="s">
        <v>134</v>
      </c>
      <c r="N5" s="606"/>
      <c r="O5" s="607"/>
    </row>
    <row r="6" spans="1:17" ht="13.5" thickBot="1" x14ac:dyDescent="0.25">
      <c r="B6" s="113" t="s">
        <v>3</v>
      </c>
      <c r="C6" s="54" t="e">
        <f>Main!D6</f>
        <v>#N/A</v>
      </c>
      <c r="D6" s="36"/>
      <c r="E6" s="36"/>
      <c r="F6" s="36"/>
      <c r="G6" s="36"/>
      <c r="H6" s="36"/>
      <c r="I6" s="51" t="s">
        <v>5</v>
      </c>
      <c r="J6" s="50">
        <f>Main!D16</f>
        <v>0</v>
      </c>
      <c r="L6" s="36"/>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bwdDi+R2LGOIoO72V0Yg4UFd8C8ZqCaC7V8AZJ4iZ3GCM1J9I6nKwRRfwONrdT7l41uF8SPYrIsC6mxjMNJfMw==" saltValue="GcrWt/btiFsBtHibdhmRZ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5" t="s">
        <v>17</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2"/>
    </row>
    <row r="34" spans="1:14" x14ac:dyDescent="0.25">
      <c r="A34" s="17"/>
      <c r="B34" s="17"/>
      <c r="D34" s="616"/>
      <c r="E34" s="616"/>
      <c r="F34" s="616"/>
      <c r="G34" s="616"/>
      <c r="H34" s="616"/>
      <c r="I34" s="616"/>
      <c r="J34" s="616"/>
      <c r="K34" s="616"/>
      <c r="L34" s="616"/>
      <c r="M34" s="616"/>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7" t="s">
        <v>20</v>
      </c>
      <c r="D37" s="617"/>
      <c r="E37" s="617"/>
      <c r="F37" s="617"/>
      <c r="G37" s="617"/>
      <c r="H37" s="617"/>
      <c r="I37" s="617"/>
      <c r="J37" s="617"/>
      <c r="K37" s="617"/>
      <c r="L37" s="617"/>
      <c r="M37" s="617"/>
    </row>
    <row r="38" spans="1:14" x14ac:dyDescent="0.25">
      <c r="A38" s="17"/>
      <c r="B38" s="17"/>
      <c r="C38" s="617"/>
      <c r="D38" s="617"/>
      <c r="E38" s="617"/>
      <c r="F38" s="617"/>
      <c r="G38" s="617"/>
      <c r="H38" s="617"/>
      <c r="I38" s="617"/>
      <c r="J38" s="617"/>
      <c r="K38" s="617"/>
      <c r="L38" s="617"/>
      <c r="M38" s="617"/>
    </row>
    <row r="39" spans="1:14" x14ac:dyDescent="0.25">
      <c r="A39" s="17"/>
      <c r="B39" s="17"/>
      <c r="C39" s="617"/>
      <c r="D39" s="617"/>
      <c r="E39" s="617"/>
      <c r="F39" s="617"/>
      <c r="G39" s="617"/>
      <c r="H39" s="617"/>
      <c r="I39" s="617"/>
      <c r="J39" s="617"/>
      <c r="K39" s="617"/>
      <c r="L39" s="617"/>
      <c r="M39" s="617"/>
    </row>
    <row r="40" spans="1:14" x14ac:dyDescent="0.25">
      <c r="A40" s="17"/>
      <c r="B40" s="17"/>
      <c r="C40" s="617"/>
      <c r="D40" s="617"/>
      <c r="E40" s="617"/>
      <c r="F40" s="617"/>
      <c r="G40" s="617"/>
      <c r="H40" s="617"/>
      <c r="I40" s="617"/>
      <c r="J40" s="617"/>
      <c r="K40" s="617"/>
      <c r="L40" s="617"/>
      <c r="M40" s="617"/>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REpZIAtvdziRiaGcse5co/ubSqL8JhkVjlMiR1nCe9gKXTM1xDGeRrs/gUvl82US/aigiWqQzfYujofRFICnTA==" saltValue="aFrkoq4ux/nUZ2kVuNy8Yg==" spinCount="100000" sheet="1" scenarios="1" selectLockedCells="1" autoFilter="0"/>
  <mergeCells count="2">
    <mergeCell ref="D32:M34"/>
    <mergeCell ref="C37:M40"/>
  </mergeCells>
  <phoneticPr fontId="22"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8" t="s">
        <v>273</v>
      </c>
      <c r="I28" s="618"/>
      <c r="J28" s="618"/>
      <c r="K28" s="618"/>
      <c r="L28" s="618"/>
      <c r="M28" s="618"/>
      <c r="N28" s="618"/>
      <c r="O28" s="618"/>
      <c r="P28" s="618"/>
      <c r="Q28" s="618"/>
      <c r="R28" s="618"/>
    </row>
    <row r="29" spans="1:20" x14ac:dyDescent="0.2">
      <c r="A29" s="624" t="s">
        <v>34</v>
      </c>
      <c r="B29" s="625"/>
      <c r="C29" s="46" t="str">
        <f>IF(Main!D48="","",Main!D48)</f>
        <v/>
      </c>
      <c r="D29" s="46" t="str">
        <f>IF(Main!E48="","",Main!E48)</f>
        <v/>
      </c>
      <c r="E29" s="46" t="str">
        <f>IF(Main!F48="","",Main!F48)</f>
        <v/>
      </c>
      <c r="F29" s="46" t="str">
        <f>IF(Main!G48="","",Main!G48)</f>
        <v/>
      </c>
      <c r="G29" s="258"/>
      <c r="H29" s="255" t="s">
        <v>274</v>
      </c>
      <c r="I29" s="111" t="str">
        <f>IF(Main!N47="","",Main!N47)</f>
        <v>Periodic</v>
      </c>
      <c r="J29" s="626" t="s">
        <v>275</v>
      </c>
      <c r="K29" s="627"/>
      <c r="L29" s="111" t="str">
        <f>IF(Main!R47="","",Main!R47)</f>
        <v>Air</v>
      </c>
    </row>
    <row r="30" spans="1:20" x14ac:dyDescent="0.2">
      <c r="A30" s="624" t="s">
        <v>35</v>
      </c>
      <c r="B30" s="625"/>
      <c r="C30" s="47" t="str">
        <f>IF(Main!D49="","",Main!D49)</f>
        <v/>
      </c>
      <c r="D30" s="47" t="str">
        <f>IF(Main!E49="","",Main!E49)</f>
        <v/>
      </c>
      <c r="E30" s="47" t="str">
        <f>IF(Main!F49="","",Main!F49)</f>
        <v/>
      </c>
      <c r="F30" s="47" t="str">
        <f>IF(Main!G49="","",Main!G49)</f>
        <v/>
      </c>
      <c r="G30" s="260"/>
      <c r="H30" s="619" t="s">
        <v>263</v>
      </c>
      <c r="I30" s="619"/>
      <c r="J30" s="628" t="s">
        <v>304</v>
      </c>
      <c r="K30" s="629"/>
      <c r="L30" s="630"/>
      <c r="M30" s="253"/>
      <c r="O30" s="620" t="s">
        <v>307</v>
      </c>
      <c r="P30" s="621"/>
      <c r="Q30" s="622"/>
      <c r="T30" s="36"/>
    </row>
    <row r="31" spans="1:20" x14ac:dyDescent="0.2">
      <c r="A31" s="624" t="s">
        <v>36</v>
      </c>
      <c r="B31" s="625"/>
      <c r="C31" s="47" t="str">
        <f>IF(Main!D50="","",Main!D50)</f>
        <v/>
      </c>
      <c r="D31" s="47" t="str">
        <f>IF(Main!E50="","",Main!E50)</f>
        <v/>
      </c>
      <c r="E31" s="47" t="str">
        <f>IF(Main!F50="","",Main!F50)</f>
        <v/>
      </c>
      <c r="F31" s="47" t="str">
        <f>IF(Main!G50="","",Main!G50)</f>
        <v/>
      </c>
      <c r="G31" s="260"/>
      <c r="H31" s="241" t="s">
        <v>276</v>
      </c>
      <c r="I31" s="243" t="str">
        <f>IF(Main!N49="","",Main!N49)</f>
        <v/>
      </c>
      <c r="J31" s="643" t="s">
        <v>312</v>
      </c>
      <c r="K31" s="644"/>
      <c r="L31" s="645"/>
      <c r="M31" s="254" t="str">
        <f>IF(Main!S49="","",Main!S49)</f>
        <v/>
      </c>
      <c r="O31" s="510" t="s">
        <v>314</v>
      </c>
      <c r="P31" s="511"/>
      <c r="Q31" s="623"/>
      <c r="R31" s="55" t="str">
        <f>IF(Main!X49="","",Main!X49)</f>
        <v/>
      </c>
      <c r="T31" s="36"/>
    </row>
    <row r="32" spans="1:20" ht="12.75" customHeight="1" x14ac:dyDescent="0.2">
      <c r="A32" s="624" t="s">
        <v>37</v>
      </c>
      <c r="B32" s="625"/>
      <c r="C32" s="46" t="str">
        <f>IF(Main!D51="","",Main!D51)</f>
        <v/>
      </c>
      <c r="D32" s="46" t="str">
        <f>IF(Main!E51="","",Main!E51)</f>
        <v/>
      </c>
      <c r="E32" s="46" t="str">
        <f>IF(Main!F51="","",Main!F51)</f>
        <v/>
      </c>
      <c r="F32" s="46" t="str">
        <f>IF(Main!G51="","",Main!G51)</f>
        <v/>
      </c>
      <c r="G32" s="258"/>
      <c r="H32" s="241" t="s">
        <v>290</v>
      </c>
      <c r="I32" s="243" t="str">
        <f>IF(Main!N50="","",Main!N50)</f>
        <v/>
      </c>
      <c r="J32" s="634" t="s">
        <v>266</v>
      </c>
      <c r="K32" s="635"/>
      <c r="L32" s="636"/>
      <c r="M32" s="249"/>
      <c r="O32" s="634" t="s">
        <v>266</v>
      </c>
      <c r="P32" s="635"/>
      <c r="Q32" s="636"/>
      <c r="T32" s="36"/>
    </row>
    <row r="33" spans="1:20" ht="12.75" customHeight="1" x14ac:dyDescent="0.2">
      <c r="A33" s="624" t="str">
        <f>"Uses Above " &amp; IF(Unit="°C","260°C","500°F") &amp;  ":*"</f>
        <v>Uses Above 500°F:*</v>
      </c>
      <c r="B33" s="625"/>
      <c r="C33" s="46" t="str">
        <f>IF(Main!D52="","",Main!D52)</f>
        <v/>
      </c>
      <c r="D33" s="46" t="str">
        <f>IF(Main!E52="","",Main!E52)</f>
        <v/>
      </c>
      <c r="E33" s="46" t="str">
        <f>IF(Main!F52="","",Main!F52)</f>
        <v/>
      </c>
      <c r="F33" s="46" t="str">
        <f>IF(Main!G52="","",Main!G52)</f>
        <v/>
      </c>
      <c r="G33" s="258"/>
      <c r="H33" s="241" t="s">
        <v>277</v>
      </c>
      <c r="I33" s="243" t="str">
        <f>IF(Main!N51="","",Main!N51)</f>
        <v/>
      </c>
      <c r="J33" s="631" t="s">
        <v>313</v>
      </c>
      <c r="K33" s="632"/>
      <c r="L33" s="633"/>
      <c r="M33" s="248" t="str">
        <f>IF(Main!S51="","",Main!S51)</f>
        <v/>
      </c>
      <c r="O33" s="631" t="s">
        <v>315</v>
      </c>
      <c r="P33" s="632"/>
      <c r="Q33" s="633"/>
      <c r="R33" s="55" t="str">
        <f>IF(Main!X51="","",Main!X51)</f>
        <v/>
      </c>
      <c r="T33" s="36"/>
    </row>
    <row r="34" spans="1:20" ht="12.75" customHeight="1" x14ac:dyDescent="0.2">
      <c r="A34" s="624" t="s">
        <v>38</v>
      </c>
      <c r="B34" s="625"/>
      <c r="C34" s="48" t="str">
        <f>IF(Main!D53="","",Main!D53)</f>
        <v/>
      </c>
      <c r="D34" s="48" t="str">
        <f>IF(Main!E53="","",Main!E53)</f>
        <v/>
      </c>
      <c r="E34" s="48" t="str">
        <f>IF(Main!F53="","",Main!F53)</f>
        <v/>
      </c>
      <c r="F34" s="48" t="str">
        <f>IF(Main!G53="","",Main!G53)</f>
        <v/>
      </c>
      <c r="G34" s="261"/>
      <c r="H34" s="241" t="s">
        <v>278</v>
      </c>
      <c r="I34" s="240" t="str">
        <f>IF(Main!N52="","",Main!N52)</f>
        <v/>
      </c>
      <c r="J34" s="634" t="s">
        <v>266</v>
      </c>
      <c r="K34" s="635"/>
      <c r="L34" s="636"/>
      <c r="O34" s="634" t="s">
        <v>266</v>
      </c>
      <c r="P34" s="635"/>
      <c r="Q34" s="636"/>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7" t="s">
        <v>316</v>
      </c>
      <c r="K35" s="638"/>
      <c r="L35" s="639"/>
      <c r="M35" s="256" t="str">
        <f>IF(Main!S53="","",Main!S53)</f>
        <v/>
      </c>
      <c r="O35" s="637" t="s">
        <v>317</v>
      </c>
      <c r="P35" s="638"/>
      <c r="Q35" s="639"/>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0"/>
      <c r="K36" s="641"/>
      <c r="L36" s="642"/>
      <c r="M36" s="252"/>
      <c r="O36" s="640"/>
      <c r="P36" s="641"/>
      <c r="Q36" s="642"/>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ctNIsYMCNTWy9+IjGOb6zfTBw6xWCcBRLX85o04cmq7JfRZXbQ3n6R8Bwo7Tdx8uSVs5LkB9Zpsx1VJ9gLS+Tw==" saltValue="vEBV2i5Ajp9D2yS66ZSYI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1Msbyi1Xc7DOqkManImzRT7pbQaQI0Vp5JPQWsl40DDfRw9odYc9uw1FHsdno8Mu8ybLPuQ8xqo/7sOB0ZR+VQ==" saltValue="BOMWzqtKnxtGl9OgPLD2c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O20" sqref="O20"/>
    </sheetView>
  </sheetViews>
  <sheetFormatPr defaultRowHeight="15" x14ac:dyDescent="0.25"/>
  <cols>
    <col min="1" max="1" width="9.140625" style="647"/>
    <col min="2" max="2" width="10.7109375" style="647" customWidth="1"/>
    <col min="3" max="3" width="10.42578125" style="647" customWidth="1"/>
    <col min="4" max="16384" width="9.140625" style="647"/>
  </cols>
  <sheetData>
    <row r="1" spans="2:9" x14ac:dyDescent="0.25">
      <c r="B1" s="647" t="s">
        <v>107</v>
      </c>
      <c r="G1" s="647" t="s">
        <v>761</v>
      </c>
    </row>
    <row r="2" spans="2:9" x14ac:dyDescent="0.25">
      <c r="B2" s="647" t="s">
        <v>762</v>
      </c>
    </row>
    <row r="3" spans="2:9" x14ac:dyDescent="0.25">
      <c r="B3" s="647" t="s">
        <v>763</v>
      </c>
    </row>
    <row r="4" spans="2:9" x14ac:dyDescent="0.25">
      <c r="B4" s="648" t="s">
        <v>764</v>
      </c>
      <c r="C4" s="648"/>
      <c r="D4" s="648"/>
      <c r="E4" s="648"/>
      <c r="F4" s="648"/>
      <c r="I4" s="647">
        <v>-50.1</v>
      </c>
    </row>
    <row r="5" spans="2:9" x14ac:dyDescent="0.25">
      <c r="B5" s="647" t="s">
        <v>765</v>
      </c>
      <c r="C5" s="649">
        <v>200</v>
      </c>
      <c r="E5" s="647" t="s">
        <v>766</v>
      </c>
      <c r="F5" s="649">
        <v>450</v>
      </c>
      <c r="I5" s="647">
        <v>-49.6</v>
      </c>
    </row>
    <row r="6" spans="2:9" x14ac:dyDescent="0.25">
      <c r="B6" s="647" t="s">
        <v>767</v>
      </c>
      <c r="C6" s="649">
        <v>-0.5</v>
      </c>
      <c r="E6" s="647" t="s">
        <v>767</v>
      </c>
      <c r="F6" s="649">
        <v>-1.4</v>
      </c>
      <c r="I6" s="647">
        <f>AVERAGE(I4:I5)</f>
        <v>-49.85</v>
      </c>
    </row>
    <row r="8" spans="2:9" x14ac:dyDescent="0.25">
      <c r="B8" s="647" t="s">
        <v>768</v>
      </c>
      <c r="C8" s="649">
        <v>305</v>
      </c>
    </row>
    <row r="9" spans="2:9" x14ac:dyDescent="0.25">
      <c r="B9" s="647" t="s">
        <v>769</v>
      </c>
      <c r="C9" s="650">
        <f>ROUND(C6+(C8-C5)*C13,1)</f>
        <v>-0.9</v>
      </c>
    </row>
    <row r="11" spans="2:9" x14ac:dyDescent="0.25">
      <c r="B11" s="647" t="s">
        <v>770</v>
      </c>
      <c r="C11" s="647">
        <f>F5-C5</f>
        <v>250</v>
      </c>
    </row>
    <row r="12" spans="2:9" x14ac:dyDescent="0.25">
      <c r="B12" s="647" t="s">
        <v>771</v>
      </c>
      <c r="C12" s="647">
        <f>F6-C6</f>
        <v>-0.89999999999999991</v>
      </c>
    </row>
    <row r="13" spans="2:9" x14ac:dyDescent="0.25">
      <c r="B13" s="647" t="s">
        <v>772</v>
      </c>
      <c r="C13" s="647">
        <f>C12/C11</f>
        <v>-3.5999999999999995E-3</v>
      </c>
    </row>
  </sheetData>
  <sheetProtection algorithmName="SHA-512" hashValue="AhBZI0KDFQ8BMbn1IVGn+/HL3Dnxk0CbV8vq7h0gOWu6hWusZdVpcG528hiZOioQ5ZSABmF8tV1pSz4UBLNuNg==" saltValue="UBoX0IU+0LcYKXgEV9r7D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D31" sqref="D31"/>
    </sheetView>
  </sheetViews>
  <sheetFormatPr defaultRowHeight="15" x14ac:dyDescent="0.25"/>
  <cols>
    <col min="1" max="1" width="10.5703125" style="647" bestFit="1" customWidth="1"/>
    <col min="2" max="2" width="11.5703125" style="647" bestFit="1" customWidth="1"/>
    <col min="3" max="3" width="20.5703125" style="647" bestFit="1" customWidth="1"/>
    <col min="4" max="4" width="16.28515625" style="647" bestFit="1" customWidth="1"/>
    <col min="5" max="5" width="19" style="647" bestFit="1" customWidth="1"/>
    <col min="6" max="6" width="21.5703125" style="647" bestFit="1" customWidth="1"/>
    <col min="7" max="7" width="24.140625" style="647" bestFit="1" customWidth="1"/>
    <col min="8" max="8" width="17.28515625" style="647" bestFit="1" customWidth="1"/>
    <col min="9" max="9" width="20.7109375" style="647" bestFit="1" customWidth="1"/>
    <col min="10" max="10" width="5.42578125" style="647" bestFit="1" customWidth="1"/>
    <col min="11" max="11" width="8.5703125" style="647" bestFit="1" customWidth="1"/>
    <col min="12" max="12" width="11" style="647" bestFit="1" customWidth="1"/>
    <col min="13" max="13" width="10.5703125" style="647" bestFit="1" customWidth="1"/>
    <col min="14" max="14" width="29.140625" style="647" bestFit="1" customWidth="1"/>
    <col min="15" max="15" width="34.85546875" style="647" bestFit="1" customWidth="1"/>
    <col min="16" max="16" width="32.7109375" style="647" bestFit="1" customWidth="1"/>
    <col min="17" max="17" width="26" style="647" bestFit="1" customWidth="1"/>
    <col min="18" max="18" width="10.7109375" style="647" bestFit="1" customWidth="1"/>
    <col min="19" max="19" width="11.7109375" style="647" bestFit="1" customWidth="1"/>
    <col min="20" max="20" width="20.7109375" style="647" bestFit="1" customWidth="1"/>
    <col min="21" max="21" width="25.7109375" style="647" bestFit="1" customWidth="1"/>
    <col min="22" max="22" width="24" style="647" bestFit="1" customWidth="1"/>
    <col min="23" max="23" width="5" style="647" bestFit="1" customWidth="1"/>
    <col min="24" max="24" width="17" style="647" bestFit="1" customWidth="1"/>
    <col min="25" max="25" width="18.85546875" style="647" bestFit="1" customWidth="1"/>
    <col min="26" max="26" width="21.5703125" style="647" bestFit="1" customWidth="1"/>
    <col min="27" max="27" width="25.7109375" style="647" bestFit="1" customWidth="1"/>
    <col min="28" max="28" width="17" style="647" bestFit="1" customWidth="1"/>
    <col min="29" max="16384" width="9.140625" style="647"/>
  </cols>
  <sheetData>
    <row r="1" spans="1:15" x14ac:dyDescent="0.25">
      <c r="A1" s="647"/>
      <c r="B1" s="647"/>
      <c r="C1" s="647"/>
      <c r="D1" s="647"/>
      <c r="E1" s="647"/>
      <c r="F1" s="647"/>
      <c r="G1" s="647"/>
      <c r="H1" s="647"/>
      <c r="J1" s="647"/>
      <c r="K1" s="647"/>
      <c r="L1" s="647"/>
      <c r="M1" s="647"/>
      <c r="N1" s="647"/>
      <c r="O1" s="647"/>
    </row>
    <row r="2" spans="1:15" x14ac:dyDescent="0.25">
      <c r="A2" s="647"/>
      <c r="B2" s="647"/>
      <c r="C2" s="647"/>
      <c r="D2" s="647"/>
      <c r="E2" s="647"/>
      <c r="F2" s="647"/>
      <c r="G2" s="647"/>
      <c r="H2" s="647"/>
    </row>
    <row r="3" spans="1:15" x14ac:dyDescent="0.25">
      <c r="A3" s="647"/>
      <c r="B3" s="647"/>
      <c r="C3" s="647"/>
      <c r="D3" s="647"/>
      <c r="E3" s="647"/>
      <c r="F3" s="647"/>
      <c r="G3" s="647"/>
      <c r="H3" s="647"/>
    </row>
    <row r="4" spans="1:15" x14ac:dyDescent="0.25">
      <c r="A4" s="647"/>
      <c r="B4" s="647"/>
      <c r="C4" s="647"/>
      <c r="D4" s="647"/>
      <c r="E4" s="647"/>
      <c r="F4" s="647"/>
      <c r="G4" s="647"/>
      <c r="H4" s="647"/>
    </row>
    <row r="5" spans="1:15" x14ac:dyDescent="0.25">
      <c r="A5" s="647"/>
      <c r="B5" s="647"/>
      <c r="C5" s="647"/>
      <c r="D5" s="647"/>
      <c r="E5" s="647"/>
      <c r="F5" s="647"/>
      <c r="G5" s="647"/>
      <c r="H5" s="647"/>
    </row>
    <row r="6" spans="1:15" x14ac:dyDescent="0.25">
      <c r="A6" s="647"/>
      <c r="B6" s="647"/>
      <c r="C6" s="647"/>
      <c r="D6" s="647"/>
      <c r="E6" s="647"/>
      <c r="F6" s="647"/>
      <c r="G6" s="647"/>
      <c r="H6" s="647"/>
    </row>
    <row r="7" spans="1:15" x14ac:dyDescent="0.25">
      <c r="A7" s="647"/>
      <c r="B7" s="647"/>
      <c r="C7" s="647"/>
      <c r="D7" s="647"/>
      <c r="E7" s="647"/>
      <c r="F7" s="647"/>
      <c r="G7" s="647"/>
      <c r="H7" s="647"/>
    </row>
    <row r="8" spans="1:15" x14ac:dyDescent="0.25">
      <c r="A8" s="647"/>
      <c r="B8" s="647"/>
      <c r="C8" s="647"/>
      <c r="D8" s="647"/>
      <c r="E8" s="647"/>
      <c r="F8" s="647"/>
      <c r="G8" s="647"/>
      <c r="H8" s="647"/>
    </row>
    <row r="9" spans="1:15" x14ac:dyDescent="0.25">
      <c r="A9" s="647"/>
      <c r="B9" s="647"/>
      <c r="C9" s="647"/>
      <c r="D9" s="647"/>
      <c r="E9" s="647"/>
      <c r="F9" s="647"/>
      <c r="G9" s="647"/>
      <c r="H9" s="647"/>
    </row>
    <row r="10" spans="1:15" x14ac:dyDescent="0.25">
      <c r="A10" s="647"/>
      <c r="B10" s="647"/>
      <c r="C10" s="647"/>
      <c r="D10" s="647"/>
      <c r="E10" s="647"/>
      <c r="F10" s="647"/>
      <c r="G10" s="647"/>
      <c r="H10" s="647"/>
    </row>
    <row r="11" spans="1:15" x14ac:dyDescent="0.25">
      <c r="A11" s="647"/>
      <c r="B11" s="647"/>
      <c r="C11" s="647"/>
      <c r="D11" s="647"/>
      <c r="E11" s="647"/>
      <c r="F11" s="647"/>
      <c r="G11" s="647"/>
      <c r="H11" s="647"/>
    </row>
    <row r="12" spans="1:15" x14ac:dyDescent="0.25">
      <c r="A12" s="647"/>
      <c r="B12" s="647"/>
      <c r="C12" s="647"/>
      <c r="D12" s="647"/>
      <c r="E12" s="647"/>
      <c r="F12" s="647"/>
      <c r="G12" s="647"/>
      <c r="H12" s="647"/>
    </row>
    <row r="13" spans="1:15" x14ac:dyDescent="0.25">
      <c r="A13" s="647"/>
      <c r="B13" s="647"/>
      <c r="C13" s="647"/>
      <c r="D13" s="647"/>
      <c r="E13" s="647"/>
      <c r="F13" s="647"/>
      <c r="G13" s="647"/>
      <c r="H13" s="647"/>
    </row>
    <row r="14" spans="1:15" x14ac:dyDescent="0.25">
      <c r="A14" s="647"/>
      <c r="B14" s="647"/>
      <c r="C14" s="647"/>
      <c r="D14" s="647"/>
      <c r="E14" s="647"/>
      <c r="F14" s="647"/>
      <c r="G14" s="647"/>
      <c r="H14" s="647"/>
    </row>
    <row r="15" spans="1:15" x14ac:dyDescent="0.25">
      <c r="A15" s="647"/>
      <c r="B15" s="647"/>
      <c r="C15" s="647"/>
      <c r="D15" s="647"/>
      <c r="E15" s="647"/>
      <c r="F15" s="647"/>
      <c r="G15" s="647"/>
      <c r="H15" s="647"/>
    </row>
    <row r="16" spans="1:15" x14ac:dyDescent="0.25">
      <c r="A16" s="647"/>
      <c r="B16" s="647"/>
      <c r="C16" s="647"/>
      <c r="D16" s="647"/>
      <c r="E16" s="647"/>
      <c r="F16" s="647"/>
      <c r="G16" s="647"/>
      <c r="H16" s="647"/>
    </row>
    <row r="17" spans="1:8" x14ac:dyDescent="0.25">
      <c r="A17" s="647"/>
      <c r="B17" s="647"/>
      <c r="C17" s="647"/>
      <c r="D17" s="647"/>
      <c r="E17" s="647"/>
      <c r="F17" s="647"/>
      <c r="G17" s="647"/>
      <c r="H17" s="647"/>
    </row>
    <row r="18" spans="1:8" x14ac:dyDescent="0.25">
      <c r="A18" s="647"/>
      <c r="B18" s="647"/>
      <c r="C18" s="647"/>
      <c r="D18" s="647"/>
      <c r="E18" s="647"/>
      <c r="F18" s="647"/>
      <c r="G18" s="647"/>
      <c r="H18" s="647"/>
    </row>
    <row r="19" spans="1:8" x14ac:dyDescent="0.25">
      <c r="A19" s="647"/>
      <c r="B19" s="647"/>
      <c r="C19" s="647"/>
      <c r="D19" s="647"/>
      <c r="E19" s="647"/>
      <c r="F19" s="647"/>
      <c r="G19" s="647"/>
      <c r="H19" s="647"/>
    </row>
    <row r="20" spans="1:8" x14ac:dyDescent="0.25">
      <c r="A20" s="647"/>
      <c r="B20" s="647"/>
      <c r="C20" s="647"/>
      <c r="D20" s="647"/>
      <c r="E20" s="647"/>
      <c r="F20" s="647"/>
      <c r="G20" s="647"/>
      <c r="H20" s="647"/>
    </row>
    <row r="21" spans="1:8" x14ac:dyDescent="0.25">
      <c r="A21" s="647"/>
      <c r="B21" s="647"/>
      <c r="C21" s="647"/>
      <c r="D21" s="647"/>
      <c r="E21" s="647"/>
      <c r="F21" s="647"/>
      <c r="G21" s="647"/>
      <c r="H21" s="647"/>
    </row>
    <row r="22" spans="1:8" x14ac:dyDescent="0.25">
      <c r="A22" s="647"/>
      <c r="B22" s="647"/>
      <c r="C22" s="647"/>
      <c r="D22" s="647"/>
      <c r="E22" s="647"/>
      <c r="F22" s="647"/>
      <c r="G22" s="647"/>
      <c r="H22" s="647"/>
    </row>
    <row r="23" spans="1:8" x14ac:dyDescent="0.25">
      <c r="A23" s="647"/>
      <c r="B23" s="647"/>
      <c r="C23" s="647"/>
      <c r="D23" s="647"/>
      <c r="E23" s="647"/>
      <c r="F23" s="647"/>
      <c r="G23" s="647"/>
      <c r="H23" s="647"/>
    </row>
    <row r="24" spans="1:8" x14ac:dyDescent="0.25">
      <c r="A24" s="647"/>
      <c r="B24" s="647"/>
      <c r="C24" s="647"/>
      <c r="D24" s="647"/>
      <c r="E24" s="647"/>
      <c r="F24" s="647"/>
      <c r="G24" s="647"/>
      <c r="H24" s="647"/>
    </row>
    <row r="25" spans="1:8" x14ac:dyDescent="0.25">
      <c r="A25" s="647"/>
      <c r="B25" s="647"/>
      <c r="C25" s="647"/>
      <c r="D25" s="647"/>
      <c r="E25" s="647"/>
      <c r="F25" s="647"/>
      <c r="G25" s="647"/>
      <c r="H25" s="647"/>
    </row>
  </sheetData>
  <sheetProtection algorithmName="SHA-512" hashValue="rl+jW/Xhk8j6szv9l9TSO78WT63mU+csZH24mOI2/6yhz6H4ZP0ISPZgfC68EuNo7GZvFHO6qWTTgsE1eDj/JA==" saltValue="zaXpSJe5k7KrZIcOW7cZNw==" spinCount="100000" sheet="1" scenarios="1"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31" sqref="G31"/>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774</v>
      </c>
      <c r="C1" s="359" t="s">
        <v>773</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lgorithmName="SHA-512" hashValue="fKsI8brdxP0Kkiqo3IcP3ELxB3BSVQZKNBe8fAFOe9M3ad/que9+bBnxzzBI+BjTlJXj/P1M0IywOnzRHKAEjA==" saltValue="eUopLkC/bjUQ5um1fQznPQ==" spinCount="100000" sheet="1" scenarios="1"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6" t="s">
        <v>53</v>
      </c>
      <c r="B1" s="583"/>
      <c r="C1" s="583"/>
      <c r="D1" s="583"/>
      <c r="E1" s="33" t="s">
        <v>144</v>
      </c>
      <c r="G1" s="583" t="s">
        <v>65</v>
      </c>
      <c r="H1" s="583"/>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gseLx1s/F+jFjGTtbLyjv+06GJQ8maZ9caAwQXWaUqULieyApTW6Q7HILbkfAlpOx2myob21F7bWYHnJelMAyw==" saltValue="1cNoDCbwGTdt4Yx2BKRBE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2026-03-31T22:36:07Z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