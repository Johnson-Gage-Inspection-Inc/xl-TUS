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F7F297C-1E88-468A-A224-7B45F06D2BE4}"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2" i="71" a="1"/>
  <c r="C2" i="71"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K4" i="95" s="1"/>
  <c r="J5" i="95"/>
  <c r="K5" i="95" s="1"/>
  <c r="J6" i="95"/>
  <c r="K6" i="95" s="1"/>
  <c r="J7" i="95"/>
  <c r="K7" i="95" s="1"/>
  <c r="J8" i="95"/>
  <c r="K8" i="95" s="1"/>
  <c r="J9" i="95"/>
  <c r="K9" i="95" s="1"/>
  <c r="J10" i="95"/>
  <c r="K10" i="95" s="1"/>
  <c r="J11" i="95"/>
  <c r="K11" i="95" s="1"/>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K33" i="95" s="1"/>
  <c r="J34" i="95"/>
  <c r="K34" i="95" s="1"/>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K75" i="95" s="1"/>
  <c r="J76" i="95"/>
  <c r="J77" i="95"/>
  <c r="J78" i="95"/>
  <c r="J79" i="95"/>
  <c r="J80" i="95"/>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K96" i="95" s="1"/>
  <c r="J97" i="95"/>
  <c r="K97" i="95" s="1"/>
  <c r="J98" i="95"/>
  <c r="K98" i="95" s="1"/>
  <c r="J99" i="95"/>
  <c r="K99" i="95" s="1"/>
  <c r="J100" i="95"/>
  <c r="K100" i="95" s="1"/>
  <c r="J101" i="95"/>
  <c r="K101" i="95" s="1"/>
  <c r="J102" i="95"/>
  <c r="K102" i="95" s="1"/>
  <c r="J103" i="95"/>
  <c r="K103" i="95" s="1"/>
  <c r="J104" i="95"/>
  <c r="K104" i="95" s="1"/>
  <c r="J105" i="95"/>
  <c r="K105" i="95" s="1"/>
  <c r="J106" i="95"/>
  <c r="K106" i="95" s="1"/>
  <c r="J107" i="95"/>
  <c r="K107" i="95" s="1"/>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K128" i="95" s="1"/>
  <c r="J129" i="95"/>
  <c r="J130" i="95"/>
  <c r="J131" i="95"/>
  <c r="J132" i="95"/>
  <c r="K132" i="95" s="1"/>
  <c r="J133" i="95"/>
  <c r="K133" i="95" s="1"/>
  <c r="J134" i="95"/>
  <c r="K134" i="95" s="1"/>
  <c r="J135" i="95"/>
  <c r="K135" i="95" s="1"/>
  <c r="J136" i="95"/>
  <c r="K136" i="95" s="1"/>
  <c r="J137" i="95"/>
  <c r="K137" i="95" s="1"/>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K170" i="95" s="1"/>
  <c r="J171" i="95"/>
  <c r="K171" i="95" s="1"/>
  <c r="J172" i="95"/>
  <c r="J173" i="95"/>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K196" i="95" s="1"/>
  <c r="J197" i="95"/>
  <c r="K197" i="95" s="1"/>
  <c r="J198" i="95"/>
  <c r="K198" i="95" s="1"/>
  <c r="J199" i="95"/>
  <c r="K199" i="95" s="1"/>
  <c r="J200" i="95"/>
  <c r="K200" i="95" s="1"/>
  <c r="J201" i="95"/>
  <c r="K201" i="95" s="1"/>
  <c r="J202" i="95"/>
  <c r="K202" i="95" s="1"/>
  <c r="J203" i="95"/>
  <c r="K203" i="95" s="1"/>
  <c r="J204" i="95"/>
  <c r="J205" i="95"/>
  <c r="J206" i="95"/>
  <c r="J207" i="95"/>
  <c r="J208" i="95"/>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K234" i="95" s="1"/>
  <c r="J235" i="95"/>
  <c r="K235" i="95" s="1"/>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K257" i="95" s="1"/>
  <c r="J258" i="95"/>
  <c r="J259" i="95"/>
  <c r="J260" i="95"/>
  <c r="K260" i="95" s="1"/>
  <c r="J261" i="95"/>
  <c r="K261" i="95" s="1"/>
  <c r="J262" i="95"/>
  <c r="K262" i="95" s="1"/>
  <c r="J263" i="95"/>
  <c r="K263" i="95" s="1"/>
  <c r="J264" i="95"/>
  <c r="K264" i="95" s="1"/>
  <c r="J265" i="95"/>
  <c r="K265" i="95" s="1"/>
  <c r="J266" i="95"/>
  <c r="K266" i="95" s="1"/>
  <c r="J267" i="95"/>
  <c r="K267" i="95" s="1"/>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K299" i="95" s="1"/>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K325" i="95" s="1"/>
  <c r="J326" i="95"/>
  <c r="K326" i="95" s="1"/>
  <c r="J327" i="95"/>
  <c r="K327" i="95" s="1"/>
  <c r="J328" i="95"/>
  <c r="K328" i="95" s="1"/>
  <c r="J329" i="95"/>
  <c r="K329" i="95" s="1"/>
  <c r="J330" i="95"/>
  <c r="K330" i="95" s="1"/>
  <c r="J331" i="95"/>
  <c r="K331" i="95" s="1"/>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J398" i="95"/>
  <c r="J399" i="95"/>
  <c r="J400" i="95"/>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K2" i="95"/>
  <c r="K3" i="95"/>
  <c r="K12" i="95"/>
  <c r="K13" i="95"/>
  <c r="K14" i="95"/>
  <c r="K15" i="95"/>
  <c r="K16" i="95"/>
  <c r="K17" i="95"/>
  <c r="K26" i="95"/>
  <c r="K27" i="95"/>
  <c r="K28" i="95"/>
  <c r="K29" i="95"/>
  <c r="K30" i="95"/>
  <c r="K31" i="95"/>
  <c r="K32" i="95"/>
  <c r="K58" i="95"/>
  <c r="K59" i="95"/>
  <c r="K60" i="95"/>
  <c r="K61" i="95"/>
  <c r="K62" i="95"/>
  <c r="K63" i="95"/>
  <c r="K64" i="95"/>
  <c r="K65" i="95"/>
  <c r="K66" i="95"/>
  <c r="K76" i="95"/>
  <c r="K77" i="95"/>
  <c r="K78" i="95"/>
  <c r="K79" i="95"/>
  <c r="K80" i="95"/>
  <c r="K90" i="95"/>
  <c r="K91" i="95"/>
  <c r="K92" i="95"/>
  <c r="K93" i="95"/>
  <c r="K94" i="95"/>
  <c r="K95" i="95"/>
  <c r="K108" i="95"/>
  <c r="K109" i="95"/>
  <c r="K122" i="95"/>
  <c r="K123" i="95"/>
  <c r="K124" i="95"/>
  <c r="K125" i="95"/>
  <c r="K126" i="95"/>
  <c r="K127" i="95"/>
  <c r="K129" i="95"/>
  <c r="K130" i="95"/>
  <c r="K131" i="95"/>
  <c r="K138" i="95"/>
  <c r="K140" i="95"/>
  <c r="K141" i="95"/>
  <c r="K142" i="95"/>
  <c r="K143" i="95"/>
  <c r="K144" i="95"/>
  <c r="K154" i="95"/>
  <c r="K155" i="95"/>
  <c r="K156" i="95"/>
  <c r="K157" i="95"/>
  <c r="K159" i="95"/>
  <c r="K172" i="95"/>
  <c r="K173" i="95"/>
  <c r="K174" i="95"/>
  <c r="K175" i="95"/>
  <c r="K186" i="95"/>
  <c r="K187" i="95"/>
  <c r="K188" i="95"/>
  <c r="K189" i="95"/>
  <c r="K190" i="95"/>
  <c r="K191" i="95"/>
  <c r="K192" i="95"/>
  <c r="K193" i="95"/>
  <c r="K194" i="95"/>
  <c r="K195" i="95"/>
  <c r="K204" i="95"/>
  <c r="K205" i="95"/>
  <c r="K206" i="95"/>
  <c r="K207" i="95"/>
  <c r="K208" i="95"/>
  <c r="K218" i="95"/>
  <c r="K220" i="95"/>
  <c r="K223" i="95"/>
  <c r="K236" i="95"/>
  <c r="K250" i="95"/>
  <c r="K251" i="95"/>
  <c r="K252" i="95"/>
  <c r="K253" i="95"/>
  <c r="K254" i="95"/>
  <c r="K255" i="95"/>
  <c r="K258" i="95"/>
  <c r="K259" i="95"/>
  <c r="K268" i="95"/>
  <c r="K269" i="95"/>
  <c r="K270" i="95"/>
  <c r="K271" i="95"/>
  <c r="K272" i="95"/>
  <c r="K282" i="95"/>
  <c r="K283" i="95"/>
  <c r="K284" i="95"/>
  <c r="K285" i="95"/>
  <c r="K286" i="95"/>
  <c r="K287" i="95"/>
  <c r="K300" i="95"/>
  <c r="K301" i="95"/>
  <c r="K314" i="95"/>
  <c r="K315" i="95"/>
  <c r="K316" i="95"/>
  <c r="K317" i="95"/>
  <c r="K322" i="95"/>
  <c r="K323" i="95"/>
  <c r="K332" i="95"/>
  <c r="K333" i="95"/>
  <c r="K334" i="95"/>
  <c r="K335" i="95"/>
  <c r="K336" i="95"/>
  <c r="K346" i="95"/>
  <c r="K347" i="95"/>
  <c r="K348" i="95"/>
  <c r="K349" i="95"/>
  <c r="K350" i="95"/>
  <c r="K351" i="95"/>
  <c r="K378" i="95"/>
  <c r="K379" i="95"/>
  <c r="K380" i="95"/>
  <c r="K381" i="95"/>
  <c r="K382" i="95"/>
  <c r="K383" i="95"/>
  <c r="K384" i="95"/>
  <c r="K385" i="95"/>
  <c r="K396" i="95"/>
  <c r="K397" i="95"/>
  <c r="K398" i="95"/>
  <c r="K399" i="95"/>
  <c r="K400" i="95"/>
  <c r="K401" i="95"/>
  <c r="K410" i="95"/>
  <c r="K411" i="95"/>
  <c r="K412" i="95"/>
  <c r="K413" i="95"/>
  <c r="K414" i="95"/>
  <c r="K415" i="95"/>
  <c r="L2" i="95"/>
  <c r="M2" i="95" s="1"/>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L94" i="95"/>
  <c r="L95" i="95"/>
  <c r="L96" i="95"/>
  <c r="L97" i="95"/>
  <c r="L98" i="95"/>
  <c r="M98" i="95" s="1"/>
  <c r="L99" i="95"/>
  <c r="M99" i="95" s="1"/>
  <c r="L100" i="95"/>
  <c r="M100" i="95" s="1"/>
  <c r="L101" i="95"/>
  <c r="M101" i="95" s="1"/>
  <c r="L102" i="95"/>
  <c r="M102" i="95" s="1"/>
  <c r="L103" i="95"/>
  <c r="M103" i="95" s="1"/>
  <c r="L104" i="95"/>
  <c r="M104" i="95" s="1"/>
  <c r="L105" i="95"/>
  <c r="M105" i="95" s="1"/>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M142" i="95" s="1"/>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M276" i="95" s="1"/>
  <c r="L277" i="95"/>
  <c r="M277" i="95" s="1"/>
  <c r="L278" i="95"/>
  <c r="M278" i="95" s="1"/>
  <c r="L279" i="95"/>
  <c r="M279" i="95" s="1"/>
  <c r="L280" i="95"/>
  <c r="M280" i="95" s="1"/>
  <c r="L281" i="95"/>
  <c r="M281" i="95" s="1"/>
  <c r="L282" i="95"/>
  <c r="M282" i="95" s="1"/>
  <c r="L283" i="95"/>
  <c r="M283" i="95" s="1"/>
  <c r="L284" i="95"/>
  <c r="M284" i="95" s="1"/>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M397" i="95" s="1"/>
  <c r="L398" i="95"/>
  <c r="M398" i="95" s="1"/>
  <c r="L399" i="95"/>
  <c r="L400" i="95"/>
  <c r="L401" i="95"/>
  <c r="L402" i="95"/>
  <c r="L403" i="95"/>
  <c r="L404" i="95"/>
  <c r="M404" i="95" s="1"/>
  <c r="L405" i="95"/>
  <c r="M405" i="95" s="1"/>
  <c r="L406" i="95"/>
  <c r="M406" i="95" s="1"/>
  <c r="L407" i="95"/>
  <c r="M407" i="95" s="1"/>
  <c r="L408" i="95"/>
  <c r="M408" i="95" s="1"/>
  <c r="L409" i="95"/>
  <c r="M409" i="95" s="1"/>
  <c r="L410" i="95"/>
  <c r="M410" i="95" s="1"/>
  <c r="L411" i="95"/>
  <c r="M411" i="95" s="1"/>
  <c r="L412" i="95"/>
  <c r="L413" i="95"/>
  <c r="L414" i="95"/>
  <c r="L415" i="95"/>
  <c r="L416" i="95"/>
  <c r="L417" i="95"/>
  <c r="L418" i="95"/>
  <c r="M418" i="95" s="1"/>
  <c r="L419" i="95"/>
  <c r="M419" i="95" s="1"/>
  <c r="L420" i="95"/>
  <c r="M420" i="95" s="1"/>
  <c r="L421" i="95"/>
  <c r="M421" i="95" s="1"/>
  <c r="L422" i="95"/>
  <c r="M422" i="95" s="1"/>
  <c r="L423" i="95"/>
  <c r="M423" i="95" s="1"/>
  <c r="L424" i="95"/>
  <c r="M424" i="95" s="1"/>
  <c r="L425" i="95"/>
  <c r="M425" i="95" s="1"/>
  <c r="M11" i="95"/>
  <c r="M12" i="95"/>
  <c r="M13" i="95"/>
  <c r="M14" i="95"/>
  <c r="M15" i="95"/>
  <c r="M16" i="95"/>
  <c r="M17" i="95"/>
  <c r="M18" i="95"/>
  <c r="M19" i="95"/>
  <c r="M29" i="95"/>
  <c r="M30" i="95"/>
  <c r="M31" i="95"/>
  <c r="M32" i="95"/>
  <c r="M42" i="95"/>
  <c r="M43" i="95"/>
  <c r="M44" i="95"/>
  <c r="M45" i="95"/>
  <c r="M61" i="95"/>
  <c r="M62" i="95"/>
  <c r="M63" i="95"/>
  <c r="M64" i="95"/>
  <c r="M65" i="95"/>
  <c r="M79" i="95"/>
  <c r="M93" i="95"/>
  <c r="M94" i="95"/>
  <c r="M95" i="95"/>
  <c r="M96" i="95"/>
  <c r="M97" i="95"/>
  <c r="M106" i="95"/>
  <c r="M107" i="95"/>
  <c r="M125" i="95"/>
  <c r="M126" i="95"/>
  <c r="M127" i="95"/>
  <c r="M128" i="95"/>
  <c r="M129" i="95"/>
  <c r="M138" i="95"/>
  <c r="M139" i="95"/>
  <c r="M140" i="95"/>
  <c r="M141" i="95"/>
  <c r="M143" i="95"/>
  <c r="M144" i="95"/>
  <c r="M145" i="95"/>
  <c r="M146" i="95"/>
  <c r="M147" i="95"/>
  <c r="M157" i="95"/>
  <c r="M158" i="95"/>
  <c r="M159" i="95"/>
  <c r="M160" i="95"/>
  <c r="M161" i="95"/>
  <c r="M170" i="95"/>
  <c r="M171" i="95"/>
  <c r="M189" i="95"/>
  <c r="M190" i="95"/>
  <c r="M191" i="95"/>
  <c r="M192" i="95"/>
  <c r="M202" i="95"/>
  <c r="M203" i="95"/>
  <c r="M204" i="95"/>
  <c r="M205" i="95"/>
  <c r="M206" i="95"/>
  <c r="M207" i="95"/>
  <c r="M208" i="95"/>
  <c r="M209" i="95"/>
  <c r="M210" i="95"/>
  <c r="M211" i="95"/>
  <c r="M221" i="95"/>
  <c r="M222" i="95"/>
  <c r="M223" i="95"/>
  <c r="M224" i="95"/>
  <c r="M225" i="95"/>
  <c r="M234" i="95"/>
  <c r="M235" i="95"/>
  <c r="M236" i="95"/>
  <c r="M253" i="95"/>
  <c r="M254" i="95"/>
  <c r="M255" i="95"/>
  <c r="M256" i="95"/>
  <c r="M257" i="95"/>
  <c r="M266" i="95"/>
  <c r="M267" i="95"/>
  <c r="M268" i="95"/>
  <c r="M269" i="95"/>
  <c r="M270" i="95"/>
  <c r="M271" i="95"/>
  <c r="M272" i="95"/>
  <c r="M273" i="95"/>
  <c r="M274" i="95"/>
  <c r="M275" i="95"/>
  <c r="M285" i="95"/>
  <c r="M286" i="95"/>
  <c r="M287" i="95"/>
  <c r="M288" i="95"/>
  <c r="M289" i="95"/>
  <c r="M298" i="95"/>
  <c r="M299" i="95"/>
  <c r="M300" i="95"/>
  <c r="M317" i="95"/>
  <c r="M318" i="95"/>
  <c r="M319" i="95"/>
  <c r="M320" i="95"/>
  <c r="M321" i="95"/>
  <c r="M330" i="95"/>
  <c r="M331" i="95"/>
  <c r="M332" i="95"/>
  <c r="M333" i="95"/>
  <c r="M334" i="95"/>
  <c r="M335" i="95"/>
  <c r="M336" i="95"/>
  <c r="M337" i="95"/>
  <c r="M338" i="95"/>
  <c r="M339" i="95"/>
  <c r="M348" i="95"/>
  <c r="M349" i="95"/>
  <c r="M350" i="95"/>
  <c r="M351" i="95"/>
  <c r="M352" i="95"/>
  <c r="M353" i="95"/>
  <c r="M381" i="95"/>
  <c r="M382" i="95"/>
  <c r="M383" i="95"/>
  <c r="M384" i="95"/>
  <c r="M385" i="95"/>
  <c r="M394" i="95"/>
  <c r="M395" i="95"/>
  <c r="M399" i="95"/>
  <c r="M400" i="95"/>
  <c r="M401" i="95"/>
  <c r="M402" i="95"/>
  <c r="M403" i="95"/>
  <c r="M412" i="95"/>
  <c r="M413" i="95"/>
  <c r="M414" i="95"/>
  <c r="M415"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O23" i="74"/>
  <c r="P23" i="74" s="1"/>
  <c r="O24" i="74"/>
  <c r="P24" i="74" s="1"/>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O19" i="74"/>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5" i="74"/>
  <c r="P18" i="74"/>
  <c r="P19"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F30" i="8" l="1"/>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<sst xmlns="http://schemas.openxmlformats.org/spreadsheetml/2006/main" count="1343" uniqueCount="774">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</sst>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74"/>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72"/>
    <tableColumn id="4" xr3:uid="{04C8F569-A520-43B3-A7E7-E09CFF80F449}" uniqueName="4" name="service_date" queryTableFieldId="4" dataDxfId="7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79" dataDxfId="78">
  <autoFilter ref="A1:H25" xr:uid="{FA779040-C31C-471C-8328-05373E52699D}"/>
  <tableColumns count="8">
    <tableColumn id="29" xr3:uid="{9CA2ECB0-FD2B-46CE-B9E0-401FA597A18A}" uniqueName="29" name="asset_id" queryTableFieldId="29" dataDxfId="70" dataCellStyle="Normal 5"/>
    <tableColumn id="22" xr3:uid="{A5EA559D-5224-4583-9A43-B47439078CA1}" uniqueName="22" name="asset_tag" queryTableFieldId="22" dataDxfId="69" dataCellStyle="Normal 5"/>
    <tableColumn id="24" xr3:uid="{8DBBB763-1A78-4DCD-8200-8E69D481AF34}" uniqueName="24" name="certificate_number" queryTableFieldId="24" dataDxfId="68" dataCellStyle="Normal 5"/>
    <tableColumn id="23" xr3:uid="{7AB8F791-1519-4425-BD12-A72F2C4977C2}" uniqueName="23" name="serial_number" queryTableFieldId="23" dataDxfId="67" dataCellStyle="Normal 5"/>
    <tableColumn id="25" xr3:uid="{5F01AA16-2DC7-4474-BC41-91CA4EC14EBA}" uniqueName="25" name="service_date" queryTableFieldId="25" dataDxfId="66" dataCellStyle="Normal 5"/>
    <tableColumn id="26" xr3:uid="{4F1AE608-7AC1-4C9D-8198-1A708CCAC701}" uniqueName="26" name="traceability_number" queryTableFieldId="26" dataDxfId="65" dataCellStyle="Normal 5"/>
    <tableColumn id="27" xr3:uid="{28A300D7-6887-427A-AD68-0B621A919025}" uniqueName="27" name="wire_roll_cert_number" queryTableFieldId="27" dataDxfId="64" dataCellStyle="Normal 5"/>
    <tableColumn id="28" xr3:uid="{0282DC9A-51B0-4CC4-8B6E-41941531A4ED}" uniqueName="28" name="wire_set_group" queryTableFieldId="28" dataDxfId="63"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77" dataDxfId="7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sortState xmlns:xlrd2="http://schemas.microsoft.com/office/spreadsheetml/2017/richdata2" ref="A4:J5">
    <sortCondition ref="D3:D5"/>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G26" sqref="G26"/>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N2</v>
      </c>
      <c r="N1370" s="456"/>
      <c r="O1370"/>
      <c r="Z1370" s="460"/>
      <c r="AA1370" s="194"/>
      <c r="AB1370"/>
      <c r="AG1370" s="69"/>
      <c r="AH1370"/>
    </row>
    <row r="1371" spans="1:34" x14ac:dyDescent="0.2">
      <c r="A1371"/>
      <c r="B1371"/>
      <c r="C1371"/>
      <c r="D1371"/>
      <c r="E1371"/>
      <c r="F1371" t="str">
        <f>LEFT(AllDaqbookOffsets[[#This Row],[traceability_no]],2)</f>
        <v>N2</v>
      </c>
      <c r="N1371" s="456"/>
      <c r="O1371"/>
      <c r="Z1371" s="460"/>
      <c r="AA1371" s="194"/>
      <c r="AB1371"/>
      <c r="AG1371" s="69"/>
      <c r="AH1371"/>
    </row>
    <row r="1372" spans="1:34" x14ac:dyDescent="0.2">
      <c r="A1372"/>
      <c r="B1372"/>
      <c r="C1372"/>
      <c r="D1372"/>
      <c r="E1372"/>
      <c r="F1372" t="str">
        <f>LEFT(AllDaqbookOffsets[[#This Row],[traceability_no]],2)</f>
        <v>N2</v>
      </c>
      <c r="N1372" s="456"/>
      <c r="O1372"/>
      <c r="Z1372" s="460"/>
      <c r="AA1372" s="194"/>
      <c r="AB1372"/>
      <c r="AG1372" s="69"/>
      <c r="AH1372"/>
    </row>
    <row r="1373" spans="1:34" x14ac:dyDescent="0.2">
      <c r="A1373"/>
      <c r="B1373"/>
      <c r="C1373"/>
      <c r="D1373"/>
      <c r="E1373"/>
      <c r="F1373" t="str">
        <f>LEFT(AllDaqbookOffsets[[#This Row],[traceability_no]],2)</f>
        <v>N2</v>
      </c>
      <c r="N1373" s="456"/>
      <c r="O1373"/>
      <c r="Z1373" s="460"/>
      <c r="AA1373" s="194"/>
      <c r="AB1373"/>
      <c r="AG1373" s="69"/>
      <c r="AH1373"/>
    </row>
    <row r="1374" spans="1:34" x14ac:dyDescent="0.2">
      <c r="A1374"/>
      <c r="B1374"/>
      <c r="C1374"/>
      <c r="D1374"/>
      <c r="E1374"/>
      <c r="F1374" t="str">
        <f>LEFT(AllDaqbookOffsets[[#This Row],[traceability_no]],2)</f>
        <v>N2</v>
      </c>
      <c r="N1374" s="456"/>
      <c r="O1374"/>
      <c r="Z1374" s="460"/>
      <c r="AA1374" s="194"/>
      <c r="AB1374"/>
      <c r="AG1374" s="69"/>
      <c r="AH1374"/>
    </row>
    <row r="1375" spans="1:34" x14ac:dyDescent="0.2">
      <c r="A1375"/>
      <c r="B1375"/>
      <c r="C1375"/>
      <c r="D1375"/>
      <c r="E1375"/>
      <c r="F1375" t="str">
        <f>LEFT(AllDaqbookOffsets[[#This Row],[traceability_no]],2)</f>
        <v>N2</v>
      </c>
      <c r="N1375" s="456"/>
      <c r="O1375"/>
      <c r="Z1375" s="460"/>
      <c r="AA1375" s="194"/>
      <c r="AB1375"/>
      <c r="AG1375" s="69"/>
      <c r="AH1375"/>
    </row>
    <row r="1376" spans="1:34" x14ac:dyDescent="0.2">
      <c r="A1376"/>
      <c r="B1376"/>
      <c r="C1376"/>
      <c r="D1376"/>
      <c r="E1376"/>
      <c r="F1376" t="str">
        <f>LEFT(AllDaqbookOffsets[[#This Row],[traceability_no]],2)</f>
        <v>N2</v>
      </c>
      <c r="N1376" s="456"/>
      <c r="O1376"/>
      <c r="Z1376" s="460"/>
      <c r="AA1376" s="194"/>
      <c r="AB1376"/>
      <c r="AG1376" s="69"/>
      <c r="AH1376"/>
    </row>
    <row r="1377" spans="1:34" x14ac:dyDescent="0.2">
      <c r="A1377"/>
      <c r="B1377"/>
      <c r="C1377"/>
      <c r="D1377"/>
      <c r="E1377"/>
      <c r="F1377" t="str">
        <f>LEFT(AllDaqbookOffsets[[#This Row],[traceability_no]],2)</f>
        <v>N2</v>
      </c>
      <c r="N1377" s="456"/>
      <c r="O1377"/>
      <c r="Z1377" s="460"/>
      <c r="AA1377" s="194"/>
      <c r="AB1377"/>
      <c r="AG1377" s="69"/>
      <c r="AH1377"/>
    </row>
    <row r="1378" spans="1:34" x14ac:dyDescent="0.2">
      <c r="A1378"/>
      <c r="B1378"/>
      <c r="C1378"/>
      <c r="D1378"/>
      <c r="E1378"/>
      <c r="F1378" t="str">
        <f>LEFT(AllDaqbookOffsets[[#This Row],[traceability_no]],2)</f>
        <v>N2</v>
      </c>
      <c r="N1378" s="456"/>
      <c r="O1378"/>
      <c r="Z1378" s="460"/>
      <c r="AA1378" s="194"/>
      <c r="AB1378"/>
      <c r="AG1378" s="69"/>
      <c r="AH1378"/>
    </row>
    <row r="1379" spans="1:34" x14ac:dyDescent="0.2">
      <c r="A1379"/>
      <c r="B1379"/>
      <c r="C1379"/>
      <c r="D1379"/>
      <c r="E1379"/>
      <c r="F1379" t="str">
        <f>LEFT(AllDaqbookOffsets[[#This Row],[traceability_no]],2)</f>
        <v>N2</v>
      </c>
      <c r="N1379" s="456"/>
      <c r="O1379"/>
      <c r="Z1379" s="460"/>
      <c r="AA1379" s="194"/>
      <c r="AB1379"/>
      <c r="AG1379" s="69"/>
      <c r="AH1379"/>
    </row>
    <row r="1380" spans="1:34" x14ac:dyDescent="0.2">
      <c r="A1380"/>
      <c r="B1380"/>
      <c r="C1380"/>
      <c r="D1380"/>
      <c r="E1380"/>
      <c r="F1380" t="str">
        <f>LEFT(AllDaqbookOffsets[[#This Row],[traceability_no]],2)</f>
        <v>N2</v>
      </c>
      <c r="N1380" s="456"/>
      <c r="O1380"/>
      <c r="Z1380" s="460"/>
      <c r="AA1380" s="194"/>
      <c r="AB1380"/>
      <c r="AG1380" s="69"/>
      <c r="AH1380"/>
    </row>
    <row r="1381" spans="1:34" x14ac:dyDescent="0.2">
      <c r="A1381"/>
      <c r="B1381"/>
      <c r="C1381"/>
      <c r="D1381"/>
      <c r="E1381"/>
      <c r="F1381" t="str">
        <f>LEFT(AllDaqbookOffsets[[#This Row],[traceability_no]],2)</f>
        <v>N2</v>
      </c>
      <c r="N1381" s="456"/>
      <c r="O1381"/>
      <c r="Z1381" s="460"/>
      <c r="AA1381" s="194"/>
      <c r="AB1381"/>
      <c r="AG1381" s="69"/>
      <c r="AH1381"/>
    </row>
    <row r="1382" spans="1:34" x14ac:dyDescent="0.2">
      <c r="A1382"/>
      <c r="B1382"/>
      <c r="C1382"/>
      <c r="D1382"/>
      <c r="E1382"/>
      <c r="F1382" t="str">
        <f>LEFT(AllDaqbookOffsets[[#This Row],[traceability_no]],2)</f>
        <v>N2</v>
      </c>
      <c r="N1382" s="456"/>
      <c r="O1382"/>
      <c r="Z1382" s="460"/>
      <c r="AA1382" s="194"/>
      <c r="AB1382"/>
      <c r="AG1382" s="69"/>
      <c r="AH1382"/>
    </row>
    <row r="1383" spans="1:34" x14ac:dyDescent="0.2">
      <c r="A1383"/>
      <c r="B1383"/>
      <c r="C1383"/>
      <c r="D1383"/>
      <c r="E1383"/>
      <c r="F1383" t="str">
        <f>LEFT(AllDaqbookOffsets[[#This Row],[traceability_no]],2)</f>
        <v>N2</v>
      </c>
      <c r="N1383" s="456"/>
      <c r="O1383"/>
      <c r="Z1383" s="460"/>
      <c r="AA1383" s="194"/>
      <c r="AB1383"/>
      <c r="AG1383" s="69"/>
      <c r="AH1383"/>
    </row>
    <row r="1384" spans="1:34" x14ac:dyDescent="0.2">
      <c r="A1384"/>
      <c r="B1384"/>
      <c r="C1384"/>
      <c r="D1384"/>
      <c r="E1384"/>
      <c r="F1384" t="str">
        <f>LEFT(AllDaqbookOffsets[[#This Row],[traceability_no]],2)</f>
        <v>N2</v>
      </c>
      <c r="N1384" s="456"/>
      <c r="O1384"/>
      <c r="Z1384" s="460"/>
      <c r="AA1384" s="194"/>
      <c r="AB1384"/>
      <c r="AG1384" s="69"/>
      <c r="AH1384"/>
    </row>
    <row r="1385" spans="1:34" x14ac:dyDescent="0.2">
      <c r="A1385"/>
      <c r="B1385"/>
      <c r="C1385"/>
      <c r="D1385"/>
      <c r="E1385"/>
      <c r="F1385" t="str">
        <f>LEFT(AllDaqbookOffsets[[#This Row],[traceability_no]],2)</f>
        <v>N2</v>
      </c>
      <c r="N1385" s="456"/>
      <c r="O1385"/>
      <c r="Z1385" s="460"/>
      <c r="AA1385" s="194"/>
      <c r="AB1385"/>
      <c r="AG1385" s="69"/>
      <c r="AH1385"/>
    </row>
    <row r="1386" spans="1:34" x14ac:dyDescent="0.2">
      <c r="A1386"/>
      <c r="B1386"/>
      <c r="C1386"/>
      <c r="D1386"/>
      <c r="E1386"/>
      <c r="F1386" t="str">
        <f>LEFT(AllDaqbookOffsets[[#This Row],[traceability_no]],2)</f>
        <v>N2</v>
      </c>
      <c r="N1386" s="456"/>
      <c r="O1386"/>
      <c r="Z1386" s="460"/>
      <c r="AA1386" s="194"/>
      <c r="AB1386"/>
      <c r="AG1386" s="69"/>
      <c r="AH1386"/>
    </row>
    <row r="1387" spans="1:34" x14ac:dyDescent="0.2">
      <c r="A1387"/>
      <c r="B1387"/>
      <c r="C1387"/>
      <c r="D1387"/>
      <c r="E1387"/>
      <c r="F1387" t="str">
        <f>LEFT(AllDaqbookOffsets[[#This Row],[traceability_no]],2)</f>
        <v>N2</v>
      </c>
      <c r="N1387" s="456"/>
      <c r="O1387"/>
      <c r="Z1387" s="460"/>
      <c r="AA1387" s="194"/>
      <c r="AB1387"/>
      <c r="AG1387" s="69"/>
      <c r="AH1387"/>
    </row>
    <row r="1388" spans="1:34" x14ac:dyDescent="0.2">
      <c r="A1388"/>
      <c r="B1388"/>
      <c r="C1388"/>
      <c r="D1388"/>
      <c r="E1388"/>
      <c r="F1388" t="str">
        <f>LEFT(AllDaqbookOffsets[[#This Row],[traceability_no]],2)</f>
        <v>N2</v>
      </c>
      <c r="N1388" s="456"/>
      <c r="O1388"/>
      <c r="Z1388" s="460"/>
      <c r="AA1388" s="194"/>
      <c r="AB1388"/>
      <c r="AG1388" s="69"/>
      <c r="AH1388"/>
    </row>
    <row r="1389" spans="1:34" x14ac:dyDescent="0.2">
      <c r="A1389"/>
      <c r="B1389"/>
      <c r="C1389"/>
      <c r="D1389"/>
      <c r="E1389"/>
      <c r="F1389" t="str">
        <f>LEFT(AllDaqbookOffsets[[#This Row],[traceability_no]],2)</f>
        <v>N2</v>
      </c>
      <c r="N1389" s="456"/>
      <c r="O1389"/>
      <c r="Z1389" s="460"/>
      <c r="AA1389" s="194"/>
      <c r="AB1389"/>
      <c r="AG1389" s="69"/>
      <c r="AH1389"/>
    </row>
    <row r="1390" spans="1:34" x14ac:dyDescent="0.2">
      <c r="A1390"/>
      <c r="B1390"/>
      <c r="C1390"/>
      <c r="D1390"/>
      <c r="E1390"/>
      <c r="F1390" t="str">
        <f>LEFT(AllDaqbookOffsets[[#This Row],[traceability_no]],2)</f>
        <v>N2</v>
      </c>
      <c r="N1390" s="456"/>
      <c r="O1390"/>
      <c r="Z1390" s="460"/>
      <c r="AA1390" s="194"/>
      <c r="AB1390"/>
      <c r="AG1390" s="69"/>
      <c r="AH1390"/>
    </row>
    <row r="1391" spans="1:34" x14ac:dyDescent="0.2">
      <c r="A1391"/>
      <c r="B1391"/>
      <c r="C1391"/>
      <c r="D1391"/>
      <c r="E1391"/>
      <c r="F1391" t="str">
        <f>LEFT(AllDaqbookOffsets[[#This Row],[traceability_no]],2)</f>
        <v>N2</v>
      </c>
      <c r="N1391" s="456"/>
      <c r="O1391"/>
      <c r="Z1391" s="460"/>
      <c r="AA1391" s="194"/>
      <c r="AB1391"/>
      <c r="AG1391" s="69"/>
      <c r="AH1391"/>
    </row>
    <row r="1392" spans="1:34" x14ac:dyDescent="0.2">
      <c r="A1392"/>
      <c r="B1392"/>
      <c r="C1392"/>
      <c r="D1392"/>
      <c r="E1392"/>
      <c r="F1392" t="str">
        <f>LEFT(AllDaqbookOffsets[[#This Row],[traceability_no]],2)</f>
        <v>N2</v>
      </c>
      <c r="N1392" s="456"/>
      <c r="O1392"/>
      <c r="Z1392" s="460"/>
      <c r="AA1392" s="194"/>
      <c r="AB1392"/>
      <c r="AG1392" s="69"/>
      <c r="AH1392"/>
    </row>
    <row r="1393" spans="1:34" x14ac:dyDescent="0.2">
      <c r="A1393"/>
      <c r="B1393"/>
      <c r="C1393"/>
      <c r="D1393"/>
      <c r="E1393"/>
      <c r="F1393" t="str">
        <f>LEFT(AllDaqbookOffsets[[#This Row],[traceability_no]],2)</f>
        <v>N2</v>
      </c>
      <c r="N1393" s="456"/>
      <c r="O1393"/>
      <c r="Z1393" s="460"/>
      <c r="AA1393" s="194"/>
      <c r="AB1393"/>
      <c r="AG1393" s="69"/>
      <c r="AH1393"/>
    </row>
    <row r="1394" spans="1:34" x14ac:dyDescent="0.2">
      <c r="A1394"/>
      <c r="B1394"/>
      <c r="C1394"/>
      <c r="D1394"/>
      <c r="E1394"/>
      <c r="F1394" t="str">
        <f>LEFT(AllDaqbookOffsets[[#This Row],[traceability_no]],2)</f>
        <v>N2</v>
      </c>
      <c r="N1394" s="456"/>
      <c r="O1394"/>
      <c r="Z1394" s="460"/>
      <c r="AA1394" s="194"/>
      <c r="AB1394"/>
      <c r="AG1394" s="69"/>
      <c r="AH1394"/>
    </row>
    <row r="1395" spans="1:34" x14ac:dyDescent="0.2">
      <c r="A1395"/>
      <c r="B1395"/>
      <c r="C1395"/>
      <c r="D1395"/>
      <c r="E1395"/>
      <c r="F1395" t="str">
        <f>LEFT(AllDaqbookOffsets[[#This Row],[traceability_no]],2)</f>
        <v>N2</v>
      </c>
      <c r="N1395" s="456"/>
      <c r="O1395"/>
      <c r="Z1395" s="460"/>
      <c r="AA1395" s="194"/>
      <c r="AB1395"/>
      <c r="AG1395" s="69"/>
      <c r="AH1395"/>
    </row>
    <row r="1396" spans="1:34" x14ac:dyDescent="0.2">
      <c r="A1396"/>
      <c r="B1396"/>
      <c r="C1396"/>
      <c r="D1396"/>
      <c r="E1396"/>
      <c r="F1396" t="str">
        <f>LEFT(AllDaqbookOffsets[[#This Row],[traceability_no]],2)</f>
        <v>N2</v>
      </c>
      <c r="N1396" s="456"/>
      <c r="O1396"/>
      <c r="Z1396" s="460"/>
      <c r="AA1396" s="194"/>
      <c r="AB1396"/>
      <c r="AG1396" s="69"/>
      <c r="AH1396"/>
    </row>
    <row r="1397" spans="1:34" x14ac:dyDescent="0.2">
      <c r="A1397"/>
      <c r="B1397"/>
      <c r="C1397"/>
      <c r="D1397"/>
      <c r="E1397"/>
      <c r="F1397" t="str">
        <f>LEFT(AllDaqbookOffsets[[#This Row],[traceability_no]],2)</f>
        <v>N2</v>
      </c>
      <c r="N1397" s="456"/>
      <c r="O1397"/>
      <c r="Z1397" s="460"/>
      <c r="AA1397" s="194"/>
      <c r="AB1397"/>
      <c r="AG1397" s="69"/>
      <c r="AH1397"/>
    </row>
    <row r="1398" spans="1:34" x14ac:dyDescent="0.2">
      <c r="A1398"/>
      <c r="B1398"/>
      <c r="C1398"/>
      <c r="D1398"/>
      <c r="E1398"/>
      <c r="F1398" t="str">
        <f>LEFT(AllDaqbookOffsets[[#This Row],[traceability_no]],2)</f>
        <v>N2</v>
      </c>
      <c r="N1398" s="456"/>
      <c r="O1398"/>
      <c r="Z1398" s="460"/>
      <c r="AA1398" s="194"/>
      <c r="AB1398"/>
      <c r="AG1398" s="69"/>
      <c r="AH1398"/>
    </row>
    <row r="1399" spans="1:34" x14ac:dyDescent="0.2">
      <c r="A1399"/>
      <c r="B1399"/>
      <c r="C1399"/>
      <c r="D1399"/>
      <c r="E1399"/>
      <c r="F1399" t="str">
        <f>LEFT(AllDaqbookOffsets[[#This Row],[traceability_no]],2)</f>
        <v>N2</v>
      </c>
      <c r="N1399" s="456"/>
      <c r="O1399"/>
      <c r="Z1399" s="460"/>
      <c r="AA1399" s="194"/>
      <c r="AB1399"/>
      <c r="AG1399" s="69"/>
      <c r="AH1399"/>
    </row>
    <row r="1400" spans="1:34" x14ac:dyDescent="0.2">
      <c r="A1400"/>
      <c r="B1400"/>
      <c r="C1400"/>
      <c r="D1400"/>
      <c r="E1400"/>
      <c r="F1400" t="str">
        <f>LEFT(AllDaqbookOffsets[[#This Row],[traceability_no]],2)</f>
        <v>N2</v>
      </c>
      <c r="N1400" s="456"/>
      <c r="O1400"/>
      <c r="Z1400" s="460"/>
      <c r="AA1400" s="194"/>
      <c r="AB1400"/>
      <c r="AG1400" s="69"/>
      <c r="AH1400"/>
    </row>
    <row r="1401" spans="1:34" x14ac:dyDescent="0.2">
      <c r="A1401"/>
      <c r="B1401"/>
      <c r="C1401"/>
      <c r="D1401"/>
      <c r="E1401"/>
      <c r="F1401" t="str">
        <f>LEFT(AllDaqbookOffsets[[#This Row],[traceability_no]],2)</f>
        <v>N2</v>
      </c>
      <c r="N1401" s="456"/>
      <c r="O1401"/>
      <c r="Z1401" s="460"/>
      <c r="AA1401" s="194"/>
      <c r="AB1401"/>
      <c r="AG1401" s="69"/>
      <c r="AH1401"/>
    </row>
    <row r="1402" spans="1:34" x14ac:dyDescent="0.2">
      <c r="A1402"/>
      <c r="B1402"/>
      <c r="C1402"/>
      <c r="D1402"/>
      <c r="E1402"/>
      <c r="F1402" t="str">
        <f>LEFT(AllDaqbookOffsets[[#This Row],[traceability_no]],2)</f>
        <v>N2</v>
      </c>
      <c r="N1402" s="456"/>
      <c r="O1402"/>
      <c r="Z1402" s="460"/>
      <c r="AA1402" s="194"/>
      <c r="AB1402"/>
      <c r="AG1402" s="69"/>
      <c r="AH1402"/>
    </row>
    <row r="1403" spans="1:34" x14ac:dyDescent="0.2">
      <c r="A1403"/>
      <c r="B1403"/>
      <c r="C1403"/>
      <c r="D1403"/>
      <c r="E1403"/>
      <c r="F1403" t="str">
        <f>LEFT(AllDaqbookOffsets[[#This Row],[traceability_no]],2)</f>
        <v>N2</v>
      </c>
      <c r="N1403" s="456"/>
      <c r="O1403"/>
      <c r="Z1403" s="460"/>
      <c r="AA1403" s="194"/>
      <c r="AB1403"/>
      <c r="AG1403" s="69"/>
      <c r="AH1403"/>
    </row>
    <row r="1404" spans="1:34" x14ac:dyDescent="0.2">
      <c r="A1404"/>
      <c r="B1404"/>
      <c r="C1404"/>
      <c r="D1404"/>
      <c r="E1404"/>
      <c r="F1404" t="str">
        <f>LEFT(AllDaqbookOffsets[[#This Row],[traceability_no]],2)</f>
        <v>N2</v>
      </c>
      <c r="N1404" s="456"/>
      <c r="O1404"/>
      <c r="Z1404" s="460"/>
      <c r="AA1404" s="194"/>
      <c r="AB1404"/>
      <c r="AG1404" s="69"/>
      <c r="AH1404"/>
    </row>
    <row r="1405" spans="1:34" x14ac:dyDescent="0.2">
      <c r="A1405"/>
      <c r="B1405"/>
      <c r="C1405"/>
      <c r="D1405"/>
      <c r="E1405"/>
      <c r="F1405" t="str">
        <f>LEFT(AllDaqbookOffsets[[#This Row],[traceability_no]],2)</f>
        <v>N2</v>
      </c>
      <c r="N1405" s="456"/>
      <c r="O1405"/>
      <c r="Z1405" s="460"/>
      <c r="AA1405" s="194"/>
      <c r="AB1405"/>
      <c r="AG1405" s="69"/>
      <c r="AH1405"/>
    </row>
    <row r="1406" spans="1:34" x14ac:dyDescent="0.2">
      <c r="A1406"/>
      <c r="B1406"/>
      <c r="C1406"/>
      <c r="D1406"/>
      <c r="E1406"/>
      <c r="F1406" t="str">
        <f>LEFT(AllDaqbookOffsets[[#This Row],[traceability_no]],2)</f>
        <v>N2</v>
      </c>
      <c r="N1406" s="456"/>
      <c r="O1406"/>
      <c r="Z1406" s="460"/>
      <c r="AA1406" s="194"/>
      <c r="AB1406"/>
      <c r="AG1406" s="69"/>
      <c r="AH1406"/>
    </row>
    <row r="1407" spans="1:34" x14ac:dyDescent="0.2">
      <c r="A1407"/>
      <c r="B1407"/>
      <c r="C1407"/>
      <c r="D1407"/>
      <c r="E1407"/>
      <c r="F1407" t="str">
        <f>LEFT(AllDaqbookOffsets[[#This Row],[traceability_no]],2)</f>
        <v>N2</v>
      </c>
      <c r="N1407" s="456"/>
      <c r="O1407"/>
      <c r="Z1407" s="460"/>
      <c r="AA1407" s="194"/>
      <c r="AB1407"/>
      <c r="AG1407" s="69"/>
      <c r="AH1407"/>
    </row>
    <row r="1408" spans="1:34" x14ac:dyDescent="0.2">
      <c r="A1408"/>
      <c r="B1408"/>
      <c r="C1408"/>
      <c r="D1408"/>
      <c r="E1408"/>
      <c r="F1408" t="str">
        <f>LEFT(AllDaqbookOffsets[[#This Row],[traceability_no]],2)</f>
        <v>N2</v>
      </c>
      <c r="N1408" s="456"/>
      <c r="O1408"/>
      <c r="Z1408" s="460"/>
      <c r="AA1408" s="194"/>
      <c r="AB1408"/>
      <c r="AG1408" s="69"/>
      <c r="AH1408"/>
    </row>
    <row r="1409" spans="1:34" x14ac:dyDescent="0.2">
      <c r="A1409"/>
      <c r="B1409"/>
      <c r="C1409"/>
      <c r="D1409"/>
      <c r="E1409"/>
      <c r="F1409" t="str">
        <f>LEFT(AllDaqbookOffsets[[#This Row],[traceability_no]],2)</f>
        <v>N2</v>
      </c>
      <c r="N1409" s="456"/>
      <c r="O1409"/>
      <c r="Z1409" s="460"/>
      <c r="AA1409" s="194"/>
      <c r="AB1409"/>
      <c r="AG1409" s="69"/>
      <c r="AH1409"/>
    </row>
    <row r="1410" spans="1:34" x14ac:dyDescent="0.2">
      <c r="A1410"/>
      <c r="B1410"/>
      <c r="C1410"/>
      <c r="D1410"/>
      <c r="E1410"/>
      <c r="F1410" t="str">
        <f>LEFT(AllDaqbookOffsets[[#This Row],[traceability_no]],2)</f>
        <v>N2</v>
      </c>
      <c r="N1410" s="456"/>
      <c r="O1410"/>
      <c r="Z1410" s="460"/>
      <c r="AA1410" s="194"/>
      <c r="AB1410"/>
      <c r="AG1410" s="69"/>
      <c r="AH1410"/>
    </row>
    <row r="1411" spans="1:34" x14ac:dyDescent="0.2">
      <c r="A1411"/>
      <c r="B1411"/>
      <c r="C1411"/>
      <c r="D1411"/>
      <c r="E1411"/>
      <c r="F1411" t="str">
        <f>LEFT(AllDaqbookOffsets[[#This Row],[traceability_no]],2)</f>
        <v>N2</v>
      </c>
      <c r="N1411" s="456"/>
      <c r="O1411"/>
      <c r="Z1411" s="460"/>
      <c r="AA1411" s="194"/>
      <c r="AB1411"/>
      <c r="AG1411" s="69"/>
      <c r="AH1411"/>
    </row>
    <row r="1412" spans="1:34" x14ac:dyDescent="0.2">
      <c r="A1412"/>
      <c r="B1412"/>
      <c r="C1412"/>
      <c r="D1412"/>
      <c r="E1412"/>
      <c r="F1412" t="str">
        <f>LEFT(AllDaqbookOffsets[[#This Row],[traceability_no]],2)</f>
        <v>N2</v>
      </c>
      <c r="N1412" s="456"/>
      <c r="O1412"/>
      <c r="Z1412" s="460"/>
      <c r="AA1412" s="194"/>
      <c r="AB1412"/>
      <c r="AG1412" s="69"/>
      <c r="AH1412"/>
    </row>
    <row r="1413" spans="1:34" x14ac:dyDescent="0.2">
      <c r="A1413"/>
      <c r="B1413"/>
      <c r="C1413"/>
      <c r="D1413"/>
      <c r="E1413"/>
      <c r="F1413" t="str">
        <f>LEFT(AllDaqbookOffsets[[#This Row],[traceability_no]],2)</f>
        <v>N2</v>
      </c>
      <c r="N1413" s="456"/>
      <c r="O1413"/>
      <c r="Z1413" s="460"/>
      <c r="AA1413" s="194"/>
      <c r="AB1413"/>
      <c r="AG1413" s="69"/>
      <c r="AH1413"/>
    </row>
    <row r="1414" spans="1:34" x14ac:dyDescent="0.2">
      <c r="A1414"/>
      <c r="B1414"/>
      <c r="C1414"/>
      <c r="D1414"/>
      <c r="E1414"/>
      <c r="F1414" t="str">
        <f>LEFT(AllDaqbookOffsets[[#This Row],[traceability_no]],2)</f>
        <v>N2</v>
      </c>
      <c r="N1414" s="456"/>
      <c r="O1414"/>
      <c r="Z1414" s="460"/>
      <c r="AA1414" s="194"/>
      <c r="AB1414"/>
      <c r="AG1414" s="69"/>
      <c r="AH1414"/>
    </row>
    <row r="1415" spans="1:34" x14ac:dyDescent="0.2">
      <c r="A1415"/>
      <c r="B1415"/>
      <c r="C1415"/>
      <c r="D1415"/>
      <c r="E1415"/>
      <c r="F1415" t="str">
        <f>LEFT(AllDaqbookOffsets[[#This Row],[traceability_no]],2)</f>
        <v>N2</v>
      </c>
      <c r="N1415" s="456"/>
      <c r="O1415"/>
      <c r="Z1415" s="460"/>
      <c r="AA1415" s="194"/>
      <c r="AB1415"/>
      <c r="AG1415" s="69"/>
      <c r="AH1415"/>
    </row>
    <row r="1416" spans="1:34" x14ac:dyDescent="0.2">
      <c r="A1416"/>
      <c r="B1416"/>
      <c r="C1416"/>
      <c r="D1416"/>
      <c r="E1416"/>
      <c r="F1416" t="str">
        <f>LEFT(AllDaqbookOffsets[[#This Row],[traceability_no]],2)</f>
        <v>N2</v>
      </c>
      <c r="N1416" s="456"/>
      <c r="O1416"/>
      <c r="Z1416" s="460"/>
      <c r="AA1416" s="194"/>
      <c r="AB1416"/>
      <c r="AG1416" s="69"/>
      <c r="AH1416"/>
    </row>
    <row r="1417" spans="1:34" x14ac:dyDescent="0.2">
      <c r="A1417"/>
      <c r="B1417"/>
      <c r="C1417"/>
      <c r="D1417"/>
      <c r="E1417"/>
      <c r="F1417" t="str">
        <f>LEFT(AllDaqbookOffsets[[#This Row],[traceability_no]],2)</f>
        <v>N2</v>
      </c>
      <c r="N1417" s="456"/>
      <c r="O1417"/>
      <c r="Z1417" s="460"/>
      <c r="AA1417" s="194"/>
      <c r="AB1417"/>
      <c r="AG1417" s="69"/>
      <c r="AH1417"/>
    </row>
    <row r="1418" spans="1:34" x14ac:dyDescent="0.2">
      <c r="A1418"/>
      <c r="B1418"/>
      <c r="C1418"/>
      <c r="D1418"/>
      <c r="E1418"/>
      <c r="F1418" t="str">
        <f>LEFT(AllDaqbookOffsets[[#This Row],[traceability_no]],2)</f>
        <v>N2</v>
      </c>
      <c r="N1418" s="456"/>
      <c r="O1418"/>
      <c r="Z1418" s="460"/>
      <c r="AA1418" s="194"/>
      <c r="AB1418"/>
      <c r="AG1418" s="69"/>
      <c r="AH1418"/>
    </row>
    <row r="1419" spans="1:34" x14ac:dyDescent="0.2">
      <c r="A1419"/>
      <c r="B1419"/>
      <c r="C1419"/>
      <c r="D1419"/>
      <c r="E1419"/>
      <c r="F1419" t="str">
        <f>LEFT(AllDaqbookOffsets[[#This Row],[traceability_no]],2)</f>
        <v>N2</v>
      </c>
      <c r="N1419" s="456"/>
      <c r="O1419"/>
      <c r="Z1419" s="460"/>
      <c r="AA1419" s="194"/>
      <c r="AB1419"/>
      <c r="AG1419" s="69"/>
      <c r="AH1419"/>
    </row>
    <row r="1420" spans="1:34" x14ac:dyDescent="0.2">
      <c r="A1420"/>
      <c r="B1420"/>
      <c r="C1420"/>
      <c r="D1420"/>
      <c r="E1420"/>
      <c r="F1420" t="str">
        <f>LEFT(AllDaqbookOffsets[[#This Row],[traceability_no]],2)</f>
        <v>N2</v>
      </c>
      <c r="N1420" s="456"/>
      <c r="O1420"/>
      <c r="Z1420" s="460"/>
      <c r="AA1420" s="194"/>
      <c r="AB1420"/>
      <c r="AG1420" s="69"/>
      <c r="AH1420"/>
    </row>
    <row r="1421" spans="1:34" x14ac:dyDescent="0.2">
      <c r="A1421"/>
      <c r="B1421"/>
      <c r="C1421"/>
      <c r="D1421"/>
      <c r="E1421"/>
      <c r="F1421" t="str">
        <f>LEFT(AllDaqbookOffsets[[#This Row],[traceability_no]],2)</f>
        <v>N2</v>
      </c>
      <c r="N1421" s="456"/>
      <c r="O1421"/>
      <c r="Z1421" s="460"/>
      <c r="AA1421" s="194"/>
      <c r="AB1421"/>
      <c r="AG1421" s="69"/>
      <c r="AH1421"/>
    </row>
    <row r="1422" spans="1:34" x14ac:dyDescent="0.2">
      <c r="A1422"/>
      <c r="B1422"/>
      <c r="C1422"/>
      <c r="D1422"/>
      <c r="E1422"/>
      <c r="F1422" t="str">
        <f>LEFT(AllDaqbookOffsets[[#This Row],[traceability_no]],2)</f>
        <v>N2</v>
      </c>
      <c r="N1422" s="456"/>
      <c r="O1422"/>
      <c r="Z1422" s="460"/>
      <c r="AA1422" s="194"/>
      <c r="AB1422"/>
      <c r="AG1422" s="69"/>
      <c r="AH1422"/>
    </row>
    <row r="1423" spans="1:34" x14ac:dyDescent="0.2">
      <c r="A1423"/>
      <c r="B1423"/>
      <c r="C1423"/>
      <c r="D1423"/>
      <c r="E1423"/>
      <c r="F1423" t="str">
        <f>LEFT(AllDaqbookOffsets[[#This Row],[traceability_no]],2)</f>
        <v>N2</v>
      </c>
      <c r="N1423" s="456"/>
      <c r="O1423"/>
      <c r="Z1423" s="460"/>
      <c r="AA1423" s="194"/>
      <c r="AB1423"/>
      <c r="AG1423" s="69"/>
      <c r="AH1423"/>
    </row>
    <row r="1424" spans="1:34" x14ac:dyDescent="0.2">
      <c r="A1424"/>
      <c r="B1424"/>
      <c r="C1424"/>
      <c r="D1424"/>
      <c r="E1424"/>
      <c r="F1424" t="str">
        <f>LEFT(AllDaqbookOffsets[[#This Row],[traceability_no]],2)</f>
        <v>N2</v>
      </c>
      <c r="N1424" s="456"/>
      <c r="O1424"/>
      <c r="Z1424" s="460"/>
      <c r="AA1424" s="194"/>
      <c r="AB1424"/>
      <c r="AG1424" s="69"/>
      <c r="AH1424"/>
    </row>
    <row r="1425" spans="1:34" x14ac:dyDescent="0.2">
      <c r="A1425"/>
      <c r="B1425"/>
      <c r="C1425"/>
      <c r="D1425"/>
      <c r="E1425"/>
      <c r="F1425" t="str">
        <f>LEFT(AllDaqbookOffsets[[#This Row],[traceability_no]],2)</f>
        <v>N2</v>
      </c>
      <c r="N1425" s="456"/>
      <c r="O1425"/>
      <c r="Z1425" s="460"/>
      <c r="AA1425" s="194"/>
      <c r="AB1425"/>
      <c r="AG1425" s="69"/>
      <c r="AH1425"/>
    </row>
    <row r="1426" spans="1:34" x14ac:dyDescent="0.2">
      <c r="A1426"/>
      <c r="B1426"/>
      <c r="C1426"/>
      <c r="D1426"/>
      <c r="E1426"/>
      <c r="F1426" t="str">
        <f>LEFT(AllDaqbookOffsets[[#This Row],[traceability_no]],2)</f>
        <v>N2</v>
      </c>
      <c r="N1426" s="456"/>
      <c r="O1426"/>
      <c r="Z1426" s="460"/>
      <c r="AA1426" s="194"/>
      <c r="AB1426"/>
      <c r="AG1426" s="69"/>
      <c r="AH1426"/>
    </row>
    <row r="1427" spans="1:34" x14ac:dyDescent="0.2">
      <c r="A1427"/>
      <c r="B1427"/>
      <c r="C1427"/>
      <c r="D1427"/>
      <c r="E1427"/>
      <c r="F1427" t="str">
        <f>LEFT(AllDaqbookOffsets[[#This Row],[traceability_no]],2)</f>
        <v>N2</v>
      </c>
      <c r="N1427" s="456"/>
      <c r="O1427"/>
      <c r="Z1427" s="460"/>
      <c r="AA1427" s="194"/>
      <c r="AB1427"/>
      <c r="AG1427" s="69"/>
      <c r="AH1427"/>
    </row>
    <row r="1428" spans="1:34" x14ac:dyDescent="0.2">
      <c r="A1428"/>
      <c r="B1428"/>
      <c r="C1428"/>
      <c r="D1428"/>
      <c r="E1428"/>
      <c r="F1428" t="str">
        <f>LEFT(AllDaqbookOffsets[[#This Row],[traceability_no]],2)</f>
        <v>N2</v>
      </c>
      <c r="N1428" s="456"/>
      <c r="O1428"/>
      <c r="Z1428" s="460"/>
      <c r="AA1428" s="194"/>
      <c r="AB1428"/>
      <c r="AG1428" s="69"/>
      <c r="AH1428"/>
    </row>
    <row r="1429" spans="1:34" x14ac:dyDescent="0.2">
      <c r="A1429"/>
      <c r="B1429"/>
      <c r="C1429"/>
      <c r="D1429"/>
      <c r="E1429"/>
      <c r="F1429" t="str">
        <f>LEFT(AllDaqbookOffsets[[#This Row],[traceability_no]],2)</f>
        <v>N2</v>
      </c>
      <c r="N1429" s="456"/>
      <c r="O1429"/>
      <c r="Z1429" s="460"/>
      <c r="AA1429" s="194"/>
      <c r="AB1429"/>
      <c r="AG1429" s="69"/>
      <c r="AH1429"/>
    </row>
    <row r="1430" spans="1:34" x14ac:dyDescent="0.2">
      <c r="A1430"/>
      <c r="B1430"/>
      <c r="C1430"/>
      <c r="D1430"/>
      <c r="E1430"/>
      <c r="F1430" t="str">
        <f>LEFT(AllDaqbookOffsets[[#This Row],[traceability_no]],2)</f>
        <v>N2</v>
      </c>
      <c r="N1430" s="456"/>
      <c r="O1430"/>
      <c r="Z1430" s="460"/>
      <c r="AA1430" s="194"/>
      <c r="AB1430"/>
      <c r="AG1430" s="69"/>
      <c r="AH1430"/>
    </row>
    <row r="1431" spans="1:34" x14ac:dyDescent="0.2">
      <c r="A1431"/>
      <c r="B1431"/>
      <c r="C1431"/>
      <c r="D1431"/>
      <c r="E1431"/>
      <c r="F1431" t="str">
        <f>LEFT(AllDaqbookOffsets[[#This Row],[traceability_no]],2)</f>
        <v>N2</v>
      </c>
      <c r="N1431" s="456"/>
      <c r="O1431"/>
      <c r="Z1431" s="460"/>
      <c r="AA1431" s="194"/>
      <c r="AB1431"/>
      <c r="AG1431" s="69"/>
      <c r="AH1431"/>
    </row>
    <row r="1432" spans="1:34" x14ac:dyDescent="0.2">
      <c r="A1432"/>
      <c r="B1432"/>
      <c r="C1432"/>
      <c r="D1432"/>
      <c r="E1432"/>
      <c r="F1432" t="str">
        <f>LEFT(AllDaqbookOffsets[[#This Row],[traceability_no]],2)</f>
        <v>N2</v>
      </c>
      <c r="N1432" s="456"/>
      <c r="O1432"/>
      <c r="Z1432" s="460"/>
      <c r="AA1432" s="194"/>
      <c r="AB1432"/>
      <c r="AG1432" s="69"/>
      <c r="AH1432"/>
    </row>
    <row r="1433" spans="1:34" x14ac:dyDescent="0.2">
      <c r="A1433"/>
      <c r="B1433"/>
      <c r="C1433"/>
      <c r="D1433"/>
      <c r="E1433"/>
      <c r="F1433" t="str">
        <f>LEFT(AllDaqbookOffsets[[#This Row],[traceability_no]],2)</f>
        <v>N2</v>
      </c>
      <c r="N1433" s="456"/>
      <c r="O1433"/>
      <c r="Z1433" s="460"/>
      <c r="AA1433" s="194"/>
      <c r="AB1433"/>
      <c r="AG1433" s="69"/>
      <c r="AH1433"/>
    </row>
    <row r="1434" spans="1:34" x14ac:dyDescent="0.2">
      <c r="A1434"/>
      <c r="B1434"/>
      <c r="C1434"/>
      <c r="D1434"/>
      <c r="E1434"/>
      <c r="F1434" t="str">
        <f>LEFT(AllDaqbookOffsets[[#This Row],[traceability_no]],2)</f>
        <v>N2</v>
      </c>
      <c r="N1434" s="456"/>
      <c r="O1434"/>
      <c r="Z1434" s="460"/>
      <c r="AA1434" s="194"/>
      <c r="AB1434"/>
      <c r="AG1434" s="69"/>
      <c r="AH1434"/>
    </row>
    <row r="1435" spans="1:34" x14ac:dyDescent="0.2">
      <c r="A1435"/>
      <c r="B1435"/>
      <c r="C1435"/>
      <c r="D1435"/>
      <c r="E1435"/>
      <c r="F1435" t="str">
        <f>LEFT(AllDaqbookOffsets[[#This Row],[traceability_no]],2)</f>
        <v>N2</v>
      </c>
      <c r="N1435" s="456"/>
      <c r="O1435"/>
      <c r="Z1435" s="460"/>
      <c r="AA1435" s="194"/>
      <c r="AB1435"/>
      <c r="AG1435" s="69"/>
      <c r="AH1435"/>
    </row>
    <row r="1436" spans="1:34" x14ac:dyDescent="0.2">
      <c r="A1436"/>
      <c r="B1436"/>
      <c r="C1436"/>
      <c r="D1436"/>
      <c r="E1436"/>
      <c r="F1436" t="str">
        <f>LEFT(AllDaqbookOffsets[[#This Row],[traceability_no]],2)</f>
        <v>N2</v>
      </c>
      <c r="N1436" s="456"/>
      <c r="O1436"/>
      <c r="Z1436" s="460"/>
      <c r="AA1436" s="194"/>
      <c r="AB1436"/>
      <c r="AG1436" s="69"/>
      <c r="AH1436"/>
    </row>
    <row r="1437" spans="1:34" x14ac:dyDescent="0.2">
      <c r="A1437"/>
      <c r="B1437"/>
      <c r="C1437"/>
      <c r="D1437"/>
      <c r="E1437"/>
      <c r="F1437" t="str">
        <f>LEFT(AllDaqbookOffsets[[#This Row],[traceability_no]],2)</f>
        <v>N2</v>
      </c>
      <c r="N1437" s="456"/>
      <c r="O1437"/>
      <c r="Z1437" s="460"/>
      <c r="AA1437" s="194"/>
      <c r="AB1437"/>
      <c r="AG1437" s="69"/>
      <c r="AH1437"/>
    </row>
    <row r="1438" spans="1:34" x14ac:dyDescent="0.2">
      <c r="A1438"/>
      <c r="B1438"/>
      <c r="C1438"/>
      <c r="D1438"/>
      <c r="E1438"/>
      <c r="F1438" t="str">
        <f>LEFT(AllDaqbookOffsets[[#This Row],[traceability_no]],2)</f>
        <v>N2</v>
      </c>
      <c r="N1438" s="456"/>
      <c r="O1438"/>
      <c r="Z1438" s="460"/>
      <c r="AA1438" s="194"/>
      <c r="AB1438"/>
      <c r="AG1438" s="69"/>
      <c r="AH1438"/>
    </row>
    <row r="1439" spans="1:34" x14ac:dyDescent="0.2">
      <c r="A1439"/>
      <c r="B1439"/>
      <c r="C1439"/>
      <c r="D1439"/>
      <c r="E1439"/>
      <c r="F1439" t="str">
        <f>LEFT(AllDaqbookOffsets[[#This Row],[traceability_no]],2)</f>
        <v>N2</v>
      </c>
      <c r="N1439" s="456"/>
      <c r="O1439"/>
      <c r="Z1439" s="460"/>
      <c r="AA1439" s="194"/>
      <c r="AB1439"/>
      <c r="AG1439" s="69"/>
      <c r="AH1439"/>
    </row>
    <row r="1440" spans="1:34" x14ac:dyDescent="0.2">
      <c r="A1440"/>
      <c r="B1440"/>
      <c r="C1440"/>
      <c r="D1440"/>
      <c r="E1440"/>
      <c r="F1440" t="str">
        <f>LEFT(AllDaqbookOffsets[[#This Row],[traceability_no]],2)</f>
        <v>N2</v>
      </c>
      <c r="N1440" s="456"/>
      <c r="O1440"/>
      <c r="Z1440" s="460"/>
      <c r="AA1440" s="194"/>
      <c r="AB1440"/>
      <c r="AG1440" s="69"/>
      <c r="AH1440"/>
    </row>
    <row r="1441" spans="1:34" x14ac:dyDescent="0.2">
      <c r="A1441"/>
      <c r="B1441"/>
      <c r="C1441"/>
      <c r="D1441"/>
      <c r="E1441"/>
      <c r="F1441" t="str">
        <f>LEFT(AllDaqbookOffsets[[#This Row],[traceability_no]],2)</f>
        <v>N2</v>
      </c>
      <c r="N1441" s="456"/>
      <c r="O1441"/>
      <c r="Z1441" s="460"/>
      <c r="AA1441" s="194"/>
      <c r="AB1441"/>
      <c r="AG1441" s="69"/>
      <c r="AH1441"/>
    </row>
    <row r="1442" spans="1:34" x14ac:dyDescent="0.2">
      <c r="A1442"/>
      <c r="B1442"/>
      <c r="C1442"/>
      <c r="D1442"/>
      <c r="E1442"/>
      <c r="F1442" t="str">
        <f>LEFT(AllDaqbookOffsets[[#This Row],[traceability_no]],2)</f>
        <v>N2</v>
      </c>
      <c r="N1442" s="456"/>
      <c r="O1442"/>
      <c r="Z1442" s="460"/>
      <c r="AA1442" s="194"/>
      <c r="AB1442"/>
      <c r="AG1442" s="69"/>
      <c r="AH1442"/>
    </row>
    <row r="1443" spans="1:34" x14ac:dyDescent="0.2">
      <c r="A1443"/>
      <c r="B1443"/>
      <c r="C1443"/>
      <c r="D1443"/>
      <c r="E1443"/>
      <c r="F1443" t="str">
        <f>LEFT(AllDaqbookOffsets[[#This Row],[traceability_no]],2)</f>
        <v>N2</v>
      </c>
      <c r="N1443" s="456"/>
      <c r="O1443"/>
      <c r="Z1443" s="460"/>
      <c r="AA1443" s="194"/>
      <c r="AB1443"/>
      <c r="AG1443" s="69"/>
      <c r="AH1443"/>
    </row>
    <row r="1444" spans="1:34" x14ac:dyDescent="0.2">
      <c r="A1444"/>
      <c r="B1444"/>
      <c r="C1444"/>
      <c r="D1444"/>
      <c r="E1444"/>
      <c r="F1444" t="str">
        <f>LEFT(AllDaqbookOffsets[[#This Row],[traceability_no]],2)</f>
        <v>N2</v>
      </c>
      <c r="N1444" s="456"/>
      <c r="O1444"/>
      <c r="Z1444" s="460"/>
      <c r="AA1444" s="194"/>
      <c r="AB1444"/>
      <c r="AG1444" s="69"/>
      <c r="AH1444"/>
    </row>
    <row r="1445" spans="1:34" x14ac:dyDescent="0.2">
      <c r="A1445"/>
      <c r="B1445"/>
      <c r="C1445"/>
      <c r="D1445"/>
      <c r="E1445"/>
      <c r="F1445" t="str">
        <f>LEFT(AllDaqbookOffsets[[#This Row],[traceability_no]],2)</f>
        <v>N2</v>
      </c>
      <c r="N1445" s="456"/>
      <c r="O1445"/>
      <c r="Z1445" s="460"/>
      <c r="AA1445" s="194"/>
      <c r="AB1445"/>
      <c r="AG1445" s="69"/>
      <c r="AH1445"/>
    </row>
    <row r="1446" spans="1:34" x14ac:dyDescent="0.2">
      <c r="A1446"/>
      <c r="B1446"/>
      <c r="C1446"/>
      <c r="D1446"/>
      <c r="E1446"/>
      <c r="F1446" t="str">
        <f>LEFT(AllDaqbookOffsets[[#This Row],[traceability_no]],2)</f>
        <v>N2</v>
      </c>
      <c r="N1446" s="456"/>
      <c r="O1446"/>
      <c r="Z1446" s="460"/>
      <c r="AA1446" s="194"/>
      <c r="AB1446"/>
      <c r="AG1446" s="69"/>
      <c r="AH1446"/>
    </row>
    <row r="1447" spans="1:34" x14ac:dyDescent="0.2">
      <c r="A1447"/>
      <c r="B1447"/>
      <c r="C1447"/>
      <c r="D1447"/>
      <c r="E1447"/>
      <c r="F1447" t="str">
        <f>LEFT(AllDaqbookOffsets[[#This Row],[traceability_no]],2)</f>
        <v>N2</v>
      </c>
      <c r="N1447" s="456"/>
      <c r="O1447"/>
      <c r="Z1447" s="460"/>
      <c r="AA1447" s="194"/>
      <c r="AB1447"/>
      <c r="AG1447" s="69"/>
      <c r="AH1447"/>
    </row>
    <row r="1448" spans="1:34" x14ac:dyDescent="0.2">
      <c r="A1448"/>
      <c r="B1448"/>
      <c r="C1448"/>
      <c r="D1448"/>
      <c r="E1448"/>
      <c r="F1448" t="str">
        <f>LEFT(AllDaqbookOffsets[[#This Row],[traceability_no]],2)</f>
        <v>N2</v>
      </c>
      <c r="N1448" s="456"/>
      <c r="O1448"/>
      <c r="Z1448" s="460"/>
      <c r="AA1448" s="194"/>
      <c r="AB1448"/>
      <c r="AG1448" s="69"/>
      <c r="AH1448"/>
    </row>
    <row r="1449" spans="1:34" x14ac:dyDescent="0.2">
      <c r="A1449"/>
      <c r="B1449"/>
      <c r="C1449"/>
      <c r="D1449"/>
      <c r="E1449"/>
      <c r="F1449" t="str">
        <f>LEFT(AllDaqbookOffsets[[#This Row],[traceability_no]],2)</f>
        <v>N2</v>
      </c>
      <c r="N1449" s="456"/>
      <c r="O1449"/>
      <c r="Z1449" s="460"/>
      <c r="AA1449" s="194"/>
      <c r="AB1449"/>
      <c r="AG1449" s="69"/>
      <c r="AH1449"/>
    </row>
    <row r="1450" spans="1:34" x14ac:dyDescent="0.2">
      <c r="A1450"/>
      <c r="B1450"/>
      <c r="C1450"/>
      <c r="D1450"/>
      <c r="E1450"/>
      <c r="F1450" t="str">
        <f>LEFT(AllDaqbookOffsets[[#This Row],[traceability_no]],2)</f>
        <v>N2</v>
      </c>
      <c r="N1450" s="456"/>
      <c r="O1450"/>
      <c r="Z1450" s="460"/>
      <c r="AA1450" s="194"/>
      <c r="AB1450"/>
      <c r="AG1450" s="69"/>
      <c r="AH1450"/>
    </row>
    <row r="1451" spans="1:34" x14ac:dyDescent="0.2">
      <c r="A1451"/>
      <c r="B1451"/>
      <c r="C1451"/>
      <c r="D1451"/>
      <c r="E1451"/>
      <c r="F1451" t="str">
        <f>LEFT(AllDaqbookOffsets[[#This Row],[traceability_no]],2)</f>
        <v>N2</v>
      </c>
      <c r="N1451" s="456"/>
      <c r="O1451"/>
      <c r="Z1451" s="460"/>
      <c r="AA1451" s="194"/>
      <c r="AB1451"/>
      <c r="AG1451" s="69"/>
      <c r="AH1451"/>
    </row>
    <row r="1452" spans="1:34" x14ac:dyDescent="0.2">
      <c r="A1452"/>
      <c r="B1452"/>
      <c r="C1452"/>
      <c r="D1452"/>
      <c r="E1452"/>
      <c r="F1452" t="str">
        <f>LEFT(AllDaqbookOffsets[[#This Row],[traceability_no]],2)</f>
        <v>N2</v>
      </c>
      <c r="N1452" s="456"/>
      <c r="O1452"/>
      <c r="Z1452" s="460"/>
      <c r="AA1452" s="194"/>
      <c r="AB1452"/>
      <c r="AG1452" s="69"/>
      <c r="AH1452"/>
    </row>
    <row r="1453" spans="1:34" x14ac:dyDescent="0.2">
      <c r="A1453"/>
      <c r="B1453"/>
      <c r="C1453"/>
      <c r="D1453"/>
      <c r="E1453"/>
      <c r="F1453" t="str">
        <f>LEFT(AllDaqbookOffsets[[#This Row],[traceability_no]],2)</f>
        <v>N2</v>
      </c>
      <c r="N1453" s="456"/>
      <c r="O1453"/>
      <c r="Z1453" s="460"/>
      <c r="AA1453" s="194"/>
      <c r="AB1453"/>
      <c r="AG1453" s="69"/>
      <c r="AH1453"/>
    </row>
    <row r="1454" spans="1:34" x14ac:dyDescent="0.2">
      <c r="A1454"/>
      <c r="B1454"/>
      <c r="C1454"/>
      <c r="D1454"/>
      <c r="E1454"/>
      <c r="F1454" t="str">
        <f>LEFT(AllDaqbookOffsets[[#This Row],[traceability_no]],2)</f>
        <v>N2</v>
      </c>
      <c r="N1454" s="456"/>
      <c r="O1454"/>
      <c r="Z1454" s="460"/>
      <c r="AA1454" s="194"/>
      <c r="AB1454"/>
      <c r="AG1454" s="69"/>
      <c r="AH1454"/>
    </row>
    <row r="1455" spans="1:34" x14ac:dyDescent="0.2">
      <c r="A1455"/>
      <c r="B1455"/>
      <c r="C1455"/>
      <c r="D1455"/>
      <c r="E1455"/>
      <c r="F1455" t="str">
        <f>LEFT(AllDaqbookOffsets[[#This Row],[traceability_no]],2)</f>
        <v>N2</v>
      </c>
      <c r="N1455" s="456"/>
      <c r="O1455"/>
      <c r="Z1455" s="460"/>
      <c r="AA1455" s="194"/>
      <c r="AB1455"/>
      <c r="AG1455" s="69"/>
      <c r="AH1455"/>
    </row>
    <row r="1456" spans="1:34" x14ac:dyDescent="0.2">
      <c r="A1456"/>
      <c r="B1456"/>
      <c r="C1456"/>
      <c r="D1456"/>
      <c r="E1456"/>
      <c r="F1456" t="str">
        <f>LEFT(AllDaqbookOffsets[[#This Row],[traceability_no]],2)</f>
        <v>N2</v>
      </c>
      <c r="N1456" s="456"/>
      <c r="O1456"/>
      <c r="Z1456" s="460"/>
      <c r="AA1456" s="194"/>
      <c r="AB1456"/>
      <c r="AG1456" s="69"/>
      <c r="AH1456"/>
    </row>
    <row r="1457" spans="1:34" x14ac:dyDescent="0.2">
      <c r="A1457"/>
      <c r="B1457"/>
      <c r="C1457"/>
      <c r="D1457"/>
      <c r="E1457"/>
      <c r="F1457" t="str">
        <f>LEFT(AllDaqbookOffsets[[#This Row],[traceability_no]],2)</f>
        <v>N2</v>
      </c>
      <c r="N1457" s="456"/>
      <c r="O1457"/>
      <c r="Z1457" s="460"/>
      <c r="AA1457" s="194"/>
      <c r="AB1457"/>
      <c r="AG1457" s="69"/>
      <c r="AH1457"/>
    </row>
    <row r="1458" spans="1:34" x14ac:dyDescent="0.2">
      <c r="A1458"/>
      <c r="B1458"/>
      <c r="C1458"/>
      <c r="D1458"/>
      <c r="E1458"/>
      <c r="F1458" t="str">
        <f>LEFT(AllDaqbookOffsets[[#This Row],[traceability_no]],2)</f>
        <v>N2</v>
      </c>
      <c r="N1458" s="456"/>
      <c r="O1458"/>
      <c r="Z1458" s="460"/>
      <c r="AA1458" s="194"/>
      <c r="AB1458"/>
      <c r="AG1458" s="69"/>
      <c r="AH1458"/>
    </row>
    <row r="1459" spans="1:34" x14ac:dyDescent="0.2">
      <c r="A1459"/>
      <c r="B1459"/>
      <c r="C1459"/>
      <c r="D1459"/>
      <c r="E1459"/>
      <c r="F1459" t="str">
        <f>LEFT(AllDaqbookOffsets[[#This Row],[traceability_no]],2)</f>
        <v>N2</v>
      </c>
      <c r="N1459" s="456"/>
      <c r="O1459"/>
      <c r="Z1459" s="460"/>
      <c r="AA1459" s="194"/>
      <c r="AB1459"/>
      <c r="AG1459" s="69"/>
      <c r="AH1459"/>
    </row>
    <row r="1460" spans="1:34" x14ac:dyDescent="0.2">
      <c r="A1460"/>
      <c r="B1460"/>
      <c r="C1460"/>
      <c r="D1460"/>
      <c r="E1460"/>
      <c r="F1460" t="str">
        <f>LEFT(AllDaqbookOffsets[[#This Row],[traceability_no]],2)</f>
        <v>N2</v>
      </c>
      <c r="N1460" s="456"/>
      <c r="O1460"/>
      <c r="Z1460" s="460"/>
      <c r="AA1460" s="194"/>
      <c r="AB1460"/>
      <c r="AG1460" s="69"/>
      <c r="AH1460"/>
    </row>
    <row r="1461" spans="1:34" x14ac:dyDescent="0.2">
      <c r="A1461"/>
      <c r="B1461"/>
      <c r="C1461"/>
      <c r="D1461"/>
      <c r="E1461"/>
      <c r="F1461" t="str">
        <f>LEFT(AllDaqbookOffsets[[#This Row],[traceability_no]],2)</f>
        <v>N2</v>
      </c>
      <c r="N1461" s="456"/>
      <c r="O1461"/>
      <c r="Z1461" s="460"/>
      <c r="AA1461" s="194"/>
      <c r="AB1461"/>
      <c r="AG1461" s="69"/>
      <c r="AH1461"/>
    </row>
    <row r="1462" spans="1:34" x14ac:dyDescent="0.2">
      <c r="A1462"/>
      <c r="B1462"/>
      <c r="C1462"/>
      <c r="D1462"/>
      <c r="E1462"/>
      <c r="F1462" t="str">
        <f>LEFT(AllDaqbookOffsets[[#This Row],[traceability_no]],2)</f>
        <v>N2</v>
      </c>
      <c r="N1462" s="456"/>
      <c r="O1462"/>
      <c r="Z1462" s="460"/>
      <c r="AA1462" s="194"/>
      <c r="AB1462"/>
      <c r="AG1462" s="69"/>
      <c r="AH1462"/>
    </row>
    <row r="1463" spans="1:34" x14ac:dyDescent="0.2">
      <c r="A1463"/>
      <c r="B1463"/>
      <c r="C1463"/>
      <c r="D1463"/>
      <c r="E1463"/>
      <c r="F1463" t="str">
        <f>LEFT(AllDaqbookOffsets[[#This Row],[traceability_no]],2)</f>
        <v>N2</v>
      </c>
      <c r="N1463" s="456"/>
      <c r="O1463"/>
      <c r="Z1463" s="460"/>
      <c r="AA1463" s="194"/>
      <c r="AB1463"/>
      <c r="AG1463" s="69"/>
      <c r="AH1463"/>
    </row>
    <row r="1464" spans="1:34" x14ac:dyDescent="0.2">
      <c r="A1464"/>
      <c r="B1464"/>
      <c r="C1464"/>
      <c r="D1464"/>
      <c r="E1464"/>
      <c r="F1464" t="str">
        <f>LEFT(AllDaqbookOffsets[[#This Row],[traceability_no]],2)</f>
        <v>N2</v>
      </c>
      <c r="N1464" s="456"/>
      <c r="O1464"/>
      <c r="Z1464" s="460"/>
      <c r="AA1464" s="194"/>
      <c r="AB1464"/>
      <c r="AG1464" s="69"/>
      <c r="AH1464"/>
    </row>
    <row r="1465" spans="1:34" x14ac:dyDescent="0.2">
      <c r="A1465"/>
      <c r="B1465"/>
      <c r="C1465"/>
      <c r="D1465"/>
      <c r="E1465"/>
      <c r="F1465" t="str">
        <f>LEFT(AllDaqbookOffsets[[#This Row],[traceability_no]],2)</f>
        <v>N2</v>
      </c>
      <c r="N1465" s="456"/>
      <c r="O1465"/>
      <c r="Z1465" s="460"/>
      <c r="AA1465" s="194"/>
      <c r="AB1465"/>
      <c r="AG1465" s="69"/>
      <c r="AH1465"/>
    </row>
    <row r="1466" spans="1:34" x14ac:dyDescent="0.2">
      <c r="A1466"/>
      <c r="B1466"/>
      <c r="C1466"/>
      <c r="D1466"/>
      <c r="E1466"/>
      <c r="F1466" t="str">
        <f>LEFT(AllDaqbookOffsets[[#This Row],[traceability_no]],2)</f>
        <v>N2</v>
      </c>
      <c r="N1466" s="456"/>
      <c r="O1466"/>
      <c r="Z1466" s="460"/>
      <c r="AA1466" s="194"/>
      <c r="AB1466"/>
      <c r="AG1466" s="69"/>
      <c r="AH1466"/>
    </row>
    <row r="1467" spans="1:34" x14ac:dyDescent="0.2">
      <c r="A1467"/>
      <c r="B1467"/>
      <c r="C1467"/>
      <c r="D1467"/>
      <c r="E1467"/>
      <c r="F1467" t="str">
        <f>LEFT(AllDaqbookOffsets[[#This Row],[traceability_no]],2)</f>
        <v>N2</v>
      </c>
      <c r="N1467" s="456"/>
      <c r="O1467"/>
      <c r="Z1467" s="460"/>
      <c r="AA1467" s="194"/>
      <c r="AB1467"/>
      <c r="AG1467" s="69"/>
      <c r="AH1467"/>
    </row>
    <row r="1468" spans="1:34" x14ac:dyDescent="0.2">
      <c r="A1468"/>
      <c r="B1468"/>
      <c r="C1468"/>
      <c r="D1468"/>
      <c r="E1468"/>
      <c r="F1468" t="str">
        <f>LEFT(AllDaqbookOffsets[[#This Row],[traceability_no]],2)</f>
        <v>N2</v>
      </c>
      <c r="N1468" s="456"/>
      <c r="O1468"/>
      <c r="Z1468" s="460"/>
      <c r="AA1468" s="194"/>
      <c r="AB1468"/>
      <c r="AG1468" s="69"/>
      <c r="AH1468"/>
    </row>
    <row r="1469" spans="1:34" x14ac:dyDescent="0.2">
      <c r="A1469"/>
      <c r="B1469"/>
      <c r="C1469"/>
      <c r="D1469"/>
      <c r="E1469"/>
      <c r="F1469" t="str">
        <f>LEFT(AllDaqbookOffsets[[#This Row],[traceability_no]],2)</f>
        <v>N2</v>
      </c>
      <c r="N1469" s="456"/>
      <c r="O1469"/>
      <c r="Z1469" s="460"/>
      <c r="AA1469" s="194"/>
      <c r="AB1469"/>
      <c r="AG1469" s="69"/>
      <c r="AH1469"/>
    </row>
    <row r="1470" spans="1:34" x14ac:dyDescent="0.2">
      <c r="A1470"/>
      <c r="B1470"/>
      <c r="C1470"/>
      <c r="D1470"/>
      <c r="E1470"/>
      <c r="F1470" t="str">
        <f>LEFT(AllDaqbookOffsets[[#This Row],[traceability_no]],2)</f>
        <v>N2</v>
      </c>
      <c r="N1470" s="456"/>
      <c r="O1470"/>
      <c r="Z1470" s="460"/>
      <c r="AA1470" s="194"/>
      <c r="AB1470"/>
      <c r="AG1470" s="69"/>
      <c r="AH1470"/>
    </row>
    <row r="1471" spans="1:34" x14ac:dyDescent="0.2">
      <c r="A1471"/>
      <c r="B1471"/>
      <c r="C1471"/>
      <c r="D1471"/>
      <c r="E1471"/>
      <c r="F1471" t="str">
        <f>LEFT(AllDaqbookOffsets[[#This Row],[traceability_no]],2)</f>
        <v>N2</v>
      </c>
      <c r="N1471" s="456"/>
      <c r="O1471"/>
      <c r="Z1471" s="460"/>
      <c r="AA1471" s="194"/>
      <c r="AB1471"/>
      <c r="AG1471" s="69"/>
      <c r="AH1471"/>
    </row>
    <row r="1472" spans="1:34" x14ac:dyDescent="0.2">
      <c r="A1472"/>
      <c r="B1472"/>
      <c r="C1472"/>
      <c r="D1472"/>
      <c r="E1472"/>
      <c r="F1472" t="str">
        <f>LEFT(AllDaqbookOffsets[[#This Row],[traceability_no]],2)</f>
        <v>N2</v>
      </c>
      <c r="N1472" s="456"/>
      <c r="O1472"/>
      <c r="Z1472" s="460"/>
      <c r="AA1472" s="194"/>
      <c r="AB1472"/>
      <c r="AG1472" s="69"/>
      <c r="AH1472"/>
    </row>
    <row r="1473" spans="1:34" x14ac:dyDescent="0.2">
      <c r="A1473"/>
      <c r="B1473"/>
      <c r="C1473"/>
      <c r="D1473"/>
      <c r="E1473"/>
      <c r="F1473" t="str">
        <f>LEFT(AllDaqbookOffsets[[#This Row],[traceability_no]],2)</f>
        <v>N2</v>
      </c>
      <c r="N1473" s="456"/>
      <c r="O1473"/>
      <c r="Z1473" s="460"/>
      <c r="AA1473" s="194"/>
      <c r="AB1473"/>
      <c r="AG1473" s="69"/>
      <c r="AH1473"/>
    </row>
    <row r="1474" spans="1:34" x14ac:dyDescent="0.2">
      <c r="A1474"/>
      <c r="B1474"/>
      <c r="C1474"/>
      <c r="D1474"/>
      <c r="E1474"/>
      <c r="F1474" t="str">
        <f>LEFT(AllDaqbookOffsets[[#This Row],[traceability_no]],2)</f>
        <v>N2</v>
      </c>
      <c r="N1474" s="456"/>
      <c r="O1474"/>
      <c r="Z1474" s="460"/>
      <c r="AA1474" s="194"/>
      <c r="AB1474"/>
      <c r="AG1474" s="69"/>
      <c r="AH1474"/>
    </row>
    <row r="1475" spans="1:34" x14ac:dyDescent="0.2">
      <c r="A1475"/>
      <c r="B1475"/>
      <c r="C1475"/>
      <c r="D1475"/>
      <c r="E1475"/>
      <c r="F1475" t="str">
        <f>LEFT(AllDaqbookOffsets[[#This Row],[traceability_no]],2)</f>
        <v>N2</v>
      </c>
      <c r="N1475" s="456"/>
      <c r="O1475"/>
      <c r="Z1475" s="460"/>
      <c r="AA1475" s="194"/>
      <c r="AB1475"/>
      <c r="AG1475" s="69"/>
      <c r="AH1475"/>
    </row>
    <row r="1476" spans="1:34" x14ac:dyDescent="0.2">
      <c r="A1476"/>
      <c r="B1476"/>
      <c r="C1476"/>
      <c r="D1476"/>
      <c r="E1476"/>
      <c r="F1476" t="str">
        <f>LEFT(AllDaqbookOffsets[[#This Row],[traceability_no]],2)</f>
        <v>N2</v>
      </c>
      <c r="N1476" s="456"/>
      <c r="O1476"/>
      <c r="Z1476" s="460"/>
      <c r="AA1476" s="194"/>
      <c r="AB1476"/>
      <c r="AG1476" s="69"/>
      <c r="AH1476"/>
    </row>
    <row r="1477" spans="1:34" x14ac:dyDescent="0.2">
      <c r="A1477"/>
      <c r="B1477"/>
      <c r="C1477"/>
      <c r="D1477"/>
      <c r="E1477"/>
      <c r="F1477" t="str">
        <f>LEFT(AllDaqbookOffsets[[#This Row],[traceability_no]],2)</f>
        <v>N2</v>
      </c>
      <c r="N1477" s="456"/>
      <c r="O1477"/>
      <c r="Z1477" s="460"/>
      <c r="AA1477" s="194"/>
      <c r="AB1477"/>
      <c r="AG1477" s="69"/>
      <c r="AH1477"/>
    </row>
    <row r="1478" spans="1:34" x14ac:dyDescent="0.2">
      <c r="A1478"/>
      <c r="B1478"/>
      <c r="C1478"/>
      <c r="D1478"/>
      <c r="E1478"/>
      <c r="F1478" t="str">
        <f>LEFT(AllDaqbookOffsets[[#This Row],[traceability_no]],2)</f>
        <v>N2</v>
      </c>
      <c r="N1478" s="456"/>
      <c r="O1478"/>
      <c r="Z1478" s="460"/>
      <c r="AA1478" s="194"/>
      <c r="AB1478"/>
      <c r="AG1478" s="69"/>
      <c r="AH1478"/>
    </row>
    <row r="1479" spans="1:34" x14ac:dyDescent="0.2">
      <c r="A1479"/>
      <c r="B1479"/>
      <c r="C1479"/>
      <c r="D1479"/>
      <c r="E1479"/>
      <c r="F1479" t="str">
        <f>LEFT(AllDaqbookOffsets[[#This Row],[traceability_no]],2)</f>
        <v>N2</v>
      </c>
      <c r="N1479" s="456"/>
      <c r="O1479"/>
      <c r="Z1479" s="460"/>
      <c r="AA1479" s="194"/>
      <c r="AB1479"/>
      <c r="AG1479" s="69"/>
      <c r="AH1479"/>
    </row>
    <row r="1480" spans="1:34" x14ac:dyDescent="0.2">
      <c r="A1480"/>
      <c r="B1480"/>
      <c r="C1480"/>
      <c r="D1480"/>
      <c r="E1480"/>
      <c r="F1480" t="str">
        <f>LEFT(AllDaqbookOffsets[[#This Row],[traceability_no]],2)</f>
        <v>N2</v>
      </c>
      <c r="N1480" s="456"/>
      <c r="O1480"/>
      <c r="Z1480" s="460"/>
      <c r="AA1480" s="194"/>
      <c r="AB1480"/>
      <c r="AG1480" s="69"/>
      <c r="AH1480"/>
    </row>
    <row r="1481" spans="1:34" x14ac:dyDescent="0.2">
      <c r="A1481"/>
      <c r="B1481"/>
      <c r="C1481"/>
      <c r="D1481"/>
      <c r="E1481"/>
      <c r="F1481" t="str">
        <f>LEFT(AllDaqbookOffsets[[#This Row],[traceability_no]],2)</f>
        <v>N2</v>
      </c>
      <c r="N1481" s="456"/>
      <c r="O1481"/>
      <c r="Z1481" s="460"/>
      <c r="AA1481" s="194"/>
      <c r="AB1481"/>
      <c r="AG1481" s="69"/>
      <c r="AH1481"/>
    </row>
    <row r="1482" spans="1:34" x14ac:dyDescent="0.2">
      <c r="A1482"/>
      <c r="B1482"/>
      <c r="C1482"/>
      <c r="D1482"/>
      <c r="E1482"/>
      <c r="F1482" t="str">
        <f>LEFT(AllDaqbookOffsets[[#This Row],[traceability_no]],2)</f>
        <v>N2</v>
      </c>
      <c r="N1482" s="456"/>
      <c r="O1482"/>
      <c r="Z1482" s="460"/>
      <c r="AA1482" s="194"/>
      <c r="AB1482"/>
      <c r="AG1482" s="69"/>
      <c r="AH1482"/>
    </row>
    <row r="1483" spans="1:34" x14ac:dyDescent="0.2">
      <c r="A1483"/>
      <c r="B1483"/>
      <c r="C1483"/>
      <c r="D1483"/>
      <c r="E1483"/>
      <c r="F1483" t="str">
        <f>LEFT(AllDaqbookOffsets[[#This Row],[traceability_no]],2)</f>
        <v>N2</v>
      </c>
      <c r="N1483" s="456"/>
      <c r="O1483"/>
      <c r="Z1483" s="460"/>
      <c r="AA1483" s="194"/>
      <c r="AB1483"/>
      <c r="AG1483" s="69"/>
      <c r="AH1483"/>
    </row>
    <row r="1484" spans="1:34" x14ac:dyDescent="0.2">
      <c r="A1484"/>
      <c r="B1484"/>
      <c r="C1484"/>
      <c r="D1484"/>
      <c r="E1484"/>
      <c r="F1484" t="str">
        <f>LEFT(AllDaqbookOffsets[[#This Row],[traceability_no]],2)</f>
        <v>N2</v>
      </c>
      <c r="N1484" s="456"/>
      <c r="O1484"/>
      <c r="Z1484" s="460"/>
      <c r="AA1484" s="194"/>
      <c r="AB1484"/>
      <c r="AG1484" s="69"/>
      <c r="AH1484"/>
    </row>
    <row r="1485" spans="1:34" x14ac:dyDescent="0.2">
      <c r="A1485"/>
      <c r="B1485"/>
      <c r="C1485"/>
      <c r="D1485"/>
      <c r="E1485"/>
      <c r="F1485" t="str">
        <f>LEFT(AllDaqbookOffsets[[#This Row],[traceability_no]],2)</f>
        <v>N2</v>
      </c>
      <c r="N1485" s="456"/>
      <c r="O1485"/>
      <c r="Z1485" s="460"/>
      <c r="AA1485" s="194"/>
      <c r="AB1485"/>
      <c r="AG1485" s="69"/>
      <c r="AH1485"/>
    </row>
    <row r="1486" spans="1:34" x14ac:dyDescent="0.2">
      <c r="A1486"/>
      <c r="B1486"/>
      <c r="C1486"/>
      <c r="D1486"/>
      <c r="E1486"/>
      <c r="F1486" t="str">
        <f>LEFT(AllDaqbookOffsets[[#This Row],[traceability_no]],2)</f>
        <v>N2</v>
      </c>
      <c r="N1486" s="456"/>
      <c r="O1486"/>
      <c r="Z1486" s="460"/>
      <c r="AA1486" s="194"/>
      <c r="AB1486"/>
      <c r="AG1486" s="69"/>
      <c r="AH1486"/>
    </row>
    <row r="1487" spans="1:34" x14ac:dyDescent="0.2">
      <c r="A1487"/>
      <c r="B1487"/>
      <c r="C1487"/>
      <c r="D1487"/>
      <c r="E1487"/>
      <c r="F1487" t="str">
        <f>LEFT(AllDaqbookOffsets[[#This Row],[traceability_no]],2)</f>
        <v>N2</v>
      </c>
      <c r="N1487" s="456"/>
      <c r="O1487"/>
      <c r="Z1487" s="460"/>
      <c r="AA1487" s="194"/>
      <c r="AB1487"/>
      <c r="AG1487" s="69"/>
      <c r="AH1487"/>
    </row>
    <row r="1488" spans="1:34" x14ac:dyDescent="0.2">
      <c r="A1488"/>
      <c r="B1488"/>
      <c r="C1488"/>
      <c r="D1488"/>
      <c r="E1488"/>
      <c r="F1488" t="str">
        <f>LEFT(AllDaqbookOffsets[[#This Row],[traceability_no]],2)</f>
        <v>N2</v>
      </c>
      <c r="N1488" s="456"/>
      <c r="O1488"/>
      <c r="Z1488" s="460"/>
      <c r="AA1488" s="194"/>
      <c r="AB1488"/>
      <c r="AG1488" s="69"/>
      <c r="AH1488"/>
    </row>
    <row r="1489" spans="1:34" x14ac:dyDescent="0.2">
      <c r="A1489"/>
      <c r="B1489"/>
      <c r="C1489"/>
      <c r="D1489"/>
      <c r="E1489"/>
      <c r="F1489" t="str">
        <f>LEFT(AllDaqbookOffsets[[#This Row],[traceability_no]],2)</f>
        <v>N2</v>
      </c>
      <c r="N1489" s="456"/>
      <c r="O1489"/>
      <c r="Z1489" s="460"/>
      <c r="AA1489" s="194"/>
      <c r="AB1489"/>
      <c r="AG1489" s="69"/>
      <c r="AH1489"/>
    </row>
    <row r="1490" spans="1:34" x14ac:dyDescent="0.2">
      <c r="A1490"/>
      <c r="B1490"/>
      <c r="C1490"/>
      <c r="D1490"/>
      <c r="E1490"/>
      <c r="F1490" t="str">
        <f>LEFT(AllDaqbookOffsets[[#This Row],[traceability_no]],2)</f>
        <v>N2</v>
      </c>
      <c r="N1490" s="456"/>
      <c r="O1490"/>
      <c r="Z1490" s="460"/>
      <c r="AA1490" s="194"/>
      <c r="AB1490"/>
      <c r="AG1490" s="69"/>
      <c r="AH1490"/>
    </row>
    <row r="1491" spans="1:34" x14ac:dyDescent="0.2">
      <c r="A1491"/>
      <c r="B1491"/>
      <c r="C1491"/>
      <c r="D1491"/>
      <c r="E1491"/>
      <c r="F1491" t="str">
        <f>LEFT(AllDaqbookOffsets[[#This Row],[traceability_no]],2)</f>
        <v>N2</v>
      </c>
      <c r="N1491" s="456"/>
      <c r="O1491"/>
      <c r="Z1491" s="460"/>
      <c r="AA1491" s="194"/>
      <c r="AB1491"/>
      <c r="AG1491" s="69"/>
      <c r="AH1491"/>
    </row>
    <row r="1492" spans="1:34" x14ac:dyDescent="0.2">
      <c r="A1492"/>
      <c r="B1492"/>
      <c r="C1492"/>
      <c r="D1492"/>
      <c r="E1492"/>
      <c r="F1492" t="str">
        <f>LEFT(AllDaqbookOffsets[[#This Row],[traceability_no]],2)</f>
        <v>N2</v>
      </c>
      <c r="N1492" s="456"/>
      <c r="O1492"/>
      <c r="Z1492" s="460"/>
      <c r="AA1492" s="194"/>
      <c r="AB1492"/>
      <c r="AG1492" s="69"/>
      <c r="AH1492"/>
    </row>
    <row r="1493" spans="1:34" x14ac:dyDescent="0.2">
      <c r="A1493"/>
      <c r="B1493"/>
      <c r="C1493"/>
      <c r="D1493"/>
      <c r="E1493"/>
      <c r="F1493" t="str">
        <f>LEFT(AllDaqbookOffsets[[#This Row],[traceability_no]],2)</f>
        <v>N2</v>
      </c>
      <c r="N1493" s="456"/>
      <c r="O1493"/>
      <c r="Z1493" s="460"/>
      <c r="AA1493" s="194"/>
      <c r="AB1493"/>
      <c r="AG1493" s="69"/>
      <c r="AH1493"/>
    </row>
    <row r="1494" spans="1:34" x14ac:dyDescent="0.2">
      <c r="A1494"/>
      <c r="B1494"/>
      <c r="C1494"/>
      <c r="D1494"/>
      <c r="E1494"/>
      <c r="F1494" t="str">
        <f>LEFT(AllDaqbookOffsets[[#This Row],[traceability_no]],2)</f>
        <v>N2</v>
      </c>
      <c r="N1494" s="456"/>
      <c r="O1494"/>
      <c r="Z1494" s="460"/>
      <c r="AA1494" s="194"/>
      <c r="AB1494"/>
      <c r="AG1494" s="69"/>
      <c r="AH1494"/>
    </row>
    <row r="1495" spans="1:34" x14ac:dyDescent="0.2">
      <c r="A1495"/>
      <c r="B1495"/>
      <c r="C1495"/>
      <c r="D1495"/>
      <c r="E1495"/>
      <c r="F1495" t="str">
        <f>LEFT(AllDaqbookOffsets[[#This Row],[traceability_no]],2)</f>
        <v>N2</v>
      </c>
      <c r="N1495" s="456"/>
      <c r="O1495"/>
      <c r="Z1495" s="460"/>
      <c r="AA1495" s="194"/>
      <c r="AB1495"/>
      <c r="AG1495" s="69"/>
      <c r="AH1495"/>
    </row>
    <row r="1496" spans="1:34" x14ac:dyDescent="0.2">
      <c r="A1496"/>
      <c r="B1496"/>
      <c r="C1496"/>
      <c r="D1496"/>
      <c r="E1496"/>
      <c r="F1496" t="str">
        <f>LEFT(AllDaqbookOffsets[[#This Row],[traceability_no]],2)</f>
        <v>N2</v>
      </c>
      <c r="N1496" s="456"/>
      <c r="O1496"/>
      <c r="Z1496" s="460"/>
      <c r="AA1496" s="194"/>
      <c r="AB1496"/>
      <c r="AG1496" s="69"/>
      <c r="AH1496"/>
    </row>
    <row r="1497" spans="1:34" x14ac:dyDescent="0.2">
      <c r="A1497"/>
      <c r="B1497"/>
      <c r="C1497"/>
      <c r="D1497"/>
      <c r="E1497"/>
      <c r="F1497" t="str">
        <f>LEFT(AllDaqbookOffsets[[#This Row],[traceability_no]],2)</f>
        <v>N2</v>
      </c>
      <c r="N1497" s="456"/>
      <c r="O1497"/>
      <c r="Z1497" s="460"/>
      <c r="AA1497" s="194"/>
      <c r="AB1497"/>
      <c r="AG1497" s="69"/>
      <c r="AH1497"/>
    </row>
    <row r="1498" spans="1:34" x14ac:dyDescent="0.2">
      <c r="A1498"/>
      <c r="B1498"/>
      <c r="C1498"/>
      <c r="D1498"/>
      <c r="E1498"/>
      <c r="F1498" t="str">
        <f>LEFT(AllDaqbookOffsets[[#This Row],[traceability_no]],2)</f>
        <v>N2</v>
      </c>
      <c r="N1498" s="456"/>
      <c r="O1498"/>
      <c r="Z1498" s="460"/>
      <c r="AA1498" s="194"/>
      <c r="AB1498"/>
      <c r="AG1498" s="69"/>
      <c r="AH1498"/>
    </row>
    <row r="1499" spans="1:34" x14ac:dyDescent="0.2">
      <c r="A1499"/>
      <c r="B1499"/>
      <c r="C1499"/>
      <c r="D1499"/>
      <c r="E1499"/>
      <c r="F1499" t="str">
        <f>LEFT(AllDaqbookOffsets[[#This Row],[traceability_no]],2)</f>
        <v>N2</v>
      </c>
      <c r="N1499" s="456"/>
      <c r="O1499"/>
      <c r="Z1499" s="460"/>
      <c r="AA1499" s="194"/>
      <c r="AB1499"/>
      <c r="AG1499" s="69"/>
      <c r="AH1499"/>
    </row>
    <row r="1500" spans="1:34" x14ac:dyDescent="0.2">
      <c r="A1500"/>
      <c r="B1500"/>
      <c r="C1500"/>
      <c r="D1500"/>
      <c r="E1500"/>
      <c r="F1500" t="str">
        <f>LEFT(AllDaqbookOffsets[[#This Row],[traceability_no]],2)</f>
        <v>N2</v>
      </c>
      <c r="N1500" s="456"/>
      <c r="O1500"/>
      <c r="Z1500" s="460"/>
      <c r="AA1500" s="194"/>
      <c r="AB1500"/>
      <c r="AG1500" s="69"/>
      <c r="AH1500"/>
    </row>
    <row r="1501" spans="1:34" x14ac:dyDescent="0.2">
      <c r="A1501"/>
      <c r="B1501"/>
      <c r="C1501"/>
      <c r="D1501"/>
      <c r="E1501"/>
      <c r="F1501" t="str">
        <f>LEFT(AllDaqbookOffsets[[#This Row],[traceability_no]],2)</f>
        <v>N2</v>
      </c>
      <c r="N1501" s="456"/>
      <c r="O1501"/>
      <c r="Z1501" s="460"/>
      <c r="AA1501" s="194"/>
      <c r="AB1501"/>
      <c r="AG1501" s="69"/>
      <c r="AH1501"/>
    </row>
    <row r="1502" spans="1:34" x14ac:dyDescent="0.2">
      <c r="A1502"/>
      <c r="B1502"/>
      <c r="C1502"/>
      <c r="D1502"/>
      <c r="E1502"/>
      <c r="F1502" t="str">
        <f>LEFT(AllDaqbookOffsets[[#This Row],[traceability_no]],2)</f>
        <v>N2</v>
      </c>
      <c r="N1502" s="456"/>
      <c r="O1502"/>
      <c r="Z1502" s="460"/>
      <c r="AA1502" s="194"/>
      <c r="AB1502"/>
      <c r="AG1502" s="69"/>
      <c r="AH1502"/>
    </row>
    <row r="1503" spans="1:34" x14ac:dyDescent="0.2">
      <c r="A1503"/>
      <c r="B1503"/>
      <c r="C1503"/>
      <c r="D1503"/>
      <c r="E1503"/>
      <c r="F1503" t="str">
        <f>LEFT(AllDaqbookOffsets[[#This Row],[traceability_no]],2)</f>
        <v>N2</v>
      </c>
      <c r="N1503" s="456"/>
      <c r="O1503"/>
      <c r="Z1503" s="460"/>
      <c r="AA1503" s="194"/>
      <c r="AB1503"/>
      <c r="AG1503" s="69"/>
      <c r="AH1503"/>
    </row>
    <row r="1504" spans="1:34" x14ac:dyDescent="0.2">
      <c r="A1504"/>
      <c r="B1504"/>
      <c r="C1504"/>
      <c r="D1504"/>
      <c r="E1504"/>
      <c r="F1504" t="str">
        <f>LEFT(AllDaqbookOffsets[[#This Row],[traceability_no]],2)</f>
        <v>N2</v>
      </c>
      <c r="N1504" s="456"/>
      <c r="O1504"/>
      <c r="Z1504" s="460"/>
      <c r="AA1504" s="194"/>
      <c r="AB1504"/>
      <c r="AG1504" s="69"/>
      <c r="AH1504"/>
    </row>
    <row r="1505" spans="1:34" x14ac:dyDescent="0.2">
      <c r="A1505"/>
      <c r="B1505"/>
      <c r="C1505"/>
      <c r="D1505"/>
      <c r="E1505"/>
      <c r="F1505" t="str">
        <f>LEFT(AllDaqbookOffsets[[#This Row],[traceability_no]],2)</f>
        <v>N2</v>
      </c>
      <c r="N1505" s="456"/>
      <c r="O1505"/>
      <c r="Z1505" s="460"/>
      <c r="AA1505" s="194"/>
      <c r="AB1505"/>
      <c r="AG1505" s="69"/>
      <c r="AH1505"/>
    </row>
    <row r="1506" spans="1:34" x14ac:dyDescent="0.2">
      <c r="A1506"/>
      <c r="B1506"/>
      <c r="C1506"/>
      <c r="D1506"/>
      <c r="E1506"/>
      <c r="F1506" t="str">
        <f>LEFT(AllDaqbookOffsets[[#This Row],[traceability_no]],2)</f>
        <v>N2</v>
      </c>
      <c r="N1506" s="456"/>
      <c r="O1506"/>
      <c r="Z1506" s="460"/>
      <c r="AA1506" s="194"/>
      <c r="AB1506"/>
      <c r="AG1506" s="69"/>
      <c r="AH1506"/>
    </row>
    <row r="1507" spans="1:34" x14ac:dyDescent="0.2">
      <c r="A1507"/>
      <c r="B1507"/>
      <c r="C1507"/>
      <c r="D1507"/>
      <c r="E1507"/>
      <c r="F1507" t="str">
        <f>LEFT(AllDaqbookOffsets[[#This Row],[traceability_no]],2)</f>
        <v>N2</v>
      </c>
      <c r="N1507" s="456"/>
      <c r="O1507"/>
      <c r="Z1507" s="460"/>
      <c r="AA1507" s="194"/>
      <c r="AB1507"/>
      <c r="AG1507" s="69"/>
      <c r="AH1507"/>
    </row>
    <row r="1508" spans="1:34" x14ac:dyDescent="0.2">
      <c r="A1508"/>
      <c r="B1508"/>
      <c r="C1508"/>
      <c r="D1508"/>
      <c r="E1508"/>
      <c r="F1508" t="str">
        <f>LEFT(AllDaqbookOffsets[[#This Row],[traceability_no]],2)</f>
        <v>N2</v>
      </c>
      <c r="N1508" s="456"/>
      <c r="O1508"/>
      <c r="Z1508" s="460"/>
      <c r="AA1508" s="194"/>
      <c r="AB1508"/>
      <c r="AG1508" s="69"/>
      <c r="AH1508"/>
    </row>
    <row r="1509" spans="1:34" x14ac:dyDescent="0.2">
      <c r="A1509"/>
      <c r="B1509"/>
      <c r="C1509"/>
      <c r="D1509"/>
      <c r="E1509"/>
      <c r="F1509" t="str">
        <f>LEFT(AllDaqbookOffsets[[#This Row],[traceability_no]],2)</f>
        <v>N2</v>
      </c>
      <c r="N1509" s="456"/>
      <c r="O1509"/>
      <c r="Z1509" s="460"/>
      <c r="AA1509" s="194"/>
      <c r="AB1509"/>
      <c r="AG1509" s="69"/>
      <c r="AH1509"/>
    </row>
    <row r="1510" spans="1:34" x14ac:dyDescent="0.2">
      <c r="A1510"/>
      <c r="B1510"/>
      <c r="C1510"/>
      <c r="D1510"/>
      <c r="E1510"/>
      <c r="F1510" t="str">
        <f>LEFT(AllDaqbookOffsets[[#This Row],[traceability_no]],2)</f>
        <v>N2</v>
      </c>
      <c r="N1510" s="456"/>
      <c r="O1510"/>
      <c r="Z1510" s="460"/>
      <c r="AA1510" s="194"/>
      <c r="AB1510"/>
      <c r="AG1510" s="69"/>
      <c r="AH1510"/>
    </row>
    <row r="1511" spans="1:34" x14ac:dyDescent="0.2">
      <c r="A1511"/>
      <c r="B1511"/>
      <c r="C1511"/>
      <c r="D1511"/>
      <c r="E1511"/>
      <c r="F1511" t="str">
        <f>LEFT(AllDaqbookOffsets[[#This Row],[traceability_no]],2)</f>
        <v>N2</v>
      </c>
      <c r="N1511" s="456"/>
      <c r="O1511"/>
      <c r="Z1511" s="460"/>
      <c r="AA1511" s="194"/>
      <c r="AB1511"/>
      <c r="AG1511" s="69"/>
      <c r="AH1511"/>
    </row>
    <row r="1512" spans="1:34" x14ac:dyDescent="0.2">
      <c r="A1512"/>
      <c r="B1512"/>
      <c r="C1512"/>
      <c r="D1512"/>
      <c r="E1512"/>
      <c r="F1512" t="str">
        <f>LEFT(AllDaqbookOffsets[[#This Row],[traceability_no]],2)</f>
        <v>N2</v>
      </c>
      <c r="N1512" s="456"/>
      <c r="O1512"/>
      <c r="Z1512" s="460"/>
      <c r="AA1512" s="194"/>
      <c r="AB1512"/>
      <c r="AG1512" s="69"/>
      <c r="AH1512"/>
    </row>
    <row r="1513" spans="1:34" x14ac:dyDescent="0.2">
      <c r="A1513"/>
      <c r="B1513"/>
      <c r="C1513"/>
      <c r="D1513"/>
      <c r="E1513"/>
      <c r="F1513" t="str">
        <f>LEFT(AllDaqbookOffsets[[#This Row],[traceability_no]],2)</f>
        <v>N2</v>
      </c>
      <c r="N1513" s="456"/>
      <c r="O1513"/>
      <c r="Z1513" s="460"/>
      <c r="AA1513" s="194"/>
      <c r="AB1513"/>
      <c r="AG1513" s="69"/>
      <c r="AH1513"/>
    </row>
    <row r="1514" spans="1:34" x14ac:dyDescent="0.2">
      <c r="A1514"/>
      <c r="B1514"/>
      <c r="C1514"/>
      <c r="D1514"/>
      <c r="E1514"/>
      <c r="F1514" t="str">
        <f>LEFT(AllDaqbookOffsets[[#This Row],[traceability_no]],2)</f>
        <v>N2</v>
      </c>
      <c r="N1514" s="456"/>
      <c r="O1514"/>
      <c r="Z1514" s="460"/>
      <c r="AA1514" s="194"/>
      <c r="AB1514"/>
      <c r="AG1514" s="69"/>
      <c r="AH1514"/>
    </row>
    <row r="1515" spans="1:34" x14ac:dyDescent="0.2">
      <c r="A1515"/>
      <c r="B1515"/>
      <c r="C1515"/>
      <c r="D1515"/>
      <c r="E1515"/>
      <c r="F1515" t="str">
        <f>LEFT(AllDaqbookOffsets[[#This Row],[traceability_no]],2)</f>
        <v>N2</v>
      </c>
      <c r="N1515" s="456"/>
      <c r="O1515"/>
      <c r="Z1515" s="460"/>
      <c r="AA1515" s="194"/>
      <c r="AB1515"/>
      <c r="AG1515" s="69"/>
      <c r="AH1515"/>
    </row>
    <row r="1516" spans="1:34" x14ac:dyDescent="0.2">
      <c r="A1516"/>
      <c r="B1516"/>
      <c r="C1516"/>
      <c r="D1516"/>
      <c r="E1516"/>
      <c r="F1516" t="str">
        <f>LEFT(AllDaqbookOffsets[[#This Row],[traceability_no]],2)</f>
        <v>N2</v>
      </c>
      <c r="N1516" s="456"/>
      <c r="O1516"/>
      <c r="Z1516" s="460"/>
      <c r="AA1516" s="194"/>
      <c r="AB1516"/>
      <c r="AG1516" s="69"/>
      <c r="AH1516"/>
    </row>
    <row r="1517" spans="1:34" x14ac:dyDescent="0.2">
      <c r="A1517"/>
      <c r="B1517"/>
      <c r="C1517"/>
      <c r="D1517"/>
      <c r="E1517"/>
      <c r="F1517" t="str">
        <f>LEFT(AllDaqbookOffsets[[#This Row],[traceability_no]],2)</f>
        <v>N2</v>
      </c>
      <c r="N1517" s="456"/>
      <c r="O1517"/>
      <c r="Z1517" s="460"/>
      <c r="AA1517" s="194"/>
      <c r="AB1517"/>
      <c r="AG1517" s="69"/>
      <c r="AH1517"/>
    </row>
    <row r="1518" spans="1:34" x14ac:dyDescent="0.2">
      <c r="A1518"/>
      <c r="B1518"/>
      <c r="C1518"/>
      <c r="D1518"/>
      <c r="E1518"/>
      <c r="F1518" t="str">
        <f>LEFT(AllDaqbookOffsets[[#This Row],[traceability_no]],2)</f>
        <v>N2</v>
      </c>
      <c r="N1518" s="456"/>
      <c r="O1518"/>
      <c r="Z1518" s="460"/>
      <c r="AA1518" s="194"/>
      <c r="AB1518"/>
      <c r="AG1518" s="69"/>
      <c r="AH1518"/>
    </row>
    <row r="1519" spans="1:34" x14ac:dyDescent="0.2">
      <c r="A1519"/>
      <c r="B1519"/>
      <c r="C1519"/>
      <c r="D1519"/>
      <c r="E1519"/>
      <c r="F1519" t="str">
        <f>LEFT(AllDaqbookOffsets[[#This Row],[traceability_no]],2)</f>
        <v>N2</v>
      </c>
      <c r="N1519" s="456"/>
      <c r="O1519"/>
      <c r="Z1519" s="460"/>
      <c r="AA1519" s="194"/>
      <c r="AB1519"/>
      <c r="AG1519" s="69"/>
      <c r="AH1519"/>
    </row>
    <row r="1520" spans="1:34" x14ac:dyDescent="0.2">
      <c r="A1520"/>
      <c r="B1520"/>
      <c r="C1520"/>
      <c r="D1520"/>
      <c r="E1520"/>
      <c r="F1520" t="str">
        <f>LEFT(AllDaqbookOffsets[[#This Row],[traceability_no]],2)</f>
        <v>N2</v>
      </c>
      <c r="N1520" s="456"/>
      <c r="O1520"/>
      <c r="Z1520" s="460"/>
      <c r="AA1520" s="194"/>
      <c r="AB1520"/>
      <c r="AG1520" s="69"/>
      <c r="AH1520"/>
    </row>
    <row r="1521" spans="1:34" x14ac:dyDescent="0.2">
      <c r="A1521"/>
      <c r="B1521"/>
      <c r="C1521"/>
      <c r="D1521"/>
      <c r="E1521"/>
      <c r="F1521" t="str">
        <f>LEFT(AllDaqbookOffsets[[#This Row],[traceability_no]],2)</f>
        <v>N2</v>
      </c>
      <c r="N1521" s="456"/>
      <c r="O1521"/>
      <c r="Z1521" s="460"/>
      <c r="AA1521" s="194"/>
      <c r="AB1521"/>
      <c r="AG1521" s="69"/>
      <c r="AH1521"/>
    </row>
    <row r="1522" spans="1:34" x14ac:dyDescent="0.2">
      <c r="A1522"/>
      <c r="B1522"/>
      <c r="C1522"/>
      <c r="D1522"/>
      <c r="E1522"/>
      <c r="F1522" t="str">
        <f>LEFT(AllDaqbookOffsets[[#This Row],[traceability_no]],2)</f>
        <v>N2</v>
      </c>
      <c r="N1522" s="456"/>
      <c r="O1522"/>
      <c r="Z1522" s="460"/>
      <c r="AA1522" s="194"/>
      <c r="AB1522"/>
      <c r="AG1522" s="69"/>
      <c r="AH1522"/>
    </row>
    <row r="1523" spans="1:34" x14ac:dyDescent="0.2">
      <c r="A1523"/>
      <c r="B1523"/>
      <c r="C1523"/>
      <c r="D1523"/>
      <c r="E1523"/>
      <c r="F1523" t="str">
        <f>LEFT(AllDaqbookOffsets[[#This Row],[traceability_no]],2)</f>
        <v>N2</v>
      </c>
      <c r="N1523" s="456"/>
      <c r="O1523"/>
      <c r="Z1523" s="460"/>
      <c r="AA1523" s="194"/>
      <c r="AB1523"/>
      <c r="AG1523" s="69"/>
      <c r="AH1523"/>
    </row>
    <row r="1524" spans="1:34" x14ac:dyDescent="0.2">
      <c r="A1524"/>
      <c r="B1524"/>
      <c r="C1524"/>
      <c r="D1524"/>
      <c r="E1524"/>
      <c r="F1524" t="str">
        <f>LEFT(AllDaqbookOffsets[[#This Row],[traceability_no]],2)</f>
        <v>N2</v>
      </c>
      <c r="N1524" s="456"/>
      <c r="O1524"/>
      <c r="Z1524" s="460"/>
      <c r="AA1524" s="194"/>
      <c r="AB1524"/>
      <c r="AG1524" s="69"/>
      <c r="AH1524"/>
    </row>
    <row r="1525" spans="1:34" x14ac:dyDescent="0.2">
      <c r="A1525"/>
      <c r="B1525"/>
      <c r="C1525"/>
      <c r="D1525"/>
      <c r="E1525"/>
      <c r="F1525" t="str">
        <f>LEFT(AllDaqbookOffsets[[#This Row],[traceability_no]],2)</f>
        <v>N2</v>
      </c>
      <c r="N1525" s="456"/>
      <c r="O1525"/>
      <c r="Z1525" s="460"/>
      <c r="AA1525" s="194"/>
      <c r="AB1525"/>
      <c r="AG1525" s="69"/>
      <c r="AH1525"/>
    </row>
    <row r="1526" spans="1:34" x14ac:dyDescent="0.2">
      <c r="A1526"/>
      <c r="B1526"/>
      <c r="C1526"/>
      <c r="D1526"/>
      <c r="E1526"/>
      <c r="F1526" t="str">
        <f>LEFT(AllDaqbookOffsets[[#This Row],[traceability_no]],2)</f>
        <v>N2</v>
      </c>
      <c r="N1526" s="456"/>
      <c r="O1526"/>
      <c r="Z1526" s="460"/>
      <c r="AA1526" s="194"/>
      <c r="AB1526"/>
      <c r="AG1526" s="69"/>
      <c r="AH1526"/>
    </row>
    <row r="1527" spans="1:34" x14ac:dyDescent="0.2">
      <c r="A1527"/>
      <c r="B1527"/>
      <c r="C1527"/>
      <c r="D1527"/>
      <c r="E1527"/>
      <c r="F1527" t="str">
        <f>LEFT(AllDaqbookOffsets[[#This Row],[traceability_no]],2)</f>
        <v>N2</v>
      </c>
      <c r="N1527" s="456"/>
      <c r="O1527"/>
      <c r="Z1527" s="460"/>
      <c r="AA1527" s="194"/>
      <c r="AB1527"/>
      <c r="AG1527" s="69"/>
      <c r="AH1527"/>
    </row>
    <row r="1528" spans="1:34" x14ac:dyDescent="0.2">
      <c r="A1528"/>
      <c r="B1528"/>
      <c r="C1528"/>
      <c r="D1528"/>
      <c r="E1528"/>
      <c r="F1528" t="str">
        <f>LEFT(AllDaqbookOffsets[[#This Row],[traceability_no]],2)</f>
        <v>N2</v>
      </c>
      <c r="N1528" s="456"/>
      <c r="O1528"/>
      <c r="Z1528" s="460"/>
      <c r="AA1528" s="194"/>
      <c r="AB1528"/>
      <c r="AG1528" s="69"/>
      <c r="AH1528"/>
    </row>
    <row r="1529" spans="1:34" x14ac:dyDescent="0.2">
      <c r="A1529"/>
      <c r="B1529"/>
      <c r="C1529"/>
      <c r="D1529"/>
      <c r="E1529"/>
      <c r="F1529" t="str">
        <f>LEFT(AllDaqbookOffsets[[#This Row],[traceability_no]],2)</f>
        <v>N2</v>
      </c>
      <c r="N1529" s="456"/>
      <c r="O1529"/>
      <c r="Z1529" s="460"/>
      <c r="AA1529" s="194"/>
      <c r="AB1529"/>
      <c r="AG1529" s="69"/>
      <c r="AH1529"/>
    </row>
    <row r="1530" spans="1:34" x14ac:dyDescent="0.2">
      <c r="A1530"/>
      <c r="B1530"/>
      <c r="C1530"/>
      <c r="D1530"/>
      <c r="E1530"/>
      <c r="F1530" t="str">
        <f>LEFT(AllDaqbookOffsets[[#This Row],[traceability_no]],2)</f>
        <v>N2</v>
      </c>
      <c r="N1530" s="456"/>
      <c r="O1530"/>
      <c r="Z1530" s="460"/>
      <c r="AA1530" s="194"/>
      <c r="AB1530"/>
      <c r="AG1530" s="69"/>
      <c r="AH1530"/>
    </row>
    <row r="1531" spans="1:34" x14ac:dyDescent="0.2">
      <c r="A1531"/>
      <c r="B1531"/>
      <c r="C1531"/>
      <c r="D1531"/>
      <c r="E1531"/>
      <c r="F1531" t="str">
        <f>LEFT(AllDaqbookOffsets[[#This Row],[traceability_no]],2)</f>
        <v>N2</v>
      </c>
      <c r="N1531" s="456"/>
      <c r="O1531"/>
      <c r="Z1531" s="460"/>
      <c r="AA1531" s="194"/>
      <c r="AB1531"/>
      <c r="AG1531" s="69"/>
      <c r="AH1531"/>
    </row>
    <row r="1532" spans="1:34" x14ac:dyDescent="0.2">
      <c r="A1532"/>
      <c r="B1532"/>
      <c r="C1532"/>
      <c r="D1532"/>
      <c r="E1532"/>
      <c r="F1532" t="str">
        <f>LEFT(AllDaqbookOffsets[[#This Row],[traceability_no]],2)</f>
        <v>N2</v>
      </c>
      <c r="N1532" s="456"/>
      <c r="O1532"/>
      <c r="Z1532" s="460"/>
      <c r="AA1532" s="194"/>
      <c r="AB1532"/>
      <c r="AG1532" s="69"/>
      <c r="AH1532"/>
    </row>
    <row r="1533" spans="1:34" x14ac:dyDescent="0.2">
      <c r="A1533"/>
      <c r="B1533"/>
      <c r="C1533"/>
      <c r="D1533"/>
      <c r="E1533"/>
      <c r="F1533" t="str">
        <f>LEFT(AllDaqbookOffsets[[#This Row],[traceability_no]],2)</f>
        <v>N2</v>
      </c>
      <c r="N1533" s="456"/>
      <c r="O1533"/>
      <c r="Z1533" s="460"/>
      <c r="AA1533" s="194"/>
      <c r="AB1533"/>
      <c r="AG1533" s="69"/>
      <c r="AH1533"/>
    </row>
    <row r="1534" spans="1:34" x14ac:dyDescent="0.2">
      <c r="A1534"/>
      <c r="B1534"/>
      <c r="C1534"/>
      <c r="D1534"/>
      <c r="E1534"/>
      <c r="F1534" t="str">
        <f>LEFT(AllDaqbookOffsets[[#This Row],[traceability_no]],2)</f>
        <v>N2</v>
      </c>
      <c r="N1534" s="456"/>
      <c r="O1534"/>
      <c r="Z1534" s="460"/>
      <c r="AA1534" s="194"/>
      <c r="AB1534"/>
      <c r="AG1534" s="69"/>
      <c r="AH1534"/>
    </row>
    <row r="1535" spans="1:34" x14ac:dyDescent="0.2">
      <c r="A1535"/>
      <c r="B1535"/>
      <c r="C1535"/>
      <c r="D1535"/>
      <c r="E1535"/>
      <c r="F1535" t="str">
        <f>LEFT(AllDaqbookOffsets[[#This Row],[traceability_no]],2)</f>
        <v>N2</v>
      </c>
      <c r="N1535" s="456"/>
      <c r="O1535"/>
      <c r="Z1535" s="460"/>
      <c r="AA1535" s="194"/>
      <c r="AB1535"/>
      <c r="AG1535" s="69"/>
      <c r="AH1535"/>
    </row>
    <row r="1536" spans="1:34" x14ac:dyDescent="0.2">
      <c r="A1536"/>
      <c r="B1536"/>
      <c r="C1536"/>
      <c r="D1536"/>
      <c r="E1536"/>
      <c r="F1536" t="str">
        <f>LEFT(AllDaqbookOffsets[[#This Row],[traceability_no]],2)</f>
        <v>N2</v>
      </c>
      <c r="N1536" s="456"/>
      <c r="O1536"/>
      <c r="Z1536" s="460"/>
      <c r="AA1536" s="194"/>
      <c r="AB1536"/>
      <c r="AG1536" s="69"/>
      <c r="AH1536"/>
    </row>
    <row r="1537" spans="1:34" x14ac:dyDescent="0.2">
      <c r="A1537"/>
      <c r="B1537"/>
      <c r="C1537"/>
      <c r="D1537"/>
      <c r="E1537"/>
      <c r="F1537" t="str">
        <f>LEFT(AllDaqbookOffsets[[#This Row],[traceability_no]],2)</f>
        <v>N2</v>
      </c>
      <c r="N1537" s="456"/>
      <c r="O1537"/>
      <c r="Z1537" s="460"/>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kvkdnC7H0HVNdrKszdk15pfN7PPIFSRy4nPkyKXxePHuh+lhj98KU00aYTqZKMu/bPjDVTRnA0+YhtVk7jHBeQ==" saltValue="OVRPyFDO5ljvwTl2o7q3XA=="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21" t="s">
        <v>49</v>
      </c>
      <c r="D1" s="522"/>
      <c r="E1" s="522"/>
      <c r="F1" s="522"/>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3" t="s">
        <v>98</v>
      </c>
      <c r="K3" s="524"/>
      <c r="L3" s="525"/>
      <c r="M3" s="299"/>
      <c r="N3" s="539" t="s">
        <v>87</v>
      </c>
      <c r="O3" s="539"/>
      <c r="P3" s="539"/>
      <c r="Q3" s="539"/>
      <c r="R3" s="539"/>
      <c r="S3" s="539"/>
    </row>
    <row r="4" spans="1:19" s="277" customFormat="1" x14ac:dyDescent="0.2">
      <c r="A4" s="317"/>
      <c r="B4" s="140"/>
      <c r="C4" s="141" t="s">
        <v>187</v>
      </c>
      <c r="D4" s="284" t="str">
        <f>IF(Condition="","",Condition)</f>
        <v/>
      </c>
      <c r="F4" s="299"/>
      <c r="G4" s="299"/>
      <c r="H4" s="299"/>
      <c r="I4" s="479" t="s">
        <v>757</v>
      </c>
      <c r="J4" s="528" t="s">
        <v>1</v>
      </c>
      <c r="K4" s="529"/>
      <c r="L4" s="142">
        <f>MAX(Survey[Deviations])</f>
        <v>0</v>
      </c>
      <c r="M4" s="299"/>
      <c r="N4" s="143" t="s">
        <v>86</v>
      </c>
      <c r="O4" s="144" t="s">
        <v>85</v>
      </c>
      <c r="P4" s="526" t="s">
        <v>96</v>
      </c>
      <c r="Q4" s="527"/>
      <c r="R4" s="143" t="s">
        <v>128</v>
      </c>
      <c r="S4" s="143" t="s">
        <v>132</v>
      </c>
    </row>
    <row r="5" spans="1:19" s="277" customFormat="1" x14ac:dyDescent="0.2">
      <c r="A5" s="317"/>
      <c r="B5" s="140"/>
      <c r="C5" s="141" t="s">
        <v>41</v>
      </c>
      <c r="D5" s="543" t="e">
        <f>companyName</f>
        <v>#N/A</v>
      </c>
      <c r="E5" s="544"/>
      <c r="F5" s="544"/>
      <c r="G5" s="544"/>
      <c r="H5" s="545"/>
      <c r="I5" s="480" t="e">
        <f>clientCompanyId</f>
        <v>#N/A</v>
      </c>
      <c r="J5" s="528" t="s">
        <v>2</v>
      </c>
      <c r="K5" s="529"/>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40" t="e">
        <f>_xlfn.XLOOKUP(D24,WorkItemsCache[OrderItemNumber],WorkItemsCache[AssetName])</f>
        <v>#N/A</v>
      </c>
      <c r="E6" s="541"/>
      <c r="F6" s="541"/>
      <c r="G6" s="541"/>
      <c r="H6" s="542"/>
      <c r="I6" s="480" t="e">
        <f>AssetId</f>
        <v>#N/A</v>
      </c>
      <c r="J6" s="528" t="s">
        <v>97</v>
      </c>
      <c r="K6" s="529"/>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7"/>
      <c r="L13" s="538"/>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6"/>
      <c r="L14" s="547"/>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32"/>
      <c r="L15" s="533"/>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494" t="s">
        <v>150</v>
      </c>
      <c r="K16" s="495"/>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494" t="s">
        <v>151</v>
      </c>
      <c r="K17" s="495"/>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548" t="s">
        <v>19</v>
      </c>
      <c r="H18" s="549"/>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30" t="str">
        <f>IF(K15="Salt",0, IF(OR(K15="Hot",K15="SIM Load Hot"),IF(OR(D26="",D28=""),"N/A",IF(ISBLANK(D26),"N/A",D28-D26)),"N/A"))</f>
        <v>N/A</v>
      </c>
      <c r="H19" s="531"/>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34" t="s">
        <v>433</v>
      </c>
      <c r="C20" s="535"/>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11" t="s">
        <v>296</v>
      </c>
      <c r="H23" s="512"/>
      <c r="I23" s="512"/>
      <c r="J23" s="512"/>
      <c r="K23" s="513"/>
      <c r="L23" s="300"/>
      <c r="M23" s="299"/>
      <c r="N23" s="397">
        <v>19</v>
      </c>
      <c r="O23" s="145"/>
      <c r="P23" s="449" t="str">
        <v/>
      </c>
      <c r="Q23" s="450"/>
      <c r="R23" s="448" t="e">
        <v>#VALUE!</v>
      </c>
      <c r="S23" s="146" t="str">
        <v/>
      </c>
      <c r="T23" s="423"/>
      <c r="U23" s="285" t="s">
        <v>412</v>
      </c>
      <c r="V23" s="285">
        <f>V20+V21</f>
        <v>40</v>
      </c>
    </row>
    <row r="24" spans="2:22" s="277" customFormat="1" x14ac:dyDescent="0.2">
      <c r="B24" s="534" t="s">
        <v>322</v>
      </c>
      <c r="C24" s="536"/>
      <c r="D24" s="281">
        <v>1</v>
      </c>
      <c r="E24" s="299"/>
      <c r="F24" s="159" t="s">
        <v>94</v>
      </c>
      <c r="G24" s="514"/>
      <c r="H24" s="515"/>
      <c r="I24" s="515"/>
      <c r="J24" s="515"/>
      <c r="K24" s="516"/>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14"/>
      <c r="H25" s="515"/>
      <c r="I25" s="515"/>
      <c r="J25" s="515"/>
      <c r="K25" s="516"/>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09" t="str">
        <f>IF(ISBLANK(D6),"",IF(CheckRec="x","CHECK INSTRUMENT CAL DATES!!!!             CHECK INSTRUMENT CAL DATES!!!!",""))</f>
        <v/>
      </c>
      <c r="I27" s="510"/>
      <c r="J27" s="510"/>
      <c r="K27" s="510"/>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09"/>
      <c r="I28" s="510"/>
      <c r="J28" s="510"/>
      <c r="K28" s="510"/>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23" t="s">
        <v>48</v>
      </c>
      <c r="C34" s="524"/>
      <c r="D34" s="524"/>
      <c r="E34" s="524"/>
      <c r="F34" s="524"/>
      <c r="G34" s="524"/>
      <c r="H34" s="524"/>
      <c r="I34" s="524"/>
      <c r="J34" s="524"/>
      <c r="K34" s="524"/>
      <c r="L34" s="525"/>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491" t="s">
        <v>33</v>
      </c>
      <c r="E46" s="492"/>
      <c r="F46" s="492"/>
      <c r="G46" s="492"/>
      <c r="H46" s="492"/>
      <c r="I46" s="493"/>
      <c r="J46" s="342"/>
      <c r="K46" s="342"/>
      <c r="L46" s="342"/>
      <c r="M46" s="517" t="s">
        <v>258</v>
      </c>
      <c r="N46" s="518"/>
      <c r="O46" s="519"/>
      <c r="P46" s="520"/>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498" t="s">
        <v>261</v>
      </c>
      <c r="Q47" s="498"/>
      <c r="R47" s="377" t="s">
        <v>262</v>
      </c>
      <c r="T47" s="303"/>
      <c r="U47" s="303"/>
    </row>
    <row r="48" spans="1:24" x14ac:dyDescent="0.2">
      <c r="A48" s="317"/>
      <c r="B48" s="340"/>
      <c r="C48" s="375" t="s">
        <v>34</v>
      </c>
      <c r="D48" s="287"/>
      <c r="E48" s="287"/>
      <c r="F48" s="287"/>
      <c r="G48" s="287"/>
      <c r="H48" s="287"/>
      <c r="I48" s="287"/>
      <c r="J48" s="342"/>
      <c r="K48" s="342"/>
      <c r="L48" s="342"/>
      <c r="M48" s="499" t="s">
        <v>263</v>
      </c>
      <c r="N48" s="499"/>
      <c r="O48" s="344"/>
      <c r="P48" s="500" t="s">
        <v>304</v>
      </c>
      <c r="Q48" s="501"/>
      <c r="R48" s="502"/>
      <c r="S48" s="459" t="b">
        <f>_xlfn.REGEXTEST(TRIM(Class),"^[0-9][AC]",1)</f>
        <v>0</v>
      </c>
      <c r="T48" s="304"/>
      <c r="U48" s="500" t="s">
        <v>307</v>
      </c>
      <c r="V48" s="501"/>
      <c r="W48" s="502"/>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3" t="s">
        <v>309</v>
      </c>
      <c r="Q49" s="504"/>
      <c r="R49" s="505"/>
      <c r="S49" s="378" t="str">
        <f>IF($S$48, IF(MAX(Survey[RawTemp])&lt;=HalfTolMax,"Yes","No"), "")</f>
        <v/>
      </c>
      <c r="T49" s="305"/>
      <c r="U49" s="503" t="s">
        <v>308</v>
      </c>
      <c r="V49" s="504"/>
      <c r="W49" s="505"/>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506" t="s">
        <v>266</v>
      </c>
      <c r="Q50" s="507"/>
      <c r="R50" s="508"/>
      <c r="S50" s="345"/>
      <c r="T50" s="306"/>
      <c r="U50" s="506" t="s">
        <v>266</v>
      </c>
      <c r="V50" s="507"/>
      <c r="W50" s="508"/>
      <c r="X50" s="303"/>
    </row>
    <row r="51" spans="3:24" x14ac:dyDescent="0.2">
      <c r="C51" s="374" t="s">
        <v>54</v>
      </c>
      <c r="D51" s="287"/>
      <c r="E51" s="287"/>
      <c r="F51" s="287"/>
      <c r="G51" s="287"/>
      <c r="H51" s="287"/>
      <c r="I51" s="287"/>
      <c r="J51" s="342"/>
      <c r="K51" s="346"/>
      <c r="L51" s="342"/>
      <c r="M51" s="361" t="s">
        <v>267</v>
      </c>
      <c r="N51" s="296" t="str">
        <f>IF(Derivative="","",Derivative)</f>
        <v/>
      </c>
      <c r="O51" s="299"/>
      <c r="P51" s="503" t="s">
        <v>305</v>
      </c>
      <c r="Q51" s="504"/>
      <c r="R51" s="505"/>
      <c r="S51" s="378"/>
      <c r="T51" s="307"/>
      <c r="U51" s="503" t="s">
        <v>310</v>
      </c>
      <c r="V51" s="504"/>
      <c r="W51" s="505"/>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506" t="s">
        <v>266</v>
      </c>
      <c r="Q52" s="507"/>
      <c r="R52" s="508"/>
      <c r="S52" s="345"/>
      <c r="T52" s="308"/>
      <c r="U52" s="506" t="s">
        <v>266</v>
      </c>
      <c r="V52" s="507"/>
      <c r="W52" s="508"/>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550" t="s">
        <v>306</v>
      </c>
      <c r="Q53" s="551"/>
      <c r="R53" s="552"/>
      <c r="S53" s="378"/>
      <c r="T53" s="309"/>
      <c r="U53" s="550" t="s">
        <v>311</v>
      </c>
      <c r="V53" s="551"/>
      <c r="W53" s="552"/>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553"/>
      <c r="Q54" s="554"/>
      <c r="R54" s="555"/>
      <c r="S54" s="349"/>
      <c r="T54" s="310"/>
      <c r="U54" s="553"/>
      <c r="V54" s="554"/>
      <c r="W54" s="555"/>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491" t="s">
        <v>145</v>
      </c>
      <c r="D58" s="492"/>
      <c r="E58" s="492"/>
      <c r="F58" s="492"/>
      <c r="G58" s="492"/>
      <c r="H58" s="492"/>
      <c r="I58" s="492"/>
      <c r="J58" s="492"/>
      <c r="K58" s="496"/>
      <c r="L58" s="497"/>
      <c r="M58" s="303"/>
      <c r="N58" s="303"/>
      <c r="O58" s="303"/>
      <c r="P58" s="299"/>
      <c r="Q58" s="446"/>
      <c r="S58" s="303"/>
      <c r="T58" s="303"/>
      <c r="U58" s="303"/>
      <c r="V58" s="444"/>
    </row>
    <row r="59" spans="3:24" x14ac:dyDescent="0.2">
      <c r="C59" s="491" t="s">
        <v>148</v>
      </c>
      <c r="D59" s="492"/>
      <c r="E59" s="492"/>
      <c r="F59" s="492"/>
      <c r="G59" s="492"/>
      <c r="H59" s="492"/>
      <c r="I59" s="492"/>
      <c r="J59" s="492"/>
      <c r="K59" s="492"/>
      <c r="L59" s="493"/>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w3vMVn5Cgt2++RGgymmakIhIs2su7D8IkqCfPJ5waoLNyCA7sscVk7XzC31LogZ0fw5fkvqGgbkrZ0mcX1E3iA==" saltValue="2PqRNHF+HCJgdca1cDT8Sg=="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ErVwBSB5e8IHwI74sMVyTfVhPzJT28DuFcg8JpZLj3SapOeUpphqav6C+pEfqJKR0jIE0Jg2BPLdbZrwyaOl5w==" saltValue="AiF2y+vQGo8/YfK9N+MhK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Iy7x8pZ8FICNM2NgaizG3Xp5m73YRowJ5VqMYpLMjGW4u0E4Cq3KcU/pi+zDZvfs6YlNcQDJdDTj5TdUS13pDw==" saltValue="7WtvONUgQzQTaDrDZ3XI9A=="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YdF2knHLPjfMD7+KUyyYlny1arU29KATnKy+Jm5ZtKhDIZujhfqRacFzhRzyPhSjGQU3GEKezb3KTYvc2pqBOg==" saltValue="Hql8XXO1mQNmVh5ssz92h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30" sqref="H30:K3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80" t="s">
        <v>107</v>
      </c>
      <c r="E1" s="580"/>
      <c r="F1" s="580"/>
      <c r="G1" s="580"/>
      <c r="H1" s="580"/>
      <c r="I1" s="580"/>
      <c r="J1" s="580"/>
      <c r="K1" s="580"/>
      <c r="L1" s="580"/>
      <c r="M1" s="580"/>
    </row>
    <row r="2" spans="1:18" ht="23.25" customHeight="1" x14ac:dyDescent="0.3">
      <c r="C2" s="229"/>
      <c r="D2" s="229" t="s">
        <v>254</v>
      </c>
      <c r="E2" s="229"/>
      <c r="F2" s="229"/>
      <c r="G2" s="229"/>
      <c r="H2" s="229"/>
      <c r="I2" s="229"/>
      <c r="J2" s="229"/>
      <c r="K2" s="229"/>
      <c r="L2" s="229"/>
      <c r="M2" s="229"/>
    </row>
    <row r="3" spans="1:18" ht="23.25" x14ac:dyDescent="0.35">
      <c r="C3" s="581"/>
      <c r="D3" s="581"/>
      <c r="E3" s="581"/>
      <c r="F3" s="581"/>
      <c r="G3" s="581"/>
      <c r="H3" s="581"/>
      <c r="I3" s="581"/>
      <c r="J3" s="581"/>
      <c r="K3" s="581"/>
      <c r="L3" s="581"/>
      <c r="M3" s="581"/>
    </row>
    <row r="4" spans="1:18" ht="23.25" x14ac:dyDescent="0.35">
      <c r="C4" s="213"/>
      <c r="D4" s="213"/>
      <c r="E4" s="213"/>
      <c r="F4" s="213"/>
      <c r="G4" s="213"/>
      <c r="H4" s="213"/>
      <c r="I4" s="213"/>
      <c r="J4" s="213"/>
      <c r="K4" s="213"/>
      <c r="L4" s="213"/>
      <c r="M4" s="213"/>
    </row>
    <row r="5" spans="1:18" ht="23.25" x14ac:dyDescent="0.35">
      <c r="C5" s="577" t="s">
        <v>6</v>
      </c>
      <c r="D5" s="577"/>
      <c r="E5" s="577"/>
      <c r="F5" s="577"/>
      <c r="G5" s="577"/>
      <c r="H5" s="577"/>
      <c r="I5" s="577"/>
      <c r="J5" s="577"/>
      <c r="K5" s="577"/>
      <c r="L5" s="577"/>
      <c r="M5" s="577"/>
    </row>
    <row r="6" spans="1:18" ht="23.25" x14ac:dyDescent="0.35">
      <c r="C6" s="214"/>
      <c r="D6" s="214"/>
      <c r="E6" s="597" t="str">
        <f>IFERROR(CONCATENATE("Report Number: ", WorkItemNumber),"")</f>
        <v/>
      </c>
      <c r="F6" s="597"/>
      <c r="G6" s="597"/>
      <c r="H6" s="597"/>
      <c r="I6" s="597"/>
      <c r="J6" s="597"/>
      <c r="K6" s="597"/>
      <c r="L6" s="214"/>
      <c r="M6" s="214"/>
    </row>
    <row r="7" spans="1:18" ht="18.75" customHeight="1" x14ac:dyDescent="0.3">
      <c r="G7" s="578"/>
      <c r="H7" s="578"/>
      <c r="I7" s="191"/>
      <c r="R7" t="str">
        <f>CONCATENATE("Page ",Main!L9," of ",Main!L10)</f>
        <v xml:space="preserve">Page  of </v>
      </c>
    </row>
    <row r="8" spans="1:18" ht="18" customHeight="1" x14ac:dyDescent="0.25">
      <c r="G8" s="590"/>
      <c r="H8" s="590"/>
      <c r="J8" s="78"/>
      <c r="K8" s="215" t="s">
        <v>251</v>
      </c>
      <c r="L8" s="601">
        <f>FormNumber</f>
        <v>0</v>
      </c>
      <c r="M8" s="601"/>
      <c r="N8" s="601"/>
      <c r="O8" s="601"/>
    </row>
    <row r="9" spans="1:18" ht="18" customHeight="1" x14ac:dyDescent="0.25">
      <c r="A9" s="215" t="s">
        <v>208</v>
      </c>
      <c r="B9" s="32" t="e">
        <f>Main!D5</f>
        <v>#N/A</v>
      </c>
      <c r="J9" s="78"/>
      <c r="K9" s="215" t="s">
        <v>252</v>
      </c>
      <c r="L9" s="592" t="str">
        <f>"JGI WP4100, "&amp;CalMethod</f>
        <v xml:space="preserve">JGI WP4100, </v>
      </c>
      <c r="M9" s="592"/>
      <c r="N9" s="592"/>
      <c r="O9" s="592"/>
    </row>
    <row r="10" spans="1:18" ht="18" customHeight="1" x14ac:dyDescent="0.25">
      <c r="A10" s="86"/>
      <c r="B10" s="210" t="str" cm="1">
        <f t="array" ref="B10">IFZERO('Customer Table'!R2,"")</f>
        <v/>
      </c>
      <c r="J10" s="78"/>
      <c r="K10" s="215"/>
      <c r="L10" s="592"/>
      <c r="M10" s="592"/>
      <c r="N10" s="592"/>
      <c r="O10" s="592"/>
    </row>
    <row r="11" spans="1:18" ht="18" customHeight="1" x14ac:dyDescent="0.25">
      <c r="A11" s="86"/>
      <c r="B11" s="210" t="str" cm="1">
        <f t="array" ref="B11">IFZERO('Customer Table'!S2,"")</f>
        <v/>
      </c>
      <c r="J11" s="78"/>
      <c r="K11" s="215" t="s">
        <v>253</v>
      </c>
      <c r="L11" s="601">
        <f>TolSource</f>
        <v>0</v>
      </c>
      <c r="M11" s="601"/>
      <c r="N11" s="601"/>
      <c r="O11" s="601"/>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4">
        <f>Class</f>
        <v>0</v>
      </c>
      <c r="C18" s="584"/>
      <c r="D18" s="584"/>
      <c r="E18" s="584"/>
      <c r="G18" s="215" t="s">
        <v>218</v>
      </c>
      <c r="H18" s="219">
        <f>CubicFeet</f>
        <v>0</v>
      </c>
      <c r="M18" s="215" t="s">
        <v>222</v>
      </c>
      <c r="N18" s="219" t="str">
        <f>Main!G18</f>
        <v>ACCEPTED</v>
      </c>
      <c r="O18" s="194"/>
    </row>
    <row r="19" spans="1:19" ht="18" customHeight="1" x14ac:dyDescent="0.25">
      <c r="A19" s="205"/>
      <c r="B19" s="585"/>
      <c r="C19" s="585"/>
      <c r="D19" s="585"/>
      <c r="E19" s="585"/>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1" t="s">
        <v>236</v>
      </c>
      <c r="D27" s="591"/>
      <c r="E27" s="591"/>
      <c r="F27" s="591"/>
      <c r="G27" s="591"/>
      <c r="H27" s="591"/>
      <c r="I27" s="591"/>
      <c r="J27" s="591"/>
      <c r="K27" s="591"/>
      <c r="L27" s="591"/>
      <c r="M27" s="591"/>
      <c r="N27" s="195"/>
      <c r="O27" s="196"/>
    </row>
    <row r="28" spans="1:19" ht="8.1" customHeight="1" x14ac:dyDescent="0.2"/>
    <row r="29" spans="1:19" ht="18" customHeight="1" x14ac:dyDescent="0.2">
      <c r="A29" s="587" t="s">
        <v>206</v>
      </c>
      <c r="B29" s="588"/>
      <c r="C29" s="589"/>
      <c r="D29" s="587" t="s">
        <v>237</v>
      </c>
      <c r="E29" s="588"/>
      <c r="F29" s="588"/>
      <c r="G29" s="589"/>
      <c r="H29" s="587" t="s">
        <v>207</v>
      </c>
      <c r="I29" s="588"/>
      <c r="J29" s="588"/>
      <c r="K29" s="589"/>
      <c r="L29" s="587" t="s">
        <v>193</v>
      </c>
      <c r="M29" s="588"/>
      <c r="N29" s="588"/>
      <c r="O29" s="589"/>
    </row>
    <row r="30" spans="1:19" ht="18" customHeight="1" x14ac:dyDescent="0.2">
      <c r="A30" s="211"/>
      <c r="B30" s="201" t="s">
        <v>427</v>
      </c>
      <c r="C30" s="212"/>
      <c r="D30" s="570" t="str">
        <f>CONCATENATE(Main!D22,Unit," / ",Main!D23,"% RH")</f>
        <v>°F / % RH</v>
      </c>
      <c r="E30" s="571"/>
      <c r="F30" s="571"/>
      <c r="G30" s="572"/>
      <c r="H30" s="570">
        <f>OvenLocation</f>
        <v>0</v>
      </c>
      <c r="I30" s="571"/>
      <c r="J30" s="571"/>
      <c r="K30" s="572"/>
      <c r="L30" s="570" t="str">
        <f>Main!D4</f>
        <v/>
      </c>
      <c r="M30" s="571"/>
      <c r="N30" s="571"/>
      <c r="O30" s="572"/>
    </row>
    <row r="31" spans="1:19" ht="18" customHeight="1" x14ac:dyDescent="0.2"/>
    <row r="32" spans="1:19" ht="18" customHeight="1" x14ac:dyDescent="0.25">
      <c r="A32" s="234" t="s">
        <v>238</v>
      </c>
      <c r="B32" s="579" t="s">
        <v>239</v>
      </c>
      <c r="C32" s="579"/>
      <c r="D32" s="234" t="s">
        <v>202</v>
      </c>
      <c r="E32" s="234" t="s">
        <v>201</v>
      </c>
      <c r="F32" s="234" t="s">
        <v>240</v>
      </c>
      <c r="G32" s="78"/>
      <c r="H32" s="78"/>
      <c r="I32" s="234" t="s">
        <v>238</v>
      </c>
      <c r="J32" s="579" t="s">
        <v>239</v>
      </c>
      <c r="K32" s="579"/>
      <c r="L32" s="234" t="s">
        <v>202</v>
      </c>
      <c r="M32" s="234" t="s">
        <v>201</v>
      </c>
      <c r="N32" s="234" t="s">
        <v>240</v>
      </c>
    </row>
    <row r="33" spans="1:14" ht="18" customHeight="1" x14ac:dyDescent="0.2">
      <c r="A33" s="235" t="str">
        <f>IF(B33="","",1)</f>
        <v/>
      </c>
      <c r="B33" s="578" t="str">
        <f>IF(Main!O5="","",Main!O5)</f>
        <v/>
      </c>
      <c r="C33" s="578"/>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8" t="str">
        <f>IF(Main!O25="","",Main!O25)</f>
        <v/>
      </c>
      <c r="K33" s="578"/>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8" t="str">
        <f>IF(Main!O6="","",Main!O6)</f>
        <v/>
      </c>
      <c r="C34" s="578"/>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8" t="str">
        <f>IF(Main!O26="","",Main!O26)</f>
        <v/>
      </c>
      <c r="K34" s="578"/>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8" t="str">
        <f>IF(Main!O7="","",Main!O7)</f>
        <v/>
      </c>
      <c r="C35" s="578"/>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8" t="str">
        <f>IF(Main!O27="","",Main!O27)</f>
        <v/>
      </c>
      <c r="K35" s="578"/>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8" t="str">
        <f>IF(Main!O8="","",Main!O8)</f>
        <v/>
      </c>
      <c r="C36" s="578"/>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8" t="str">
        <f>IF(Main!O28="","",Main!O28)</f>
        <v/>
      </c>
      <c r="K36" s="578"/>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8" t="str">
        <f>IF(Main!O9="","",Main!O9)</f>
        <v/>
      </c>
      <c r="C37" s="578"/>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8" t="str">
        <f>IF(Main!O29="","",Main!O29)</f>
        <v/>
      </c>
      <c r="K37" s="578"/>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8" t="str">
        <f>IF(Main!O10="","",Main!O10)</f>
        <v/>
      </c>
      <c r="C38" s="578"/>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8" t="str">
        <f>IF(Main!O30="","",Main!O30)</f>
        <v/>
      </c>
      <c r="K38" s="578"/>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8" t="str">
        <f>IF(Main!O11="","",Main!O11)</f>
        <v/>
      </c>
      <c r="C39" s="578"/>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8" t="str">
        <f>IF(Main!O31="","",Main!O31)</f>
        <v/>
      </c>
      <c r="K39" s="578"/>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8" t="str">
        <f>IF(Main!O12="","",Main!O12)</f>
        <v/>
      </c>
      <c r="C40" s="578"/>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8" t="str">
        <f>IF(Main!O32="","",Main!O32)</f>
        <v/>
      </c>
      <c r="K40" s="578"/>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8" t="str">
        <f>IF(Main!O13="","",Main!O13)</f>
        <v/>
      </c>
      <c r="C41" s="578"/>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8" t="str">
        <f>IF(Main!O33="","",Main!O33)</f>
        <v/>
      </c>
      <c r="K41" s="578"/>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8" t="str">
        <f>IF(Main!O14="","",Main!O14)</f>
        <v/>
      </c>
      <c r="C42" s="578"/>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8" t="str">
        <f>IF(Main!O34="","",Main!O34)</f>
        <v/>
      </c>
      <c r="K42" s="578"/>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8" t="str">
        <f>IF(Main!O15="","",Main!O15)</f>
        <v/>
      </c>
      <c r="C43" s="578"/>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8" t="str">
        <f>IF(Main!O35="","",Main!O35)</f>
        <v/>
      </c>
      <c r="K43" s="578"/>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8" t="str">
        <f>IF(Main!O16="","",Main!O16)</f>
        <v/>
      </c>
      <c r="C44" s="578"/>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8" t="str">
        <f>IF(Main!O36="","",Main!O36)</f>
        <v/>
      </c>
      <c r="K44" s="578"/>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8" t="str">
        <f>IF(Main!O17="","",Main!O17)</f>
        <v/>
      </c>
      <c r="C45" s="578"/>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8" t="str">
        <f>IF(Main!O37="","",Main!O37)</f>
        <v/>
      </c>
      <c r="K45" s="578"/>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8" t="str">
        <f>IF(Main!O18="","",Main!O18)</f>
        <v/>
      </c>
      <c r="C46" s="578"/>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8" t="str">
        <f>IF(Main!O38="","",Main!O38)</f>
        <v/>
      </c>
      <c r="K46" s="578"/>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8" t="str">
        <f>IF(Main!O19="","",Main!O19)</f>
        <v/>
      </c>
      <c r="C47" s="578"/>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8" t="str">
        <f>IF(Main!O39="","",Main!O39)</f>
        <v/>
      </c>
      <c r="K47" s="578"/>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8" t="str">
        <f>IF(Main!O20="","",Main!O20)</f>
        <v/>
      </c>
      <c r="C48" s="578"/>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8" t="str">
        <f>IF(Main!O40="","",Main!O40)</f>
        <v/>
      </c>
      <c r="K48" s="578"/>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8" t="str">
        <f>IF(Main!O21="","",Main!O21)</f>
        <v/>
      </c>
      <c r="C49" s="578"/>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8" t="str">
        <f>IF(Main!O41="","",Main!O41)</f>
        <v/>
      </c>
      <c r="K49" s="578"/>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8" t="str">
        <f>IF(Main!O22="","",Main!O22)</f>
        <v/>
      </c>
      <c r="C50" s="578"/>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8" t="str">
        <f>IF(Main!O42="","",Main!O42)</f>
        <v/>
      </c>
      <c r="K50" s="578"/>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8" t="str">
        <f>IF(Main!O23="","",Main!O23)</f>
        <v/>
      </c>
      <c r="C51" s="578"/>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8" t="str">
        <f>IF(Main!O43="","",Main!O43)</f>
        <v/>
      </c>
      <c r="K51" s="578"/>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8" t="str">
        <f>IF(Main!O24="","",Main!O24)</f>
        <v/>
      </c>
      <c r="C52" s="578"/>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8" t="str">
        <f>IF(Main!O44="","",Main!O44)</f>
        <v/>
      </c>
      <c r="K52" s="578"/>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3" t="s">
        <v>241</v>
      </c>
      <c r="C53" s="583"/>
      <c r="D53" s="583"/>
      <c r="E53" s="583"/>
      <c r="F53" s="583"/>
      <c r="G53" s="583"/>
      <c r="H53" s="583"/>
      <c r="I53" s="583"/>
      <c r="J53" s="583"/>
      <c r="K53" s="583"/>
      <c r="L53" s="583"/>
      <c r="M53" s="583"/>
      <c r="N53" s="583"/>
    </row>
    <row r="54" spans="1:21" ht="18" customHeight="1" x14ac:dyDescent="0.25">
      <c r="A54" s="237" t="s">
        <v>242</v>
      </c>
      <c r="B54" s="592" t="str">
        <f>CONCATENATE(Main!G23,"  ",FurnaceSpecificComments,Main!V24)</f>
        <v xml:space="preserve">Found in tolerance.  No adjustment required.  </v>
      </c>
      <c r="C54" s="592"/>
      <c r="D54" s="592"/>
      <c r="E54" s="592"/>
      <c r="F54" s="592"/>
      <c r="G54" s="592"/>
      <c r="H54" s="592"/>
      <c r="I54" s="592"/>
      <c r="J54" s="592"/>
      <c r="K54" s="592"/>
      <c r="L54" s="592"/>
      <c r="M54" s="592"/>
      <c r="N54" s="592"/>
      <c r="O54" s="592"/>
    </row>
    <row r="55" spans="1:21" ht="18" customHeight="1" x14ac:dyDescent="0.25">
      <c r="A55" s="75"/>
      <c r="B55" s="592"/>
      <c r="C55" s="592"/>
      <c r="D55" s="592"/>
      <c r="E55" s="592"/>
      <c r="F55" s="592"/>
      <c r="G55" s="592"/>
      <c r="H55" s="592"/>
      <c r="I55" s="592"/>
      <c r="J55" s="592"/>
      <c r="K55" s="592"/>
      <c r="L55" s="592"/>
      <c r="M55" s="592"/>
      <c r="N55" s="592"/>
      <c r="O55" s="592"/>
    </row>
    <row r="56" spans="1:21" ht="18" customHeight="1" x14ac:dyDescent="0.25">
      <c r="A56" s="75"/>
      <c r="B56" s="592"/>
      <c r="C56" s="592"/>
      <c r="D56" s="592"/>
      <c r="E56" s="592"/>
      <c r="F56" s="592"/>
      <c r="G56" s="592"/>
      <c r="H56" s="592"/>
      <c r="I56" s="592"/>
      <c r="J56" s="592"/>
      <c r="K56" s="592"/>
      <c r="L56" s="592"/>
      <c r="M56" s="592"/>
      <c r="N56" s="592"/>
      <c r="O56" s="592"/>
    </row>
    <row r="57" spans="1:21" ht="18" customHeight="1" x14ac:dyDescent="0.25">
      <c r="A57" s="75"/>
      <c r="B57" s="592"/>
      <c r="C57" s="592"/>
      <c r="D57" s="592"/>
      <c r="E57" s="592"/>
      <c r="F57" s="592"/>
      <c r="G57" s="592"/>
      <c r="H57" s="592"/>
      <c r="I57" s="592"/>
      <c r="J57" s="592"/>
      <c r="K57" s="592"/>
      <c r="L57" s="592"/>
      <c r="M57" s="592"/>
      <c r="N57" s="592"/>
      <c r="O57" s="592"/>
    </row>
    <row r="58" spans="1:21" ht="18" customHeight="1" x14ac:dyDescent="0.25">
      <c r="A58" s="75"/>
      <c r="B58" s="592"/>
      <c r="C58" s="592"/>
      <c r="D58" s="592"/>
      <c r="E58" s="592"/>
      <c r="F58" s="592"/>
      <c r="G58" s="592"/>
      <c r="H58" s="592"/>
      <c r="I58" s="592"/>
      <c r="J58" s="592"/>
      <c r="K58" s="592"/>
      <c r="L58" s="592"/>
      <c r="M58" s="592"/>
      <c r="N58" s="592"/>
      <c r="O58" s="592"/>
    </row>
    <row r="59" spans="1:21" ht="18" customHeight="1" x14ac:dyDescent="0.25">
      <c r="A59" s="75"/>
      <c r="B59" s="592"/>
      <c r="C59" s="592"/>
      <c r="D59" s="592"/>
      <c r="E59" s="592"/>
      <c r="F59" s="592"/>
      <c r="G59" s="592"/>
      <c r="H59" s="592"/>
      <c r="I59" s="592"/>
      <c r="J59" s="592"/>
      <c r="K59" s="592"/>
      <c r="L59" s="592"/>
      <c r="M59" s="592"/>
      <c r="N59" s="592"/>
      <c r="O59" s="592"/>
    </row>
    <row r="60" spans="1:21" ht="18" customHeight="1" x14ac:dyDescent="0.2">
      <c r="A60" s="582" t="s">
        <v>250</v>
      </c>
      <c r="B60" s="582"/>
      <c r="C60" s="582"/>
      <c r="D60" s="582"/>
      <c r="E60" s="582"/>
      <c r="F60" s="582"/>
      <c r="G60" s="582"/>
      <c r="H60" s="582"/>
      <c r="I60" s="582"/>
      <c r="J60" s="582"/>
      <c r="K60" s="582"/>
      <c r="L60" s="582"/>
      <c r="M60" s="582"/>
      <c r="N60" s="582"/>
      <c r="O60" s="582"/>
    </row>
    <row r="61" spans="1:21" ht="18" customHeight="1" x14ac:dyDescent="0.2">
      <c r="A61" s="586" t="s">
        <v>243</v>
      </c>
      <c r="B61" s="586"/>
      <c r="C61" s="586"/>
      <c r="D61" s="586"/>
      <c r="E61" s="586"/>
      <c r="F61" s="600" t="s">
        <v>244</v>
      </c>
      <c r="G61" s="600"/>
      <c r="H61" s="600"/>
      <c r="I61" s="600" t="s">
        <v>245</v>
      </c>
      <c r="J61" s="600"/>
      <c r="K61" s="600" t="s">
        <v>246</v>
      </c>
      <c r="L61" s="600"/>
      <c r="M61" s="600" t="s">
        <v>247</v>
      </c>
      <c r="N61" s="600"/>
      <c r="O61" s="600"/>
      <c r="R61" s="36" t="s">
        <v>329</v>
      </c>
      <c r="T61" s="36" t="s">
        <v>330</v>
      </c>
      <c r="U61" s="36" t="s">
        <v>65</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98" t="str">
        <f>IF(F62="","",Main!D12)</f>
        <v/>
      </c>
      <c r="J62" s="599"/>
      <c r="K62" s="598" t="str">
        <f>IF(F62="","",Main!D13)</f>
        <v/>
      </c>
      <c r="L62" s="599"/>
      <c r="M62" s="564" t="str">
        <f>IF(F62="","",Main!D14)</f>
        <v/>
      </c>
      <c r="N62" s="565"/>
      <c r="O62" s="56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1" t="str">
        <f>IF(Q63="","",CONCATENATE("Type """,U63,""" Thermocouple"))</f>
        <v/>
      </c>
      <c r="B63" s="562"/>
      <c r="C63" s="562"/>
      <c r="D63" s="562"/>
      <c r="E63" s="563"/>
      <c r="F63" s="561" t="str">
        <f>IF(Main!D48="","",Main!D48)</f>
        <v/>
      </c>
      <c r="G63" s="562"/>
      <c r="H63" s="563"/>
      <c r="I63" s="575" t="str">
        <f>IF(Q63="","",Main!D49)</f>
        <v/>
      </c>
      <c r="J63" s="576"/>
      <c r="K63" s="575" t="str">
        <f>IF(Q63="","",Main!D50)</f>
        <v/>
      </c>
      <c r="L63" s="576"/>
      <c r="M63" s="561" t="str">
        <f>IF(Q63="","",Main!D54)</f>
        <v/>
      </c>
      <c r="N63" s="562"/>
      <c r="O63" s="563"/>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1" t="str">
        <f t="shared" ref="A64:A69" si="0">IF(Q64="","",CONCATENATE("Type """,U64,""" Thermocouple"))</f>
        <v/>
      </c>
      <c r="B64" s="562"/>
      <c r="C64" s="562"/>
      <c r="D64" s="562"/>
      <c r="E64" s="563"/>
      <c r="F64" s="561" t="str">
        <f>IF(Main!E48="","",Main!E48)</f>
        <v/>
      </c>
      <c r="G64" s="562"/>
      <c r="H64" s="563"/>
      <c r="I64" s="575" t="str">
        <f>IF(Q64="","",Main!E49)</f>
        <v/>
      </c>
      <c r="J64" s="576"/>
      <c r="K64" s="575" t="str">
        <f>IF(Q64="","",Main!E50)</f>
        <v/>
      </c>
      <c r="L64" s="576"/>
      <c r="M64" s="561" t="str">
        <f>IF(Q64="","",Main!E54)</f>
        <v/>
      </c>
      <c r="N64" s="562"/>
      <c r="O64" s="563"/>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1" t="str">
        <f t="shared" si="0"/>
        <v/>
      </c>
      <c r="B65" s="562"/>
      <c r="C65" s="562"/>
      <c r="D65" s="562"/>
      <c r="E65" s="563"/>
      <c r="F65" s="561" t="str">
        <f>IF(Main!F48="","",Main!F48)</f>
        <v/>
      </c>
      <c r="G65" s="562"/>
      <c r="H65" s="563"/>
      <c r="I65" s="575" t="str">
        <f>IF(Q65="","",Main!F49)</f>
        <v/>
      </c>
      <c r="J65" s="576"/>
      <c r="K65" s="575" t="str">
        <f>IF(Q65="","",Main!F50)</f>
        <v/>
      </c>
      <c r="L65" s="576"/>
      <c r="M65" s="561" t="str">
        <f>IF(Q65="","",Main!F54)</f>
        <v/>
      </c>
      <c r="N65" s="562"/>
      <c r="O65" s="563"/>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1" t="str">
        <f t="shared" si="0"/>
        <v/>
      </c>
      <c r="B66" s="562"/>
      <c r="C66" s="562"/>
      <c r="D66" s="562"/>
      <c r="E66" s="563"/>
      <c r="F66" s="561" t="str">
        <f>IF(Main!G48="","",Main!G48)</f>
        <v/>
      </c>
      <c r="G66" s="562"/>
      <c r="H66" s="563"/>
      <c r="I66" s="575" t="str">
        <f>IF(Q66="","",Main!G49)</f>
        <v/>
      </c>
      <c r="J66" s="576"/>
      <c r="K66" s="575" t="str">
        <f>IF(Q66="","",Main!G50)</f>
        <v/>
      </c>
      <c r="L66" s="576"/>
      <c r="M66" s="561" t="str">
        <f>IF(Q66="","",Main!G54)</f>
        <v/>
      </c>
      <c r="N66" s="562"/>
      <c r="O66" s="563"/>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1" t="str">
        <f t="shared" si="0"/>
        <v/>
      </c>
      <c r="B67" s="562"/>
      <c r="C67" s="562"/>
      <c r="D67" s="562"/>
      <c r="E67" s="563"/>
      <c r="F67" s="561" t="str">
        <f>IF(Main!H48="","",Main!H48)</f>
        <v/>
      </c>
      <c r="G67" s="562"/>
      <c r="H67" s="563"/>
      <c r="I67" s="575" t="str">
        <f>IF(Q67="","",Main!H49)</f>
        <v/>
      </c>
      <c r="J67" s="576"/>
      <c r="K67" s="575" t="str">
        <f>IF(Q67="","",Main!H50)</f>
        <v/>
      </c>
      <c r="L67" s="576"/>
      <c r="M67" s="561" t="str">
        <f>IF(Q67="","",Main!H54)</f>
        <v/>
      </c>
      <c r="N67" s="562"/>
      <c r="O67" s="563"/>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1" t="str">
        <f t="shared" si="0"/>
        <v/>
      </c>
      <c r="B68" s="562"/>
      <c r="C68" s="562"/>
      <c r="D68" s="562"/>
      <c r="E68" s="563"/>
      <c r="F68" s="561" t="str">
        <f>IF(Main!I48="","",Main!I48)</f>
        <v/>
      </c>
      <c r="G68" s="562"/>
      <c r="H68" s="563"/>
      <c r="I68" s="575" t="str">
        <f>IF(Q68="","",Main!I49)</f>
        <v/>
      </c>
      <c r="J68" s="576"/>
      <c r="K68" s="575" t="str">
        <f>IF(Q68="","",Main!I50)</f>
        <v/>
      </c>
      <c r="L68" s="576"/>
      <c r="M68" s="561" t="str">
        <f>IF(Q68="","",Main!I54)</f>
        <v/>
      </c>
      <c r="N68" s="562"/>
      <c r="O68" s="563"/>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70" t="str">
        <f>IF(Main!J48="","",Main!J48)</f>
        <v/>
      </c>
      <c r="G69" s="571"/>
      <c r="H69" s="572"/>
      <c r="I69" s="573" t="str">
        <f>IF(Q69="","",Main!J49)</f>
        <v/>
      </c>
      <c r="J69" s="574"/>
      <c r="K69" s="573" t="str">
        <f>IF(Q69="","",Main!J50)</f>
        <v/>
      </c>
      <c r="L69" s="574"/>
      <c r="M69" s="570" t="str">
        <f>IF(Q69="","",Main!J54)</f>
        <v/>
      </c>
      <c r="N69" s="571"/>
      <c r="O69" s="572"/>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6" t="s">
        <v>431</v>
      </c>
      <c r="B71" s="596"/>
      <c r="C71" s="596"/>
      <c r="D71" s="596"/>
      <c r="E71" s="596"/>
      <c r="F71" s="596"/>
      <c r="G71" s="596"/>
      <c r="H71" s="596"/>
      <c r="I71" s="596"/>
      <c r="J71" s="596"/>
      <c r="K71" s="596"/>
      <c r="L71" s="596"/>
      <c r="M71" s="596"/>
      <c r="N71" s="596"/>
      <c r="O71" s="596"/>
    </row>
    <row r="72" spans="1:21" ht="18" customHeight="1" x14ac:dyDescent="0.2">
      <c r="A72" s="596"/>
      <c r="B72" s="596"/>
      <c r="C72" s="596"/>
      <c r="D72" s="596"/>
      <c r="E72" s="596"/>
      <c r="F72" s="596"/>
      <c r="G72" s="596"/>
      <c r="H72" s="596"/>
      <c r="I72" s="596"/>
      <c r="J72" s="596"/>
      <c r="K72" s="596"/>
      <c r="L72" s="596"/>
      <c r="M72" s="596"/>
      <c r="N72" s="596"/>
      <c r="O72" s="596"/>
    </row>
    <row r="73" spans="1:21" ht="18" customHeight="1" x14ac:dyDescent="0.2">
      <c r="A73" s="596"/>
      <c r="B73" s="596"/>
      <c r="C73" s="596"/>
      <c r="D73" s="596"/>
      <c r="E73" s="596"/>
      <c r="F73" s="596"/>
      <c r="G73" s="596"/>
      <c r="H73" s="596"/>
      <c r="I73" s="596"/>
      <c r="J73" s="596"/>
      <c r="K73" s="596"/>
      <c r="L73" s="596"/>
      <c r="M73" s="596"/>
      <c r="N73" s="596"/>
      <c r="O73" s="596"/>
    </row>
    <row r="74" spans="1:21" ht="18" customHeight="1" x14ac:dyDescent="0.2">
      <c r="A74" s="596"/>
      <c r="B74" s="596"/>
      <c r="C74" s="596"/>
      <c r="D74" s="596"/>
      <c r="E74" s="596"/>
      <c r="F74" s="596"/>
      <c r="G74" s="596"/>
      <c r="H74" s="596"/>
      <c r="I74" s="596"/>
      <c r="J74" s="596"/>
      <c r="K74" s="596"/>
      <c r="L74" s="596"/>
      <c r="M74" s="596"/>
      <c r="N74" s="596"/>
      <c r="O74" s="596"/>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Y6Lq+z76KA6Yi8ddQhACRjbKSHvycrO5etZYkWPepyaBeI8IGxffZWn7GHWqbs0ShkXTiQ0ImZoLZoLnQGGXuQ==" saltValue="5Xudhgeor/mMygwLphe+e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FVg4gz2ZSBE7NSvFAJTonN+EkBVdbyzzE29rRA6mb/Q9IwK3jBR7XLnQN9J9eVgnlnWXxdvJ/B4tNh2TIaWDKw==" saltValue="IiXcNl89dROabEzwbLynT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PnWEFWbAz7rbEcYZWFsktRMRvA8ID++ZzOzOM+8NITaIwwgM5lPwtpWGfXEkqczVhwM1NANCC9XUKB41EZQZqg==" saltValue="aAPYIH/Qxad4/O7RrxdS9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UvZq+9MuiC2VQLAD/r14g90OY0BtVVivt4jvseqSeW0oyc2DrGj9ExssogOlWasQXTrbobD1A5oi8g6U/sxrRg==" saltValue="xc7HssM0FDGb/gUfQM6TxA=="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oitt5g1NMtWaP7TlmVLisEkcDshg1tJWhEZ9w5onkGVUSW0Jb5YZ2GVHiooM5GvoPuM9mII7F7dMVyFdJGaw+w==" saltValue="Xq05Y0u0Q9/b9f4nBMUVGQ==" spinCount="100000" sheet="1" scenarios="1" selectLockedCells="1" autoFilter="0"/>
  <mergeCells count="2">
    <mergeCell ref="D32:M34"/>
    <mergeCell ref="C37:M40"/>
  </mergeCells>
  <phoneticPr fontId="22"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5" t="s">
        <v>273</v>
      </c>
      <c r="I28" s="625"/>
      <c r="J28" s="625"/>
      <c r="K28" s="625"/>
      <c r="L28" s="625"/>
      <c r="M28" s="625"/>
      <c r="N28" s="625"/>
      <c r="O28" s="625"/>
      <c r="P28" s="625"/>
      <c r="Q28" s="625"/>
      <c r="R28" s="625"/>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33" t="s">
        <v>275</v>
      </c>
      <c r="K29" s="634"/>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26" t="s">
        <v>263</v>
      </c>
      <c r="I30" s="626"/>
      <c r="J30" s="635" t="s">
        <v>304</v>
      </c>
      <c r="K30" s="636"/>
      <c r="L30" s="637"/>
      <c r="M30" s="253"/>
      <c r="O30" s="627" t="s">
        <v>307</v>
      </c>
      <c r="P30" s="628"/>
      <c r="Q30" s="629"/>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50" t="s">
        <v>312</v>
      </c>
      <c r="K31" s="651"/>
      <c r="L31" s="652"/>
      <c r="M31" s="254" t="str">
        <f>IF(Main!S49="","",Main!S49)</f>
        <v/>
      </c>
      <c r="O31" s="517" t="s">
        <v>314</v>
      </c>
      <c r="P31" s="518"/>
      <c r="Q31" s="630"/>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41" t="s">
        <v>266</v>
      </c>
      <c r="K32" s="642"/>
      <c r="L32" s="643"/>
      <c r="M32" s="249"/>
      <c r="O32" s="641" t="s">
        <v>266</v>
      </c>
      <c r="P32" s="642"/>
      <c r="Q32" s="643"/>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8" t="s">
        <v>313</v>
      </c>
      <c r="K33" s="639"/>
      <c r="L33" s="640"/>
      <c r="M33" s="248" t="str">
        <f>IF(Main!S51="","",Main!S51)</f>
        <v/>
      </c>
      <c r="O33" s="638" t="s">
        <v>315</v>
      </c>
      <c r="P33" s="639"/>
      <c r="Q33" s="640"/>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41" t="s">
        <v>266</v>
      </c>
      <c r="K34" s="642"/>
      <c r="L34" s="643"/>
      <c r="O34" s="641" t="s">
        <v>266</v>
      </c>
      <c r="P34" s="642"/>
      <c r="Q34" s="643"/>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4" t="s">
        <v>316</v>
      </c>
      <c r="K35" s="645"/>
      <c r="L35" s="646"/>
      <c r="M35" s="256" t="str">
        <f>IF(Main!S53="","",Main!S53)</f>
        <v/>
      </c>
      <c r="O35" s="644" t="s">
        <v>317</v>
      </c>
      <c r="P35" s="645"/>
      <c r="Q35" s="646"/>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7"/>
      <c r="K36" s="648"/>
      <c r="L36" s="649"/>
      <c r="M36" s="252"/>
      <c r="O36" s="647"/>
      <c r="P36" s="648"/>
      <c r="Q36" s="649"/>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SSXDsJY8B/QyL2Fr5BZn65aCphnOS6IDlJQEM8vV/C6KyJFOci3Ep2drMkghOgTZvtNPFQirpOH1IlKF5ib85Q==" saltValue="n4wNPzyBUUfMAQZ1yhhgA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e9jmgoWGmJKFhAeWeDHwBRd4JS1ydzGgph/28TaKRr0tPd26V8qxD+vuhzzKG1bbN7g8U4DZ8/SS2pveG+UBqQ==" saltValue="aljJGZtikQSnrgUHIBfGD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CoNg1zilUOwW4oxKelkv8KmHrQBPjZhgd88rtF1gJx5SYJt09YYrarA7Q+6znSwFE9z924rpa9EXtsOocOh8og==" saltValue="UHCwj3Trbmkwk+Tg7OJgKg=="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E12" sqref="E1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0"/>
      <c r="C1" s="590"/>
      <c r="D1" s="590"/>
      <c r="E1" s="33" t="s">
        <v>144</v>
      </c>
      <c r="G1" s="590" t="s">
        <v>65</v>
      </c>
      <c r="H1" s="590"/>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5YsxPBDWpDUOUBsNc0gBepN5jPWNNldFKOFScTKGUiPRrqVSyZIkmA+G3Ot3OfwlAoo7uZMtO/ghosS638Fqtw==" saltValue="31pg05mNMkWjS8V/UjkNR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2026-04-02T21:11:15Z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