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508A721-E94F-485E-8FFF-44A34D2A9F43}"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WireOffsets!$A$1:$C$150</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Table'!$A$1:$O$1688</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95" l="1"/>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K10" i="95" s="1"/>
  <c r="J11" i="95"/>
  <c r="J12" i="95"/>
  <c r="J13" i="95"/>
  <c r="J14" i="95"/>
  <c r="K14" i="95" s="1"/>
  <c r="J15" i="95"/>
  <c r="K15" i="95" s="1"/>
  <c r="J16" i="95"/>
  <c r="K16" i="95" s="1"/>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K74" i="95" s="1"/>
  <c r="J75" i="95"/>
  <c r="J76" i="95"/>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K96" i="95" s="1"/>
  <c r="J97" i="95"/>
  <c r="J98" i="95"/>
  <c r="J99" i="95"/>
  <c r="J100" i="95"/>
  <c r="J101" i="95"/>
  <c r="J102" i="95"/>
  <c r="J103" i="95"/>
  <c r="J104" i="95"/>
  <c r="J105" i="95"/>
  <c r="J106" i="95"/>
  <c r="K106" i="95" s="1"/>
  <c r="J107" i="95"/>
  <c r="J108" i="95"/>
  <c r="J109" i="95"/>
  <c r="J110" i="95"/>
  <c r="K110" i="95" s="1"/>
  <c r="J111" i="95"/>
  <c r="K111" i="95" s="1"/>
  <c r="J112" i="95"/>
  <c r="K112" i="95" s="1"/>
  <c r="J113" i="95"/>
  <c r="K113" i="95" s="1"/>
  <c r="J114" i="95"/>
  <c r="J115" i="95"/>
  <c r="J116" i="95"/>
  <c r="J117" i="95"/>
  <c r="J118" i="95"/>
  <c r="J119" i="95"/>
  <c r="J120" i="95"/>
  <c r="J121" i="95"/>
  <c r="J122" i="95"/>
  <c r="K122" i="95" s="1"/>
  <c r="J123" i="95"/>
  <c r="K123" i="95" s="1"/>
  <c r="J124" i="95"/>
  <c r="K124" i="95" s="1"/>
  <c r="J125" i="95"/>
  <c r="K125" i="95" s="1"/>
  <c r="J126" i="95"/>
  <c r="K126" i="95" s="1"/>
  <c r="J127" i="95"/>
  <c r="J128" i="95"/>
  <c r="K128" i="95" s="1"/>
  <c r="J129" i="95"/>
  <c r="J130" i="95"/>
  <c r="K130" i="95" s="1"/>
  <c r="J131" i="95"/>
  <c r="J132" i="95"/>
  <c r="J133" i="95"/>
  <c r="J134" i="95"/>
  <c r="J135" i="95"/>
  <c r="J136" i="95"/>
  <c r="J137" i="95"/>
  <c r="J138" i="95"/>
  <c r="K138" i="95" s="1"/>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K160" i="95" s="1"/>
  <c r="J161" i="95"/>
  <c r="J162" i="95"/>
  <c r="J163" i="95"/>
  <c r="J164" i="95"/>
  <c r="J165" i="95"/>
  <c r="J166" i="95"/>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K192" i="95" s="1"/>
  <c r="J193" i="95"/>
  <c r="J194" i="95"/>
  <c r="J195" i="95"/>
  <c r="J196" i="95"/>
  <c r="J197" i="95"/>
  <c r="J198" i="95"/>
  <c r="J199" i="95"/>
  <c r="J200" i="95"/>
  <c r="J201" i="95"/>
  <c r="J202" i="95"/>
  <c r="J203" i="95"/>
  <c r="J204" i="95"/>
  <c r="J205" i="95"/>
  <c r="J206" i="95"/>
  <c r="K206" i="95" s="1"/>
  <c r="J207" i="95"/>
  <c r="K207" i="95" s="1"/>
  <c r="J208" i="95"/>
  <c r="K208" i="95" s="1"/>
  <c r="J209" i="95"/>
  <c r="K209" i="95" s="1"/>
  <c r="J210" i="95"/>
  <c r="J211" i="95"/>
  <c r="J212" i="95"/>
  <c r="J213" i="95"/>
  <c r="J214" i="95"/>
  <c r="K214" i="95" s="1"/>
  <c r="J215" i="95"/>
  <c r="K215" i="95" s="1"/>
  <c r="J216" i="95"/>
  <c r="K216" i="95" s="1"/>
  <c r="J217" i="95"/>
  <c r="K217" i="95" s="1"/>
  <c r="J218" i="95"/>
  <c r="K218" i="95" s="1"/>
  <c r="J219" i="95"/>
  <c r="K219" i="95" s="1"/>
  <c r="J220" i="95"/>
  <c r="K220" i="95" s="1"/>
  <c r="J221" i="95"/>
  <c r="K221" i="95" s="1"/>
  <c r="J222" i="95"/>
  <c r="K222" i="95" s="1"/>
  <c r="J223" i="95"/>
  <c r="J224" i="95"/>
  <c r="K224" i="95" s="1"/>
  <c r="J225" i="95"/>
  <c r="J226" i="95"/>
  <c r="J227" i="95"/>
  <c r="J228" i="95"/>
  <c r="J229" i="95"/>
  <c r="J230" i="95"/>
  <c r="J231" i="95"/>
  <c r="J232" i="95"/>
  <c r="J233" i="95"/>
  <c r="J234" i="95"/>
  <c r="J235" i="95"/>
  <c r="J236" i="95"/>
  <c r="J237" i="95"/>
  <c r="J238" i="95"/>
  <c r="K238" i="95" s="1"/>
  <c r="J239" i="95"/>
  <c r="K239" i="95" s="1"/>
  <c r="J240" i="95"/>
  <c r="K240" i="95" s="1"/>
  <c r="J241" i="95"/>
  <c r="K241" i="95" s="1"/>
  <c r="J242" i="95"/>
  <c r="J243" i="95"/>
  <c r="J244" i="95"/>
  <c r="J245" i="95"/>
  <c r="J246" i="95"/>
  <c r="J247" i="95"/>
  <c r="J248" i="95"/>
  <c r="J249" i="95"/>
  <c r="J250" i="95"/>
  <c r="J251" i="95"/>
  <c r="J252" i="95"/>
  <c r="K252" i="95" s="1"/>
  <c r="J253" i="95"/>
  <c r="K253" i="95" s="1"/>
  <c r="J254" i="95"/>
  <c r="K254" i="95" s="1"/>
  <c r="J255" i="95"/>
  <c r="J256" i="95"/>
  <c r="J257" i="95"/>
  <c r="J258" i="95"/>
  <c r="K258" i="95" s="1"/>
  <c r="J259" i="95"/>
  <c r="J260" i="95"/>
  <c r="J261" i="95"/>
  <c r="K261" i="95" s="1"/>
  <c r="J262" i="95"/>
  <c r="K262" i="95" s="1"/>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J296" i="95"/>
  <c r="J297" i="95"/>
  <c r="J298" i="95"/>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J332" i="95"/>
  <c r="J333" i="95"/>
  <c r="J334" i="95"/>
  <c r="K334" i="95" s="1"/>
  <c r="J335" i="95"/>
  <c r="K335" i="95" s="1"/>
  <c r="J336" i="95"/>
  <c r="K336" i="95" s="1"/>
  <c r="J337" i="95"/>
  <c r="K337" i="95" s="1"/>
  <c r="J338" i="95"/>
  <c r="J339" i="95"/>
  <c r="J340" i="95"/>
  <c r="J341" i="95"/>
  <c r="J342" i="95"/>
  <c r="J343" i="95"/>
  <c r="J344" i="95"/>
  <c r="J345" i="95"/>
  <c r="K345" i="95" s="1"/>
  <c r="J346" i="95"/>
  <c r="K346" i="95" s="1"/>
  <c r="J347" i="95"/>
  <c r="K347" i="95" s="1"/>
  <c r="J348" i="95"/>
  <c r="K348" i="95" s="1"/>
  <c r="J349" i="95"/>
  <c r="K349" i="95" s="1"/>
  <c r="J350" i="95"/>
  <c r="K350" i="95" s="1"/>
  <c r="J351" i="95"/>
  <c r="K351" i="95" s="1"/>
  <c r="J352" i="95"/>
  <c r="K352" i="95" s="1"/>
  <c r="J353" i="95"/>
  <c r="J354" i="95"/>
  <c r="K354" i="95" s="1"/>
  <c r="J355" i="95"/>
  <c r="J356" i="95"/>
  <c r="J357" i="95"/>
  <c r="J358" i="95"/>
  <c r="J359" i="95"/>
  <c r="J360" i="95"/>
  <c r="J361" i="95"/>
  <c r="J362" i="95"/>
  <c r="J363" i="95"/>
  <c r="J364" i="95"/>
  <c r="J365" i="95"/>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J390" i="95"/>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J418" i="95"/>
  <c r="J419" i="95"/>
  <c r="J420" i="95"/>
  <c r="K2" i="95"/>
  <c r="K3" i="95"/>
  <c r="K4" i="95"/>
  <c r="K5" i="95"/>
  <c r="K6" i="95"/>
  <c r="K7" i="95"/>
  <c r="K8" i="95"/>
  <c r="K9" i="95"/>
  <c r="K11" i="95"/>
  <c r="K12" i="95"/>
  <c r="K13" i="95"/>
  <c r="K31" i="95"/>
  <c r="K32" i="95"/>
  <c r="K33" i="95"/>
  <c r="K34" i="95"/>
  <c r="K35" i="95"/>
  <c r="K36" i="95"/>
  <c r="K63" i="95"/>
  <c r="K64" i="95"/>
  <c r="K65" i="95"/>
  <c r="K66" i="95"/>
  <c r="K67" i="95"/>
  <c r="K68" i="95"/>
  <c r="K69" i="95"/>
  <c r="K70" i="95"/>
  <c r="K71" i="95"/>
  <c r="K72" i="95"/>
  <c r="K73" i="95"/>
  <c r="K75" i="95"/>
  <c r="K76" i="95"/>
  <c r="K95" i="95"/>
  <c r="K97" i="95"/>
  <c r="K98" i="95"/>
  <c r="K99" i="95"/>
  <c r="K100" i="95"/>
  <c r="K101" i="95"/>
  <c r="K102" i="95"/>
  <c r="K103" i="95"/>
  <c r="K104" i="95"/>
  <c r="K105" i="95"/>
  <c r="K107" i="95"/>
  <c r="K108" i="95"/>
  <c r="K109" i="95"/>
  <c r="K114" i="95"/>
  <c r="K115" i="95"/>
  <c r="K116" i="95"/>
  <c r="K117" i="95"/>
  <c r="K118" i="95"/>
  <c r="K119" i="95"/>
  <c r="K120" i="95"/>
  <c r="K121" i="95"/>
  <c r="K127" i="95"/>
  <c r="K129" i="95"/>
  <c r="K131" i="95"/>
  <c r="K132" i="95"/>
  <c r="K133" i="95"/>
  <c r="K134" i="95"/>
  <c r="K135" i="95"/>
  <c r="K136" i="95"/>
  <c r="K137" i="95"/>
  <c r="K139" i="95"/>
  <c r="K140" i="95"/>
  <c r="K141" i="95"/>
  <c r="K159" i="95"/>
  <c r="K161" i="95"/>
  <c r="K162" i="95"/>
  <c r="K163" i="95"/>
  <c r="K164" i="95"/>
  <c r="K165" i="95"/>
  <c r="K166" i="95"/>
  <c r="K191" i="95"/>
  <c r="K193" i="95"/>
  <c r="K194" i="95"/>
  <c r="K195" i="95"/>
  <c r="K196" i="95"/>
  <c r="K197" i="95"/>
  <c r="K198" i="95"/>
  <c r="K199" i="95"/>
  <c r="K200" i="95"/>
  <c r="K201" i="95"/>
  <c r="K202" i="95"/>
  <c r="K203" i="95"/>
  <c r="K204" i="95"/>
  <c r="K205" i="95"/>
  <c r="K213" i="95"/>
  <c r="K223" i="95"/>
  <c r="K225" i="95"/>
  <c r="K226" i="95"/>
  <c r="K227" i="95"/>
  <c r="K228" i="95"/>
  <c r="K229" i="95"/>
  <c r="K230" i="95"/>
  <c r="K231" i="95"/>
  <c r="K232" i="95"/>
  <c r="K233" i="95"/>
  <c r="K234" i="95"/>
  <c r="K235" i="95"/>
  <c r="K236" i="95"/>
  <c r="K237" i="95"/>
  <c r="K242" i="95"/>
  <c r="K243" i="95"/>
  <c r="K244" i="95"/>
  <c r="K245" i="95"/>
  <c r="K246" i="95"/>
  <c r="K247" i="95"/>
  <c r="K248" i="95"/>
  <c r="K249" i="95"/>
  <c r="K250" i="95"/>
  <c r="K251" i="95"/>
  <c r="K255" i="95"/>
  <c r="K257" i="95"/>
  <c r="K259" i="95"/>
  <c r="K260" i="95"/>
  <c r="K289" i="95"/>
  <c r="K290" i="95"/>
  <c r="K291" i="95"/>
  <c r="K292" i="95"/>
  <c r="K293" i="95"/>
  <c r="K294" i="95"/>
  <c r="K295" i="95"/>
  <c r="K296" i="95"/>
  <c r="K297" i="95"/>
  <c r="K298" i="95"/>
  <c r="K322" i="95"/>
  <c r="K323" i="95"/>
  <c r="K324" i="95"/>
  <c r="K325" i="95"/>
  <c r="K326" i="95"/>
  <c r="K327" i="95"/>
  <c r="K328" i="95"/>
  <c r="K329" i="95"/>
  <c r="K330" i="95"/>
  <c r="K331" i="95"/>
  <c r="K332" i="95"/>
  <c r="K333" i="95"/>
  <c r="K338" i="95"/>
  <c r="K339" i="95"/>
  <c r="K340" i="95"/>
  <c r="K341" i="95"/>
  <c r="K342" i="95"/>
  <c r="K343" i="95"/>
  <c r="K344" i="95"/>
  <c r="K353" i="95"/>
  <c r="K355" i="95"/>
  <c r="K356" i="95"/>
  <c r="K357" i="95"/>
  <c r="K358" i="95"/>
  <c r="K359" i="95"/>
  <c r="K360" i="95"/>
  <c r="K361" i="95"/>
  <c r="K362" i="95"/>
  <c r="K363" i="95"/>
  <c r="K364" i="95"/>
  <c r="K365" i="95"/>
  <c r="K385" i="95"/>
  <c r="K386" i="95"/>
  <c r="K387" i="95"/>
  <c r="K388" i="95"/>
  <c r="K389" i="95"/>
  <c r="K390" i="95"/>
  <c r="K417" i="95"/>
  <c r="K418" i="95"/>
  <c r="K419" i="95"/>
  <c r="K420" i="95"/>
  <c r="L2" i="95"/>
  <c r="L3" i="95"/>
  <c r="L4" i="95"/>
  <c r="L5" i="95"/>
  <c r="L6" i="95"/>
  <c r="L7" i="95"/>
  <c r="L8" i="95"/>
  <c r="M8" i="95" s="1"/>
  <c r="L9" i="95"/>
  <c r="M9" i="95" s="1"/>
  <c r="L10" i="95"/>
  <c r="M10" i="95" s="1"/>
  <c r="L11" i="95"/>
  <c r="M11" i="95" s="1"/>
  <c r="L12" i="95"/>
  <c r="M12" i="95" s="1"/>
  <c r="L13" i="95"/>
  <c r="L14" i="95"/>
  <c r="M14" i="95" s="1"/>
  <c r="L15" i="95"/>
  <c r="M15" i="95" s="1"/>
  <c r="L16" i="95"/>
  <c r="M16" i="95" s="1"/>
  <c r="L17" i="95"/>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L46" i="95"/>
  <c r="L47" i="95"/>
  <c r="L48" i="95"/>
  <c r="L49" i="95"/>
  <c r="L50" i="95"/>
  <c r="L51" i="95"/>
  <c r="L52" i="95"/>
  <c r="L53" i="95"/>
  <c r="L54" i="95"/>
  <c r="M54" i="95" s="1"/>
  <c r="L55" i="95"/>
  <c r="M55" i="95" s="1"/>
  <c r="L56" i="95"/>
  <c r="M56" i="95" s="1"/>
  <c r="L57" i="95"/>
  <c r="M57" i="95" s="1"/>
  <c r="L58" i="95"/>
  <c r="M58" i="95" s="1"/>
  <c r="L59" i="95"/>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L78" i="95"/>
  <c r="L79" i="95"/>
  <c r="L80" i="95"/>
  <c r="L81" i="95"/>
  <c r="L82" i="95"/>
  <c r="L83" i="95"/>
  <c r="L84" i="95"/>
  <c r="L85" i="95"/>
  <c r="L86" i="95"/>
  <c r="M86" i="95" s="1"/>
  <c r="L87" i="95"/>
  <c r="M87" i="95" s="1"/>
  <c r="L88" i="95"/>
  <c r="M88" i="95" s="1"/>
  <c r="L89" i="95"/>
  <c r="M89" i="95" s="1"/>
  <c r="L90" i="95"/>
  <c r="M90" i="95" s="1"/>
  <c r="L91" i="95"/>
  <c r="L92" i="95"/>
  <c r="L93" i="95"/>
  <c r="L94" i="95"/>
  <c r="L95" i="95"/>
  <c r="L96" i="95"/>
  <c r="L97" i="95"/>
  <c r="L98" i="95"/>
  <c r="L99" i="95"/>
  <c r="L100" i="95"/>
  <c r="L101" i="95"/>
  <c r="M101" i="95" s="1"/>
  <c r="L102" i="95"/>
  <c r="M102" i="95" s="1"/>
  <c r="L103" i="95"/>
  <c r="M103" i="95" s="1"/>
  <c r="L104" i="95"/>
  <c r="M104" i="95" s="1"/>
  <c r="L105" i="95"/>
  <c r="M105" i="95" s="1"/>
  <c r="L106" i="95"/>
  <c r="M106" i="95" s="1"/>
  <c r="L107" i="95"/>
  <c r="M107" i="95" s="1"/>
  <c r="L108" i="95"/>
  <c r="M108" i="95" s="1"/>
  <c r="L109" i="95"/>
  <c r="M109" i="95" s="1"/>
  <c r="L110" i="95"/>
  <c r="L111" i="95"/>
  <c r="L112" i="95"/>
  <c r="L113" i="95"/>
  <c r="L114" i="95"/>
  <c r="L115" i="95"/>
  <c r="L116" i="95"/>
  <c r="L117" i="95"/>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L142" i="95"/>
  <c r="L143" i="95"/>
  <c r="L144" i="95"/>
  <c r="L145" i="95"/>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L174" i="95"/>
  <c r="L175" i="95"/>
  <c r="L176" i="95"/>
  <c r="L177" i="95"/>
  <c r="L178" i="95"/>
  <c r="L179" i="95"/>
  <c r="L180" i="95"/>
  <c r="L181" i="95"/>
  <c r="L182" i="95"/>
  <c r="M182" i="95" s="1"/>
  <c r="L183" i="95"/>
  <c r="M183" i="95" s="1"/>
  <c r="L184" i="95"/>
  <c r="M184" i="95" s="1"/>
  <c r="L185" i="95"/>
  <c r="M185" i="95" s="1"/>
  <c r="L186" i="95"/>
  <c r="M186" i="95" s="1"/>
  <c r="L187" i="95"/>
  <c r="L188" i="95"/>
  <c r="L189" i="95"/>
  <c r="L190" i="95"/>
  <c r="L191" i="95"/>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L206" i="95"/>
  <c r="L207" i="95"/>
  <c r="L208" i="95"/>
  <c r="L209" i="95"/>
  <c r="L210" i="95"/>
  <c r="L211" i="95"/>
  <c r="L212" i="95"/>
  <c r="L213" i="95"/>
  <c r="L214" i="95"/>
  <c r="M214" i="95" s="1"/>
  <c r="L215" i="95"/>
  <c r="M215" i="95" s="1"/>
  <c r="L216" i="95"/>
  <c r="M216" i="95" s="1"/>
  <c r="L217" i="95"/>
  <c r="M217" i="95" s="1"/>
  <c r="L218" i="95"/>
  <c r="M218" i="95" s="1"/>
  <c r="L219" i="95"/>
  <c r="L220" i="95"/>
  <c r="L221" i="95"/>
  <c r="L222" i="95"/>
  <c r="L223" i="95"/>
  <c r="L224" i="95"/>
  <c r="L225" i="95"/>
  <c r="L226" i="95"/>
  <c r="L227" i="95"/>
  <c r="L228" i="95"/>
  <c r="L229" i="95"/>
  <c r="L230" i="95"/>
  <c r="L231" i="95"/>
  <c r="L232" i="95"/>
  <c r="M232" i="95" s="1"/>
  <c r="L233" i="95"/>
  <c r="M233" i="95" s="1"/>
  <c r="L234" i="95"/>
  <c r="M234" i="95" s="1"/>
  <c r="L235" i="95"/>
  <c r="M235" i="95" s="1"/>
  <c r="L236" i="95"/>
  <c r="L237" i="95"/>
  <c r="L238" i="95"/>
  <c r="L239" i="95"/>
  <c r="L240" i="95"/>
  <c r="L241" i="95"/>
  <c r="L242" i="95"/>
  <c r="L243" i="95"/>
  <c r="L244" i="95"/>
  <c r="L245" i="95"/>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L270" i="95"/>
  <c r="L271" i="95"/>
  <c r="L272" i="95"/>
  <c r="L273" i="95"/>
  <c r="L274" i="95"/>
  <c r="L275" i="95"/>
  <c r="L276" i="95"/>
  <c r="L277" i="95"/>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L302" i="95"/>
  <c r="L303" i="95"/>
  <c r="L304" i="95"/>
  <c r="L305" i="95"/>
  <c r="L306" i="95"/>
  <c r="L307" i="95"/>
  <c r="L308" i="95"/>
  <c r="L309" i="95"/>
  <c r="L310" i="95"/>
  <c r="M310" i="95" s="1"/>
  <c r="L311" i="95"/>
  <c r="M311" i="95" s="1"/>
  <c r="L312" i="95"/>
  <c r="M312" i="95" s="1"/>
  <c r="L313" i="95"/>
  <c r="M313" i="95" s="1"/>
  <c r="L314" i="95"/>
  <c r="M314" i="95" s="1"/>
  <c r="L315" i="95"/>
  <c r="L316" i="95"/>
  <c r="L317" i="95"/>
  <c r="L318" i="95"/>
  <c r="L319" i="95"/>
  <c r="L320" i="95"/>
  <c r="L321" i="95"/>
  <c r="L322" i="95"/>
  <c r="L323" i="95"/>
  <c r="L324" i="95"/>
  <c r="M324" i="95" s="1"/>
  <c r="L325" i="95"/>
  <c r="M325" i="95" s="1"/>
  <c r="L326" i="95"/>
  <c r="M326" i="95" s="1"/>
  <c r="L327" i="95"/>
  <c r="M327" i="95" s="1"/>
  <c r="L328" i="95"/>
  <c r="M328" i="95" s="1"/>
  <c r="L329" i="95"/>
  <c r="M329" i="95" s="1"/>
  <c r="L330" i="95"/>
  <c r="M330" i="95" s="1"/>
  <c r="L331" i="95"/>
  <c r="M331" i="95" s="1"/>
  <c r="L332" i="95"/>
  <c r="M332" i="95" s="1"/>
  <c r="L333" i="95"/>
  <c r="L334" i="95"/>
  <c r="L335" i="95"/>
  <c r="L336" i="95"/>
  <c r="L337" i="95"/>
  <c r="L338" i="95"/>
  <c r="L339" i="95"/>
  <c r="L340" i="95"/>
  <c r="L341" i="95"/>
  <c r="L342" i="95"/>
  <c r="M342" i="95" s="1"/>
  <c r="L343" i="95"/>
  <c r="M343" i="95" s="1"/>
  <c r="L344" i="95"/>
  <c r="M344" i="95" s="1"/>
  <c r="L345" i="95"/>
  <c r="M345" i="95" s="1"/>
  <c r="L346" i="95"/>
  <c r="M346" i="95" s="1"/>
  <c r="L347" i="95"/>
  <c r="L348" i="95"/>
  <c r="L349" i="95"/>
  <c r="L350" i="95"/>
  <c r="L351" i="95"/>
  <c r="L352" i="95"/>
  <c r="L353" i="95"/>
  <c r="L354" i="95"/>
  <c r="L355" i="95"/>
  <c r="L356" i="95"/>
  <c r="L357" i="95"/>
  <c r="L358" i="95"/>
  <c r="L359" i="95"/>
  <c r="L360" i="95"/>
  <c r="M360" i="95" s="1"/>
  <c r="L361" i="95"/>
  <c r="M361" i="95" s="1"/>
  <c r="L362" i="95"/>
  <c r="M362" i="95" s="1"/>
  <c r="L363" i="95"/>
  <c r="M363" i="95" s="1"/>
  <c r="L364" i="95"/>
  <c r="M364" i="95" s="1"/>
  <c r="L365" i="95"/>
  <c r="L366" i="95"/>
  <c r="L367" i="95"/>
  <c r="L368" i="95"/>
  <c r="L369" i="95"/>
  <c r="L370" i="95"/>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L398" i="95"/>
  <c r="L399" i="95"/>
  <c r="L400" i="95"/>
  <c r="L401" i="95"/>
  <c r="L402" i="95"/>
  <c r="L403" i="95"/>
  <c r="L404" i="95"/>
  <c r="L405" i="95"/>
  <c r="L406" i="95"/>
  <c r="M406" i="95" s="1"/>
  <c r="L407" i="95"/>
  <c r="M407" i="95" s="1"/>
  <c r="L408" i="95"/>
  <c r="M408" i="95" s="1"/>
  <c r="L409" i="95"/>
  <c r="M409" i="95" s="1"/>
  <c r="L410" i="95"/>
  <c r="M410" i="95" s="1"/>
  <c r="L411" i="95"/>
  <c r="L412" i="95"/>
  <c r="L413" i="95"/>
  <c r="L414" i="95"/>
  <c r="L415" i="95"/>
  <c r="M415" i="95" s="1"/>
  <c r="L416" i="95"/>
  <c r="M416" i="95" s="1"/>
  <c r="L417" i="95"/>
  <c r="M417" i="95" s="1"/>
  <c r="L418" i="95"/>
  <c r="M418" i="95" s="1"/>
  <c r="L419" i="95"/>
  <c r="M419" i="95" s="1"/>
  <c r="L420" i="95"/>
  <c r="M420" i="95" s="1"/>
  <c r="M2" i="95"/>
  <c r="M3" i="95"/>
  <c r="M4" i="95"/>
  <c r="M5" i="95"/>
  <c r="M6" i="95"/>
  <c r="M7" i="95"/>
  <c r="M13" i="95"/>
  <c r="M17" i="95"/>
  <c r="M45" i="95"/>
  <c r="M46" i="95"/>
  <c r="M47" i="95"/>
  <c r="M48" i="95"/>
  <c r="M49" i="95"/>
  <c r="M50" i="95"/>
  <c r="M51" i="95"/>
  <c r="M52" i="95"/>
  <c r="M53" i="95"/>
  <c r="M59" i="95"/>
  <c r="M77" i="95"/>
  <c r="M78" i="95"/>
  <c r="M79" i="95"/>
  <c r="M80" i="95"/>
  <c r="M81" i="95"/>
  <c r="M82" i="95"/>
  <c r="M83" i="95"/>
  <c r="M84" i="95"/>
  <c r="M85" i="95"/>
  <c r="M91" i="95"/>
  <c r="M92" i="95"/>
  <c r="M93" i="95"/>
  <c r="M94" i="95"/>
  <c r="M95" i="95"/>
  <c r="M96" i="95"/>
  <c r="M97" i="95"/>
  <c r="M98" i="95"/>
  <c r="M99" i="95"/>
  <c r="M100" i="95"/>
  <c r="M110" i="95"/>
  <c r="M111" i="95"/>
  <c r="M112" i="95"/>
  <c r="M113" i="95"/>
  <c r="M114" i="95"/>
  <c r="M115" i="95"/>
  <c r="M116" i="95"/>
  <c r="M117" i="95"/>
  <c r="M141" i="95"/>
  <c r="M142" i="95"/>
  <c r="M143" i="95"/>
  <c r="M144" i="95"/>
  <c r="M145" i="95"/>
  <c r="M173" i="95"/>
  <c r="M174" i="95"/>
  <c r="M175" i="95"/>
  <c r="M176" i="95"/>
  <c r="M177" i="95"/>
  <c r="M178" i="95"/>
  <c r="M179" i="95"/>
  <c r="M180" i="95"/>
  <c r="M181" i="95"/>
  <c r="M187" i="95"/>
  <c r="M188" i="95"/>
  <c r="M189" i="95"/>
  <c r="M190" i="95"/>
  <c r="M191" i="95"/>
  <c r="M205" i="95"/>
  <c r="M206" i="95"/>
  <c r="M207" i="95"/>
  <c r="M208" i="95"/>
  <c r="M209" i="95"/>
  <c r="M210" i="95"/>
  <c r="M211" i="95"/>
  <c r="M212" i="95"/>
  <c r="M213" i="95"/>
  <c r="M219" i="95"/>
  <c r="M220" i="95"/>
  <c r="M221" i="95"/>
  <c r="M222" i="95"/>
  <c r="M223" i="95"/>
  <c r="M224" i="95"/>
  <c r="M225" i="95"/>
  <c r="M226" i="95"/>
  <c r="M227" i="95"/>
  <c r="M228" i="95"/>
  <c r="M229" i="95"/>
  <c r="M230" i="95"/>
  <c r="M231" i="95"/>
  <c r="M236" i="95"/>
  <c r="M237" i="95"/>
  <c r="M238" i="95"/>
  <c r="M239" i="95"/>
  <c r="M240" i="95"/>
  <c r="M241" i="95"/>
  <c r="M242" i="95"/>
  <c r="M243" i="95"/>
  <c r="M244" i="95"/>
  <c r="M245" i="95"/>
  <c r="M269" i="95"/>
  <c r="M270" i="95"/>
  <c r="M271" i="95"/>
  <c r="M272" i="95"/>
  <c r="M273" i="95"/>
  <c r="M274" i="95"/>
  <c r="M275" i="95"/>
  <c r="M276" i="95"/>
  <c r="M277" i="95"/>
  <c r="M301" i="95"/>
  <c r="M302" i="95"/>
  <c r="M303" i="95"/>
  <c r="M304" i="95"/>
  <c r="M305" i="95"/>
  <c r="M306" i="95"/>
  <c r="M307" i="95"/>
  <c r="M308" i="95"/>
  <c r="M309" i="95"/>
  <c r="M315" i="95"/>
  <c r="M316" i="95"/>
  <c r="M317" i="95"/>
  <c r="M318" i="95"/>
  <c r="M319" i="95"/>
  <c r="M320" i="95"/>
  <c r="M321" i="95"/>
  <c r="M322" i="95"/>
  <c r="M323" i="95"/>
  <c r="M333" i="95"/>
  <c r="M334" i="95"/>
  <c r="M335" i="95"/>
  <c r="M336" i="95"/>
  <c r="M337" i="95"/>
  <c r="M338" i="95"/>
  <c r="M339" i="95"/>
  <c r="M340" i="95"/>
  <c r="M341" i="95"/>
  <c r="M347" i="95"/>
  <c r="M348" i="95"/>
  <c r="M349" i="95"/>
  <c r="M350" i="95"/>
  <c r="M351" i="95"/>
  <c r="M352" i="95"/>
  <c r="M353" i="95"/>
  <c r="M354" i="95"/>
  <c r="M355" i="95"/>
  <c r="M356" i="95"/>
  <c r="M357" i="95"/>
  <c r="M358" i="95"/>
  <c r="M359" i="95"/>
  <c r="M365" i="95"/>
  <c r="M366" i="95"/>
  <c r="M367" i="95"/>
  <c r="M368" i="95"/>
  <c r="M369" i="95"/>
  <c r="M370" i="95"/>
  <c r="M397" i="95"/>
  <c r="M398" i="95"/>
  <c r="M399" i="95"/>
  <c r="M400" i="95"/>
  <c r="M401" i="95"/>
  <c r="M402" i="95"/>
  <c r="M403" i="95"/>
  <c r="M404" i="95"/>
  <c r="M405" i="95"/>
  <c r="M411" i="95"/>
  <c r="M412" i="95"/>
  <c r="M413" i="95"/>
  <c r="M414"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E55" i="8"/>
  <c r="D55" i="8"/>
  <c r="P15" i="78"/>
  <c r="R15" i="78" s="1"/>
  <c r="S15" i="78" s="1"/>
  <c r="P16" i="78"/>
  <c r="R16" i="78" s="1"/>
  <c r="S16" i="78" s="1"/>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P13" i="78" s="1"/>
  <c r="R13" i="78" s="1"/>
  <c r="S13" i="78" s="1"/>
  <c r="Q14" i="78"/>
  <c r="P14" i="78" s="1"/>
  <c r="R14" i="78" s="1"/>
  <c r="S14" i="78" s="1"/>
  <c r="Q15" i="78"/>
  <c r="Q16" i="78"/>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K211" i="95" l="1"/>
  <c r="K210" i="95"/>
  <c r="K320" i="95"/>
  <c r="K256" i="95"/>
  <c r="K212" i="95"/>
  <c r="K319" i="95"/>
  <c r="P27" i="78"/>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C23" i="5" a="1"/>
  <c r="C23" i="5"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U56" i="8"/>
  <c r="P56" i="8"/>
  <c r="G2" i="74" l="1" a="1"/>
  <c r="G2" i="74" s="1"/>
  <c r="H2" i="74" s="1" a="1"/>
  <c r="H2" i="74" s="1"/>
  <c r="C24" i="5" a="1"/>
  <c r="C24" i="5" s="1"/>
  <c r="I2" i="78"/>
  <c r="N2" i="78" s="1" a="1"/>
  <c r="N2" i="78" s="1"/>
  <c r="N31" i="78" a="1"/>
  <c r="N31" i="78" s="1"/>
  <c r="N34" i="78" a="1"/>
  <c r="N34" i="78" s="1"/>
  <c r="N5" i="78" a="1"/>
  <c r="N5" i="78" s="1"/>
  <c r="N24" i="78" a="1"/>
  <c r="N24"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H3" i="74" l="1"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8" i="78" a="1"/>
  <c r="O17" i="78" a="1"/>
  <c r="O16" i="78" a="1"/>
  <c r="O15" i="78" a="1"/>
  <c r="O3" i="78" a="1"/>
  <c r="O19" i="78" a="1"/>
  <c r="O13" i="78" a="1"/>
  <c r="O4" i="78" a="1"/>
  <c r="O6" i="78" a="1"/>
  <c r="O7" i="78" a="1"/>
  <c r="O10" i="78" a="1"/>
  <c r="O12" i="78" a="1"/>
  <c r="O11" i="78" a="1"/>
  <c r="O9" i="78" a="1"/>
  <c r="O14"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A22" i="4"/>
  <c r="C22" i="4" s="1" a="1"/>
  <c r="C22" i="4" s="1"/>
  <c r="N10" i="4"/>
  <c r="N15" i="4"/>
  <c r="N17" i="4"/>
  <c r="N11" i="4"/>
  <c r="N18" i="4"/>
  <c r="N13" i="4"/>
  <c r="N14" i="4"/>
  <c r="N16" i="4"/>
  <c r="N12" i="4"/>
  <c r="H10" i="4"/>
  <c r="U1" i="4" s="1" a="1"/>
  <c r="U1" i="4" s="1"/>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N19" i="4" l="1"/>
  <c r="U2" i="4" a="1"/>
  <c r="U2" i="4" s="1"/>
  <c r="K19" i="4"/>
  <c r="T2" i="4" a="1"/>
  <c r="T2" i="4" s="1"/>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T1" i="4" s="1" a="1"/>
  <c r="T1" i="4" s="1"/>
  <c r="E14" i="4"/>
  <c r="A62" i="26"/>
  <c r="D14" i="8"/>
  <c r="M62" i="26" s="1"/>
  <c r="D13" i="8"/>
  <c r="G11" i="8" s="1"/>
  <c r="D12" i="8"/>
  <c r="E47" i="8"/>
  <c r="I47" i="8"/>
  <c r="H47" i="8"/>
  <c r="K62" i="26" l="1"/>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I10" i="15"/>
  <c r="D12" i="21" a="1"/>
  <c r="D11"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<sst xmlns="http://schemas.openxmlformats.org/spreadsheetml/2006/main" count="2499" uniqueCount="1253">
  <si>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</si>
  <si>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</si>
  <si>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</si>
  <si>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</si>
  <si>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</si>
  <si>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</si>
  <si>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</si>
  <si>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</si>
  <si>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</si>
  <si>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</si>
  <si>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</si>
  <si>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</si>
  <si>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</si>
  <si>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</si>
  <si>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</si>
  <si>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</si>
  <si>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</si>
  <si>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</si>
  <si>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</si>
  <si>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</si>
  <si>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</si>
  <si>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</si>
  <si>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</si>
  <si>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</si>
  <si>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</si>
  <si>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</si>
  <si>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</si>
  <si>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</si>
  <si>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</si>
  <si>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</si>
  <si>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</si>
  <si>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</si>
  <si>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</si>
  <si>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</si>
  <si>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</si>
  <si>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</si>
  <si>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</si>
  <si>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</si>
  <si>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</si>
  <si>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</si>
  <si>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</si>
  <si>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</si>
  <si>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</si>
  <si>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</si>
  <si>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</si>
  <si>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</si>
  <si>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</si>
  <si>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</si>
  <si>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</si>
  <si>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</si>
  <si>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</si>
  <si>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</si>
  <si>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</si>
  <si>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</si>
  <si>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</si>
  <si>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</si>
  <si>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</si>
  <si>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</si>
  <si>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</si>
  <si>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</si>
  <si>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</si>
  <si>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</si>
  <si>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</si>
  <si>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</si>
  <si>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</si>
  <si>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</si>
  <si>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</si>
  <si>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</si>
  <si>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</si>
  <si>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</si>
  <si>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</si>
  <si>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</si>
  <si>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</si>
  <si>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</si>
  <si>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</si>
  <si>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</si>
  <si>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</si>
  <si>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</si>
  <si>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</si>
  <si>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</si>
  <si>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</si>
  <si>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</si>
  <si>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</si>
  <si>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</si>
  <si>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</si>
  <si>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</si>
  <si>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</si>
  <si>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</si>
  <si>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</si>
  <si>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</si>
  <si>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</si>
  <si>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</si>
  <si>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</si>
  <si>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</si>
  <si>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</si>
  <si>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</si>
  <si>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</si>
  <si>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</si>
  <si>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</si>
  <si>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</si>
  <si>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</si>
  <si>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</si>
  <si>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</si>
  <si>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</si>
  <si>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</si>
  <si>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</si>
  <si>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</si>
  <si>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</si>
  <si>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</si>
  <si>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</si>
  <si>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</si>
  <si>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</si>
  <si>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</si>
  <si>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</si>
  <si>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</si>
  <si>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</si>
  <si>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</si>
  <si>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</si>
  <si>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</si>
  <si>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</si>
  <si>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</si>
  <si>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</si>
  <si>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</si>
  <si>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</si>
  <si>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</si>
  <si>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</si>
  <si>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</si>
  <si>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</si>
  <si>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</si>
  <si>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</si>
  <si>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</si>
  <si>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</si>
  <si>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</si>
  <si>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</si>
  <si>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</si>
  <si>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</si>
  <si>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</si>
  <si>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</si>
  <si>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</si>
  <si>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</si>
  <si>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</si>
  <si>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</si>
  <si>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</si>
  <si>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</si>
  <si>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</si>
  <si>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</si>
  <si>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</si>
  <si>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</si>
  <si>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</si>
  <si>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</si>
  <si>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</si>
  <si>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</si>
  <si>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</si>
  <si>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</si>
  <si>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</si>
  <si>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</si>
  <si>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</si>
  <si>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</si>
  <si>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</si>
  <si>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</si>
  <si>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</si>
  <si>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</si>
  <si>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</si>
  <si>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</si>
  <si>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</si>
  <si>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</si>
  <si>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</si>
  <si>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</si>
  <si>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</si>
  <si>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</si>
  <si>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</si>
  <si>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</si>
  <si>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</si>
  <si>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</si>
  <si>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</si>
  <si>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</si>
  <si>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</si>
  <si>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</si>
  <si>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</si>
  <si>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</si>
  <si>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</si>
  <si>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</si>
  <si>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</si>
  <si>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</si>
  <si>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</si>
  <si>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</si>
  <si>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</si>
  <si>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</si>
  <si>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</si>
  <si>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</si>
  <si>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</si>
  <si>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</si>
  <si>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</si>
  <si>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</si>
  <si>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</si>
  <si>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</si>
  <si>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</si>
  <si>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</si>
  <si>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</si>
  <si>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</si>
  <si>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</si>
  <si>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</si>
  <si>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</si>
  <si>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</si>
  <si>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</si>
  <si>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</si>
  <si>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</si>
  <si>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</si>
  <si>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</si>
  <si>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</si>
  <si>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</si>
  <si>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</si>
  <si>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</si>
  <si>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</si>
  <si>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</si>
  <si>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</si>
  <si>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</si>
  <si>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</si>
  <si>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</si>
  <si>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</si>
  <si>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</si>
  <si>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</si>
  <si>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</si>
  <si>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</si>
  <si>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</si>
  <si>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</si>
  <si>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</si>
  <si>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</si>
  <si>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</si>
  <si>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</si>
  <si>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</si>
  <si>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</si>
  <si>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</si>
  <si>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</si>
  <si>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</si>
  <si>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</si>
  <si>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</si>
  <si>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</si>
  <si>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</si>
  <si>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</si>
  <si>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</si>
  <si>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</si>
  <si>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</si>
  <si>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</si>
  <si>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</si>
  <si>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</si>
  <si>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</si>
  <si>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</si>
  <si>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</si>
  <si>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</si>
  <si>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</si>
  <si>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</si>
  <si>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</si>
  <si>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</si>
  <si>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</si>
  <si>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</si>
  <si>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</si>
  <si>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</si>
  <si>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</si>
  <si>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</si>
  <si>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</si>
  <si>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</si>
  <si>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</si>
  <si>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</si>
  <si>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</si>
  <si>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</si>
  <si>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</si>
  <si>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</si>
  <si>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</si>
  <si>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</si>
  <si>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</si>
  <si>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</si>
  <si>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</si>
  <si>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</si>
  <si>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</si>
  <si>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</si>
  <si>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</si>
  <si>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</si>
  <si>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</si>
  <si>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</si>
  <si>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</si>
  <si>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</si>
  <si>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</si>
  <si>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</si>
  <si>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</si>
  <si>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</si>
  <si>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</si>
  <si>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</si>
  <si>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</si>
  <si>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</si>
  <si>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</si>
  <si>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</si>
  <si>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</si>
  <si>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</si>
  <si>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</si>
  <si>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</si>
  <si>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</si>
  <si>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</si>
  <si>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</si>
  <si>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</si>
  <si>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</si>
  <si>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</si>
  <si>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</si>
  <si>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</si>
  <si>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</si>
  <si>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</si>
  <si>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</si>
  <si>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</si>
  <si>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</si>
  <si>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</si>
  <si>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</si>
  <si>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</si>
  <si>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</si>
  <si>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</si>
  <si>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</si>
  <si>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</si>
  <si>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</si>
  <si>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</si>
  <si>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</si>
  <si>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</si>
  <si>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</si>
  <si>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</si>
  <si>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</si>
  <si>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</si>
  <si>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</si>
  <si>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</si>
  <si>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</si>
  <si>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</si>
  <si>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</si>
  <si>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</si>
  <si>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</si>
  <si>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</si>
  <si>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</si>
  <si>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</si>
  <si>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</si>
  <si>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</si>
  <si>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</si>
  <si>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</si>
  <si>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</si>
  <si>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</si>
  <si>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</si>
  <si>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</si>
  <si>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</si>
  <si>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</si>
  <si>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</si>
  <si>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</si>
  <si>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</si>
  <si>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</si>
  <si>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</si>
  <si>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</si>
  <si>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</si>
  <si>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</si>
  <si>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</si>
  <si>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</si>
  <si>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</si>
  <si>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</si>
  <si>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</si>
  <si>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</si>
  <si>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</si>
  <si>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</si>
  <si>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</si>
  <si>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</si>
  <si>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</si>
  <si>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</si>
  <si>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</si>
  <si>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</si>
  <si>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</si>
  <si>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</si>
  <si>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</si>
  <si>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</si>
  <si>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</si>
  <si>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</si>
  <si>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</si>
  <si>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</si>
  <si>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</si>
  <si>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</si>
  <si>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</si>
  <si>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</si>
  <si>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</si>
  <si>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</si>
  <si>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</si>
  <si>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</si>
  <si>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</si>
  <si>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</si>
  <si>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</si>
  <si>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</si>
  <si>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</si>
  <si>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</si>
  <si>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</si>
  <si>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</si>
  <si>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</si>
  <si>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</si>
  <si>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</si>
  <si>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</si>
  <si>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</si>
  <si>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</si>
  <si>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</si>
  <si>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</si>
  <si>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</si>
  <si>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</si>
  <si>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</si>
  <si>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</si>
  <si>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</si>
  <si>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</si>
  <si>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</si>
  <si>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</si>
  <si>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</si>
  <si>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</si>
  <si>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</si>
  <si>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</si>
  <si>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</si>
  <si>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</si>
  <si>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</si>
  <si>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</si>
  <si>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</si>
  <si>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</si>
  <si>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</si>
  <si>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</si>
  <si>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</si>
  <si>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</si>
  <si>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</si>
  <si>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</si>
  <si>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</si>
  <si>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</si>
  <si>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</si>
  <si>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</si>
  <si>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</si>
  <si>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</si>
  <si>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</si>
  <si>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</si>
  <si>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</si>
  <si>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</si>
  <si>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</si>
  <si>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</si>
  <si>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</si>
  <si>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</si>
  <si>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</si>
  <si>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</si>
  <si>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</si>
  <si>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</si>
  <si>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</si>
  <si>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</si>
  <si>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</si>
  <si>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</si>
  <si>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</si>
  <si>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</si>
  <si>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</si>
  <si>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</si>
  <si>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</si>
  <si>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</si>
  <si>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</si>
  <si>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</si>
  <si>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</si>
  <si>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</si>
  <si>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</si>
  <si>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</si>
  <si>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</si>
  <si>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</si>
  <si>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</si>
  <si>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</si>
  <si>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</si>
  <si>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</si>
  <si>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</si>
  <si>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</si>
  <si>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</si>
  <si>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</si>
  <si>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</si>
  <si>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</si>
  <si>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</si>
  <si>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</si>
  <si>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</si>
  <si>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</si>
  <si>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</si>
  <si>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</si>
  <si>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</si>
  <si>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</si>
  <si>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</si>
  <si>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</si>
  <si>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</si>
  <si>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</si>
  <si>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</si>
  <si>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</si>
  <si>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</si>
  <si>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</si>
  <si>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</si>
  <si>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</si>
  <si>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</si>
  <si>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</si>
  <si>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</si>
  <si>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</si>
  <si>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</si>
  <si>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</si>
  <si>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</si>
  <si>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</si>
  <si>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</si>
  <si>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</si>
  <si>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</si>
  <si>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</si>
  <si>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</si>
  <si>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</si>
  <si>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</si>
  <si>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</si>
  <si>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</si>
  <si>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</si>
  <si>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</si>
  <si>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</si>
  <si>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</si>
  <si>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</si>
  <si>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</si>
  <si>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</si>
  <si>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</si>
  <si>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</si>
  <si>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</si>
  <si>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</si>
  <si>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</si>
  <si>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</si>
  <si>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</si>
  <si>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</si>
  <si>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</si>
  <si>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</si>
  <si>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</si>
  <si>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</si>
  <si>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</si>
  <si>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</si>
  <si>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</si>
  <si>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</si>
  <si>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</si>
  <si>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</si>
  <si>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</si>
  <si>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</si>
  <si>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</si>
  <si>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</si>
  <si>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</si>
  <si>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</si>
  <si>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</si>
  <si>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</si>
  <si>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</si>
  <si>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</si>
  <si>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</si>
  <si>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</si>
  <si>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</si>
  <si>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</si>
  <si>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</si>
  <si>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</si>
  <si>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</si>
  <si>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</si>
  <si>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</si>
  <si>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</si>
  <si>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</si>
  <si>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</si>
  <si>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</si>
  <si>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</si>
  <si>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</si>
  <si>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</si>
  <si>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</si>
  <si>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</si>
  <si>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</si>
  <si>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</si>
  <si>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</si>
  <si>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</si>
  <si>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</si>
  <si>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</si>
  <si>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</si>
  <si>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</si>
  <si>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</si>
  <si>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</si>
  <si>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</si>
  <si>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</si>
  <si>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</si>
  <si>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</si>
  <si>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</si>
  <si>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</si>
  <si>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</si>
  <si>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</si>
  <si>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</si>
  <si>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</si>
  <si>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</si>
  <si>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</si>
  <si>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</si>
  <si>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</si>
  <si>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</si>
  <si>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</si>
  <si>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</si>
  <si>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</si>
  <si>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</si>
  <si>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</si>
  <si>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</si>
  <si>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</si>
  <si>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</si>
  <si>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</si>
  <si>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</si>
  <si>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</si>
  <si>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</si>
  <si>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</si>
  <si>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</si>
  <si>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</si>
  <si>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</si>
  <si>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</si>
  <si>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</si>
  <si>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</si>
  <si>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</si>
  <si>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</si>
  <si>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</si>
  <si>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</si>
  <si>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</si>
  <si>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</si>
  <si>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</si>
  <si>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</si>
  <si>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</si>
  <si>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</si>
  <si>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</si>
  <si>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</si>
  <si>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</si>
  <si>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</si>
  <si>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</si>
  <si>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</si>
  <si>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</si>
  <si>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</si>
  <si>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</si>
  <si>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</si>
  <si>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</si>
  <si>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</si>
  <si>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</si>
  <si>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</si>
  <si>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</si>
  <si>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</si>
  <si>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</si>
  <si>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</si>
  <si>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</si>
  <si>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</si>
  <si>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</si>
  <si>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</si>
  <si>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</si>
  <si>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</si>
  <si>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</si>
  <si>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</si>
  <si>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</si>
  <si>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</si>
  <si>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</si>
  <si>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</si>
  <si>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</si>
  <si>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</si>
  <si>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</si>
  <si>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</si>
  <si>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</si>
  <si>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</si>
  <si>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</si>
  <si>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</si>
  <si>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</si>
  <si>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</si>
  <si>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</si>
  <si>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</si>
  <si>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</si>
  <si>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</si>
  <si>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</si>
  <si>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</si>
  <si>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</si>
  <si>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</si>
  <si>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</si>
  <si>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</si>
  <si>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</si>
  <si>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</si>
  <si>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</si>
  <si>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</si>
  <si>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</si>
  <si>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</si>
  <si>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</si>
  <si>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</si>
  <si>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</si>
  <si>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</si>
  <si>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</si>
  <si>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</si>
  <si>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</si>
  <si>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</si>
  <si>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</si>
  <si>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</si>
  <si>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</si>
  <si>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</si>
  <si>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</si>
  <si>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</si>
  <si>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</si>
  <si>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</si>
  <si>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</si>
  <si>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</si>
  <si>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</si>
  <si>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</si>
  <si>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</si>
  <si>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</si>
  <si>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</si>
  <si>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</si>
  <si>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</si>
  <si>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</si>
  <si>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</si>
  <si>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</si>
  <si>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</si>
  <si>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</si>
  <si>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</si>
  <si>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</si>
  <si>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</si>
  <si>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</si>
  <si>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</si>
  <si>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</si>
  <si>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</si>
  <si>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</si>
  <si>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</si>
  <si>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</si>
  <si>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</si>
  <si>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</si>
  <si>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</si>
  <si>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</si>
  <si>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</si>
  <si>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</si>
  <si>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</si>
  <si>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</si>
  <si>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</si>
  <si>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</si>
  <si>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</si>
  <si>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</si>
  <si>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</si>
  <si>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</si>
  <si>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</si>
  <si>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</si>
  <si>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</si>
  <si>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</si>
  <si>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</si>
  <si>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</si>
  <si>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</si>
  <si>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</si>
  <si>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</si>
  <si>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</si>
  <si>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</si>
  <si>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</si>
  <si>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</si>
  <si>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</si>
  <si>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</si>
  <si>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</si>
  <si>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</si>
  <si>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</si>
  <si>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</si>
  <si>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</si>
  <si>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</si>
  <si>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</si>
  <si>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</si>
  <si>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</si>
  <si>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</si>
  <si>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</si>
  <si>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</si>
  <si>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</si>
  <si>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</si>
  <si>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</si>
  <si>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</si>
  <si>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</si>
  <si>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</si>
  <si>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</si>
  <si>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</si>
  <si>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</si>
  <si>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</si>
  <si>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</si>
  <si>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</si>
  <si>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</si>
  <si>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</si>
  <si>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</si>
  <si>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</si>
  <si>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</si>
  <si>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</si>
  <si>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</si>
  <si>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</si>
  <si>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</si>
  <si>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</si>
  <si>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</si>
  <si>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</si>
  <si>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</si>
  <si>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</si>
  <si>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</si>
  <si>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</si>
  <si>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</si>
  <si>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</si>
  <si>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</si>
  <si>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</si>
  <si>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</si>
  <si>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</si>
  <si>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</si>
  <si>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</si>
  <si>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</si>
  <si>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</si>
  <si>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</si>
  <si>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</si>
  <si>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</si>
  <si>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</si>
  <si>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</si>
  <si>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</si>
  <si>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</si>
  <si>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</si>
  <si>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</si>
  <si>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</si>
  <si>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</si>
  <si>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</si>
  <si>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</si>
  <si>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</si>
  <si>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</si>
  <si>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</si>
  <si>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</si>
  <si>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</si>
  <si>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</si>
  <si>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</si>
  <si>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</si>
  <si>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</si>
  <si>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</si>
  <si>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</si>
  <si>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</si>
  <si>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</si>
  <si>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</si>
  <si>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</si>
  <si>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</si>
  <si>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</si>
  <si>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</si>
  <si>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</si>
  <si>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</si>
  <si>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</si>
  <si>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</si>
  <si>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</si>
  <si>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</si>
  <si>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</si>
  <si>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</si>
  <si>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</si>
  <si>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</si>
  <si>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</si>
  <si>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</si>
  <si>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</si>
  <si>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</si>
  <si>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</si>
  <si>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</si>
  <si>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</si>
  <si>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</si>
  <si>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</si>
  <si>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</si>
  <si>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</si>
  <si>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</si>
  <si>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</si>
  <si>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</si>
  <si>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</si>
  <si>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</si>
  <si>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</si>
  <si>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</si>
  <si>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</si>
  <si>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</si>
  <si>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</si>
  <si>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</si>
  <si>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</si>
  <si>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</si>
  <si>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</si>
  <si>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</si>
  <si>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</si>
  <si>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</si>
  <si>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</si>
  <si>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</si>
  <si>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</si>
  <si>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</si>
  <si>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</si>
  <si>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</si>
  <si>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</si>
  <si>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</si>
  <si>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</si>
  <si>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</si>
  <si>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</si>
  <si>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</si>
  <si>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</si>
  <si>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</si>
  <si>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</si>
  <si>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</si>
  <si>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</si>
  <si>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</si>
  <si>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</si>
  <si>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</si>
  <si>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</si>
  <si>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</si>
  <si>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</si>
  <si>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</si>
  <si>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</si>
  <si>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</si>
  <si>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</si>
  <si>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</si>
  <si>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</si>
  <si>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</si>
  <si>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</si>
  <si>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</si>
  <si>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</si>
  <si>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</si>
  <si>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</si>
  <si>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</si>
  <si>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</si>
  <si>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</si>
  <si>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</si>
  <si>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</si>
  <si>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</si>
  <si>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</si>
  <si>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</si>
  <si>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</si>
  <si>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</si>
  <si>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</si>
  <si>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</si>
  <si>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</si>
  <si>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</si>
  <si>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</si>
  <si>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</si>
  <si>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</si>
  <si>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</si>
  <si>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</si>
  <si>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</si>
  <si>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</si>
  <si>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</si>
  <si>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</si>
  <si>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</si>
  <si>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</si>
  <si>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</si>
  <si>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</si>
  <si>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</si>
  <si>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</si>
  <si>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</si>
  <si>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</si>
  <si>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</si>
  <si>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</si>
  <si>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</si>
  <si>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</si>
  <si>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</si>
  <si>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</si>
  <si>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</si>
  <si>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</si>
  <si>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</si>
  <si>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</si>
  <si>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</si>
  <si>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</si>
  <si>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</si>
  <si>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</si>
  <si>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</si>
  <si>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</si>
  <si>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</si>
  <si>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</si>
  <si>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</si>
  <si>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</si>
  <si>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</si>
  <si>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</si>
  <si>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</si>
  <si>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</si>
  <si>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</si>
  <si>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</si>
  <si>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</si>
  <si>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</si>
  <si>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</si>
  <si>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</si>
  <si>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</si>
  <si>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</si>
  <si>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</si>
  <si>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</si>
  <si>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</si>
  <si>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</si>
  <si>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</si>
  <si>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</si>
  <si>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</si>
  <si>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</si>
  <si>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</si>
  <si>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</si>
  <si>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</si>
  <si>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</si>
  <si>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</si>
  <si>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</si>
  <si>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</si>
  <si>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</si>
  <si>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</si>
  <si>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</si>
  <si>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</si>
  <si>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</si>
  <si>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</si>
  <si>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</si>
  <si>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</si>
  <si>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</si>
  <si>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</si>
  <si>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</si>
  <si>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</si>
  <si>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</si>
  <si>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</si>
  <si>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</si>
  <si>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</si>
  <si>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</si>
  <si>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</si>
  <si>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</si>
  <si>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</si>
  <si>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</si>
  <si>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</si>
  <si>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</si>
  <si>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</si>
  <si>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</si>
  <si>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</si>
  <si>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</si>
  <si>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</si>
  <si>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</si>
  <si>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</si>
  <si>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</si>
  <si>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</si>
  <si>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</si>
  <si>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</si>
  <si>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</si>
  <si>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</si>
  <si>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</si>
  <si>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</si>
  <si>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</si>
  <si>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</si>
  <si>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</si>
  <si>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</si>
  <si>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</si>
  <si>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</si>
  <si>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</si>
  <si>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</si>
  <si>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</si>
  <si>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</si>
  <si>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</si>
  <si>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</si>
  <si>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</si>
  <si>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</si>
  <si>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</si>
  <si>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</si>
  <si>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</si>
  <si>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</si>
  <si>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</si>
  <si>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</si>
  <si>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</si>
  <si>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</si>
  <si>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</si>
  <si>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</si>
  <si>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</si>
  <si>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</si>
  <si>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</si>
  <si>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</si>
  <si>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</si>
  <si>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</si>
  <si>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</si>
  <si>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</si>
  <si>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</si>
  <si>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</si>
  <si>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</si>
  <si>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</si>
  <si>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</si>
  <si>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</si>
  <si>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</si>
  <si>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</si>
  <si>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</si>
  <si>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</si>
  <si>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</si>
  <si>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</si>
  <si>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</si>
  <si>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</si>
  <si>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</si>
  <si>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</si>
  <si>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</si>
  <si>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</si>
  <si>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</si>
  <si>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</si>
  <si>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</si>
  <si>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</si>
  <si>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</si>
  <si>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</si>
  <si>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</si>
  <si>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</si>
  <si>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</si>
  <si>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</si>
  <si>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</si>
  <si>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</si>
  <si>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</si>
  <si>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</si>
  <si>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</si>
  <si>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</si>
  <si>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</si>
  <si>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</si>
  <si>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</si>
  <si>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</si>
  <si>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</si>
  <si>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</si>
  <si>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</si>
  <si>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</si>
  <si>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</si>
  <si>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</si>
  <si>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</si>
  <si>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</si>
  <si>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</si>
  <si>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</si>
  <si>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</si>
  <si>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</si>
  <si>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</si>
  <si>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</si>
  <si>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</si>
  <si>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</si>
  <si>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</si>
  <si>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</si>
  <si>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</si>
  <si>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</si>
  <si>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</si>
  <si>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</si>
  <si>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</si>
  <si>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</si>
  <si>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</si>
  <si>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</si>
  <si>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</si>
  <si>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</si>
  <si>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</si>
  <si>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</si>
  <si>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</si>
  <si>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</si>
  <si>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</si>
  <si>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</si>
  <si>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</si>
  <si>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</si>
  <si>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</si>
  <si>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</si>
  <si>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</si>
  <si>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</si>
  <si>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</si>
  <si>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</si>
  <si>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</si>
  <si>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</si>
  <si>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</si>
  <si>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</si>
  <si>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</si>
  <si>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</si>
  <si>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</si>
  <si>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</si>
  <si>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</si>
  <si>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</si>
  <si>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</si>
  <si>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</si>
  <si>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</si>
  <si>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</si>
  <si>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</si>
  <si>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</si>
  <si>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</si>
  <si>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</si>
  <si>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</si>
  <si>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</si>
  <si>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</si>
  <si>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</si>
  <si>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</si>
  <si>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</si>
  <si>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</si>
  <si>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</si>
  <si>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</si>
  <si>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</si>
  <si>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</si>
  <si>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</si>
  <si>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</si>
  <si>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</si>
  <si>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</si>
  <si>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</si>
  <si>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</si>
  <si>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</si>
  <si>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</si>
  <si>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</si>
  <si>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</si>
  <si>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</si>
  <si>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</si>
  <si>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</si>
  <si>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</si>
  <si>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</si>
  <si>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</si>
  <si>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</si>
  <si>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</si>
  <si>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</si>
  <si>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</si>
  <si>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</si>
  <si>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</si>
  <si>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</si>
  <si>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</si>
  <si>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</si>
  <si>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</si>
  <si>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</si>
  <si>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</si>
  <si>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</si>
  <si>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</si>
  <si>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</si>
  <si>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</si>
  <si>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</si>
  <si>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</si>
  <si>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</si>
  <si>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</si>
  <si>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</si>
  <si>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</si>
  <si>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</si>
  <si>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</si>
  <si>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</si>
  <si>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</si>
  <si>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</si>
  <si>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</si>
  <si>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</si>
  <si>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</si>
  <si>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</si>
  <si>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</si>
  <si>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</si>
  <si>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</si>
  <si>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</si>
  <si>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</si>
  <si>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</si>
  <si>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</si>
  <si>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</si>
  <si>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</si>
  <si>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</si>
  <si>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</si>
  <si>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</si>
  <si>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</si>
  <si>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</si>
  <si>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</si>
  <si>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</si>
  <si>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</si>
  <si>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</si>
  <si>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</si>
  <si>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</si>
  <si>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</si>
  <si>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</si>
  <si>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</si>
  <si>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</si>
  <si>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</si>
  <si>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</si>
  <si>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</si>
  <si>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</si>
  <si>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</si>
  <si>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</si>
  <si>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</si>
  <si>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</si>
  <si>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</si>
  <si>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</si>
  <si>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</si>
  <si>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</si>
  <si>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</si>
  <si>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</si>
  <si>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</si>
  <si>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</si>
  <si>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</si>
  <si>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</si>
  <si>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</si>
  <si>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</si>
  <si>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</si>
  <si>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</si>
  <si>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</si>
  <si>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</si>
  <si>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</si>
  <si>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</si>
  <si>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</si>
  <si>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</si>
  <si>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</si>
  <si>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</si>
  <si>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</si>
  <si>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</si>
  <si>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</si>
  <si>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</si>
  <si>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</si>
  <si>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01.01.26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</si>
</sst>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6">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184" formatCode="[$-F400]h:mm:ss\ AM/PM"/>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66"/>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50" tableType="queryTable" totalsRowShown="0">
  <autoFilter ref="A1:C150" xr:uid="{DD841DB9-A242-4050-A7E6-984852778526}"/>
  <tableColumns count="3">
    <tableColumn id="1" xr3:uid="{783036AE-6148-4673-A2B5-A0A0BAA87B07}" uniqueName="1" name="traceability_no" queryTableFieldId="9" dataDxfId="18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8">
  <autoFilter ref="A1:C9" xr:uid="{8AF992F3-27EF-4265-960D-70EC6F74FAFA}"/>
  <sortState xmlns:xlrd2="http://schemas.microsoft.com/office/spreadsheetml/2017/richdata2" ref="A2:C9">
    <sortCondition ref="B1:B9"/>
  </sortState>
  <tableColumns count="3">
    <tableColumn id="1" xr3:uid="{1F7D0D09-7152-4679-B25C-65CF0E0AB2D4}" name="Type" dataDxfId="1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6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Name]],WireSNs[])</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88" tableType="queryTable" totalsRowShown="0" headerRowDxfId="79" dataDxfId="78">
  <autoFilter ref="A1:O1688"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0" dataDxfId="69" headerRowCellStyle="Normal 2" dataCellStyle="Normal 2">
  <autoFilter ref="U11:V25" xr:uid="{DCCFF26E-EC5C-4962-98DB-A7DA1F3C8CE2}"/>
  <tableColumns count="2">
    <tableColumn id="1" xr3:uid="{DFC40837-B092-4826-9847-4A23BE22020F}" name="4" dataDxfId="68" dataCellStyle="Normal 2"/>
    <tableColumn id="2" xr3:uid="{0711DB07-19DA-4D5E-A417-C242A0304453}" name="10" dataDxfId="6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G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50"/>
  <sheetViews>
    <sheetView workbookViewId="0">
      <selection activeCell="H2" sqref="H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6">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c8Hxw25xO965jjfE69ssUkc4Q7lrqQgvb0eU37b9gbWWcH18lb+LODbXkBqUHAle6keXB93CnzeqbV2tRhE1yQ==" saltValue="HLOuIltanKu/sz7Brs0Uc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32MhscqyC03IV7VLKAJeiK9nFr2Sl67d5WqTqrnnpEPZorJrTCaA2BsHIwpRb1HLO2AMzSYtn/DfxhncCA1ZyQ==" saltValue="vWnUqaMVfPxYBlUYcNOyI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2" t="s">
        <v>962</v>
      </c>
      <c r="R1" s="462" t="s">
        <v>266</v>
      </c>
      <c r="S1" s="462" t="s">
        <v>267</v>
      </c>
      <c r="T1" s="462" t="s">
        <v>963</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1"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70" t="s">
        <v>965</v>
      </c>
      <c r="J1" s="470" t="s">
        <v>897</v>
      </c>
      <c r="K1" s="470" t="s">
        <v>964</v>
      </c>
      <c r="M1" s="470" t="s">
        <v>965</v>
      </c>
      <c r="N1" s="470" t="s">
        <v>1250</v>
      </c>
      <c r="O1" s="470" t="s">
        <v>1251</v>
      </c>
      <c r="P1" s="470" t="s">
        <v>89</v>
      </c>
      <c r="Q1" s="470" t="s">
        <v>985</v>
      </c>
      <c r="R1" s="470" t="s">
        <v>1247</v>
      </c>
      <c r="S1" s="470" t="s">
        <v>1248</v>
      </c>
      <c r="T1" s="470" t="s">
        <v>1249</v>
      </c>
      <c r="W1" t="s">
        <v>1064</v>
      </c>
      <c r="X1" t="s">
        <v>1063</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3"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1"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966</v>
      </c>
      <c r="X2" t="s">
        <v>196</v>
      </c>
    </row>
    <row r="3" spans="1:24" x14ac:dyDescent="0.2">
      <c r="A3"/>
      <c r="B3"/>
      <c r="C3"/>
      <c r="D3"/>
      <c r="E3"/>
      <c r="F3" t="str">
        <f>LEFT(AllDaqbookOffsets[[#This Row],[traceability_no]],2)</f>
        <v>J1</v>
      </c>
      <c r="M3">
        <v>2</v>
      </c>
      <c r="N3" s="473"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1"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967</v>
      </c>
      <c r="X3" t="s">
        <v>196</v>
      </c>
    </row>
    <row r="4" spans="1:24" x14ac:dyDescent="0.2">
      <c r="A4"/>
      <c r="B4"/>
      <c r="C4"/>
      <c r="D4"/>
      <c r="E4"/>
      <c r="F4" t="str">
        <f>LEFT(AllDaqbookOffsets[[#This Row],[traceability_no]],2)</f>
        <v>J1</v>
      </c>
      <c r="M4">
        <v>3</v>
      </c>
      <c r="N4" s="473"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1"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968</v>
      </c>
      <c r="X4" t="s">
        <v>196</v>
      </c>
    </row>
    <row r="5" spans="1:24" x14ac:dyDescent="0.2">
      <c r="A5"/>
      <c r="B5"/>
      <c r="C5"/>
      <c r="D5"/>
      <c r="E5"/>
      <c r="F5" t="str">
        <f>LEFT(AllDaqbookOffsets[[#This Row],[traceability_no]],2)</f>
        <v>J1</v>
      </c>
      <c r="M5">
        <v>4</v>
      </c>
      <c r="N5" s="473"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1"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969</v>
      </c>
      <c r="X5" t="s">
        <v>196</v>
      </c>
    </row>
    <row r="6" spans="1:24" x14ac:dyDescent="0.2">
      <c r="A6"/>
      <c r="B6"/>
      <c r="C6"/>
      <c r="D6"/>
      <c r="E6"/>
      <c r="F6" t="str">
        <f>LEFT(AllDaqbookOffsets[[#This Row],[traceability_no]],2)</f>
        <v>J1</v>
      </c>
      <c r="M6">
        <v>5</v>
      </c>
      <c r="N6" s="473"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1"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970</v>
      </c>
      <c r="X6" t="s">
        <v>196</v>
      </c>
    </row>
    <row r="7" spans="1:24" x14ac:dyDescent="0.2">
      <c r="A7"/>
      <c r="B7"/>
      <c r="C7"/>
      <c r="D7"/>
      <c r="E7"/>
      <c r="F7" t="str">
        <f>LEFT(AllDaqbookOffsets[[#This Row],[traceability_no]],2)</f>
        <v>J1</v>
      </c>
      <c r="M7">
        <v>6</v>
      </c>
      <c r="N7" s="473"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1"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971</v>
      </c>
      <c r="X7" t="s">
        <v>196</v>
      </c>
    </row>
    <row r="8" spans="1:24" x14ac:dyDescent="0.2">
      <c r="A8"/>
      <c r="B8"/>
      <c r="C8"/>
      <c r="D8"/>
      <c r="E8"/>
      <c r="F8" t="str">
        <f>LEFT(AllDaqbookOffsets[[#This Row],[traceability_no]],2)</f>
        <v>J1</v>
      </c>
      <c r="M8">
        <v>7</v>
      </c>
      <c r="N8" s="473"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1" t="e" cm="1">
        <f t="array" ref="O8">IF(DaqbookInterp[[#This Row],[Include]],QRound(N8),NA())</f>
        <v>#N/A</v>
      </c>
      <c r="P8" t="e">
        <f>IF(DaqbookInterp[[#This Row],[Include]],Main!O11, NA())</f>
        <v>#N/A</v>
      </c>
      <c r="Q8" s="473" t="b">
        <f>NOT(ISBLANK(Main!O11))</f>
        <v>0</v>
      </c>
      <c r="R8" t="e">
        <f>LOOKUP(DaqbookInterp[[#This Row],[T/C Name]],WireSNs[])</f>
        <v>#N/A</v>
      </c>
      <c r="S8" t="e">
        <f>HLOOKUP(DaqbookInterp[[#This Row],[WireSet]],Main!$D$48:$I$55,8,0)</f>
        <v>#N/A</v>
      </c>
      <c r="T8" t="e">
        <f>_xlfn.XLOOKUP(DaqbookInterp[[#This Row],[Wire Lot '#]],Interp!$B$11:$B$16,Interp!$D$11:$D$16)</f>
        <v>#N/A</v>
      </c>
      <c r="W8" t="s">
        <v>972</v>
      </c>
      <c r="X8" t="s">
        <v>196</v>
      </c>
    </row>
    <row r="9" spans="1:24" x14ac:dyDescent="0.2">
      <c r="A9"/>
      <c r="B9"/>
      <c r="C9"/>
      <c r="D9"/>
      <c r="E9"/>
      <c r="F9" t="str">
        <f>LEFT(AllDaqbookOffsets[[#This Row],[traceability_no]],2)</f>
        <v>J1</v>
      </c>
      <c r="M9">
        <v>8</v>
      </c>
      <c r="N9" s="473"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1" t="e" cm="1">
        <f t="array" ref="O9">IF(DaqbookInterp[[#This Row],[Include]],QRound(N9),NA())</f>
        <v>#N/A</v>
      </c>
      <c r="P9" s="473"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973</v>
      </c>
      <c r="X9" t="s">
        <v>196</v>
      </c>
    </row>
    <row r="10" spans="1:24" x14ac:dyDescent="0.2">
      <c r="A10"/>
      <c r="B10"/>
      <c r="C10"/>
      <c r="D10"/>
      <c r="E10"/>
      <c r="F10" t="str">
        <f>LEFT(AllDaqbookOffsets[[#This Row],[traceability_no]],2)</f>
        <v>J1</v>
      </c>
      <c r="M10">
        <v>9</v>
      </c>
      <c r="N10" s="473"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1"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974</v>
      </c>
      <c r="X10" t="s">
        <v>196</v>
      </c>
    </row>
    <row r="11" spans="1:24" x14ac:dyDescent="0.2">
      <c r="A11"/>
      <c r="B11"/>
      <c r="C11"/>
      <c r="D11"/>
      <c r="E11"/>
      <c r="F11" t="str">
        <f>LEFT(AllDaqbookOffsets[[#This Row],[traceability_no]],2)</f>
        <v>J1</v>
      </c>
      <c r="M11">
        <v>10</v>
      </c>
      <c r="N11" s="473"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1" t="e" cm="1">
        <f t="array" ref="O11">IF(DaqbookInterp[[#This Row],[Include]],QRound(N11),NA())</f>
        <v>#N/A</v>
      </c>
      <c r="P11" t="e">
        <f>IF(DaqbookInterp[[#This Row],[Include]],Main!O14, NA())</f>
        <v>#N/A</v>
      </c>
      <c r="Q11" s="473" t="b">
        <f>NOT(ISBLANK(Main!O14))</f>
        <v>0</v>
      </c>
      <c r="R11" t="e">
        <f>LOOKUP(DaqbookInterp[[#This Row],[T/C Name]],WireSNs[])</f>
        <v>#N/A</v>
      </c>
      <c r="S11" t="e">
        <f>HLOOKUP(DaqbookInterp[[#This Row],[WireSet]],Main!$D$48:$I$55,8,0)</f>
        <v>#N/A</v>
      </c>
      <c r="T11" t="e">
        <f>_xlfn.XLOOKUP(DaqbookInterp[[#This Row],[Wire Lot '#]],Interp!$B$11:$B$16,Interp!$D$11:$D$16)</f>
        <v>#N/A</v>
      </c>
      <c r="W11" t="s">
        <v>975</v>
      </c>
      <c r="X11" t="s">
        <v>196</v>
      </c>
    </row>
    <row r="12" spans="1:24" x14ac:dyDescent="0.2">
      <c r="A12"/>
      <c r="B12"/>
      <c r="C12"/>
      <c r="D12"/>
      <c r="E12"/>
      <c r="F12" t="str">
        <f>LEFT(AllDaqbookOffsets[[#This Row],[traceability_no]],2)</f>
        <v>J1</v>
      </c>
      <c r="M12">
        <v>11</v>
      </c>
      <c r="N12" s="473"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1"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978</v>
      </c>
      <c r="X12" t="s">
        <v>197</v>
      </c>
    </row>
    <row r="13" spans="1:24" x14ac:dyDescent="0.2">
      <c r="A13"/>
      <c r="B13"/>
      <c r="C13"/>
      <c r="D13"/>
      <c r="E13"/>
      <c r="F13" t="str">
        <f>LEFT(AllDaqbookOffsets[[#This Row],[traceability_no]],2)</f>
        <v>J1</v>
      </c>
      <c r="M13">
        <v>12</v>
      </c>
      <c r="N13" s="473"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1"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979</v>
      </c>
      <c r="X13" t="s">
        <v>197</v>
      </c>
    </row>
    <row r="14" spans="1:24" x14ac:dyDescent="0.2">
      <c r="A14"/>
      <c r="B14"/>
      <c r="C14"/>
      <c r="D14"/>
      <c r="E14"/>
      <c r="F14" t="str">
        <f>LEFT(AllDaqbookOffsets[[#This Row],[traceability_no]],2)</f>
        <v>J1</v>
      </c>
      <c r="M14">
        <v>13</v>
      </c>
      <c r="N14" s="473"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1"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980</v>
      </c>
      <c r="X14" t="s">
        <v>197</v>
      </c>
    </row>
    <row r="15" spans="1:24" x14ac:dyDescent="0.2">
      <c r="A15"/>
      <c r="B15"/>
      <c r="C15"/>
      <c r="D15"/>
      <c r="E15"/>
      <c r="F15" t="str">
        <f>LEFT(AllDaqbookOffsets[[#This Row],[traceability_no]],2)</f>
        <v>J1</v>
      </c>
      <c r="M15">
        <v>14</v>
      </c>
      <c r="N15" s="473"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1"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981</v>
      </c>
      <c r="X15" t="s">
        <v>197</v>
      </c>
    </row>
    <row r="16" spans="1:24" x14ac:dyDescent="0.2">
      <c r="A16"/>
      <c r="B16"/>
      <c r="C16"/>
      <c r="D16"/>
      <c r="E16"/>
      <c r="F16" t="str">
        <f>LEFT(AllDaqbookOffsets[[#This Row],[traceability_no]],2)</f>
        <v>J1</v>
      </c>
      <c r="M16">
        <v>15</v>
      </c>
      <c r="N16" s="473"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1"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982</v>
      </c>
      <c r="X16" t="s">
        <v>197</v>
      </c>
    </row>
    <row r="17" spans="1:24" x14ac:dyDescent="0.2">
      <c r="A17"/>
      <c r="B17"/>
      <c r="C17"/>
      <c r="D17"/>
      <c r="E17"/>
      <c r="F17" t="str">
        <f>LEFT(AllDaqbookOffsets[[#This Row],[traceability_no]],2)</f>
        <v>J1</v>
      </c>
      <c r="M17">
        <v>16</v>
      </c>
      <c r="N17" s="473"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1"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983</v>
      </c>
      <c r="X17" t="s">
        <v>197</v>
      </c>
    </row>
    <row r="18" spans="1:24" x14ac:dyDescent="0.2">
      <c r="A18"/>
      <c r="B18"/>
      <c r="C18"/>
      <c r="D18"/>
      <c r="E18"/>
      <c r="F18" t="str">
        <f>LEFT(AllDaqbookOffsets[[#This Row],[traceability_no]],2)</f>
        <v>J1</v>
      </c>
      <c r="M18">
        <v>17</v>
      </c>
      <c r="N18" s="473"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1"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984</v>
      </c>
      <c r="X18" t="s">
        <v>197</v>
      </c>
    </row>
    <row r="19" spans="1:24" x14ac:dyDescent="0.2">
      <c r="A19"/>
      <c r="B19"/>
      <c r="C19"/>
      <c r="D19"/>
      <c r="E19"/>
      <c r="F19" t="str">
        <f>LEFT(AllDaqbookOffsets[[#This Row],[traceability_no]],2)</f>
        <v>J1</v>
      </c>
      <c r="M19">
        <v>18</v>
      </c>
      <c r="N19" s="473"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1"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998</v>
      </c>
      <c r="X19" t="s">
        <v>197</v>
      </c>
    </row>
    <row r="20" spans="1:24" x14ac:dyDescent="0.2">
      <c r="A20"/>
      <c r="B20"/>
      <c r="C20"/>
      <c r="D20"/>
      <c r="E20"/>
      <c r="F20" t="str">
        <f>LEFT(AllDaqbookOffsets[[#This Row],[traceability_no]],2)</f>
        <v>J1</v>
      </c>
      <c r="M20">
        <v>19</v>
      </c>
      <c r="N20" s="473"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1"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999</v>
      </c>
      <c r="X20" t="s">
        <v>197</v>
      </c>
    </row>
    <row r="21" spans="1:24" x14ac:dyDescent="0.2">
      <c r="A21"/>
      <c r="B21"/>
      <c r="C21"/>
      <c r="D21"/>
      <c r="E21"/>
      <c r="F21" t="str">
        <f>LEFT(AllDaqbookOffsets[[#This Row],[traceability_no]],2)</f>
        <v>J1</v>
      </c>
      <c r="M21">
        <v>20</v>
      </c>
      <c r="N21" s="473"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1" t="e" cm="1">
        <f t="array" ref="O21">IF(DaqbookInterp[[#This Row],[Include]],QRound(N21),NA())</f>
        <v>#N/A</v>
      </c>
      <c r="P21" s="473"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976</v>
      </c>
      <c r="X21" t="s">
        <v>196</v>
      </c>
    </row>
    <row r="22" spans="1:24" x14ac:dyDescent="0.2">
      <c r="A22"/>
      <c r="B22"/>
      <c r="C22"/>
      <c r="D22"/>
      <c r="E22"/>
      <c r="F22" t="str">
        <f>LEFT(AllDaqbookOffsets[[#This Row],[traceability_no]],2)</f>
        <v>J1</v>
      </c>
      <c r="M22">
        <v>21</v>
      </c>
      <c r="N22" s="473"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1"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1000</v>
      </c>
      <c r="X22" t="s">
        <v>197</v>
      </c>
    </row>
    <row r="23" spans="1:24" x14ac:dyDescent="0.2">
      <c r="A23"/>
      <c r="B23"/>
      <c r="C23"/>
      <c r="D23"/>
      <c r="E23"/>
      <c r="F23" t="str">
        <f>LEFT(AllDaqbookOffsets[[#This Row],[traceability_no]],2)</f>
        <v>J1</v>
      </c>
      <c r="M23">
        <v>22</v>
      </c>
      <c r="N23" s="473"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1"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1001</v>
      </c>
      <c r="X23" t="s">
        <v>198</v>
      </c>
    </row>
    <row r="24" spans="1:24" x14ac:dyDescent="0.2">
      <c r="A24"/>
      <c r="B24"/>
      <c r="C24"/>
      <c r="D24"/>
      <c r="E24"/>
      <c r="F24" t="str">
        <f>LEFT(AllDaqbookOffsets[[#This Row],[traceability_no]],2)</f>
        <v>J1</v>
      </c>
      <c r="M24">
        <v>23</v>
      </c>
      <c r="N24" s="473"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1"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1002</v>
      </c>
      <c r="X24" t="s">
        <v>198</v>
      </c>
    </row>
    <row r="25" spans="1:24" x14ac:dyDescent="0.2">
      <c r="A25"/>
      <c r="B25"/>
      <c r="C25"/>
      <c r="D25"/>
      <c r="E25"/>
      <c r="F25" t="str">
        <f>LEFT(AllDaqbookOffsets[[#This Row],[traceability_no]],2)</f>
        <v>J1</v>
      </c>
      <c r="M25">
        <v>24</v>
      </c>
      <c r="N25" s="473"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1"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1003</v>
      </c>
      <c r="X25" t="s">
        <v>198</v>
      </c>
    </row>
    <row r="26" spans="1:24" x14ac:dyDescent="0.2">
      <c r="A26"/>
      <c r="B26"/>
      <c r="C26"/>
      <c r="D26"/>
      <c r="E26"/>
      <c r="F26" t="str">
        <f>LEFT(AllDaqbookOffsets[[#This Row],[traceability_no]],2)</f>
        <v>J1</v>
      </c>
      <c r="M26">
        <v>25</v>
      </c>
      <c r="N26" s="473"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1"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1004</v>
      </c>
      <c r="X26" t="s">
        <v>198</v>
      </c>
    </row>
    <row r="27" spans="1:24" x14ac:dyDescent="0.2">
      <c r="A27"/>
      <c r="B27"/>
      <c r="C27"/>
      <c r="D27"/>
      <c r="E27"/>
      <c r="F27" t="str">
        <f>LEFT(AllDaqbookOffsets[[#This Row],[traceability_no]],2)</f>
        <v>J1</v>
      </c>
      <c r="M27">
        <v>26</v>
      </c>
      <c r="N27" s="473"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1" t="e" cm="1">
        <f t="array" ref="O27">IF(DaqbookInterp[[#This Row],[Include]],QRound(N27),NA())</f>
        <v>#N/A</v>
      </c>
      <c r="P27" s="473"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1005</v>
      </c>
      <c r="X27" t="s">
        <v>198</v>
      </c>
    </row>
    <row r="28" spans="1:24" x14ac:dyDescent="0.2">
      <c r="A28"/>
      <c r="B28"/>
      <c r="C28"/>
      <c r="D28"/>
      <c r="E28"/>
      <c r="F28" t="str">
        <f>LEFT(AllDaqbookOffsets[[#This Row],[traceability_no]],2)</f>
        <v>J1</v>
      </c>
      <c r="M28">
        <v>27</v>
      </c>
      <c r="N28" s="473"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1"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1006</v>
      </c>
      <c r="X28" t="s">
        <v>198</v>
      </c>
    </row>
    <row r="29" spans="1:24" x14ac:dyDescent="0.2">
      <c r="A29"/>
      <c r="B29"/>
      <c r="C29"/>
      <c r="D29"/>
      <c r="E29"/>
      <c r="F29" t="str">
        <f>LEFT(AllDaqbookOffsets[[#This Row],[traceability_no]],2)</f>
        <v>J1</v>
      </c>
      <c r="M29">
        <v>28</v>
      </c>
      <c r="N29" s="473"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1"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1007</v>
      </c>
      <c r="X29" t="s">
        <v>198</v>
      </c>
    </row>
    <row r="30" spans="1:24" x14ac:dyDescent="0.2">
      <c r="A30"/>
      <c r="B30"/>
      <c r="C30"/>
      <c r="D30"/>
      <c r="E30"/>
      <c r="F30" t="str">
        <f>LEFT(AllDaqbookOffsets[[#This Row],[traceability_no]],2)</f>
        <v>J1</v>
      </c>
      <c r="M30">
        <v>29</v>
      </c>
      <c r="N30" s="473"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1"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1008</v>
      </c>
      <c r="X30" t="s">
        <v>198</v>
      </c>
    </row>
    <row r="31" spans="1:24" x14ac:dyDescent="0.2">
      <c r="A31"/>
      <c r="B31"/>
      <c r="C31"/>
      <c r="D31"/>
      <c r="E31"/>
      <c r="F31" t="str">
        <f>LEFT(AllDaqbookOffsets[[#This Row],[traceability_no]],2)</f>
        <v>J1</v>
      </c>
      <c r="M31">
        <v>30</v>
      </c>
      <c r="N31" s="473"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1"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1009</v>
      </c>
      <c r="X31" t="s">
        <v>198</v>
      </c>
    </row>
    <row r="32" spans="1:24" x14ac:dyDescent="0.2">
      <c r="A32"/>
      <c r="B32"/>
      <c r="C32"/>
      <c r="D32"/>
      <c r="E32"/>
      <c r="F32" t="str">
        <f>LEFT(AllDaqbookOffsets[[#This Row],[traceability_no]],2)</f>
        <v>J1</v>
      </c>
      <c r="M32">
        <v>31</v>
      </c>
      <c r="N32" s="473"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1" t="e" cm="1">
        <f t="array" ref="O32">IF(DaqbookInterp[[#This Row],[Include]],QRound(N32),NA())</f>
        <v>#N/A</v>
      </c>
      <c r="P32" s="473"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977</v>
      </c>
      <c r="X32" t="s">
        <v>196</v>
      </c>
    </row>
    <row r="33" spans="1:24" x14ac:dyDescent="0.2">
      <c r="A33"/>
      <c r="B33"/>
      <c r="C33"/>
      <c r="D33"/>
      <c r="E33"/>
      <c r="F33" t="str">
        <f>LEFT(AllDaqbookOffsets[[#This Row],[traceability_no]],2)</f>
        <v>J1</v>
      </c>
      <c r="M33">
        <v>32</v>
      </c>
      <c r="N33" s="473"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1"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1010</v>
      </c>
      <c r="X33" t="s">
        <v>198</v>
      </c>
    </row>
    <row r="34" spans="1:24" x14ac:dyDescent="0.2">
      <c r="A34"/>
      <c r="B34"/>
      <c r="C34"/>
      <c r="D34"/>
      <c r="E34"/>
      <c r="F34" t="str">
        <f>LEFT(AllDaqbookOffsets[[#This Row],[traceability_no]],2)</f>
        <v>J1</v>
      </c>
      <c r="M34">
        <v>33</v>
      </c>
      <c r="N34" s="473"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1"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986</v>
      </c>
      <c r="X34" t="s">
        <v>196</v>
      </c>
    </row>
    <row r="35" spans="1:24" x14ac:dyDescent="0.2">
      <c r="A35"/>
      <c r="B35"/>
      <c r="C35"/>
      <c r="D35"/>
      <c r="E35"/>
      <c r="F35" t="str">
        <f>LEFT(AllDaqbookOffsets[[#This Row],[traceability_no]],2)</f>
        <v>J1</v>
      </c>
      <c r="M35">
        <v>34</v>
      </c>
      <c r="N35" s="473"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1"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987</v>
      </c>
      <c r="X35" t="s">
        <v>196</v>
      </c>
    </row>
    <row r="36" spans="1:24" x14ac:dyDescent="0.2">
      <c r="A36"/>
      <c r="B36"/>
      <c r="C36"/>
      <c r="D36"/>
      <c r="E36"/>
      <c r="F36" t="str">
        <f>LEFT(AllDaqbookOffsets[[#This Row],[traceability_no]],2)</f>
        <v>J1</v>
      </c>
      <c r="M36">
        <v>35</v>
      </c>
      <c r="N36" s="473"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1"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988</v>
      </c>
      <c r="X36" t="s">
        <v>196</v>
      </c>
    </row>
    <row r="37" spans="1:24" x14ac:dyDescent="0.2">
      <c r="A37"/>
      <c r="B37"/>
      <c r="C37"/>
      <c r="D37"/>
      <c r="E37"/>
      <c r="F37" t="str">
        <f>LEFT(AllDaqbookOffsets[[#This Row],[traceability_no]],2)</f>
        <v>J1</v>
      </c>
      <c r="M37">
        <v>36</v>
      </c>
      <c r="N37" s="473"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1"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989</v>
      </c>
      <c r="X37" t="s">
        <v>196</v>
      </c>
    </row>
    <row r="38" spans="1:24" x14ac:dyDescent="0.2">
      <c r="A38"/>
      <c r="B38"/>
      <c r="C38"/>
      <c r="D38"/>
      <c r="E38"/>
      <c r="F38" t="str">
        <f>LEFT(AllDaqbookOffsets[[#This Row],[traceability_no]],2)</f>
        <v>J1</v>
      </c>
      <c r="M38">
        <v>37</v>
      </c>
      <c r="N38" s="473"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1"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990</v>
      </c>
      <c r="X38" t="s">
        <v>196</v>
      </c>
    </row>
    <row r="39" spans="1:24" x14ac:dyDescent="0.2">
      <c r="A39"/>
      <c r="B39"/>
      <c r="C39"/>
      <c r="D39"/>
      <c r="E39"/>
      <c r="F39" t="str">
        <f>LEFT(AllDaqbookOffsets[[#This Row],[traceability_no]],2)</f>
        <v>J1</v>
      </c>
      <c r="M39">
        <v>38</v>
      </c>
      <c r="N39" s="473"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1"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991</v>
      </c>
      <c r="X39" t="s">
        <v>196</v>
      </c>
    </row>
    <row r="40" spans="1:24" x14ac:dyDescent="0.2">
      <c r="A40"/>
      <c r="B40"/>
      <c r="C40"/>
      <c r="D40"/>
      <c r="E40"/>
      <c r="F40" t="str">
        <f>LEFT(AllDaqbookOffsets[[#This Row],[traceability_no]],2)</f>
        <v>J1</v>
      </c>
      <c r="M40">
        <v>39</v>
      </c>
      <c r="N40" s="473"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1"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992</v>
      </c>
      <c r="X40" t="s">
        <v>196</v>
      </c>
    </row>
    <row r="41" spans="1:24" x14ac:dyDescent="0.2">
      <c r="A41"/>
      <c r="B41"/>
      <c r="C41"/>
      <c r="D41"/>
      <c r="E41"/>
      <c r="F41" t="str">
        <f>LEFT(AllDaqbookOffsets[[#This Row],[traceability_no]],2)</f>
        <v>J1</v>
      </c>
      <c r="M41">
        <v>40</v>
      </c>
      <c r="N41" s="473"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1"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993</v>
      </c>
      <c r="X41" t="s">
        <v>196</v>
      </c>
    </row>
    <row r="42" spans="1:24" x14ac:dyDescent="0.2">
      <c r="A42"/>
      <c r="B42"/>
      <c r="C42"/>
      <c r="D42"/>
      <c r="E42"/>
      <c r="F42" t="str">
        <f>LEFT(AllDaqbookOffsets[[#This Row],[traceability_no]],2)</f>
        <v>J1</v>
      </c>
      <c r="W42" t="s">
        <v>1011</v>
      </c>
      <c r="X42" t="s">
        <v>199</v>
      </c>
    </row>
    <row r="43" spans="1:24" x14ac:dyDescent="0.2">
      <c r="A43"/>
      <c r="B43"/>
      <c r="C43"/>
      <c r="D43"/>
      <c r="E43"/>
      <c r="F43" t="str">
        <f>LEFT(AllDaqbookOffsets[[#This Row],[traceability_no]],2)</f>
        <v>J1</v>
      </c>
      <c r="W43" t="s">
        <v>1012</v>
      </c>
      <c r="X43" t="s">
        <v>199</v>
      </c>
    </row>
    <row r="44" spans="1:24" x14ac:dyDescent="0.2">
      <c r="A44"/>
      <c r="B44"/>
      <c r="C44"/>
      <c r="D44"/>
      <c r="E44"/>
      <c r="F44" t="str">
        <f>LEFT(AllDaqbookOffsets[[#This Row],[traceability_no]],2)</f>
        <v>J1</v>
      </c>
      <c r="W44" t="s">
        <v>1013</v>
      </c>
      <c r="X44" t="s">
        <v>199</v>
      </c>
    </row>
    <row r="45" spans="1:24" x14ac:dyDescent="0.2">
      <c r="A45"/>
      <c r="B45"/>
      <c r="C45"/>
      <c r="D45"/>
      <c r="E45"/>
      <c r="F45" t="str">
        <f>LEFT(AllDaqbookOffsets[[#This Row],[traceability_no]],2)</f>
        <v>J1</v>
      </c>
      <c r="W45" t="s">
        <v>1014</v>
      </c>
      <c r="X45" t="s">
        <v>199</v>
      </c>
    </row>
    <row r="46" spans="1:24" x14ac:dyDescent="0.2">
      <c r="A46"/>
      <c r="B46"/>
      <c r="C46"/>
      <c r="D46"/>
      <c r="E46"/>
      <c r="F46" t="str">
        <f>LEFT(AllDaqbookOffsets[[#This Row],[traceability_no]],2)</f>
        <v>J1</v>
      </c>
      <c r="W46" t="s">
        <v>1015</v>
      </c>
      <c r="X46" t="s">
        <v>199</v>
      </c>
    </row>
    <row r="47" spans="1:24" x14ac:dyDescent="0.2">
      <c r="A47"/>
      <c r="B47"/>
      <c r="C47"/>
      <c r="D47"/>
      <c r="E47"/>
      <c r="F47" t="str">
        <f>LEFT(AllDaqbookOffsets[[#This Row],[traceability_no]],2)</f>
        <v>J1</v>
      </c>
      <c r="W47" t="s">
        <v>1016</v>
      </c>
      <c r="X47" t="s">
        <v>199</v>
      </c>
    </row>
    <row r="48" spans="1:24" x14ac:dyDescent="0.2">
      <c r="A48"/>
      <c r="B48"/>
      <c r="C48"/>
      <c r="D48"/>
      <c r="E48"/>
      <c r="F48" t="str">
        <f>LEFT(AllDaqbookOffsets[[#This Row],[traceability_no]],2)</f>
        <v>J1</v>
      </c>
      <c r="W48" t="s">
        <v>1017</v>
      </c>
      <c r="X48" t="s">
        <v>199</v>
      </c>
    </row>
    <row r="49" spans="1:24" x14ac:dyDescent="0.2">
      <c r="A49"/>
      <c r="B49"/>
      <c r="C49"/>
      <c r="D49"/>
      <c r="E49"/>
      <c r="F49" t="str">
        <f>LEFT(AllDaqbookOffsets[[#This Row],[traceability_no]],2)</f>
        <v>J1</v>
      </c>
      <c r="W49" t="s">
        <v>1018</v>
      </c>
      <c r="X49" t="s">
        <v>199</v>
      </c>
    </row>
    <row r="50" spans="1:24" x14ac:dyDescent="0.2">
      <c r="A50"/>
      <c r="B50"/>
      <c r="C50"/>
      <c r="D50"/>
      <c r="E50"/>
      <c r="F50" t="str">
        <f>LEFT(AllDaqbookOffsets[[#This Row],[traceability_no]],2)</f>
        <v>J1</v>
      </c>
      <c r="W50" t="s">
        <v>1019</v>
      </c>
      <c r="X50" t="s">
        <v>199</v>
      </c>
    </row>
    <row r="51" spans="1:24" x14ac:dyDescent="0.2">
      <c r="A51"/>
      <c r="B51"/>
      <c r="C51"/>
      <c r="D51"/>
      <c r="E51"/>
      <c r="F51" t="str">
        <f>LEFT(AllDaqbookOffsets[[#This Row],[traceability_no]],2)</f>
        <v>J1</v>
      </c>
      <c r="W51" t="s">
        <v>994</v>
      </c>
      <c r="X51" t="s">
        <v>196</v>
      </c>
    </row>
    <row r="52" spans="1:24" x14ac:dyDescent="0.2">
      <c r="A52"/>
      <c r="B52"/>
      <c r="C52"/>
      <c r="D52"/>
      <c r="E52"/>
      <c r="F52" t="str">
        <f>LEFT(AllDaqbookOffsets[[#This Row],[traceability_no]],2)</f>
        <v>J1</v>
      </c>
      <c r="W52" t="s">
        <v>1020</v>
      </c>
      <c r="X52" t="s">
        <v>199</v>
      </c>
    </row>
    <row r="53" spans="1:24" x14ac:dyDescent="0.2">
      <c r="A53"/>
      <c r="B53"/>
      <c r="C53"/>
      <c r="D53"/>
      <c r="E53"/>
      <c r="F53" t="str">
        <f>LEFT(AllDaqbookOffsets[[#This Row],[traceability_no]],2)</f>
        <v>J1</v>
      </c>
      <c r="W53" t="s">
        <v>1021</v>
      </c>
      <c r="X53" t="s">
        <v>199</v>
      </c>
    </row>
    <row r="54" spans="1:24" x14ac:dyDescent="0.2">
      <c r="A54"/>
      <c r="B54"/>
      <c r="C54"/>
      <c r="D54"/>
      <c r="E54"/>
      <c r="F54" t="str">
        <f>LEFT(AllDaqbookOffsets[[#This Row],[traceability_no]],2)</f>
        <v>J1</v>
      </c>
      <c r="W54" t="s">
        <v>1022</v>
      </c>
      <c r="X54" t="s">
        <v>199</v>
      </c>
    </row>
    <row r="55" spans="1:24" x14ac:dyDescent="0.2">
      <c r="A55"/>
      <c r="B55"/>
      <c r="C55"/>
      <c r="D55"/>
      <c r="E55"/>
      <c r="F55" t="str">
        <f>LEFT(AllDaqbookOffsets[[#This Row],[traceability_no]],2)</f>
        <v>J1</v>
      </c>
      <c r="W55" t="s">
        <v>1023</v>
      </c>
      <c r="X55" t="s">
        <v>199</v>
      </c>
    </row>
    <row r="56" spans="1:24" x14ac:dyDescent="0.2">
      <c r="A56"/>
      <c r="B56"/>
      <c r="C56"/>
      <c r="D56"/>
      <c r="E56"/>
      <c r="F56" t="str">
        <f>LEFT(AllDaqbookOffsets[[#This Row],[traceability_no]],2)</f>
        <v>J1</v>
      </c>
      <c r="W56" t="s">
        <v>1024</v>
      </c>
      <c r="X56" t="s">
        <v>199</v>
      </c>
    </row>
    <row r="57" spans="1:24" x14ac:dyDescent="0.2">
      <c r="A57"/>
      <c r="B57"/>
      <c r="C57"/>
      <c r="D57"/>
      <c r="E57"/>
      <c r="F57" t="str">
        <f>LEFT(AllDaqbookOffsets[[#This Row],[traceability_no]],2)</f>
        <v>J1</v>
      </c>
      <c r="W57" t="s">
        <v>995</v>
      </c>
      <c r="X57" t="s">
        <v>196</v>
      </c>
    </row>
    <row r="58" spans="1:24" x14ac:dyDescent="0.2">
      <c r="A58"/>
      <c r="B58"/>
      <c r="C58"/>
      <c r="D58"/>
      <c r="E58"/>
      <c r="F58" t="str">
        <f>LEFT(AllDaqbookOffsets[[#This Row],[traceability_no]],2)</f>
        <v>J1</v>
      </c>
      <c r="W58" t="s">
        <v>996</v>
      </c>
      <c r="X58" t="s">
        <v>196</v>
      </c>
    </row>
    <row r="59" spans="1:24" x14ac:dyDescent="0.2">
      <c r="A59"/>
      <c r="B59"/>
      <c r="C59"/>
      <c r="D59"/>
      <c r="E59"/>
      <c r="F59" t="str">
        <f>LEFT(AllDaqbookOffsets[[#This Row],[traceability_no]],2)</f>
        <v>J1</v>
      </c>
      <c r="W59" t="s">
        <v>997</v>
      </c>
      <c r="X59" t="s">
        <v>196</v>
      </c>
    </row>
    <row r="60" spans="1:24" x14ac:dyDescent="0.2">
      <c r="A60"/>
      <c r="B60"/>
      <c r="C60"/>
      <c r="D60"/>
      <c r="E60"/>
      <c r="F60" t="str">
        <f>LEFT(AllDaqbookOffsets[[#This Row],[traceability_no]],2)</f>
        <v>J1</v>
      </c>
      <c r="W60" t="s">
        <v>1025</v>
      </c>
      <c r="X60" t="s">
        <v>200</v>
      </c>
    </row>
    <row r="61" spans="1:24" x14ac:dyDescent="0.2">
      <c r="A61"/>
      <c r="B61"/>
      <c r="C61"/>
      <c r="D61"/>
      <c r="E61"/>
      <c r="F61" t="str">
        <f>LEFT(AllDaqbookOffsets[[#This Row],[traceability_no]],2)</f>
        <v>J1</v>
      </c>
      <c r="W61" t="s">
        <v>1026</v>
      </c>
      <c r="X61" t="s">
        <v>200</v>
      </c>
    </row>
    <row r="62" spans="1:24" x14ac:dyDescent="0.2">
      <c r="A62"/>
      <c r="B62"/>
      <c r="C62"/>
      <c r="D62"/>
      <c r="E62"/>
      <c r="F62" t="str">
        <f>LEFT(AllDaqbookOffsets[[#This Row],[traceability_no]],2)</f>
        <v>J1</v>
      </c>
      <c r="W62" t="s">
        <v>1027</v>
      </c>
      <c r="X62" t="s">
        <v>200</v>
      </c>
    </row>
    <row r="63" spans="1:24" x14ac:dyDescent="0.2">
      <c r="A63"/>
      <c r="B63"/>
      <c r="C63"/>
      <c r="D63"/>
      <c r="E63"/>
      <c r="F63" t="str">
        <f>LEFT(AllDaqbookOffsets[[#This Row],[traceability_no]],2)</f>
        <v>J1</v>
      </c>
      <c r="W63" t="s">
        <v>1028</v>
      </c>
      <c r="X63" t="s">
        <v>200</v>
      </c>
    </row>
    <row r="64" spans="1:24" x14ac:dyDescent="0.2">
      <c r="A64"/>
      <c r="B64"/>
      <c r="C64"/>
      <c r="D64"/>
      <c r="E64"/>
      <c r="F64" t="str">
        <f>LEFT(AllDaqbookOffsets[[#This Row],[traceability_no]],2)</f>
        <v>J1</v>
      </c>
      <c r="W64" t="s">
        <v>1029</v>
      </c>
      <c r="X64" t="s">
        <v>200</v>
      </c>
    </row>
    <row r="65" spans="1:24" x14ac:dyDescent="0.2">
      <c r="A65"/>
      <c r="B65"/>
      <c r="C65"/>
      <c r="D65"/>
      <c r="E65"/>
      <c r="F65" t="str">
        <f>LEFT(AllDaqbookOffsets[[#This Row],[traceability_no]],2)</f>
        <v>J1</v>
      </c>
      <c r="W65" t="s">
        <v>1030</v>
      </c>
      <c r="X65" t="s">
        <v>200</v>
      </c>
    </row>
    <row r="66" spans="1:24" x14ac:dyDescent="0.2">
      <c r="A66"/>
      <c r="B66"/>
      <c r="C66"/>
      <c r="D66"/>
      <c r="E66"/>
      <c r="F66" t="str">
        <f>LEFT(AllDaqbookOffsets[[#This Row],[traceability_no]],2)</f>
        <v>J1</v>
      </c>
      <c r="W66" t="s">
        <v>1031</v>
      </c>
      <c r="X66" t="s">
        <v>200</v>
      </c>
    </row>
    <row r="67" spans="1:24" x14ac:dyDescent="0.2">
      <c r="A67"/>
      <c r="B67"/>
      <c r="C67"/>
      <c r="D67"/>
      <c r="E67"/>
      <c r="F67" t="str">
        <f>LEFT(AllDaqbookOffsets[[#This Row],[traceability_no]],2)</f>
        <v>J1</v>
      </c>
      <c r="W67" t="s">
        <v>1032</v>
      </c>
      <c r="X67" t="s">
        <v>200</v>
      </c>
    </row>
    <row r="68" spans="1:24" x14ac:dyDescent="0.2">
      <c r="A68"/>
      <c r="B68"/>
      <c r="C68"/>
      <c r="D68"/>
      <c r="E68"/>
      <c r="F68" t="str">
        <f>LEFT(AllDaqbookOffsets[[#This Row],[traceability_no]],2)</f>
        <v>J1</v>
      </c>
      <c r="W68" t="s">
        <v>1033</v>
      </c>
      <c r="X68" t="s">
        <v>200</v>
      </c>
    </row>
    <row r="69" spans="1:24" x14ac:dyDescent="0.2">
      <c r="A69"/>
      <c r="B69"/>
      <c r="C69"/>
      <c r="D69"/>
      <c r="E69"/>
      <c r="F69" t="str">
        <f>LEFT(AllDaqbookOffsets[[#This Row],[traceability_no]],2)</f>
        <v>J1</v>
      </c>
      <c r="W69" t="s">
        <v>1034</v>
      </c>
      <c r="X69" t="s">
        <v>200</v>
      </c>
    </row>
    <row r="70" spans="1:24" x14ac:dyDescent="0.2">
      <c r="A70"/>
      <c r="B70"/>
      <c r="C70"/>
      <c r="D70"/>
      <c r="E70"/>
      <c r="F70" t="str">
        <f>LEFT(AllDaqbookOffsets[[#This Row],[traceability_no]],2)</f>
        <v>J1</v>
      </c>
      <c r="W70" t="s">
        <v>1035</v>
      </c>
      <c r="X70" t="s">
        <v>200</v>
      </c>
    </row>
    <row r="71" spans="1:24" x14ac:dyDescent="0.2">
      <c r="A71"/>
      <c r="B71"/>
      <c r="C71"/>
      <c r="D71"/>
      <c r="E71"/>
      <c r="F71" t="str">
        <f>LEFT(AllDaqbookOffsets[[#This Row],[traceability_no]],2)</f>
        <v>J1</v>
      </c>
      <c r="W71" t="s">
        <v>1036</v>
      </c>
      <c r="X71" t="s">
        <v>200</v>
      </c>
    </row>
    <row r="72" spans="1:24" x14ac:dyDescent="0.2">
      <c r="A72"/>
      <c r="B72"/>
      <c r="C72"/>
      <c r="D72"/>
      <c r="E72"/>
      <c r="F72" t="str">
        <f>LEFT(AllDaqbookOffsets[[#This Row],[traceability_no]],2)</f>
        <v>J1</v>
      </c>
      <c r="W72" t="s">
        <v>1037</v>
      </c>
      <c r="X72" t="s">
        <v>200</v>
      </c>
    </row>
    <row r="73" spans="1:24" x14ac:dyDescent="0.2">
      <c r="A73"/>
      <c r="B73"/>
      <c r="C73"/>
      <c r="D73"/>
      <c r="E73"/>
      <c r="F73" t="str">
        <f>LEFT(AllDaqbookOffsets[[#This Row],[traceability_no]],2)</f>
        <v>J1</v>
      </c>
      <c r="W73" t="s">
        <v>1038</v>
      </c>
      <c r="X73" t="s">
        <v>200</v>
      </c>
    </row>
    <row r="74" spans="1:24" x14ac:dyDescent="0.2">
      <c r="A74"/>
      <c r="B74"/>
      <c r="C74"/>
      <c r="D74"/>
      <c r="E74"/>
      <c r="F74" t="str">
        <f>LEFT(AllDaqbookOffsets[[#This Row],[traceability_no]],2)</f>
        <v>J1</v>
      </c>
      <c r="W74" t="s">
        <v>1039</v>
      </c>
      <c r="X74" t="s">
        <v>201</v>
      </c>
    </row>
    <row r="75" spans="1:24" x14ac:dyDescent="0.2">
      <c r="A75"/>
      <c r="B75"/>
      <c r="C75"/>
      <c r="D75"/>
      <c r="E75"/>
      <c r="F75" t="str">
        <f>LEFT(AllDaqbookOffsets[[#This Row],[traceability_no]],2)</f>
        <v>J1</v>
      </c>
      <c r="W75" t="s">
        <v>1040</v>
      </c>
      <c r="X75" t="s">
        <v>201</v>
      </c>
    </row>
    <row r="76" spans="1:24" x14ac:dyDescent="0.2">
      <c r="A76"/>
      <c r="B76"/>
      <c r="C76"/>
      <c r="D76"/>
      <c r="E76"/>
      <c r="F76" t="str">
        <f>LEFT(AllDaqbookOffsets[[#This Row],[traceability_no]],2)</f>
        <v>J1</v>
      </c>
      <c r="W76" t="s">
        <v>1041</v>
      </c>
      <c r="X76" t="s">
        <v>201</v>
      </c>
    </row>
    <row r="77" spans="1:24" x14ac:dyDescent="0.2">
      <c r="A77"/>
      <c r="B77"/>
      <c r="C77"/>
      <c r="D77"/>
      <c r="E77"/>
      <c r="F77" t="str">
        <f>LEFT(AllDaqbookOffsets[[#This Row],[traceability_no]],2)</f>
        <v>J1</v>
      </c>
      <c r="W77" t="s">
        <v>1042</v>
      </c>
      <c r="X77" t="s">
        <v>201</v>
      </c>
    </row>
    <row r="78" spans="1:24" x14ac:dyDescent="0.2">
      <c r="A78"/>
      <c r="B78"/>
      <c r="C78"/>
      <c r="D78"/>
      <c r="E78"/>
      <c r="F78" t="str">
        <f>LEFT(AllDaqbookOffsets[[#This Row],[traceability_no]],2)</f>
        <v>J1</v>
      </c>
      <c r="W78" t="s">
        <v>1043</v>
      </c>
      <c r="X78" t="s">
        <v>201</v>
      </c>
    </row>
    <row r="79" spans="1:24" x14ac:dyDescent="0.2">
      <c r="A79"/>
      <c r="B79"/>
      <c r="C79"/>
      <c r="D79"/>
      <c r="E79"/>
      <c r="F79" t="str">
        <f>LEFT(AllDaqbookOffsets[[#This Row],[traceability_no]],2)</f>
        <v>J1</v>
      </c>
      <c r="W79" t="s">
        <v>1044</v>
      </c>
      <c r="X79" t="s">
        <v>201</v>
      </c>
    </row>
    <row r="80" spans="1:24" x14ac:dyDescent="0.2">
      <c r="A80"/>
      <c r="B80"/>
      <c r="C80"/>
      <c r="D80"/>
      <c r="E80"/>
      <c r="F80" t="str">
        <f>LEFT(AllDaqbookOffsets[[#This Row],[traceability_no]],2)</f>
        <v>J1</v>
      </c>
      <c r="W80" t="s">
        <v>1045</v>
      </c>
      <c r="X80" t="s">
        <v>201</v>
      </c>
    </row>
    <row r="81" spans="1:24" x14ac:dyDescent="0.2">
      <c r="A81"/>
      <c r="B81"/>
      <c r="C81"/>
      <c r="D81"/>
      <c r="E81"/>
      <c r="F81" t="str">
        <f>LEFT(AllDaqbookOffsets[[#This Row],[traceability_no]],2)</f>
        <v>J1</v>
      </c>
      <c r="W81" t="s">
        <v>1046</v>
      </c>
      <c r="X81" t="s">
        <v>201</v>
      </c>
    </row>
    <row r="82" spans="1:24" x14ac:dyDescent="0.2">
      <c r="A82"/>
      <c r="B82"/>
      <c r="C82"/>
      <c r="D82"/>
      <c r="E82"/>
      <c r="F82" t="str">
        <f>LEFT(AllDaqbookOffsets[[#This Row],[traceability_no]],2)</f>
        <v>J1</v>
      </c>
      <c r="W82" t="s">
        <v>1047</v>
      </c>
      <c r="X82" t="s">
        <v>201</v>
      </c>
    </row>
    <row r="83" spans="1:24" x14ac:dyDescent="0.2">
      <c r="A83"/>
      <c r="B83"/>
      <c r="C83"/>
      <c r="D83"/>
      <c r="E83"/>
      <c r="F83" t="str">
        <f>LEFT(AllDaqbookOffsets[[#This Row],[traceability_no]],2)</f>
        <v>J1</v>
      </c>
      <c r="W83" t="s">
        <v>1048</v>
      </c>
      <c r="X83" t="s">
        <v>201</v>
      </c>
    </row>
    <row r="84" spans="1:24" x14ac:dyDescent="0.2">
      <c r="A84"/>
      <c r="B84"/>
      <c r="C84"/>
      <c r="D84"/>
      <c r="E84"/>
      <c r="F84" t="str">
        <f>LEFT(AllDaqbookOffsets[[#This Row],[traceability_no]],2)</f>
        <v>J1</v>
      </c>
      <c r="W84" t="s">
        <v>1049</v>
      </c>
      <c r="X84" t="s">
        <v>201</v>
      </c>
    </row>
    <row r="85" spans="1:24" x14ac:dyDescent="0.2">
      <c r="A85"/>
      <c r="B85"/>
      <c r="C85"/>
      <c r="D85"/>
      <c r="E85"/>
      <c r="F85" t="str">
        <f>LEFT(AllDaqbookOffsets[[#This Row],[traceability_no]],2)</f>
        <v>J1</v>
      </c>
      <c r="W85" t="s">
        <v>1050</v>
      </c>
      <c r="X85" t="s">
        <v>201</v>
      </c>
    </row>
    <row r="86" spans="1:24" x14ac:dyDescent="0.2">
      <c r="A86"/>
      <c r="B86"/>
      <c r="C86"/>
      <c r="D86"/>
      <c r="E86"/>
      <c r="F86" t="str">
        <f>LEFT(AllDaqbookOffsets[[#This Row],[traceability_no]],2)</f>
        <v>J1</v>
      </c>
      <c r="W86" t="s">
        <v>1051</v>
      </c>
      <c r="X86" t="s">
        <v>201</v>
      </c>
    </row>
    <row r="87" spans="1:24" x14ac:dyDescent="0.2">
      <c r="A87"/>
      <c r="B87"/>
      <c r="C87"/>
      <c r="D87"/>
      <c r="E87"/>
      <c r="F87" t="str">
        <f>LEFT(AllDaqbookOffsets[[#This Row],[traceability_no]],2)</f>
        <v>J1</v>
      </c>
      <c r="W87" t="s">
        <v>1052</v>
      </c>
      <c r="X87" t="s">
        <v>201</v>
      </c>
    </row>
    <row r="88" spans="1:24" x14ac:dyDescent="0.2">
      <c r="A88"/>
      <c r="B88"/>
      <c r="C88"/>
      <c r="D88"/>
      <c r="E88"/>
      <c r="F88" t="str">
        <f>LEFT(AllDaqbookOffsets[[#This Row],[traceability_no]],2)</f>
        <v>J1</v>
      </c>
      <c r="W88" t="s">
        <v>1053</v>
      </c>
      <c r="X88" t="s">
        <v>202</v>
      </c>
    </row>
    <row r="89" spans="1:24" x14ac:dyDescent="0.2">
      <c r="A89"/>
      <c r="B89"/>
      <c r="C89"/>
      <c r="D89"/>
      <c r="E89"/>
      <c r="F89" t="str">
        <f>LEFT(AllDaqbookOffsets[[#This Row],[traceability_no]],2)</f>
        <v>J1</v>
      </c>
      <c r="W89" t="s">
        <v>1054</v>
      </c>
      <c r="X89" t="s">
        <v>202</v>
      </c>
    </row>
    <row r="90" spans="1:24" x14ac:dyDescent="0.2">
      <c r="A90"/>
      <c r="B90"/>
      <c r="C90"/>
      <c r="D90"/>
      <c r="E90"/>
      <c r="F90" t="str">
        <f>LEFT(AllDaqbookOffsets[[#This Row],[traceability_no]],2)</f>
        <v>J1</v>
      </c>
      <c r="W90" t="s">
        <v>1055</v>
      </c>
      <c r="X90" t="s">
        <v>202</v>
      </c>
    </row>
    <row r="91" spans="1:24" x14ac:dyDescent="0.2">
      <c r="A91"/>
      <c r="B91"/>
      <c r="C91"/>
      <c r="D91"/>
      <c r="E91"/>
      <c r="F91" t="str">
        <f>LEFT(AllDaqbookOffsets[[#This Row],[traceability_no]],2)</f>
        <v>J1</v>
      </c>
      <c r="W91" t="s">
        <v>1056</v>
      </c>
      <c r="X91" t="s">
        <v>202</v>
      </c>
    </row>
    <row r="92" spans="1:24" x14ac:dyDescent="0.2">
      <c r="A92"/>
      <c r="B92"/>
      <c r="C92"/>
      <c r="D92"/>
      <c r="E92"/>
      <c r="F92" t="str">
        <f>LEFT(AllDaqbookOffsets[[#This Row],[traceability_no]],2)</f>
        <v>J1</v>
      </c>
      <c r="W92" t="s">
        <v>1057</v>
      </c>
      <c r="X92" t="s">
        <v>202</v>
      </c>
    </row>
    <row r="93" spans="1:24" x14ac:dyDescent="0.2">
      <c r="A93"/>
      <c r="B93"/>
      <c r="C93"/>
      <c r="D93"/>
      <c r="E93"/>
      <c r="F93" t="str">
        <f>LEFT(AllDaqbookOffsets[[#This Row],[traceability_no]],2)</f>
        <v>J1</v>
      </c>
      <c r="W93" t="s">
        <v>1058</v>
      </c>
      <c r="X93" t="s">
        <v>202</v>
      </c>
    </row>
    <row r="94" spans="1:24" x14ac:dyDescent="0.2">
      <c r="A94"/>
      <c r="B94"/>
      <c r="C94"/>
      <c r="D94"/>
      <c r="E94"/>
      <c r="F94" t="str">
        <f>LEFT(AllDaqbookOffsets[[#This Row],[traceability_no]],2)</f>
        <v>J1</v>
      </c>
      <c r="W94" t="s">
        <v>1059</v>
      </c>
      <c r="X94" t="s">
        <v>202</v>
      </c>
    </row>
    <row r="95" spans="1:24" x14ac:dyDescent="0.2">
      <c r="A95"/>
      <c r="B95"/>
      <c r="C95"/>
      <c r="D95"/>
      <c r="E95"/>
      <c r="F95" t="str">
        <f>LEFT(AllDaqbookOffsets[[#This Row],[traceability_no]],2)</f>
        <v>J1</v>
      </c>
      <c r="W95" t="s">
        <v>1060</v>
      </c>
      <c r="X95" t="s">
        <v>202</v>
      </c>
    </row>
    <row r="96" spans="1:24" x14ac:dyDescent="0.2">
      <c r="A96"/>
      <c r="B96"/>
      <c r="C96"/>
      <c r="D96"/>
      <c r="E96"/>
      <c r="F96" t="str">
        <f>LEFT(AllDaqbookOffsets[[#This Row],[traceability_no]],2)</f>
        <v>J1</v>
      </c>
      <c r="W96" t="s">
        <v>1061</v>
      </c>
      <c r="X96" t="s">
        <v>202</v>
      </c>
    </row>
    <row r="97" spans="1:24" x14ac:dyDescent="0.2">
      <c r="A97"/>
      <c r="B97"/>
      <c r="C97"/>
      <c r="D97"/>
      <c r="E97"/>
      <c r="F97" t="str">
        <f>LEFT(AllDaqbookOffsets[[#This Row],[traceability_no]],2)</f>
        <v>J1</v>
      </c>
      <c r="W97" t="s">
        <v>1062</v>
      </c>
      <c r="X97" t="s">
        <v>202</v>
      </c>
    </row>
    <row r="98" spans="1:24" x14ac:dyDescent="0.2">
      <c r="A98"/>
      <c r="B98"/>
      <c r="C98"/>
      <c r="D98"/>
      <c r="E98"/>
      <c r="F98" t="str">
        <f>LEFT(AllDaqbookOffsets[[#This Row],[traceability_no]],2)</f>
        <v>J1</v>
      </c>
      <c r="W98" t="s">
        <v>1065</v>
      </c>
      <c r="X98" t="s">
        <v>203</v>
      </c>
    </row>
    <row r="99" spans="1:24" x14ac:dyDescent="0.2">
      <c r="A99"/>
      <c r="B99"/>
      <c r="C99"/>
      <c r="D99"/>
      <c r="E99"/>
      <c r="F99" t="str">
        <f>LEFT(AllDaqbookOffsets[[#This Row],[traceability_no]],2)</f>
        <v>J1</v>
      </c>
      <c r="W99" t="s">
        <v>1066</v>
      </c>
      <c r="X99" t="s">
        <v>203</v>
      </c>
    </row>
    <row r="100" spans="1:24" x14ac:dyDescent="0.2">
      <c r="A100"/>
      <c r="B100"/>
      <c r="C100"/>
      <c r="D100"/>
      <c r="E100"/>
      <c r="F100" t="str">
        <f>LEFT(AllDaqbookOffsets[[#This Row],[traceability_no]],2)</f>
        <v>J1</v>
      </c>
      <c r="W100" t="s">
        <v>1067</v>
      </c>
      <c r="X100" t="s">
        <v>203</v>
      </c>
    </row>
    <row r="101" spans="1:24" x14ac:dyDescent="0.2">
      <c r="A101"/>
      <c r="B101"/>
      <c r="C101"/>
      <c r="D101"/>
      <c r="E101"/>
      <c r="F101" t="str">
        <f>LEFT(AllDaqbookOffsets[[#This Row],[traceability_no]],2)</f>
        <v>J1</v>
      </c>
      <c r="W101" t="s">
        <v>1068</v>
      </c>
      <c r="X101" t="s">
        <v>203</v>
      </c>
    </row>
    <row r="102" spans="1:24" x14ac:dyDescent="0.2">
      <c r="A102"/>
      <c r="B102"/>
      <c r="C102"/>
      <c r="D102"/>
      <c r="E102"/>
      <c r="F102" t="str">
        <f>LEFT(AllDaqbookOffsets[[#This Row],[traceability_no]],2)</f>
        <v>J1</v>
      </c>
      <c r="W102" t="s">
        <v>1069</v>
      </c>
      <c r="X102" t="s">
        <v>203</v>
      </c>
    </row>
    <row r="103" spans="1:24" x14ac:dyDescent="0.2">
      <c r="A103"/>
      <c r="B103"/>
      <c r="C103"/>
      <c r="D103"/>
      <c r="E103"/>
      <c r="F103" t="str">
        <f>LEFT(AllDaqbookOffsets[[#This Row],[traceability_no]],2)</f>
        <v>J1</v>
      </c>
      <c r="W103" t="s">
        <v>1070</v>
      </c>
      <c r="X103" t="s">
        <v>203</v>
      </c>
    </row>
    <row r="104" spans="1:24" x14ac:dyDescent="0.2">
      <c r="A104"/>
      <c r="B104"/>
      <c r="C104"/>
      <c r="D104"/>
      <c r="E104"/>
      <c r="F104" t="str">
        <f>LEFT(AllDaqbookOffsets[[#This Row],[traceability_no]],2)</f>
        <v>J1</v>
      </c>
      <c r="W104" t="s">
        <v>1071</v>
      </c>
      <c r="X104" t="s">
        <v>203</v>
      </c>
    </row>
    <row r="105" spans="1:24" x14ac:dyDescent="0.2">
      <c r="A105"/>
      <c r="B105"/>
      <c r="C105"/>
      <c r="D105"/>
      <c r="E105"/>
      <c r="F105" t="str">
        <f>LEFT(AllDaqbookOffsets[[#This Row],[traceability_no]],2)</f>
        <v>J1</v>
      </c>
      <c r="W105" t="s">
        <v>1072</v>
      </c>
      <c r="X105" t="s">
        <v>203</v>
      </c>
    </row>
    <row r="106" spans="1:24" x14ac:dyDescent="0.2">
      <c r="A106"/>
      <c r="B106"/>
      <c r="C106"/>
      <c r="D106"/>
      <c r="E106"/>
      <c r="F106" t="str">
        <f>LEFT(AllDaqbookOffsets[[#This Row],[traceability_no]],2)</f>
        <v>J1</v>
      </c>
      <c r="W106" t="s">
        <v>1073</v>
      </c>
      <c r="X106" t="s">
        <v>203</v>
      </c>
    </row>
    <row r="107" spans="1:24" x14ac:dyDescent="0.2">
      <c r="A107"/>
      <c r="B107"/>
      <c r="C107"/>
      <c r="D107"/>
      <c r="E107"/>
      <c r="F107" t="str">
        <f>LEFT(AllDaqbookOffsets[[#This Row],[traceability_no]],2)</f>
        <v>J1</v>
      </c>
      <c r="W107" t="s">
        <v>1074</v>
      </c>
      <c r="X107" t="s">
        <v>203</v>
      </c>
    </row>
    <row r="108" spans="1:24" x14ac:dyDescent="0.2">
      <c r="A108"/>
      <c r="B108"/>
      <c r="C108"/>
      <c r="D108"/>
      <c r="E108"/>
      <c r="F108" t="str">
        <f>LEFT(AllDaqbookOffsets[[#This Row],[traceability_no]],2)</f>
        <v>J1</v>
      </c>
      <c r="W108" t="s">
        <v>1075</v>
      </c>
      <c r="X108" t="s">
        <v>367</v>
      </c>
    </row>
    <row r="109" spans="1:24" x14ac:dyDescent="0.2">
      <c r="A109"/>
      <c r="B109"/>
      <c r="C109"/>
      <c r="D109"/>
      <c r="E109"/>
      <c r="F109" t="str">
        <f>LEFT(AllDaqbookOffsets[[#This Row],[traceability_no]],2)</f>
        <v>J1</v>
      </c>
      <c r="W109" t="s">
        <v>1076</v>
      </c>
      <c r="X109" t="s">
        <v>367</v>
      </c>
    </row>
    <row r="110" spans="1:24" x14ac:dyDescent="0.2">
      <c r="A110"/>
      <c r="B110"/>
      <c r="C110"/>
      <c r="D110"/>
      <c r="E110"/>
      <c r="F110" t="str">
        <f>LEFT(AllDaqbookOffsets[[#This Row],[traceability_no]],2)</f>
        <v>J1</v>
      </c>
      <c r="W110" t="s">
        <v>1077</v>
      </c>
      <c r="X110" t="s">
        <v>367</v>
      </c>
    </row>
    <row r="111" spans="1:24" x14ac:dyDescent="0.2">
      <c r="A111"/>
      <c r="B111"/>
      <c r="C111"/>
      <c r="D111"/>
      <c r="E111"/>
      <c r="F111" t="str">
        <f>LEFT(AllDaqbookOffsets[[#This Row],[traceability_no]],2)</f>
        <v>J1</v>
      </c>
      <c r="W111" t="s">
        <v>1078</v>
      </c>
      <c r="X111" t="s">
        <v>367</v>
      </c>
    </row>
    <row r="112" spans="1:24" x14ac:dyDescent="0.2">
      <c r="A112"/>
      <c r="B112"/>
      <c r="C112"/>
      <c r="D112"/>
      <c r="E112"/>
      <c r="F112" t="str">
        <f>LEFT(AllDaqbookOffsets[[#This Row],[traceability_no]],2)</f>
        <v>J1</v>
      </c>
      <c r="W112" t="s">
        <v>1079</v>
      </c>
      <c r="X112" t="s">
        <v>367</v>
      </c>
    </row>
    <row r="113" spans="1:24" x14ac:dyDescent="0.2">
      <c r="A113"/>
      <c r="B113"/>
      <c r="C113"/>
      <c r="D113"/>
      <c r="E113"/>
      <c r="F113" t="str">
        <f>LEFT(AllDaqbookOffsets[[#This Row],[traceability_no]],2)</f>
        <v>J1</v>
      </c>
      <c r="W113" t="s">
        <v>1080</v>
      </c>
      <c r="X113" t="s">
        <v>367</v>
      </c>
    </row>
    <row r="114" spans="1:24" x14ac:dyDescent="0.2">
      <c r="A114"/>
      <c r="B114"/>
      <c r="C114"/>
      <c r="D114"/>
      <c r="E114"/>
      <c r="F114" t="str">
        <f>LEFT(AllDaqbookOffsets[[#This Row],[traceability_no]],2)</f>
        <v>J1</v>
      </c>
      <c r="W114" t="s">
        <v>1081</v>
      </c>
      <c r="X114" t="s">
        <v>367</v>
      </c>
    </row>
    <row r="115" spans="1:24" x14ac:dyDescent="0.2">
      <c r="A115"/>
      <c r="B115"/>
      <c r="C115"/>
      <c r="D115"/>
      <c r="E115"/>
      <c r="F115" t="str">
        <f>LEFT(AllDaqbookOffsets[[#This Row],[traceability_no]],2)</f>
        <v>J1</v>
      </c>
      <c r="W115" t="s">
        <v>1082</v>
      </c>
      <c r="X115" t="s">
        <v>367</v>
      </c>
    </row>
    <row r="116" spans="1:24" x14ac:dyDescent="0.2">
      <c r="A116"/>
      <c r="B116"/>
      <c r="C116"/>
      <c r="D116"/>
      <c r="E116"/>
      <c r="F116" t="str">
        <f>LEFT(AllDaqbookOffsets[[#This Row],[traceability_no]],2)</f>
        <v>J1</v>
      </c>
      <c r="W116" t="s">
        <v>1083</v>
      </c>
      <c r="X116" t="s">
        <v>367</v>
      </c>
    </row>
    <row r="117" spans="1:24" x14ac:dyDescent="0.2">
      <c r="A117"/>
      <c r="B117"/>
      <c r="C117"/>
      <c r="D117"/>
      <c r="E117"/>
      <c r="F117" t="str">
        <f>LEFT(AllDaqbookOffsets[[#This Row],[traceability_no]],2)</f>
        <v>J1</v>
      </c>
      <c r="W117" t="s">
        <v>1084</v>
      </c>
      <c r="X117" t="s">
        <v>367</v>
      </c>
    </row>
    <row r="118" spans="1:24" x14ac:dyDescent="0.2">
      <c r="A118"/>
      <c r="B118"/>
      <c r="C118"/>
      <c r="D118"/>
      <c r="E118"/>
      <c r="F118" t="str">
        <f>LEFT(AllDaqbookOffsets[[#This Row],[traceability_no]],2)</f>
        <v>J1</v>
      </c>
      <c r="W118" t="s">
        <v>1091</v>
      </c>
      <c r="X118" t="s">
        <v>206</v>
      </c>
    </row>
    <row r="119" spans="1:24" x14ac:dyDescent="0.2">
      <c r="A119"/>
      <c r="B119"/>
      <c r="C119"/>
      <c r="D119"/>
      <c r="E119"/>
      <c r="F119" t="str">
        <f>LEFT(AllDaqbookOffsets[[#This Row],[traceability_no]],2)</f>
        <v>J1</v>
      </c>
      <c r="W119" t="s">
        <v>1092</v>
      </c>
      <c r="X119" t="s">
        <v>206</v>
      </c>
    </row>
    <row r="120" spans="1:24" x14ac:dyDescent="0.2">
      <c r="A120"/>
      <c r="B120"/>
      <c r="C120"/>
      <c r="D120"/>
      <c r="E120"/>
      <c r="F120" t="str">
        <f>LEFT(AllDaqbookOffsets[[#This Row],[traceability_no]],2)</f>
        <v>J1</v>
      </c>
      <c r="W120" t="s">
        <v>1093</v>
      </c>
      <c r="X120" t="s">
        <v>206</v>
      </c>
    </row>
    <row r="121" spans="1:24" x14ac:dyDescent="0.2">
      <c r="A121"/>
      <c r="B121"/>
      <c r="C121"/>
      <c r="D121"/>
      <c r="E121"/>
      <c r="F121" t="str">
        <f>LEFT(AllDaqbookOffsets[[#This Row],[traceability_no]],2)</f>
        <v>J1</v>
      </c>
      <c r="W121" t="s">
        <v>1094</v>
      </c>
      <c r="X121" t="s">
        <v>206</v>
      </c>
    </row>
    <row r="122" spans="1:24" x14ac:dyDescent="0.2">
      <c r="A122"/>
      <c r="B122"/>
      <c r="C122"/>
      <c r="D122"/>
      <c r="E122"/>
      <c r="F122" t="str">
        <f>LEFT(AllDaqbookOffsets[[#This Row],[traceability_no]],2)</f>
        <v>J1</v>
      </c>
      <c r="W122" t="s">
        <v>1095</v>
      </c>
      <c r="X122" t="s">
        <v>206</v>
      </c>
    </row>
    <row r="123" spans="1:24" x14ac:dyDescent="0.2">
      <c r="A123"/>
      <c r="B123"/>
      <c r="C123"/>
      <c r="D123"/>
      <c r="E123"/>
      <c r="F123" t="str">
        <f>LEFT(AllDaqbookOffsets[[#This Row],[traceability_no]],2)</f>
        <v>J1</v>
      </c>
      <c r="W123" t="s">
        <v>1096</v>
      </c>
      <c r="X123" t="s">
        <v>206</v>
      </c>
    </row>
    <row r="124" spans="1:24" x14ac:dyDescent="0.2">
      <c r="A124"/>
      <c r="B124"/>
      <c r="C124"/>
      <c r="D124"/>
      <c r="E124"/>
      <c r="F124" t="str">
        <f>LEFT(AllDaqbookOffsets[[#This Row],[traceability_no]],2)</f>
        <v>J1</v>
      </c>
      <c r="W124" t="s">
        <v>1097</v>
      </c>
      <c r="X124" t="s">
        <v>206</v>
      </c>
    </row>
    <row r="125" spans="1:24" x14ac:dyDescent="0.2">
      <c r="A125"/>
      <c r="B125"/>
      <c r="C125"/>
      <c r="D125"/>
      <c r="E125"/>
      <c r="F125" t="str">
        <f>LEFT(AllDaqbookOffsets[[#This Row],[traceability_no]],2)</f>
        <v>J1</v>
      </c>
      <c r="W125" t="s">
        <v>1098</v>
      </c>
      <c r="X125" t="s">
        <v>206</v>
      </c>
    </row>
    <row r="126" spans="1:24" x14ac:dyDescent="0.2">
      <c r="A126"/>
      <c r="B126"/>
      <c r="C126"/>
      <c r="D126"/>
      <c r="E126"/>
      <c r="F126" t="str">
        <f>LEFT(AllDaqbookOffsets[[#This Row],[traceability_no]],2)</f>
        <v>J1</v>
      </c>
      <c r="W126" t="s">
        <v>1099</v>
      </c>
      <c r="X126" t="s">
        <v>206</v>
      </c>
    </row>
    <row r="127" spans="1:24" x14ac:dyDescent="0.2">
      <c r="A127"/>
      <c r="B127"/>
      <c r="C127"/>
      <c r="D127"/>
      <c r="E127"/>
      <c r="F127" t="str">
        <f>LEFT(AllDaqbookOffsets[[#This Row],[traceability_no]],2)</f>
        <v>J1</v>
      </c>
      <c r="W127" t="s">
        <v>1085</v>
      </c>
      <c r="X127" t="s">
        <v>367</v>
      </c>
    </row>
    <row r="128" spans="1:24" x14ac:dyDescent="0.2">
      <c r="A128"/>
      <c r="B128"/>
      <c r="C128"/>
      <c r="D128"/>
      <c r="E128"/>
      <c r="F128" t="str">
        <f>LEFT(AllDaqbookOffsets[[#This Row],[traceability_no]],2)</f>
        <v>J1</v>
      </c>
      <c r="W128" t="s">
        <v>1100</v>
      </c>
      <c r="X128" t="s">
        <v>206</v>
      </c>
    </row>
    <row r="129" spans="1:24" x14ac:dyDescent="0.2">
      <c r="A129"/>
      <c r="B129"/>
      <c r="C129"/>
      <c r="D129"/>
      <c r="E129"/>
      <c r="F129" t="str">
        <f>LEFT(AllDaqbookOffsets[[#This Row],[traceability_no]],2)</f>
        <v>J1</v>
      </c>
      <c r="W129" t="s">
        <v>1086</v>
      </c>
      <c r="X129" t="s">
        <v>367</v>
      </c>
    </row>
    <row r="130" spans="1:24" x14ac:dyDescent="0.2">
      <c r="A130"/>
      <c r="B130"/>
      <c r="C130"/>
      <c r="D130"/>
      <c r="E130"/>
      <c r="F130" t="str">
        <f>LEFT(AllDaqbookOffsets[[#This Row],[traceability_no]],2)</f>
        <v>J1</v>
      </c>
      <c r="W130" t="s">
        <v>1087</v>
      </c>
      <c r="X130" t="s">
        <v>367</v>
      </c>
    </row>
    <row r="131" spans="1:24" x14ac:dyDescent="0.2">
      <c r="A131"/>
      <c r="B131"/>
      <c r="C131"/>
      <c r="D131"/>
      <c r="E131"/>
      <c r="F131" t="str">
        <f>LEFT(AllDaqbookOffsets[[#This Row],[traceability_no]],2)</f>
        <v>J1</v>
      </c>
      <c r="W131" t="s">
        <v>1088</v>
      </c>
      <c r="X131" t="s">
        <v>367</v>
      </c>
    </row>
    <row r="132" spans="1:24" x14ac:dyDescent="0.2">
      <c r="A132"/>
      <c r="B132"/>
      <c r="C132"/>
      <c r="D132"/>
      <c r="E132"/>
      <c r="F132" t="str">
        <f>LEFT(AllDaqbookOffsets[[#This Row],[traceability_no]],2)</f>
        <v>J1</v>
      </c>
      <c r="W132" t="s">
        <v>1089</v>
      </c>
      <c r="X132" t="s">
        <v>367</v>
      </c>
    </row>
    <row r="133" spans="1:24" x14ac:dyDescent="0.2">
      <c r="A133"/>
      <c r="B133"/>
      <c r="C133"/>
      <c r="D133"/>
      <c r="E133"/>
      <c r="F133" t="str">
        <f>LEFT(AllDaqbookOffsets[[#This Row],[traceability_no]],2)</f>
        <v>J1</v>
      </c>
      <c r="W133" t="s">
        <v>1090</v>
      </c>
      <c r="X133" t="s">
        <v>367</v>
      </c>
    </row>
    <row r="134" spans="1:24" x14ac:dyDescent="0.2">
      <c r="A134"/>
      <c r="B134"/>
      <c r="C134"/>
      <c r="D134"/>
      <c r="E134"/>
      <c r="F134" t="str">
        <f>LEFT(AllDaqbookOffsets[[#This Row],[traceability_no]],2)</f>
        <v>J1</v>
      </c>
      <c r="W134" t="s">
        <v>1101</v>
      </c>
      <c r="X134" t="s">
        <v>207</v>
      </c>
    </row>
    <row r="135" spans="1:24" x14ac:dyDescent="0.2">
      <c r="A135"/>
      <c r="B135"/>
      <c r="C135"/>
      <c r="D135"/>
      <c r="E135"/>
      <c r="F135" t="str">
        <f>LEFT(AllDaqbookOffsets[[#This Row],[traceability_no]],2)</f>
        <v>J1</v>
      </c>
      <c r="W135" t="s">
        <v>1102</v>
      </c>
      <c r="X135" t="s">
        <v>207</v>
      </c>
    </row>
    <row r="136" spans="1:24" x14ac:dyDescent="0.2">
      <c r="A136"/>
      <c r="B136"/>
      <c r="C136"/>
      <c r="D136"/>
      <c r="E136"/>
      <c r="F136" t="str">
        <f>LEFT(AllDaqbookOffsets[[#This Row],[traceability_no]],2)</f>
        <v>J1</v>
      </c>
      <c r="W136" t="s">
        <v>1103</v>
      </c>
      <c r="X136" t="s">
        <v>207</v>
      </c>
    </row>
    <row r="137" spans="1:24" x14ac:dyDescent="0.2">
      <c r="A137"/>
      <c r="B137"/>
      <c r="C137"/>
      <c r="D137"/>
      <c r="E137"/>
      <c r="F137" t="str">
        <f>LEFT(AllDaqbookOffsets[[#This Row],[traceability_no]],2)</f>
        <v>J1</v>
      </c>
      <c r="W137" t="s">
        <v>1104</v>
      </c>
      <c r="X137" t="s">
        <v>207</v>
      </c>
    </row>
    <row r="138" spans="1:24" x14ac:dyDescent="0.2">
      <c r="A138"/>
      <c r="B138"/>
      <c r="C138"/>
      <c r="D138"/>
      <c r="E138"/>
      <c r="F138" t="str">
        <f>LEFT(AllDaqbookOffsets[[#This Row],[traceability_no]],2)</f>
        <v>J1</v>
      </c>
      <c r="W138" t="s">
        <v>1105</v>
      </c>
      <c r="X138" t="s">
        <v>207</v>
      </c>
    </row>
    <row r="139" spans="1:24" x14ac:dyDescent="0.2">
      <c r="A139"/>
      <c r="B139"/>
      <c r="C139"/>
      <c r="D139"/>
      <c r="E139"/>
      <c r="F139" t="str">
        <f>LEFT(AllDaqbookOffsets[[#This Row],[traceability_no]],2)</f>
        <v>J1</v>
      </c>
      <c r="W139" t="s">
        <v>1106</v>
      </c>
      <c r="X139" t="s">
        <v>207</v>
      </c>
    </row>
    <row r="140" spans="1:24" x14ac:dyDescent="0.2">
      <c r="A140"/>
      <c r="B140"/>
      <c r="C140"/>
      <c r="D140"/>
      <c r="E140"/>
      <c r="F140" t="str">
        <f>LEFT(AllDaqbookOffsets[[#This Row],[traceability_no]],2)</f>
        <v>J1</v>
      </c>
      <c r="W140" t="s">
        <v>1107</v>
      </c>
      <c r="X140" t="s">
        <v>207</v>
      </c>
    </row>
    <row r="141" spans="1:24" x14ac:dyDescent="0.2">
      <c r="A141"/>
      <c r="B141"/>
      <c r="C141"/>
      <c r="D141"/>
      <c r="E141"/>
      <c r="F141" t="str">
        <f>LEFT(AllDaqbookOffsets[[#This Row],[traceability_no]],2)</f>
        <v>J1</v>
      </c>
      <c r="W141" t="s">
        <v>1108</v>
      </c>
      <c r="X141" t="s">
        <v>207</v>
      </c>
    </row>
    <row r="142" spans="1:24" x14ac:dyDescent="0.2">
      <c r="A142"/>
      <c r="B142"/>
      <c r="C142"/>
      <c r="D142"/>
      <c r="E142"/>
      <c r="F142" t="str">
        <f>LEFT(AllDaqbookOffsets[[#This Row],[traceability_no]],2)</f>
        <v>J1</v>
      </c>
      <c r="W142" t="s">
        <v>1109</v>
      </c>
      <c r="X142" t="s">
        <v>207</v>
      </c>
    </row>
    <row r="143" spans="1:24" x14ac:dyDescent="0.2">
      <c r="A143"/>
      <c r="B143"/>
      <c r="C143"/>
      <c r="D143"/>
      <c r="E143"/>
      <c r="F143" t="str">
        <f>LEFT(AllDaqbookOffsets[[#This Row],[traceability_no]],2)</f>
        <v>J1</v>
      </c>
      <c r="W143" t="s">
        <v>1110</v>
      </c>
      <c r="X143" t="s">
        <v>207</v>
      </c>
    </row>
    <row r="144" spans="1:24" x14ac:dyDescent="0.2">
      <c r="A144"/>
      <c r="B144"/>
      <c r="C144"/>
      <c r="D144"/>
      <c r="E144"/>
      <c r="F144" t="str">
        <f>LEFT(AllDaqbookOffsets[[#This Row],[traceability_no]],2)</f>
        <v>J1</v>
      </c>
      <c r="W144" t="s">
        <v>1111</v>
      </c>
      <c r="X144" t="s">
        <v>207</v>
      </c>
    </row>
    <row r="145" spans="1:24" x14ac:dyDescent="0.2">
      <c r="A145"/>
      <c r="B145"/>
      <c r="C145"/>
      <c r="D145"/>
      <c r="E145"/>
      <c r="F145" t="str">
        <f>LEFT(AllDaqbookOffsets[[#This Row],[traceability_no]],2)</f>
        <v>J1</v>
      </c>
      <c r="W145" t="s">
        <v>1112</v>
      </c>
      <c r="X145" t="s">
        <v>207</v>
      </c>
    </row>
    <row r="146" spans="1:24" x14ac:dyDescent="0.2">
      <c r="A146"/>
      <c r="B146"/>
      <c r="C146"/>
      <c r="D146"/>
      <c r="E146"/>
      <c r="F146" t="str">
        <f>LEFT(AllDaqbookOffsets[[#This Row],[traceability_no]],2)</f>
        <v>J1</v>
      </c>
      <c r="W146" t="s">
        <v>1113</v>
      </c>
      <c r="X146" t="s">
        <v>207</v>
      </c>
    </row>
    <row r="147" spans="1:24" x14ac:dyDescent="0.2">
      <c r="A147"/>
      <c r="B147"/>
      <c r="C147"/>
      <c r="D147"/>
      <c r="E147"/>
      <c r="F147" t="str">
        <f>LEFT(AllDaqbookOffsets[[#This Row],[traceability_no]],2)</f>
        <v>J1</v>
      </c>
      <c r="W147" t="s">
        <v>1114</v>
      </c>
      <c r="X147" t="s">
        <v>207</v>
      </c>
    </row>
    <row r="148" spans="1:24" x14ac:dyDescent="0.2">
      <c r="A148"/>
      <c r="B148"/>
      <c r="C148"/>
      <c r="D148"/>
      <c r="E148"/>
      <c r="F148" t="str">
        <f>LEFT(AllDaqbookOffsets[[#This Row],[traceability_no]],2)</f>
        <v>J1</v>
      </c>
      <c r="W148" t="s">
        <v>1115</v>
      </c>
      <c r="X148" t="s">
        <v>208</v>
      </c>
    </row>
    <row r="149" spans="1:24" x14ac:dyDescent="0.2">
      <c r="A149"/>
      <c r="B149"/>
      <c r="C149"/>
      <c r="D149"/>
      <c r="E149"/>
      <c r="F149" t="str">
        <f>LEFT(AllDaqbookOffsets[[#This Row],[traceability_no]],2)</f>
        <v>J1</v>
      </c>
      <c r="W149" t="s">
        <v>1116</v>
      </c>
      <c r="X149" t="s">
        <v>208</v>
      </c>
    </row>
    <row r="150" spans="1:24" x14ac:dyDescent="0.2">
      <c r="A150"/>
      <c r="B150"/>
      <c r="C150"/>
      <c r="D150"/>
      <c r="E150"/>
      <c r="F150" t="str">
        <f>LEFT(AllDaqbookOffsets[[#This Row],[traceability_no]],2)</f>
        <v>J1</v>
      </c>
      <c r="W150" t="s">
        <v>1117</v>
      </c>
      <c r="X150" t="s">
        <v>208</v>
      </c>
    </row>
    <row r="151" spans="1:24" x14ac:dyDescent="0.2">
      <c r="A151"/>
      <c r="B151"/>
      <c r="C151"/>
      <c r="D151"/>
      <c r="E151"/>
      <c r="F151" t="str">
        <f>LEFT(AllDaqbookOffsets[[#This Row],[traceability_no]],2)</f>
        <v>J1</v>
      </c>
      <c r="W151" t="s">
        <v>1118</v>
      </c>
      <c r="X151" t="s">
        <v>208</v>
      </c>
    </row>
    <row r="152" spans="1:24" x14ac:dyDescent="0.2">
      <c r="A152"/>
      <c r="B152"/>
      <c r="C152"/>
      <c r="D152"/>
      <c r="E152"/>
      <c r="F152" t="str">
        <f>LEFT(AllDaqbookOffsets[[#This Row],[traceability_no]],2)</f>
        <v>J1</v>
      </c>
      <c r="W152" t="s">
        <v>1119</v>
      </c>
      <c r="X152" t="s">
        <v>208</v>
      </c>
    </row>
    <row r="153" spans="1:24" x14ac:dyDescent="0.2">
      <c r="A153"/>
      <c r="B153"/>
      <c r="C153"/>
      <c r="D153"/>
      <c r="E153"/>
      <c r="F153" t="str">
        <f>LEFT(AllDaqbookOffsets[[#This Row],[traceability_no]],2)</f>
        <v>J1</v>
      </c>
      <c r="W153" t="s">
        <v>1120</v>
      </c>
      <c r="X153" t="s">
        <v>208</v>
      </c>
    </row>
    <row r="154" spans="1:24" x14ac:dyDescent="0.2">
      <c r="A154"/>
      <c r="B154"/>
      <c r="C154"/>
      <c r="D154"/>
      <c r="E154"/>
      <c r="F154" t="str">
        <f>LEFT(AllDaqbookOffsets[[#This Row],[traceability_no]],2)</f>
        <v>J1</v>
      </c>
      <c r="W154" t="s">
        <v>1121</v>
      </c>
      <c r="X154" t="s">
        <v>208</v>
      </c>
    </row>
    <row r="155" spans="1:24" x14ac:dyDescent="0.2">
      <c r="A155"/>
      <c r="B155"/>
      <c r="C155"/>
      <c r="D155"/>
      <c r="E155"/>
      <c r="F155" t="str">
        <f>LEFT(AllDaqbookOffsets[[#This Row],[traceability_no]],2)</f>
        <v>J1</v>
      </c>
      <c r="W155" t="s">
        <v>1122</v>
      </c>
      <c r="X155" t="s">
        <v>208</v>
      </c>
    </row>
    <row r="156" spans="1:24" x14ac:dyDescent="0.2">
      <c r="A156"/>
      <c r="B156"/>
      <c r="C156"/>
      <c r="D156"/>
      <c r="E156"/>
      <c r="F156" t="str">
        <f>LEFT(AllDaqbookOffsets[[#This Row],[traceability_no]],2)</f>
        <v>J1</v>
      </c>
      <c r="W156" t="s">
        <v>1123</v>
      </c>
      <c r="X156" t="s">
        <v>208</v>
      </c>
    </row>
    <row r="157" spans="1:24" x14ac:dyDescent="0.2">
      <c r="A157"/>
      <c r="B157"/>
      <c r="C157"/>
      <c r="D157"/>
      <c r="E157"/>
      <c r="F157" t="str">
        <f>LEFT(AllDaqbookOffsets[[#This Row],[traceability_no]],2)</f>
        <v>J1</v>
      </c>
      <c r="W157" t="s">
        <v>1124</v>
      </c>
      <c r="X157" t="s">
        <v>208</v>
      </c>
    </row>
    <row r="158" spans="1:24" x14ac:dyDescent="0.2">
      <c r="A158"/>
      <c r="B158"/>
      <c r="C158"/>
      <c r="D158"/>
      <c r="E158"/>
      <c r="F158" t="str">
        <f>LEFT(AllDaqbookOffsets[[#This Row],[traceability_no]],2)</f>
        <v>J1</v>
      </c>
      <c r="W158" t="s">
        <v>1125</v>
      </c>
      <c r="X158" t="s">
        <v>208</v>
      </c>
    </row>
    <row r="159" spans="1:24" x14ac:dyDescent="0.2">
      <c r="A159"/>
      <c r="B159"/>
      <c r="C159"/>
      <c r="D159"/>
      <c r="E159"/>
      <c r="F159" t="str">
        <f>LEFT(AllDaqbookOffsets[[#This Row],[traceability_no]],2)</f>
        <v>J1</v>
      </c>
      <c r="W159" t="s">
        <v>1126</v>
      </c>
      <c r="X159" t="s">
        <v>208</v>
      </c>
    </row>
    <row r="160" spans="1:24" x14ac:dyDescent="0.2">
      <c r="A160"/>
      <c r="B160"/>
      <c r="C160"/>
      <c r="D160"/>
      <c r="E160"/>
      <c r="F160" t="str">
        <f>LEFT(AllDaqbookOffsets[[#This Row],[traceability_no]],2)</f>
        <v>J1</v>
      </c>
      <c r="W160" t="s">
        <v>1127</v>
      </c>
      <c r="X160" t="s">
        <v>208</v>
      </c>
    </row>
    <row r="161" spans="1:24" x14ac:dyDescent="0.2">
      <c r="A161"/>
      <c r="B161"/>
      <c r="C161"/>
      <c r="D161"/>
      <c r="E161"/>
      <c r="F161" t="str">
        <f>LEFT(AllDaqbookOffsets[[#This Row],[traceability_no]],2)</f>
        <v>J1</v>
      </c>
      <c r="W161" t="s">
        <v>1128</v>
      </c>
      <c r="X161" t="s">
        <v>208</v>
      </c>
    </row>
    <row r="162" spans="1:24" x14ac:dyDescent="0.2">
      <c r="A162"/>
      <c r="B162"/>
      <c r="C162"/>
      <c r="D162"/>
      <c r="E162"/>
      <c r="F162" t="str">
        <f>LEFT(AllDaqbookOffsets[[#This Row],[traceability_no]],2)</f>
        <v>J1</v>
      </c>
      <c r="W162" t="s">
        <v>1129</v>
      </c>
      <c r="X162" t="s">
        <v>209</v>
      </c>
    </row>
    <row r="163" spans="1:24" x14ac:dyDescent="0.2">
      <c r="A163"/>
      <c r="B163"/>
      <c r="C163"/>
      <c r="D163"/>
      <c r="E163"/>
      <c r="F163" t="str">
        <f>LEFT(AllDaqbookOffsets[[#This Row],[traceability_no]],2)</f>
        <v>J1</v>
      </c>
      <c r="W163" t="s">
        <v>1130</v>
      </c>
      <c r="X163" t="s">
        <v>209</v>
      </c>
    </row>
    <row r="164" spans="1:24" x14ac:dyDescent="0.2">
      <c r="A164"/>
      <c r="B164"/>
      <c r="C164"/>
      <c r="D164"/>
      <c r="E164"/>
      <c r="F164" t="str">
        <f>LEFT(AllDaqbookOffsets[[#This Row],[traceability_no]],2)</f>
        <v>J1</v>
      </c>
      <c r="W164" t="s">
        <v>1131</v>
      </c>
      <c r="X164" t="s">
        <v>209</v>
      </c>
    </row>
    <row r="165" spans="1:24" x14ac:dyDescent="0.2">
      <c r="A165"/>
      <c r="B165"/>
      <c r="C165"/>
      <c r="D165"/>
      <c r="E165"/>
      <c r="F165" t="str">
        <f>LEFT(AllDaqbookOffsets[[#This Row],[traceability_no]],2)</f>
        <v>J1</v>
      </c>
      <c r="W165" t="s">
        <v>1132</v>
      </c>
      <c r="X165" t="s">
        <v>209</v>
      </c>
    </row>
    <row r="166" spans="1:24" x14ac:dyDescent="0.2">
      <c r="A166"/>
      <c r="B166"/>
      <c r="C166"/>
      <c r="D166"/>
      <c r="E166"/>
      <c r="F166" t="str">
        <f>LEFT(AllDaqbookOffsets[[#This Row],[traceability_no]],2)</f>
        <v>J1</v>
      </c>
      <c r="W166" t="s">
        <v>1133</v>
      </c>
      <c r="X166" t="s">
        <v>209</v>
      </c>
    </row>
    <row r="167" spans="1:24" x14ac:dyDescent="0.2">
      <c r="A167"/>
      <c r="B167"/>
      <c r="C167"/>
      <c r="D167"/>
      <c r="E167"/>
      <c r="F167" t="str">
        <f>LEFT(AllDaqbookOffsets[[#This Row],[traceability_no]],2)</f>
        <v>J1</v>
      </c>
      <c r="W167" t="s">
        <v>1134</v>
      </c>
      <c r="X167" t="s">
        <v>209</v>
      </c>
    </row>
    <row r="168" spans="1:24" x14ac:dyDescent="0.2">
      <c r="A168"/>
      <c r="B168"/>
      <c r="C168"/>
      <c r="D168"/>
      <c r="E168"/>
      <c r="F168" t="str">
        <f>LEFT(AllDaqbookOffsets[[#This Row],[traceability_no]],2)</f>
        <v>J1</v>
      </c>
      <c r="W168" t="s">
        <v>1135</v>
      </c>
      <c r="X168" t="s">
        <v>209</v>
      </c>
    </row>
    <row r="169" spans="1:24" x14ac:dyDescent="0.2">
      <c r="A169"/>
      <c r="B169"/>
      <c r="C169"/>
      <c r="D169"/>
      <c r="E169"/>
      <c r="F169" t="str">
        <f>LEFT(AllDaqbookOffsets[[#This Row],[traceability_no]],2)</f>
        <v>J1</v>
      </c>
      <c r="W169" t="s">
        <v>1136</v>
      </c>
      <c r="X169" t="s">
        <v>209</v>
      </c>
    </row>
    <row r="170" spans="1:24" x14ac:dyDescent="0.2">
      <c r="A170"/>
      <c r="B170"/>
      <c r="C170"/>
      <c r="D170"/>
      <c r="E170"/>
      <c r="F170" t="str">
        <f>LEFT(AllDaqbookOffsets[[#This Row],[traceability_no]],2)</f>
        <v>J1</v>
      </c>
      <c r="W170" t="s">
        <v>1137</v>
      </c>
      <c r="X170" t="s">
        <v>209</v>
      </c>
    </row>
    <row r="171" spans="1:24" x14ac:dyDescent="0.2">
      <c r="A171"/>
      <c r="B171"/>
      <c r="C171"/>
      <c r="D171"/>
      <c r="E171"/>
      <c r="F171" t="str">
        <f>LEFT(AllDaqbookOffsets[[#This Row],[traceability_no]],2)</f>
        <v>J1</v>
      </c>
      <c r="W171" t="s">
        <v>1138</v>
      </c>
      <c r="X171" t="s">
        <v>209</v>
      </c>
    </row>
    <row r="172" spans="1:24" x14ac:dyDescent="0.2">
      <c r="A172"/>
      <c r="B172"/>
      <c r="C172"/>
      <c r="D172"/>
      <c r="E172"/>
      <c r="F172" t="str">
        <f>LEFT(AllDaqbookOffsets[[#This Row],[traceability_no]],2)</f>
        <v>J1</v>
      </c>
      <c r="W172" t="s">
        <v>1139</v>
      </c>
      <c r="X172" t="s">
        <v>209</v>
      </c>
    </row>
    <row r="173" spans="1:24" x14ac:dyDescent="0.2">
      <c r="A173"/>
      <c r="B173"/>
      <c r="C173"/>
      <c r="D173"/>
      <c r="E173"/>
      <c r="F173" t="str">
        <f>LEFT(AllDaqbookOffsets[[#This Row],[traceability_no]],2)</f>
        <v>J1</v>
      </c>
      <c r="W173" t="s">
        <v>1140</v>
      </c>
      <c r="X173" t="s">
        <v>209</v>
      </c>
    </row>
    <row r="174" spans="1:24" x14ac:dyDescent="0.2">
      <c r="A174"/>
      <c r="B174"/>
      <c r="C174"/>
      <c r="D174"/>
      <c r="E174"/>
      <c r="F174" t="str">
        <f>LEFT(AllDaqbookOffsets[[#This Row],[traceability_no]],2)</f>
        <v>J1</v>
      </c>
      <c r="W174" t="s">
        <v>1141</v>
      </c>
      <c r="X174" t="s">
        <v>209</v>
      </c>
    </row>
    <row r="175" spans="1:24" x14ac:dyDescent="0.2">
      <c r="A175"/>
      <c r="B175"/>
      <c r="C175"/>
      <c r="D175"/>
      <c r="E175"/>
      <c r="F175" t="str">
        <f>LEFT(AllDaqbookOffsets[[#This Row],[traceability_no]],2)</f>
        <v>J1</v>
      </c>
      <c r="W175" t="s">
        <v>1142</v>
      </c>
      <c r="X175" t="s">
        <v>209</v>
      </c>
    </row>
    <row r="176" spans="1:24" x14ac:dyDescent="0.2">
      <c r="A176"/>
      <c r="B176"/>
      <c r="C176"/>
      <c r="D176"/>
      <c r="E176"/>
      <c r="F176" t="str">
        <f>LEFT(AllDaqbookOffsets[[#This Row],[traceability_no]],2)</f>
        <v>J1</v>
      </c>
      <c r="W176" t="s">
        <v>1143</v>
      </c>
      <c r="X176" t="s">
        <v>209</v>
      </c>
    </row>
    <row r="177" spans="1:24" x14ac:dyDescent="0.2">
      <c r="A177"/>
      <c r="B177"/>
      <c r="C177"/>
      <c r="D177"/>
      <c r="E177"/>
      <c r="F177" t="str">
        <f>LEFT(AllDaqbookOffsets[[#This Row],[traceability_no]],2)</f>
        <v>J1</v>
      </c>
      <c r="W177" t="s">
        <v>1144</v>
      </c>
      <c r="X177" t="s">
        <v>209</v>
      </c>
    </row>
    <row r="178" spans="1:24" x14ac:dyDescent="0.2">
      <c r="A178"/>
      <c r="B178"/>
      <c r="C178"/>
      <c r="D178"/>
      <c r="E178"/>
      <c r="F178" t="str">
        <f>LEFT(AllDaqbookOffsets[[#This Row],[traceability_no]],2)</f>
        <v>J1</v>
      </c>
      <c r="W178" t="s">
        <v>1145</v>
      </c>
      <c r="X178" t="s">
        <v>210</v>
      </c>
    </row>
    <row r="179" spans="1:24" x14ac:dyDescent="0.2">
      <c r="A179"/>
      <c r="B179"/>
      <c r="C179"/>
      <c r="D179"/>
      <c r="E179"/>
      <c r="F179" t="str">
        <f>LEFT(AllDaqbookOffsets[[#This Row],[traceability_no]],2)</f>
        <v>J1</v>
      </c>
      <c r="W179" t="s">
        <v>1146</v>
      </c>
      <c r="X179" t="s">
        <v>210</v>
      </c>
    </row>
    <row r="180" spans="1:24" x14ac:dyDescent="0.2">
      <c r="A180"/>
      <c r="B180"/>
      <c r="C180"/>
      <c r="D180"/>
      <c r="E180"/>
      <c r="F180" t="str">
        <f>LEFT(AllDaqbookOffsets[[#This Row],[traceability_no]],2)</f>
        <v>J1</v>
      </c>
      <c r="W180" t="s">
        <v>1147</v>
      </c>
      <c r="X180" t="s">
        <v>210</v>
      </c>
    </row>
    <row r="181" spans="1:24" x14ac:dyDescent="0.2">
      <c r="A181"/>
      <c r="B181"/>
      <c r="C181"/>
      <c r="D181"/>
      <c r="E181"/>
      <c r="F181" t="str">
        <f>LEFT(AllDaqbookOffsets[[#This Row],[traceability_no]],2)</f>
        <v>J1</v>
      </c>
      <c r="W181" t="s">
        <v>1148</v>
      </c>
      <c r="X181" t="s">
        <v>210</v>
      </c>
    </row>
    <row r="182" spans="1:24" x14ac:dyDescent="0.2">
      <c r="A182"/>
      <c r="B182"/>
      <c r="C182"/>
      <c r="D182"/>
      <c r="E182"/>
      <c r="F182" t="str">
        <f>LEFT(AllDaqbookOffsets[[#This Row],[traceability_no]],2)</f>
        <v>J1</v>
      </c>
      <c r="W182" t="s">
        <v>1149</v>
      </c>
      <c r="X182" t="s">
        <v>210</v>
      </c>
    </row>
    <row r="183" spans="1:24" x14ac:dyDescent="0.2">
      <c r="A183"/>
      <c r="B183"/>
      <c r="C183"/>
      <c r="D183"/>
      <c r="E183"/>
      <c r="F183" t="str">
        <f>LEFT(AllDaqbookOffsets[[#This Row],[traceability_no]],2)</f>
        <v>J1</v>
      </c>
      <c r="W183" t="s">
        <v>1150</v>
      </c>
      <c r="X183" t="s">
        <v>210</v>
      </c>
    </row>
    <row r="184" spans="1:24" x14ac:dyDescent="0.2">
      <c r="A184"/>
      <c r="B184"/>
      <c r="C184"/>
      <c r="D184"/>
      <c r="E184"/>
      <c r="F184" t="str">
        <f>LEFT(AllDaqbookOffsets[[#This Row],[traceability_no]],2)</f>
        <v>J1</v>
      </c>
      <c r="W184" t="s">
        <v>1151</v>
      </c>
      <c r="X184" t="s">
        <v>210</v>
      </c>
    </row>
    <row r="185" spans="1:24" x14ac:dyDescent="0.2">
      <c r="A185"/>
      <c r="B185"/>
      <c r="C185"/>
      <c r="D185"/>
      <c r="E185"/>
      <c r="F185" t="str">
        <f>LEFT(AllDaqbookOffsets[[#This Row],[traceability_no]],2)</f>
        <v>J1</v>
      </c>
      <c r="W185" t="s">
        <v>1152</v>
      </c>
      <c r="X185" t="s">
        <v>210</v>
      </c>
    </row>
    <row r="186" spans="1:24" x14ac:dyDescent="0.2">
      <c r="A186"/>
      <c r="B186"/>
      <c r="C186"/>
      <c r="D186"/>
      <c r="E186"/>
      <c r="F186" t="str">
        <f>LEFT(AllDaqbookOffsets[[#This Row],[traceability_no]],2)</f>
        <v>J1</v>
      </c>
      <c r="W186" t="s">
        <v>1153</v>
      </c>
      <c r="X186" t="s">
        <v>210</v>
      </c>
    </row>
    <row r="187" spans="1:24" x14ac:dyDescent="0.2">
      <c r="A187"/>
      <c r="B187"/>
      <c r="C187"/>
      <c r="D187"/>
      <c r="E187"/>
      <c r="F187" t="str">
        <f>LEFT(AllDaqbookOffsets[[#This Row],[traceability_no]],2)</f>
        <v>J1</v>
      </c>
      <c r="W187" t="s">
        <v>1154</v>
      </c>
      <c r="X187" t="s">
        <v>210</v>
      </c>
    </row>
    <row r="188" spans="1:24" x14ac:dyDescent="0.2">
      <c r="A188"/>
      <c r="B188"/>
      <c r="C188"/>
      <c r="D188"/>
      <c r="E188"/>
      <c r="F188" t="str">
        <f>LEFT(AllDaqbookOffsets[[#This Row],[traceability_no]],2)</f>
        <v>J1</v>
      </c>
      <c r="W188" t="s">
        <v>1155</v>
      </c>
      <c r="X188" t="s">
        <v>210</v>
      </c>
    </row>
    <row r="189" spans="1:24" x14ac:dyDescent="0.2">
      <c r="A189"/>
      <c r="B189"/>
      <c r="C189"/>
      <c r="D189"/>
      <c r="E189"/>
      <c r="F189" t="str">
        <f>LEFT(AllDaqbookOffsets[[#This Row],[traceability_no]],2)</f>
        <v>J1</v>
      </c>
      <c r="W189" t="s">
        <v>1156</v>
      </c>
      <c r="X189" t="s">
        <v>210</v>
      </c>
    </row>
    <row r="190" spans="1:24" x14ac:dyDescent="0.2">
      <c r="A190"/>
      <c r="B190"/>
      <c r="C190"/>
      <c r="D190"/>
      <c r="E190"/>
      <c r="F190" t="str">
        <f>LEFT(AllDaqbookOffsets[[#This Row],[traceability_no]],2)</f>
        <v>J1</v>
      </c>
      <c r="W190" t="s">
        <v>1157</v>
      </c>
      <c r="X190" t="s">
        <v>210</v>
      </c>
    </row>
    <row r="191" spans="1:24" x14ac:dyDescent="0.2">
      <c r="A191"/>
      <c r="B191"/>
      <c r="C191"/>
      <c r="D191"/>
      <c r="E191"/>
      <c r="F191" t="str">
        <f>LEFT(AllDaqbookOffsets[[#This Row],[traceability_no]],2)</f>
        <v>J1</v>
      </c>
      <c r="W191" t="s">
        <v>1158</v>
      </c>
      <c r="X191" t="s">
        <v>210</v>
      </c>
    </row>
    <row r="192" spans="1:24" x14ac:dyDescent="0.2">
      <c r="A192"/>
      <c r="B192"/>
      <c r="C192"/>
      <c r="D192"/>
      <c r="E192"/>
      <c r="F192" t="str">
        <f>LEFT(AllDaqbookOffsets[[#This Row],[traceability_no]],2)</f>
        <v>J1</v>
      </c>
      <c r="W192" t="s">
        <v>1159</v>
      </c>
      <c r="X192" t="s">
        <v>211</v>
      </c>
    </row>
    <row r="193" spans="1:24" x14ac:dyDescent="0.2">
      <c r="A193"/>
      <c r="B193"/>
      <c r="C193"/>
      <c r="D193"/>
      <c r="E193"/>
      <c r="F193" t="str">
        <f>LEFT(AllDaqbookOffsets[[#This Row],[traceability_no]],2)</f>
        <v>J1</v>
      </c>
      <c r="W193" t="s">
        <v>1160</v>
      </c>
      <c r="X193" t="s">
        <v>211</v>
      </c>
    </row>
    <row r="194" spans="1:24" x14ac:dyDescent="0.2">
      <c r="A194"/>
      <c r="B194"/>
      <c r="C194"/>
      <c r="D194"/>
      <c r="E194"/>
      <c r="F194" t="str">
        <f>LEFT(AllDaqbookOffsets[[#This Row],[traceability_no]],2)</f>
        <v>J1</v>
      </c>
      <c r="W194" t="s">
        <v>1161</v>
      </c>
      <c r="X194" t="s">
        <v>211</v>
      </c>
    </row>
    <row r="195" spans="1:24" x14ac:dyDescent="0.2">
      <c r="A195"/>
      <c r="B195"/>
      <c r="C195"/>
      <c r="D195"/>
      <c r="E195"/>
      <c r="F195" t="str">
        <f>LEFT(AllDaqbookOffsets[[#This Row],[traceability_no]],2)</f>
        <v>J1</v>
      </c>
      <c r="W195" t="s">
        <v>1162</v>
      </c>
      <c r="X195" t="s">
        <v>211</v>
      </c>
    </row>
    <row r="196" spans="1:24" x14ac:dyDescent="0.2">
      <c r="A196"/>
      <c r="B196"/>
      <c r="C196"/>
      <c r="D196"/>
      <c r="E196"/>
      <c r="F196" t="str">
        <f>LEFT(AllDaqbookOffsets[[#This Row],[traceability_no]],2)</f>
        <v>J1</v>
      </c>
      <c r="W196" t="s">
        <v>1163</v>
      </c>
      <c r="X196" t="s">
        <v>211</v>
      </c>
    </row>
    <row r="197" spans="1:24" x14ac:dyDescent="0.2">
      <c r="A197"/>
      <c r="B197"/>
      <c r="C197"/>
      <c r="D197"/>
      <c r="E197"/>
      <c r="F197" t="str">
        <f>LEFT(AllDaqbookOffsets[[#This Row],[traceability_no]],2)</f>
        <v>J1</v>
      </c>
      <c r="W197" t="s">
        <v>1164</v>
      </c>
      <c r="X197" t="s">
        <v>211</v>
      </c>
    </row>
    <row r="198" spans="1:24" x14ac:dyDescent="0.2">
      <c r="A198"/>
      <c r="B198"/>
      <c r="C198"/>
      <c r="D198"/>
      <c r="E198"/>
      <c r="F198" t="str">
        <f>LEFT(AllDaqbookOffsets[[#This Row],[traceability_no]],2)</f>
        <v>J1</v>
      </c>
      <c r="W198" t="s">
        <v>1165</v>
      </c>
      <c r="X198" t="s">
        <v>211</v>
      </c>
    </row>
    <row r="199" spans="1:24" x14ac:dyDescent="0.2">
      <c r="A199"/>
      <c r="B199"/>
      <c r="C199"/>
      <c r="D199"/>
      <c r="E199"/>
      <c r="F199" t="str">
        <f>LEFT(AllDaqbookOffsets[[#This Row],[traceability_no]],2)</f>
        <v>J1</v>
      </c>
      <c r="W199" t="s">
        <v>1166</v>
      </c>
      <c r="X199" t="s">
        <v>211</v>
      </c>
    </row>
    <row r="200" spans="1:24" x14ac:dyDescent="0.2">
      <c r="A200"/>
      <c r="B200"/>
      <c r="C200"/>
      <c r="D200"/>
      <c r="E200"/>
      <c r="F200" t="str">
        <f>LEFT(AllDaqbookOffsets[[#This Row],[traceability_no]],2)</f>
        <v>J1</v>
      </c>
      <c r="W200" t="s">
        <v>1167</v>
      </c>
      <c r="X200" t="s">
        <v>211</v>
      </c>
    </row>
    <row r="201" spans="1:24" x14ac:dyDescent="0.2">
      <c r="A201"/>
      <c r="B201"/>
      <c r="C201"/>
      <c r="D201"/>
      <c r="E201"/>
      <c r="F201" t="str">
        <f>LEFT(AllDaqbookOffsets[[#This Row],[traceability_no]],2)</f>
        <v>J1</v>
      </c>
      <c r="W201" t="s">
        <v>1168</v>
      </c>
      <c r="X201" t="s">
        <v>211</v>
      </c>
    </row>
    <row r="202" spans="1:24" x14ac:dyDescent="0.2">
      <c r="A202"/>
      <c r="B202"/>
      <c r="C202"/>
      <c r="D202"/>
      <c r="E202"/>
      <c r="F202" t="str">
        <f>LEFT(AllDaqbookOffsets[[#This Row],[traceability_no]],2)</f>
        <v>J1</v>
      </c>
      <c r="W202" t="s">
        <v>1169</v>
      </c>
      <c r="X202" t="s">
        <v>212</v>
      </c>
    </row>
    <row r="203" spans="1:24" x14ac:dyDescent="0.2">
      <c r="A203"/>
      <c r="B203"/>
      <c r="C203"/>
      <c r="D203"/>
      <c r="E203"/>
      <c r="F203" t="str">
        <f>LEFT(AllDaqbookOffsets[[#This Row],[traceability_no]],2)</f>
        <v>J1</v>
      </c>
      <c r="W203" t="s">
        <v>1170</v>
      </c>
      <c r="X203" t="s">
        <v>212</v>
      </c>
    </row>
    <row r="204" spans="1:24" x14ac:dyDescent="0.2">
      <c r="A204"/>
      <c r="B204"/>
      <c r="C204"/>
      <c r="D204"/>
      <c r="E204"/>
      <c r="F204" t="str">
        <f>LEFT(AllDaqbookOffsets[[#This Row],[traceability_no]],2)</f>
        <v>J1</v>
      </c>
      <c r="W204" t="s">
        <v>1171</v>
      </c>
      <c r="X204" t="s">
        <v>212</v>
      </c>
    </row>
    <row r="205" spans="1:24" x14ac:dyDescent="0.2">
      <c r="A205"/>
      <c r="B205"/>
      <c r="C205"/>
      <c r="D205"/>
      <c r="E205"/>
      <c r="F205" t="str">
        <f>LEFT(AllDaqbookOffsets[[#This Row],[traceability_no]],2)</f>
        <v>J1</v>
      </c>
      <c r="W205" t="s">
        <v>1172</v>
      </c>
      <c r="X205" t="s">
        <v>212</v>
      </c>
    </row>
    <row r="206" spans="1:24" x14ac:dyDescent="0.2">
      <c r="A206"/>
      <c r="B206"/>
      <c r="C206"/>
      <c r="D206"/>
      <c r="E206"/>
      <c r="F206" t="str">
        <f>LEFT(AllDaqbookOffsets[[#This Row],[traceability_no]],2)</f>
        <v>J1</v>
      </c>
      <c r="W206" t="s">
        <v>1173</v>
      </c>
      <c r="X206" t="s">
        <v>212</v>
      </c>
    </row>
    <row r="207" spans="1:24" x14ac:dyDescent="0.2">
      <c r="A207"/>
      <c r="B207"/>
      <c r="C207"/>
      <c r="D207"/>
      <c r="E207"/>
      <c r="F207" t="str">
        <f>LEFT(AllDaqbookOffsets[[#This Row],[traceability_no]],2)</f>
        <v>J1</v>
      </c>
      <c r="W207" t="s">
        <v>1174</v>
      </c>
      <c r="X207" t="s">
        <v>212</v>
      </c>
    </row>
    <row r="208" spans="1:24" x14ac:dyDescent="0.2">
      <c r="A208"/>
      <c r="B208"/>
      <c r="C208"/>
      <c r="D208"/>
      <c r="E208"/>
      <c r="F208" t="str">
        <f>LEFT(AllDaqbookOffsets[[#This Row],[traceability_no]],2)</f>
        <v>J1</v>
      </c>
      <c r="W208" t="s">
        <v>1175</v>
      </c>
      <c r="X208" t="s">
        <v>212</v>
      </c>
    </row>
    <row r="209" spans="1:24" x14ac:dyDescent="0.2">
      <c r="A209"/>
      <c r="B209"/>
      <c r="C209"/>
      <c r="D209"/>
      <c r="E209"/>
      <c r="F209" t="str">
        <f>LEFT(AllDaqbookOffsets[[#This Row],[traceability_no]],2)</f>
        <v>J1</v>
      </c>
      <c r="W209" t="s">
        <v>1176</v>
      </c>
      <c r="X209" t="s">
        <v>212</v>
      </c>
    </row>
    <row r="210" spans="1:24" x14ac:dyDescent="0.2">
      <c r="A210"/>
      <c r="B210"/>
      <c r="C210"/>
      <c r="D210"/>
      <c r="E210"/>
      <c r="F210" t="str">
        <f>LEFT(AllDaqbookOffsets[[#This Row],[traceability_no]],2)</f>
        <v>J1</v>
      </c>
      <c r="W210" t="s">
        <v>1177</v>
      </c>
      <c r="X210" t="s">
        <v>212</v>
      </c>
    </row>
    <row r="211" spans="1:24" x14ac:dyDescent="0.2">
      <c r="A211"/>
      <c r="B211"/>
      <c r="C211"/>
      <c r="D211"/>
      <c r="E211"/>
      <c r="F211" t="str">
        <f>LEFT(AllDaqbookOffsets[[#This Row],[traceability_no]],2)</f>
        <v>J1</v>
      </c>
      <c r="W211" t="s">
        <v>1178</v>
      </c>
      <c r="X211" t="s">
        <v>212</v>
      </c>
    </row>
    <row r="212" spans="1:24" x14ac:dyDescent="0.2">
      <c r="A212"/>
      <c r="B212"/>
      <c r="C212"/>
      <c r="D212"/>
      <c r="E212"/>
      <c r="F212" t="str">
        <f>LEFT(AllDaqbookOffsets[[#This Row],[traceability_no]],2)</f>
        <v>J1</v>
      </c>
      <c r="W212" t="s">
        <v>1179</v>
      </c>
      <c r="X212" t="s">
        <v>213</v>
      </c>
    </row>
    <row r="213" spans="1:24" x14ac:dyDescent="0.2">
      <c r="A213"/>
      <c r="B213"/>
      <c r="C213"/>
      <c r="D213"/>
      <c r="E213"/>
      <c r="F213" t="str">
        <f>LEFT(AllDaqbookOffsets[[#This Row],[traceability_no]],2)</f>
        <v>J1</v>
      </c>
      <c r="W213" t="s">
        <v>1180</v>
      </c>
      <c r="X213" t="s">
        <v>213</v>
      </c>
    </row>
    <row r="214" spans="1:24" x14ac:dyDescent="0.2">
      <c r="A214"/>
      <c r="B214"/>
      <c r="C214"/>
      <c r="D214"/>
      <c r="E214"/>
      <c r="F214" t="str">
        <f>LEFT(AllDaqbookOffsets[[#This Row],[traceability_no]],2)</f>
        <v>J1</v>
      </c>
      <c r="W214" t="s">
        <v>1181</v>
      </c>
      <c r="X214" t="s">
        <v>213</v>
      </c>
    </row>
    <row r="215" spans="1:24" x14ac:dyDescent="0.2">
      <c r="A215"/>
      <c r="B215"/>
      <c r="C215"/>
      <c r="D215"/>
      <c r="E215"/>
      <c r="F215" t="str">
        <f>LEFT(AllDaqbookOffsets[[#This Row],[traceability_no]],2)</f>
        <v>J1</v>
      </c>
      <c r="W215" t="s">
        <v>1182</v>
      </c>
      <c r="X215" t="s">
        <v>213</v>
      </c>
    </row>
    <row r="216" spans="1:24" x14ac:dyDescent="0.2">
      <c r="A216"/>
      <c r="B216"/>
      <c r="C216"/>
      <c r="D216"/>
      <c r="E216"/>
      <c r="F216" t="str">
        <f>LEFT(AllDaqbookOffsets[[#This Row],[traceability_no]],2)</f>
        <v>J1</v>
      </c>
      <c r="W216" t="s">
        <v>1183</v>
      </c>
      <c r="X216" t="s">
        <v>213</v>
      </c>
    </row>
    <row r="217" spans="1:24" x14ac:dyDescent="0.2">
      <c r="A217"/>
      <c r="B217"/>
      <c r="C217"/>
      <c r="D217"/>
      <c r="E217"/>
      <c r="F217" t="str">
        <f>LEFT(AllDaqbookOffsets[[#This Row],[traceability_no]],2)</f>
        <v>J1</v>
      </c>
      <c r="W217" t="s">
        <v>1184</v>
      </c>
      <c r="X217" t="s">
        <v>213</v>
      </c>
    </row>
    <row r="218" spans="1:24" x14ac:dyDescent="0.2">
      <c r="A218"/>
      <c r="B218"/>
      <c r="C218"/>
      <c r="D218"/>
      <c r="E218"/>
      <c r="F218" t="str">
        <f>LEFT(AllDaqbookOffsets[[#This Row],[traceability_no]],2)</f>
        <v>J1</v>
      </c>
      <c r="W218" t="s">
        <v>1185</v>
      </c>
      <c r="X218" t="s">
        <v>213</v>
      </c>
    </row>
    <row r="219" spans="1:24" x14ac:dyDescent="0.2">
      <c r="A219"/>
      <c r="B219"/>
      <c r="C219"/>
      <c r="D219"/>
      <c r="E219"/>
      <c r="F219" t="str">
        <f>LEFT(AllDaqbookOffsets[[#This Row],[traceability_no]],2)</f>
        <v>J1</v>
      </c>
      <c r="W219" t="s">
        <v>1186</v>
      </c>
      <c r="X219" t="s">
        <v>213</v>
      </c>
    </row>
    <row r="220" spans="1:24" x14ac:dyDescent="0.2">
      <c r="A220"/>
      <c r="B220"/>
      <c r="C220"/>
      <c r="D220"/>
      <c r="E220"/>
      <c r="F220" t="str">
        <f>LEFT(AllDaqbookOffsets[[#This Row],[traceability_no]],2)</f>
        <v>J1</v>
      </c>
      <c r="W220" t="s">
        <v>1187</v>
      </c>
      <c r="X220" t="s">
        <v>213</v>
      </c>
    </row>
    <row r="221" spans="1:24" x14ac:dyDescent="0.2">
      <c r="A221"/>
      <c r="B221"/>
      <c r="C221"/>
      <c r="D221"/>
      <c r="E221"/>
      <c r="F221" t="str">
        <f>LEFT(AllDaqbookOffsets[[#This Row],[traceability_no]],2)</f>
        <v>J1</v>
      </c>
      <c r="W221" t="s">
        <v>1188</v>
      </c>
      <c r="X221" t="s">
        <v>213</v>
      </c>
    </row>
    <row r="222" spans="1:24" x14ac:dyDescent="0.2">
      <c r="A222"/>
      <c r="B222"/>
      <c r="C222"/>
      <c r="D222"/>
      <c r="E222"/>
      <c r="F222" t="str">
        <f>LEFT(AllDaqbookOffsets[[#This Row],[traceability_no]],2)</f>
        <v>J1</v>
      </c>
      <c r="W222" t="s">
        <v>1189</v>
      </c>
      <c r="X222" t="s">
        <v>213</v>
      </c>
    </row>
    <row r="223" spans="1:24" x14ac:dyDescent="0.2">
      <c r="A223"/>
      <c r="B223"/>
      <c r="C223"/>
      <c r="D223"/>
      <c r="E223"/>
      <c r="F223" t="str">
        <f>LEFT(AllDaqbookOffsets[[#This Row],[traceability_no]],2)</f>
        <v>J1</v>
      </c>
      <c r="W223" t="s">
        <v>1190</v>
      </c>
      <c r="X223" t="s">
        <v>213</v>
      </c>
    </row>
    <row r="224" spans="1:24" x14ac:dyDescent="0.2">
      <c r="A224"/>
      <c r="B224"/>
      <c r="C224"/>
      <c r="D224"/>
      <c r="E224"/>
      <c r="F224" t="str">
        <f>LEFT(AllDaqbookOffsets[[#This Row],[traceability_no]],2)</f>
        <v>J1</v>
      </c>
      <c r="W224" t="s">
        <v>1191</v>
      </c>
      <c r="X224" t="s">
        <v>213</v>
      </c>
    </row>
    <row r="225" spans="1:24" x14ac:dyDescent="0.2">
      <c r="A225"/>
      <c r="B225"/>
      <c r="C225"/>
      <c r="D225"/>
      <c r="E225"/>
      <c r="F225" t="str">
        <f>LEFT(AllDaqbookOffsets[[#This Row],[traceability_no]],2)</f>
        <v>J1</v>
      </c>
      <c r="W225" t="s">
        <v>1192</v>
      </c>
      <c r="X225" t="s">
        <v>213</v>
      </c>
    </row>
    <row r="226" spans="1:24" x14ac:dyDescent="0.2">
      <c r="A226"/>
      <c r="B226"/>
      <c r="C226"/>
      <c r="D226"/>
      <c r="E226"/>
      <c r="F226" t="str">
        <f>LEFT(AllDaqbookOffsets[[#This Row],[traceability_no]],2)</f>
        <v>J1</v>
      </c>
      <c r="W226" t="s">
        <v>1193</v>
      </c>
      <c r="X226" t="s">
        <v>213</v>
      </c>
    </row>
    <row r="227" spans="1:24" x14ac:dyDescent="0.2">
      <c r="A227"/>
      <c r="B227"/>
      <c r="C227"/>
      <c r="D227"/>
      <c r="E227"/>
      <c r="F227" t="str">
        <f>LEFT(AllDaqbookOffsets[[#This Row],[traceability_no]],2)</f>
        <v>J1</v>
      </c>
      <c r="W227" t="s">
        <v>1194</v>
      </c>
      <c r="X227" t="s">
        <v>213</v>
      </c>
    </row>
    <row r="228" spans="1:24" x14ac:dyDescent="0.2">
      <c r="A228"/>
      <c r="B228"/>
      <c r="C228"/>
      <c r="D228"/>
      <c r="E228"/>
      <c r="F228" t="str">
        <f>LEFT(AllDaqbookOffsets[[#This Row],[traceability_no]],2)</f>
        <v>J1</v>
      </c>
      <c r="W228" t="s">
        <v>1195</v>
      </c>
      <c r="X228" t="s">
        <v>214</v>
      </c>
    </row>
    <row r="229" spans="1:24" x14ac:dyDescent="0.2">
      <c r="A229"/>
      <c r="B229"/>
      <c r="C229"/>
      <c r="D229"/>
      <c r="E229"/>
      <c r="F229" t="str">
        <f>LEFT(AllDaqbookOffsets[[#This Row],[traceability_no]],2)</f>
        <v>J1</v>
      </c>
      <c r="W229" t="s">
        <v>1196</v>
      </c>
      <c r="X229" t="s">
        <v>214</v>
      </c>
    </row>
    <row r="230" spans="1:24" x14ac:dyDescent="0.2">
      <c r="A230"/>
      <c r="B230"/>
      <c r="C230"/>
      <c r="D230"/>
      <c r="E230"/>
      <c r="F230" t="str">
        <f>LEFT(AllDaqbookOffsets[[#This Row],[traceability_no]],2)</f>
        <v>J1</v>
      </c>
      <c r="W230" t="s">
        <v>1197</v>
      </c>
      <c r="X230" t="s">
        <v>214</v>
      </c>
    </row>
    <row r="231" spans="1:24" x14ac:dyDescent="0.2">
      <c r="A231"/>
      <c r="B231"/>
      <c r="C231"/>
      <c r="D231"/>
      <c r="E231"/>
      <c r="F231" t="str">
        <f>LEFT(AllDaqbookOffsets[[#This Row],[traceability_no]],2)</f>
        <v>J1</v>
      </c>
      <c r="W231" t="s">
        <v>1198</v>
      </c>
      <c r="X231" t="s">
        <v>214</v>
      </c>
    </row>
    <row r="232" spans="1:24" x14ac:dyDescent="0.2">
      <c r="A232"/>
      <c r="B232"/>
      <c r="C232"/>
      <c r="D232"/>
      <c r="E232"/>
      <c r="F232" t="str">
        <f>LEFT(AllDaqbookOffsets[[#This Row],[traceability_no]],2)</f>
        <v>J1</v>
      </c>
      <c r="W232" t="s">
        <v>1199</v>
      </c>
      <c r="X232" t="s">
        <v>214</v>
      </c>
    </row>
    <row r="233" spans="1:24" x14ac:dyDescent="0.2">
      <c r="A233"/>
      <c r="B233"/>
      <c r="C233"/>
      <c r="D233"/>
      <c r="E233"/>
      <c r="F233" t="str">
        <f>LEFT(AllDaqbookOffsets[[#This Row],[traceability_no]],2)</f>
        <v>J1</v>
      </c>
      <c r="W233" t="s">
        <v>1200</v>
      </c>
      <c r="X233" t="s">
        <v>214</v>
      </c>
    </row>
    <row r="234" spans="1:24" x14ac:dyDescent="0.2">
      <c r="A234"/>
      <c r="B234"/>
      <c r="C234"/>
      <c r="D234"/>
      <c r="E234"/>
      <c r="F234" t="str">
        <f>LEFT(AllDaqbookOffsets[[#This Row],[traceability_no]],2)</f>
        <v>J1</v>
      </c>
      <c r="W234" t="s">
        <v>1201</v>
      </c>
      <c r="X234" t="s">
        <v>214</v>
      </c>
    </row>
    <row r="235" spans="1:24" x14ac:dyDescent="0.2">
      <c r="A235"/>
      <c r="B235"/>
      <c r="C235"/>
      <c r="D235"/>
      <c r="E235"/>
      <c r="F235" t="str">
        <f>LEFT(AllDaqbookOffsets[[#This Row],[traceability_no]],2)</f>
        <v>J1</v>
      </c>
      <c r="W235" t="s">
        <v>1202</v>
      </c>
      <c r="X235" t="s">
        <v>214</v>
      </c>
    </row>
    <row r="236" spans="1:24" x14ac:dyDescent="0.2">
      <c r="A236"/>
      <c r="B236"/>
      <c r="C236"/>
      <c r="D236"/>
      <c r="E236"/>
      <c r="F236" t="str">
        <f>LEFT(AllDaqbookOffsets[[#This Row],[traceability_no]],2)</f>
        <v>J1</v>
      </c>
      <c r="W236" t="s">
        <v>1203</v>
      </c>
      <c r="X236" t="s">
        <v>214</v>
      </c>
    </row>
    <row r="237" spans="1:24" x14ac:dyDescent="0.2">
      <c r="A237"/>
      <c r="B237"/>
      <c r="C237"/>
      <c r="D237"/>
      <c r="E237"/>
      <c r="F237" t="str">
        <f>LEFT(AllDaqbookOffsets[[#This Row],[traceability_no]],2)</f>
        <v>J1</v>
      </c>
      <c r="W237" t="s">
        <v>1204</v>
      </c>
      <c r="X237" t="s">
        <v>214</v>
      </c>
    </row>
    <row r="238" spans="1:24" x14ac:dyDescent="0.2">
      <c r="A238"/>
      <c r="B238"/>
      <c r="C238"/>
      <c r="D238"/>
      <c r="E238"/>
      <c r="F238" t="str">
        <f>LEFT(AllDaqbookOffsets[[#This Row],[traceability_no]],2)</f>
        <v>J1</v>
      </c>
      <c r="W238" t="s">
        <v>1205</v>
      </c>
      <c r="X238" t="s">
        <v>325</v>
      </c>
    </row>
    <row r="239" spans="1:24" x14ac:dyDescent="0.2">
      <c r="A239"/>
      <c r="B239"/>
      <c r="C239"/>
      <c r="D239"/>
      <c r="E239"/>
      <c r="F239" t="str">
        <f>LEFT(AllDaqbookOffsets[[#This Row],[traceability_no]],2)</f>
        <v>J1</v>
      </c>
      <c r="W239" t="s">
        <v>1206</v>
      </c>
      <c r="X239" t="s">
        <v>325</v>
      </c>
    </row>
    <row r="240" spans="1:24" x14ac:dyDescent="0.2">
      <c r="A240"/>
      <c r="B240"/>
      <c r="C240"/>
      <c r="D240"/>
      <c r="E240"/>
      <c r="F240" t="str">
        <f>LEFT(AllDaqbookOffsets[[#This Row],[traceability_no]],2)</f>
        <v>J1</v>
      </c>
      <c r="W240" t="s">
        <v>1207</v>
      </c>
      <c r="X240" t="s">
        <v>325</v>
      </c>
    </row>
    <row r="241" spans="1:24" x14ac:dyDescent="0.2">
      <c r="A241"/>
      <c r="B241"/>
      <c r="C241"/>
      <c r="D241"/>
      <c r="E241"/>
      <c r="F241" t="str">
        <f>LEFT(AllDaqbookOffsets[[#This Row],[traceability_no]],2)</f>
        <v>J1</v>
      </c>
      <c r="W241" t="s">
        <v>1208</v>
      </c>
      <c r="X241" t="s">
        <v>325</v>
      </c>
    </row>
    <row r="242" spans="1:24" x14ac:dyDescent="0.2">
      <c r="A242"/>
      <c r="B242"/>
      <c r="C242"/>
      <c r="D242"/>
      <c r="E242"/>
      <c r="F242" t="str">
        <f>LEFT(AllDaqbookOffsets[[#This Row],[traceability_no]],2)</f>
        <v>J2</v>
      </c>
      <c r="W242" t="s">
        <v>1209</v>
      </c>
      <c r="X242" t="s">
        <v>325</v>
      </c>
    </row>
    <row r="243" spans="1:24" x14ac:dyDescent="0.2">
      <c r="A243"/>
      <c r="B243"/>
      <c r="C243"/>
      <c r="D243"/>
      <c r="E243"/>
      <c r="F243" t="str">
        <f>LEFT(AllDaqbookOffsets[[#This Row],[traceability_no]],2)</f>
        <v>J2</v>
      </c>
      <c r="W243" t="s">
        <v>1210</v>
      </c>
      <c r="X243" t="s">
        <v>325</v>
      </c>
    </row>
    <row r="244" spans="1:24" x14ac:dyDescent="0.2">
      <c r="A244"/>
      <c r="B244"/>
      <c r="C244"/>
      <c r="D244"/>
      <c r="E244"/>
      <c r="F244" t="str">
        <f>LEFT(AllDaqbookOffsets[[#This Row],[traceability_no]],2)</f>
        <v>J2</v>
      </c>
      <c r="W244" t="s">
        <v>1211</v>
      </c>
      <c r="X244" t="s">
        <v>325</v>
      </c>
    </row>
    <row r="245" spans="1:24" x14ac:dyDescent="0.2">
      <c r="A245"/>
      <c r="B245"/>
      <c r="C245"/>
      <c r="D245"/>
      <c r="E245"/>
      <c r="F245" t="str">
        <f>LEFT(AllDaqbookOffsets[[#This Row],[traceability_no]],2)</f>
        <v>J2</v>
      </c>
      <c r="W245" t="s">
        <v>1212</v>
      </c>
      <c r="X245" t="s">
        <v>325</v>
      </c>
    </row>
    <row r="246" spans="1:24" x14ac:dyDescent="0.2">
      <c r="A246"/>
      <c r="B246"/>
      <c r="C246"/>
      <c r="D246"/>
      <c r="E246"/>
      <c r="F246" t="str">
        <f>LEFT(AllDaqbookOffsets[[#This Row],[traceability_no]],2)</f>
        <v>J2</v>
      </c>
      <c r="W246" t="s">
        <v>1213</v>
      </c>
      <c r="X246" t="s">
        <v>325</v>
      </c>
    </row>
    <row r="247" spans="1:24" x14ac:dyDescent="0.2">
      <c r="A247"/>
      <c r="B247"/>
      <c r="C247"/>
      <c r="D247"/>
      <c r="E247"/>
      <c r="F247" t="str">
        <f>LEFT(AllDaqbookOffsets[[#This Row],[traceability_no]],2)</f>
        <v>J2</v>
      </c>
      <c r="W247" t="s">
        <v>1214</v>
      </c>
      <c r="X247" t="s">
        <v>325</v>
      </c>
    </row>
    <row r="248" spans="1:24" x14ac:dyDescent="0.2">
      <c r="A248"/>
      <c r="B248"/>
      <c r="C248"/>
      <c r="D248"/>
      <c r="E248"/>
      <c r="F248" t="str">
        <f>LEFT(AllDaqbookOffsets[[#This Row],[traceability_no]],2)</f>
        <v>J2</v>
      </c>
      <c r="W248" t="s">
        <v>1221</v>
      </c>
      <c r="X248" t="s">
        <v>215</v>
      </c>
    </row>
    <row r="249" spans="1:24" x14ac:dyDescent="0.2">
      <c r="A249"/>
      <c r="B249"/>
      <c r="C249"/>
      <c r="D249"/>
      <c r="E249"/>
      <c r="F249" t="str">
        <f>LEFT(AllDaqbookOffsets[[#This Row],[traceability_no]],2)</f>
        <v>J2</v>
      </c>
      <c r="W249" t="s">
        <v>1222</v>
      </c>
      <c r="X249" t="s">
        <v>215</v>
      </c>
    </row>
    <row r="250" spans="1:24" x14ac:dyDescent="0.2">
      <c r="A250"/>
      <c r="B250"/>
      <c r="C250"/>
      <c r="D250"/>
      <c r="E250"/>
      <c r="F250" t="str">
        <f>LEFT(AllDaqbookOffsets[[#This Row],[traceability_no]],2)</f>
        <v>J2</v>
      </c>
      <c r="W250" t="s">
        <v>1223</v>
      </c>
      <c r="X250" t="s">
        <v>215</v>
      </c>
    </row>
    <row r="251" spans="1:24" x14ac:dyDescent="0.2">
      <c r="A251"/>
      <c r="B251"/>
      <c r="C251"/>
      <c r="D251"/>
      <c r="E251"/>
      <c r="F251" t="str">
        <f>LEFT(AllDaqbookOffsets[[#This Row],[traceability_no]],2)</f>
        <v>J2</v>
      </c>
      <c r="W251" t="s">
        <v>1224</v>
      </c>
      <c r="X251" t="s">
        <v>215</v>
      </c>
    </row>
    <row r="252" spans="1:24" x14ac:dyDescent="0.2">
      <c r="A252"/>
      <c r="B252"/>
      <c r="C252"/>
      <c r="D252"/>
      <c r="E252"/>
      <c r="F252" t="str">
        <f>LEFT(AllDaqbookOffsets[[#This Row],[traceability_no]],2)</f>
        <v>J2</v>
      </c>
      <c r="W252" t="s">
        <v>1225</v>
      </c>
      <c r="X252" t="s">
        <v>215</v>
      </c>
    </row>
    <row r="253" spans="1:24" x14ac:dyDescent="0.2">
      <c r="A253"/>
      <c r="B253"/>
      <c r="C253"/>
      <c r="D253"/>
      <c r="E253"/>
      <c r="F253" t="str">
        <f>LEFT(AllDaqbookOffsets[[#This Row],[traceability_no]],2)</f>
        <v>J2</v>
      </c>
      <c r="W253" t="s">
        <v>1226</v>
      </c>
      <c r="X253" t="s">
        <v>215</v>
      </c>
    </row>
    <row r="254" spans="1:24" x14ac:dyDescent="0.2">
      <c r="A254"/>
      <c r="B254"/>
      <c r="C254"/>
      <c r="D254"/>
      <c r="E254"/>
      <c r="F254" t="str">
        <f>LEFT(AllDaqbookOffsets[[#This Row],[traceability_no]],2)</f>
        <v>J2</v>
      </c>
      <c r="W254" t="s">
        <v>1227</v>
      </c>
      <c r="X254" t="s">
        <v>215</v>
      </c>
    </row>
    <row r="255" spans="1:24" x14ac:dyDescent="0.2">
      <c r="A255"/>
      <c r="B255"/>
      <c r="C255"/>
      <c r="D255"/>
      <c r="E255"/>
      <c r="F255" t="str">
        <f>LEFT(AllDaqbookOffsets[[#This Row],[traceability_no]],2)</f>
        <v>J2</v>
      </c>
      <c r="W255" t="s">
        <v>1228</v>
      </c>
      <c r="X255" t="s">
        <v>215</v>
      </c>
    </row>
    <row r="256" spans="1:24" x14ac:dyDescent="0.2">
      <c r="A256"/>
      <c r="B256"/>
      <c r="C256"/>
      <c r="D256"/>
      <c r="E256"/>
      <c r="F256" t="str">
        <f>LEFT(AllDaqbookOffsets[[#This Row],[traceability_no]],2)</f>
        <v>J2</v>
      </c>
      <c r="W256" t="s">
        <v>1229</v>
      </c>
      <c r="X256" t="s">
        <v>215</v>
      </c>
    </row>
    <row r="257" spans="1:24" x14ac:dyDescent="0.2">
      <c r="A257"/>
      <c r="B257"/>
      <c r="C257"/>
      <c r="D257"/>
      <c r="E257"/>
      <c r="F257" t="str">
        <f>LEFT(AllDaqbookOffsets[[#This Row],[traceability_no]],2)</f>
        <v>J2</v>
      </c>
      <c r="W257" t="s">
        <v>1215</v>
      </c>
      <c r="X257" t="s">
        <v>325</v>
      </c>
    </row>
    <row r="258" spans="1:24" x14ac:dyDescent="0.2">
      <c r="A258"/>
      <c r="B258"/>
      <c r="C258"/>
      <c r="D258"/>
      <c r="E258"/>
      <c r="F258" t="str">
        <f>LEFT(AllDaqbookOffsets[[#This Row],[traceability_no]],2)</f>
        <v>J2</v>
      </c>
      <c r="W258" t="s">
        <v>1230</v>
      </c>
      <c r="X258" t="s">
        <v>215</v>
      </c>
    </row>
    <row r="259" spans="1:24" x14ac:dyDescent="0.2">
      <c r="A259"/>
      <c r="B259"/>
      <c r="C259"/>
      <c r="D259"/>
      <c r="E259"/>
      <c r="F259" t="str">
        <f>LEFT(AllDaqbookOffsets[[#This Row],[traceability_no]],2)</f>
        <v>J2</v>
      </c>
      <c r="W259" t="s">
        <v>1231</v>
      </c>
      <c r="X259" t="s">
        <v>215</v>
      </c>
    </row>
    <row r="260" spans="1:24" x14ac:dyDescent="0.2">
      <c r="A260"/>
      <c r="B260"/>
      <c r="C260"/>
      <c r="D260"/>
      <c r="E260"/>
      <c r="F260" t="str">
        <f>LEFT(AllDaqbookOffsets[[#This Row],[traceability_no]],2)</f>
        <v>J2</v>
      </c>
      <c r="W260" t="s">
        <v>1232</v>
      </c>
      <c r="X260" t="s">
        <v>215</v>
      </c>
    </row>
    <row r="261" spans="1:24" x14ac:dyDescent="0.2">
      <c r="A261"/>
      <c r="B261"/>
      <c r="C261"/>
      <c r="D261"/>
      <c r="E261"/>
      <c r="F261" t="str">
        <f>LEFT(AllDaqbookOffsets[[#This Row],[traceability_no]],2)</f>
        <v>J2</v>
      </c>
      <c r="W261" t="s">
        <v>1216</v>
      </c>
      <c r="X261" t="s">
        <v>325</v>
      </c>
    </row>
    <row r="262" spans="1:24" x14ac:dyDescent="0.2">
      <c r="A262"/>
      <c r="B262"/>
      <c r="C262"/>
      <c r="D262"/>
      <c r="E262"/>
      <c r="F262" t="str">
        <f>LEFT(AllDaqbookOffsets[[#This Row],[traceability_no]],2)</f>
        <v>J2</v>
      </c>
      <c r="W262" t="s">
        <v>1217</v>
      </c>
      <c r="X262" t="s">
        <v>325</v>
      </c>
    </row>
    <row r="263" spans="1:24" x14ac:dyDescent="0.2">
      <c r="A263"/>
      <c r="B263"/>
      <c r="C263"/>
      <c r="D263"/>
      <c r="E263"/>
      <c r="F263" t="str">
        <f>LEFT(AllDaqbookOffsets[[#This Row],[traceability_no]],2)</f>
        <v>J2</v>
      </c>
      <c r="W263" t="s">
        <v>1218</v>
      </c>
      <c r="X263" t="s">
        <v>325</v>
      </c>
    </row>
    <row r="264" spans="1:24" x14ac:dyDescent="0.2">
      <c r="A264"/>
      <c r="B264"/>
      <c r="C264"/>
      <c r="D264"/>
      <c r="E264"/>
      <c r="F264" t="str">
        <f>LEFT(AllDaqbookOffsets[[#This Row],[traceability_no]],2)</f>
        <v>J2</v>
      </c>
      <c r="W264" t="s">
        <v>1219</v>
      </c>
      <c r="X264" t="s">
        <v>325</v>
      </c>
    </row>
    <row r="265" spans="1:24" x14ac:dyDescent="0.2">
      <c r="A265"/>
      <c r="B265"/>
      <c r="C265"/>
      <c r="D265"/>
      <c r="E265"/>
      <c r="F265" t="str">
        <f>LEFT(AllDaqbookOffsets[[#This Row],[traceability_no]],2)</f>
        <v>J2</v>
      </c>
      <c r="W265" t="s">
        <v>1220</v>
      </c>
      <c r="X265" t="s">
        <v>325</v>
      </c>
    </row>
    <row r="266" spans="1:24" x14ac:dyDescent="0.2">
      <c r="A266"/>
      <c r="B266"/>
      <c r="C266"/>
      <c r="D266"/>
      <c r="E266"/>
      <c r="F266" t="str">
        <f>LEFT(AllDaqbookOffsets[[#This Row],[traceability_no]],2)</f>
        <v>J2</v>
      </c>
      <c r="W266" t="s">
        <v>1233</v>
      </c>
      <c r="X266" t="s">
        <v>216</v>
      </c>
    </row>
    <row r="267" spans="1:24" x14ac:dyDescent="0.2">
      <c r="A267"/>
      <c r="B267"/>
      <c r="C267"/>
      <c r="D267"/>
      <c r="E267"/>
      <c r="F267" t="str">
        <f>LEFT(AllDaqbookOffsets[[#This Row],[traceability_no]],2)</f>
        <v>J2</v>
      </c>
      <c r="W267" t="s">
        <v>1234</v>
      </c>
      <c r="X267" t="s">
        <v>216</v>
      </c>
    </row>
    <row r="268" spans="1:24" x14ac:dyDescent="0.2">
      <c r="A268"/>
      <c r="B268"/>
      <c r="C268"/>
      <c r="D268"/>
      <c r="E268"/>
      <c r="F268" t="str">
        <f>LEFT(AllDaqbookOffsets[[#This Row],[traceability_no]],2)</f>
        <v>J2</v>
      </c>
      <c r="W268" t="s">
        <v>1235</v>
      </c>
      <c r="X268" t="s">
        <v>216</v>
      </c>
    </row>
    <row r="269" spans="1:24" x14ac:dyDescent="0.2">
      <c r="A269"/>
      <c r="B269"/>
      <c r="C269"/>
      <c r="D269"/>
      <c r="E269"/>
      <c r="F269" t="str">
        <f>LEFT(AllDaqbookOffsets[[#This Row],[traceability_no]],2)</f>
        <v>J2</v>
      </c>
      <c r="W269" t="s">
        <v>1236</v>
      </c>
      <c r="X269" t="s">
        <v>216</v>
      </c>
    </row>
    <row r="270" spans="1:24" x14ac:dyDescent="0.2">
      <c r="A270"/>
      <c r="B270"/>
      <c r="C270"/>
      <c r="D270"/>
      <c r="E270"/>
      <c r="F270" t="str">
        <f>LEFT(AllDaqbookOffsets[[#This Row],[traceability_no]],2)</f>
        <v>J2</v>
      </c>
      <c r="W270" t="s">
        <v>1237</v>
      </c>
      <c r="X270" t="s">
        <v>216</v>
      </c>
    </row>
    <row r="271" spans="1:24" x14ac:dyDescent="0.2">
      <c r="A271"/>
      <c r="B271"/>
      <c r="C271"/>
      <c r="D271"/>
      <c r="E271"/>
      <c r="F271" t="str">
        <f>LEFT(AllDaqbookOffsets[[#This Row],[traceability_no]],2)</f>
        <v>J2</v>
      </c>
      <c r="W271" t="s">
        <v>1238</v>
      </c>
      <c r="X271" t="s">
        <v>216</v>
      </c>
    </row>
    <row r="272" spans="1:24" x14ac:dyDescent="0.2">
      <c r="A272"/>
      <c r="B272"/>
      <c r="C272"/>
      <c r="D272"/>
      <c r="E272"/>
      <c r="F272" t="str">
        <f>LEFT(AllDaqbookOffsets[[#This Row],[traceability_no]],2)</f>
        <v>J2</v>
      </c>
      <c r="W272" t="s">
        <v>1239</v>
      </c>
      <c r="X272" t="s">
        <v>216</v>
      </c>
    </row>
    <row r="273" spans="1:24" x14ac:dyDescent="0.2">
      <c r="A273"/>
      <c r="B273"/>
      <c r="C273"/>
      <c r="D273"/>
      <c r="E273"/>
      <c r="F273" t="str">
        <f>LEFT(AllDaqbookOffsets[[#This Row],[traceability_no]],2)</f>
        <v>J2</v>
      </c>
      <c r="W273" t="s">
        <v>1240</v>
      </c>
      <c r="X273" t="s">
        <v>216</v>
      </c>
    </row>
    <row r="274" spans="1:24" x14ac:dyDescent="0.2">
      <c r="A274"/>
      <c r="B274"/>
      <c r="C274"/>
      <c r="D274"/>
      <c r="E274"/>
      <c r="F274" t="str">
        <f>LEFT(AllDaqbookOffsets[[#This Row],[traceability_no]],2)</f>
        <v>J2</v>
      </c>
      <c r="W274" t="s">
        <v>1241</v>
      </c>
      <c r="X274" t="s">
        <v>216</v>
      </c>
    </row>
    <row r="275" spans="1:24" x14ac:dyDescent="0.2">
      <c r="A275"/>
      <c r="B275"/>
      <c r="C275"/>
      <c r="D275"/>
      <c r="E275"/>
      <c r="F275" t="str">
        <f>LEFT(AllDaqbookOffsets[[#This Row],[traceability_no]],2)</f>
        <v>J2</v>
      </c>
      <c r="W275" t="s">
        <v>1242</v>
      </c>
      <c r="X275" t="s">
        <v>216</v>
      </c>
    </row>
    <row r="276" spans="1:24" x14ac:dyDescent="0.2">
      <c r="A276"/>
      <c r="B276"/>
      <c r="C276"/>
      <c r="D276"/>
      <c r="E276"/>
      <c r="F276" t="str">
        <f>LEFT(AllDaqbookOffsets[[#This Row],[traceability_no]],2)</f>
        <v>J2</v>
      </c>
      <c r="W276" t="s">
        <v>1243</v>
      </c>
      <c r="X276" t="s">
        <v>216</v>
      </c>
    </row>
    <row r="277" spans="1:24" x14ac:dyDescent="0.2">
      <c r="A277"/>
      <c r="B277"/>
      <c r="C277"/>
      <c r="D277"/>
      <c r="E277"/>
      <c r="F277" t="str">
        <f>LEFT(AllDaqbookOffsets[[#This Row],[traceability_no]],2)</f>
        <v>J2</v>
      </c>
      <c r="W277" t="s">
        <v>1244</v>
      </c>
      <c r="X277" t="s">
        <v>216</v>
      </c>
    </row>
    <row r="278" spans="1:24" x14ac:dyDescent="0.2">
      <c r="A278"/>
      <c r="B278"/>
      <c r="C278"/>
      <c r="D278"/>
      <c r="E278"/>
      <c r="F278" t="str">
        <f>LEFT(AllDaqbookOffsets[[#This Row],[traceability_no]],2)</f>
        <v>J2</v>
      </c>
      <c r="W278" t="s">
        <v>1245</v>
      </c>
      <c r="X278" t="s">
        <v>216</v>
      </c>
    </row>
    <row r="279" spans="1:24" x14ac:dyDescent="0.2">
      <c r="A279"/>
      <c r="B279"/>
      <c r="C279"/>
      <c r="D279"/>
      <c r="E279"/>
      <c r="F279" t="str">
        <f>LEFT(AllDaqbookOffsets[[#This Row],[traceability_no]],2)</f>
        <v>J2</v>
      </c>
      <c r="W279" t="s">
        <v>1246</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Oxu2x+TtZdfAtRXhx+2dDWRYjrNLEUHAJ1W9YvAM7LrQqH+9qAd3NxTiatZ/UZ7Cd8APbyeN0LdDgIczvZdMA==" saltValue="4ZK+UzMT3SKh7AwfKsc05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1252</v>
      </c>
      <c r="B1" s="320"/>
      <c r="C1" s="493" t="s">
        <v>50</v>
      </c>
      <c r="D1" s="494"/>
      <c r="E1" s="494"/>
      <c r="F1" s="494"/>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5" t="s">
        <v>102</v>
      </c>
      <c r="K3" s="496"/>
      <c r="L3" s="497"/>
      <c r="M3" s="303"/>
      <c r="N3" s="511" t="s">
        <v>91</v>
      </c>
      <c r="O3" s="511"/>
      <c r="P3" s="511"/>
      <c r="Q3" s="511"/>
      <c r="R3" s="511"/>
      <c r="S3" s="511"/>
    </row>
    <row r="4" spans="1:19" s="278" customFormat="1" x14ac:dyDescent="0.2">
      <c r="A4" s="321"/>
      <c r="B4" s="141"/>
      <c r="C4" s="142" t="s">
        <v>228</v>
      </c>
      <c r="D4" s="285" t="str">
        <f>IF(Condition="","",Condition)</f>
        <v/>
      </c>
      <c r="E4" s="303"/>
      <c r="F4" s="303"/>
      <c r="G4" s="303"/>
      <c r="H4" s="303"/>
      <c r="I4" s="303"/>
      <c r="J4" s="500" t="s">
        <v>1</v>
      </c>
      <c r="K4" s="501"/>
      <c r="L4" s="143">
        <f>MAX(Survey[Deviations])</f>
        <v>0</v>
      </c>
      <c r="M4" s="303"/>
      <c r="N4" s="144" t="s">
        <v>90</v>
      </c>
      <c r="O4" s="145" t="s">
        <v>89</v>
      </c>
      <c r="P4" s="498" t="s">
        <v>100</v>
      </c>
      <c r="Q4" s="499"/>
      <c r="R4" s="144" t="s">
        <v>137</v>
      </c>
      <c r="S4" s="144" t="s">
        <v>141</v>
      </c>
    </row>
    <row r="5" spans="1:19" s="278" customFormat="1" x14ac:dyDescent="0.2">
      <c r="A5" s="321"/>
      <c r="B5" s="141"/>
      <c r="C5" s="142" t="s">
        <v>41</v>
      </c>
      <c r="D5" s="515" t="e">
        <f>companyName</f>
        <v>#N/A</v>
      </c>
      <c r="E5" s="516"/>
      <c r="F5" s="516"/>
      <c r="G5" s="516"/>
      <c r="H5" s="517"/>
      <c r="I5" s="286"/>
      <c r="J5" s="500" t="s">
        <v>2</v>
      </c>
      <c r="K5" s="501"/>
      <c r="L5" s="143">
        <f>MIN(Survey[Deviations])</f>
        <v>0</v>
      </c>
      <c r="M5" s="303"/>
      <c r="N5" s="408">
        <v>1</v>
      </c>
      <c r="O5" s="146"/>
      <c r="P5" s="464" t="str" cm="1">
        <f t="array" ref="P5:P44">Alerts[Alert]</f>
        <v/>
      </c>
      <c r="Q5" s="465"/>
      <c r="R5" s="147" t="e" cm="1">
        <f t="array" ref="R5:R44">Alerts[Temp]</f>
        <v>#VALUE!</v>
      </c>
      <c r="S5" s="147" t="str" cm="1">
        <f t="array" ref="S5:S44">Alerts[Time]</f>
        <v/>
      </c>
    </row>
    <row r="6" spans="1:19" s="278" customFormat="1" x14ac:dyDescent="0.2">
      <c r="A6" s="321"/>
      <c r="B6" s="141"/>
      <c r="C6" s="142" t="s">
        <v>40</v>
      </c>
      <c r="D6" s="512" t="e">
        <f>VLOOKUP("assetName",WorkItemDetails[],2,FALSE)</f>
        <v>#N/A</v>
      </c>
      <c r="E6" s="513"/>
      <c r="F6" s="513"/>
      <c r="G6" s="513"/>
      <c r="H6" s="514"/>
      <c r="J6" s="500" t="s">
        <v>101</v>
      </c>
      <c r="K6" s="501"/>
      <c r="L6" s="143">
        <f>L4-L5</f>
        <v>0</v>
      </c>
      <c r="M6" s="303"/>
      <c r="N6" s="408">
        <v>2</v>
      </c>
      <c r="O6" s="146"/>
      <c r="P6" s="464" t="str">
        <v/>
      </c>
      <c r="Q6" s="465"/>
      <c r="R6" s="463"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4" t="str">
        <v/>
      </c>
      <c r="Q7" s="465"/>
      <c r="R7" s="463"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4" t="str">
        <v/>
      </c>
      <c r="Q8" s="465"/>
      <c r="R8" s="463"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4" t="str">
        <v/>
      </c>
      <c r="Q9" s="465"/>
      <c r="R9" s="463"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4" t="str">
        <v/>
      </c>
      <c r="Q10" s="465"/>
      <c r="R10" s="463"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4" t="str">
        <v/>
      </c>
      <c r="Q11" s="465"/>
      <c r="R11" s="463"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4" t="str">
        <v/>
      </c>
      <c r="Q12" s="465"/>
      <c r="R12" s="463"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09" t="str">
        <f>IFERROR(VLOOKUP("PoNumber",WorkItemDetails[],2,FALSE),"")</f>
        <v/>
      </c>
      <c r="L13" s="510"/>
      <c r="M13" s="303"/>
      <c r="N13" s="408">
        <v>9</v>
      </c>
      <c r="O13" s="146"/>
      <c r="P13" s="464" t="str">
        <v/>
      </c>
      <c r="Q13" s="465"/>
      <c r="R13" s="463"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18"/>
      <c r="L14" s="519"/>
      <c r="M14" s="303"/>
      <c r="N14" s="408">
        <v>10</v>
      </c>
      <c r="O14" s="146"/>
      <c r="P14" s="464" t="str">
        <v/>
      </c>
      <c r="Q14" s="465"/>
      <c r="R14" s="463" t="e">
        <v>#VALUE!</v>
      </c>
      <c r="S14" s="147" t="str">
        <v/>
      </c>
    </row>
    <row r="15" spans="1:19" s="278" customFormat="1" x14ac:dyDescent="0.2">
      <c r="A15" s="321"/>
      <c r="B15" s="188"/>
      <c r="C15" s="186" t="s">
        <v>65</v>
      </c>
      <c r="D15" s="296"/>
      <c r="E15" s="303"/>
      <c r="F15" s="303"/>
      <c r="G15" s="303"/>
      <c r="H15" s="423" t="b">
        <v>1</v>
      </c>
      <c r="I15" s="303"/>
      <c r="J15" s="154" t="s">
        <v>131</v>
      </c>
      <c r="K15" s="504"/>
      <c r="L15" s="505"/>
      <c r="M15" s="303"/>
      <c r="N15" s="408">
        <v>11</v>
      </c>
      <c r="O15" s="146"/>
      <c r="P15" s="464" t="str">
        <v/>
      </c>
      <c r="Q15" s="465"/>
      <c r="R15" s="463" t="e">
        <v>#VALUE!</v>
      </c>
      <c r="S15" s="147" t="str">
        <v/>
      </c>
    </row>
    <row r="16" spans="1:19" s="278" customFormat="1" x14ac:dyDescent="0.2">
      <c r="A16" s="321"/>
      <c r="B16" s="155"/>
      <c r="C16" s="187" t="s">
        <v>262</v>
      </c>
      <c r="D16" s="296"/>
      <c r="E16" s="303"/>
      <c r="F16" s="153" t="s">
        <v>77</v>
      </c>
      <c r="G16" s="396" t="s">
        <v>265</v>
      </c>
      <c r="H16" s="397"/>
      <c r="I16" s="303"/>
      <c r="J16" s="523" t="s">
        <v>161</v>
      </c>
      <c r="K16" s="524"/>
      <c r="L16" s="284"/>
      <c r="M16" s="303"/>
      <c r="N16" s="408">
        <v>12</v>
      </c>
      <c r="O16" s="146"/>
      <c r="P16" s="464" t="str">
        <v/>
      </c>
      <c r="Q16" s="465"/>
      <c r="R16" s="463" t="e">
        <v>#VALUE!</v>
      </c>
      <c r="S16" s="147" t="str">
        <v/>
      </c>
    </row>
    <row r="17" spans="2:22" s="278" customFormat="1" x14ac:dyDescent="0.2">
      <c r="B17" s="141"/>
      <c r="C17" s="142" t="s">
        <v>64</v>
      </c>
      <c r="D17" s="297"/>
      <c r="E17" s="303"/>
      <c r="F17" s="154" t="s">
        <v>96</v>
      </c>
      <c r="G17" s="371" t="str">
        <f>IF(ISBLANK(Load),"",Load)</f>
        <v/>
      </c>
      <c r="H17" s="303"/>
      <c r="I17" s="304"/>
      <c r="J17" s="523" t="s">
        <v>162</v>
      </c>
      <c r="K17" s="524"/>
      <c r="L17" s="157" t="str">
        <f>IF(K15="SIM Load Hot",TEXT(D26,"hh:mm"),"")</f>
        <v/>
      </c>
      <c r="M17" s="303"/>
      <c r="N17" s="408">
        <v>13</v>
      </c>
      <c r="O17" s="146"/>
      <c r="P17" s="464" t="str">
        <v/>
      </c>
      <c r="Q17" s="465"/>
      <c r="R17" s="463" t="e">
        <v>#VALUE!</v>
      </c>
      <c r="S17" s="147" t="str">
        <v/>
      </c>
      <c r="T17" s="435"/>
    </row>
    <row r="18" spans="2:22" s="278" customFormat="1" x14ac:dyDescent="0.2">
      <c r="B18" s="151"/>
      <c r="C18" s="158" t="s">
        <v>67</v>
      </c>
      <c r="D18" s="282"/>
      <c r="E18" s="303"/>
      <c r="F18" s="159" t="s">
        <v>78</v>
      </c>
      <c r="G18" s="476" t="s">
        <v>19</v>
      </c>
      <c r="H18" s="477"/>
      <c r="I18" s="304"/>
      <c r="J18" s="329"/>
      <c r="K18" s="303"/>
      <c r="L18" s="304"/>
      <c r="M18" s="303"/>
      <c r="N18" s="408">
        <v>14</v>
      </c>
      <c r="O18" s="146"/>
      <c r="P18" s="464" t="str">
        <v/>
      </c>
      <c r="Q18" s="465"/>
      <c r="R18" s="463"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2" t="str">
        <f>IF(K15="Salt",0, IF(OR(K15="Hot",K15="SIM Load Hot"),IF(OR(D26="",D28=""),"N/A",IF(ISBLANK(D26),"N/A",D28-D26)),"N/A"))</f>
        <v>N/A</v>
      </c>
      <c r="H19" s="503"/>
      <c r="I19" s="330" t="str">
        <f>IF(G19="N/A","N/A",IF(G19=0,"&lt;2",ROUND(IF(LEN(G19)&gt;3,G19*1440,RIGHT(TEXT(G19,"hh:mm"),2)),0))&amp;" MINUTES")</f>
        <v>N/A</v>
      </c>
      <c r="J19" s="437">
        <f>V21</f>
        <v>40</v>
      </c>
      <c r="K19" s="303"/>
      <c r="L19" s="304"/>
      <c r="M19" s="303"/>
      <c r="N19" s="408">
        <v>15</v>
      </c>
      <c r="O19" s="146"/>
      <c r="P19" s="464" t="str">
        <v/>
      </c>
      <c r="Q19" s="465"/>
      <c r="R19" s="463" t="e">
        <v>#VALUE!</v>
      </c>
      <c r="S19" s="147" t="str">
        <v/>
      </c>
      <c r="T19" s="435"/>
      <c r="U19" s="286" t="s">
        <v>940</v>
      </c>
      <c r="V19" s="286">
        <f>L20</f>
        <v>1</v>
      </c>
    </row>
    <row r="20" spans="2:22" s="278" customFormat="1" ht="13.7" customHeight="1" x14ac:dyDescent="0.2">
      <c r="B20" s="506" t="s">
        <v>958</v>
      </c>
      <c r="C20" s="507"/>
      <c r="D20" s="369" t="str">
        <f>"±"&amp;SAT_Tolerance&amp;"°F"</f>
        <v>±0°F</v>
      </c>
      <c r="E20" s="421"/>
      <c r="F20" s="303"/>
      <c r="G20" s="303"/>
      <c r="H20" s="303"/>
      <c r="I20" s="304"/>
      <c r="J20" s="303"/>
      <c r="K20" s="303"/>
      <c r="L20" s="422">
        <v>1</v>
      </c>
      <c r="M20" s="303"/>
      <c r="N20" s="408">
        <v>16</v>
      </c>
      <c r="O20" s="146"/>
      <c r="P20" s="464" t="str">
        <v/>
      </c>
      <c r="Q20" s="465"/>
      <c r="R20" s="463"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4" t="str">
        <v/>
      </c>
      <c r="Q21" s="465"/>
      <c r="R21" s="463"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4" t="str">
        <v/>
      </c>
      <c r="Q22" s="465"/>
      <c r="R22" s="463" t="e">
        <v>#VALUE!</v>
      </c>
      <c r="S22" s="147" t="str">
        <v/>
      </c>
      <c r="T22" s="435"/>
      <c r="U22" s="286" t="s">
        <v>937</v>
      </c>
      <c r="V22" s="286">
        <f>V20+1</f>
        <v>1</v>
      </c>
    </row>
    <row r="23" spans="2:22" s="278" customFormat="1" x14ac:dyDescent="0.2">
      <c r="B23" s="141"/>
      <c r="C23" s="399" t="s">
        <v>908</v>
      </c>
      <c r="D23" s="282"/>
      <c r="E23" s="303"/>
      <c r="F23" s="160" t="s">
        <v>97</v>
      </c>
      <c r="G23" s="531" t="s">
        <v>368</v>
      </c>
      <c r="H23" s="532"/>
      <c r="I23" s="532"/>
      <c r="J23" s="532"/>
      <c r="K23" s="533"/>
      <c r="L23" s="304"/>
      <c r="M23" s="303"/>
      <c r="N23" s="408">
        <v>19</v>
      </c>
      <c r="O23" s="146"/>
      <c r="P23" s="464" t="str">
        <v/>
      </c>
      <c r="Q23" s="465"/>
      <c r="R23" s="463" t="e">
        <v>#VALUE!</v>
      </c>
      <c r="S23" s="147" t="str">
        <v/>
      </c>
      <c r="T23" s="435"/>
      <c r="U23" s="286" t="s">
        <v>936</v>
      </c>
      <c r="V23" s="286">
        <f>V20+V21</f>
        <v>40</v>
      </c>
    </row>
    <row r="24" spans="2:22" s="278" customFormat="1" x14ac:dyDescent="0.2">
      <c r="B24" s="506" t="s">
        <v>549</v>
      </c>
      <c r="C24" s="508"/>
      <c r="D24" s="282">
        <v>1</v>
      </c>
      <c r="E24" s="303"/>
      <c r="F24" s="160" t="s">
        <v>98</v>
      </c>
      <c r="G24" s="534"/>
      <c r="H24" s="535"/>
      <c r="I24" s="535"/>
      <c r="J24" s="535"/>
      <c r="K24" s="536"/>
      <c r="L24" s="304"/>
      <c r="M24" s="303"/>
      <c r="N24" s="408">
        <v>20</v>
      </c>
      <c r="O24" s="146"/>
      <c r="P24" s="464" t="str">
        <v/>
      </c>
      <c r="Q24" s="465"/>
      <c r="R24" s="463" t="e">
        <v>#VALUE!</v>
      </c>
      <c r="S24" s="147" t="str">
        <v/>
      </c>
      <c r="T24" s="435"/>
      <c r="U24" s="286" t="s">
        <v>935</v>
      </c>
      <c r="V24" s="286" t="str">
        <f>IF(V19=1,"","DaqBook points "&amp;V22&amp;"-"&amp;V23&amp;" used.")</f>
        <v/>
      </c>
    </row>
    <row r="25" spans="2:22" s="278" customFormat="1" x14ac:dyDescent="0.2">
      <c r="B25" s="318"/>
      <c r="C25" s="319"/>
      <c r="D25" s="326"/>
      <c r="E25" s="303"/>
      <c r="F25" s="160" t="s">
        <v>99</v>
      </c>
      <c r="G25" s="534"/>
      <c r="H25" s="535"/>
      <c r="I25" s="535"/>
      <c r="J25" s="535"/>
      <c r="K25" s="536"/>
      <c r="L25" s="304"/>
      <c r="M25" s="303"/>
      <c r="N25" s="408">
        <v>21</v>
      </c>
      <c r="O25" s="146"/>
      <c r="P25" s="464" t="str">
        <v/>
      </c>
      <c r="Q25" s="465"/>
      <c r="R25" s="463"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4" t="str">
        <v/>
      </c>
      <c r="Q26" s="465"/>
      <c r="R26" s="463" t="e">
        <v>#VALUE!</v>
      </c>
      <c r="S26" s="147" t="str">
        <v/>
      </c>
      <c r="T26" s="435"/>
    </row>
    <row r="27" spans="2:22" s="278" customFormat="1" x14ac:dyDescent="0.2">
      <c r="B27" s="161">
        <v>10</v>
      </c>
      <c r="C27" s="142" t="s">
        <v>61</v>
      </c>
      <c r="D27" s="292"/>
      <c r="E27" s="305"/>
      <c r="F27" s="240" t="s">
        <v>268</v>
      </c>
      <c r="G27" s="239" t="str">
        <f>G28</f>
        <v/>
      </c>
      <c r="H27" s="529" t="str">
        <f>IF(ISBLANK(D6),"",IF(CheckRec="x","CHECK INSTRUMENT CAL DATES!!!!             CHECK INSTRUMENT CAL DATES!!!!",""))</f>
        <v/>
      </c>
      <c r="I27" s="530"/>
      <c r="J27" s="530"/>
      <c r="K27" s="530"/>
      <c r="L27" s="304"/>
      <c r="M27" s="303"/>
      <c r="N27" s="408">
        <v>23</v>
      </c>
      <c r="O27" s="146"/>
      <c r="P27" s="464" t="str">
        <v/>
      </c>
      <c r="Q27" s="465"/>
      <c r="R27" s="463" t="e">
        <v>#VALUE!</v>
      </c>
      <c r="S27" s="147" t="str">
        <v/>
      </c>
      <c r="T27" s="435"/>
    </row>
    <row r="28" spans="2:22" s="278" customFormat="1" x14ac:dyDescent="0.2">
      <c r="B28" s="162">
        <v>30</v>
      </c>
      <c r="C28" s="158" t="s">
        <v>62</v>
      </c>
      <c r="D28" s="292"/>
      <c r="E28" s="305"/>
      <c r="F28" s="240" t="s">
        <v>269</v>
      </c>
      <c r="G28" s="239" t="str">
        <f>IF(CheckRec="y","Cal by Customer",IF(D$3,D$3,""))</f>
        <v/>
      </c>
      <c r="H28" s="529"/>
      <c r="I28" s="530"/>
      <c r="J28" s="530"/>
      <c r="K28" s="530"/>
      <c r="L28" s="304"/>
      <c r="M28" s="303"/>
      <c r="N28" s="408">
        <v>24</v>
      </c>
      <c r="O28" s="146"/>
      <c r="P28" s="464" t="str">
        <v/>
      </c>
      <c r="Q28" s="465"/>
      <c r="R28" s="463"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4" t="str">
        <v/>
      </c>
      <c r="Q29" s="465"/>
      <c r="R29" s="463"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4" t="str">
        <v/>
      </c>
      <c r="Q30" s="465"/>
      <c r="R30" s="463"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4" t="str">
        <v/>
      </c>
      <c r="Q31" s="465"/>
      <c r="R31" s="463"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4" t="str">
        <v/>
      </c>
      <c r="Q32" s="465"/>
      <c r="R32" s="463"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4" t="str">
        <v/>
      </c>
      <c r="Q33" s="465"/>
      <c r="R33" s="463" t="e">
        <v>#VALUE!</v>
      </c>
      <c r="S33" s="147" t="str">
        <v/>
      </c>
      <c r="T33" s="435"/>
    </row>
    <row r="34" spans="1:24" s="278" customFormat="1" ht="12.75" customHeight="1" x14ac:dyDescent="0.2">
      <c r="A34" s="321"/>
      <c r="B34" s="495" t="s">
        <v>49</v>
      </c>
      <c r="C34" s="496"/>
      <c r="D34" s="496"/>
      <c r="E34" s="496"/>
      <c r="F34" s="496"/>
      <c r="G34" s="496"/>
      <c r="H34" s="496"/>
      <c r="I34" s="496"/>
      <c r="J34" s="496"/>
      <c r="K34" s="496"/>
      <c r="L34" s="497"/>
      <c r="M34" s="303"/>
      <c r="N34" s="408">
        <v>30</v>
      </c>
      <c r="O34" s="146"/>
      <c r="P34" s="464" t="str">
        <v/>
      </c>
      <c r="Q34" s="465"/>
      <c r="R34" s="463"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4" t="str">
        <v/>
      </c>
      <c r="Q35" s="465"/>
      <c r="R35" s="463"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4" t="str">
        <v/>
      </c>
      <c r="Q36" s="465"/>
      <c r="R36" s="463" t="e">
        <v>#VALUE!</v>
      </c>
      <c r="S36" s="147" t="str">
        <v/>
      </c>
      <c r="T36" s="436"/>
    </row>
    <row r="37" spans="1:24" s="278" customFormat="1" x14ac:dyDescent="0.2">
      <c r="A37" s="466" t="str">
        <f t="shared" ref="A37:A44" si="0">IF(B37,1,"")</f>
        <v/>
      </c>
      <c r="B37" s="467"/>
      <c r="C37" s="448"/>
      <c r="D37" s="449"/>
      <c r="E37" s="449"/>
      <c r="F37" s="449"/>
      <c r="G37" s="449"/>
      <c r="H37" s="449"/>
      <c r="I37" s="450"/>
      <c r="J37" s="450"/>
      <c r="K37" s="450"/>
      <c r="L37" s="450"/>
      <c r="M37" s="303"/>
      <c r="N37" s="408">
        <v>33</v>
      </c>
      <c r="O37" s="146"/>
      <c r="P37" s="464" t="str">
        <v/>
      </c>
      <c r="Q37" s="465"/>
      <c r="R37" s="463" t="e">
        <v>#VALUE!</v>
      </c>
      <c r="S37" s="147" t="str">
        <v/>
      </c>
      <c r="T37" s="436"/>
    </row>
    <row r="38" spans="1:24" s="278" customFormat="1" x14ac:dyDescent="0.2">
      <c r="A38" s="466" t="str">
        <f t="shared" si="0"/>
        <v/>
      </c>
      <c r="B38" s="468"/>
      <c r="C38" s="451"/>
      <c r="D38" s="449"/>
      <c r="E38" s="449"/>
      <c r="F38" s="449"/>
      <c r="G38" s="449"/>
      <c r="H38" s="449"/>
      <c r="I38" s="450"/>
      <c r="J38" s="450"/>
      <c r="K38" s="450"/>
      <c r="L38" s="450"/>
      <c r="M38" s="303"/>
      <c r="N38" s="408">
        <v>34</v>
      </c>
      <c r="O38" s="146"/>
      <c r="P38" s="464" t="str">
        <v/>
      </c>
      <c r="Q38" s="465"/>
      <c r="R38" s="463" t="e">
        <v>#VALUE!</v>
      </c>
      <c r="S38" s="147" t="str">
        <v/>
      </c>
      <c r="T38" s="436"/>
    </row>
    <row r="39" spans="1:24" s="278" customFormat="1" x14ac:dyDescent="0.2">
      <c r="A39" s="466" t="str">
        <f t="shared" si="0"/>
        <v/>
      </c>
      <c r="B39" s="468"/>
      <c r="C39" s="451"/>
      <c r="D39" s="449"/>
      <c r="E39" s="449"/>
      <c r="F39" s="449"/>
      <c r="G39" s="449"/>
      <c r="H39" s="450"/>
      <c r="I39" s="450"/>
      <c r="J39" s="450"/>
      <c r="K39" s="450"/>
      <c r="L39" s="450"/>
      <c r="M39" s="303"/>
      <c r="N39" s="408">
        <v>35</v>
      </c>
      <c r="O39" s="146"/>
      <c r="P39" s="464" t="str">
        <v/>
      </c>
      <c r="Q39" s="465"/>
      <c r="R39" s="463" t="e">
        <v>#VALUE!</v>
      </c>
      <c r="S39" s="147" t="str">
        <v/>
      </c>
      <c r="T39" s="436"/>
    </row>
    <row r="40" spans="1:24" s="278" customFormat="1" x14ac:dyDescent="0.2">
      <c r="A40" s="466" t="str">
        <f t="shared" si="0"/>
        <v/>
      </c>
      <c r="B40" s="468"/>
      <c r="C40" s="451"/>
      <c r="D40" s="449"/>
      <c r="E40" s="449"/>
      <c r="F40" s="449"/>
      <c r="G40" s="449"/>
      <c r="H40" s="450"/>
      <c r="I40" s="450"/>
      <c r="J40" s="450"/>
      <c r="K40" s="450"/>
      <c r="L40" s="450"/>
      <c r="M40" s="303"/>
      <c r="N40" s="408">
        <v>36</v>
      </c>
      <c r="O40" s="146"/>
      <c r="P40" s="464" t="str">
        <v/>
      </c>
      <c r="Q40" s="465"/>
      <c r="R40" s="463" t="e">
        <v>#VALUE!</v>
      </c>
      <c r="S40" s="147" t="str">
        <v/>
      </c>
      <c r="T40" s="436"/>
    </row>
    <row r="41" spans="1:24" s="278" customFormat="1" x14ac:dyDescent="0.2">
      <c r="A41" s="466" t="str">
        <f t="shared" si="0"/>
        <v/>
      </c>
      <c r="B41" s="469"/>
      <c r="C41" s="452"/>
      <c r="D41" s="453"/>
      <c r="E41" s="453"/>
      <c r="F41" s="453"/>
      <c r="G41" s="453"/>
      <c r="H41" s="453"/>
      <c r="I41" s="453"/>
      <c r="J41" s="453"/>
      <c r="K41" s="453"/>
      <c r="L41" s="453"/>
      <c r="M41" s="303"/>
      <c r="N41" s="408">
        <v>37</v>
      </c>
      <c r="O41" s="146"/>
      <c r="P41" s="464" t="str">
        <v/>
      </c>
      <c r="Q41" s="465"/>
      <c r="R41" s="463" t="e">
        <v>#VALUE!</v>
      </c>
      <c r="S41" s="147" t="str">
        <v/>
      </c>
      <c r="T41" s="436"/>
    </row>
    <row r="42" spans="1:24" s="278" customFormat="1" x14ac:dyDescent="0.2">
      <c r="A42" s="466" t="str">
        <f t="shared" si="0"/>
        <v/>
      </c>
      <c r="B42" s="469"/>
      <c r="C42" s="452"/>
      <c r="D42" s="453"/>
      <c r="E42" s="453"/>
      <c r="F42" s="453"/>
      <c r="G42" s="453"/>
      <c r="H42" s="453"/>
      <c r="I42" s="453"/>
      <c r="J42" s="453"/>
      <c r="K42" s="453"/>
      <c r="L42" s="453"/>
      <c r="M42" s="303"/>
      <c r="N42" s="408">
        <v>38</v>
      </c>
      <c r="O42" s="146"/>
      <c r="P42" s="464" t="str">
        <v/>
      </c>
      <c r="Q42" s="465"/>
      <c r="R42" s="463" t="e">
        <v>#VALUE!</v>
      </c>
      <c r="S42" s="147" t="str">
        <v/>
      </c>
      <c r="T42" s="436"/>
    </row>
    <row r="43" spans="1:24" s="278" customFormat="1" x14ac:dyDescent="0.2">
      <c r="A43" s="466" t="str">
        <f t="shared" si="0"/>
        <v/>
      </c>
      <c r="B43" s="469"/>
      <c r="C43" s="452"/>
      <c r="D43" s="453"/>
      <c r="E43" s="453"/>
      <c r="F43" s="453"/>
      <c r="G43" s="453"/>
      <c r="H43" s="453"/>
      <c r="I43" s="453"/>
      <c r="J43" s="453"/>
      <c r="K43" s="453"/>
      <c r="L43" s="453"/>
      <c r="M43" s="303"/>
      <c r="N43" s="408">
        <v>39</v>
      </c>
      <c r="O43" s="146"/>
      <c r="P43" s="464" t="str">
        <v/>
      </c>
      <c r="Q43" s="465"/>
      <c r="R43" s="463" t="e">
        <v>#VALUE!</v>
      </c>
      <c r="S43" s="147" t="str">
        <v/>
      </c>
      <c r="T43" s="436"/>
    </row>
    <row r="44" spans="1:24" s="278" customFormat="1" x14ac:dyDescent="0.2">
      <c r="A44" s="466" t="str">
        <f t="shared" si="0"/>
        <v/>
      </c>
      <c r="B44" s="469"/>
      <c r="C44" s="452"/>
      <c r="D44" s="453"/>
      <c r="E44" s="453"/>
      <c r="F44" s="453"/>
      <c r="G44" s="453"/>
      <c r="H44" s="453"/>
      <c r="I44" s="453"/>
      <c r="J44" s="453"/>
      <c r="K44" s="453"/>
      <c r="L44" s="453"/>
      <c r="M44" s="303"/>
      <c r="N44" s="408">
        <v>40</v>
      </c>
      <c r="O44" s="146"/>
      <c r="P44" s="464" t="str">
        <v/>
      </c>
      <c r="Q44" s="465"/>
      <c r="R44" s="463"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8"/>
      <c r="T45" s="305"/>
      <c r="X45" s="458"/>
    </row>
    <row r="46" spans="1:24" x14ac:dyDescent="0.2">
      <c r="A46" s="325"/>
      <c r="B46" s="345"/>
      <c r="C46" s="346"/>
      <c r="D46" s="520" t="s">
        <v>33</v>
      </c>
      <c r="E46" s="521"/>
      <c r="F46" s="521"/>
      <c r="G46" s="521"/>
      <c r="H46" s="521"/>
      <c r="I46" s="522"/>
      <c r="J46" s="347"/>
      <c r="K46" s="347"/>
      <c r="L46" s="347"/>
      <c r="M46" s="537" t="s">
        <v>326</v>
      </c>
      <c r="N46" s="538"/>
      <c r="O46" s="539"/>
      <c r="P46" s="540"/>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7" t="s">
        <v>329</v>
      </c>
      <c r="Q47" s="527"/>
      <c r="R47" s="388" t="s">
        <v>330</v>
      </c>
      <c r="T47" s="307"/>
      <c r="U47" s="307"/>
    </row>
    <row r="48" spans="1:24" x14ac:dyDescent="0.2">
      <c r="A48" s="321"/>
      <c r="B48" s="345"/>
      <c r="C48" s="386" t="s">
        <v>34</v>
      </c>
      <c r="D48" s="290"/>
      <c r="E48" s="290"/>
      <c r="F48" s="290"/>
      <c r="G48" s="290"/>
      <c r="H48" s="290"/>
      <c r="I48" s="290"/>
      <c r="J48" s="347"/>
      <c r="K48" s="347"/>
      <c r="L48" s="347"/>
      <c r="M48" s="528" t="s">
        <v>331</v>
      </c>
      <c r="N48" s="528"/>
      <c r="O48" s="349"/>
      <c r="P48" s="487" t="s">
        <v>377</v>
      </c>
      <c r="Q48" s="488"/>
      <c r="R48" s="489"/>
      <c r="S48" s="457" t="b">
        <f>_xlfn.REGEXTEST(TRIM(Class),"^[0-9][AC]",1)</f>
        <v>0</v>
      </c>
      <c r="T48" s="308"/>
      <c r="U48" s="487" t="s">
        <v>380</v>
      </c>
      <c r="V48" s="488"/>
      <c r="W48" s="489"/>
      <c r="X48" s="457" t="b">
        <f>_xlfn.REGEXTEST(TRIM(Class),"^[0-9][AC]",1)</f>
        <v>0</v>
      </c>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0" t="s">
        <v>382</v>
      </c>
      <c r="Q49" s="491"/>
      <c r="R49" s="492"/>
      <c r="S49" s="389" t="str">
        <f>IF(_xlfn.REGEXTEST(TRIM(Class),"^[0-9][AC]",1),
  IF(L4&lt;=HalfTolMax,"Yes","No"),
"N/A")</f>
        <v>N/A</v>
      </c>
      <c r="T49" s="309"/>
      <c r="U49" s="490" t="s">
        <v>381</v>
      </c>
      <c r="V49" s="491"/>
      <c r="W49" s="492"/>
      <c r="X49" s="389" t="str">
        <f>IF(_xlfn.REGEXTEST(TRIM(Class),"^[0-9][AC]",1),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78" t="s">
        <v>334</v>
      </c>
      <c r="Q50" s="479"/>
      <c r="R50" s="480"/>
      <c r="S50" s="350"/>
      <c r="T50" s="310"/>
      <c r="U50" s="478" t="s">
        <v>334</v>
      </c>
      <c r="V50" s="479"/>
      <c r="W50" s="480"/>
      <c r="X50" s="307"/>
    </row>
    <row r="51" spans="3:24" x14ac:dyDescent="0.2">
      <c r="C51" s="385" t="s">
        <v>57</v>
      </c>
      <c r="D51" s="290"/>
      <c r="E51" s="290"/>
      <c r="F51" s="290"/>
      <c r="G51" s="290"/>
      <c r="H51" s="290"/>
      <c r="I51" s="290"/>
      <c r="J51" s="347"/>
      <c r="K51" s="351"/>
      <c r="L51" s="347"/>
      <c r="M51" s="372" t="s">
        <v>335</v>
      </c>
      <c r="N51" s="300" t="str">
        <f>IF(Derivative="","",Derivative)</f>
        <v/>
      </c>
      <c r="O51" s="303"/>
      <c r="P51" s="490" t="s">
        <v>378</v>
      </c>
      <c r="Q51" s="491"/>
      <c r="R51" s="492"/>
      <c r="S51" s="389"/>
      <c r="T51" s="311"/>
      <c r="U51" s="490" t="s">
        <v>383</v>
      </c>
      <c r="V51" s="491"/>
      <c r="W51" s="492"/>
      <c r="X51" s="389"/>
    </row>
    <row r="52" spans="3:24" x14ac:dyDescent="0.2">
      <c r="C52" s="385" t="s">
        <v>341</v>
      </c>
      <c r="D52" s="290"/>
      <c r="E52" s="290"/>
      <c r="F52" s="290"/>
      <c r="G52" s="290"/>
      <c r="H52" s="290"/>
      <c r="I52" s="290"/>
      <c r="J52" s="347"/>
      <c r="K52" s="351"/>
      <c r="L52" s="347"/>
      <c r="M52" s="372" t="s">
        <v>336</v>
      </c>
      <c r="N52" s="300" t="str">
        <f>IF(Other1="","",Other1)</f>
        <v/>
      </c>
      <c r="O52" s="317"/>
      <c r="P52" s="478" t="s">
        <v>334</v>
      </c>
      <c r="Q52" s="479"/>
      <c r="R52" s="480"/>
      <c r="S52" s="350"/>
      <c r="T52" s="312"/>
      <c r="U52" s="478" t="s">
        <v>334</v>
      </c>
      <c r="V52" s="479"/>
      <c r="W52" s="480"/>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1" t="s">
        <v>379</v>
      </c>
      <c r="Q53" s="482"/>
      <c r="R53" s="483"/>
      <c r="S53" s="389"/>
      <c r="T53" s="313"/>
      <c r="U53" s="481" t="s">
        <v>384</v>
      </c>
      <c r="V53" s="482"/>
      <c r="W53" s="483"/>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4"/>
      <c r="Q54" s="485"/>
      <c r="R54" s="486"/>
      <c r="S54" s="354"/>
      <c r="T54" s="314"/>
      <c r="U54" s="484"/>
      <c r="V54" s="485"/>
      <c r="W54" s="486"/>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f>MAX(Survey[RawTemp])</f>
        <v>0</v>
      </c>
      <c r="Q56" s="391" t="str" cm="1">
        <f t="array" ref="Q56">_xlfn.TEXTJOIN(", ",TRUE, _xlfn.UNIQUE(TEXT(Alerts[High],"h:mm am/pm")))</f>
        <v/>
      </c>
      <c r="R56" s="392"/>
      <c r="S56" s="358"/>
      <c r="T56" s="316"/>
      <c r="U56" s="393">
        <f>MIN(Survey[RawTemp])</f>
        <v>0</v>
      </c>
      <c r="V56" s="391" t="str" cm="1">
        <f t="array" ref="V56">_xlfn.TEXTJOIN(", ",TRUE, _xlfn.UNIQUE(TEXT(Alerts[Low],"h:mm am/pm")))</f>
        <v/>
      </c>
      <c r="W56" s="390"/>
    </row>
    <row r="57" spans="3:24" x14ac:dyDescent="0.2">
      <c r="C57" s="240" t="s">
        <v>342</v>
      </c>
      <c r="D57" s="291"/>
      <c r="E57" s="291"/>
      <c r="F57" s="291"/>
      <c r="G57" s="291"/>
      <c r="H57" s="291"/>
      <c r="I57" s="291"/>
      <c r="J57" s="303"/>
      <c r="K57" s="382"/>
      <c r="L57" s="383"/>
      <c r="M57" s="384" t="s">
        <v>366</v>
      </c>
      <c r="N57" s="299">
        <v>0</v>
      </c>
      <c r="O57" s="305"/>
      <c r="P57" s="303"/>
      <c r="Q57" s="459"/>
      <c r="S57" s="303"/>
      <c r="V57" s="459"/>
    </row>
    <row r="58" spans="3:24" x14ac:dyDescent="0.2">
      <c r="C58" s="520" t="s">
        <v>156</v>
      </c>
      <c r="D58" s="521"/>
      <c r="E58" s="521"/>
      <c r="F58" s="521"/>
      <c r="G58" s="521"/>
      <c r="H58" s="521"/>
      <c r="I58" s="521"/>
      <c r="J58" s="521"/>
      <c r="K58" s="525"/>
      <c r="L58" s="526"/>
      <c r="M58" s="307"/>
      <c r="N58" s="307"/>
      <c r="O58" s="307"/>
      <c r="P58" s="303"/>
      <c r="Q58" s="461"/>
      <c r="S58" s="307"/>
      <c r="T58" s="307"/>
      <c r="U58" s="307"/>
      <c r="V58" s="459"/>
    </row>
    <row r="59" spans="3:24" x14ac:dyDescent="0.2">
      <c r="C59" s="520" t="s">
        <v>159</v>
      </c>
      <c r="D59" s="521"/>
      <c r="E59" s="521"/>
      <c r="F59" s="521"/>
      <c r="G59" s="521"/>
      <c r="H59" s="521"/>
      <c r="I59" s="521"/>
      <c r="J59" s="521"/>
      <c r="K59" s="521"/>
      <c r="L59" s="522"/>
      <c r="M59" s="307"/>
      <c r="N59" s="317" t="str">
        <f>"DOORS OPENED FOR " &amp;L16&amp; " SECONDS TO SIMULATE LOAD ENTRY AT " &amp;L17&amp; "."</f>
        <v>DOORS OPENED FOR  SECONDS TO SIMULATE LOAD ENTRY AT .</v>
      </c>
      <c r="O59" s="317"/>
      <c r="P59" s="317"/>
      <c r="Q59" s="460"/>
      <c r="R59" s="317"/>
      <c r="S59" s="317"/>
      <c r="T59" s="317"/>
      <c r="U59" s="317"/>
      <c r="V59" s="460"/>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60"/>
      <c r="R60" s="317"/>
      <c r="S60" s="317"/>
      <c r="T60" s="317"/>
      <c r="U60" s="317"/>
      <c r="V60" s="460"/>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60"/>
      <c r="R61" s="317"/>
      <c r="S61" s="317"/>
      <c r="T61" s="317"/>
      <c r="U61" s="317"/>
      <c r="V61" s="460"/>
    </row>
    <row r="62" spans="3:24" x14ac:dyDescent="0.2">
      <c r="C62" s="319"/>
      <c r="D62" s="303"/>
      <c r="E62" s="303"/>
      <c r="F62" s="307" t="s">
        <v>361</v>
      </c>
      <c r="G62" s="341"/>
      <c r="H62" s="341"/>
      <c r="I62" s="341"/>
      <c r="J62" s="303"/>
      <c r="K62" s="303"/>
      <c r="L62" s="303"/>
      <c r="M62" s="361"/>
      <c r="N62" s="360"/>
      <c r="O62" s="360"/>
      <c r="P62" s="317"/>
      <c r="Q62" s="460"/>
      <c r="R62" s="317"/>
      <c r="S62" s="317"/>
      <c r="T62" s="317"/>
      <c r="U62" s="317"/>
      <c r="V62" s="460"/>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c r="F75" s="385" t="s">
        <v>961</v>
      </c>
      <c r="G75" s="447">
        <f>G74*MAX(NominalTemp/1000,1)</f>
        <v>0</v>
      </c>
    </row>
  </sheetData>
  <sheetProtection algorithmName="SHA-512" hashValue="+CNHg4G1WIErh/jTxpJgUJLqAfbeA17vqcIjGsPa9BAX2a31i7Fn+YV65/CLb/r/05OGHU3pNPl/pF2JkUVJ6Q==" saltValue="jRUEWHBZTeMYmXxtoxx8wQ=="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N7ovLL0KEGqyi+O2H9S2yeNNOatuu+Msit5NZCotCSBDiT8OlJEeDAe8tNqvk/YX9iYYxW+bBpzQTZ5JT/7rGg==" saltValue="Mm3+0dsovb3Wb2T5u/esc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G6pGj5gQ/4tOcSlWGBDWiDNuTVHvWBX38gUowvqkRT27o393OQptiPKunh3jqmt/W8bfMtmohFCOkjVrXnaWsA==" saltValue="bJXV5PZSdClqOrFWlMslQ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DwcFS2Y/gnYzBlEeeFwnVslqQTZVM9yieKCfiZJvilVcdLj+d5Pa77Imy3cH+DZ3wHCkD4zO1Q2/OxfAAAdiaw==" saltValue="zjFTsuyxA3L3v/llZbNPH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1" t="s">
        <v>116</v>
      </c>
      <c r="E1" s="561"/>
      <c r="F1" s="561"/>
      <c r="G1" s="561"/>
      <c r="H1" s="561"/>
      <c r="I1" s="561"/>
      <c r="J1" s="561"/>
      <c r="K1" s="561"/>
      <c r="L1" s="561"/>
      <c r="M1" s="561"/>
    </row>
    <row r="2" spans="1:18" ht="23.25" customHeight="1" x14ac:dyDescent="0.3">
      <c r="C2" s="230"/>
      <c r="D2" s="230" t="s">
        <v>319</v>
      </c>
      <c r="E2" s="230"/>
      <c r="F2" s="230"/>
      <c r="G2" s="230"/>
      <c r="H2" s="230"/>
      <c r="I2" s="230"/>
      <c r="J2" s="230"/>
      <c r="K2" s="230"/>
      <c r="L2" s="230"/>
      <c r="M2" s="230"/>
    </row>
    <row r="3" spans="1:18" ht="23.25" x14ac:dyDescent="0.35">
      <c r="C3" s="562"/>
      <c r="D3" s="562"/>
      <c r="E3" s="562"/>
      <c r="F3" s="562"/>
      <c r="G3" s="562"/>
      <c r="H3" s="562"/>
      <c r="I3" s="562"/>
      <c r="J3" s="562"/>
      <c r="K3" s="562"/>
      <c r="L3" s="562"/>
      <c r="M3" s="562"/>
    </row>
    <row r="4" spans="1:18" ht="23.25" x14ac:dyDescent="0.35">
      <c r="C4" s="214"/>
      <c r="D4" s="214"/>
      <c r="E4" s="214"/>
      <c r="F4" s="214"/>
      <c r="G4" s="214"/>
      <c r="H4" s="214"/>
      <c r="I4" s="214"/>
      <c r="J4" s="214"/>
      <c r="K4" s="214"/>
      <c r="L4" s="214"/>
      <c r="M4" s="214"/>
    </row>
    <row r="5" spans="1:18" ht="23.25" x14ac:dyDescent="0.35">
      <c r="C5" s="579" t="s">
        <v>6</v>
      </c>
      <c r="D5" s="579"/>
      <c r="E5" s="579"/>
      <c r="F5" s="579"/>
      <c r="G5" s="579"/>
      <c r="H5" s="579"/>
      <c r="I5" s="579"/>
      <c r="J5" s="579"/>
      <c r="K5" s="579"/>
      <c r="L5" s="579"/>
      <c r="M5" s="579"/>
    </row>
    <row r="6" spans="1:18" ht="23.25" x14ac:dyDescent="0.35">
      <c r="C6" s="215"/>
      <c r="D6" s="215"/>
      <c r="E6" s="545" t="str">
        <f>IFERROR(CONCATENATE("Report Number: ", WorkItemNumber),"")</f>
        <v/>
      </c>
      <c r="F6" s="545"/>
      <c r="G6" s="545"/>
      <c r="H6" s="545"/>
      <c r="I6" s="545"/>
      <c r="J6" s="545"/>
      <c r="K6" s="545"/>
      <c r="L6" s="215"/>
      <c r="M6" s="215"/>
    </row>
    <row r="7" spans="1:18" ht="18.75" customHeight="1" x14ac:dyDescent="0.3">
      <c r="G7" s="557"/>
      <c r="H7" s="557"/>
      <c r="I7" s="192"/>
      <c r="R7" t="str">
        <f>CONCATENATE("Page ",Main!L9," of ",Main!L10)</f>
        <v xml:space="preserve">Page  of </v>
      </c>
    </row>
    <row r="8" spans="1:18" ht="18" customHeight="1" x14ac:dyDescent="0.25">
      <c r="G8" s="574"/>
      <c r="H8" s="574"/>
      <c r="J8" s="79"/>
      <c r="K8" s="216" t="s">
        <v>316</v>
      </c>
      <c r="L8" s="558">
        <f>FormNumber</f>
        <v>0</v>
      </c>
      <c r="M8" s="558"/>
      <c r="N8" s="558"/>
      <c r="O8" s="558"/>
    </row>
    <row r="9" spans="1:18" ht="18" customHeight="1" x14ac:dyDescent="0.25">
      <c r="A9" s="216" t="s">
        <v>273</v>
      </c>
      <c r="B9" s="33" t="e">
        <f>Main!D5</f>
        <v>#N/A</v>
      </c>
      <c r="J9" s="79"/>
      <c r="K9" s="216" t="s">
        <v>317</v>
      </c>
      <c r="L9" s="559" t="str">
        <f>"JGI WP4100, "&amp;CalMethod</f>
        <v xml:space="preserve">JGI WP4100, </v>
      </c>
      <c r="M9" s="559"/>
      <c r="N9" s="559"/>
      <c r="O9" s="559"/>
    </row>
    <row r="10" spans="1:18" ht="18" customHeight="1" x14ac:dyDescent="0.25">
      <c r="A10" s="87"/>
      <c r="B10" s="211" t="str" cm="1">
        <f t="array" ref="B10">IFZERO('Customer Table'!R2,"")</f>
        <v/>
      </c>
      <c r="J10" s="79"/>
      <c r="K10" s="216"/>
      <c r="L10" s="559"/>
      <c r="M10" s="559"/>
      <c r="N10" s="559"/>
      <c r="O10" s="559"/>
    </row>
    <row r="11" spans="1:18" ht="18" customHeight="1" x14ac:dyDescent="0.25">
      <c r="A11" s="87"/>
      <c r="B11" s="211" t="str" cm="1">
        <f t="array" ref="B11">IFZERO('Customer Table'!S2,"")</f>
        <v/>
      </c>
      <c r="J11" s="79"/>
      <c r="K11" s="216" t="s">
        <v>318</v>
      </c>
      <c r="L11" s="558">
        <f>TolSource</f>
        <v>0</v>
      </c>
      <c r="M11" s="558"/>
      <c r="N11" s="558"/>
      <c r="O11" s="558"/>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5">
        <f>Class</f>
        <v>0</v>
      </c>
      <c r="C18" s="565"/>
      <c r="D18" s="565"/>
      <c r="E18" s="565"/>
      <c r="G18" s="216" t="s">
        <v>283</v>
      </c>
      <c r="H18" s="220">
        <f>CubicFeet</f>
        <v>0</v>
      </c>
      <c r="M18" s="216" t="s">
        <v>287</v>
      </c>
      <c r="N18" s="220" t="str">
        <f>Main!G18</f>
        <v>ACCEPTED</v>
      </c>
      <c r="O18" s="195"/>
    </row>
    <row r="19" spans="1:19" ht="18" customHeight="1" x14ac:dyDescent="0.25">
      <c r="A19" s="206"/>
      <c r="B19" s="566"/>
      <c r="C19" s="566"/>
      <c r="D19" s="566"/>
      <c r="E19" s="56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5" t="s">
        <v>301</v>
      </c>
      <c r="D27" s="575"/>
      <c r="E27" s="575"/>
      <c r="F27" s="575"/>
      <c r="G27" s="575"/>
      <c r="H27" s="575"/>
      <c r="I27" s="575"/>
      <c r="J27" s="575"/>
      <c r="K27" s="575"/>
      <c r="L27" s="575"/>
      <c r="M27" s="575"/>
      <c r="N27" s="196"/>
      <c r="O27" s="197"/>
    </row>
    <row r="28" spans="1:19" ht="8.1" customHeight="1" x14ac:dyDescent="0.2"/>
    <row r="29" spans="1:19" ht="18" customHeight="1" x14ac:dyDescent="0.2">
      <c r="A29" s="571" t="s">
        <v>271</v>
      </c>
      <c r="B29" s="572"/>
      <c r="C29" s="573"/>
      <c r="D29" s="571" t="s">
        <v>302</v>
      </c>
      <c r="E29" s="572"/>
      <c r="F29" s="572"/>
      <c r="G29" s="573"/>
      <c r="H29" s="571" t="s">
        <v>272</v>
      </c>
      <c r="I29" s="572"/>
      <c r="J29" s="572"/>
      <c r="K29" s="573"/>
      <c r="L29" s="571" t="s">
        <v>255</v>
      </c>
      <c r="M29" s="572"/>
      <c r="N29" s="572"/>
      <c r="O29" s="573"/>
    </row>
    <row r="30" spans="1:19" ht="18" customHeight="1" x14ac:dyDescent="0.2">
      <c r="A30" s="212"/>
      <c r="B30" s="202" t="s">
        <v>952</v>
      </c>
      <c r="C30" s="213"/>
      <c r="D30" s="568" t="str">
        <f>CONCATENATE(Main!D22,Unit," / ",Main!D23,"% RH")</f>
        <v>°F / % RH</v>
      </c>
      <c r="E30" s="569"/>
      <c r="F30" s="569"/>
      <c r="G30" s="570"/>
      <c r="H30" s="568">
        <f>OvenLocation</f>
        <v>0</v>
      </c>
      <c r="I30" s="569"/>
      <c r="J30" s="569"/>
      <c r="K30" s="570"/>
      <c r="L30" s="568">
        <f>Condition</f>
        <v>0</v>
      </c>
      <c r="M30" s="569"/>
      <c r="N30" s="569"/>
      <c r="O30" s="570"/>
    </row>
    <row r="31" spans="1:19" ht="18" customHeight="1" x14ac:dyDescent="0.2"/>
    <row r="32" spans="1:19" ht="18" customHeight="1" x14ac:dyDescent="0.25">
      <c r="A32" s="235" t="s">
        <v>303</v>
      </c>
      <c r="B32" s="560" t="s">
        <v>304</v>
      </c>
      <c r="C32" s="560"/>
      <c r="D32" s="235" t="s">
        <v>267</v>
      </c>
      <c r="E32" s="235" t="s">
        <v>266</v>
      </c>
      <c r="F32" s="235" t="s">
        <v>305</v>
      </c>
      <c r="G32" s="79"/>
      <c r="H32" s="79"/>
      <c r="I32" s="235" t="s">
        <v>303</v>
      </c>
      <c r="J32" s="560" t="s">
        <v>304</v>
      </c>
      <c r="K32" s="560"/>
      <c r="L32" s="235" t="s">
        <v>267</v>
      </c>
      <c r="M32" s="235" t="s">
        <v>266</v>
      </c>
      <c r="N32" s="235" t="s">
        <v>305</v>
      </c>
    </row>
    <row r="33" spans="1:14" ht="18" customHeight="1" x14ac:dyDescent="0.2">
      <c r="A33" s="236" t="str">
        <f>IF(B33="","",1)</f>
        <v/>
      </c>
      <c r="B33" s="557" t="str">
        <f>IF(Main!O5="","",Main!O5)</f>
        <v/>
      </c>
      <c r="C33" s="55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57" t="str">
        <f>IF(Main!O25="","",Main!O25)</f>
        <v/>
      </c>
      <c r="K33" s="55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57" t="str">
        <f>IF(Main!O6="","",Main!O6)</f>
        <v/>
      </c>
      <c r="C34" s="55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57" t="str">
        <f>IF(Main!O26="","",Main!O26)</f>
        <v/>
      </c>
      <c r="K34" s="55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57" t="str">
        <f>IF(Main!O7="","",Main!O7)</f>
        <v/>
      </c>
      <c r="C35" s="55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57" t="str">
        <f>IF(Main!O27="","",Main!O27)</f>
        <v/>
      </c>
      <c r="K35" s="55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57" t="str">
        <f>IF(Main!O8="","",Main!O8)</f>
        <v/>
      </c>
      <c r="C36" s="55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57" t="str">
        <f>IF(Main!O28="","",Main!O28)</f>
        <v/>
      </c>
      <c r="K36" s="55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57" t="str">
        <f>IF(Main!O9="","",Main!O9)</f>
        <v/>
      </c>
      <c r="C37" s="55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57" t="str">
        <f>IF(Main!O29="","",Main!O29)</f>
        <v/>
      </c>
      <c r="K37" s="55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57" t="str">
        <f>IF(Main!O10="","",Main!O10)</f>
        <v/>
      </c>
      <c r="C38" s="55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57" t="str">
        <f>IF(Main!O30="","",Main!O30)</f>
        <v/>
      </c>
      <c r="K38" s="55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57" t="str">
        <f>IF(Main!O11="","",Main!O11)</f>
        <v/>
      </c>
      <c r="C39" s="55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57" t="str">
        <f>IF(Main!O31="","",Main!O31)</f>
        <v/>
      </c>
      <c r="K39" s="55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57" t="str">
        <f>IF(Main!O12="","",Main!O12)</f>
        <v/>
      </c>
      <c r="C40" s="55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57" t="str">
        <f>IF(Main!O32="","",Main!O32)</f>
        <v/>
      </c>
      <c r="K40" s="55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57" t="str">
        <f>IF(Main!O13="","",Main!O13)</f>
        <v/>
      </c>
      <c r="C41" s="55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57" t="str">
        <f>IF(Main!O33="","",Main!O33)</f>
        <v/>
      </c>
      <c r="K41" s="55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57" t="str">
        <f>IF(Main!O14="","",Main!O14)</f>
        <v/>
      </c>
      <c r="C42" s="55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57" t="str">
        <f>IF(Main!O34="","",Main!O34)</f>
        <v/>
      </c>
      <c r="K42" s="55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57" t="str">
        <f>IF(Main!O15="","",Main!O15)</f>
        <v/>
      </c>
      <c r="C43" s="55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57" t="str">
        <f>IF(Main!O35="","",Main!O35)</f>
        <v/>
      </c>
      <c r="K43" s="55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57" t="str">
        <f>IF(Main!O16="","",Main!O16)</f>
        <v/>
      </c>
      <c r="C44" s="55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57" t="str">
        <f>IF(Main!O36="","",Main!O36)</f>
        <v/>
      </c>
      <c r="K44" s="55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57" t="str">
        <f>IF(Main!O17="","",Main!O17)</f>
        <v/>
      </c>
      <c r="C45" s="55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57" t="str">
        <f>IF(Main!O37="","",Main!O37)</f>
        <v/>
      </c>
      <c r="K45" s="55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57" t="str">
        <f>IF(Main!O18="","",Main!O18)</f>
        <v/>
      </c>
      <c r="C46" s="55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57" t="str">
        <f>IF(Main!O38="","",Main!O38)</f>
        <v/>
      </c>
      <c r="K46" s="55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57" t="str">
        <f>IF(Main!O19="","",Main!O19)</f>
        <v/>
      </c>
      <c r="C47" s="55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57" t="str">
        <f>IF(Main!O39="","",Main!O39)</f>
        <v/>
      </c>
      <c r="K47" s="55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57" t="str">
        <f>IF(Main!O20="","",Main!O20)</f>
        <v/>
      </c>
      <c r="C48" s="55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57" t="str">
        <f>IF(Main!O40="","",Main!O40)</f>
        <v/>
      </c>
      <c r="K48" s="55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57" t="str">
        <f>IF(Main!O21="","",Main!O21)</f>
        <v/>
      </c>
      <c r="C49" s="55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57" t="str">
        <f>IF(Main!O41="","",Main!O41)</f>
        <v/>
      </c>
      <c r="K49" s="55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57" t="str">
        <f>IF(Main!O22="","",Main!O22)</f>
        <v/>
      </c>
      <c r="C50" s="55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57" t="str">
        <f>IF(Main!O42="","",Main!O42)</f>
        <v/>
      </c>
      <c r="K50" s="55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57" t="str">
        <f>IF(Main!O23="","",Main!O23)</f>
        <v/>
      </c>
      <c r="C51" s="55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57" t="str">
        <f>IF(Main!O43="","",Main!O43)</f>
        <v/>
      </c>
      <c r="K51" s="55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57" t="str">
        <f>IF(Main!O24="","",Main!O24)</f>
        <v/>
      </c>
      <c r="C52" s="55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57" t="str">
        <f>IF(Main!O44="","",Main!O44)</f>
        <v/>
      </c>
      <c r="K52" s="55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4" t="s">
        <v>306</v>
      </c>
      <c r="C53" s="564"/>
      <c r="D53" s="564"/>
      <c r="E53" s="564"/>
      <c r="F53" s="564"/>
      <c r="G53" s="564"/>
      <c r="H53" s="564"/>
      <c r="I53" s="564"/>
      <c r="J53" s="564"/>
      <c r="K53" s="564"/>
      <c r="L53" s="564"/>
      <c r="M53" s="564"/>
      <c r="N53" s="564"/>
    </row>
    <row r="54" spans="1:21" ht="18" customHeight="1" x14ac:dyDescent="0.25">
      <c r="A54" s="238" t="s">
        <v>307</v>
      </c>
      <c r="B54" s="559" t="str">
        <f>CONCATENATE(Main!G23,"  ",FurnaceSpecificComments,Main!V24)</f>
        <v xml:space="preserve">Found in tolerance.  No adjustment required.  </v>
      </c>
      <c r="C54" s="559"/>
      <c r="D54" s="559"/>
      <c r="E54" s="559"/>
      <c r="F54" s="559"/>
      <c r="G54" s="559"/>
      <c r="H54" s="559"/>
      <c r="I54" s="559"/>
      <c r="J54" s="559"/>
      <c r="K54" s="559"/>
      <c r="L54" s="559"/>
      <c r="M54" s="559"/>
      <c r="N54" s="559"/>
      <c r="O54" s="559"/>
    </row>
    <row r="55" spans="1:21" ht="18" customHeight="1" x14ac:dyDescent="0.25">
      <c r="A55" s="76"/>
      <c r="B55" s="559"/>
      <c r="C55" s="559"/>
      <c r="D55" s="559"/>
      <c r="E55" s="559"/>
      <c r="F55" s="559"/>
      <c r="G55" s="559"/>
      <c r="H55" s="559"/>
      <c r="I55" s="559"/>
      <c r="J55" s="559"/>
      <c r="K55" s="559"/>
      <c r="L55" s="559"/>
      <c r="M55" s="559"/>
      <c r="N55" s="559"/>
      <c r="O55" s="559"/>
    </row>
    <row r="56" spans="1:21" ht="18" customHeight="1" x14ac:dyDescent="0.25">
      <c r="A56" s="76"/>
      <c r="B56" s="559"/>
      <c r="C56" s="559"/>
      <c r="D56" s="559"/>
      <c r="E56" s="559"/>
      <c r="F56" s="559"/>
      <c r="G56" s="559"/>
      <c r="H56" s="559"/>
      <c r="I56" s="559"/>
      <c r="J56" s="559"/>
      <c r="K56" s="559"/>
      <c r="L56" s="559"/>
      <c r="M56" s="559"/>
      <c r="N56" s="559"/>
      <c r="O56" s="559"/>
    </row>
    <row r="57" spans="1:21" ht="18" customHeight="1" x14ac:dyDescent="0.25">
      <c r="A57" s="76"/>
      <c r="B57" s="559"/>
      <c r="C57" s="559"/>
      <c r="D57" s="559"/>
      <c r="E57" s="559"/>
      <c r="F57" s="559"/>
      <c r="G57" s="559"/>
      <c r="H57" s="559"/>
      <c r="I57" s="559"/>
      <c r="J57" s="559"/>
      <c r="K57" s="559"/>
      <c r="L57" s="559"/>
      <c r="M57" s="559"/>
      <c r="N57" s="559"/>
      <c r="O57" s="559"/>
    </row>
    <row r="58" spans="1:21" ht="18" customHeight="1" x14ac:dyDescent="0.25">
      <c r="A58" s="76"/>
      <c r="B58" s="559"/>
      <c r="C58" s="559"/>
      <c r="D58" s="559"/>
      <c r="E58" s="559"/>
      <c r="F58" s="559"/>
      <c r="G58" s="559"/>
      <c r="H58" s="559"/>
      <c r="I58" s="559"/>
      <c r="J58" s="559"/>
      <c r="K58" s="559"/>
      <c r="L58" s="559"/>
      <c r="M58" s="559"/>
      <c r="N58" s="559"/>
      <c r="O58" s="559"/>
    </row>
    <row r="59" spans="1:21" ht="18" customHeight="1" x14ac:dyDescent="0.25">
      <c r="A59" s="76"/>
      <c r="B59" s="559"/>
      <c r="C59" s="559"/>
      <c r="D59" s="559"/>
      <c r="E59" s="559"/>
      <c r="F59" s="559"/>
      <c r="G59" s="559"/>
      <c r="H59" s="559"/>
      <c r="I59" s="559"/>
      <c r="J59" s="559"/>
      <c r="K59" s="559"/>
      <c r="L59" s="559"/>
      <c r="M59" s="559"/>
      <c r="N59" s="559"/>
      <c r="O59" s="559"/>
    </row>
    <row r="60" spans="1:21" ht="18" customHeight="1" x14ac:dyDescent="0.2">
      <c r="A60" s="563" t="s">
        <v>315</v>
      </c>
      <c r="B60" s="563"/>
      <c r="C60" s="563"/>
      <c r="D60" s="563"/>
      <c r="E60" s="563"/>
      <c r="F60" s="563"/>
      <c r="G60" s="563"/>
      <c r="H60" s="563"/>
      <c r="I60" s="563"/>
      <c r="J60" s="563"/>
      <c r="K60" s="563"/>
      <c r="L60" s="563"/>
      <c r="M60" s="563"/>
      <c r="N60" s="563"/>
      <c r="O60" s="563"/>
    </row>
    <row r="61" spans="1:21" ht="18" customHeight="1" x14ac:dyDescent="0.2">
      <c r="A61" s="567" t="s">
        <v>308</v>
      </c>
      <c r="B61" s="567"/>
      <c r="C61" s="567"/>
      <c r="D61" s="567"/>
      <c r="E61" s="567"/>
      <c r="F61" s="556" t="s">
        <v>309</v>
      </c>
      <c r="G61" s="556"/>
      <c r="H61" s="556"/>
      <c r="I61" s="556" t="s">
        <v>310</v>
      </c>
      <c r="J61" s="556"/>
      <c r="K61" s="556" t="s">
        <v>311</v>
      </c>
      <c r="L61" s="556"/>
      <c r="M61" s="556" t="s">
        <v>312</v>
      </c>
      <c r="N61" s="556"/>
      <c r="O61" s="556"/>
      <c r="R61" s="37" t="s">
        <v>852</v>
      </c>
      <c r="T61" s="37" t="s">
        <v>853</v>
      </c>
      <c r="U61" s="37" t="s">
        <v>68</v>
      </c>
    </row>
    <row r="62" spans="1:21" ht="18" customHeight="1" x14ac:dyDescent="0.2">
      <c r="A62" s="546" t="str">
        <f>IF(F62="","",CONCATENATE(T62," - ",R62))</f>
        <v/>
      </c>
      <c r="B62" s="547"/>
      <c r="C62" s="547"/>
      <c r="D62" s="547"/>
      <c r="E62" s="548"/>
      <c r="F62" s="546" t="str" cm="1">
        <f t="array" ref="F62">IFERROR(
  _xlfn.XLOOKUP(
    Main!D9,
    _xlfn._xlws.FILTER(AssetPool[AssetTag], AssetPool[RootCategoryName]= "DAQ Modules"),
    _xlfn._xlws.FILTER(AssetPool[SerialNumber], AssetPool[RootCategoryName]= "DAQ Modules")
  ),
  ""
)</f>
        <v/>
      </c>
      <c r="G62" s="547"/>
      <c r="H62" s="548"/>
      <c r="I62" s="552" t="str">
        <f>IF(F62="","",Main!D12)</f>
        <v/>
      </c>
      <c r="J62" s="553"/>
      <c r="K62" s="552" t="str">
        <f>IF(F62="","",Main!D13)</f>
        <v/>
      </c>
      <c r="L62" s="553"/>
      <c r="M62" s="580" t="str">
        <f>IF(F62="","",Main!D14)</f>
        <v/>
      </c>
      <c r="N62" s="581"/>
      <c r="O62" s="582"/>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54" t="str">
        <f>IF(Q63="","",Main!D49)</f>
        <v/>
      </c>
      <c r="J63" s="555"/>
      <c r="K63" s="554" t="str">
        <f>IF(Q63="","",Main!D50)</f>
        <v/>
      </c>
      <c r="L63" s="555"/>
      <c r="M63" s="549" t="str">
        <f>IF(Q63="","",Main!D54)</f>
        <v/>
      </c>
      <c r="N63" s="550"/>
      <c r="O63" s="55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54" t="str">
        <f>IF(Q64="","",Main!E49)</f>
        <v/>
      </c>
      <c r="J64" s="555"/>
      <c r="K64" s="554" t="str">
        <f>IF(Q64="","",Main!E50)</f>
        <v/>
      </c>
      <c r="L64" s="555"/>
      <c r="M64" s="549" t="str">
        <f>IF(Q64="","",Main!E54)</f>
        <v/>
      </c>
      <c r="N64" s="550"/>
      <c r="O64" s="55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54" t="str">
        <f>IF(Q65="","",Main!F49)</f>
        <v/>
      </c>
      <c r="J65" s="555"/>
      <c r="K65" s="554" t="str">
        <f>IF(Q65="","",Main!F50)</f>
        <v/>
      </c>
      <c r="L65" s="555"/>
      <c r="M65" s="549" t="str">
        <f>IF(Q65="","",Main!F54)</f>
        <v/>
      </c>
      <c r="N65" s="550"/>
      <c r="O65" s="55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54" t="str">
        <f>IF(Q66="","",Main!G49)</f>
        <v/>
      </c>
      <c r="J66" s="555"/>
      <c r="K66" s="554" t="str">
        <f>IF(Q66="","",Main!G50)</f>
        <v/>
      </c>
      <c r="L66" s="555"/>
      <c r="M66" s="549" t="str">
        <f>IF(Q66="","",Main!G54)</f>
        <v/>
      </c>
      <c r="N66" s="550"/>
      <c r="O66" s="55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54" t="str">
        <f>IF(Q67="","",Main!H49)</f>
        <v/>
      </c>
      <c r="J67" s="555"/>
      <c r="K67" s="554" t="str">
        <f>IF(Q67="","",Main!H50)</f>
        <v/>
      </c>
      <c r="L67" s="555"/>
      <c r="M67" s="549" t="str">
        <f>IF(Q67="","",Main!H54)</f>
        <v/>
      </c>
      <c r="N67" s="550"/>
      <c r="O67" s="55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54" t="str">
        <f>IF(Q68="","",Main!I49)</f>
        <v/>
      </c>
      <c r="J68" s="555"/>
      <c r="K68" s="554" t="str">
        <f>IF(Q68="","",Main!I50)</f>
        <v/>
      </c>
      <c r="L68" s="555"/>
      <c r="M68" s="549" t="str">
        <f>IF(Q68="","",Main!I54)</f>
        <v/>
      </c>
      <c r="N68" s="550"/>
      <c r="O68" s="55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68" t="str">
        <f>IF(Main!J48="","",Main!J48)</f>
        <v/>
      </c>
      <c r="G69" s="569"/>
      <c r="H69" s="570"/>
      <c r="I69" s="583" t="str">
        <f>IF(Q69="","",Main!J49)</f>
        <v/>
      </c>
      <c r="J69" s="584"/>
      <c r="K69" s="583" t="str">
        <f>IF(Q69="","",Main!J50)</f>
        <v/>
      </c>
      <c r="L69" s="584"/>
      <c r="M69" s="568" t="str">
        <f>IF(Q69="","",Main!J54)</f>
        <v/>
      </c>
      <c r="N69" s="569"/>
      <c r="O69" s="57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4" t="s">
        <v>956</v>
      </c>
      <c r="B71" s="544"/>
      <c r="C71" s="544"/>
      <c r="D71" s="544"/>
      <c r="E71" s="544"/>
      <c r="F71" s="544"/>
      <c r="G71" s="544"/>
      <c r="H71" s="544"/>
      <c r="I71" s="544"/>
      <c r="J71" s="544"/>
      <c r="K71" s="544"/>
      <c r="L71" s="544"/>
      <c r="M71" s="544"/>
      <c r="N71" s="544"/>
      <c r="O71" s="544"/>
    </row>
    <row r="72" spans="1:21" ht="18" customHeight="1" x14ac:dyDescent="0.2">
      <c r="A72" s="544"/>
      <c r="B72" s="544"/>
      <c r="C72" s="544"/>
      <c r="D72" s="544"/>
      <c r="E72" s="544"/>
      <c r="F72" s="544"/>
      <c r="G72" s="544"/>
      <c r="H72" s="544"/>
      <c r="I72" s="544"/>
      <c r="J72" s="544"/>
      <c r="K72" s="544"/>
      <c r="L72" s="544"/>
      <c r="M72" s="544"/>
      <c r="N72" s="544"/>
      <c r="O72" s="544"/>
    </row>
    <row r="73" spans="1:21" ht="18" customHeight="1" x14ac:dyDescent="0.2">
      <c r="A73" s="544"/>
      <c r="B73" s="544"/>
      <c r="C73" s="544"/>
      <c r="D73" s="544"/>
      <c r="E73" s="544"/>
      <c r="F73" s="544"/>
      <c r="G73" s="544"/>
      <c r="H73" s="544"/>
      <c r="I73" s="544"/>
      <c r="J73" s="544"/>
      <c r="K73" s="544"/>
      <c r="L73" s="544"/>
      <c r="M73" s="544"/>
      <c r="N73" s="544"/>
      <c r="O73" s="544"/>
    </row>
    <row r="74" spans="1:21" ht="18" customHeight="1" x14ac:dyDescent="0.2">
      <c r="A74" s="544"/>
      <c r="B74" s="544"/>
      <c r="C74" s="544"/>
      <c r="D74" s="544"/>
      <c r="E74" s="544"/>
      <c r="F74" s="544"/>
      <c r="G74" s="544"/>
      <c r="H74" s="544"/>
      <c r="I74" s="544"/>
      <c r="J74" s="544"/>
      <c r="K74" s="544"/>
      <c r="L74" s="544"/>
      <c r="M74" s="544"/>
      <c r="N74" s="544"/>
      <c r="O74" s="54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MHmY5c0Mufdjm7rcJoOVJcv3RIobldNGVMH7aIQvKkicxOijLbmM1tPHCW/2GLSP8fgq9cfIkiyTaU51Jl794g==" saltValue="sgzzdtFBhs/tH0F5d/40nQ=="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88"/>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J409"/>
      <c r="K409"/>
      <c r="L409"/>
      <c r="M409"/>
      <c r="N409"/>
      <c r="O409"/>
    </row>
    <row r="410" spans="1:15" x14ac:dyDescent="0.2">
      <c r="A410"/>
      <c r="B410"/>
      <c r="C410"/>
      <c r="G410"/>
      <c r="M410"/>
      <c r="N410"/>
      <c r="O410"/>
    </row>
    <row r="411" spans="1:15" x14ac:dyDescent="0.2">
      <c r="A411"/>
      <c r="B411"/>
      <c r="C411"/>
      <c r="F411"/>
      <c r="G411"/>
      <c r="H411"/>
      <c r="J411"/>
      <c r="K411"/>
      <c r="L411"/>
      <c r="M411"/>
      <c r="N411"/>
      <c r="O411"/>
    </row>
    <row r="412" spans="1:15" x14ac:dyDescent="0.2">
      <c r="A412"/>
      <c r="B412"/>
      <c r="C412"/>
      <c r="F412"/>
      <c r="G412"/>
      <c r="H412"/>
      <c r="K412"/>
      <c r="L412"/>
      <c r="M412"/>
      <c r="N412"/>
      <c r="O412"/>
    </row>
    <row r="413" spans="1:15" x14ac:dyDescent="0.2">
      <c r="A413"/>
      <c r="B413"/>
      <c r="C413"/>
      <c r="F413"/>
      <c r="G413"/>
      <c r="H413"/>
      <c r="I413"/>
      <c r="L413"/>
      <c r="N413"/>
      <c r="O413"/>
    </row>
    <row r="414" spans="1:15" x14ac:dyDescent="0.2">
      <c r="A414"/>
      <c r="B414"/>
      <c r="C414"/>
      <c r="F414"/>
      <c r="G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J419"/>
      <c r="K419"/>
      <c r="L419"/>
      <c r="M419"/>
      <c r="N419"/>
      <c r="O419"/>
    </row>
    <row r="420" spans="1:15" x14ac:dyDescent="0.2">
      <c r="A420"/>
      <c r="B420"/>
      <c r="C420"/>
      <c r="F420"/>
      <c r="G420"/>
      <c r="H420"/>
      <c r="I420"/>
      <c r="L420"/>
      <c r="M420"/>
      <c r="N420"/>
      <c r="O420"/>
    </row>
    <row r="421" spans="1:15" x14ac:dyDescent="0.2">
      <c r="A421"/>
      <c r="B421"/>
      <c r="C421"/>
      <c r="F421"/>
      <c r="G421"/>
      <c r="H421"/>
      <c r="I421"/>
      <c r="L421"/>
      <c r="M421"/>
      <c r="N421"/>
      <c r="O421"/>
    </row>
    <row r="422" spans="1:15" x14ac:dyDescent="0.2">
      <c r="A422"/>
      <c r="B422"/>
      <c r="C422"/>
      <c r="F422"/>
      <c r="G422"/>
      <c r="L422"/>
      <c r="M422"/>
      <c r="N422"/>
      <c r="O422"/>
    </row>
    <row r="423" spans="1:15" x14ac:dyDescent="0.2">
      <c r="A423"/>
      <c r="B423"/>
      <c r="C423"/>
      <c r="F423"/>
      <c r="G423"/>
      <c r="I423"/>
      <c r="L423"/>
      <c r="M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N437"/>
      <c r="O437"/>
    </row>
    <row r="438" spans="1:15" x14ac:dyDescent="0.2">
      <c r="A438"/>
      <c r="B438"/>
      <c r="C438"/>
      <c r="F438"/>
      <c r="G438"/>
      <c r="H438"/>
      <c r="I438"/>
      <c r="L438"/>
      <c r="N438"/>
      <c r="O438"/>
    </row>
    <row r="439" spans="1:15" x14ac:dyDescent="0.2">
      <c r="A439"/>
      <c r="B439"/>
      <c r="C439"/>
      <c r="F439"/>
      <c r="G439"/>
      <c r="I439"/>
      <c r="L439"/>
      <c r="M439"/>
      <c r="N439"/>
      <c r="O439"/>
    </row>
    <row r="440" spans="1:15" x14ac:dyDescent="0.2">
      <c r="A440"/>
      <c r="B440"/>
      <c r="C440"/>
      <c r="F440"/>
      <c r="G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I458"/>
      <c r="L458"/>
      <c r="M458"/>
      <c r="N458"/>
      <c r="O458"/>
    </row>
    <row r="459" spans="1:15" x14ac:dyDescent="0.2">
      <c r="A459"/>
      <c r="B459"/>
      <c r="C459"/>
      <c r="F459"/>
      <c r="G459"/>
      <c r="I459"/>
      <c r="L459"/>
      <c r="M459"/>
      <c r="N459"/>
      <c r="O459"/>
    </row>
    <row r="460" spans="1:15" x14ac:dyDescent="0.2">
      <c r="A460"/>
      <c r="B460"/>
      <c r="C460"/>
      <c r="F460"/>
      <c r="G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M463"/>
      <c r="N463"/>
      <c r="O463"/>
    </row>
    <row r="464" spans="1:15" x14ac:dyDescent="0.2">
      <c r="A464"/>
      <c r="B464"/>
      <c r="C464"/>
      <c r="F464"/>
      <c r="G464"/>
      <c r="H464"/>
      <c r="I464"/>
      <c r="J464"/>
      <c r="K464"/>
      <c r="L464"/>
      <c r="M464"/>
      <c r="N464"/>
      <c r="O464"/>
    </row>
    <row r="465" spans="1:15" x14ac:dyDescent="0.2">
      <c r="A465"/>
      <c r="B465"/>
      <c r="C465"/>
      <c r="F465"/>
      <c r="G465"/>
      <c r="I465"/>
      <c r="L465"/>
      <c r="M465"/>
      <c r="N465"/>
      <c r="O465"/>
    </row>
    <row r="466" spans="1:15" x14ac:dyDescent="0.2">
      <c r="A466"/>
      <c r="B466"/>
      <c r="C466"/>
      <c r="F466"/>
      <c r="G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H469"/>
      <c r="I469"/>
      <c r="L469"/>
      <c r="M469"/>
      <c r="N469"/>
      <c r="O469"/>
    </row>
    <row r="470" spans="1:15" x14ac:dyDescent="0.2">
      <c r="A470"/>
      <c r="B470"/>
      <c r="C470"/>
      <c r="F470"/>
      <c r="G470"/>
      <c r="H470"/>
      <c r="I470"/>
      <c r="L470"/>
      <c r="M470"/>
      <c r="N470"/>
      <c r="O470"/>
    </row>
    <row r="471" spans="1:15" x14ac:dyDescent="0.2">
      <c r="A471"/>
      <c r="B471"/>
      <c r="C471"/>
      <c r="F471"/>
      <c r="G471"/>
      <c r="H471"/>
      <c r="L471"/>
      <c r="M471"/>
      <c r="N471"/>
      <c r="O471"/>
    </row>
    <row r="472" spans="1:15" x14ac:dyDescent="0.2">
      <c r="A472"/>
      <c r="B472"/>
      <c r="C472"/>
      <c r="F472"/>
      <c r="G472"/>
      <c r="H472"/>
      <c r="I472"/>
      <c r="L472"/>
      <c r="M472"/>
      <c r="N472"/>
      <c r="O472"/>
    </row>
    <row r="473" spans="1:15" x14ac:dyDescent="0.2">
      <c r="A473"/>
      <c r="B473"/>
      <c r="C473"/>
      <c r="F473"/>
      <c r="G473"/>
      <c r="H473"/>
      <c r="J473"/>
      <c r="K473"/>
      <c r="L473"/>
      <c r="M473"/>
      <c r="N473"/>
      <c r="O473"/>
    </row>
    <row r="474" spans="1:15" x14ac:dyDescent="0.2">
      <c r="A474"/>
      <c r="B474"/>
      <c r="C474"/>
      <c r="F474"/>
      <c r="G474"/>
      <c r="H474"/>
      <c r="J474"/>
      <c r="K474"/>
      <c r="L474"/>
      <c r="M474"/>
      <c r="N474"/>
      <c r="O474"/>
    </row>
    <row r="475" spans="1:15" x14ac:dyDescent="0.2">
      <c r="A475"/>
      <c r="B475"/>
      <c r="C475"/>
      <c r="F475"/>
      <c r="G475"/>
      <c r="J475"/>
      <c r="K475"/>
      <c r="L475"/>
      <c r="M475"/>
      <c r="N475"/>
      <c r="O475"/>
    </row>
    <row r="476" spans="1:15" x14ac:dyDescent="0.2">
      <c r="A476"/>
      <c r="B476"/>
      <c r="C476"/>
      <c r="F476"/>
      <c r="G476"/>
      <c r="J476"/>
      <c r="K476"/>
      <c r="L476"/>
      <c r="M476"/>
      <c r="N476"/>
      <c r="O476"/>
    </row>
    <row r="477" spans="1:15" x14ac:dyDescent="0.2">
      <c r="A477"/>
      <c r="B477"/>
      <c r="C477"/>
      <c r="F477"/>
      <c r="G477"/>
      <c r="H477"/>
      <c r="I477"/>
      <c r="L477"/>
      <c r="N477"/>
      <c r="O477"/>
    </row>
    <row r="478" spans="1:15" x14ac:dyDescent="0.2">
      <c r="A478"/>
      <c r="B478"/>
      <c r="C478"/>
      <c r="F478"/>
      <c r="G478"/>
      <c r="J478"/>
      <c r="K478"/>
      <c r="L478"/>
      <c r="M478"/>
      <c r="N478"/>
      <c r="O478"/>
    </row>
    <row r="479" spans="1:15" x14ac:dyDescent="0.2">
      <c r="A479"/>
      <c r="B479"/>
      <c r="C479"/>
      <c r="F479"/>
      <c r="G479"/>
      <c r="I479"/>
      <c r="L479"/>
      <c r="M479"/>
      <c r="N479"/>
      <c r="O479"/>
    </row>
    <row r="480" spans="1:15" x14ac:dyDescent="0.2">
      <c r="A480"/>
      <c r="B480"/>
      <c r="C480"/>
      <c r="F480"/>
      <c r="G480"/>
      <c r="H480"/>
      <c r="I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H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J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H504"/>
      <c r="J504"/>
      <c r="K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I509"/>
      <c r="L509"/>
      <c r="M509"/>
      <c r="N509"/>
      <c r="O509"/>
    </row>
    <row r="510" spans="1:15" x14ac:dyDescent="0.2">
      <c r="A510"/>
      <c r="B510"/>
      <c r="C510"/>
      <c r="F510"/>
      <c r="G510"/>
      <c r="H510"/>
      <c r="J510"/>
      <c r="K510"/>
      <c r="L510"/>
      <c r="M510"/>
      <c r="N510"/>
      <c r="O510"/>
    </row>
    <row r="511" spans="1:15" x14ac:dyDescent="0.2">
      <c r="A511"/>
      <c r="B511"/>
      <c r="C511"/>
      <c r="F511"/>
      <c r="G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H519"/>
      <c r="J519"/>
      <c r="K519"/>
      <c r="L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H529"/>
      <c r="I529"/>
      <c r="L529"/>
      <c r="M529"/>
      <c r="N529"/>
      <c r="O529"/>
    </row>
    <row r="530" spans="1:15" x14ac:dyDescent="0.2">
      <c r="A530"/>
      <c r="B530"/>
      <c r="C530"/>
      <c r="F530"/>
      <c r="G530"/>
      <c r="J530"/>
      <c r="L530"/>
      <c r="M530"/>
      <c r="N530"/>
      <c r="O530"/>
    </row>
    <row r="531" spans="1:15" x14ac:dyDescent="0.2">
      <c r="A531"/>
      <c r="B531"/>
      <c r="C531"/>
      <c r="F531"/>
      <c r="G531"/>
      <c r="H531"/>
      <c r="L531"/>
      <c r="M531"/>
      <c r="N531"/>
      <c r="O531"/>
    </row>
    <row r="532" spans="1:15" x14ac:dyDescent="0.2">
      <c r="A532"/>
      <c r="B532"/>
      <c r="C532"/>
      <c r="F532"/>
      <c r="G532"/>
      <c r="J532"/>
      <c r="K532"/>
      <c r="L532"/>
      <c r="M532"/>
      <c r="N532"/>
      <c r="O532"/>
    </row>
    <row r="533" spans="1:15" x14ac:dyDescent="0.2">
      <c r="A533"/>
      <c r="B533"/>
      <c r="C533"/>
      <c r="F533"/>
      <c r="G533"/>
      <c r="L533"/>
      <c r="M533"/>
      <c r="N533"/>
      <c r="O533"/>
    </row>
    <row r="534" spans="1:15" x14ac:dyDescent="0.2">
      <c r="A534"/>
      <c r="B534"/>
      <c r="C534"/>
      <c r="F534"/>
      <c r="G534"/>
      <c r="H534"/>
      <c r="J534"/>
      <c r="K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I544"/>
      <c r="L544"/>
      <c r="M544"/>
      <c r="N544"/>
      <c r="O544"/>
    </row>
    <row r="545" spans="1:15" x14ac:dyDescent="0.2">
      <c r="A545"/>
      <c r="B545"/>
      <c r="C545"/>
      <c r="F545"/>
      <c r="G545"/>
      <c r="H545"/>
      <c r="I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H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H551"/>
      <c r="I551"/>
      <c r="L551"/>
      <c r="M551"/>
      <c r="N551"/>
      <c r="O551"/>
    </row>
    <row r="552" spans="1:15" x14ac:dyDescent="0.2">
      <c r="A552"/>
      <c r="B552"/>
      <c r="C552"/>
      <c r="F552"/>
      <c r="G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I561"/>
      <c r="L561"/>
      <c r="M561"/>
      <c r="N561"/>
      <c r="O561"/>
    </row>
    <row r="562" spans="1:15" x14ac:dyDescent="0.2">
      <c r="A562"/>
      <c r="B562"/>
      <c r="C562"/>
      <c r="F562"/>
      <c r="G562"/>
      <c r="L562"/>
      <c r="M562"/>
      <c r="N562"/>
      <c r="O562"/>
    </row>
    <row r="563" spans="1:15" x14ac:dyDescent="0.2">
      <c r="A563"/>
      <c r="B563"/>
      <c r="C563"/>
      <c r="F563"/>
      <c r="G563"/>
      <c r="I563"/>
      <c r="L563"/>
      <c r="M563"/>
      <c r="N563"/>
      <c r="O563"/>
    </row>
    <row r="564" spans="1:15" x14ac:dyDescent="0.2">
      <c r="A564"/>
      <c r="B564"/>
      <c r="C564"/>
      <c r="F564"/>
      <c r="G564"/>
      <c r="H564"/>
      <c r="I564"/>
      <c r="L564"/>
      <c r="N564"/>
      <c r="O564"/>
    </row>
    <row r="565" spans="1:15" x14ac:dyDescent="0.2">
      <c r="A565"/>
      <c r="B565"/>
      <c r="C565"/>
      <c r="F565"/>
      <c r="G565"/>
      <c r="H565"/>
      <c r="I565"/>
      <c r="L565"/>
      <c r="N565"/>
      <c r="O565"/>
    </row>
    <row r="566" spans="1:15" x14ac:dyDescent="0.2">
      <c r="A566"/>
      <c r="B566"/>
      <c r="C566"/>
      <c r="F566"/>
      <c r="G566"/>
      <c r="M566"/>
      <c r="N566"/>
      <c r="O566"/>
    </row>
    <row r="567" spans="1:15" x14ac:dyDescent="0.2">
      <c r="A567"/>
      <c r="B567"/>
      <c r="C567"/>
      <c r="F567"/>
      <c r="G567"/>
      <c r="I567"/>
      <c r="L567"/>
      <c r="M567"/>
      <c r="N567"/>
      <c r="O567"/>
    </row>
    <row r="568" spans="1:15" x14ac:dyDescent="0.2">
      <c r="A568"/>
      <c r="B568"/>
      <c r="C568"/>
      <c r="F568"/>
      <c r="G568"/>
      <c r="H568"/>
      <c r="I568"/>
      <c r="L568"/>
      <c r="M568"/>
      <c r="N568"/>
      <c r="O568"/>
    </row>
    <row r="569" spans="1:15" x14ac:dyDescent="0.2">
      <c r="A569"/>
      <c r="B569"/>
      <c r="C569"/>
      <c r="F569"/>
      <c r="G569"/>
      <c r="L569"/>
      <c r="M569"/>
      <c r="N569"/>
      <c r="O569"/>
    </row>
    <row r="570" spans="1:15" x14ac:dyDescent="0.2">
      <c r="A570"/>
      <c r="B570"/>
      <c r="C570"/>
      <c r="F570"/>
      <c r="G570"/>
      <c r="H570"/>
      <c r="I570"/>
      <c r="L570"/>
      <c r="M570"/>
      <c r="N570"/>
      <c r="O570"/>
    </row>
    <row r="571" spans="1:15" x14ac:dyDescent="0.2">
      <c r="A571"/>
      <c r="B571"/>
      <c r="C571"/>
      <c r="F571"/>
      <c r="G571"/>
      <c r="J571"/>
      <c r="K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H574"/>
      <c r="I574"/>
      <c r="L574"/>
      <c r="M574"/>
      <c r="N574"/>
      <c r="O574"/>
    </row>
    <row r="575" spans="1:15" x14ac:dyDescent="0.2">
      <c r="A575"/>
      <c r="B575"/>
      <c r="C575"/>
      <c r="F575"/>
      <c r="G575"/>
      <c r="J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M578"/>
      <c r="N578"/>
      <c r="O578"/>
    </row>
    <row r="579" spans="1:15" x14ac:dyDescent="0.2">
      <c r="A579"/>
      <c r="B579"/>
      <c r="C579"/>
      <c r="F579"/>
      <c r="G579"/>
      <c r="H579"/>
      <c r="I579"/>
      <c r="L579"/>
      <c r="N579"/>
      <c r="O579"/>
    </row>
    <row r="580" spans="1:15" x14ac:dyDescent="0.2">
      <c r="A580"/>
      <c r="B580"/>
      <c r="C580"/>
      <c r="F580"/>
      <c r="G580"/>
      <c r="H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I585"/>
      <c r="L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J588"/>
      <c r="K588"/>
      <c r="L588"/>
      <c r="M588"/>
      <c r="N588"/>
      <c r="O588"/>
    </row>
    <row r="589" spans="1:15" x14ac:dyDescent="0.2">
      <c r="A589"/>
      <c r="B589"/>
      <c r="C589"/>
      <c r="F589"/>
      <c r="G589"/>
      <c r="H589"/>
      <c r="J589"/>
      <c r="K589"/>
      <c r="L589"/>
      <c r="M589"/>
      <c r="N589"/>
      <c r="O589"/>
    </row>
    <row r="590" spans="1:15" x14ac:dyDescent="0.2">
      <c r="A590"/>
      <c r="B590"/>
      <c r="C590"/>
      <c r="F590"/>
      <c r="G590"/>
      <c r="L590"/>
      <c r="M590"/>
      <c r="N590"/>
      <c r="O590"/>
    </row>
    <row r="591" spans="1:15" x14ac:dyDescent="0.2">
      <c r="A591"/>
      <c r="B591"/>
      <c r="C591"/>
      <c r="F591"/>
      <c r="G591"/>
      <c r="J591"/>
      <c r="K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L594"/>
      <c r="M594"/>
      <c r="N594"/>
      <c r="O594"/>
    </row>
    <row r="595" spans="1:15" x14ac:dyDescent="0.2">
      <c r="A595"/>
      <c r="B595"/>
      <c r="C595"/>
      <c r="F595"/>
      <c r="G595"/>
      <c r="J595"/>
      <c r="K595"/>
      <c r="L595"/>
      <c r="M595"/>
      <c r="N595"/>
      <c r="O595"/>
    </row>
    <row r="596" spans="1:15" x14ac:dyDescent="0.2">
      <c r="A596"/>
      <c r="B596"/>
      <c r="C596"/>
      <c r="F596"/>
      <c r="G596"/>
      <c r="H596"/>
      <c r="J596"/>
      <c r="K596"/>
      <c r="L596"/>
      <c r="M596"/>
      <c r="N596"/>
      <c r="O596"/>
    </row>
    <row r="597" spans="1:15" x14ac:dyDescent="0.2">
      <c r="A597"/>
      <c r="B597"/>
      <c r="C597"/>
      <c r="F597"/>
      <c r="G597"/>
      <c r="M597"/>
      <c r="N597"/>
      <c r="O597"/>
    </row>
    <row r="598" spans="1:15" x14ac:dyDescent="0.2">
      <c r="A598"/>
      <c r="B598"/>
      <c r="C598"/>
      <c r="F598"/>
      <c r="G598"/>
      <c r="L598"/>
      <c r="M598"/>
      <c r="N598"/>
      <c r="O598"/>
    </row>
    <row r="599" spans="1:15" x14ac:dyDescent="0.2">
      <c r="A599"/>
      <c r="B599"/>
      <c r="C599"/>
      <c r="F599"/>
      <c r="G599"/>
      <c r="H599"/>
      <c r="I599"/>
      <c r="L599"/>
      <c r="N599"/>
      <c r="O599"/>
    </row>
    <row r="600" spans="1:15" x14ac:dyDescent="0.2">
      <c r="A600"/>
      <c r="B600"/>
      <c r="C600"/>
      <c r="F600"/>
      <c r="G600"/>
      <c r="H600"/>
      <c r="I600"/>
      <c r="L600"/>
      <c r="M600"/>
      <c r="N600"/>
      <c r="O600"/>
    </row>
    <row r="601" spans="1:15" x14ac:dyDescent="0.2">
      <c r="A601"/>
      <c r="B601"/>
      <c r="C601"/>
      <c r="F601"/>
      <c r="G601"/>
      <c r="L601"/>
      <c r="M601"/>
      <c r="N601"/>
      <c r="O601"/>
    </row>
    <row r="602" spans="1:15" x14ac:dyDescent="0.2">
      <c r="A602"/>
      <c r="B602"/>
      <c r="C602"/>
      <c r="F602"/>
      <c r="G602"/>
      <c r="H602"/>
      <c r="I602"/>
      <c r="L602"/>
      <c r="M602"/>
      <c r="N602"/>
      <c r="O602"/>
    </row>
    <row r="603" spans="1:15" x14ac:dyDescent="0.2">
      <c r="A603"/>
      <c r="B603"/>
      <c r="C603"/>
      <c r="F603"/>
      <c r="G603"/>
      <c r="I603"/>
      <c r="L603"/>
      <c r="M603"/>
      <c r="N603"/>
      <c r="O603"/>
    </row>
    <row r="604" spans="1:15" x14ac:dyDescent="0.2">
      <c r="A604"/>
      <c r="B604"/>
      <c r="C604"/>
      <c r="F604"/>
      <c r="G604"/>
      <c r="I604"/>
      <c r="L604"/>
      <c r="M604"/>
      <c r="N604"/>
      <c r="O604"/>
    </row>
    <row r="605" spans="1:15" x14ac:dyDescent="0.2">
      <c r="A605"/>
      <c r="B605"/>
      <c r="C605"/>
      <c r="F605"/>
      <c r="G605"/>
      <c r="H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H611"/>
      <c r="I611"/>
      <c r="L611"/>
      <c r="M611"/>
      <c r="N611"/>
      <c r="O611"/>
    </row>
    <row r="612" spans="1:15" x14ac:dyDescent="0.2">
      <c r="A612"/>
      <c r="B612"/>
      <c r="C612"/>
      <c r="F612"/>
      <c r="G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I618"/>
      <c r="L618"/>
      <c r="M618"/>
      <c r="N618"/>
      <c r="O618"/>
    </row>
    <row r="619" spans="1:15" x14ac:dyDescent="0.2">
      <c r="A619"/>
      <c r="B619"/>
      <c r="C619"/>
      <c r="F619"/>
      <c r="G619"/>
      <c r="L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I627"/>
      <c r="L627"/>
      <c r="M627"/>
      <c r="N627"/>
      <c r="O627"/>
    </row>
    <row r="628" spans="1:15" x14ac:dyDescent="0.2">
      <c r="A628"/>
      <c r="B628"/>
      <c r="C628"/>
      <c r="F628"/>
      <c r="G628"/>
      <c r="L628"/>
      <c r="M628"/>
      <c r="N628"/>
      <c r="O628"/>
    </row>
    <row r="629" spans="1:15" x14ac:dyDescent="0.2">
      <c r="A629"/>
      <c r="B629"/>
      <c r="C629"/>
      <c r="F629"/>
      <c r="G629"/>
      <c r="J629"/>
      <c r="K629"/>
      <c r="L629"/>
      <c r="M629"/>
      <c r="N629"/>
      <c r="O629"/>
    </row>
    <row r="630" spans="1:15" x14ac:dyDescent="0.2">
      <c r="A630"/>
      <c r="B630"/>
      <c r="C630"/>
      <c r="F630"/>
      <c r="G630"/>
      <c r="L630"/>
      <c r="M630"/>
      <c r="N630"/>
      <c r="O630"/>
    </row>
    <row r="631" spans="1:15" x14ac:dyDescent="0.2">
      <c r="A631"/>
      <c r="B631"/>
      <c r="C631"/>
      <c r="F631"/>
      <c r="G631"/>
      <c r="H631"/>
      <c r="I631"/>
      <c r="L631"/>
      <c r="M631"/>
      <c r="N631"/>
      <c r="O631"/>
    </row>
    <row r="632" spans="1:15" x14ac:dyDescent="0.2">
      <c r="A632"/>
      <c r="B632"/>
      <c r="C632"/>
      <c r="F632"/>
      <c r="G632"/>
      <c r="M632"/>
      <c r="N632"/>
      <c r="O632"/>
    </row>
    <row r="633" spans="1:15" x14ac:dyDescent="0.2">
      <c r="A633"/>
      <c r="B633"/>
      <c r="C633"/>
      <c r="F633"/>
      <c r="G633"/>
      <c r="I633"/>
      <c r="L633"/>
      <c r="M633"/>
      <c r="N633"/>
      <c r="O633"/>
    </row>
    <row r="634" spans="1:15" x14ac:dyDescent="0.2">
      <c r="A634"/>
      <c r="B634"/>
      <c r="C634"/>
      <c r="F634"/>
      <c r="G634"/>
      <c r="H634"/>
      <c r="I634"/>
      <c r="L634"/>
      <c r="M634"/>
      <c r="N634"/>
      <c r="O634"/>
    </row>
    <row r="635" spans="1:15" x14ac:dyDescent="0.2">
      <c r="A635"/>
      <c r="B635"/>
      <c r="C635"/>
      <c r="F635"/>
      <c r="G635"/>
      <c r="L635"/>
      <c r="M635"/>
      <c r="N635"/>
      <c r="O635"/>
    </row>
    <row r="636" spans="1:15" x14ac:dyDescent="0.2">
      <c r="A636"/>
      <c r="B636"/>
      <c r="C636"/>
      <c r="F636"/>
      <c r="G636"/>
      <c r="H636"/>
      <c r="I636"/>
      <c r="L636"/>
      <c r="M636"/>
      <c r="N636"/>
      <c r="O636"/>
    </row>
    <row r="637" spans="1:15" x14ac:dyDescent="0.2">
      <c r="A637"/>
      <c r="B637"/>
      <c r="C637"/>
      <c r="F637"/>
      <c r="G637"/>
      <c r="H637"/>
      <c r="I637"/>
      <c r="L637"/>
      <c r="M637"/>
      <c r="N637"/>
      <c r="O637"/>
    </row>
    <row r="638" spans="1:15" x14ac:dyDescent="0.2">
      <c r="A638"/>
      <c r="B638"/>
      <c r="C638"/>
      <c r="F638"/>
      <c r="G638"/>
      <c r="I638"/>
      <c r="L638"/>
      <c r="M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H641"/>
      <c r="J641"/>
      <c r="K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I646"/>
      <c r="L646"/>
      <c r="M646"/>
      <c r="N646"/>
      <c r="O646"/>
    </row>
    <row r="647" spans="1:15" x14ac:dyDescent="0.2">
      <c r="A647"/>
      <c r="B647"/>
      <c r="C647"/>
      <c r="F647"/>
      <c r="G647"/>
      <c r="H647"/>
      <c r="I647"/>
      <c r="L647"/>
      <c r="N647"/>
      <c r="O647"/>
    </row>
    <row r="648" spans="1:15" x14ac:dyDescent="0.2">
      <c r="A648"/>
      <c r="B648"/>
      <c r="C648"/>
      <c r="F648"/>
      <c r="G648"/>
      <c r="H648"/>
      <c r="I648"/>
      <c r="L648"/>
      <c r="N648"/>
      <c r="O648"/>
    </row>
    <row r="649" spans="1:15" x14ac:dyDescent="0.2">
      <c r="A649"/>
      <c r="B649"/>
      <c r="C649"/>
      <c r="F649"/>
      <c r="G649"/>
      <c r="H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L659"/>
      <c r="M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H662"/>
      <c r="I662"/>
      <c r="L662"/>
      <c r="N662"/>
      <c r="O662"/>
    </row>
    <row r="663" spans="1:15" x14ac:dyDescent="0.2">
      <c r="A663"/>
      <c r="B663"/>
      <c r="C663"/>
      <c r="F663"/>
      <c r="G663"/>
      <c r="H663"/>
      <c r="I663"/>
      <c r="L663"/>
      <c r="M663"/>
      <c r="N663"/>
      <c r="O663"/>
    </row>
    <row r="664" spans="1:15" x14ac:dyDescent="0.2">
      <c r="A664"/>
      <c r="B664"/>
      <c r="C664"/>
      <c r="F664"/>
      <c r="G664"/>
      <c r="J664"/>
      <c r="K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I671"/>
      <c r="L671"/>
      <c r="M671"/>
      <c r="N671"/>
      <c r="O671"/>
    </row>
    <row r="672" spans="1:15" x14ac:dyDescent="0.2">
      <c r="A672"/>
      <c r="B672"/>
      <c r="C672"/>
      <c r="F672"/>
      <c r="G672"/>
      <c r="H672"/>
      <c r="I672"/>
      <c r="L672"/>
      <c r="M672"/>
      <c r="N672"/>
      <c r="O672"/>
    </row>
    <row r="673" spans="1:15" x14ac:dyDescent="0.2">
      <c r="A673"/>
      <c r="B673"/>
      <c r="C673"/>
      <c r="F673"/>
      <c r="G673"/>
      <c r="L673"/>
      <c r="M673"/>
      <c r="N673"/>
      <c r="O673"/>
    </row>
    <row r="674" spans="1:15" x14ac:dyDescent="0.2">
      <c r="A674"/>
      <c r="B674"/>
      <c r="C674"/>
      <c r="F674"/>
      <c r="G674"/>
      <c r="I674"/>
      <c r="L674"/>
      <c r="M674"/>
      <c r="N674"/>
      <c r="O674"/>
    </row>
    <row r="675" spans="1:15" x14ac:dyDescent="0.2">
      <c r="A675"/>
      <c r="B675"/>
      <c r="C675"/>
      <c r="F675"/>
      <c r="G675"/>
      <c r="H675"/>
      <c r="I675"/>
      <c r="L675"/>
      <c r="M675"/>
      <c r="N675"/>
      <c r="O675"/>
    </row>
    <row r="676" spans="1:15" x14ac:dyDescent="0.2">
      <c r="A676"/>
      <c r="B676"/>
      <c r="C676"/>
      <c r="F676"/>
      <c r="G676"/>
      <c r="H676"/>
      <c r="I676"/>
      <c r="L676"/>
      <c r="N676"/>
      <c r="O676"/>
    </row>
    <row r="677" spans="1:15" x14ac:dyDescent="0.2">
      <c r="A677"/>
      <c r="B677"/>
      <c r="C677"/>
      <c r="F677"/>
      <c r="G677"/>
      <c r="H677"/>
      <c r="I677"/>
      <c r="L677"/>
      <c r="M677"/>
      <c r="N677"/>
      <c r="O677"/>
    </row>
    <row r="678" spans="1:15" x14ac:dyDescent="0.2">
      <c r="A678"/>
      <c r="B678"/>
      <c r="C678"/>
      <c r="F678"/>
      <c r="G678"/>
      <c r="H678"/>
      <c r="J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M681"/>
      <c r="N681"/>
      <c r="O681"/>
    </row>
    <row r="682" spans="1:15" x14ac:dyDescent="0.2">
      <c r="A682"/>
      <c r="B682"/>
      <c r="C682"/>
      <c r="F682"/>
      <c r="G682"/>
      <c r="H682"/>
      <c r="M682"/>
      <c r="N682"/>
      <c r="O682"/>
    </row>
    <row r="683" spans="1:15" x14ac:dyDescent="0.2">
      <c r="A683"/>
      <c r="B683"/>
      <c r="C683"/>
      <c r="F683"/>
      <c r="G683"/>
      <c r="L683"/>
      <c r="M683"/>
      <c r="N683"/>
      <c r="O683"/>
    </row>
    <row r="684" spans="1:15" x14ac:dyDescent="0.2">
      <c r="A684"/>
      <c r="B684"/>
      <c r="C684"/>
      <c r="F684"/>
      <c r="G684"/>
      <c r="H684"/>
      <c r="I684"/>
      <c r="L684"/>
      <c r="M684"/>
      <c r="N684"/>
      <c r="O684"/>
    </row>
    <row r="685" spans="1:15" x14ac:dyDescent="0.2">
      <c r="A685"/>
      <c r="B685"/>
      <c r="C685"/>
      <c r="F685"/>
      <c r="G685"/>
      <c r="H685"/>
      <c r="I685"/>
      <c r="L685"/>
      <c r="M685"/>
      <c r="N685"/>
      <c r="O685"/>
    </row>
    <row r="686" spans="1:15" x14ac:dyDescent="0.2">
      <c r="A686"/>
      <c r="B686"/>
      <c r="C686"/>
      <c r="F686"/>
      <c r="G686"/>
      <c r="M686"/>
      <c r="N686"/>
      <c r="O686"/>
    </row>
    <row r="687" spans="1:15" x14ac:dyDescent="0.2">
      <c r="A687"/>
      <c r="B687"/>
      <c r="C687"/>
      <c r="F687"/>
      <c r="G687"/>
      <c r="H687"/>
      <c r="I687"/>
      <c r="L687"/>
      <c r="M687"/>
      <c r="N687"/>
      <c r="O687"/>
    </row>
    <row r="688" spans="1:15" x14ac:dyDescent="0.2">
      <c r="A688"/>
      <c r="B688"/>
      <c r="C688"/>
      <c r="F688"/>
      <c r="G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H692"/>
      <c r="I692"/>
      <c r="L692"/>
      <c r="M692"/>
      <c r="N692"/>
      <c r="O692"/>
    </row>
    <row r="693" spans="1:15" x14ac:dyDescent="0.2">
      <c r="A693"/>
      <c r="B693"/>
      <c r="C693"/>
      <c r="F693"/>
      <c r="G693"/>
      <c r="M693"/>
      <c r="N693"/>
      <c r="O693"/>
    </row>
    <row r="694" spans="1:15" x14ac:dyDescent="0.2">
      <c r="A694"/>
      <c r="B694"/>
      <c r="C694"/>
      <c r="F694"/>
      <c r="G694"/>
      <c r="L694"/>
      <c r="M694"/>
      <c r="N694"/>
      <c r="O694"/>
    </row>
    <row r="695" spans="1:15" x14ac:dyDescent="0.2">
      <c r="A695"/>
      <c r="B695"/>
      <c r="C695"/>
      <c r="F695"/>
      <c r="G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N700"/>
      <c r="O700"/>
    </row>
    <row r="701" spans="1:15" x14ac:dyDescent="0.2">
      <c r="A701"/>
      <c r="B701"/>
      <c r="C701"/>
      <c r="F701"/>
      <c r="G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M704"/>
      <c r="N704"/>
      <c r="O704"/>
    </row>
    <row r="705" spans="1:15" x14ac:dyDescent="0.2">
      <c r="A705"/>
      <c r="B705"/>
      <c r="C705"/>
      <c r="F705"/>
      <c r="G705"/>
      <c r="I705"/>
      <c r="L705"/>
      <c r="M705"/>
      <c r="N705"/>
      <c r="O705"/>
    </row>
    <row r="706" spans="1:15" x14ac:dyDescent="0.2">
      <c r="A706"/>
      <c r="B706"/>
      <c r="C706"/>
      <c r="F706"/>
      <c r="G706"/>
      <c r="J706"/>
      <c r="K706"/>
      <c r="L706"/>
      <c r="M706"/>
      <c r="N706"/>
      <c r="O706"/>
    </row>
    <row r="707" spans="1:15" x14ac:dyDescent="0.2">
      <c r="A707"/>
      <c r="B707"/>
      <c r="C707"/>
      <c r="F707"/>
      <c r="G707"/>
      <c r="H707"/>
      <c r="I707"/>
      <c r="L707"/>
      <c r="M707"/>
      <c r="N707"/>
      <c r="O707"/>
    </row>
    <row r="708" spans="1:15" x14ac:dyDescent="0.2">
      <c r="A708"/>
      <c r="B708"/>
      <c r="C708"/>
      <c r="F708"/>
      <c r="G708"/>
      <c r="I708"/>
      <c r="L708"/>
      <c r="M708"/>
      <c r="N708"/>
      <c r="O708"/>
    </row>
    <row r="709" spans="1:15" x14ac:dyDescent="0.2">
      <c r="A709"/>
      <c r="B709"/>
      <c r="C709"/>
      <c r="F709"/>
      <c r="G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H712"/>
      <c r="J712"/>
      <c r="K712"/>
      <c r="L712"/>
      <c r="M712"/>
      <c r="N712"/>
      <c r="O712"/>
    </row>
    <row r="713" spans="1:15" x14ac:dyDescent="0.2">
      <c r="A713"/>
      <c r="B713"/>
      <c r="C713"/>
      <c r="F713"/>
      <c r="G713"/>
      <c r="I713"/>
      <c r="L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J716"/>
      <c r="K716"/>
      <c r="L716"/>
      <c r="M716"/>
      <c r="N716"/>
      <c r="O716"/>
    </row>
    <row r="717" spans="1:15" x14ac:dyDescent="0.2">
      <c r="A717"/>
      <c r="B717"/>
      <c r="C717"/>
      <c r="F717"/>
      <c r="G717"/>
      <c r="H717"/>
      <c r="I717"/>
      <c r="L717"/>
      <c r="M717"/>
      <c r="N717"/>
      <c r="O717"/>
    </row>
    <row r="718" spans="1:15" x14ac:dyDescent="0.2">
      <c r="A718"/>
      <c r="B718"/>
      <c r="C718"/>
      <c r="F718"/>
      <c r="G718"/>
      <c r="H718"/>
      <c r="I718"/>
      <c r="J718"/>
      <c r="K718"/>
      <c r="L718"/>
      <c r="M718"/>
      <c r="N718"/>
      <c r="O718"/>
    </row>
    <row r="719" spans="1:15" x14ac:dyDescent="0.2">
      <c r="A719"/>
      <c r="B719"/>
      <c r="C719"/>
      <c r="F719"/>
      <c r="G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H723"/>
      <c r="I723"/>
      <c r="L723"/>
      <c r="M723"/>
      <c r="N723"/>
      <c r="O723"/>
    </row>
    <row r="724" spans="1:15" x14ac:dyDescent="0.2">
      <c r="A724"/>
      <c r="B724"/>
      <c r="C724"/>
      <c r="F724"/>
      <c r="G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I731"/>
      <c r="L731"/>
      <c r="M731"/>
      <c r="N731"/>
      <c r="O731"/>
    </row>
    <row r="732" spans="1:15" x14ac:dyDescent="0.2">
      <c r="A732"/>
      <c r="B732"/>
      <c r="C732"/>
      <c r="F732"/>
      <c r="G732"/>
      <c r="H732"/>
      <c r="L732"/>
      <c r="M732"/>
      <c r="N732"/>
      <c r="O732"/>
    </row>
    <row r="733" spans="1:15" x14ac:dyDescent="0.2">
      <c r="A733"/>
      <c r="B733"/>
      <c r="C733"/>
      <c r="F733"/>
      <c r="G733"/>
      <c r="H733"/>
      <c r="J733"/>
      <c r="K733"/>
      <c r="L733"/>
      <c r="M733"/>
      <c r="N733"/>
      <c r="O733"/>
    </row>
    <row r="734" spans="1:15" x14ac:dyDescent="0.2">
      <c r="A734"/>
      <c r="B734"/>
      <c r="C734"/>
      <c r="F734"/>
      <c r="G734"/>
      <c r="H734"/>
      <c r="I734"/>
      <c r="L734"/>
      <c r="M734"/>
      <c r="N734"/>
      <c r="O734"/>
    </row>
    <row r="735" spans="1:15" x14ac:dyDescent="0.2">
      <c r="A735"/>
      <c r="B735"/>
      <c r="C735"/>
      <c r="F735"/>
      <c r="G735"/>
      <c r="J735"/>
      <c r="K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K738"/>
      <c r="L738"/>
      <c r="M738"/>
      <c r="N738"/>
      <c r="O738"/>
    </row>
    <row r="739" spans="1:15" x14ac:dyDescent="0.2">
      <c r="A739"/>
      <c r="B739"/>
      <c r="C739"/>
      <c r="F739"/>
      <c r="G739"/>
      <c r="L739"/>
      <c r="M739"/>
      <c r="N739"/>
      <c r="O739"/>
    </row>
    <row r="740" spans="1:15" x14ac:dyDescent="0.2">
      <c r="A740"/>
      <c r="B740"/>
      <c r="C740"/>
      <c r="F740"/>
      <c r="G740"/>
      <c r="H740"/>
      <c r="I740"/>
      <c r="L740"/>
      <c r="M740"/>
      <c r="N740"/>
      <c r="O740"/>
    </row>
    <row r="741" spans="1:15" x14ac:dyDescent="0.2">
      <c r="A741"/>
      <c r="B741"/>
      <c r="C741"/>
      <c r="F741"/>
      <c r="G741"/>
      <c r="J741"/>
      <c r="L741"/>
      <c r="M741"/>
      <c r="N741"/>
      <c r="O741"/>
    </row>
    <row r="742" spans="1:15" x14ac:dyDescent="0.2">
      <c r="A742"/>
      <c r="B742"/>
      <c r="C742"/>
      <c r="F742"/>
      <c r="G742"/>
      <c r="H742"/>
      <c r="L742"/>
      <c r="M742"/>
      <c r="N742"/>
      <c r="O742"/>
    </row>
    <row r="743" spans="1:15" x14ac:dyDescent="0.2">
      <c r="A743"/>
      <c r="B743"/>
      <c r="C743"/>
      <c r="F743"/>
      <c r="G743"/>
      <c r="H743"/>
      <c r="I743"/>
      <c r="L743"/>
      <c r="M743"/>
      <c r="N743"/>
      <c r="O743"/>
    </row>
    <row r="744" spans="1:15" x14ac:dyDescent="0.2">
      <c r="A744"/>
      <c r="B744"/>
      <c r="C744"/>
      <c r="F744"/>
      <c r="G744"/>
      <c r="L744"/>
      <c r="M744"/>
      <c r="N744"/>
      <c r="O744"/>
    </row>
    <row r="745" spans="1:15" x14ac:dyDescent="0.2">
      <c r="A745"/>
      <c r="B745"/>
      <c r="C745"/>
      <c r="F745"/>
      <c r="G745"/>
      <c r="J745"/>
      <c r="K745"/>
      <c r="L745"/>
      <c r="M745"/>
      <c r="N745"/>
      <c r="O745"/>
    </row>
    <row r="746" spans="1:15" x14ac:dyDescent="0.2">
      <c r="A746"/>
      <c r="B746"/>
      <c r="C746"/>
      <c r="F746"/>
      <c r="G746"/>
      <c r="H746"/>
      <c r="I746"/>
      <c r="L746"/>
      <c r="M746"/>
      <c r="N746"/>
      <c r="O746"/>
    </row>
    <row r="747" spans="1:15" x14ac:dyDescent="0.2">
      <c r="A747"/>
      <c r="B747"/>
      <c r="C747"/>
      <c r="F747"/>
      <c r="G747"/>
      <c r="M747"/>
      <c r="N747"/>
      <c r="O747"/>
    </row>
    <row r="748" spans="1:15" x14ac:dyDescent="0.2">
      <c r="A748"/>
      <c r="B748"/>
      <c r="C748"/>
      <c r="F748"/>
      <c r="G748"/>
      <c r="H748"/>
      <c r="I748"/>
      <c r="L748"/>
      <c r="M748"/>
      <c r="N748"/>
      <c r="O748"/>
    </row>
    <row r="749" spans="1:15" x14ac:dyDescent="0.2">
      <c r="A749"/>
      <c r="B749"/>
      <c r="C749"/>
      <c r="F749"/>
      <c r="G749"/>
      <c r="I749"/>
      <c r="L749"/>
      <c r="M749"/>
      <c r="N749"/>
      <c r="O749"/>
    </row>
    <row r="750" spans="1:15" x14ac:dyDescent="0.2">
      <c r="A750"/>
      <c r="B750"/>
      <c r="C750"/>
      <c r="F750"/>
      <c r="G750"/>
      <c r="H750"/>
      <c r="I750"/>
      <c r="L750"/>
      <c r="M750"/>
      <c r="N750"/>
      <c r="O750"/>
    </row>
    <row r="751" spans="1:15" x14ac:dyDescent="0.2">
      <c r="A751"/>
      <c r="B751"/>
      <c r="C751"/>
      <c r="F751"/>
      <c r="G751"/>
      <c r="H751"/>
      <c r="I751"/>
      <c r="L751"/>
      <c r="M751"/>
      <c r="N751"/>
      <c r="O751"/>
    </row>
    <row r="752" spans="1:15" x14ac:dyDescent="0.2">
      <c r="A752"/>
      <c r="B752"/>
      <c r="C752"/>
      <c r="F752"/>
      <c r="G752"/>
      <c r="H752"/>
      <c r="I752"/>
      <c r="L752"/>
      <c r="N752"/>
      <c r="O752"/>
    </row>
    <row r="753" spans="1:15" x14ac:dyDescent="0.2">
      <c r="A753"/>
      <c r="B753"/>
      <c r="C753"/>
      <c r="F753"/>
      <c r="G753"/>
      <c r="H753"/>
      <c r="I753"/>
      <c r="L753"/>
      <c r="M753"/>
      <c r="N753"/>
      <c r="O753"/>
    </row>
    <row r="754" spans="1:15" x14ac:dyDescent="0.2">
      <c r="A754"/>
      <c r="B754"/>
      <c r="C754"/>
      <c r="F754"/>
      <c r="G754"/>
      <c r="H754"/>
      <c r="I754"/>
      <c r="L754"/>
      <c r="M754"/>
      <c r="N754"/>
      <c r="O754"/>
    </row>
    <row r="755" spans="1:15" x14ac:dyDescent="0.2">
      <c r="A755"/>
      <c r="B755"/>
      <c r="C755"/>
      <c r="F755"/>
      <c r="G755"/>
      <c r="L755"/>
      <c r="M755"/>
      <c r="N755"/>
      <c r="O755"/>
    </row>
    <row r="756" spans="1:15" x14ac:dyDescent="0.2">
      <c r="A756"/>
      <c r="B756"/>
      <c r="C756"/>
      <c r="F756"/>
      <c r="G756"/>
      <c r="H756"/>
      <c r="I756"/>
      <c r="L756"/>
      <c r="M756"/>
      <c r="N756"/>
      <c r="O756"/>
    </row>
    <row r="757" spans="1:15" x14ac:dyDescent="0.2">
      <c r="A757"/>
      <c r="B757"/>
      <c r="C757"/>
      <c r="F757"/>
      <c r="G757"/>
      <c r="H757"/>
      <c r="J757"/>
      <c r="K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I766"/>
      <c r="L766"/>
      <c r="M766"/>
      <c r="N766"/>
      <c r="O766"/>
    </row>
    <row r="767" spans="1:15" x14ac:dyDescent="0.2">
      <c r="A767"/>
      <c r="B767"/>
      <c r="C767"/>
      <c r="F767"/>
      <c r="G767"/>
      <c r="H767"/>
      <c r="J767"/>
      <c r="K767"/>
      <c r="L767"/>
      <c r="M767"/>
      <c r="N767"/>
      <c r="O767"/>
    </row>
    <row r="768" spans="1:15" x14ac:dyDescent="0.2">
      <c r="A768"/>
      <c r="B768"/>
      <c r="C768"/>
      <c r="F768"/>
      <c r="G768"/>
      <c r="H768"/>
      <c r="L768"/>
      <c r="M768"/>
      <c r="N768"/>
      <c r="O768"/>
    </row>
    <row r="769" spans="1:15" x14ac:dyDescent="0.2">
      <c r="A769"/>
      <c r="B769"/>
      <c r="C769"/>
      <c r="F769"/>
      <c r="G769"/>
      <c r="H769"/>
      <c r="I769"/>
      <c r="L769"/>
      <c r="M769"/>
      <c r="N769"/>
      <c r="O769"/>
    </row>
    <row r="770" spans="1:15" x14ac:dyDescent="0.2">
      <c r="A770"/>
      <c r="B770"/>
      <c r="C770"/>
      <c r="F770"/>
      <c r="G770"/>
      <c r="I770"/>
      <c r="L770"/>
      <c r="M770"/>
      <c r="N770"/>
      <c r="O770"/>
    </row>
    <row r="771" spans="1:15" x14ac:dyDescent="0.2">
      <c r="A771"/>
      <c r="B771"/>
      <c r="C771"/>
      <c r="F771"/>
      <c r="G771"/>
      <c r="H771"/>
      <c r="J771"/>
      <c r="K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L781"/>
      <c r="M781"/>
      <c r="N781"/>
      <c r="O781"/>
    </row>
    <row r="782" spans="1:15" x14ac:dyDescent="0.2">
      <c r="A782"/>
      <c r="B782"/>
      <c r="C782"/>
      <c r="F782"/>
      <c r="G782"/>
      <c r="L782"/>
      <c r="M782"/>
      <c r="N782"/>
      <c r="O782"/>
    </row>
    <row r="783" spans="1:15" x14ac:dyDescent="0.2">
      <c r="A783"/>
      <c r="B783"/>
      <c r="C783"/>
      <c r="F783"/>
      <c r="G783"/>
      <c r="H783"/>
      <c r="J783"/>
      <c r="K783"/>
      <c r="L783"/>
      <c r="M783"/>
      <c r="N783"/>
      <c r="O783"/>
    </row>
    <row r="784" spans="1:15" x14ac:dyDescent="0.2">
      <c r="A784"/>
      <c r="B784"/>
      <c r="C784"/>
      <c r="F784"/>
      <c r="G784"/>
      <c r="H784"/>
      <c r="I784"/>
      <c r="L784"/>
      <c r="M784"/>
      <c r="N784"/>
      <c r="O784"/>
    </row>
    <row r="785" spans="1:15" x14ac:dyDescent="0.2">
      <c r="A785"/>
      <c r="B785"/>
      <c r="C785"/>
      <c r="F785"/>
      <c r="G785"/>
      <c r="L785"/>
      <c r="M785"/>
      <c r="N785"/>
      <c r="O785"/>
    </row>
    <row r="786" spans="1:15" x14ac:dyDescent="0.2">
      <c r="A786"/>
      <c r="B786"/>
      <c r="C786"/>
      <c r="F786"/>
      <c r="G786"/>
      <c r="M786"/>
      <c r="N786"/>
      <c r="O786"/>
    </row>
    <row r="787" spans="1:15" x14ac:dyDescent="0.2">
      <c r="A787"/>
      <c r="B787"/>
      <c r="C787"/>
      <c r="F787"/>
      <c r="G787"/>
      <c r="H787"/>
      <c r="I787"/>
      <c r="L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H790"/>
      <c r="J790"/>
      <c r="K790"/>
      <c r="L790"/>
      <c r="M790"/>
      <c r="N790"/>
      <c r="O790"/>
    </row>
    <row r="791" spans="1:15" x14ac:dyDescent="0.2">
      <c r="A791"/>
      <c r="B791"/>
      <c r="C791"/>
      <c r="F791"/>
      <c r="G791"/>
      <c r="J791"/>
      <c r="K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L796"/>
      <c r="M796"/>
      <c r="N796"/>
      <c r="O796"/>
    </row>
    <row r="797" spans="1:15" x14ac:dyDescent="0.2">
      <c r="A797"/>
      <c r="B797"/>
      <c r="C797"/>
      <c r="F797"/>
      <c r="G797"/>
      <c r="L797"/>
      <c r="M797"/>
      <c r="N797"/>
      <c r="O797"/>
    </row>
    <row r="798" spans="1:15" x14ac:dyDescent="0.2">
      <c r="A798"/>
      <c r="B798"/>
      <c r="C798"/>
      <c r="F798"/>
      <c r="G798"/>
      <c r="I798"/>
      <c r="L798"/>
      <c r="M798"/>
      <c r="N798"/>
      <c r="O798"/>
    </row>
    <row r="799" spans="1:15" x14ac:dyDescent="0.2">
      <c r="A799"/>
      <c r="B799"/>
      <c r="C799"/>
      <c r="F799"/>
      <c r="G799"/>
      <c r="H799"/>
      <c r="I799"/>
      <c r="L799"/>
      <c r="M799"/>
      <c r="N799"/>
      <c r="O799"/>
    </row>
    <row r="800" spans="1:15" x14ac:dyDescent="0.2">
      <c r="A800"/>
      <c r="B800"/>
      <c r="C800"/>
      <c r="F800"/>
      <c r="G800"/>
      <c r="H800"/>
      <c r="I800"/>
      <c r="L800"/>
      <c r="N800"/>
      <c r="O800"/>
    </row>
    <row r="801" spans="1:15" x14ac:dyDescent="0.2">
      <c r="A801"/>
      <c r="B801"/>
      <c r="C801"/>
      <c r="F801"/>
      <c r="G801"/>
      <c r="H801"/>
      <c r="L801"/>
      <c r="M801"/>
      <c r="N801"/>
      <c r="O801"/>
    </row>
    <row r="802" spans="1:15" x14ac:dyDescent="0.2">
      <c r="A802"/>
      <c r="B802"/>
      <c r="C802"/>
      <c r="F802"/>
      <c r="G802"/>
      <c r="L802"/>
      <c r="M802"/>
      <c r="N802"/>
      <c r="O802"/>
    </row>
    <row r="803" spans="1:15" x14ac:dyDescent="0.2">
      <c r="A803"/>
      <c r="B803"/>
      <c r="C803"/>
      <c r="F803"/>
      <c r="G803"/>
      <c r="I803"/>
      <c r="L803"/>
      <c r="M803"/>
      <c r="N803"/>
      <c r="O803"/>
    </row>
    <row r="804" spans="1:15" x14ac:dyDescent="0.2">
      <c r="A804"/>
      <c r="B804"/>
      <c r="C804"/>
      <c r="F804"/>
      <c r="G804"/>
      <c r="L804"/>
      <c r="M804"/>
      <c r="N804"/>
      <c r="O804"/>
    </row>
    <row r="805" spans="1:15" x14ac:dyDescent="0.2">
      <c r="A805"/>
      <c r="B805"/>
      <c r="C805"/>
      <c r="F805"/>
      <c r="G805"/>
      <c r="H805"/>
      <c r="I805"/>
      <c r="J805"/>
      <c r="K805"/>
      <c r="L805"/>
      <c r="M805"/>
      <c r="N805"/>
      <c r="O805"/>
    </row>
    <row r="806" spans="1:15" x14ac:dyDescent="0.2">
      <c r="A806"/>
      <c r="B806"/>
      <c r="C806"/>
      <c r="F806"/>
      <c r="G806"/>
      <c r="J806"/>
      <c r="M806"/>
      <c r="N806"/>
      <c r="O806"/>
    </row>
    <row r="807" spans="1:15" x14ac:dyDescent="0.2">
      <c r="A807"/>
      <c r="B807"/>
      <c r="C807"/>
      <c r="F807"/>
      <c r="G807"/>
      <c r="I807"/>
      <c r="L807"/>
      <c r="M807"/>
      <c r="N807"/>
      <c r="O807"/>
    </row>
    <row r="808" spans="1:15" x14ac:dyDescent="0.2">
      <c r="A808"/>
      <c r="B808"/>
      <c r="C808"/>
      <c r="F808"/>
      <c r="G808"/>
      <c r="H808"/>
      <c r="J808"/>
      <c r="K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J811"/>
      <c r="K811"/>
      <c r="L811"/>
      <c r="M811"/>
      <c r="N811"/>
      <c r="O811"/>
    </row>
    <row r="812" spans="1:15" x14ac:dyDescent="0.2">
      <c r="A812"/>
      <c r="B812"/>
      <c r="C812"/>
      <c r="F812"/>
      <c r="G812"/>
      <c r="H812"/>
      <c r="I812"/>
      <c r="L812"/>
      <c r="M812"/>
      <c r="N812"/>
      <c r="O812"/>
    </row>
    <row r="813" spans="1:15" x14ac:dyDescent="0.2">
      <c r="A813"/>
      <c r="B813"/>
      <c r="C813"/>
      <c r="F813"/>
      <c r="G813"/>
      <c r="H813"/>
      <c r="I813"/>
      <c r="L813"/>
      <c r="M813"/>
      <c r="N813"/>
      <c r="O813"/>
    </row>
    <row r="814" spans="1:15" x14ac:dyDescent="0.2">
      <c r="A814"/>
      <c r="B814"/>
      <c r="C814"/>
      <c r="F814"/>
      <c r="G814"/>
      <c r="L814"/>
      <c r="M814"/>
      <c r="N814"/>
      <c r="O814"/>
    </row>
    <row r="815" spans="1:15" x14ac:dyDescent="0.2">
      <c r="A815"/>
      <c r="B815"/>
      <c r="C815"/>
      <c r="F815"/>
      <c r="G815"/>
      <c r="L815"/>
      <c r="M815"/>
      <c r="N815"/>
      <c r="O815"/>
    </row>
    <row r="816" spans="1:15" x14ac:dyDescent="0.2">
      <c r="A816"/>
      <c r="B816"/>
      <c r="C816"/>
      <c r="F816"/>
      <c r="G816"/>
      <c r="H816"/>
      <c r="I816"/>
      <c r="L816"/>
      <c r="M816"/>
      <c r="N816"/>
      <c r="O816"/>
    </row>
    <row r="817" spans="1:15" x14ac:dyDescent="0.2">
      <c r="A817"/>
      <c r="B817"/>
      <c r="C817"/>
      <c r="F817"/>
      <c r="G817"/>
      <c r="L817"/>
      <c r="M817"/>
      <c r="N817"/>
      <c r="O817"/>
    </row>
    <row r="818" spans="1:15" x14ac:dyDescent="0.2">
      <c r="A818"/>
      <c r="B818"/>
      <c r="C818"/>
      <c r="F818"/>
      <c r="G818"/>
      <c r="H818"/>
      <c r="J818"/>
      <c r="K818"/>
      <c r="L818"/>
      <c r="M818"/>
      <c r="N818"/>
      <c r="O818"/>
    </row>
    <row r="819" spans="1:15" x14ac:dyDescent="0.2">
      <c r="A819"/>
      <c r="B819"/>
      <c r="C819"/>
      <c r="F819"/>
      <c r="G819"/>
      <c r="H819"/>
      <c r="I819"/>
      <c r="L819"/>
      <c r="M819"/>
      <c r="N819"/>
      <c r="O819"/>
    </row>
    <row r="820" spans="1:15" x14ac:dyDescent="0.2">
      <c r="A820"/>
      <c r="B820"/>
      <c r="C820"/>
      <c r="F820"/>
      <c r="G820"/>
      <c r="I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J825"/>
      <c r="K825"/>
      <c r="L825"/>
      <c r="M825"/>
      <c r="N825"/>
      <c r="O825"/>
    </row>
    <row r="826" spans="1:15" x14ac:dyDescent="0.2">
      <c r="A826"/>
      <c r="B826"/>
      <c r="C826"/>
      <c r="F826"/>
      <c r="G826"/>
      <c r="L826"/>
      <c r="M826"/>
      <c r="N826"/>
      <c r="O826"/>
    </row>
    <row r="827" spans="1:15" x14ac:dyDescent="0.2">
      <c r="A827"/>
      <c r="B827"/>
      <c r="C827"/>
      <c r="F827"/>
      <c r="G827"/>
      <c r="M827"/>
      <c r="N827"/>
      <c r="O827"/>
    </row>
    <row r="828" spans="1:15" x14ac:dyDescent="0.2">
      <c r="A828"/>
      <c r="B828"/>
      <c r="C828"/>
      <c r="F828"/>
      <c r="G828"/>
      <c r="H828"/>
      <c r="I828"/>
      <c r="L828"/>
      <c r="M828"/>
      <c r="N828"/>
      <c r="O828"/>
    </row>
    <row r="829" spans="1:15" x14ac:dyDescent="0.2">
      <c r="A829"/>
      <c r="B829"/>
      <c r="C829"/>
      <c r="F829"/>
      <c r="G829"/>
      <c r="H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I833"/>
      <c r="L833"/>
      <c r="M833"/>
      <c r="N833"/>
      <c r="O833"/>
    </row>
    <row r="834" spans="1:15" x14ac:dyDescent="0.2">
      <c r="A834"/>
      <c r="B834"/>
      <c r="C834"/>
      <c r="F834"/>
      <c r="G834"/>
      <c r="L834"/>
      <c r="M834"/>
      <c r="N834"/>
      <c r="O834"/>
    </row>
    <row r="835" spans="1:15" x14ac:dyDescent="0.2">
      <c r="A835"/>
      <c r="B835"/>
      <c r="C835"/>
      <c r="F835"/>
      <c r="G835"/>
      <c r="H835"/>
      <c r="I835"/>
      <c r="L835"/>
      <c r="N835"/>
      <c r="O835"/>
    </row>
    <row r="836" spans="1:15" x14ac:dyDescent="0.2">
      <c r="A836"/>
      <c r="B836"/>
      <c r="C836"/>
      <c r="F836"/>
      <c r="G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M841"/>
      <c r="N841"/>
      <c r="O841"/>
    </row>
    <row r="842" spans="1:15" x14ac:dyDescent="0.2">
      <c r="A842"/>
      <c r="B842"/>
      <c r="C842"/>
      <c r="F842"/>
      <c r="G842"/>
      <c r="H842"/>
      <c r="M842"/>
      <c r="N842"/>
      <c r="O842"/>
    </row>
    <row r="843" spans="1:15" x14ac:dyDescent="0.2">
      <c r="A843"/>
      <c r="B843"/>
      <c r="C843"/>
      <c r="F843"/>
      <c r="G843"/>
      <c r="I843"/>
      <c r="L843"/>
      <c r="M843"/>
      <c r="N843"/>
      <c r="O843"/>
    </row>
    <row r="844" spans="1:15" x14ac:dyDescent="0.2">
      <c r="A844"/>
      <c r="B844"/>
      <c r="C844"/>
      <c r="F844"/>
      <c r="G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L848"/>
      <c r="M848"/>
      <c r="N848"/>
      <c r="O848"/>
    </row>
    <row r="849" spans="1:15" x14ac:dyDescent="0.2">
      <c r="A849"/>
      <c r="B849"/>
      <c r="C849"/>
      <c r="F849"/>
      <c r="G849"/>
      <c r="H849"/>
      <c r="I849"/>
      <c r="L849"/>
      <c r="M849"/>
      <c r="N849"/>
      <c r="O849"/>
    </row>
    <row r="850" spans="1:15" x14ac:dyDescent="0.2">
      <c r="A850"/>
      <c r="B850"/>
      <c r="C850"/>
      <c r="F850"/>
      <c r="G850"/>
      <c r="L850"/>
      <c r="M850"/>
      <c r="N850"/>
      <c r="O850"/>
    </row>
    <row r="851" spans="1:15" x14ac:dyDescent="0.2">
      <c r="A851"/>
      <c r="B851"/>
      <c r="C851"/>
      <c r="F851"/>
      <c r="G851"/>
      <c r="L851"/>
      <c r="M851"/>
      <c r="N851"/>
      <c r="O851"/>
    </row>
    <row r="852" spans="1:15" x14ac:dyDescent="0.2">
      <c r="A852"/>
      <c r="B852"/>
      <c r="C852"/>
      <c r="F852"/>
      <c r="G852"/>
      <c r="H852"/>
      <c r="I852"/>
      <c r="J852"/>
      <c r="K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I855"/>
      <c r="L855"/>
      <c r="M855"/>
      <c r="N855"/>
      <c r="O855"/>
    </row>
    <row r="856" spans="1:15" x14ac:dyDescent="0.2">
      <c r="A856"/>
      <c r="B856"/>
      <c r="C856"/>
      <c r="F856"/>
      <c r="G856"/>
      <c r="H856"/>
      <c r="I856"/>
      <c r="L856"/>
      <c r="M856"/>
      <c r="N856"/>
      <c r="O856"/>
    </row>
    <row r="857" spans="1:15" x14ac:dyDescent="0.2">
      <c r="A857"/>
      <c r="B857"/>
      <c r="C857"/>
      <c r="F857"/>
      <c r="G857"/>
      <c r="L857"/>
      <c r="M857"/>
      <c r="N857"/>
      <c r="O857"/>
    </row>
    <row r="858" spans="1:15" x14ac:dyDescent="0.2">
      <c r="A858"/>
      <c r="B858"/>
      <c r="C858"/>
      <c r="F858"/>
      <c r="G858"/>
      <c r="J858"/>
      <c r="K858"/>
      <c r="L858"/>
      <c r="M858"/>
      <c r="N858"/>
      <c r="O858"/>
    </row>
    <row r="859" spans="1:15" x14ac:dyDescent="0.2">
      <c r="A859"/>
      <c r="B859"/>
      <c r="C859"/>
      <c r="F859"/>
      <c r="G859"/>
      <c r="I859"/>
      <c r="L859"/>
      <c r="M859"/>
      <c r="N859"/>
      <c r="O859"/>
    </row>
    <row r="860" spans="1:15" x14ac:dyDescent="0.2">
      <c r="A860"/>
      <c r="B860"/>
      <c r="C860"/>
      <c r="F860"/>
      <c r="G860"/>
      <c r="H860"/>
      <c r="I860"/>
      <c r="L860"/>
      <c r="N860"/>
      <c r="O860"/>
    </row>
    <row r="861" spans="1:15" x14ac:dyDescent="0.2">
      <c r="A861"/>
      <c r="B861"/>
      <c r="C861"/>
      <c r="F861"/>
      <c r="G861"/>
      <c r="H861"/>
      <c r="I861"/>
      <c r="L861"/>
      <c r="M861"/>
      <c r="N861"/>
      <c r="O861"/>
    </row>
    <row r="862" spans="1:15" x14ac:dyDescent="0.2">
      <c r="A862"/>
      <c r="B862"/>
      <c r="C862"/>
      <c r="F862"/>
      <c r="G862"/>
      <c r="J862"/>
      <c r="K862"/>
      <c r="L862"/>
      <c r="M862"/>
      <c r="N862"/>
      <c r="O862"/>
    </row>
    <row r="863" spans="1:15" x14ac:dyDescent="0.2">
      <c r="A863"/>
      <c r="B863"/>
      <c r="C863"/>
      <c r="F863"/>
      <c r="G863"/>
      <c r="H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L866"/>
      <c r="M866"/>
      <c r="N866"/>
      <c r="O866"/>
    </row>
    <row r="867" spans="1:15" x14ac:dyDescent="0.2">
      <c r="A867"/>
      <c r="B867"/>
      <c r="C867"/>
      <c r="F867"/>
      <c r="G867"/>
      <c r="H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J871"/>
      <c r="K871"/>
      <c r="L871"/>
      <c r="M871"/>
      <c r="N871"/>
      <c r="O871"/>
    </row>
    <row r="872" spans="1:15" x14ac:dyDescent="0.2">
      <c r="A872"/>
      <c r="B872"/>
      <c r="C872"/>
      <c r="F872"/>
      <c r="G872"/>
      <c r="J872"/>
      <c r="K872"/>
      <c r="L872"/>
      <c r="M872"/>
      <c r="N872"/>
      <c r="O872"/>
    </row>
    <row r="873" spans="1:15" x14ac:dyDescent="0.2">
      <c r="A873"/>
      <c r="B873"/>
      <c r="C873"/>
      <c r="F873"/>
      <c r="G873"/>
      <c r="H873"/>
      <c r="J873"/>
      <c r="K873"/>
      <c r="L873"/>
      <c r="M873"/>
      <c r="N873"/>
      <c r="O873"/>
    </row>
    <row r="874" spans="1:15" x14ac:dyDescent="0.2">
      <c r="A874"/>
      <c r="B874"/>
      <c r="C874"/>
      <c r="F874"/>
      <c r="G874"/>
      <c r="H874"/>
      <c r="I874"/>
      <c r="L874"/>
      <c r="N874"/>
      <c r="O874"/>
    </row>
    <row r="875" spans="1:15" x14ac:dyDescent="0.2">
      <c r="A875"/>
      <c r="B875"/>
      <c r="C875"/>
      <c r="F875"/>
      <c r="G875"/>
      <c r="I875"/>
      <c r="L875"/>
      <c r="M875"/>
      <c r="N875"/>
      <c r="O875"/>
    </row>
    <row r="876" spans="1:15" x14ac:dyDescent="0.2">
      <c r="A876"/>
      <c r="B876"/>
      <c r="C876"/>
      <c r="F876"/>
      <c r="G876"/>
      <c r="L876"/>
      <c r="M876"/>
      <c r="N876"/>
      <c r="O876"/>
    </row>
    <row r="877" spans="1:15" x14ac:dyDescent="0.2">
      <c r="A877"/>
      <c r="B877"/>
      <c r="C877"/>
      <c r="F877"/>
      <c r="G877"/>
      <c r="H877"/>
      <c r="J877"/>
      <c r="K877"/>
      <c r="L877"/>
      <c r="M877"/>
      <c r="N877"/>
      <c r="O877"/>
    </row>
    <row r="878" spans="1:15" x14ac:dyDescent="0.2">
      <c r="A878"/>
      <c r="B878"/>
      <c r="C878"/>
      <c r="F878"/>
      <c r="G878"/>
      <c r="H878"/>
      <c r="I878"/>
      <c r="L878"/>
      <c r="M878"/>
      <c r="N878"/>
      <c r="O878"/>
    </row>
    <row r="879" spans="1:15" x14ac:dyDescent="0.2">
      <c r="A879"/>
      <c r="B879"/>
      <c r="C879"/>
      <c r="F879"/>
      <c r="G879"/>
      <c r="H879"/>
      <c r="I879"/>
      <c r="L879"/>
      <c r="N879"/>
      <c r="O879"/>
    </row>
    <row r="880" spans="1:15" x14ac:dyDescent="0.2">
      <c r="A880"/>
      <c r="B880"/>
      <c r="C880"/>
      <c r="F880"/>
      <c r="G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H883"/>
      <c r="I883"/>
      <c r="L883"/>
      <c r="M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M889"/>
      <c r="N889"/>
      <c r="O889"/>
    </row>
    <row r="890" spans="1:15" x14ac:dyDescent="0.2">
      <c r="A890"/>
      <c r="B890"/>
      <c r="C890"/>
      <c r="F890"/>
      <c r="G890"/>
      <c r="I890"/>
      <c r="L890"/>
      <c r="M890"/>
      <c r="N890"/>
      <c r="O890"/>
    </row>
    <row r="891" spans="1:15" x14ac:dyDescent="0.2">
      <c r="A891"/>
      <c r="B891"/>
      <c r="C891"/>
      <c r="F891"/>
      <c r="G891"/>
      <c r="I891"/>
      <c r="L891"/>
      <c r="M891"/>
      <c r="N891"/>
      <c r="O891"/>
    </row>
    <row r="892" spans="1:15" x14ac:dyDescent="0.2">
      <c r="A892"/>
      <c r="B892"/>
      <c r="C892"/>
      <c r="F892"/>
      <c r="G892"/>
      <c r="I892"/>
      <c r="L892"/>
      <c r="M892"/>
      <c r="N892"/>
      <c r="O892"/>
    </row>
    <row r="893" spans="1:15" x14ac:dyDescent="0.2">
      <c r="A893"/>
      <c r="B893"/>
      <c r="C893"/>
      <c r="F893"/>
      <c r="G893"/>
      <c r="I893"/>
      <c r="L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H906"/>
      <c r="L906"/>
      <c r="M906"/>
      <c r="N906"/>
      <c r="O906"/>
    </row>
    <row r="907" spans="1:15" x14ac:dyDescent="0.2">
      <c r="A907"/>
      <c r="B907"/>
      <c r="C907"/>
      <c r="F907"/>
      <c r="G907"/>
      <c r="I907"/>
      <c r="J907"/>
      <c r="K907"/>
      <c r="L907"/>
      <c r="M907"/>
      <c r="N907"/>
      <c r="O907"/>
    </row>
    <row r="908" spans="1:15" x14ac:dyDescent="0.2">
      <c r="A908"/>
      <c r="B908"/>
      <c r="C908"/>
      <c r="F908"/>
      <c r="G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J920"/>
      <c r="K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J923"/>
      <c r="K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J928"/>
      <c r="K928"/>
      <c r="L928"/>
      <c r="M928"/>
      <c r="N928"/>
      <c r="O928"/>
    </row>
    <row r="929" spans="1:15" x14ac:dyDescent="0.2">
      <c r="A929"/>
      <c r="B929"/>
      <c r="C929"/>
      <c r="F929"/>
      <c r="G929"/>
      <c r="H929"/>
      <c r="J929"/>
      <c r="K929"/>
      <c r="L929"/>
      <c r="M929"/>
      <c r="N929"/>
      <c r="O929"/>
    </row>
    <row r="930" spans="1:15" x14ac:dyDescent="0.2">
      <c r="A930"/>
      <c r="B930"/>
      <c r="C930"/>
      <c r="F930"/>
      <c r="G930"/>
      <c r="J930"/>
      <c r="K930"/>
      <c r="L930"/>
      <c r="M930"/>
      <c r="N930"/>
      <c r="O930"/>
    </row>
    <row r="931" spans="1:15" x14ac:dyDescent="0.2">
      <c r="A931"/>
      <c r="B931"/>
      <c r="C931"/>
      <c r="F931"/>
      <c r="G931"/>
      <c r="H931"/>
      <c r="J931"/>
      <c r="K931"/>
      <c r="L931"/>
      <c r="M931"/>
      <c r="N931"/>
      <c r="O931"/>
    </row>
    <row r="932" spans="1:15" x14ac:dyDescent="0.2">
      <c r="A932"/>
      <c r="B932"/>
      <c r="C932"/>
      <c r="F932"/>
      <c r="G932"/>
      <c r="L932"/>
      <c r="M932"/>
      <c r="N932"/>
      <c r="O932"/>
    </row>
    <row r="933" spans="1:15" x14ac:dyDescent="0.2">
      <c r="A933"/>
      <c r="B933"/>
      <c r="C933"/>
      <c r="F933"/>
      <c r="G933"/>
      <c r="H933"/>
      <c r="J933"/>
      <c r="K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J938"/>
      <c r="K938"/>
      <c r="L938"/>
      <c r="M938"/>
      <c r="N938"/>
      <c r="O938"/>
    </row>
    <row r="939" spans="1:15" x14ac:dyDescent="0.2">
      <c r="A939"/>
      <c r="B939"/>
      <c r="C939"/>
      <c r="F939"/>
      <c r="G939"/>
      <c r="H939"/>
      <c r="I939"/>
      <c r="L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H944"/>
      <c r="I944"/>
      <c r="L944"/>
      <c r="M944"/>
      <c r="N944"/>
      <c r="O944"/>
    </row>
    <row r="945" spans="1:15" x14ac:dyDescent="0.2">
      <c r="A945"/>
      <c r="B945"/>
      <c r="C945"/>
      <c r="F945"/>
      <c r="G945"/>
      <c r="L945"/>
      <c r="M945"/>
      <c r="N945"/>
      <c r="O945"/>
    </row>
    <row r="946" spans="1:15" x14ac:dyDescent="0.2">
      <c r="A946"/>
      <c r="B946"/>
      <c r="C946"/>
      <c r="F946"/>
      <c r="G946"/>
      <c r="I946"/>
      <c r="L946"/>
      <c r="M946"/>
      <c r="N946"/>
      <c r="O946"/>
    </row>
    <row r="947" spans="1:15" x14ac:dyDescent="0.2">
      <c r="A947"/>
      <c r="B947"/>
      <c r="C947"/>
      <c r="F947"/>
      <c r="G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J968"/>
      <c r="K968"/>
      <c r="L968"/>
      <c r="M968"/>
      <c r="N968"/>
      <c r="O968"/>
    </row>
    <row r="969" spans="1:15" x14ac:dyDescent="0.2">
      <c r="A969"/>
      <c r="B969"/>
      <c r="C969"/>
      <c r="F969"/>
      <c r="G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H978"/>
      <c r="J978"/>
      <c r="K978"/>
      <c r="L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M993"/>
      <c r="N993"/>
      <c r="O993"/>
    </row>
    <row r="994" spans="1:15" x14ac:dyDescent="0.2">
      <c r="A994"/>
      <c r="B994"/>
      <c r="C994"/>
      <c r="F994"/>
      <c r="G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L1001"/>
      <c r="M1001"/>
      <c r="N1001"/>
      <c r="O1001"/>
    </row>
    <row r="1002" spans="1:15" x14ac:dyDescent="0.2">
      <c r="A1002"/>
      <c r="B1002"/>
      <c r="C1002"/>
      <c r="F1002"/>
      <c r="G1002"/>
      <c r="J1002"/>
      <c r="K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H1011"/>
      <c r="I1011"/>
      <c r="L1011"/>
      <c r="M1011"/>
      <c r="N1011"/>
      <c r="O1011"/>
    </row>
    <row r="1012" spans="1:15" x14ac:dyDescent="0.2">
      <c r="A1012"/>
      <c r="B1012"/>
      <c r="C1012"/>
      <c r="F1012"/>
      <c r="G1012"/>
      <c r="L1012"/>
      <c r="M1012"/>
      <c r="N1012"/>
      <c r="O1012"/>
    </row>
    <row r="1013" spans="1:15" x14ac:dyDescent="0.2">
      <c r="A1013"/>
      <c r="B1013"/>
      <c r="C1013"/>
      <c r="F1013"/>
      <c r="G1013"/>
      <c r="H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I1021"/>
      <c r="L1021"/>
      <c r="M1021"/>
      <c r="N1021"/>
      <c r="O1021"/>
    </row>
    <row r="1022" spans="1:15" x14ac:dyDescent="0.2">
      <c r="A1022"/>
      <c r="B1022"/>
      <c r="C1022"/>
      <c r="F1022"/>
      <c r="G1022"/>
      <c r="I1022"/>
      <c r="L1022"/>
      <c r="M1022"/>
      <c r="N1022"/>
      <c r="O1022"/>
    </row>
    <row r="1023" spans="1:15" x14ac:dyDescent="0.2">
      <c r="A1023"/>
      <c r="B1023"/>
      <c r="C1023"/>
      <c r="F1023"/>
      <c r="G1023"/>
      <c r="I1023"/>
      <c r="J1023"/>
      <c r="K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J1033"/>
      <c r="K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I1044"/>
      <c r="L1044"/>
      <c r="M1044"/>
      <c r="N1044"/>
      <c r="O1044"/>
    </row>
    <row r="1045" spans="1:15" x14ac:dyDescent="0.2">
      <c r="A1045"/>
      <c r="B1045"/>
      <c r="C1045"/>
      <c r="F1045"/>
      <c r="G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J1049"/>
      <c r="K1049"/>
      <c r="L1049"/>
      <c r="M1049"/>
      <c r="N1049"/>
      <c r="O1049"/>
    </row>
    <row r="1050" spans="1:15" x14ac:dyDescent="0.2">
      <c r="A1050"/>
      <c r="B1050"/>
      <c r="C1050"/>
      <c r="F1050"/>
      <c r="G1050"/>
      <c r="I1050"/>
      <c r="L1050"/>
      <c r="M1050"/>
      <c r="N1050"/>
      <c r="O1050"/>
    </row>
    <row r="1051" spans="1:15" x14ac:dyDescent="0.2">
      <c r="A1051"/>
      <c r="B1051"/>
      <c r="C1051"/>
      <c r="F1051"/>
      <c r="G1051"/>
      <c r="H1051"/>
      <c r="I1051"/>
      <c r="J1051"/>
      <c r="K1051"/>
      <c r="L1051"/>
      <c r="M1051"/>
      <c r="N1051"/>
      <c r="O1051"/>
    </row>
    <row r="1052" spans="1:15" x14ac:dyDescent="0.2">
      <c r="A1052"/>
      <c r="B1052"/>
      <c r="C1052"/>
      <c r="F1052"/>
      <c r="G1052"/>
      <c r="H1052"/>
      <c r="I1052"/>
      <c r="L1052"/>
      <c r="M1052"/>
      <c r="N1052"/>
      <c r="O1052"/>
    </row>
    <row r="1053" spans="1:15" x14ac:dyDescent="0.2">
      <c r="A1053"/>
      <c r="B1053"/>
      <c r="C1053"/>
      <c r="F1053"/>
      <c r="G1053"/>
      <c r="J1053"/>
      <c r="K1053"/>
      <c r="L1053"/>
      <c r="M1053"/>
      <c r="N1053"/>
      <c r="O1053"/>
    </row>
    <row r="1054" spans="1:15" x14ac:dyDescent="0.2">
      <c r="A1054"/>
      <c r="B1054"/>
      <c r="C1054"/>
      <c r="F1054"/>
      <c r="G1054"/>
      <c r="H1054"/>
      <c r="I1054"/>
      <c r="L1054"/>
      <c r="M1054"/>
      <c r="N1054"/>
      <c r="O1054"/>
    </row>
    <row r="1055" spans="1:15" x14ac:dyDescent="0.2">
      <c r="A1055"/>
      <c r="B1055"/>
      <c r="C1055"/>
      <c r="F1055"/>
      <c r="G1055"/>
      <c r="J1055"/>
      <c r="K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J1059"/>
      <c r="K1059"/>
      <c r="L1059"/>
      <c r="M1059"/>
      <c r="N1059"/>
      <c r="O1059"/>
    </row>
    <row r="1060" spans="1:15" x14ac:dyDescent="0.2">
      <c r="A1060"/>
      <c r="B1060"/>
      <c r="C1060"/>
      <c r="F1060"/>
      <c r="G1060"/>
      <c r="H1060"/>
      <c r="I1060"/>
      <c r="L1060"/>
      <c r="N1060"/>
      <c r="O1060"/>
    </row>
    <row r="1061" spans="1:15" x14ac:dyDescent="0.2">
      <c r="A1061"/>
      <c r="B1061"/>
      <c r="C1061"/>
      <c r="F1061"/>
      <c r="G1061"/>
      <c r="H1061"/>
      <c r="J1061"/>
      <c r="K1061"/>
      <c r="L1061"/>
      <c r="M1061"/>
      <c r="N1061"/>
      <c r="O1061"/>
    </row>
    <row r="1062" spans="1:15" x14ac:dyDescent="0.2">
      <c r="A1062"/>
      <c r="B1062"/>
      <c r="C1062"/>
      <c r="F1062"/>
      <c r="G1062"/>
      <c r="H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G1067"/>
      <c r="J1067"/>
      <c r="K1067"/>
      <c r="L1067"/>
      <c r="M1067"/>
      <c r="N1067"/>
      <c r="O1067"/>
    </row>
    <row r="1068" spans="1:15" x14ac:dyDescent="0.2">
      <c r="A1068"/>
      <c r="B1068"/>
      <c r="C1068"/>
      <c r="F1068"/>
      <c r="G1068"/>
      <c r="H1068"/>
      <c r="I1068"/>
      <c r="L1068"/>
      <c r="N1068"/>
      <c r="O1068"/>
    </row>
    <row r="1069" spans="1:15" x14ac:dyDescent="0.2">
      <c r="A1069"/>
      <c r="B1069"/>
      <c r="C1069"/>
      <c r="F1069"/>
      <c r="G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M1072"/>
      <c r="N1072"/>
      <c r="O1072"/>
    </row>
    <row r="1073" spans="1:15" x14ac:dyDescent="0.2">
      <c r="A1073"/>
      <c r="B1073"/>
      <c r="C1073"/>
      <c r="F1073"/>
      <c r="G1073"/>
      <c r="L1073"/>
      <c r="M1073"/>
      <c r="N1073"/>
      <c r="O1073"/>
    </row>
    <row r="1074" spans="1:15" x14ac:dyDescent="0.2">
      <c r="A1074"/>
      <c r="B1074"/>
      <c r="C1074"/>
      <c r="F1074"/>
      <c r="G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M1077"/>
      <c r="N1077"/>
      <c r="O1077"/>
    </row>
    <row r="1078" spans="1:15" x14ac:dyDescent="0.2">
      <c r="A1078"/>
      <c r="B1078"/>
      <c r="C1078"/>
      <c r="F1078"/>
      <c r="G1078"/>
      <c r="N1078"/>
      <c r="O1078"/>
    </row>
    <row r="1079" spans="1:15" x14ac:dyDescent="0.2">
      <c r="A1079"/>
      <c r="B1079"/>
      <c r="C1079"/>
      <c r="F1079"/>
      <c r="G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N1083"/>
      <c r="O1083"/>
    </row>
    <row r="1084" spans="1:15" x14ac:dyDescent="0.2">
      <c r="A1084"/>
      <c r="B1084"/>
      <c r="C1084"/>
      <c r="F1084"/>
      <c r="G1084"/>
      <c r="I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I1087"/>
      <c r="L1087"/>
      <c r="M1087"/>
      <c r="N1087"/>
      <c r="O1087"/>
    </row>
    <row r="1088" spans="1:15" x14ac:dyDescent="0.2">
      <c r="A1088"/>
      <c r="B1088"/>
      <c r="C1088"/>
      <c r="F1088"/>
      <c r="G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L1091"/>
      <c r="M1091"/>
      <c r="N1091"/>
      <c r="O1091"/>
    </row>
    <row r="1092" spans="1:15" x14ac:dyDescent="0.2">
      <c r="A1092"/>
      <c r="B1092"/>
      <c r="C1092"/>
      <c r="F1092"/>
      <c r="G1092"/>
      <c r="H1092"/>
      <c r="I1092"/>
      <c r="L1092"/>
      <c r="M1092"/>
      <c r="N1092"/>
      <c r="O1092"/>
    </row>
    <row r="1093" spans="1:15" x14ac:dyDescent="0.2">
      <c r="A1093"/>
      <c r="B1093"/>
      <c r="C1093"/>
      <c r="F1093"/>
      <c r="G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M1097"/>
      <c r="N1097"/>
      <c r="O1097"/>
    </row>
    <row r="1098" spans="1:15" x14ac:dyDescent="0.2">
      <c r="A1098"/>
      <c r="B1098"/>
      <c r="C1098"/>
      <c r="F1098"/>
      <c r="G1098"/>
      <c r="H1098"/>
      <c r="J1098"/>
      <c r="K1098"/>
      <c r="L1098"/>
      <c r="M1098"/>
      <c r="N1098"/>
      <c r="O1098"/>
    </row>
    <row r="1099" spans="1:15" x14ac:dyDescent="0.2">
      <c r="A1099"/>
      <c r="B1099"/>
      <c r="C1099"/>
      <c r="F1099"/>
      <c r="G1099"/>
      <c r="H1099"/>
      <c r="J1099"/>
      <c r="K1099"/>
      <c r="L1099"/>
      <c r="M1099"/>
      <c r="N1099"/>
      <c r="O1099"/>
    </row>
    <row r="1100" spans="1:15" x14ac:dyDescent="0.2">
      <c r="A1100"/>
      <c r="B1100"/>
      <c r="C1100"/>
      <c r="F1100"/>
      <c r="G1100"/>
      <c r="H1100"/>
      <c r="J1100"/>
      <c r="K1100"/>
      <c r="L1100"/>
      <c r="M1100"/>
      <c r="N1100"/>
      <c r="O1100"/>
    </row>
    <row r="1101" spans="1:15" x14ac:dyDescent="0.2">
      <c r="A1101"/>
      <c r="B1101"/>
      <c r="C1101"/>
      <c r="F1101"/>
      <c r="G1101"/>
      <c r="H1101"/>
      <c r="L1101"/>
      <c r="M1101"/>
      <c r="N1101"/>
      <c r="O1101"/>
    </row>
    <row r="1102" spans="1:15" x14ac:dyDescent="0.2">
      <c r="A1102"/>
      <c r="B1102"/>
      <c r="C1102"/>
      <c r="F1102"/>
      <c r="G1102"/>
      <c r="I1102"/>
      <c r="L1102"/>
      <c r="M1102"/>
      <c r="N1102"/>
      <c r="O1102"/>
    </row>
    <row r="1103" spans="1:15" x14ac:dyDescent="0.2">
      <c r="A1103"/>
      <c r="B1103"/>
      <c r="C1103"/>
      <c r="F1103"/>
      <c r="G1103"/>
      <c r="I1103"/>
      <c r="L1103"/>
      <c r="M1103"/>
      <c r="N1103"/>
      <c r="O1103"/>
    </row>
    <row r="1104" spans="1:15" x14ac:dyDescent="0.2">
      <c r="A1104"/>
      <c r="B1104"/>
      <c r="C1104"/>
      <c r="F1104"/>
      <c r="G1104"/>
      <c r="M1104"/>
      <c r="N1104"/>
      <c r="O1104"/>
    </row>
    <row r="1105" spans="1:15" x14ac:dyDescent="0.2">
      <c r="A1105"/>
      <c r="B1105"/>
      <c r="C1105"/>
      <c r="F1105"/>
      <c r="G1105"/>
      <c r="H1105"/>
      <c r="I1105"/>
      <c r="L1105"/>
      <c r="M1105"/>
      <c r="N1105"/>
      <c r="O1105"/>
    </row>
    <row r="1106" spans="1:15" x14ac:dyDescent="0.2">
      <c r="A1106"/>
      <c r="B1106"/>
      <c r="C1106"/>
      <c r="F1106"/>
      <c r="G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H1108"/>
      <c r="I1108"/>
      <c r="L1108"/>
      <c r="N1108"/>
      <c r="O1108"/>
    </row>
    <row r="1109" spans="1:15" x14ac:dyDescent="0.2">
      <c r="A1109"/>
      <c r="B1109"/>
      <c r="C1109"/>
      <c r="F1109"/>
      <c r="G1109"/>
      <c r="H1109"/>
      <c r="J1109"/>
      <c r="K1109"/>
      <c r="L1109"/>
      <c r="M1109"/>
      <c r="N1109"/>
      <c r="O1109"/>
    </row>
    <row r="1110" spans="1:15" x14ac:dyDescent="0.2">
      <c r="A1110"/>
      <c r="B1110"/>
      <c r="C1110"/>
      <c r="F1110"/>
      <c r="G1110"/>
      <c r="H1110"/>
      <c r="I1110"/>
      <c r="L1110"/>
      <c r="M1110"/>
      <c r="N1110"/>
      <c r="O1110"/>
    </row>
    <row r="1111" spans="1:15" x14ac:dyDescent="0.2">
      <c r="A1111"/>
      <c r="B1111"/>
      <c r="C1111"/>
      <c r="F1111"/>
      <c r="G1111"/>
      <c r="I1111"/>
      <c r="L1111"/>
      <c r="M1111"/>
      <c r="N1111"/>
      <c r="O1111"/>
    </row>
    <row r="1112" spans="1:15" x14ac:dyDescent="0.2">
      <c r="A1112"/>
      <c r="B1112"/>
      <c r="C1112"/>
      <c r="F1112"/>
      <c r="G1112"/>
      <c r="H1112"/>
      <c r="I1112"/>
      <c r="L1112"/>
      <c r="M1112"/>
      <c r="N1112"/>
      <c r="O1112"/>
    </row>
    <row r="1113" spans="1:15" x14ac:dyDescent="0.2">
      <c r="A1113"/>
      <c r="B1113"/>
      <c r="C1113"/>
      <c r="F1113"/>
      <c r="G1113"/>
      <c r="L1113"/>
      <c r="M1113"/>
      <c r="N1113"/>
      <c r="O1113"/>
    </row>
    <row r="1114" spans="1:15" x14ac:dyDescent="0.2">
      <c r="A1114"/>
      <c r="B1114"/>
      <c r="C1114"/>
      <c r="F1114"/>
      <c r="G1114"/>
      <c r="L1114"/>
      <c r="M1114"/>
      <c r="N1114"/>
      <c r="O1114"/>
    </row>
    <row r="1115" spans="1:15" x14ac:dyDescent="0.2">
      <c r="A1115"/>
      <c r="B1115"/>
      <c r="C1115"/>
      <c r="F1115"/>
      <c r="G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I1118"/>
      <c r="L1118"/>
      <c r="M1118"/>
      <c r="N1118"/>
      <c r="O1118"/>
    </row>
    <row r="1119" spans="1:15" x14ac:dyDescent="0.2">
      <c r="A1119"/>
      <c r="B1119"/>
      <c r="C1119"/>
      <c r="F1119"/>
      <c r="G1119"/>
      <c r="H1119"/>
      <c r="I1119"/>
      <c r="L1119"/>
      <c r="M1119"/>
      <c r="N1119"/>
      <c r="O1119"/>
    </row>
    <row r="1120" spans="1:15" x14ac:dyDescent="0.2">
      <c r="A1120"/>
      <c r="B1120"/>
      <c r="C1120"/>
      <c r="F1120"/>
      <c r="G1120"/>
      <c r="H1120"/>
      <c r="L1120"/>
      <c r="M1120"/>
      <c r="N1120"/>
      <c r="O1120"/>
    </row>
    <row r="1121" spans="1:15" x14ac:dyDescent="0.2">
      <c r="A1121"/>
      <c r="B1121"/>
      <c r="C1121"/>
      <c r="F1121"/>
      <c r="G1121"/>
      <c r="I1121"/>
      <c r="L1121"/>
      <c r="M1121"/>
      <c r="N1121"/>
      <c r="O1121"/>
    </row>
    <row r="1122" spans="1:15" x14ac:dyDescent="0.2">
      <c r="A1122"/>
      <c r="B1122"/>
      <c r="C1122"/>
      <c r="F1122"/>
      <c r="G1122"/>
      <c r="N1122"/>
      <c r="O1122"/>
    </row>
    <row r="1123" spans="1:15" x14ac:dyDescent="0.2">
      <c r="A1123"/>
      <c r="B1123"/>
      <c r="C1123"/>
      <c r="F1123"/>
      <c r="G1123"/>
      <c r="I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H1127"/>
      <c r="J1127"/>
      <c r="K1127"/>
      <c r="L1127"/>
      <c r="M1127"/>
      <c r="N1127"/>
      <c r="O1127"/>
    </row>
    <row r="1128" spans="1:15" x14ac:dyDescent="0.2">
      <c r="A1128"/>
      <c r="B1128"/>
      <c r="C1128"/>
      <c r="F1128"/>
      <c r="G1128"/>
      <c r="I1128"/>
      <c r="L1128"/>
      <c r="M1128"/>
      <c r="N1128"/>
      <c r="O1128"/>
    </row>
    <row r="1129" spans="1:15" x14ac:dyDescent="0.2">
      <c r="A1129"/>
      <c r="B1129"/>
      <c r="C1129"/>
      <c r="F1129"/>
      <c r="G1129"/>
      <c r="J1129"/>
      <c r="K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M1132"/>
      <c r="N1132"/>
      <c r="O1132"/>
    </row>
    <row r="1133" spans="1:15" x14ac:dyDescent="0.2">
      <c r="A1133"/>
      <c r="B1133"/>
      <c r="C1133"/>
      <c r="F1133"/>
      <c r="G1133"/>
      <c r="H1133"/>
      <c r="L1133"/>
      <c r="M1133"/>
      <c r="N1133"/>
      <c r="O1133"/>
    </row>
    <row r="1134" spans="1:15" x14ac:dyDescent="0.2">
      <c r="A1134"/>
      <c r="B1134"/>
      <c r="C1134"/>
      <c r="F1134"/>
      <c r="G1134"/>
      <c r="I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H1137"/>
      <c r="J1137"/>
      <c r="K1137"/>
      <c r="L1137"/>
      <c r="M1137"/>
      <c r="N1137"/>
      <c r="O1137"/>
    </row>
    <row r="1138" spans="1:15" x14ac:dyDescent="0.2">
      <c r="A1138"/>
      <c r="B1138"/>
      <c r="C1138"/>
      <c r="F1138"/>
      <c r="G1138"/>
      <c r="L1138"/>
      <c r="M1138"/>
      <c r="N1138"/>
      <c r="O1138"/>
    </row>
    <row r="1139" spans="1:15" x14ac:dyDescent="0.2">
      <c r="A1139"/>
      <c r="B1139"/>
      <c r="C1139"/>
      <c r="F1139"/>
      <c r="G1139"/>
      <c r="J1139"/>
      <c r="K1139"/>
      <c r="L1139"/>
      <c r="M1139"/>
      <c r="N1139"/>
      <c r="O1139"/>
    </row>
    <row r="1140" spans="1:15" x14ac:dyDescent="0.2">
      <c r="A1140"/>
      <c r="B1140"/>
      <c r="C1140"/>
      <c r="F1140"/>
      <c r="G1140"/>
      <c r="H1140"/>
      <c r="L1140"/>
      <c r="M1140"/>
      <c r="N1140"/>
      <c r="O1140"/>
    </row>
    <row r="1141" spans="1:15" x14ac:dyDescent="0.2">
      <c r="A1141"/>
      <c r="B1141"/>
      <c r="C1141"/>
      <c r="F1141"/>
      <c r="G1141"/>
      <c r="L1141"/>
      <c r="M1141"/>
      <c r="N1141"/>
      <c r="O1141"/>
    </row>
    <row r="1142" spans="1:15" x14ac:dyDescent="0.2">
      <c r="A1142"/>
      <c r="B1142"/>
      <c r="C1142"/>
      <c r="F1142"/>
      <c r="G1142"/>
      <c r="L1142"/>
      <c r="M1142"/>
      <c r="N1142"/>
      <c r="O1142"/>
    </row>
    <row r="1143" spans="1:15" x14ac:dyDescent="0.2">
      <c r="A1143"/>
      <c r="B1143"/>
      <c r="C1143"/>
      <c r="F1143"/>
      <c r="G1143"/>
      <c r="H1143"/>
      <c r="L1143"/>
      <c r="M1143"/>
      <c r="N1143"/>
      <c r="O1143"/>
    </row>
    <row r="1144" spans="1:15" x14ac:dyDescent="0.2">
      <c r="A1144"/>
      <c r="B1144"/>
      <c r="C1144"/>
      <c r="F1144"/>
      <c r="G1144"/>
      <c r="H1144"/>
      <c r="I1144"/>
      <c r="L1144"/>
      <c r="M1144"/>
      <c r="N1144"/>
      <c r="O1144"/>
    </row>
    <row r="1145" spans="1:15" x14ac:dyDescent="0.2">
      <c r="A1145"/>
      <c r="B1145"/>
      <c r="C1145"/>
      <c r="F1145"/>
      <c r="G1145"/>
      <c r="L1145"/>
      <c r="M1145"/>
      <c r="N1145"/>
      <c r="O1145"/>
    </row>
    <row r="1146" spans="1:15" x14ac:dyDescent="0.2">
      <c r="A1146"/>
      <c r="B1146"/>
      <c r="C1146"/>
      <c r="F1146"/>
      <c r="G1146"/>
      <c r="L1146"/>
      <c r="M1146"/>
      <c r="N1146"/>
      <c r="O1146"/>
    </row>
    <row r="1147" spans="1:15" x14ac:dyDescent="0.2">
      <c r="A1147"/>
      <c r="B1147"/>
      <c r="C1147"/>
      <c r="F1147"/>
      <c r="G1147"/>
      <c r="H1147"/>
      <c r="I1147"/>
      <c r="L1147"/>
      <c r="M1147"/>
      <c r="N1147"/>
      <c r="O1147"/>
    </row>
    <row r="1148" spans="1:15" x14ac:dyDescent="0.2">
      <c r="A1148"/>
      <c r="B1148"/>
      <c r="C1148"/>
      <c r="F1148"/>
      <c r="G1148"/>
      <c r="J1148"/>
      <c r="K1148"/>
      <c r="L1148"/>
      <c r="M1148"/>
      <c r="N1148"/>
      <c r="O1148"/>
    </row>
    <row r="1149" spans="1:15" x14ac:dyDescent="0.2">
      <c r="A1149"/>
      <c r="B1149"/>
      <c r="C1149"/>
      <c r="F1149"/>
      <c r="G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L1151"/>
      <c r="M1151"/>
      <c r="N1151"/>
      <c r="O1151"/>
    </row>
    <row r="1152" spans="1:15" x14ac:dyDescent="0.2">
      <c r="A1152"/>
      <c r="B1152"/>
      <c r="C1152"/>
      <c r="F1152"/>
      <c r="G1152"/>
      <c r="H1152"/>
      <c r="I1152"/>
      <c r="L1152"/>
      <c r="M1152"/>
      <c r="N1152"/>
      <c r="O1152"/>
    </row>
    <row r="1153" spans="1:15" x14ac:dyDescent="0.2">
      <c r="A1153"/>
      <c r="B1153"/>
      <c r="C1153"/>
      <c r="F1153"/>
      <c r="G1153"/>
      <c r="H1153"/>
      <c r="I1153"/>
      <c r="L1153"/>
      <c r="M1153"/>
      <c r="N1153"/>
      <c r="O1153"/>
    </row>
    <row r="1154" spans="1:15" x14ac:dyDescent="0.2">
      <c r="A1154"/>
      <c r="B1154"/>
      <c r="C1154"/>
      <c r="F1154"/>
      <c r="G1154"/>
      <c r="H1154"/>
      <c r="I1154"/>
      <c r="L1154"/>
      <c r="M1154"/>
      <c r="N1154"/>
      <c r="O1154"/>
    </row>
    <row r="1155" spans="1:15" x14ac:dyDescent="0.2">
      <c r="A1155"/>
      <c r="B1155"/>
      <c r="C1155"/>
      <c r="F1155"/>
      <c r="G1155"/>
      <c r="H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J1160"/>
      <c r="K1160"/>
      <c r="L1160"/>
      <c r="M1160"/>
      <c r="N1160"/>
      <c r="O1160"/>
    </row>
    <row r="1161" spans="1:15" x14ac:dyDescent="0.2">
      <c r="A1161"/>
      <c r="B1161"/>
      <c r="C1161"/>
      <c r="F1161"/>
      <c r="G1161"/>
      <c r="I1161"/>
      <c r="L1161"/>
      <c r="M1161"/>
      <c r="N1161"/>
      <c r="O1161"/>
    </row>
    <row r="1162" spans="1:15" x14ac:dyDescent="0.2">
      <c r="A1162"/>
      <c r="B1162"/>
      <c r="C1162"/>
      <c r="F1162"/>
      <c r="G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M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L1172"/>
      <c r="M1172"/>
      <c r="N1172"/>
      <c r="O1172"/>
    </row>
    <row r="1173" spans="1:15" x14ac:dyDescent="0.2">
      <c r="A1173"/>
      <c r="B1173"/>
      <c r="C1173"/>
      <c r="F1173"/>
      <c r="G1173"/>
      <c r="H1173"/>
      <c r="L1173"/>
      <c r="M1173"/>
      <c r="N1173"/>
      <c r="O1173"/>
    </row>
    <row r="1174" spans="1:15" x14ac:dyDescent="0.2">
      <c r="A1174"/>
      <c r="B1174"/>
      <c r="C1174"/>
      <c r="F1174"/>
      <c r="G1174"/>
      <c r="H1174"/>
      <c r="I1174"/>
      <c r="L1174"/>
      <c r="M1174"/>
      <c r="N1174"/>
      <c r="O1174"/>
    </row>
    <row r="1175" spans="1:15" x14ac:dyDescent="0.2">
      <c r="A1175"/>
      <c r="B1175"/>
      <c r="C1175"/>
      <c r="F1175"/>
      <c r="G1175"/>
      <c r="H1175"/>
      <c r="J1175"/>
      <c r="K1175"/>
      <c r="L1175"/>
      <c r="M1175"/>
      <c r="N1175"/>
      <c r="O1175"/>
    </row>
    <row r="1176" spans="1:15" x14ac:dyDescent="0.2">
      <c r="A1176"/>
      <c r="B1176"/>
      <c r="C1176"/>
      <c r="F1176"/>
      <c r="G1176"/>
      <c r="H1176"/>
      <c r="I1176"/>
      <c r="L1176"/>
      <c r="M1176"/>
      <c r="N1176"/>
      <c r="O1176"/>
    </row>
    <row r="1177" spans="1:15" x14ac:dyDescent="0.2">
      <c r="A1177"/>
      <c r="B1177"/>
      <c r="C1177"/>
      <c r="F1177"/>
      <c r="G1177"/>
      <c r="L1177"/>
      <c r="M1177"/>
      <c r="N1177"/>
      <c r="O1177"/>
    </row>
    <row r="1178" spans="1:15" x14ac:dyDescent="0.2">
      <c r="A1178"/>
      <c r="B1178"/>
      <c r="C1178"/>
      <c r="F1178"/>
      <c r="G1178"/>
      <c r="M1178"/>
      <c r="N1178"/>
      <c r="O1178"/>
    </row>
    <row r="1179" spans="1:15" x14ac:dyDescent="0.2">
      <c r="A1179"/>
      <c r="B1179"/>
      <c r="C1179"/>
      <c r="F1179"/>
      <c r="G1179"/>
      <c r="H1179"/>
      <c r="I1179"/>
      <c r="L1179"/>
      <c r="M1179"/>
      <c r="N1179"/>
      <c r="O1179"/>
    </row>
    <row r="1180" spans="1:15" x14ac:dyDescent="0.2">
      <c r="A1180"/>
      <c r="B1180"/>
      <c r="C1180"/>
      <c r="F1180"/>
      <c r="G1180"/>
      <c r="H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J1187"/>
      <c r="K1187"/>
      <c r="L1187"/>
      <c r="M1187"/>
      <c r="N1187"/>
      <c r="O1187"/>
    </row>
    <row r="1188" spans="1:15" x14ac:dyDescent="0.2">
      <c r="A1188"/>
      <c r="B1188"/>
      <c r="C1188"/>
      <c r="F1188"/>
      <c r="G1188"/>
      <c r="H1188"/>
      <c r="L1188"/>
      <c r="M1188"/>
      <c r="N1188"/>
      <c r="O1188"/>
    </row>
    <row r="1189" spans="1:15" x14ac:dyDescent="0.2">
      <c r="A1189"/>
      <c r="B1189"/>
      <c r="C1189"/>
      <c r="F1189"/>
      <c r="G1189"/>
      <c r="H1189"/>
      <c r="J1189"/>
      <c r="K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I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J1201"/>
      <c r="K1201"/>
      <c r="L1201"/>
      <c r="M1201"/>
      <c r="N1201"/>
      <c r="O1201"/>
    </row>
    <row r="1202" spans="1:15" x14ac:dyDescent="0.2">
      <c r="A1202"/>
      <c r="B1202"/>
      <c r="C1202"/>
      <c r="F1202"/>
      <c r="G1202"/>
      <c r="H1202"/>
      <c r="I1202"/>
      <c r="L1202"/>
      <c r="N1202"/>
      <c r="O1202"/>
    </row>
    <row r="1203" spans="1:15" x14ac:dyDescent="0.2">
      <c r="A1203"/>
      <c r="B1203"/>
      <c r="C1203"/>
      <c r="F1203"/>
      <c r="G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I1205"/>
      <c r="L1205"/>
      <c r="M1205"/>
      <c r="N1205"/>
      <c r="O1205"/>
    </row>
    <row r="1206" spans="1:15" x14ac:dyDescent="0.2">
      <c r="A1206"/>
      <c r="B1206"/>
      <c r="C1206"/>
      <c r="F1206"/>
      <c r="G1206"/>
      <c r="J1206"/>
      <c r="K1206"/>
      <c r="L1206"/>
      <c r="M1206"/>
      <c r="N1206"/>
      <c r="O1206"/>
    </row>
    <row r="1207" spans="1:15" x14ac:dyDescent="0.2">
      <c r="A1207"/>
      <c r="B1207"/>
      <c r="C1207"/>
      <c r="F1207"/>
      <c r="G1207"/>
      <c r="L1207"/>
      <c r="M1207"/>
      <c r="N1207"/>
      <c r="O1207"/>
    </row>
    <row r="1208" spans="1:15" x14ac:dyDescent="0.2">
      <c r="A1208"/>
      <c r="B1208"/>
      <c r="C1208"/>
      <c r="F1208"/>
      <c r="G1208"/>
      <c r="H1208"/>
      <c r="I1208"/>
      <c r="L1208"/>
      <c r="M1208"/>
      <c r="N1208"/>
      <c r="O1208"/>
    </row>
    <row r="1209" spans="1:15" x14ac:dyDescent="0.2">
      <c r="A1209"/>
      <c r="B1209"/>
      <c r="C1209"/>
      <c r="F1209"/>
      <c r="G1209"/>
      <c r="I1209"/>
      <c r="L1209"/>
      <c r="M1209"/>
      <c r="N1209"/>
      <c r="O1209"/>
    </row>
    <row r="1210" spans="1:15" x14ac:dyDescent="0.2">
      <c r="A1210"/>
      <c r="B1210"/>
      <c r="C1210"/>
      <c r="F1210"/>
      <c r="G1210"/>
      <c r="I1210"/>
      <c r="L1210"/>
      <c r="M1210"/>
      <c r="N1210"/>
      <c r="O1210"/>
    </row>
    <row r="1211" spans="1:15" x14ac:dyDescent="0.2">
      <c r="A1211"/>
      <c r="B1211"/>
      <c r="C1211"/>
      <c r="F1211"/>
      <c r="G1211"/>
      <c r="H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H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H1219"/>
      <c r="I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L1224"/>
      <c r="M1224"/>
      <c r="N1224"/>
      <c r="O1224"/>
    </row>
    <row r="1225" spans="1:15" x14ac:dyDescent="0.2">
      <c r="A1225"/>
      <c r="B1225"/>
      <c r="C1225"/>
      <c r="F1225"/>
      <c r="G1225"/>
      <c r="I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L1228"/>
      <c r="M1228"/>
      <c r="N1228"/>
      <c r="O1228"/>
    </row>
    <row r="1229" spans="1:15" x14ac:dyDescent="0.2">
      <c r="A1229"/>
      <c r="B1229"/>
      <c r="C1229"/>
      <c r="F1229"/>
      <c r="G1229"/>
      <c r="H1229"/>
      <c r="M1229"/>
      <c r="N1229"/>
      <c r="O1229"/>
    </row>
    <row r="1230" spans="1:15" x14ac:dyDescent="0.2">
      <c r="A1230"/>
      <c r="B1230"/>
      <c r="C1230"/>
      <c r="F1230"/>
      <c r="G1230"/>
      <c r="H1230"/>
      <c r="J1230"/>
      <c r="K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I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H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J1243"/>
      <c r="K1243"/>
      <c r="L1243"/>
      <c r="M1243"/>
      <c r="N1243"/>
      <c r="O1243"/>
    </row>
    <row r="1244" spans="1:15" x14ac:dyDescent="0.2">
      <c r="A1244"/>
      <c r="B1244"/>
      <c r="C1244"/>
      <c r="F1244"/>
      <c r="G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I1247"/>
      <c r="L1247"/>
      <c r="M1247"/>
      <c r="N1247"/>
      <c r="O1247"/>
    </row>
    <row r="1248" spans="1:15" x14ac:dyDescent="0.2">
      <c r="A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L1251"/>
      <c r="M1251"/>
      <c r="N1251"/>
      <c r="O1251"/>
    </row>
    <row r="1252" spans="1:15" x14ac:dyDescent="0.2">
      <c r="A1252"/>
      <c r="B1252"/>
      <c r="C1252"/>
      <c r="F1252"/>
      <c r="G1252"/>
      <c r="H1252"/>
      <c r="I1252"/>
      <c r="L1252"/>
      <c r="M1252"/>
      <c r="N1252"/>
      <c r="O1252"/>
    </row>
    <row r="1253" spans="1:15" x14ac:dyDescent="0.2">
      <c r="A1253"/>
      <c r="B1253"/>
      <c r="C1253"/>
      <c r="F1253"/>
      <c r="G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H1256"/>
      <c r="I1256"/>
      <c r="L1256"/>
      <c r="M1256"/>
      <c r="N1256"/>
      <c r="O1256"/>
    </row>
    <row r="1257" spans="1:15" x14ac:dyDescent="0.2">
      <c r="A1257"/>
      <c r="B1257"/>
      <c r="C1257"/>
      <c r="F1257"/>
      <c r="G1257"/>
      <c r="L1257"/>
      <c r="M1257"/>
      <c r="N1257"/>
      <c r="O1257"/>
    </row>
    <row r="1258" spans="1:15" x14ac:dyDescent="0.2">
      <c r="A1258"/>
      <c r="B1258"/>
      <c r="C1258"/>
      <c r="F1258"/>
      <c r="G1258"/>
      <c r="I1258"/>
      <c r="L1258"/>
      <c r="M1258"/>
      <c r="N1258"/>
      <c r="O1258"/>
    </row>
    <row r="1259" spans="1:15" x14ac:dyDescent="0.2">
      <c r="A1259"/>
      <c r="B1259"/>
      <c r="C1259"/>
      <c r="F1259"/>
      <c r="G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L1261"/>
      <c r="M1261"/>
      <c r="N1261"/>
      <c r="O1261"/>
    </row>
    <row r="1262" spans="1:15" x14ac:dyDescent="0.2">
      <c r="A1262"/>
      <c r="B1262"/>
      <c r="C1262"/>
      <c r="F1262"/>
      <c r="G1262"/>
      <c r="I1262"/>
      <c r="L1262"/>
      <c r="M1262"/>
      <c r="N1262"/>
      <c r="O1262"/>
    </row>
    <row r="1263" spans="1:15" x14ac:dyDescent="0.2">
      <c r="A1263"/>
      <c r="B1263"/>
      <c r="C1263"/>
      <c r="F1263"/>
      <c r="G1263"/>
      <c r="H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J1276"/>
      <c r="K1276"/>
      <c r="L1276"/>
      <c r="M1276"/>
      <c r="N1276"/>
      <c r="O1276"/>
    </row>
    <row r="1277" spans="1:15" x14ac:dyDescent="0.2">
      <c r="A1277"/>
      <c r="B1277"/>
      <c r="C1277"/>
      <c r="F1277"/>
      <c r="G1277"/>
      <c r="H1277"/>
      <c r="J1277"/>
      <c r="K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J1281"/>
      <c r="K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J1284"/>
      <c r="K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I1292"/>
      <c r="L1292"/>
      <c r="M1292"/>
      <c r="N1292"/>
      <c r="O1292"/>
    </row>
    <row r="1293" spans="1:15" x14ac:dyDescent="0.2">
      <c r="A1293"/>
      <c r="B1293"/>
      <c r="C1293"/>
      <c r="F1293"/>
      <c r="G1293"/>
      <c r="H1293"/>
      <c r="I1293"/>
      <c r="L1293"/>
      <c r="M1293"/>
      <c r="N1293"/>
      <c r="O1293"/>
    </row>
    <row r="1294" spans="1:15" x14ac:dyDescent="0.2">
      <c r="A1294"/>
      <c r="B1294"/>
      <c r="C1294"/>
      <c r="F1294"/>
      <c r="G1294"/>
      <c r="I1294"/>
      <c r="L1294"/>
      <c r="M1294"/>
      <c r="N1294"/>
      <c r="O1294"/>
    </row>
    <row r="1295" spans="1:15" x14ac:dyDescent="0.2">
      <c r="A1295"/>
      <c r="B1295"/>
      <c r="C1295"/>
      <c r="F1295"/>
      <c r="G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N1300"/>
      <c r="O1300"/>
    </row>
    <row r="1301" spans="1:15" x14ac:dyDescent="0.2">
      <c r="A1301"/>
      <c r="B1301"/>
      <c r="C1301"/>
      <c r="F1301"/>
      <c r="G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I1309"/>
      <c r="L1309"/>
      <c r="M1309"/>
      <c r="N1309"/>
      <c r="O1309"/>
    </row>
    <row r="1310" spans="1:15" x14ac:dyDescent="0.2">
      <c r="A1310"/>
      <c r="B1310"/>
      <c r="C1310"/>
      <c r="F1310"/>
      <c r="G1310"/>
      <c r="I1310"/>
      <c r="L1310"/>
      <c r="M1310"/>
      <c r="N1310"/>
      <c r="O1310"/>
    </row>
    <row r="1311" spans="1:15" x14ac:dyDescent="0.2">
      <c r="A1311"/>
      <c r="B1311"/>
      <c r="C1311"/>
      <c r="F1311"/>
      <c r="G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J1316"/>
      <c r="K1316"/>
      <c r="L1316"/>
      <c r="M1316"/>
      <c r="N1316"/>
      <c r="O1316"/>
    </row>
    <row r="1317" spans="1:15" x14ac:dyDescent="0.2">
      <c r="A1317"/>
      <c r="B1317"/>
      <c r="C1317"/>
      <c r="F1317"/>
      <c r="G1317"/>
      <c r="L1317"/>
      <c r="M1317"/>
      <c r="N1317"/>
      <c r="O1317"/>
    </row>
    <row r="1318" spans="1:15" x14ac:dyDescent="0.2">
      <c r="A1318"/>
      <c r="B1318"/>
      <c r="C1318"/>
      <c r="F1318"/>
      <c r="G1318"/>
      <c r="H1318"/>
      <c r="J1318"/>
      <c r="K1318"/>
      <c r="L1318"/>
      <c r="M1318"/>
      <c r="N1318"/>
      <c r="O1318"/>
    </row>
    <row r="1319" spans="1:15" x14ac:dyDescent="0.2">
      <c r="A1319"/>
      <c r="B1319"/>
      <c r="C1319"/>
      <c r="F1319"/>
      <c r="G1319"/>
      <c r="L1319"/>
      <c r="M1319"/>
      <c r="N1319"/>
      <c r="O1319"/>
    </row>
    <row r="1320" spans="1:15" x14ac:dyDescent="0.2">
      <c r="A1320"/>
      <c r="B1320"/>
      <c r="C1320"/>
      <c r="F1320"/>
      <c r="G1320"/>
      <c r="H1320"/>
      <c r="J1320"/>
      <c r="K1320"/>
      <c r="L1320"/>
      <c r="M1320"/>
      <c r="N1320"/>
      <c r="O1320"/>
    </row>
    <row r="1321" spans="1:15" x14ac:dyDescent="0.2">
      <c r="A1321"/>
      <c r="B1321"/>
      <c r="C1321"/>
      <c r="F1321"/>
      <c r="G1321"/>
      <c r="J1321"/>
      <c r="K1321"/>
      <c r="L1321"/>
      <c r="M1321"/>
      <c r="N1321"/>
      <c r="O1321"/>
    </row>
    <row r="1322" spans="1:15" x14ac:dyDescent="0.2">
      <c r="A1322"/>
      <c r="B1322"/>
      <c r="C1322"/>
      <c r="F1322"/>
      <c r="G1322"/>
      <c r="H1322"/>
      <c r="I1322"/>
      <c r="L1322"/>
      <c r="N1322"/>
      <c r="O1322"/>
    </row>
    <row r="1323" spans="1:15" x14ac:dyDescent="0.2">
      <c r="A1323"/>
      <c r="B1323"/>
      <c r="C1323"/>
      <c r="F1323"/>
      <c r="G1323"/>
      <c r="I1323"/>
      <c r="L1323"/>
      <c r="M1323"/>
      <c r="N1323"/>
      <c r="O1323"/>
    </row>
    <row r="1324" spans="1:15" x14ac:dyDescent="0.2">
      <c r="A1324"/>
      <c r="B1324"/>
      <c r="C1324"/>
      <c r="F1324"/>
      <c r="G1324"/>
      <c r="L1324"/>
      <c r="M1324"/>
      <c r="N1324"/>
      <c r="O1324"/>
    </row>
    <row r="1325" spans="1:15" x14ac:dyDescent="0.2">
      <c r="A1325"/>
      <c r="B1325"/>
      <c r="C1325"/>
      <c r="F1325"/>
      <c r="G1325"/>
      <c r="H1325"/>
      <c r="I1325"/>
      <c r="L1325"/>
      <c r="M1325"/>
      <c r="N1325"/>
      <c r="O1325"/>
    </row>
    <row r="1326" spans="1:15" x14ac:dyDescent="0.2">
      <c r="A1326"/>
      <c r="B1326"/>
      <c r="C1326"/>
      <c r="F1326"/>
      <c r="G1326"/>
      <c r="L1326"/>
      <c r="M1326"/>
      <c r="N1326"/>
      <c r="O1326"/>
    </row>
    <row r="1327" spans="1:15" x14ac:dyDescent="0.2">
      <c r="A1327"/>
      <c r="B1327"/>
      <c r="C1327"/>
      <c r="F1327"/>
      <c r="G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M1329"/>
      <c r="N1329"/>
      <c r="O1329"/>
    </row>
    <row r="1330" spans="1:15" x14ac:dyDescent="0.2">
      <c r="A1330"/>
      <c r="B1330"/>
      <c r="C1330"/>
      <c r="F1330"/>
      <c r="G1330"/>
      <c r="L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I1333"/>
      <c r="L1333"/>
      <c r="M1333"/>
      <c r="N1333"/>
      <c r="O1333"/>
    </row>
    <row r="1334" spans="1:15" x14ac:dyDescent="0.2">
      <c r="A1334"/>
      <c r="B1334"/>
      <c r="C1334"/>
      <c r="F1334"/>
      <c r="G1334"/>
      <c r="H1334"/>
      <c r="I1334"/>
      <c r="L1334"/>
      <c r="M1334"/>
      <c r="N1334"/>
      <c r="O1334"/>
    </row>
    <row r="1335" spans="1:15" x14ac:dyDescent="0.2">
      <c r="A1335"/>
      <c r="B1335"/>
      <c r="C1335"/>
      <c r="F1335"/>
      <c r="G1335"/>
      <c r="I1335"/>
      <c r="L1335"/>
      <c r="M1335"/>
      <c r="N1335"/>
      <c r="O1335"/>
    </row>
    <row r="1336" spans="1:15" x14ac:dyDescent="0.2">
      <c r="A1336"/>
      <c r="B1336"/>
      <c r="C1336"/>
      <c r="F1336"/>
      <c r="G1336"/>
      <c r="H1336"/>
      <c r="I1336"/>
      <c r="L1336"/>
      <c r="N1336"/>
      <c r="O1336"/>
    </row>
    <row r="1337" spans="1:15" x14ac:dyDescent="0.2">
      <c r="A1337"/>
      <c r="B1337"/>
      <c r="C1337"/>
      <c r="F1337"/>
      <c r="G1337"/>
      <c r="I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L1346"/>
      <c r="M1346"/>
      <c r="N1346"/>
      <c r="O1346"/>
    </row>
    <row r="1347" spans="1:15" x14ac:dyDescent="0.2">
      <c r="A1347"/>
      <c r="B1347"/>
      <c r="C1347"/>
      <c r="F1347"/>
      <c r="G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I1358"/>
      <c r="L1358"/>
      <c r="M1358"/>
      <c r="N1358"/>
      <c r="O1358"/>
    </row>
    <row r="1359" spans="1:15" x14ac:dyDescent="0.2">
      <c r="A1359"/>
      <c r="B1359"/>
      <c r="C1359"/>
      <c r="F1359"/>
      <c r="G1359"/>
      <c r="H1359"/>
      <c r="I1359"/>
      <c r="L1359"/>
      <c r="M1359"/>
      <c r="N1359"/>
      <c r="O1359"/>
    </row>
    <row r="1360" spans="1:15" x14ac:dyDescent="0.2">
      <c r="A1360"/>
      <c r="B1360"/>
      <c r="C1360"/>
      <c r="F1360"/>
      <c r="G1360"/>
      <c r="J1360"/>
      <c r="K1360"/>
      <c r="L1360"/>
      <c r="M1360"/>
      <c r="N1360"/>
      <c r="O1360"/>
    </row>
    <row r="1361" spans="1:15" x14ac:dyDescent="0.2">
      <c r="A1361"/>
      <c r="B1361"/>
      <c r="C1361"/>
      <c r="F1361"/>
      <c r="G1361"/>
      <c r="H1361"/>
      <c r="I1361"/>
      <c r="L1361"/>
      <c r="M1361"/>
      <c r="N1361"/>
      <c r="O1361"/>
    </row>
    <row r="1362" spans="1:15" x14ac:dyDescent="0.2">
      <c r="A1362"/>
      <c r="B1362"/>
      <c r="C1362"/>
      <c r="F1362"/>
      <c r="G1362"/>
      <c r="I1362"/>
      <c r="L1362"/>
      <c r="M1362"/>
      <c r="N1362"/>
      <c r="O1362"/>
    </row>
    <row r="1363" spans="1:15" x14ac:dyDescent="0.2">
      <c r="A1363"/>
      <c r="B1363"/>
      <c r="C1363"/>
      <c r="F1363"/>
      <c r="G1363"/>
      <c r="L1363"/>
      <c r="M1363"/>
      <c r="N1363"/>
      <c r="O1363"/>
    </row>
    <row r="1364" spans="1:15" x14ac:dyDescent="0.2">
      <c r="A1364"/>
      <c r="B1364"/>
      <c r="C1364"/>
      <c r="F1364"/>
      <c r="G1364"/>
      <c r="H1364"/>
      <c r="I1364"/>
      <c r="L1364"/>
      <c r="M1364"/>
      <c r="N1364"/>
      <c r="O1364"/>
    </row>
    <row r="1365" spans="1:15" x14ac:dyDescent="0.2">
      <c r="A1365"/>
      <c r="B1365"/>
      <c r="C1365"/>
      <c r="F1365"/>
      <c r="G1365"/>
      <c r="J1365"/>
      <c r="K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L1369"/>
      <c r="M1369"/>
      <c r="N1369"/>
      <c r="O1369"/>
    </row>
    <row r="1370" spans="1:15" x14ac:dyDescent="0.2">
      <c r="A1370"/>
      <c r="B1370"/>
      <c r="C1370"/>
      <c r="F1370"/>
      <c r="G1370"/>
      <c r="I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M1375"/>
      <c r="N1375"/>
      <c r="O1375"/>
    </row>
    <row r="1376" spans="1:15" x14ac:dyDescent="0.2">
      <c r="A1376"/>
      <c r="B1376"/>
      <c r="C1376"/>
      <c r="F1376"/>
      <c r="G1376"/>
      <c r="H1376"/>
      <c r="I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L1381"/>
      <c r="M1381"/>
      <c r="N1381"/>
      <c r="O1381"/>
    </row>
    <row r="1382" spans="1:15" x14ac:dyDescent="0.2">
      <c r="A1382"/>
      <c r="B1382"/>
      <c r="C1382"/>
      <c r="F1382"/>
      <c r="G1382"/>
      <c r="H1382"/>
      <c r="J1382"/>
      <c r="K1382"/>
      <c r="L1382"/>
      <c r="N1382"/>
      <c r="O1382"/>
    </row>
    <row r="1383" spans="1:15" x14ac:dyDescent="0.2">
      <c r="A1383"/>
      <c r="B1383"/>
      <c r="C1383"/>
      <c r="F1383"/>
      <c r="G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L1386"/>
      <c r="M1386"/>
      <c r="N1386"/>
      <c r="O1386"/>
    </row>
    <row r="1387" spans="1:15" x14ac:dyDescent="0.2">
      <c r="A1387"/>
      <c r="B1387"/>
      <c r="C1387"/>
      <c r="F1387"/>
      <c r="G1387"/>
      <c r="L1387"/>
      <c r="M1387"/>
      <c r="N1387"/>
      <c r="O1387"/>
    </row>
    <row r="1388" spans="1:15" x14ac:dyDescent="0.2">
      <c r="A1388"/>
      <c r="B1388"/>
      <c r="C1388"/>
      <c r="F1388"/>
      <c r="G1388"/>
      <c r="J1388"/>
      <c r="K1388"/>
      <c r="L1388"/>
      <c r="M1388"/>
      <c r="N1388"/>
      <c r="O1388"/>
    </row>
    <row r="1389" spans="1:15" x14ac:dyDescent="0.2">
      <c r="A1389"/>
      <c r="B1389"/>
      <c r="C1389"/>
      <c r="F1389"/>
      <c r="G1389"/>
      <c r="H1389"/>
      <c r="I1389"/>
      <c r="L1389"/>
      <c r="M1389"/>
      <c r="N1389"/>
      <c r="O1389"/>
    </row>
    <row r="1390" spans="1:15" x14ac:dyDescent="0.2">
      <c r="A1390"/>
      <c r="B1390"/>
      <c r="C1390"/>
      <c r="F1390"/>
      <c r="G1390"/>
      <c r="I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H1395"/>
      <c r="L1395"/>
      <c r="M1395"/>
      <c r="N1395"/>
      <c r="O1395"/>
    </row>
    <row r="1396" spans="1:15" x14ac:dyDescent="0.2">
      <c r="A1396"/>
      <c r="B1396"/>
      <c r="C1396"/>
      <c r="F1396"/>
      <c r="G1396"/>
      <c r="H1396"/>
      <c r="I1396"/>
      <c r="L1396"/>
      <c r="M1396"/>
      <c r="N1396"/>
      <c r="O1396"/>
    </row>
    <row r="1397" spans="1:15" x14ac:dyDescent="0.2">
      <c r="A1397"/>
      <c r="B1397"/>
      <c r="C1397"/>
      <c r="F1397"/>
      <c r="G1397"/>
      <c r="H1397"/>
      <c r="M1397"/>
      <c r="N1397"/>
      <c r="O1397"/>
    </row>
    <row r="1398" spans="1:15" x14ac:dyDescent="0.2">
      <c r="A1398"/>
      <c r="B1398"/>
      <c r="C1398"/>
      <c r="F1398"/>
      <c r="G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I1402"/>
      <c r="L1402"/>
      <c r="M1402"/>
      <c r="N1402"/>
      <c r="O1402"/>
    </row>
    <row r="1403" spans="1:15" x14ac:dyDescent="0.2">
      <c r="A1403"/>
      <c r="B1403"/>
      <c r="C1403"/>
      <c r="F1403"/>
      <c r="G1403"/>
      <c r="H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H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L1413"/>
      <c r="M1413"/>
      <c r="N1413"/>
      <c r="O1413"/>
    </row>
    <row r="1414" spans="1:15" x14ac:dyDescent="0.2">
      <c r="A1414"/>
      <c r="B1414"/>
      <c r="C1414"/>
      <c r="F1414"/>
      <c r="G1414"/>
      <c r="L1414"/>
      <c r="M1414"/>
      <c r="N1414"/>
      <c r="O1414"/>
    </row>
    <row r="1415" spans="1:15" x14ac:dyDescent="0.2">
      <c r="A1415"/>
      <c r="B1415"/>
      <c r="C1415"/>
      <c r="F1415"/>
      <c r="G1415"/>
      <c r="J1415"/>
      <c r="K1415"/>
      <c r="L1415"/>
      <c r="M1415"/>
      <c r="N1415"/>
      <c r="O1415"/>
    </row>
    <row r="1416" spans="1:15" x14ac:dyDescent="0.2">
      <c r="A1416"/>
      <c r="B1416"/>
      <c r="C1416"/>
      <c r="F1416"/>
      <c r="G1416"/>
      <c r="L1416"/>
      <c r="M1416"/>
      <c r="N1416"/>
      <c r="O1416"/>
    </row>
    <row r="1417" spans="1:15" x14ac:dyDescent="0.2">
      <c r="A1417"/>
      <c r="B1417"/>
      <c r="C1417"/>
      <c r="F1417"/>
      <c r="G1417"/>
      <c r="I1417"/>
      <c r="L1417"/>
      <c r="M1417"/>
      <c r="N1417"/>
      <c r="O1417"/>
    </row>
    <row r="1418" spans="1:15" x14ac:dyDescent="0.2">
      <c r="A1418"/>
      <c r="B1418"/>
      <c r="C1418"/>
      <c r="F1418"/>
      <c r="G1418"/>
      <c r="H1418"/>
      <c r="I1418"/>
      <c r="L1418"/>
      <c r="M1418"/>
      <c r="N1418"/>
      <c r="O1418"/>
    </row>
    <row r="1419" spans="1:15" x14ac:dyDescent="0.2">
      <c r="A1419"/>
      <c r="B1419"/>
      <c r="C1419"/>
      <c r="F1419"/>
      <c r="G1419"/>
      <c r="L1419"/>
      <c r="M1419"/>
      <c r="N1419"/>
      <c r="O1419"/>
    </row>
    <row r="1420" spans="1:15" x14ac:dyDescent="0.2">
      <c r="A1420"/>
      <c r="B1420"/>
      <c r="C1420"/>
      <c r="F1420"/>
      <c r="G1420"/>
      <c r="I1420"/>
      <c r="L1420"/>
      <c r="M1420"/>
      <c r="N1420"/>
      <c r="O1420"/>
    </row>
    <row r="1421" spans="1:15" x14ac:dyDescent="0.2">
      <c r="A1421"/>
      <c r="B1421"/>
      <c r="C1421"/>
      <c r="F1421"/>
      <c r="G1421"/>
      <c r="H1421"/>
      <c r="J1421"/>
      <c r="K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N1428"/>
      <c r="O1428"/>
    </row>
    <row r="1429" spans="1:15" x14ac:dyDescent="0.2">
      <c r="A1429"/>
      <c r="B1429"/>
      <c r="C1429"/>
      <c r="F1429"/>
      <c r="G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L1431"/>
      <c r="M1431"/>
      <c r="N1431"/>
      <c r="O1431"/>
    </row>
    <row r="1432" spans="1:15" x14ac:dyDescent="0.2">
      <c r="A1432"/>
      <c r="B1432"/>
      <c r="C1432"/>
      <c r="F1432"/>
      <c r="G1432"/>
      <c r="H1432"/>
      <c r="I1432"/>
      <c r="J1432"/>
      <c r="K1432"/>
      <c r="L1432"/>
      <c r="M1432"/>
      <c r="N1432"/>
      <c r="O1432"/>
    </row>
    <row r="1433" spans="1:15" x14ac:dyDescent="0.2">
      <c r="A1433"/>
      <c r="B1433"/>
      <c r="C1433"/>
      <c r="F1433"/>
      <c r="G1433"/>
      <c r="H1433"/>
      <c r="J1433"/>
      <c r="K1433"/>
      <c r="M1433"/>
      <c r="N1433"/>
      <c r="O1433"/>
    </row>
    <row r="1434" spans="1:15" x14ac:dyDescent="0.2">
      <c r="A1434"/>
      <c r="B1434"/>
      <c r="C1434"/>
      <c r="F1434"/>
      <c r="G1434"/>
      <c r="H1434"/>
      <c r="J1434"/>
      <c r="K1434"/>
      <c r="L1434"/>
      <c r="M1434"/>
      <c r="N1434"/>
      <c r="O1434"/>
    </row>
    <row r="1435" spans="1:15" x14ac:dyDescent="0.2">
      <c r="A1435"/>
      <c r="B1435"/>
      <c r="C1435"/>
      <c r="F1435"/>
      <c r="G1435"/>
      <c r="J1435"/>
      <c r="K1435"/>
      <c r="L1435"/>
      <c r="M1435"/>
      <c r="N1435"/>
      <c r="O1435"/>
    </row>
    <row r="1436" spans="1:15" x14ac:dyDescent="0.2">
      <c r="A1436"/>
      <c r="B1436"/>
      <c r="C1436"/>
      <c r="F1436"/>
      <c r="G1436"/>
      <c r="H1436"/>
      <c r="J1436"/>
      <c r="K1436"/>
      <c r="L1436"/>
      <c r="M1436"/>
      <c r="N1436"/>
      <c r="O1436"/>
    </row>
    <row r="1437" spans="1:15" x14ac:dyDescent="0.2">
      <c r="A1437"/>
      <c r="B1437"/>
      <c r="C1437"/>
      <c r="F1437"/>
      <c r="G1437"/>
      <c r="H1437"/>
      <c r="J1437"/>
      <c r="K1437"/>
      <c r="L1437"/>
      <c r="M1437"/>
      <c r="N1437"/>
      <c r="O1437"/>
    </row>
    <row r="1438" spans="1:15" x14ac:dyDescent="0.2">
      <c r="A1438"/>
      <c r="B1438"/>
      <c r="C1438"/>
      <c r="F1438"/>
      <c r="G1438"/>
      <c r="H1438"/>
      <c r="I1438"/>
      <c r="J1438"/>
      <c r="K1438"/>
      <c r="L1438"/>
      <c r="M1438"/>
      <c r="N1438"/>
      <c r="O1438"/>
    </row>
    <row r="1439" spans="1:15" x14ac:dyDescent="0.2">
      <c r="A1439"/>
      <c r="B1439"/>
      <c r="C1439"/>
      <c r="F1439"/>
      <c r="G1439"/>
      <c r="J1439"/>
      <c r="L1439"/>
      <c r="M1439"/>
      <c r="N1439"/>
      <c r="O1439"/>
    </row>
    <row r="1440" spans="1:15" x14ac:dyDescent="0.2">
      <c r="A1440"/>
      <c r="B1440"/>
      <c r="C1440"/>
      <c r="F1440"/>
      <c r="G1440"/>
      <c r="I1440"/>
      <c r="L1440"/>
      <c r="N1440"/>
      <c r="O1440"/>
    </row>
    <row r="1441" spans="1:15" x14ac:dyDescent="0.2">
      <c r="A1441"/>
      <c r="B1441"/>
      <c r="C1441"/>
      <c r="F1441"/>
      <c r="G1441"/>
      <c r="L1441"/>
      <c r="M1441"/>
      <c r="N1441"/>
      <c r="O1441"/>
    </row>
    <row r="1442" spans="1:15" x14ac:dyDescent="0.2">
      <c r="A1442"/>
      <c r="B1442"/>
      <c r="C1442"/>
      <c r="F1442"/>
      <c r="G1442"/>
      <c r="H1442"/>
      <c r="J1442"/>
      <c r="K1442"/>
      <c r="L1442"/>
      <c r="M1442"/>
      <c r="N1442"/>
      <c r="O1442"/>
    </row>
    <row r="1443" spans="1:15" x14ac:dyDescent="0.2">
      <c r="A1443"/>
      <c r="B1443"/>
      <c r="C1443"/>
      <c r="F1443"/>
      <c r="G1443"/>
      <c r="J1443"/>
      <c r="K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N1446"/>
      <c r="O1446"/>
    </row>
    <row r="1447" spans="1:15" x14ac:dyDescent="0.2">
      <c r="A1447"/>
      <c r="B1447"/>
      <c r="C1447"/>
      <c r="F1447"/>
      <c r="G1447"/>
      <c r="I1447"/>
      <c r="L1447"/>
      <c r="M1447"/>
      <c r="N1447"/>
      <c r="O1447"/>
    </row>
    <row r="1448" spans="1:15" x14ac:dyDescent="0.2">
      <c r="A1448"/>
      <c r="B1448"/>
      <c r="C1448"/>
      <c r="F1448"/>
      <c r="G1448"/>
      <c r="L1448"/>
      <c r="M1448"/>
      <c r="N1448"/>
      <c r="O1448"/>
    </row>
    <row r="1449" spans="1:15" x14ac:dyDescent="0.2">
      <c r="A1449"/>
      <c r="B1449"/>
      <c r="C1449"/>
      <c r="F1449"/>
      <c r="G1449"/>
      <c r="L1449"/>
      <c r="M1449"/>
      <c r="N1449"/>
      <c r="O1449"/>
    </row>
    <row r="1450" spans="1:15" x14ac:dyDescent="0.2">
      <c r="A1450"/>
      <c r="B1450"/>
      <c r="C1450"/>
      <c r="F1450"/>
      <c r="G1450"/>
      <c r="H1450"/>
      <c r="I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M1457"/>
      <c r="N1457"/>
      <c r="O1457"/>
    </row>
    <row r="1458" spans="1:15" x14ac:dyDescent="0.2">
      <c r="A1458"/>
      <c r="B1458"/>
      <c r="C1458"/>
      <c r="F1458"/>
      <c r="G1458"/>
      <c r="H1458"/>
      <c r="I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M1460"/>
      <c r="N1460"/>
      <c r="O1460"/>
    </row>
    <row r="1461" spans="1:15" x14ac:dyDescent="0.2">
      <c r="A1461"/>
      <c r="B1461"/>
      <c r="C1461"/>
      <c r="F1461"/>
      <c r="G1461"/>
      <c r="I1461"/>
      <c r="L1461"/>
      <c r="M1461"/>
      <c r="N1461"/>
      <c r="O1461"/>
    </row>
    <row r="1462" spans="1:15" x14ac:dyDescent="0.2">
      <c r="A1462"/>
      <c r="B1462"/>
      <c r="C1462"/>
      <c r="F1462"/>
      <c r="G1462"/>
      <c r="H1462"/>
      <c r="I1462"/>
      <c r="L1462"/>
      <c r="M1462"/>
      <c r="N1462"/>
      <c r="O1462"/>
    </row>
    <row r="1463" spans="1:15" x14ac:dyDescent="0.2">
      <c r="A1463"/>
      <c r="B1463"/>
      <c r="C1463"/>
      <c r="F1463"/>
      <c r="G1463"/>
      <c r="I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N1466"/>
      <c r="O1466"/>
    </row>
    <row r="1467" spans="1:15" x14ac:dyDescent="0.2">
      <c r="A1467"/>
      <c r="B1467"/>
      <c r="C1467"/>
      <c r="F1467"/>
      <c r="G1467"/>
      <c r="I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H1470"/>
      <c r="J1470"/>
      <c r="K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H1477"/>
      <c r="I1477"/>
      <c r="L1477"/>
      <c r="M1477"/>
      <c r="N1477"/>
      <c r="O1477"/>
    </row>
    <row r="1478" spans="1:15" x14ac:dyDescent="0.2">
      <c r="A1478"/>
      <c r="B1478"/>
      <c r="C1478"/>
      <c r="F1478"/>
      <c r="G1478"/>
      <c r="H1478"/>
      <c r="I1478"/>
      <c r="J1478"/>
      <c r="K1478"/>
      <c r="L1478"/>
      <c r="M1478"/>
      <c r="N1478"/>
      <c r="O1478"/>
    </row>
    <row r="1479" spans="1:15" x14ac:dyDescent="0.2">
      <c r="A1479"/>
      <c r="B1479"/>
      <c r="C1479"/>
      <c r="F1479"/>
      <c r="G1479"/>
      <c r="H1479"/>
      <c r="J1479"/>
      <c r="K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M1482"/>
      <c r="N1482"/>
      <c r="O1482"/>
    </row>
    <row r="1483" spans="1:15" x14ac:dyDescent="0.2">
      <c r="A1483"/>
      <c r="B1483"/>
      <c r="C1483"/>
      <c r="F1483"/>
      <c r="G1483"/>
      <c r="L1483"/>
      <c r="M1483"/>
      <c r="N1483"/>
      <c r="O1483"/>
    </row>
    <row r="1484" spans="1:15" x14ac:dyDescent="0.2">
      <c r="A1484"/>
      <c r="B1484"/>
      <c r="C1484"/>
      <c r="F1484"/>
      <c r="G1484"/>
      <c r="M1484"/>
      <c r="N1484"/>
      <c r="O1484"/>
    </row>
    <row r="1485" spans="1:15" x14ac:dyDescent="0.2">
      <c r="A1485"/>
      <c r="B1485"/>
      <c r="C1485"/>
      <c r="F1485"/>
      <c r="G1485"/>
      <c r="L1485"/>
      <c r="M1485"/>
      <c r="N1485"/>
      <c r="O1485"/>
    </row>
    <row r="1486" spans="1:15" x14ac:dyDescent="0.2">
      <c r="A1486"/>
      <c r="B1486"/>
      <c r="C1486"/>
      <c r="F1486"/>
      <c r="G1486"/>
      <c r="H1486"/>
      <c r="I1486"/>
      <c r="L1486"/>
      <c r="N1486"/>
      <c r="O1486"/>
    </row>
    <row r="1487" spans="1:15" x14ac:dyDescent="0.2">
      <c r="A1487"/>
      <c r="B1487"/>
      <c r="C1487"/>
      <c r="F1487"/>
      <c r="G1487"/>
      <c r="L1487"/>
      <c r="M1487"/>
      <c r="N1487"/>
      <c r="O1487"/>
    </row>
    <row r="1488" spans="1:15" x14ac:dyDescent="0.2">
      <c r="A1488"/>
      <c r="B1488"/>
      <c r="C1488"/>
      <c r="F1488"/>
      <c r="G1488"/>
      <c r="J1488"/>
      <c r="K1488"/>
      <c r="L1488"/>
      <c r="M1488"/>
      <c r="N1488"/>
      <c r="O1488"/>
    </row>
    <row r="1489" spans="1:15" x14ac:dyDescent="0.2">
      <c r="A1489"/>
      <c r="B1489"/>
      <c r="C1489"/>
      <c r="F1489"/>
      <c r="G1489"/>
      <c r="H1489"/>
      <c r="I1489"/>
      <c r="L1489"/>
      <c r="N1489"/>
      <c r="O1489"/>
    </row>
    <row r="1490" spans="1:15" x14ac:dyDescent="0.2">
      <c r="A1490"/>
      <c r="B1490"/>
      <c r="C1490"/>
      <c r="F1490"/>
      <c r="G1490"/>
      <c r="H1490"/>
      <c r="I1490"/>
      <c r="L1490"/>
      <c r="M1490"/>
      <c r="N1490"/>
      <c r="O1490"/>
    </row>
    <row r="1491" spans="1:15" x14ac:dyDescent="0.2">
      <c r="A1491"/>
      <c r="B1491"/>
      <c r="C1491"/>
      <c r="F1491"/>
      <c r="G1491"/>
      <c r="H1491"/>
      <c r="I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H1494"/>
      <c r="I1494"/>
      <c r="L1494"/>
      <c r="M1494"/>
      <c r="N1494"/>
      <c r="O1494"/>
    </row>
    <row r="1495" spans="1:15" x14ac:dyDescent="0.2">
      <c r="A1495"/>
      <c r="B1495"/>
      <c r="C1495"/>
      <c r="F1495"/>
      <c r="G1495"/>
      <c r="H1495"/>
      <c r="L1495"/>
      <c r="M1495"/>
      <c r="N1495"/>
      <c r="O1495"/>
    </row>
    <row r="1496" spans="1:15" x14ac:dyDescent="0.2">
      <c r="A1496"/>
      <c r="B1496"/>
      <c r="C1496"/>
      <c r="F1496"/>
      <c r="G1496"/>
      <c r="L1496"/>
      <c r="M1496"/>
      <c r="N1496"/>
      <c r="O1496"/>
    </row>
    <row r="1497" spans="1:15" x14ac:dyDescent="0.2">
      <c r="A1497"/>
      <c r="B1497"/>
      <c r="C1497"/>
      <c r="F1497"/>
      <c r="G1497"/>
      <c r="M1497"/>
      <c r="N1497"/>
      <c r="O1497"/>
    </row>
    <row r="1498" spans="1:15" x14ac:dyDescent="0.2">
      <c r="A1498"/>
      <c r="B1498"/>
      <c r="C1498"/>
      <c r="F1498"/>
      <c r="G1498"/>
      <c r="H1498"/>
      <c r="I1498"/>
      <c r="L1498"/>
      <c r="M1498"/>
      <c r="N1498"/>
      <c r="O1498"/>
    </row>
    <row r="1499" spans="1:15" x14ac:dyDescent="0.2">
      <c r="A1499"/>
      <c r="B1499"/>
      <c r="C1499"/>
      <c r="F1499"/>
      <c r="G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L1507"/>
      <c r="M1507"/>
      <c r="N1507"/>
      <c r="O1507"/>
    </row>
    <row r="1508" spans="1:15" x14ac:dyDescent="0.2">
      <c r="A1508"/>
      <c r="B1508"/>
      <c r="C1508"/>
      <c r="F1508"/>
      <c r="G1508"/>
      <c r="H1508"/>
      <c r="J1508"/>
      <c r="K1508"/>
      <c r="L1508"/>
      <c r="M1508"/>
      <c r="N1508"/>
      <c r="O1508"/>
    </row>
    <row r="1509" spans="1:15" x14ac:dyDescent="0.2">
      <c r="A1509"/>
      <c r="B1509"/>
      <c r="C1509"/>
      <c r="F1509"/>
      <c r="G1509"/>
      <c r="H1509"/>
      <c r="I1509"/>
      <c r="L1509"/>
      <c r="N1509"/>
      <c r="O1509"/>
    </row>
    <row r="1510" spans="1:15" x14ac:dyDescent="0.2">
      <c r="A1510"/>
      <c r="B1510"/>
      <c r="C1510"/>
      <c r="F1510"/>
      <c r="G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J1517"/>
      <c r="K1517"/>
      <c r="L1517"/>
      <c r="M1517"/>
      <c r="N1517"/>
      <c r="O1517"/>
    </row>
    <row r="1518" spans="1:15" x14ac:dyDescent="0.2">
      <c r="A1518"/>
      <c r="B1518"/>
      <c r="C1518"/>
      <c r="F1518"/>
      <c r="G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I1521"/>
      <c r="J1521"/>
      <c r="K1521"/>
      <c r="L1521"/>
      <c r="M1521"/>
      <c r="N1521"/>
      <c r="O1521"/>
    </row>
    <row r="1522" spans="1:15" x14ac:dyDescent="0.2">
      <c r="A1522"/>
      <c r="B1522"/>
      <c r="C1522"/>
      <c r="F1522"/>
      <c r="G1522"/>
      <c r="I1522"/>
      <c r="L1522"/>
      <c r="M1522"/>
      <c r="N1522"/>
      <c r="O1522"/>
    </row>
    <row r="1523" spans="1:15" x14ac:dyDescent="0.2">
      <c r="A1523"/>
      <c r="B1523"/>
      <c r="C1523"/>
      <c r="F1523"/>
      <c r="G1523"/>
      <c r="I1523"/>
      <c r="L1523"/>
      <c r="M1523"/>
      <c r="N1523"/>
      <c r="O1523"/>
    </row>
    <row r="1524" spans="1:15" x14ac:dyDescent="0.2">
      <c r="A1524"/>
      <c r="B1524"/>
      <c r="C1524"/>
      <c r="F1524"/>
      <c r="G1524"/>
      <c r="N1524"/>
      <c r="O1524"/>
    </row>
    <row r="1525" spans="1:15" x14ac:dyDescent="0.2">
      <c r="A1525"/>
      <c r="B1525"/>
      <c r="C1525"/>
      <c r="F1525"/>
      <c r="G1525"/>
      <c r="H1525"/>
      <c r="I1525"/>
      <c r="L1525"/>
      <c r="M1525"/>
      <c r="N1525"/>
      <c r="O1525"/>
    </row>
    <row r="1526" spans="1:15" x14ac:dyDescent="0.2">
      <c r="A1526"/>
      <c r="B1526"/>
      <c r="C1526"/>
      <c r="F1526"/>
      <c r="G1526"/>
      <c r="L1526"/>
      <c r="M1526"/>
      <c r="N1526"/>
      <c r="O1526"/>
    </row>
    <row r="1527" spans="1:15" x14ac:dyDescent="0.2">
      <c r="A1527"/>
      <c r="B1527"/>
      <c r="C1527"/>
      <c r="F1527"/>
      <c r="G1527"/>
      <c r="L1527"/>
      <c r="M1527"/>
      <c r="N1527"/>
      <c r="O1527"/>
    </row>
    <row r="1528" spans="1:15" x14ac:dyDescent="0.2">
      <c r="A1528"/>
      <c r="B1528"/>
      <c r="C1528"/>
      <c r="F1528"/>
      <c r="G1528"/>
      <c r="H1528"/>
      <c r="J1528"/>
      <c r="K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I1535"/>
      <c r="L1535"/>
      <c r="M1535"/>
      <c r="N1535"/>
      <c r="O1535"/>
    </row>
    <row r="1536" spans="1:15" x14ac:dyDescent="0.2">
      <c r="A1536"/>
      <c r="B1536"/>
      <c r="C1536"/>
      <c r="F1536"/>
      <c r="G1536"/>
      <c r="L1536"/>
      <c r="M1536"/>
      <c r="N1536"/>
      <c r="O1536"/>
    </row>
    <row r="1537" spans="1:15" x14ac:dyDescent="0.2">
      <c r="A1537"/>
      <c r="B1537"/>
      <c r="C1537"/>
      <c r="F1537"/>
      <c r="G1537"/>
      <c r="H1537"/>
      <c r="N1537"/>
      <c r="O1537"/>
    </row>
    <row r="1538" spans="1:15" x14ac:dyDescent="0.2">
      <c r="A1538"/>
      <c r="B1538"/>
      <c r="C1538"/>
      <c r="F1538"/>
      <c r="G1538"/>
      <c r="H1538"/>
      <c r="I1538"/>
      <c r="L1538"/>
      <c r="M1538"/>
      <c r="N1538"/>
      <c r="O1538"/>
    </row>
    <row r="1539" spans="1:15" x14ac:dyDescent="0.2">
      <c r="A1539"/>
      <c r="B1539"/>
      <c r="C1539"/>
      <c r="F1539"/>
      <c r="G1539"/>
      <c r="H1539"/>
      <c r="I1539"/>
      <c r="L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I1543"/>
      <c r="L1543"/>
      <c r="M1543"/>
      <c r="N1543"/>
      <c r="O1543"/>
    </row>
    <row r="1544" spans="1:15" x14ac:dyDescent="0.2">
      <c r="A1544"/>
      <c r="B1544"/>
      <c r="C1544"/>
      <c r="F1544"/>
      <c r="G1544"/>
      <c r="M1544"/>
      <c r="N1544"/>
      <c r="O1544"/>
    </row>
    <row r="1545" spans="1:15" x14ac:dyDescent="0.2">
      <c r="A1545"/>
      <c r="B1545"/>
      <c r="C1545"/>
      <c r="F1545"/>
      <c r="G1545"/>
      <c r="L1545"/>
      <c r="M1545"/>
      <c r="N1545"/>
      <c r="O1545"/>
    </row>
    <row r="1546" spans="1:15" x14ac:dyDescent="0.2">
      <c r="A1546"/>
      <c r="B1546"/>
      <c r="C1546"/>
      <c r="F1546"/>
      <c r="G1546"/>
      <c r="H1546"/>
      <c r="I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J1549"/>
      <c r="K1549"/>
      <c r="L1549"/>
      <c r="M1549"/>
      <c r="N1549"/>
      <c r="O1549"/>
    </row>
    <row r="1550" spans="1:15" x14ac:dyDescent="0.2">
      <c r="A1550"/>
      <c r="B1550"/>
      <c r="C1550"/>
      <c r="F1550"/>
      <c r="G1550"/>
      <c r="H1550"/>
      <c r="J1550"/>
      <c r="K1550"/>
      <c r="L1550"/>
      <c r="M1550"/>
      <c r="N1550"/>
      <c r="O1550"/>
    </row>
    <row r="1551" spans="1:15" x14ac:dyDescent="0.2">
      <c r="A1551"/>
      <c r="B1551"/>
      <c r="C1551"/>
      <c r="F1551"/>
      <c r="G1551"/>
      <c r="H1551"/>
      <c r="L1551"/>
      <c r="M1551"/>
      <c r="N1551"/>
      <c r="O1551"/>
    </row>
    <row r="1552" spans="1:15" x14ac:dyDescent="0.2">
      <c r="A1552"/>
      <c r="B1552"/>
      <c r="C1552"/>
      <c r="F1552"/>
      <c r="G1552"/>
      <c r="H1552"/>
      <c r="I1552"/>
      <c r="J1552"/>
      <c r="K1552"/>
      <c r="L1552"/>
      <c r="M1552"/>
      <c r="N1552"/>
      <c r="O1552"/>
    </row>
    <row r="1553" spans="1:15" x14ac:dyDescent="0.2">
      <c r="A1553"/>
      <c r="B1553"/>
      <c r="C1553"/>
      <c r="F1553"/>
      <c r="G1553"/>
      <c r="H1553"/>
      <c r="J1553"/>
      <c r="K1553"/>
      <c r="L1553"/>
      <c r="M1553"/>
      <c r="N1553"/>
      <c r="O1553"/>
    </row>
    <row r="1554" spans="1:15" x14ac:dyDescent="0.2">
      <c r="A1554"/>
      <c r="B1554"/>
      <c r="C1554"/>
      <c r="F1554"/>
      <c r="G1554"/>
      <c r="L1554"/>
      <c r="M1554"/>
      <c r="N1554"/>
      <c r="O1554"/>
    </row>
    <row r="1555" spans="1:15" x14ac:dyDescent="0.2">
      <c r="A1555"/>
      <c r="B1555"/>
      <c r="C1555"/>
      <c r="F1555"/>
      <c r="G1555"/>
      <c r="H1555"/>
      <c r="J1555"/>
      <c r="K1555"/>
      <c r="L1555"/>
      <c r="M1555"/>
      <c r="N1555"/>
      <c r="O1555"/>
    </row>
    <row r="1556" spans="1:15" x14ac:dyDescent="0.2">
      <c r="A1556"/>
      <c r="B1556"/>
      <c r="C1556"/>
      <c r="F1556"/>
      <c r="G1556"/>
      <c r="H1556"/>
      <c r="L1556"/>
      <c r="M1556"/>
      <c r="N1556"/>
      <c r="O1556"/>
    </row>
    <row r="1557" spans="1:15" x14ac:dyDescent="0.2">
      <c r="A1557"/>
      <c r="B1557"/>
      <c r="C1557"/>
      <c r="F1557"/>
      <c r="G1557"/>
      <c r="H1557"/>
      <c r="I1557"/>
      <c r="L1557"/>
      <c r="M1557"/>
      <c r="N1557"/>
      <c r="O1557"/>
    </row>
    <row r="1558" spans="1:15" x14ac:dyDescent="0.2">
      <c r="A1558"/>
      <c r="B1558"/>
      <c r="C1558"/>
      <c r="F1558"/>
      <c r="G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I1565"/>
      <c r="L1565"/>
      <c r="M1565"/>
      <c r="N1565"/>
      <c r="O1565"/>
    </row>
    <row r="1566" spans="1:15" x14ac:dyDescent="0.2">
      <c r="A1566"/>
      <c r="B1566"/>
      <c r="C1566"/>
      <c r="F1566"/>
      <c r="G1566"/>
      <c r="H1566"/>
      <c r="I1566"/>
      <c r="L1566"/>
      <c r="M1566"/>
      <c r="N1566"/>
      <c r="O1566"/>
    </row>
    <row r="1567" spans="1:15" x14ac:dyDescent="0.2">
      <c r="A1567"/>
      <c r="B1567"/>
      <c r="C1567"/>
      <c r="F1567"/>
      <c r="G1567"/>
      <c r="H1567"/>
      <c r="I1567"/>
      <c r="L1567"/>
      <c r="M1567"/>
      <c r="N1567"/>
      <c r="O1567"/>
    </row>
    <row r="1568" spans="1:15" x14ac:dyDescent="0.2">
      <c r="A1568"/>
      <c r="B1568"/>
      <c r="C1568"/>
      <c r="F1568"/>
      <c r="G1568"/>
      <c r="H1568"/>
      <c r="I1568"/>
      <c r="L1568"/>
      <c r="M1568"/>
      <c r="N1568"/>
      <c r="O1568"/>
    </row>
    <row r="1569" spans="1:15" x14ac:dyDescent="0.2">
      <c r="A1569"/>
      <c r="B1569"/>
      <c r="C1569"/>
      <c r="F1569"/>
      <c r="G1569"/>
      <c r="I1569"/>
      <c r="L1569"/>
      <c r="M1569"/>
      <c r="N1569"/>
      <c r="O1569"/>
    </row>
    <row r="1570" spans="1:15" x14ac:dyDescent="0.2">
      <c r="A1570"/>
      <c r="B1570"/>
      <c r="C1570"/>
      <c r="F1570"/>
      <c r="G1570"/>
      <c r="I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L1574"/>
      <c r="M1574"/>
      <c r="N1574"/>
      <c r="O1574"/>
    </row>
    <row r="1575" spans="1:15" x14ac:dyDescent="0.2">
      <c r="A1575"/>
      <c r="B1575"/>
      <c r="C1575"/>
      <c r="F1575"/>
      <c r="G1575"/>
      <c r="H1575"/>
      <c r="I1575"/>
      <c r="L1575"/>
      <c r="M1575"/>
      <c r="N1575"/>
      <c r="O1575"/>
    </row>
    <row r="1576" spans="1:15" x14ac:dyDescent="0.2">
      <c r="A1576"/>
      <c r="B1576"/>
      <c r="C1576"/>
      <c r="F1576"/>
      <c r="G1576"/>
      <c r="H1576"/>
      <c r="J1576"/>
      <c r="K1576"/>
      <c r="L1576"/>
      <c r="M1576"/>
      <c r="N1576"/>
      <c r="O1576"/>
    </row>
    <row r="1577" spans="1:15" x14ac:dyDescent="0.2">
      <c r="A1577"/>
      <c r="B1577"/>
      <c r="C1577"/>
      <c r="F1577"/>
      <c r="G1577"/>
      <c r="H1577"/>
      <c r="I1577"/>
      <c r="L1577"/>
      <c r="M1577"/>
      <c r="N1577"/>
      <c r="O1577"/>
    </row>
    <row r="1578" spans="1:15" x14ac:dyDescent="0.2">
      <c r="A1578"/>
      <c r="B1578"/>
      <c r="C1578"/>
      <c r="F1578"/>
      <c r="G1578"/>
      <c r="H1578"/>
      <c r="J1578"/>
      <c r="K1578"/>
      <c r="L1578"/>
      <c r="M1578"/>
      <c r="N1578"/>
      <c r="O1578"/>
    </row>
    <row r="1579" spans="1:15" x14ac:dyDescent="0.2">
      <c r="A1579"/>
      <c r="B1579"/>
      <c r="C1579"/>
      <c r="F1579"/>
      <c r="G1579"/>
      <c r="J1579"/>
      <c r="K1579"/>
      <c r="L1579"/>
      <c r="M1579"/>
      <c r="N1579"/>
      <c r="O1579"/>
    </row>
    <row r="1580" spans="1:15" x14ac:dyDescent="0.2">
      <c r="A1580"/>
      <c r="B1580"/>
      <c r="C1580"/>
      <c r="F1580"/>
      <c r="G1580"/>
      <c r="J1580"/>
      <c r="K1580"/>
      <c r="L1580"/>
      <c r="M1580"/>
      <c r="N1580"/>
      <c r="O1580"/>
    </row>
    <row r="1581" spans="1:15" x14ac:dyDescent="0.2">
      <c r="A1581"/>
      <c r="B1581"/>
      <c r="C1581"/>
      <c r="F1581"/>
      <c r="G1581"/>
      <c r="H1581"/>
      <c r="J1581"/>
      <c r="K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H1586"/>
      <c r="I1586"/>
      <c r="L1586"/>
      <c r="M1586"/>
      <c r="N1586"/>
      <c r="O1586"/>
    </row>
    <row r="1587" spans="1:15" x14ac:dyDescent="0.2">
      <c r="A1587"/>
      <c r="B1587"/>
      <c r="C1587"/>
      <c r="F1587"/>
      <c r="G1587"/>
      <c r="H1587"/>
      <c r="I1587"/>
      <c r="L1587"/>
      <c r="N1587"/>
      <c r="O1587"/>
    </row>
    <row r="1588" spans="1:15" x14ac:dyDescent="0.2">
      <c r="A1588"/>
      <c r="B1588"/>
      <c r="C1588"/>
      <c r="F1588"/>
      <c r="G1588"/>
      <c r="I1588"/>
      <c r="L1588"/>
      <c r="M1588"/>
      <c r="N1588"/>
      <c r="O1588"/>
    </row>
    <row r="1589" spans="1:15" x14ac:dyDescent="0.2">
      <c r="A1589"/>
      <c r="B1589"/>
      <c r="C1589"/>
      <c r="F1589"/>
      <c r="G1589"/>
      <c r="H1589"/>
      <c r="I1589"/>
      <c r="L1589"/>
      <c r="M1589"/>
      <c r="N1589"/>
      <c r="O1589"/>
    </row>
    <row r="1590" spans="1:15" x14ac:dyDescent="0.2">
      <c r="A1590"/>
      <c r="B1590"/>
      <c r="C1590"/>
      <c r="F1590"/>
      <c r="G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L1594"/>
      <c r="M1594"/>
      <c r="N1594"/>
      <c r="O1594"/>
    </row>
    <row r="1595" spans="1:15" x14ac:dyDescent="0.2">
      <c r="A1595"/>
      <c r="B1595"/>
      <c r="C1595"/>
      <c r="F1595"/>
      <c r="G1595"/>
      <c r="H1595"/>
      <c r="I1595"/>
      <c r="L1595"/>
      <c r="M1595"/>
      <c r="N1595"/>
      <c r="O1595"/>
    </row>
    <row r="1596" spans="1:15" x14ac:dyDescent="0.2">
      <c r="A1596"/>
      <c r="B1596"/>
      <c r="C1596"/>
      <c r="F1596"/>
      <c r="G1596"/>
      <c r="J1596"/>
      <c r="K1596"/>
      <c r="L1596"/>
      <c r="M1596"/>
      <c r="N1596"/>
      <c r="O1596"/>
    </row>
    <row r="1597" spans="1:15" x14ac:dyDescent="0.2">
      <c r="A1597"/>
      <c r="B1597"/>
      <c r="C1597"/>
      <c r="F1597"/>
      <c r="G1597"/>
      <c r="I1597"/>
      <c r="L1597"/>
      <c r="M1597"/>
      <c r="N1597"/>
      <c r="O1597"/>
    </row>
    <row r="1598" spans="1:15" x14ac:dyDescent="0.2">
      <c r="A1598"/>
      <c r="B1598"/>
      <c r="C1598"/>
      <c r="F1598"/>
      <c r="G1598"/>
      <c r="H1598"/>
      <c r="I1598"/>
      <c r="L1598"/>
      <c r="N1598"/>
      <c r="O1598"/>
    </row>
    <row r="1599" spans="1:15" x14ac:dyDescent="0.2">
      <c r="A1599"/>
      <c r="B1599"/>
      <c r="C1599"/>
      <c r="F1599"/>
      <c r="G1599"/>
      <c r="M1599"/>
      <c r="N1599"/>
      <c r="O1599"/>
    </row>
    <row r="1600" spans="1:15" x14ac:dyDescent="0.2">
      <c r="A1600"/>
      <c r="B1600"/>
      <c r="C1600"/>
      <c r="F1600"/>
      <c r="G1600"/>
      <c r="M1600"/>
      <c r="N1600"/>
      <c r="O1600"/>
    </row>
    <row r="1601" spans="1:15" x14ac:dyDescent="0.2">
      <c r="A1601"/>
      <c r="B1601"/>
      <c r="C1601"/>
      <c r="F1601"/>
      <c r="G1601"/>
      <c r="H1601"/>
      <c r="I1601"/>
      <c r="L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I1607"/>
      <c r="L1607"/>
      <c r="M1607"/>
      <c r="N1607"/>
      <c r="O1607"/>
    </row>
    <row r="1608" spans="1:15" x14ac:dyDescent="0.2">
      <c r="A1608"/>
      <c r="B1608"/>
      <c r="C1608"/>
      <c r="F1608"/>
      <c r="G1608"/>
      <c r="I1608"/>
      <c r="L1608"/>
      <c r="M1608"/>
      <c r="N1608"/>
      <c r="O1608"/>
    </row>
    <row r="1609" spans="1:15" x14ac:dyDescent="0.2">
      <c r="A1609"/>
      <c r="B1609"/>
      <c r="C1609"/>
      <c r="F1609"/>
      <c r="G1609"/>
      <c r="I1609"/>
      <c r="L1609"/>
      <c r="M1609"/>
      <c r="N1609"/>
      <c r="O1609"/>
    </row>
    <row r="1610" spans="1:15" x14ac:dyDescent="0.2">
      <c r="A1610"/>
      <c r="B1610"/>
      <c r="C1610"/>
      <c r="F1610"/>
      <c r="G1610"/>
      <c r="H1610"/>
      <c r="J1610"/>
      <c r="L1610"/>
      <c r="M1610"/>
      <c r="N1610"/>
      <c r="O1610"/>
    </row>
    <row r="1611" spans="1:15" x14ac:dyDescent="0.2">
      <c r="A1611"/>
      <c r="B1611"/>
      <c r="C1611"/>
      <c r="F1611"/>
      <c r="G1611"/>
      <c r="L1611"/>
      <c r="M1611"/>
      <c r="N1611"/>
      <c r="O1611"/>
    </row>
    <row r="1612" spans="1:15" x14ac:dyDescent="0.2">
      <c r="A1612"/>
      <c r="B1612"/>
      <c r="C1612"/>
      <c r="F1612"/>
      <c r="G1612"/>
      <c r="H1612"/>
      <c r="J1612"/>
      <c r="K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H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H1620"/>
      <c r="J1620"/>
      <c r="K1620"/>
      <c r="L1620"/>
      <c r="M1620"/>
      <c r="N1620"/>
      <c r="O1620"/>
    </row>
    <row r="1621" spans="1:15" x14ac:dyDescent="0.2">
      <c r="A1621"/>
      <c r="B1621"/>
      <c r="C1621"/>
      <c r="F1621"/>
      <c r="G1621"/>
      <c r="I1621"/>
      <c r="L1621"/>
      <c r="M1621"/>
      <c r="N1621"/>
      <c r="O1621"/>
    </row>
    <row r="1622" spans="1:15" x14ac:dyDescent="0.2">
      <c r="A1622"/>
      <c r="B1622"/>
      <c r="C1622"/>
      <c r="F1622"/>
      <c r="G1622"/>
      <c r="J1622"/>
      <c r="K1622"/>
      <c r="L1622"/>
      <c r="M1622"/>
      <c r="N1622"/>
      <c r="O1622"/>
    </row>
    <row r="1623" spans="1:15" x14ac:dyDescent="0.2">
      <c r="A1623"/>
      <c r="B1623"/>
      <c r="C1623"/>
      <c r="F1623"/>
      <c r="G1623"/>
      <c r="L1623"/>
      <c r="M1623"/>
      <c r="N1623"/>
      <c r="O1623"/>
    </row>
    <row r="1624" spans="1:15" x14ac:dyDescent="0.2">
      <c r="A1624"/>
      <c r="B1624"/>
      <c r="C1624"/>
      <c r="F1624"/>
      <c r="G1624"/>
      <c r="H1624"/>
      <c r="I1624"/>
      <c r="L1624"/>
      <c r="N1624"/>
      <c r="O1624"/>
    </row>
    <row r="1625" spans="1:15" x14ac:dyDescent="0.2">
      <c r="A1625"/>
      <c r="B1625"/>
      <c r="C1625"/>
      <c r="F1625"/>
      <c r="G1625"/>
      <c r="I1625"/>
      <c r="L1625"/>
      <c r="M1625"/>
      <c r="N1625"/>
      <c r="O1625"/>
    </row>
    <row r="1626" spans="1:15" x14ac:dyDescent="0.2">
      <c r="A1626"/>
      <c r="B1626"/>
      <c r="C1626"/>
      <c r="F1626"/>
      <c r="G1626"/>
      <c r="I1626"/>
      <c r="L1626"/>
      <c r="M1626"/>
      <c r="N1626"/>
      <c r="O1626"/>
    </row>
    <row r="1627" spans="1:15" x14ac:dyDescent="0.2">
      <c r="A1627"/>
      <c r="B1627"/>
      <c r="C1627"/>
      <c r="F1627"/>
      <c r="G1627"/>
      <c r="H1627"/>
      <c r="I1627"/>
      <c r="L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J1630"/>
      <c r="K1630"/>
      <c r="M1630"/>
      <c r="N1630"/>
      <c r="O1630"/>
    </row>
    <row r="1631" spans="1:15" x14ac:dyDescent="0.2">
      <c r="A1631"/>
      <c r="B1631"/>
      <c r="C1631"/>
      <c r="F1631"/>
      <c r="G1631"/>
      <c r="H1631"/>
      <c r="I1631"/>
      <c r="L1631"/>
      <c r="M1631"/>
      <c r="N1631"/>
      <c r="O1631"/>
    </row>
    <row r="1632" spans="1:15" x14ac:dyDescent="0.2">
      <c r="A1632"/>
      <c r="B1632"/>
      <c r="C1632"/>
      <c r="F1632"/>
      <c r="G1632"/>
      <c r="I1632"/>
      <c r="L1632"/>
      <c r="M1632"/>
      <c r="N1632"/>
      <c r="O1632"/>
    </row>
    <row r="1633" spans="1:15" x14ac:dyDescent="0.2">
      <c r="A1633"/>
      <c r="B1633"/>
      <c r="C1633"/>
      <c r="F1633"/>
      <c r="G1633"/>
      <c r="I1633"/>
      <c r="L1633"/>
      <c r="M1633"/>
      <c r="N1633"/>
      <c r="O1633"/>
    </row>
    <row r="1634" spans="1:15" x14ac:dyDescent="0.2">
      <c r="A1634"/>
      <c r="B1634"/>
      <c r="C1634"/>
      <c r="F1634"/>
      <c r="G1634"/>
      <c r="H1634"/>
      <c r="I1634"/>
      <c r="L1634"/>
      <c r="N1634"/>
      <c r="O1634"/>
    </row>
    <row r="1635" spans="1:15" x14ac:dyDescent="0.2">
      <c r="A1635"/>
      <c r="B1635"/>
      <c r="C1635"/>
      <c r="F1635"/>
      <c r="G1635"/>
      <c r="H1635"/>
      <c r="I1635"/>
      <c r="L1635"/>
      <c r="M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L1638"/>
      <c r="M1638"/>
      <c r="N1638"/>
      <c r="O1638"/>
    </row>
    <row r="1639" spans="1:15" x14ac:dyDescent="0.2">
      <c r="A1639"/>
      <c r="B1639"/>
      <c r="C1639"/>
      <c r="F1639"/>
      <c r="G1639"/>
      <c r="L1639"/>
      <c r="M1639"/>
      <c r="N1639"/>
      <c r="O1639"/>
    </row>
    <row r="1640" spans="1:15" x14ac:dyDescent="0.2">
      <c r="A1640"/>
      <c r="B1640"/>
      <c r="C1640"/>
      <c r="F1640"/>
      <c r="G1640"/>
      <c r="H1640"/>
      <c r="L1640"/>
      <c r="M1640"/>
      <c r="N1640"/>
      <c r="O1640"/>
    </row>
    <row r="1641" spans="1:15" x14ac:dyDescent="0.2">
      <c r="A1641"/>
      <c r="B1641"/>
      <c r="C1641"/>
      <c r="F1641"/>
      <c r="G1641"/>
      <c r="H1641"/>
      <c r="I1641"/>
      <c r="L1641"/>
      <c r="M1641"/>
      <c r="N1641"/>
      <c r="O1641"/>
    </row>
    <row r="1642" spans="1:15" x14ac:dyDescent="0.2">
      <c r="A1642"/>
      <c r="B1642"/>
      <c r="C1642"/>
      <c r="F1642"/>
      <c r="G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H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J1667"/>
      <c r="K1667"/>
      <c r="L1667"/>
      <c r="M1667"/>
      <c r="N1667"/>
      <c r="O1667"/>
    </row>
    <row r="1668" spans="1:15" x14ac:dyDescent="0.2">
      <c r="A1668"/>
      <c r="B1668"/>
      <c r="C1668"/>
      <c r="F1668"/>
      <c r="G1668"/>
      <c r="I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J1671"/>
      <c r="K1671"/>
      <c r="L1671"/>
      <c r="M1671"/>
      <c r="N1671"/>
      <c r="O1671"/>
    </row>
    <row r="1672" spans="1:15" x14ac:dyDescent="0.2">
      <c r="A1672"/>
      <c r="B1672"/>
      <c r="C1672"/>
      <c r="F1672"/>
      <c r="G1672"/>
      <c r="H1672"/>
      <c r="J1672"/>
      <c r="K1672"/>
      <c r="L1672"/>
      <c r="M1672"/>
      <c r="N1672"/>
      <c r="O1672"/>
    </row>
    <row r="1673" spans="1:15" x14ac:dyDescent="0.2">
      <c r="A1673"/>
      <c r="B1673"/>
      <c r="C1673"/>
      <c r="F1673"/>
      <c r="G1673"/>
      <c r="H1673"/>
      <c r="J1673"/>
      <c r="K1673"/>
      <c r="L1673"/>
      <c r="M1673"/>
      <c r="N1673"/>
      <c r="O1673"/>
    </row>
    <row r="1674" spans="1:15" x14ac:dyDescent="0.2">
      <c r="A1674"/>
      <c r="B1674"/>
      <c r="C1674"/>
      <c r="F1674"/>
      <c r="G1674"/>
      <c r="H1674"/>
      <c r="L1674"/>
      <c r="M1674"/>
      <c r="N1674"/>
      <c r="O1674"/>
    </row>
    <row r="1675" spans="1:15" x14ac:dyDescent="0.2">
      <c r="A1675"/>
      <c r="B1675"/>
      <c r="C1675"/>
      <c r="F1675"/>
      <c r="G1675"/>
      <c r="H1675"/>
      <c r="J1675"/>
      <c r="K1675"/>
      <c r="L1675"/>
      <c r="M1675"/>
      <c r="N1675"/>
      <c r="O1675"/>
    </row>
    <row r="1676" spans="1:15" x14ac:dyDescent="0.2">
      <c r="A1676"/>
      <c r="B1676"/>
      <c r="C1676"/>
      <c r="F1676"/>
      <c r="G1676"/>
      <c r="H1676"/>
      <c r="L1676"/>
      <c r="M1676"/>
      <c r="N1676"/>
      <c r="O1676"/>
    </row>
    <row r="1677" spans="1:15" x14ac:dyDescent="0.2">
      <c r="A1677"/>
      <c r="B1677"/>
      <c r="C1677"/>
      <c r="F1677"/>
      <c r="G1677"/>
      <c r="H1677"/>
      <c r="J1677"/>
      <c r="K1677"/>
      <c r="L1677"/>
      <c r="M1677"/>
      <c r="N1677"/>
      <c r="O1677"/>
    </row>
    <row r="1678" spans="1:15" x14ac:dyDescent="0.2">
      <c r="A1678"/>
      <c r="B1678"/>
      <c r="C1678"/>
      <c r="F1678"/>
      <c r="G1678"/>
      <c r="I1678"/>
      <c r="L1678"/>
      <c r="M1678"/>
      <c r="N1678"/>
      <c r="O1678"/>
    </row>
    <row r="1679" spans="1:15" x14ac:dyDescent="0.2">
      <c r="A1679"/>
      <c r="B1679"/>
      <c r="C1679"/>
      <c r="F1679"/>
      <c r="G1679"/>
      <c r="I1679"/>
      <c r="L1679"/>
      <c r="M1679"/>
      <c r="N1679"/>
      <c r="O1679"/>
    </row>
    <row r="1680" spans="1:15" x14ac:dyDescent="0.2">
      <c r="A1680"/>
      <c r="B1680"/>
      <c r="C1680"/>
      <c r="F1680"/>
      <c r="G1680"/>
      <c r="H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I1683"/>
      <c r="L1683"/>
      <c r="M1683"/>
      <c r="N1683"/>
      <c r="O1683"/>
    </row>
    <row r="1684" spans="1:15" x14ac:dyDescent="0.2">
      <c r="A1684"/>
      <c r="B1684"/>
      <c r="C1684"/>
      <c r="F1684"/>
      <c r="G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N1686"/>
      <c r="O1686"/>
    </row>
    <row r="1687" spans="1:15" x14ac:dyDescent="0.2">
      <c r="A1687"/>
      <c r="B1687"/>
      <c r="C1687"/>
      <c r="F1687"/>
      <c r="G1687"/>
      <c r="H1687"/>
      <c r="I1687"/>
      <c r="L1687"/>
      <c r="M1687"/>
      <c r="N1687"/>
      <c r="O1687"/>
    </row>
    <row r="1688" spans="1:15" x14ac:dyDescent="0.2">
      <c r="A1688"/>
      <c r="B1688"/>
      <c r="C1688"/>
      <c r="F1688"/>
      <c r="G1688"/>
      <c r="H1688"/>
      <c r="I1688"/>
      <c r="L1688"/>
      <c r="N1688"/>
      <c r="O168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zxnVat2ELNPBpPsL6/ZnolZEoV4ud5Q+sE+VJf4mu/dW8RJxGBlhPVye64hO77Sjx+E0OwqrFQAgtHehhqTEaQ==" saltValue="heFDsKZrIIG1nVIsY5LL2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ujwMBGzGyOmkRuFWrggzOt3QRys5PXUet6bESc5VMuaE6T8hCnE0tzq41EJz+no9c/TXi1svc3tPOaAFqXdTYw==" saltValue="mbI92ilnTvjfvucyaoHiD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sX+6LIsFfa0VpJmhQekQVNQ0gIvoVTxtMoVyro5k752s9loUeD50yBP97CvHZUtWAyKskMbz0gOVa3OqWJPS9A==" saltValue="bGi2fFiZ9HM3ra1SM5n5C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5" t="s">
        <v>14</v>
      </c>
      <c r="B9" s="16"/>
      <c r="C9" s="456" t="str" cm="1">
        <f t="array" ref="C9">IFERROR(_xlfn._TRO_TRAILING(Main!$B37:$C37),"")</f>
        <v/>
      </c>
      <c r="D9" s="17"/>
      <c r="E9" s="17" t="s">
        <v>15</v>
      </c>
      <c r="F9" s="456" t="str" cm="1">
        <f t="array" ref="F9">IFERROR(_xlfn._TRO_TRAILING(Main!B38:C38),"")</f>
        <v/>
      </c>
      <c r="G9" s="17"/>
      <c r="H9" s="17" t="s">
        <v>15</v>
      </c>
      <c r="I9" s="456" t="str" cm="1">
        <f t="array" ref="I9">IFERROR(_xlfn._TRO_TRAILING(Main!$B39:$C39),"")</f>
        <v/>
      </c>
      <c r="J9" s="17"/>
      <c r="K9" s="17" t="s">
        <v>15</v>
      </c>
      <c r="L9" s="456"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4"/>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4"/>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4"/>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5" t="s">
        <v>14</v>
      </c>
      <c r="B21" s="16"/>
      <c r="C21" s="456" t="str" cm="1">
        <f t="array" ref="C21">IFERROR(_xlfn._TRO_TRAILING(Main!$B41:$C41),"")</f>
        <v/>
      </c>
      <c r="D21" s="17"/>
      <c r="E21" s="17" t="s">
        <v>15</v>
      </c>
      <c r="F21" s="456" t="str" cm="1">
        <f t="array" ref="F21">IFERROR(_xlfn._TRO_TRAILING(Main!$B42:$C42),"")</f>
        <v/>
      </c>
      <c r="G21" s="17"/>
      <c r="H21" s="17" t="s">
        <v>15</v>
      </c>
      <c r="I21" s="456" t="str" cm="1">
        <f t="array" ref="I21">IFERROR(_xlfn._TRO_TRAILING(Main!$B43:$C43),"")</f>
        <v/>
      </c>
      <c r="J21" s="17"/>
      <c r="K21" s="17" t="s">
        <v>15</v>
      </c>
      <c r="L21" s="456"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HTSIVDn1ZUaKXCEXmiK4YNjmsxRKvQ9psw0l2QGrd/1CxoJaWsnk4X3DGNgTVYpH3abri1X+dJK41RKDuFvyeQ==" saltValue="zS86JnSRlwMg12nCqsErdg==" spinCount="100000" sheet="1" objects="1" scenarios="1" selectLockedCells="1" autoFilter="0"/>
  <mergeCells count="2">
    <mergeCell ref="D32:M34"/>
    <mergeCell ref="C37:M40"/>
  </mergeCells>
  <phoneticPr fontId="20"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5" t="s">
        <v>343</v>
      </c>
      <c r="I28" s="625"/>
      <c r="J28" s="625"/>
      <c r="K28" s="625"/>
      <c r="L28" s="625"/>
      <c r="M28" s="625"/>
      <c r="N28" s="625"/>
      <c r="O28" s="625"/>
      <c r="P28" s="625"/>
      <c r="Q28" s="625"/>
      <c r="R28" s="625"/>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31" t="s">
        <v>345</v>
      </c>
      <c r="K29" s="632"/>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26" t="s">
        <v>331</v>
      </c>
      <c r="I30" s="626"/>
      <c r="J30" s="633" t="s">
        <v>377</v>
      </c>
      <c r="K30" s="634"/>
      <c r="L30" s="635"/>
      <c r="M30" s="254"/>
      <c r="O30" s="627" t="s">
        <v>380</v>
      </c>
      <c r="P30" s="628"/>
      <c r="Q30" s="629"/>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16" t="s">
        <v>385</v>
      </c>
      <c r="K31" s="617"/>
      <c r="L31" s="618"/>
      <c r="M31" s="255" t="str">
        <f>IF(Main!S49="","",Main!S49)</f>
        <v>N/A</v>
      </c>
      <c r="O31" s="537" t="s">
        <v>387</v>
      </c>
      <c r="P31" s="538"/>
      <c r="Q31" s="630"/>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19" t="s">
        <v>334</v>
      </c>
      <c r="K32" s="620"/>
      <c r="L32" s="621"/>
      <c r="M32" s="250"/>
      <c r="O32" s="619" t="s">
        <v>334</v>
      </c>
      <c r="P32" s="620"/>
      <c r="Q32" s="621"/>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2" t="s">
        <v>386</v>
      </c>
      <c r="K33" s="623"/>
      <c r="L33" s="624"/>
      <c r="M33" s="249" t="str">
        <f>IF(Main!S51="","",Main!S51)</f>
        <v/>
      </c>
      <c r="O33" s="622" t="s">
        <v>388</v>
      </c>
      <c r="P33" s="623"/>
      <c r="Q33" s="624"/>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19" t="s">
        <v>334</v>
      </c>
      <c r="K34" s="620"/>
      <c r="L34" s="621"/>
      <c r="O34" s="619" t="s">
        <v>334</v>
      </c>
      <c r="P34" s="620"/>
      <c r="Q34" s="621"/>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08" t="s">
        <v>389</v>
      </c>
      <c r="K35" s="609"/>
      <c r="L35" s="610"/>
      <c r="M35" s="257" t="str">
        <f>IF(Main!S53="","",Main!S53)</f>
        <v/>
      </c>
      <c r="O35" s="608" t="s">
        <v>390</v>
      </c>
      <c r="P35" s="609"/>
      <c r="Q35" s="610"/>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1"/>
      <c r="K36" s="612"/>
      <c r="L36" s="613"/>
      <c r="M36" s="253"/>
      <c r="O36" s="611"/>
      <c r="P36" s="612"/>
      <c r="Q36" s="613"/>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f>IF(Main!P56="","",Main!P56)</f>
        <v>0</v>
      </c>
      <c r="K38" s="265" t="str">
        <f>IF(Main!Q56="","",Main!Q56)</f>
        <v/>
      </c>
      <c r="L38" s="266" t="str">
        <f>IF(Main!R56="","",Main!R56)</f>
        <v/>
      </c>
      <c r="O38" s="264">
        <f>IF(Main!U56="","",Main!U56)</f>
        <v>0</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YM5iEseH8p9xp7uYap4BpOLIwfcpVMdFtNqQj54fSh2dqLILVHvvBe2d9mgOpwkU7zvjfVqYrSg4g2sobRC7gg==" saltValue="BesL7TC15jzOqtNwTRa8+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2"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2"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1"/>
    </row>
    <row r="13" spans="1:14" x14ac:dyDescent="0.2">
      <c r="B13" t="str">
        <v/>
      </c>
      <c r="D13" s="472"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2"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2"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2"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2"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2"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2"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2"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2"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2"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2"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2"/>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MwwbnBFP3b3v4APo6f2lM3cpg6ag+JvjLwgRUZGCjzmL8VwzcXsoIHTc87pNyhRFI5yUuw/qD0k7OdGPoLPPLg==" saltValue="E99Zhz3W7EcUu+P77UcKX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4"/>
      <c r="C1" s="574"/>
      <c r="D1" s="574"/>
      <c r="E1" s="34" t="s">
        <v>154</v>
      </c>
      <c r="G1" s="574" t="s">
        <v>68</v>
      </c>
      <c r="H1" s="57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fUh0mzxNJ/DLn8oAVlvtMTdj05dN3iiNQMBa5CoGOpz+ZwmRmqt+eClFNq1BMz9+6aor0HFv0BkzbrPObxL19A==" saltValue="LZvQPJ/bXiWoBw7BMRv6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2026-01-01T20:44:55Z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