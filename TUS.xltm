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E92B484-B735-46BB-8C35-CA1CC0F15319}"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K10" i="95" s="1"/>
  <c r="J11" i="95"/>
  <c r="J12" i="95"/>
  <c r="J13" i="95"/>
  <c r="K13" i="95" s="1"/>
  <c r="J14" i="95"/>
  <c r="K14" i="95" s="1"/>
  <c r="J15" i="95"/>
  <c r="K15" i="95" s="1"/>
  <c r="J16" i="95"/>
  <c r="J17" i="95"/>
  <c r="J18" i="95"/>
  <c r="J19" i="95"/>
  <c r="J20" i="95"/>
  <c r="J21" i="95"/>
  <c r="J22" i="95"/>
  <c r="J23" i="95"/>
  <c r="J24" i="95"/>
  <c r="J25" i="95"/>
  <c r="J26" i="95"/>
  <c r="K26" i="95" s="1"/>
  <c r="J27" i="95"/>
  <c r="K27" i="95" s="1"/>
  <c r="J28" i="95"/>
  <c r="K28" i="95" s="1"/>
  <c r="J29" i="95"/>
  <c r="K29" i="95" s="1"/>
  <c r="J30" i="95"/>
  <c r="K30" i="95" s="1"/>
  <c r="J31" i="95"/>
  <c r="J32" i="95"/>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J51" i="95"/>
  <c r="K51" i="95" s="1"/>
  <c r="J52" i="95"/>
  <c r="J53" i="95"/>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K74" i="95" s="1"/>
  <c r="J75" i="95"/>
  <c r="K75" i="95" s="1"/>
  <c r="J76" i="95"/>
  <c r="K76" i="95" s="1"/>
  <c r="J77" i="95"/>
  <c r="K77" i="95" s="1"/>
  <c r="J78" i="95"/>
  <c r="K78" i="95" s="1"/>
  <c r="J79" i="95"/>
  <c r="K79" i="95" s="1"/>
  <c r="J80" i="95"/>
  <c r="J81" i="95"/>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K98" i="95" s="1"/>
  <c r="J99" i="95"/>
  <c r="J100" i="95"/>
  <c r="J101" i="95"/>
  <c r="J102" i="95"/>
  <c r="J103" i="95"/>
  <c r="J104" i="95"/>
  <c r="J105" i="95"/>
  <c r="J106" i="95"/>
  <c r="J107" i="95"/>
  <c r="J108" i="95"/>
  <c r="J109" i="95"/>
  <c r="K109" i="95" s="1"/>
  <c r="J110" i="95"/>
  <c r="K110" i="95" s="1"/>
  <c r="J111" i="95"/>
  <c r="J112" i="95"/>
  <c r="J113" i="95"/>
  <c r="J114" i="95"/>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K134" i="95" s="1"/>
  <c r="J135" i="95"/>
  <c r="J136" i="95"/>
  <c r="J137" i="95"/>
  <c r="K137" i="95" s="1"/>
  <c r="J138" i="95"/>
  <c r="K138" i="95" s="1"/>
  <c r="J139" i="95"/>
  <c r="K139" i="95" s="1"/>
  <c r="J140" i="95"/>
  <c r="K140" i="95" s="1"/>
  <c r="J141" i="95"/>
  <c r="K141" i="95" s="1"/>
  <c r="J142" i="95"/>
  <c r="K142" i="95" s="1"/>
  <c r="J143" i="95"/>
  <c r="K143" i="95" s="1"/>
  <c r="J144" i="95"/>
  <c r="J145" i="95"/>
  <c r="J146" i="95"/>
  <c r="J147" i="95"/>
  <c r="J148" i="95"/>
  <c r="J149" i="95"/>
  <c r="J150" i="95"/>
  <c r="J151" i="95"/>
  <c r="K151" i="95" s="1"/>
  <c r="J152" i="95"/>
  <c r="J153" i="95"/>
  <c r="K153" i="95" s="1"/>
  <c r="J154" i="95"/>
  <c r="K154" i="95" s="1"/>
  <c r="J155" i="95"/>
  <c r="K155" i="95" s="1"/>
  <c r="J156" i="95"/>
  <c r="K156" i="95" s="1"/>
  <c r="J157" i="95"/>
  <c r="K157" i="95" s="1"/>
  <c r="J158" i="95"/>
  <c r="K158" i="95" s="1"/>
  <c r="J159" i="95"/>
  <c r="J160" i="95"/>
  <c r="J161" i="95"/>
  <c r="K161" i="95" s="1"/>
  <c r="J162" i="95"/>
  <c r="K162" i="95" s="1"/>
  <c r="J163" i="95"/>
  <c r="J164" i="95"/>
  <c r="J165" i="95"/>
  <c r="K165" i="95" s="1"/>
  <c r="J166" i="95"/>
  <c r="K166" i="95" s="1"/>
  <c r="J167" i="95"/>
  <c r="K167" i="95" s="1"/>
  <c r="J168" i="95"/>
  <c r="K168" i="95" s="1"/>
  <c r="J169" i="95"/>
  <c r="K169" i="95" s="1"/>
  <c r="J170" i="95"/>
  <c r="J171" i="95"/>
  <c r="K171" i="95" s="1"/>
  <c r="J172" i="95"/>
  <c r="K172" i="95" s="1"/>
  <c r="J173" i="95"/>
  <c r="K173" i="95" s="1"/>
  <c r="J174" i="95"/>
  <c r="K174" i="95" s="1"/>
  <c r="J175" i="95"/>
  <c r="K175" i="95" s="1"/>
  <c r="J176" i="95"/>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J199" i="95"/>
  <c r="K199" i="95" s="1"/>
  <c r="J200" i="95"/>
  <c r="K200" i="95" s="1"/>
  <c r="J201" i="95"/>
  <c r="K201" i="95" s="1"/>
  <c r="J202" i="95"/>
  <c r="K202" i="95" s="1"/>
  <c r="J203" i="95"/>
  <c r="K203" i="95" s="1"/>
  <c r="J204" i="95"/>
  <c r="K204" i="95" s="1"/>
  <c r="J205" i="95"/>
  <c r="K205" i="95" s="1"/>
  <c r="J206" i="95"/>
  <c r="K206" i="95" s="1"/>
  <c r="J207" i="95"/>
  <c r="K207" i="95" s="1"/>
  <c r="J208" i="95"/>
  <c r="J209" i="95"/>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K223" i="95" s="1"/>
  <c r="J224" i="95"/>
  <c r="J225" i="95"/>
  <c r="J226" i="95"/>
  <c r="J227" i="95"/>
  <c r="J228" i="95"/>
  <c r="J229" i="95"/>
  <c r="J230" i="95"/>
  <c r="J231" i="95"/>
  <c r="J232" i="95"/>
  <c r="J233" i="95"/>
  <c r="J234" i="95"/>
  <c r="J235" i="95"/>
  <c r="K235" i="95" s="1"/>
  <c r="J236" i="95"/>
  <c r="K236" i="95" s="1"/>
  <c r="J237" i="95"/>
  <c r="K237" i="95" s="1"/>
  <c r="J238" i="95"/>
  <c r="K238" i="95" s="1"/>
  <c r="J239" i="95"/>
  <c r="J240" i="95"/>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J273" i="95"/>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J291" i="95"/>
  <c r="J292" i="95"/>
  <c r="J293" i="95"/>
  <c r="J294" i="95"/>
  <c r="J295" i="95"/>
  <c r="J296" i="95"/>
  <c r="J297" i="95"/>
  <c r="J298" i="95"/>
  <c r="J299" i="95"/>
  <c r="K299" i="95" s="1"/>
  <c r="J300" i="95"/>
  <c r="J301" i="95"/>
  <c r="K301" i="95" s="1"/>
  <c r="J302" i="95"/>
  <c r="K302" i="95" s="1"/>
  <c r="J303" i="95"/>
  <c r="J304" i="95"/>
  <c r="J305" i="95"/>
  <c r="J306" i="95"/>
  <c r="J307" i="95"/>
  <c r="J308" i="95"/>
  <c r="J309" i="95"/>
  <c r="J310" i="95"/>
  <c r="J311" i="95"/>
  <c r="J312" i="95"/>
  <c r="J313" i="95"/>
  <c r="J314" i="95"/>
  <c r="K314" i="95" s="1"/>
  <c r="J315" i="95"/>
  <c r="K315" i="95" s="1"/>
  <c r="J316" i="95"/>
  <c r="K316" i="95" s="1"/>
  <c r="J317" i="95"/>
  <c r="K317" i="95" s="1"/>
  <c r="J318" i="95"/>
  <c r="J319" i="95"/>
  <c r="J320" i="95"/>
  <c r="J321" i="95"/>
  <c r="J322" i="95"/>
  <c r="J323" i="95"/>
  <c r="J324" i="95"/>
  <c r="J325" i="95"/>
  <c r="J326" i="95"/>
  <c r="J327" i="95"/>
  <c r="K327" i="95" s="1"/>
  <c r="J328" i="95"/>
  <c r="K328" i="95" s="1"/>
  <c r="J329" i="95"/>
  <c r="K329" i="95" s="1"/>
  <c r="J330" i="95"/>
  <c r="K330" i="95" s="1"/>
  <c r="J331" i="95"/>
  <c r="K331" i="95" s="1"/>
  <c r="J332" i="95"/>
  <c r="K332" i="95" s="1"/>
  <c r="J333" i="95"/>
  <c r="J334" i="95"/>
  <c r="K334" i="95" s="1"/>
  <c r="J335" i="95"/>
  <c r="K335" i="95" s="1"/>
  <c r="J336" i="95"/>
  <c r="J337" i="95"/>
  <c r="J338" i="95"/>
  <c r="J339" i="95"/>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J359" i="95"/>
  <c r="J360" i="95"/>
  <c r="J361" i="95"/>
  <c r="J362" i="95"/>
  <c r="J363" i="95"/>
  <c r="K363" i="95" s="1"/>
  <c r="J364" i="95"/>
  <c r="K364" i="95" s="1"/>
  <c r="J365" i="95"/>
  <c r="K365" i="95" s="1"/>
  <c r="J366" i="95"/>
  <c r="K366" i="95" s="1"/>
  <c r="J367" i="95"/>
  <c r="J368" i="95"/>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K390" i="95" s="1"/>
  <c r="J391" i="95"/>
  <c r="K391" i="95" s="1"/>
  <c r="J392" i="95"/>
  <c r="K392" i="95" s="1"/>
  <c r="J393" i="95"/>
  <c r="K393" i="95" s="1"/>
  <c r="J394" i="95"/>
  <c r="J395" i="95"/>
  <c r="J396" i="95"/>
  <c r="J397" i="95"/>
  <c r="K397" i="95" s="1"/>
  <c r="J398" i="95"/>
  <c r="K398" i="95" s="1"/>
  <c r="J399" i="95"/>
  <c r="J400" i="95"/>
  <c r="J401" i="95"/>
  <c r="J402" i="95"/>
  <c r="J403" i="95"/>
  <c r="J404" i="95"/>
  <c r="J405" i="95"/>
  <c r="K405" i="95" s="1"/>
  <c r="J406" i="95"/>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1" i="95"/>
  <c r="K12" i="95"/>
  <c r="K16" i="95"/>
  <c r="K17" i="95"/>
  <c r="K18" i="95"/>
  <c r="K19" i="95"/>
  <c r="K20" i="95"/>
  <c r="K21" i="95"/>
  <c r="K22" i="95"/>
  <c r="K23" i="95"/>
  <c r="K24" i="95"/>
  <c r="K25" i="95"/>
  <c r="K31" i="95"/>
  <c r="K32" i="95"/>
  <c r="K33" i="95"/>
  <c r="K34" i="95"/>
  <c r="K35" i="95"/>
  <c r="K48" i="95"/>
  <c r="K49" i="95"/>
  <c r="K50" i="95"/>
  <c r="K52" i="95"/>
  <c r="K53" i="95"/>
  <c r="K63" i="95"/>
  <c r="K64" i="95"/>
  <c r="K65" i="95"/>
  <c r="K66" i="95"/>
  <c r="K67" i="95"/>
  <c r="K68" i="95"/>
  <c r="K69" i="95"/>
  <c r="K70" i="95"/>
  <c r="K71" i="95"/>
  <c r="K72" i="95"/>
  <c r="K73" i="95"/>
  <c r="K80" i="95"/>
  <c r="K81" i="95"/>
  <c r="K82" i="95"/>
  <c r="K95" i="95"/>
  <c r="K96" i="95"/>
  <c r="K97" i="95"/>
  <c r="K99" i="95"/>
  <c r="K100" i="95"/>
  <c r="K101" i="95"/>
  <c r="K102" i="95"/>
  <c r="K103" i="95"/>
  <c r="K104" i="95"/>
  <c r="K105" i="95"/>
  <c r="K106" i="95"/>
  <c r="K107" i="95"/>
  <c r="K108" i="95"/>
  <c r="K111" i="95"/>
  <c r="K112" i="95"/>
  <c r="K113" i="95"/>
  <c r="K114" i="95"/>
  <c r="K127" i="95"/>
  <c r="K128" i="95"/>
  <c r="K129" i="95"/>
  <c r="K130" i="95"/>
  <c r="K131" i="95"/>
  <c r="K132" i="95"/>
  <c r="K133" i="95"/>
  <c r="K135" i="95"/>
  <c r="K136" i="95"/>
  <c r="K144" i="95"/>
  <c r="K145" i="95"/>
  <c r="K146" i="95"/>
  <c r="K147" i="95"/>
  <c r="K148" i="95"/>
  <c r="K149" i="95"/>
  <c r="K150" i="95"/>
  <c r="K159" i="95"/>
  <c r="K160" i="95"/>
  <c r="K163" i="95"/>
  <c r="K164" i="95"/>
  <c r="K170" i="95"/>
  <c r="K176" i="95"/>
  <c r="K177" i="95"/>
  <c r="K178" i="95"/>
  <c r="K191" i="95"/>
  <c r="K192" i="95"/>
  <c r="K193" i="95"/>
  <c r="K194" i="95"/>
  <c r="K195" i="95"/>
  <c r="K196" i="95"/>
  <c r="K197" i="95"/>
  <c r="K198" i="95"/>
  <c r="K208" i="95"/>
  <c r="K211" i="95"/>
  <c r="K224" i="95"/>
  <c r="K225" i="95"/>
  <c r="K226" i="95"/>
  <c r="K227" i="95"/>
  <c r="K228" i="95"/>
  <c r="K229" i="95"/>
  <c r="K230" i="95"/>
  <c r="K231" i="95"/>
  <c r="K232" i="95"/>
  <c r="K233" i="95"/>
  <c r="K234" i="95"/>
  <c r="K239" i="95"/>
  <c r="K240" i="95"/>
  <c r="K255" i="95"/>
  <c r="K257" i="95"/>
  <c r="K258" i="95"/>
  <c r="K259" i="95"/>
  <c r="K260" i="95"/>
  <c r="K261" i="95"/>
  <c r="K262" i="95"/>
  <c r="K272" i="95"/>
  <c r="K273" i="95"/>
  <c r="K274" i="95"/>
  <c r="K275" i="95"/>
  <c r="K276" i="95"/>
  <c r="K288" i="95"/>
  <c r="K289" i="95"/>
  <c r="K290" i="95"/>
  <c r="K291" i="95"/>
  <c r="K292" i="95"/>
  <c r="K293" i="95"/>
  <c r="K294" i="95"/>
  <c r="K295" i="95"/>
  <c r="K296" i="95"/>
  <c r="K297" i="95"/>
  <c r="K298" i="95"/>
  <c r="K300" i="95"/>
  <c r="K303" i="95"/>
  <c r="K304" i="95"/>
  <c r="K305" i="95"/>
  <c r="K306" i="95"/>
  <c r="K307" i="95"/>
  <c r="K308" i="95"/>
  <c r="K309" i="95"/>
  <c r="K310" i="95"/>
  <c r="K311" i="95"/>
  <c r="K312" i="95"/>
  <c r="K313" i="95"/>
  <c r="K322" i="95"/>
  <c r="K323" i="95"/>
  <c r="K324" i="95"/>
  <c r="K325" i="95"/>
  <c r="K326" i="95"/>
  <c r="K336" i="95"/>
  <c r="K337" i="95"/>
  <c r="K338" i="95"/>
  <c r="K339" i="95"/>
  <c r="K352" i="95"/>
  <c r="K353" i="95"/>
  <c r="K354" i="95"/>
  <c r="K355" i="95"/>
  <c r="K356" i="95"/>
  <c r="K357" i="95"/>
  <c r="K358" i="95"/>
  <c r="K359" i="95"/>
  <c r="K360" i="95"/>
  <c r="K361" i="95"/>
  <c r="K362" i="95"/>
  <c r="K367" i="95"/>
  <c r="K368" i="95"/>
  <c r="K383" i="95"/>
  <c r="K384" i="95"/>
  <c r="K385" i="95"/>
  <c r="K386" i="95"/>
  <c r="K387" i="95"/>
  <c r="K388" i="95"/>
  <c r="K389" i="95"/>
  <c r="K394" i="95"/>
  <c r="K395" i="95"/>
  <c r="K396" i="95"/>
  <c r="K399" i="95"/>
  <c r="K400" i="95"/>
  <c r="K401" i="95"/>
  <c r="K402" i="95"/>
  <c r="K403" i="95"/>
  <c r="K404" i="95"/>
  <c r="K406" i="95"/>
  <c r="K415" i="95"/>
  <c r="K416" i="95"/>
  <c r="K417" i="95"/>
  <c r="K418" i="95"/>
  <c r="K419" i="95"/>
  <c r="K420" i="95"/>
  <c r="L2" i="95"/>
  <c r="L3" i="95"/>
  <c r="L4" i="95"/>
  <c r="M4" i="95" s="1"/>
  <c r="L5" i="95"/>
  <c r="L6" i="95"/>
  <c r="L7" i="95"/>
  <c r="M7" i="95" s="1"/>
  <c r="L8" i="95"/>
  <c r="M8" i="95" s="1"/>
  <c r="L9" i="95"/>
  <c r="M9" i="95" s="1"/>
  <c r="L10" i="95"/>
  <c r="L11" i="95"/>
  <c r="L12" i="95"/>
  <c r="L13" i="95"/>
  <c r="L14" i="95"/>
  <c r="L15" i="95"/>
  <c r="L16" i="95"/>
  <c r="L17" i="95"/>
  <c r="L18" i="95"/>
  <c r="L19" i="95"/>
  <c r="L20" i="95"/>
  <c r="M20" i="95" s="1"/>
  <c r="L21" i="95"/>
  <c r="M21" i="95" s="1"/>
  <c r="L22" i="95"/>
  <c r="M22" i="95" s="1"/>
  <c r="L23" i="95"/>
  <c r="M23" i="95" s="1"/>
  <c r="L24" i="95"/>
  <c r="M24" i="95" s="1"/>
  <c r="L25" i="95"/>
  <c r="L26" i="95"/>
  <c r="M26" i="95" s="1"/>
  <c r="L27" i="95"/>
  <c r="L28" i="95"/>
  <c r="L29" i="95"/>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M46" i="95" s="1"/>
  <c r="L47" i="95"/>
  <c r="L48" i="95"/>
  <c r="L49" i="95"/>
  <c r="M49" i="95" s="1"/>
  <c r="L50" i="95"/>
  <c r="M50" i="95" s="1"/>
  <c r="L51" i="95"/>
  <c r="M51" i="95" s="1"/>
  <c r="L52" i="95"/>
  <c r="M52" i="95" s="1"/>
  <c r="L53" i="95"/>
  <c r="M53" i="95" s="1"/>
  <c r="L54" i="95"/>
  <c r="M54" i="95" s="1"/>
  <c r="L55" i="95"/>
  <c r="M55" i="95" s="1"/>
  <c r="L56" i="95"/>
  <c r="M56" i="95" s="1"/>
  <c r="L57" i="95"/>
  <c r="L58" i="95"/>
  <c r="M58" i="95" s="1"/>
  <c r="L59" i="95"/>
  <c r="L60" i="95"/>
  <c r="L61" i="95"/>
  <c r="L62" i="95"/>
  <c r="L63" i="95"/>
  <c r="L64" i="95"/>
  <c r="L65" i="95"/>
  <c r="L66" i="95"/>
  <c r="L67" i="95"/>
  <c r="L68" i="95"/>
  <c r="L69" i="95"/>
  <c r="L70" i="95"/>
  <c r="M70" i="95" s="1"/>
  <c r="L71" i="95"/>
  <c r="M71" i="95" s="1"/>
  <c r="L72" i="95"/>
  <c r="M72" i="95" s="1"/>
  <c r="L73" i="95"/>
  <c r="M73" i="95" s="1"/>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L90" i="95"/>
  <c r="M90" i="95" s="1"/>
  <c r="L91" i="95"/>
  <c r="L92" i="95"/>
  <c r="L93" i="95"/>
  <c r="L94" i="95"/>
  <c r="L95" i="95"/>
  <c r="M95" i="95" s="1"/>
  <c r="L96" i="95"/>
  <c r="M96" i="95" s="1"/>
  <c r="L97" i="95"/>
  <c r="M97" i="95" s="1"/>
  <c r="L98" i="95"/>
  <c r="M98" i="95" s="1"/>
  <c r="L99" i="95"/>
  <c r="L100" i="95"/>
  <c r="L101" i="95"/>
  <c r="L102" i="95"/>
  <c r="L103" i="95"/>
  <c r="M103" i="95" s="1"/>
  <c r="L104" i="95"/>
  <c r="L105" i="95"/>
  <c r="L106" i="95"/>
  <c r="L107" i="95"/>
  <c r="L108" i="95"/>
  <c r="L109" i="95"/>
  <c r="L110" i="95"/>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L122" i="95"/>
  <c r="M122" i="95" s="1"/>
  <c r="L123" i="95"/>
  <c r="L124" i="95"/>
  <c r="L125" i="95"/>
  <c r="L126" i="95"/>
  <c r="L127" i="95"/>
  <c r="L128" i="95"/>
  <c r="L129" i="95"/>
  <c r="L130" i="95"/>
  <c r="L131" i="95"/>
  <c r="M131" i="95" s="1"/>
  <c r="L132" i="95"/>
  <c r="L133" i="95"/>
  <c r="L134" i="95"/>
  <c r="M134" i="95" s="1"/>
  <c r="L135" i="95"/>
  <c r="M135" i="95" s="1"/>
  <c r="L136" i="95"/>
  <c r="M136" i="95" s="1"/>
  <c r="L137" i="95"/>
  <c r="M137" i="95" s="1"/>
  <c r="L138" i="95"/>
  <c r="L139" i="95"/>
  <c r="L140" i="95"/>
  <c r="L141" i="95"/>
  <c r="L142" i="95"/>
  <c r="L143" i="95"/>
  <c r="L144" i="95"/>
  <c r="L145" i="95"/>
  <c r="L146" i="95"/>
  <c r="L147" i="95"/>
  <c r="M147" i="95" s="1"/>
  <c r="L148" i="95"/>
  <c r="M148" i="95" s="1"/>
  <c r="L149" i="95"/>
  <c r="M149" i="95" s="1"/>
  <c r="L150" i="95"/>
  <c r="M150" i="95" s="1"/>
  <c r="L151" i="95"/>
  <c r="M151" i="95" s="1"/>
  <c r="L152" i="95"/>
  <c r="M152" i="95" s="1"/>
  <c r="L153" i="95"/>
  <c r="L154" i="95"/>
  <c r="M154" i="95" s="1"/>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L186" i="95"/>
  <c r="M186" i="95" s="1"/>
  <c r="L187" i="95"/>
  <c r="L188" i="95"/>
  <c r="L189" i="95"/>
  <c r="L190" i="95"/>
  <c r="L191" i="95"/>
  <c r="L192" i="95"/>
  <c r="L193" i="95"/>
  <c r="L194" i="95"/>
  <c r="L195" i="95"/>
  <c r="M195" i="95" s="1"/>
  <c r="L196" i="95"/>
  <c r="M196" i="95" s="1"/>
  <c r="L197" i="95"/>
  <c r="M197" i="95" s="1"/>
  <c r="L198" i="95"/>
  <c r="M198" i="95" s="1"/>
  <c r="L199" i="95"/>
  <c r="M199" i="95" s="1"/>
  <c r="L200" i="95"/>
  <c r="M200" i="95" s="1"/>
  <c r="L201" i="95"/>
  <c r="M201" i="95" s="1"/>
  <c r="L202" i="95"/>
  <c r="L203" i="95"/>
  <c r="L204" i="95"/>
  <c r="L205" i="95"/>
  <c r="L206" i="95"/>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L218" i="95"/>
  <c r="M218" i="95" s="1"/>
  <c r="L219" i="95"/>
  <c r="M219" i="95" s="1"/>
  <c r="L220" i="95"/>
  <c r="M220" i="95" s="1"/>
  <c r="L221" i="95"/>
  <c r="L222" i="95"/>
  <c r="L223" i="95"/>
  <c r="L224" i="95"/>
  <c r="L225" i="95"/>
  <c r="L226" i="95"/>
  <c r="L227" i="95"/>
  <c r="L228" i="95"/>
  <c r="L229" i="95"/>
  <c r="L230" i="95"/>
  <c r="L231" i="95"/>
  <c r="M231" i="95" s="1"/>
  <c r="L232" i="95"/>
  <c r="M232" i="95" s="1"/>
  <c r="L233" i="95"/>
  <c r="M233" i="95" s="1"/>
  <c r="L234" i="95"/>
  <c r="L235" i="95"/>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L250" i="95"/>
  <c r="M250" i="95" s="1"/>
  <c r="L251" i="95"/>
  <c r="L252" i="95"/>
  <c r="L253" i="95"/>
  <c r="L254" i="95"/>
  <c r="L255" i="95"/>
  <c r="L256" i="95"/>
  <c r="L257" i="95"/>
  <c r="L258" i="95"/>
  <c r="M258" i="95" s="1"/>
  <c r="L259" i="95"/>
  <c r="M259" i="95" s="1"/>
  <c r="L260" i="95"/>
  <c r="M260" i="95" s="1"/>
  <c r="L261" i="95"/>
  <c r="M261" i="95" s="1"/>
  <c r="L262" i="95"/>
  <c r="M262" i="95" s="1"/>
  <c r="L263" i="95"/>
  <c r="M263" i="95" s="1"/>
  <c r="L264" i="95"/>
  <c r="M264" i="95" s="1"/>
  <c r="L265" i="95"/>
  <c r="L266" i="95"/>
  <c r="L267" i="95"/>
  <c r="L268" i="95"/>
  <c r="L269" i="95"/>
  <c r="L270" i="95"/>
  <c r="L271" i="95"/>
  <c r="M271" i="95" s="1"/>
  <c r="L272" i="95"/>
  <c r="M272" i="95" s="1"/>
  <c r="L273" i="95"/>
  <c r="L274" i="95"/>
  <c r="M274" i="95" s="1"/>
  <c r="L275" i="95"/>
  <c r="M275" i="95" s="1"/>
  <c r="L276" i="95"/>
  <c r="M276" i="95" s="1"/>
  <c r="L277" i="95"/>
  <c r="M277" i="95" s="1"/>
  <c r="L278" i="95"/>
  <c r="M278" i="95" s="1"/>
  <c r="L279" i="95"/>
  <c r="M279" i="95" s="1"/>
  <c r="L280" i="95"/>
  <c r="M280" i="95" s="1"/>
  <c r="L281" i="95"/>
  <c r="M281" i="95" s="1"/>
  <c r="L282" i="95"/>
  <c r="M282" i="95" s="1"/>
  <c r="L283" i="95"/>
  <c r="L284" i="95"/>
  <c r="L285" i="95"/>
  <c r="L286" i="95"/>
  <c r="L287" i="95"/>
  <c r="L288" i="95"/>
  <c r="L289" i="95"/>
  <c r="L290" i="95"/>
  <c r="L291" i="95"/>
  <c r="L292" i="95"/>
  <c r="L293" i="95"/>
  <c r="L294" i="95"/>
  <c r="M294" i="95" s="1"/>
  <c r="L295" i="95"/>
  <c r="M295" i="95" s="1"/>
  <c r="L296" i="95"/>
  <c r="L297" i="95"/>
  <c r="L298" i="95"/>
  <c r="L299" i="95"/>
  <c r="L300" i="95"/>
  <c r="L301" i="95"/>
  <c r="L302" i="95"/>
  <c r="L303" i="95"/>
  <c r="L304" i="95"/>
  <c r="L305" i="95"/>
  <c r="L306" i="95"/>
  <c r="L307" i="95"/>
  <c r="L308" i="95"/>
  <c r="M308" i="95" s="1"/>
  <c r="L309" i="95"/>
  <c r="M309" i="95" s="1"/>
  <c r="L310" i="95"/>
  <c r="M310" i="95" s="1"/>
  <c r="L311" i="95"/>
  <c r="M311" i="95" s="1"/>
  <c r="L312" i="95"/>
  <c r="M312" i="95" s="1"/>
  <c r="L313" i="95"/>
  <c r="L314" i="95"/>
  <c r="M314" i="95" s="1"/>
  <c r="L315" i="95"/>
  <c r="L316" i="95"/>
  <c r="L317" i="95"/>
  <c r="L318" i="95"/>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M334" i="95" s="1"/>
  <c r="L335" i="95"/>
  <c r="L336" i="95"/>
  <c r="L337" i="95"/>
  <c r="M337" i="95" s="1"/>
  <c r="L338" i="95"/>
  <c r="M338" i="95" s="1"/>
  <c r="L339" i="95"/>
  <c r="M339" i="95" s="1"/>
  <c r="L340" i="95"/>
  <c r="M340" i="95" s="1"/>
  <c r="L341" i="95"/>
  <c r="M341" i="95" s="1"/>
  <c r="L342" i="95"/>
  <c r="M342" i="95" s="1"/>
  <c r="L343" i="95"/>
  <c r="M343" i="95" s="1"/>
  <c r="L344" i="95"/>
  <c r="M344" i="95" s="1"/>
  <c r="L345" i="95"/>
  <c r="L346" i="95"/>
  <c r="M346" i="95" s="1"/>
  <c r="L347" i="95"/>
  <c r="L348" i="95"/>
  <c r="L349" i="95"/>
  <c r="L350" i="95"/>
  <c r="L351" i="95"/>
  <c r="L352" i="95"/>
  <c r="L353" i="95"/>
  <c r="L354" i="95"/>
  <c r="L355" i="95"/>
  <c r="L356" i="95"/>
  <c r="L357" i="95"/>
  <c r="L358" i="95"/>
  <c r="M358" i="95" s="1"/>
  <c r="L359" i="95"/>
  <c r="M359" i="95" s="1"/>
  <c r="L360" i="95"/>
  <c r="M360" i="95" s="1"/>
  <c r="L361" i="95"/>
  <c r="M361" i="95" s="1"/>
  <c r="L362" i="95"/>
  <c r="L363" i="95"/>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M378" i="95" s="1"/>
  <c r="L379" i="95"/>
  <c r="L380" i="95"/>
  <c r="L381" i="95"/>
  <c r="L382" i="95"/>
  <c r="M382" i="95" s="1"/>
  <c r="L383" i="95"/>
  <c r="M383" i="95" s="1"/>
  <c r="L384" i="95"/>
  <c r="M384" i="95" s="1"/>
  <c r="L385" i="95"/>
  <c r="L386" i="95"/>
  <c r="L387" i="95"/>
  <c r="L388" i="95"/>
  <c r="L389" i="95"/>
  <c r="L390" i="95"/>
  <c r="L391" i="95"/>
  <c r="M391" i="95" s="1"/>
  <c r="L392" i="95"/>
  <c r="L393" i="95"/>
  <c r="L394" i="95"/>
  <c r="L395" i="95"/>
  <c r="L396" i="95"/>
  <c r="L397" i="95"/>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M410" i="95" s="1"/>
  <c r="L411" i="95"/>
  <c r="L412" i="95"/>
  <c r="L413" i="95"/>
  <c r="L414" i="95"/>
  <c r="L415" i="95"/>
  <c r="L416" i="95"/>
  <c r="L417" i="95"/>
  <c r="L418" i="95"/>
  <c r="L419" i="95"/>
  <c r="L420" i="95"/>
  <c r="M2" i="95"/>
  <c r="M3" i="95"/>
  <c r="M5" i="95"/>
  <c r="M6" i="95"/>
  <c r="M10" i="95"/>
  <c r="M11" i="95"/>
  <c r="M12" i="95"/>
  <c r="M13" i="95"/>
  <c r="M14" i="95"/>
  <c r="M15" i="95"/>
  <c r="M16" i="95"/>
  <c r="M17" i="95"/>
  <c r="M18" i="95"/>
  <c r="M19" i="95"/>
  <c r="M25" i="95"/>
  <c r="M27" i="95"/>
  <c r="M28" i="95"/>
  <c r="M29" i="95"/>
  <c r="M42" i="95"/>
  <c r="M43" i="95"/>
  <c r="M44" i="95"/>
  <c r="M45" i="95"/>
  <c r="M47" i="95"/>
  <c r="M48" i="95"/>
  <c r="M57" i="95"/>
  <c r="M59" i="95"/>
  <c r="M60" i="95"/>
  <c r="M61" i="95"/>
  <c r="M62" i="95"/>
  <c r="M63" i="95"/>
  <c r="M64" i="95"/>
  <c r="M65" i="95"/>
  <c r="M66" i="95"/>
  <c r="M67" i="95"/>
  <c r="M68" i="95"/>
  <c r="M69" i="95"/>
  <c r="M74" i="95"/>
  <c r="M75" i="95"/>
  <c r="M89" i="95"/>
  <c r="M91" i="95"/>
  <c r="M92" i="95"/>
  <c r="M93" i="95"/>
  <c r="M94" i="95"/>
  <c r="M99" i="95"/>
  <c r="M100" i="95"/>
  <c r="M101" i="95"/>
  <c r="M102" i="95"/>
  <c r="M104" i="95"/>
  <c r="M105" i="95"/>
  <c r="M106" i="95"/>
  <c r="M107" i="95"/>
  <c r="M108" i="95"/>
  <c r="M109" i="95"/>
  <c r="M110" i="95"/>
  <c r="M121" i="95"/>
  <c r="M123" i="95"/>
  <c r="M124" i="95"/>
  <c r="M125" i="95"/>
  <c r="M126" i="95"/>
  <c r="M127" i="95"/>
  <c r="M128" i="95"/>
  <c r="M129" i="95"/>
  <c r="M130" i="95"/>
  <c r="M132" i="95"/>
  <c r="M133" i="95"/>
  <c r="M138" i="95"/>
  <c r="M139" i="95"/>
  <c r="M140" i="95"/>
  <c r="M141" i="95"/>
  <c r="M142" i="95"/>
  <c r="M143" i="95"/>
  <c r="M144" i="95"/>
  <c r="M145" i="95"/>
  <c r="M146" i="95"/>
  <c r="M153" i="95"/>
  <c r="M155" i="95"/>
  <c r="M156" i="95"/>
  <c r="M170" i="95"/>
  <c r="M171" i="95"/>
  <c r="M172" i="95"/>
  <c r="M173" i="95"/>
  <c r="M185" i="95"/>
  <c r="M187" i="95"/>
  <c r="M188" i="95"/>
  <c r="M189" i="95"/>
  <c r="M190" i="95"/>
  <c r="M191" i="95"/>
  <c r="M192" i="95"/>
  <c r="M193" i="95"/>
  <c r="M194" i="95"/>
  <c r="M202" i="95"/>
  <c r="M203" i="95"/>
  <c r="M204" i="95"/>
  <c r="M205" i="95"/>
  <c r="M206" i="95"/>
  <c r="M217" i="95"/>
  <c r="M221" i="95"/>
  <c r="M222" i="95"/>
  <c r="M223" i="95"/>
  <c r="M224" i="95"/>
  <c r="M225" i="95"/>
  <c r="M226" i="95"/>
  <c r="M227" i="95"/>
  <c r="M228" i="95"/>
  <c r="M229" i="95"/>
  <c r="M230" i="95"/>
  <c r="M234" i="95"/>
  <c r="M235" i="95"/>
  <c r="M249" i="95"/>
  <c r="M251" i="95"/>
  <c r="M252" i="95"/>
  <c r="M253" i="95"/>
  <c r="M254" i="95"/>
  <c r="M255" i="95"/>
  <c r="M256" i="95"/>
  <c r="M257" i="95"/>
  <c r="M265" i="95"/>
  <c r="M266" i="95"/>
  <c r="M267" i="95"/>
  <c r="M268" i="95"/>
  <c r="M269" i="95"/>
  <c r="M270" i="95"/>
  <c r="M273" i="95"/>
  <c r="M283" i="95"/>
  <c r="M284" i="95"/>
  <c r="M285" i="95"/>
  <c r="M286" i="95"/>
  <c r="M287" i="95"/>
  <c r="M288" i="95"/>
  <c r="M289" i="95"/>
  <c r="M290" i="95"/>
  <c r="M291" i="95"/>
  <c r="M292" i="95"/>
  <c r="M293" i="95"/>
  <c r="M296" i="95"/>
  <c r="M297" i="95"/>
  <c r="M298" i="95"/>
  <c r="M299" i="95"/>
  <c r="M300" i="95"/>
  <c r="M301" i="95"/>
  <c r="M302" i="95"/>
  <c r="M303" i="95"/>
  <c r="M304" i="95"/>
  <c r="M305" i="95"/>
  <c r="M306" i="95"/>
  <c r="M307" i="95"/>
  <c r="M313" i="95"/>
  <c r="M315" i="95"/>
  <c r="M316" i="95"/>
  <c r="M317" i="95"/>
  <c r="M318" i="95"/>
  <c r="M330" i="95"/>
  <c r="M331" i="95"/>
  <c r="M332" i="95"/>
  <c r="M333" i="95"/>
  <c r="M335" i="95"/>
  <c r="M336" i="95"/>
  <c r="M345" i="95"/>
  <c r="M347" i="95"/>
  <c r="M348" i="95"/>
  <c r="M349" i="95"/>
  <c r="M350" i="95"/>
  <c r="M351" i="95"/>
  <c r="M352" i="95"/>
  <c r="M353" i="95"/>
  <c r="M354" i="95"/>
  <c r="M355" i="95"/>
  <c r="M356" i="95"/>
  <c r="M357" i="95"/>
  <c r="M362" i="95"/>
  <c r="M363" i="95"/>
  <c r="M377" i="95"/>
  <c r="M379" i="95"/>
  <c r="M380" i="95"/>
  <c r="M381" i="95"/>
  <c r="M385" i="95"/>
  <c r="M386" i="95"/>
  <c r="M387" i="95"/>
  <c r="M388" i="95"/>
  <c r="M389" i="95"/>
  <c r="M390" i="95"/>
  <c r="M392" i="95"/>
  <c r="M393" i="95"/>
  <c r="M394" i="95"/>
  <c r="M395" i="95"/>
  <c r="M396" i="95"/>
  <c r="M397" i="95"/>
  <c r="M409" i="95"/>
  <c r="M411" i="95"/>
  <c r="M412" i="95"/>
  <c r="M413" i="95"/>
  <c r="M414" i="95"/>
  <c r="M415" i="95"/>
  <c r="M416" i="95"/>
  <c r="M417" i="95"/>
  <c r="M418" i="95"/>
  <c r="M419"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P15" i="74" s="1"/>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c r="L8" i="70" a="1"/>
  <c r="L8" i="70"/>
  <c r="L9" i="70" a="1"/>
  <c r="L9" i="70"/>
  <c r="L10" i="70" a="1"/>
  <c r="L10" i="70" s="1"/>
  <c r="L11" i="70" a="1"/>
  <c r="L11" i="70"/>
  <c r="L12" i="70" a="1"/>
  <c r="L12" i="70"/>
  <c r="L13" i="70" a="1"/>
  <c r="L13" i="70" s="1"/>
  <c r="L14" i="70" a="1"/>
  <c r="L14" i="70"/>
  <c r="L15" i="70" a="1"/>
  <c r="L15" i="70" s="1"/>
  <c r="L16" i="70" a="1"/>
  <c r="L16" i="70" s="1"/>
  <c r="L17" i="70" a="1"/>
  <c r="L17" i="70"/>
  <c r="L18" i="70" a="1"/>
  <c r="L18" i="70" s="1"/>
  <c r="L19" i="70" a="1"/>
  <c r="L19" i="70"/>
  <c r="L20" i="70" a="1"/>
  <c r="L20" i="70"/>
  <c r="L21" i="70" a="1"/>
  <c r="L21" i="70" s="1"/>
  <c r="L22" i="70" a="1"/>
  <c r="L22" i="70"/>
  <c r="L23" i="70" a="1"/>
  <c r="L23" i="70" s="1"/>
  <c r="L24" i="70" a="1"/>
  <c r="L24" i="70" s="1"/>
  <c r="L25" i="70" a="1"/>
  <c r="L25" i="70"/>
  <c r="L26" i="70" a="1"/>
  <c r="L26" i="70"/>
  <c r="L27" i="70" a="1"/>
  <c r="L27" i="70"/>
  <c r="L28" i="70" a="1"/>
  <c r="L28" i="70"/>
  <c r="D47" i="8"/>
  <c r="M5" i="70" s="1" a="1"/>
  <c r="M5" i="70" s="1"/>
  <c r="R2" i="74"/>
  <c r="F2" i="74" s="1" a="1"/>
  <c r="F2" i="74" s="1"/>
  <c r="D14" i="8"/>
  <c r="D13" i="8"/>
  <c r="D12" i="8"/>
  <c r="D11" i="8" a="1"/>
  <c r="D11" i="8" s="1"/>
  <c r="K2" i="70"/>
  <c r="I47" i="8"/>
  <c r="H47" i="8"/>
  <c r="G47" i="8"/>
  <c r="F47" i="8"/>
  <c r="E47" i="8"/>
  <c r="G1" i="8" a="1"/>
  <c r="K318" i="95" l="1"/>
  <c r="K221" i="95"/>
  <c r="K222" i="95"/>
  <c r="K152" i="95"/>
  <c r="K333" i="95"/>
  <c r="M18" i="70" a="1"/>
  <c r="M18" i="70" s="1"/>
  <c r="M17" i="70" a="1"/>
  <c r="M17" i="70" s="1"/>
  <c r="M13" i="70" a="1"/>
  <c r="M13" i="70" s="1"/>
  <c r="M20" i="70" a="1"/>
  <c r="M20" i="70" s="1"/>
  <c r="M24" i="70" a="1"/>
  <c r="M24" i="70" s="1"/>
  <c r="M19" i="70" a="1"/>
  <c r="M19" i="70" s="1"/>
  <c r="M26" i="70" a="1"/>
  <c r="M26" i="70" s="1"/>
  <c r="M15" i="70" a="1"/>
  <c r="M15" i="70" s="1"/>
  <c r="M14" i="70" a="1"/>
  <c r="M14" i="70" s="1"/>
  <c r="M16" i="70" a="1"/>
  <c r="M16" i="70" s="1"/>
  <c r="M28" i="70" a="1"/>
  <c r="M28" i="70" s="1"/>
  <c r="M12" i="70" a="1"/>
  <c r="M12" i="70" s="1"/>
  <c r="M27" i="70" a="1"/>
  <c r="M27" i="70" s="1"/>
  <c r="M11" i="70" a="1"/>
  <c r="M11" i="70" s="1"/>
  <c r="M25" i="70" a="1"/>
  <c r="M25" i="70" s="1"/>
  <c r="M9" i="70" a="1"/>
  <c r="M9" i="70" s="1"/>
  <c r="M10" i="70" a="1"/>
  <c r="M10" i="70" s="1"/>
  <c r="M8" i="70" a="1"/>
  <c r="M8" i="70" s="1"/>
  <c r="M23" i="70" a="1"/>
  <c r="M23" i="70" s="1"/>
  <c r="M7" i="70" a="1"/>
  <c r="M7" i="70" s="1"/>
  <c r="M22" i="70" a="1"/>
  <c r="M22" i="70" s="1"/>
  <c r="M6" i="70" a="1"/>
  <c r="M6" i="70" s="1"/>
  <c r="M21" i="70" a="1"/>
  <c r="M21" i="70" s="1"/>
  <c r="G2" i="100" a="1"/>
  <c r="G2" i="100" s="1"/>
  <c r="G1" i="8"/>
  <c r="L2" i="70" a="1"/>
  <c r="L2" i="70" s="1"/>
  <c r="M2" i="70" l="1" a="1"/>
  <c r="M2" i="70" s="1"/>
  <c r="N6" i="70" s="1"/>
  <c r="N15" i="70" l="1"/>
  <c r="N27" i="70"/>
  <c r="N10" i="70"/>
  <c r="N17" i="70"/>
  <c r="N20" i="70"/>
  <c r="N18" i="70"/>
  <c r="N19" i="70"/>
  <c r="N5" i="70"/>
  <c r="N13" i="70"/>
  <c r="N24" i="70"/>
  <c r="N26" i="70"/>
  <c r="N28" i="70"/>
  <c r="N9" i="70"/>
  <c r="N22" i="70"/>
  <c r="N14" i="70"/>
  <c r="N11" i="70"/>
  <c r="N25" i="70"/>
  <c r="N8" i="70"/>
  <c r="N16" i="70"/>
  <c r="N23" i="70"/>
  <c r="N12" i="70"/>
  <c r="N7" i="70"/>
  <c r="N2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<sst xmlns="http://schemas.openxmlformats.org/spreadsheetml/2006/main" count="1283" uniqueCount="751">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</sst>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9" formatCode="m/d/yyyy"/>
    </dxf>
    <dxf>
      <numFmt numFmtId="184"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3"/>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Ab7yBrnun4MQ56b6iBV1fB+kocuKz6uh8sWAhYFd8kqmQq1o6T8OZPRSALPL5H9oAVcE4N9TVpv6JeNoC1T1sA==" saltValue="2DCmxYZYeV9ooNWG+nXxM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512" t="s">
        <v>49</v>
      </c>
      <c r="D1" s="513"/>
      <c r="E1" s="513"/>
      <c r="F1" s="513"/>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4" t="s">
        <v>99</v>
      </c>
      <c r="K3" s="515"/>
      <c r="L3" s="516"/>
      <c r="M3" s="301"/>
      <c r="N3" s="530" t="s">
        <v>88</v>
      </c>
      <c r="O3" s="530"/>
      <c r="P3" s="530"/>
      <c r="Q3" s="530"/>
      <c r="R3" s="530"/>
      <c r="S3" s="530"/>
    </row>
    <row r="4" spans="1:19" s="278" customFormat="1" x14ac:dyDescent="0.2">
      <c r="A4" s="319"/>
      <c r="B4" s="141"/>
      <c r="C4" s="142" t="s">
        <v>188</v>
      </c>
      <c r="D4" s="285" t="str">
        <f>IF(Condition="","",Condition)</f>
        <v/>
      </c>
      <c r="E4" s="301"/>
      <c r="F4" s="301"/>
      <c r="G4" s="301"/>
      <c r="H4" s="301"/>
      <c r="I4" s="301"/>
      <c r="J4" s="519" t="s">
        <v>1</v>
      </c>
      <c r="K4" s="520"/>
      <c r="L4" s="143">
        <f>MAX(Survey[Deviations])</f>
        <v>0</v>
      </c>
      <c r="M4" s="301"/>
      <c r="N4" s="144" t="s">
        <v>87</v>
      </c>
      <c r="O4" s="145" t="s">
        <v>86</v>
      </c>
      <c r="P4" s="517" t="s">
        <v>97</v>
      </c>
      <c r="Q4" s="518"/>
      <c r="R4" s="144" t="s">
        <v>129</v>
      </c>
      <c r="S4" s="144" t="s">
        <v>133</v>
      </c>
    </row>
    <row r="5" spans="1:19" s="278" customFormat="1" x14ac:dyDescent="0.2">
      <c r="A5" s="319"/>
      <c r="B5" s="141"/>
      <c r="C5" s="142" t="s">
        <v>41</v>
      </c>
      <c r="D5" s="534" t="e">
        <f>companyName</f>
        <v>#N/A</v>
      </c>
      <c r="E5" s="535"/>
      <c r="F5" s="535"/>
      <c r="G5" s="535"/>
      <c r="H5" s="536"/>
      <c r="I5" s="286"/>
      <c r="J5" s="519" t="s">
        <v>2</v>
      </c>
      <c r="K5" s="520"/>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31" t="e">
        <f>VLOOKUP("assetName",WorkItemDetails[],2,FALSE)</f>
        <v>#N/A</v>
      </c>
      <c r="E6" s="532"/>
      <c r="F6" s="532"/>
      <c r="G6" s="532"/>
      <c r="H6" s="533"/>
      <c r="J6" s="519" t="s">
        <v>98</v>
      </c>
      <c r="K6" s="520"/>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8" t="str">
        <f>IFERROR(VLOOKUP("PoNumber",WorkItemDetails[],2,FALSE),"")</f>
        <v/>
      </c>
      <c r="L13" s="529"/>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7"/>
      <c r="L14" s="538"/>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3"/>
      <c r="L15" s="524"/>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5" t="s">
        <v>151</v>
      </c>
      <c r="K16" s="486"/>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5" t="s">
        <v>152</v>
      </c>
      <c r="K17" s="486"/>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9" t="s">
        <v>19</v>
      </c>
      <c r="H18" s="54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21" t="str">
        <f>IF(K15="Salt",0, IF(OR(K15="Hot",K15="SIM Load Hot"),IF(OR(D26="",D28=""),"N/A",IF(ISBLANK(D26),"N/A",D28-D26)),"N/A"))</f>
        <v>N/A</v>
      </c>
      <c r="H19" s="522"/>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5" t="s">
        <v>441</v>
      </c>
      <c r="C20" s="526"/>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2" t="s">
        <v>301</v>
      </c>
      <c r="H23" s="503"/>
      <c r="I23" s="503"/>
      <c r="J23" s="503"/>
      <c r="K23" s="504"/>
      <c r="L23" s="302"/>
      <c r="M23" s="301"/>
      <c r="N23" s="405">
        <v>19</v>
      </c>
      <c r="O23" s="146"/>
      <c r="P23" s="458" t="str">
        <v/>
      </c>
      <c r="Q23" s="459"/>
      <c r="R23" s="457" t="e">
        <v>#VALUE!</v>
      </c>
      <c r="S23" s="147" t="str">
        <v/>
      </c>
      <c r="T23" s="431"/>
      <c r="U23" s="286" t="s">
        <v>419</v>
      </c>
      <c r="V23" s="286">
        <f>V20+V21</f>
        <v>40</v>
      </c>
    </row>
    <row r="24" spans="2:22" s="278" customFormat="1" x14ac:dyDescent="0.2">
      <c r="B24" s="525" t="s">
        <v>328</v>
      </c>
      <c r="C24" s="527"/>
      <c r="D24" s="282">
        <v>1</v>
      </c>
      <c r="E24" s="301"/>
      <c r="F24" s="160" t="s">
        <v>95</v>
      </c>
      <c r="G24" s="505"/>
      <c r="H24" s="506"/>
      <c r="I24" s="506"/>
      <c r="J24" s="506"/>
      <c r="K24" s="507"/>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5"/>
      <c r="H25" s="506"/>
      <c r="I25" s="506"/>
      <c r="J25" s="506"/>
      <c r="K25" s="507"/>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00" t="str">
        <f>IF(ISBLANK(D6),"",IF(CheckRec="x","CHECK INSTRUMENT CAL DATES!!!!             CHECK INSTRUMENT CAL DATES!!!!",""))</f>
        <v/>
      </c>
      <c r="I27" s="501"/>
      <c r="J27" s="501"/>
      <c r="K27" s="501"/>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00"/>
      <c r="I28" s="501"/>
      <c r="J28" s="501"/>
      <c r="K28" s="501"/>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4" t="s">
        <v>48</v>
      </c>
      <c r="C34" s="515"/>
      <c r="D34" s="515"/>
      <c r="E34" s="515"/>
      <c r="F34" s="515"/>
      <c r="G34" s="515"/>
      <c r="H34" s="515"/>
      <c r="I34" s="515"/>
      <c r="J34" s="515"/>
      <c r="K34" s="515"/>
      <c r="L34" s="516"/>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2" t="s">
        <v>33</v>
      </c>
      <c r="E46" s="483"/>
      <c r="F46" s="483"/>
      <c r="G46" s="483"/>
      <c r="H46" s="483"/>
      <c r="I46" s="484"/>
      <c r="J46" s="345"/>
      <c r="K46" s="345"/>
      <c r="L46" s="345"/>
      <c r="M46" s="508" t="s">
        <v>259</v>
      </c>
      <c r="N46" s="509"/>
      <c r="O46" s="510"/>
      <c r="P46" s="511"/>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489" t="s">
        <v>262</v>
      </c>
      <c r="Q47" s="489"/>
      <c r="R47" s="385" t="s">
        <v>263</v>
      </c>
      <c r="T47" s="305"/>
      <c r="U47" s="305"/>
    </row>
    <row r="48" spans="1:24" x14ac:dyDescent="0.2">
      <c r="A48" s="319"/>
      <c r="B48" s="343"/>
      <c r="C48" s="383" t="s">
        <v>34</v>
      </c>
      <c r="D48" s="288"/>
      <c r="E48" s="288"/>
      <c r="F48" s="288"/>
      <c r="G48" s="288"/>
      <c r="H48" s="288"/>
      <c r="I48" s="288"/>
      <c r="J48" s="345"/>
      <c r="K48" s="345"/>
      <c r="L48" s="345"/>
      <c r="M48" s="490" t="s">
        <v>264</v>
      </c>
      <c r="N48" s="490"/>
      <c r="O48" s="347"/>
      <c r="P48" s="491" t="s">
        <v>309</v>
      </c>
      <c r="Q48" s="492"/>
      <c r="R48" s="493"/>
      <c r="S48" s="468" t="b">
        <f>_xlfn.REGEXTEST(TRIM(Class),"^[0-9][AC]",1)</f>
        <v>0</v>
      </c>
      <c r="T48" s="306"/>
      <c r="U48" s="491" t="s">
        <v>312</v>
      </c>
      <c r="V48" s="492"/>
      <c r="W48" s="493"/>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7" t="s">
        <v>267</v>
      </c>
      <c r="Q50" s="498"/>
      <c r="R50" s="499"/>
      <c r="S50" s="348"/>
      <c r="T50" s="308"/>
      <c r="U50" s="497" t="s">
        <v>267</v>
      </c>
      <c r="V50" s="498"/>
      <c r="W50" s="499"/>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97" t="s">
        <v>267</v>
      </c>
      <c r="Q52" s="498"/>
      <c r="R52" s="499"/>
      <c r="S52" s="348"/>
      <c r="T52" s="310"/>
      <c r="U52" s="497" t="s">
        <v>267</v>
      </c>
      <c r="V52" s="498"/>
      <c r="W52" s="499"/>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41" t="s">
        <v>311</v>
      </c>
      <c r="Q53" s="542"/>
      <c r="R53" s="543"/>
      <c r="S53" s="386"/>
      <c r="T53" s="311"/>
      <c r="U53" s="541" t="s">
        <v>316</v>
      </c>
      <c r="V53" s="542"/>
      <c r="W53" s="543"/>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4"/>
      <c r="Q54" s="545"/>
      <c r="R54" s="546"/>
      <c r="S54" s="352"/>
      <c r="T54" s="312"/>
      <c r="U54" s="544"/>
      <c r="V54" s="545"/>
      <c r="W54" s="546"/>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2" t="s">
        <v>146</v>
      </c>
      <c r="D58" s="483"/>
      <c r="E58" s="483"/>
      <c r="F58" s="483"/>
      <c r="G58" s="483"/>
      <c r="H58" s="483"/>
      <c r="I58" s="483"/>
      <c r="J58" s="483"/>
      <c r="K58" s="487"/>
      <c r="L58" s="488"/>
      <c r="M58" s="305"/>
      <c r="N58" s="305"/>
      <c r="O58" s="305"/>
      <c r="P58" s="301"/>
      <c r="Q58" s="455"/>
      <c r="S58" s="305"/>
      <c r="T58" s="305"/>
      <c r="U58" s="305"/>
      <c r="V58" s="453"/>
    </row>
    <row r="59" spans="3:24" x14ac:dyDescent="0.2">
      <c r="C59" s="482" t="s">
        <v>149</v>
      </c>
      <c r="D59" s="483"/>
      <c r="E59" s="483"/>
      <c r="F59" s="483"/>
      <c r="G59" s="483"/>
      <c r="H59" s="483"/>
      <c r="I59" s="483"/>
      <c r="J59" s="483"/>
      <c r="K59" s="483"/>
      <c r="L59" s="484"/>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N4G1qTEnadE6GCSm9JijRuVKrVIzRw99Sit6Wf5Vnk9uHLmJ9dMgBhG+KvMvMa/B5W5RdKHQO6rixKthai83YA==" saltValue="UolfC0HeuGalT+G8BG4LhA=="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iB45J8vJN49RJfnrAi+cDRZoEavpNAQNXb52YqK0pZo74um4aJ/MmXUgMK/l7je1koJWvQ1NmiWyVEkdotjb3A==" saltValue="TRZX1GGMYZ52A7xKUxg7M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6yM1B20EPgeeopy8VDl2NwmhR9N6XyGFlyJCnolxR7IJpJ+YoCsvuJin4R3zdH79PNaWPzirCuGVmwxcvhdTuQ==" saltValue="Q9Dfg0jjaQxo7XgkjlmeK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Q6qWqtXsR53Hiv44SCaArf4nq62zHCOTJTUXDF+Zh3N0+d0cbQg1P7ItG/KKiNMbfvrKBFPBWvpsI1YmUeEDAw==" saltValue="dDB4PMaOKLXnby2g9dqfF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1" t="s">
        <v>108</v>
      </c>
      <c r="E1" s="571"/>
      <c r="F1" s="571"/>
      <c r="G1" s="571"/>
      <c r="H1" s="571"/>
      <c r="I1" s="571"/>
      <c r="J1" s="571"/>
      <c r="K1" s="571"/>
      <c r="L1" s="571"/>
      <c r="M1" s="571"/>
    </row>
    <row r="2" spans="1:18" ht="23.25" customHeight="1" x14ac:dyDescent="0.3">
      <c r="C2" s="230"/>
      <c r="D2" s="230" t="s">
        <v>255</v>
      </c>
      <c r="E2" s="230"/>
      <c r="F2" s="230"/>
      <c r="G2" s="230"/>
      <c r="H2" s="230"/>
      <c r="I2" s="230"/>
      <c r="J2" s="230"/>
      <c r="K2" s="230"/>
      <c r="L2" s="230"/>
      <c r="M2" s="230"/>
    </row>
    <row r="3" spans="1:18" ht="23.25" x14ac:dyDescent="0.35">
      <c r="C3" s="572"/>
      <c r="D3" s="572"/>
      <c r="E3" s="572"/>
      <c r="F3" s="572"/>
      <c r="G3" s="572"/>
      <c r="H3" s="572"/>
      <c r="I3" s="572"/>
      <c r="J3" s="572"/>
      <c r="K3" s="572"/>
      <c r="L3" s="572"/>
      <c r="M3" s="572"/>
    </row>
    <row r="4" spans="1:18" ht="23.25" x14ac:dyDescent="0.35">
      <c r="C4" s="214"/>
      <c r="D4" s="214"/>
      <c r="E4" s="214"/>
      <c r="F4" s="214"/>
      <c r="G4" s="214"/>
      <c r="H4" s="214"/>
      <c r="I4" s="214"/>
      <c r="J4" s="214"/>
      <c r="K4" s="214"/>
      <c r="L4" s="214"/>
      <c r="M4" s="214"/>
    </row>
    <row r="5" spans="1:18" ht="23.25" x14ac:dyDescent="0.35">
      <c r="C5" s="568" t="s">
        <v>6</v>
      </c>
      <c r="D5" s="568"/>
      <c r="E5" s="568"/>
      <c r="F5" s="568"/>
      <c r="G5" s="568"/>
      <c r="H5" s="568"/>
      <c r="I5" s="568"/>
      <c r="J5" s="568"/>
      <c r="K5" s="568"/>
      <c r="L5" s="568"/>
      <c r="M5" s="568"/>
    </row>
    <row r="6" spans="1:18" ht="23.25" x14ac:dyDescent="0.35">
      <c r="C6" s="215"/>
      <c r="D6" s="215"/>
      <c r="E6" s="588" t="str">
        <f>IFERROR(CONCATENATE("Report Number: ", WorkItemNumber),"")</f>
        <v/>
      </c>
      <c r="F6" s="588"/>
      <c r="G6" s="588"/>
      <c r="H6" s="588"/>
      <c r="I6" s="588"/>
      <c r="J6" s="588"/>
      <c r="K6" s="588"/>
      <c r="L6" s="215"/>
      <c r="M6" s="215"/>
    </row>
    <row r="7" spans="1:18" ht="18.75" customHeight="1" x14ac:dyDescent="0.3">
      <c r="G7" s="569"/>
      <c r="H7" s="569"/>
      <c r="I7" s="192"/>
      <c r="R7" t="str">
        <f>CONCATENATE("Page ",Main!L9," of ",Main!L10)</f>
        <v xml:space="preserve">Page  of </v>
      </c>
    </row>
    <row r="8" spans="1:18" ht="18" customHeight="1" x14ac:dyDescent="0.25">
      <c r="G8" s="581"/>
      <c r="H8" s="581"/>
      <c r="J8" s="79"/>
      <c r="K8" s="216" t="s">
        <v>252</v>
      </c>
      <c r="L8" s="592">
        <f>FormNumber</f>
        <v>0</v>
      </c>
      <c r="M8" s="592"/>
      <c r="N8" s="592"/>
      <c r="O8" s="592"/>
    </row>
    <row r="9" spans="1:18" ht="18" customHeight="1" x14ac:dyDescent="0.25">
      <c r="A9" s="216" t="s">
        <v>209</v>
      </c>
      <c r="B9" s="33" t="e">
        <f>Main!D5</f>
        <v>#N/A</v>
      </c>
      <c r="J9" s="79"/>
      <c r="K9" s="216" t="s">
        <v>253</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254</v>
      </c>
      <c r="L11" s="592">
        <f>TolSource</f>
        <v>0</v>
      </c>
      <c r="M11" s="592"/>
      <c r="N11" s="592"/>
      <c r="O11" s="59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5">
        <f>Class</f>
        <v>0</v>
      </c>
      <c r="C18" s="575"/>
      <c r="D18" s="575"/>
      <c r="E18" s="575"/>
      <c r="G18" s="216" t="s">
        <v>219</v>
      </c>
      <c r="H18" s="220">
        <f>CubicFeet</f>
        <v>0</v>
      </c>
      <c r="M18" s="216" t="s">
        <v>223</v>
      </c>
      <c r="N18" s="220" t="str">
        <f>Main!G18</f>
        <v>ACCEPTED</v>
      </c>
      <c r="O18" s="195"/>
    </row>
    <row r="19" spans="1:19" ht="18" customHeight="1" x14ac:dyDescent="0.25">
      <c r="A19" s="206"/>
      <c r="B19" s="576"/>
      <c r="C19" s="576"/>
      <c r="D19" s="576"/>
      <c r="E19" s="57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2" t="s">
        <v>237</v>
      </c>
      <c r="D27" s="582"/>
      <c r="E27" s="582"/>
      <c r="F27" s="582"/>
      <c r="G27" s="582"/>
      <c r="H27" s="582"/>
      <c r="I27" s="582"/>
      <c r="J27" s="582"/>
      <c r="K27" s="582"/>
      <c r="L27" s="582"/>
      <c r="M27" s="582"/>
      <c r="N27" s="196"/>
      <c r="O27" s="197"/>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2"/>
      <c r="B30" s="202" t="s">
        <v>435</v>
      </c>
      <c r="C30" s="213"/>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5" t="s">
        <v>239</v>
      </c>
      <c r="B32" s="570" t="s">
        <v>240</v>
      </c>
      <c r="C32" s="570"/>
      <c r="D32" s="235" t="s">
        <v>203</v>
      </c>
      <c r="E32" s="235" t="s">
        <v>202</v>
      </c>
      <c r="F32" s="235" t="s">
        <v>241</v>
      </c>
      <c r="G32" s="79"/>
      <c r="H32" s="79"/>
      <c r="I32" s="235" t="s">
        <v>239</v>
      </c>
      <c r="J32" s="570" t="s">
        <v>240</v>
      </c>
      <c r="K32" s="570"/>
      <c r="L32" s="235" t="s">
        <v>203</v>
      </c>
      <c r="M32" s="235" t="s">
        <v>202</v>
      </c>
      <c r="N32" s="235" t="s">
        <v>241</v>
      </c>
    </row>
    <row r="33" spans="1:14" ht="18" customHeight="1" x14ac:dyDescent="0.2">
      <c r="A33" s="236" t="str">
        <f>IF(B33="","",1)</f>
        <v/>
      </c>
      <c r="B33" s="569" t="str">
        <f>IF(Main!O5="","",Main!O5)</f>
        <v/>
      </c>
      <c r="C33" s="569"/>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9" t="str">
        <f>IF(Main!O25="","",Main!O25)</f>
        <v/>
      </c>
      <c r="K33" s="569"/>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9" t="str">
        <f>IF(Main!O6="","",Main!O6)</f>
        <v/>
      </c>
      <c r="C34" s="569"/>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9" t="str">
        <f>IF(Main!O26="","",Main!O26)</f>
        <v/>
      </c>
      <c r="K34" s="569"/>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9" t="str">
        <f>IF(Main!O7="","",Main!O7)</f>
        <v/>
      </c>
      <c r="C35" s="569"/>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9" t="str">
        <f>IF(Main!O27="","",Main!O27)</f>
        <v/>
      </c>
      <c r="K35" s="569"/>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9" t="str">
        <f>IF(Main!O8="","",Main!O8)</f>
        <v/>
      </c>
      <c r="C36" s="569"/>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9" t="str">
        <f>IF(Main!O28="","",Main!O28)</f>
        <v/>
      </c>
      <c r="K36" s="569"/>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9" t="str">
        <f>IF(Main!O9="","",Main!O9)</f>
        <v/>
      </c>
      <c r="C37" s="569"/>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9" t="str">
        <f>IF(Main!O29="","",Main!O29)</f>
        <v/>
      </c>
      <c r="K37" s="569"/>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9" t="str">
        <f>IF(Main!O10="","",Main!O10)</f>
        <v/>
      </c>
      <c r="C38" s="569"/>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9" t="str">
        <f>IF(Main!O30="","",Main!O30)</f>
        <v/>
      </c>
      <c r="K38" s="569"/>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9" t="str">
        <f>IF(Main!O11="","",Main!O11)</f>
        <v/>
      </c>
      <c r="C39" s="569"/>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9" t="str">
        <f>IF(Main!O31="","",Main!O31)</f>
        <v/>
      </c>
      <c r="K39" s="569"/>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9" t="str">
        <f>IF(Main!O12="","",Main!O12)</f>
        <v/>
      </c>
      <c r="C40" s="569"/>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9" t="str">
        <f>IF(Main!O32="","",Main!O32)</f>
        <v/>
      </c>
      <c r="K40" s="569"/>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9" t="str">
        <f>IF(Main!O13="","",Main!O13)</f>
        <v/>
      </c>
      <c r="C41" s="569"/>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9" t="str">
        <f>IF(Main!O33="","",Main!O33)</f>
        <v/>
      </c>
      <c r="K41" s="569"/>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9" t="str">
        <f>IF(Main!O14="","",Main!O14)</f>
        <v/>
      </c>
      <c r="C42" s="569"/>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9" t="str">
        <f>IF(Main!O34="","",Main!O34)</f>
        <v/>
      </c>
      <c r="K42" s="569"/>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9" t="str">
        <f>IF(Main!O15="","",Main!O15)</f>
        <v/>
      </c>
      <c r="C43" s="569"/>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9" t="str">
        <f>IF(Main!O35="","",Main!O35)</f>
        <v/>
      </c>
      <c r="K43" s="569"/>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9" t="str">
        <f>IF(Main!O16="","",Main!O16)</f>
        <v/>
      </c>
      <c r="C44" s="569"/>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9" t="str">
        <f>IF(Main!O36="","",Main!O36)</f>
        <v/>
      </c>
      <c r="K44" s="569"/>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9" t="str">
        <f>IF(Main!O17="","",Main!O17)</f>
        <v/>
      </c>
      <c r="C45" s="569"/>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9" t="str">
        <f>IF(Main!O37="","",Main!O37)</f>
        <v/>
      </c>
      <c r="K45" s="569"/>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9" t="str">
        <f>IF(Main!O18="","",Main!O18)</f>
        <v/>
      </c>
      <c r="C46" s="569"/>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9" t="str">
        <f>IF(Main!O38="","",Main!O38)</f>
        <v/>
      </c>
      <c r="K46" s="569"/>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9" t="str">
        <f>IF(Main!O19="","",Main!O19)</f>
        <v/>
      </c>
      <c r="C47" s="569"/>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9" t="str">
        <f>IF(Main!O39="","",Main!O39)</f>
        <v/>
      </c>
      <c r="K47" s="569"/>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9" t="str">
        <f>IF(Main!O20="","",Main!O20)</f>
        <v/>
      </c>
      <c r="C48" s="569"/>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9" t="str">
        <f>IF(Main!O40="","",Main!O40)</f>
        <v/>
      </c>
      <c r="K48" s="569"/>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9" t="str">
        <f>IF(Main!O21="","",Main!O21)</f>
        <v/>
      </c>
      <c r="C49" s="569"/>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9" t="str">
        <f>IF(Main!O41="","",Main!O41)</f>
        <v/>
      </c>
      <c r="K49" s="569"/>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9" t="str">
        <f>IF(Main!O22="","",Main!O22)</f>
        <v/>
      </c>
      <c r="C50" s="569"/>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9" t="str">
        <f>IF(Main!O42="","",Main!O42)</f>
        <v/>
      </c>
      <c r="K50" s="569"/>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9" t="str">
        <f>IF(Main!O23="","",Main!O23)</f>
        <v/>
      </c>
      <c r="C51" s="569"/>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9" t="str">
        <f>IF(Main!O43="","",Main!O43)</f>
        <v/>
      </c>
      <c r="K51" s="569"/>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9" t="str">
        <f>IF(Main!O24="","",Main!O24)</f>
        <v/>
      </c>
      <c r="C52" s="569"/>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9" t="str">
        <f>IF(Main!O44="","",Main!O44)</f>
        <v/>
      </c>
      <c r="K52" s="569"/>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4" t="s">
        <v>242</v>
      </c>
      <c r="C53" s="574"/>
      <c r="D53" s="574"/>
      <c r="E53" s="574"/>
      <c r="F53" s="574"/>
      <c r="G53" s="574"/>
      <c r="H53" s="574"/>
      <c r="I53" s="574"/>
      <c r="J53" s="574"/>
      <c r="K53" s="574"/>
      <c r="L53" s="574"/>
      <c r="M53" s="574"/>
      <c r="N53" s="574"/>
    </row>
    <row r="54" spans="1:21" ht="18" customHeight="1" x14ac:dyDescent="0.25">
      <c r="A54" s="238" t="s">
        <v>243</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73" t="s">
        <v>251</v>
      </c>
      <c r="B60" s="573"/>
      <c r="C60" s="573"/>
      <c r="D60" s="573"/>
      <c r="E60" s="573"/>
      <c r="F60" s="573"/>
      <c r="G60" s="573"/>
      <c r="H60" s="573"/>
      <c r="I60" s="573"/>
      <c r="J60" s="573"/>
      <c r="K60" s="573"/>
      <c r="L60" s="573"/>
      <c r="M60" s="573"/>
      <c r="N60" s="573"/>
      <c r="O60" s="573"/>
    </row>
    <row r="61" spans="1:21" ht="18" customHeight="1" x14ac:dyDescent="0.2">
      <c r="A61" s="577" t="s">
        <v>244</v>
      </c>
      <c r="B61" s="577"/>
      <c r="C61" s="577"/>
      <c r="D61" s="577"/>
      <c r="E61" s="577"/>
      <c r="F61" s="591" t="s">
        <v>245</v>
      </c>
      <c r="G61" s="591"/>
      <c r="H61" s="591"/>
      <c r="I61" s="591" t="s">
        <v>246</v>
      </c>
      <c r="J61" s="591"/>
      <c r="K61" s="591" t="s">
        <v>247</v>
      </c>
      <c r="L61" s="591"/>
      <c r="M61" s="591" t="s">
        <v>248</v>
      </c>
      <c r="N61" s="591"/>
      <c r="O61" s="591"/>
      <c r="R61" s="37" t="s">
        <v>335</v>
      </c>
      <c r="T61" s="37" t="s">
        <v>336</v>
      </c>
      <c r="U61" s="37"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7" t="s">
        <v>439</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qRtt1TiaI8sg+9crchIjj4pVm1EepZ8FalwS5HTSH3KxsqVBQIjkbgi/fgRhHncorZzkNeEZSjv70XTnkbAs7A==" saltValue="zg/WfKjn2N6C0VONDC2++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I1405"/>
      <c r="L1405"/>
      <c r="M1405"/>
      <c r="N1405"/>
      <c r="O1405"/>
    </row>
    <row r="1406" spans="1:15" x14ac:dyDescent="0.2">
      <c r="A1406"/>
      <c r="B1406"/>
      <c r="C1406"/>
      <c r="F1406"/>
      <c r="G1406"/>
      <c r="H1406"/>
      <c r="L1406"/>
      <c r="M1406"/>
      <c r="N1406"/>
      <c r="O1406"/>
    </row>
    <row r="1407" spans="1:15" x14ac:dyDescent="0.2">
      <c r="A1407"/>
      <c r="B1407"/>
      <c r="C1407"/>
      <c r="F1407"/>
      <c r="G1407"/>
      <c r="H1407"/>
      <c r="I1407"/>
      <c r="L1407"/>
      <c r="M1407"/>
      <c r="N1407"/>
      <c r="O1407"/>
    </row>
    <row r="1408" spans="1:15" x14ac:dyDescent="0.2">
      <c r="A1408"/>
      <c r="B1408"/>
      <c r="C1408"/>
      <c r="F1408"/>
      <c r="G1408"/>
      <c r="H1408"/>
      <c r="M1408"/>
      <c r="N1408"/>
      <c r="O1408"/>
    </row>
    <row r="1409" spans="1:15" x14ac:dyDescent="0.2">
      <c r="A1409"/>
      <c r="B1409"/>
      <c r="C1409"/>
      <c r="F1409"/>
      <c r="G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I1413"/>
      <c r="L1413"/>
      <c r="M1413"/>
      <c r="N1413"/>
      <c r="O1413"/>
    </row>
    <row r="1414" spans="1:15" x14ac:dyDescent="0.2">
      <c r="A1414"/>
      <c r="B1414"/>
      <c r="C1414"/>
      <c r="F1414"/>
      <c r="G1414"/>
      <c r="H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J1427"/>
      <c r="K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J1433"/>
      <c r="K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N1440"/>
      <c r="O1440"/>
    </row>
    <row r="1441" spans="1:15" x14ac:dyDescent="0.2">
      <c r="A1441"/>
      <c r="B1441"/>
      <c r="C1441"/>
      <c r="F1441"/>
      <c r="G1441"/>
      <c r="J1441"/>
      <c r="K1441"/>
      <c r="L1441"/>
      <c r="M1441"/>
      <c r="N1441"/>
      <c r="O1441"/>
    </row>
    <row r="1442" spans="1:15" x14ac:dyDescent="0.2">
      <c r="A1442"/>
      <c r="B1442"/>
      <c r="C1442"/>
      <c r="F1442"/>
      <c r="G1442"/>
      <c r="H1442"/>
      <c r="J1442"/>
      <c r="K1442"/>
      <c r="L1442"/>
      <c r="M1442"/>
      <c r="N1442"/>
      <c r="O1442"/>
    </row>
    <row r="1443" spans="1:15" x14ac:dyDescent="0.2">
      <c r="A1443"/>
      <c r="B1443"/>
      <c r="C1443"/>
      <c r="F1443"/>
      <c r="G1443"/>
      <c r="L1443"/>
      <c r="M1443"/>
      <c r="N1443"/>
      <c r="O1443"/>
    </row>
    <row r="1444" spans="1:15" x14ac:dyDescent="0.2">
      <c r="A1444"/>
      <c r="B1444"/>
      <c r="C1444"/>
      <c r="F1444"/>
      <c r="G1444"/>
      <c r="H1444"/>
      <c r="I1444"/>
      <c r="J1444"/>
      <c r="K1444"/>
      <c r="L1444"/>
      <c r="M1444"/>
      <c r="N1444"/>
      <c r="O1444"/>
    </row>
    <row r="1445" spans="1:15" x14ac:dyDescent="0.2">
      <c r="A1445"/>
      <c r="B1445"/>
      <c r="C1445"/>
      <c r="F1445"/>
      <c r="G1445"/>
      <c r="H1445"/>
      <c r="J1445"/>
      <c r="K1445"/>
      <c r="M1445"/>
      <c r="N1445"/>
      <c r="O1445"/>
    </row>
    <row r="1446" spans="1:15" x14ac:dyDescent="0.2">
      <c r="A1446"/>
      <c r="B1446"/>
      <c r="C1446"/>
      <c r="F1446"/>
      <c r="G1446"/>
      <c r="H1446"/>
      <c r="J1446"/>
      <c r="K1446"/>
      <c r="L1446"/>
      <c r="M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J1451"/>
      <c r="L1451"/>
      <c r="M1451"/>
      <c r="N1451"/>
      <c r="O1451"/>
    </row>
    <row r="1452" spans="1:15" x14ac:dyDescent="0.2">
      <c r="A1452"/>
      <c r="B1452"/>
      <c r="C1452"/>
      <c r="F1452"/>
      <c r="G1452"/>
      <c r="H1452"/>
      <c r="J1452"/>
      <c r="K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UOtVmJGnN3gw3RjMGGbQ7B+ZtF68/lMwLEmIIryGNhpyeosz6WAnuOPfWYWxWx1RgZTNfLRNWEyp+hUoeOc5Gw==" saltValue="qrhPU95BEhHrx9qOIZxlu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UWlOJBHkVwz6Lu5/FvEQ0oWLs/8qPW7A9eCaq+6JMZEzHFNlK05hKMAPGAA5M/QlZfQ5QCpby/eHJrIQi/HWvg==" saltValue="mxEeIuCuPCrCEwou3lfUK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9VvAkmKkJLntE/kOSWNdl9uiWLcKpbwdwC5eaNJ17Gose2o0RQ8BulXaWX0pru/l0qRiZi+B8IGOkyldBiY7rg==" saltValue="C6QGMqBpVROxS+v1fe9bT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gBpzxFLzXmLzS6dWnf3RBOPcp3SC37DzYkMVr67zqQqKvu5Vjofs+iqMmdIoq8292QULcQUbWwaMaXWLXDqqgw==" saltValue="YBudxY+2op6Tu4Xs5ECkDQ=="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6" t="s">
        <v>276</v>
      </c>
      <c r="I28" s="616"/>
      <c r="J28" s="616"/>
      <c r="K28" s="616"/>
      <c r="L28" s="616"/>
      <c r="M28" s="616"/>
      <c r="N28" s="616"/>
      <c r="O28" s="616"/>
      <c r="P28" s="616"/>
      <c r="Q28" s="616"/>
      <c r="R28" s="616"/>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24" t="s">
        <v>278</v>
      </c>
      <c r="K29" s="625"/>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17" t="s">
        <v>264</v>
      </c>
      <c r="I30" s="617"/>
      <c r="J30" s="626" t="s">
        <v>309</v>
      </c>
      <c r="K30" s="627"/>
      <c r="L30" s="628"/>
      <c r="M30" s="254"/>
      <c r="O30" s="618" t="s">
        <v>312</v>
      </c>
      <c r="P30" s="619"/>
      <c r="Q30" s="620"/>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41" t="s">
        <v>317</v>
      </c>
      <c r="K31" s="642"/>
      <c r="L31" s="643"/>
      <c r="M31" s="255" t="str">
        <f>IF(Main!S49="","",Main!S49)</f>
        <v>N/A</v>
      </c>
      <c r="O31" s="508" t="s">
        <v>319</v>
      </c>
      <c r="P31" s="509"/>
      <c r="Q31" s="621"/>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32" t="s">
        <v>267</v>
      </c>
      <c r="K32" s="633"/>
      <c r="L32" s="634"/>
      <c r="M32" s="250"/>
      <c r="O32" s="632" t="s">
        <v>267</v>
      </c>
      <c r="P32" s="633"/>
      <c r="Q32" s="634"/>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29" t="s">
        <v>318</v>
      </c>
      <c r="K33" s="630"/>
      <c r="L33" s="631"/>
      <c r="M33" s="249" t="str">
        <f>IF(Main!S51="","",Main!S51)</f>
        <v/>
      </c>
      <c r="O33" s="629" t="s">
        <v>320</v>
      </c>
      <c r="P33" s="630"/>
      <c r="Q33" s="631"/>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32" t="s">
        <v>267</v>
      </c>
      <c r="K34" s="633"/>
      <c r="L34" s="634"/>
      <c r="O34" s="632" t="s">
        <v>267</v>
      </c>
      <c r="P34" s="633"/>
      <c r="Q34" s="634"/>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5" t="s">
        <v>321</v>
      </c>
      <c r="K35" s="636"/>
      <c r="L35" s="637"/>
      <c r="M35" s="257" t="str">
        <f>IF(Main!S53="","",Main!S53)</f>
        <v/>
      </c>
      <c r="O35" s="635" t="s">
        <v>322</v>
      </c>
      <c r="P35" s="636"/>
      <c r="Q35" s="637"/>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8"/>
      <c r="K36" s="639"/>
      <c r="L36" s="640"/>
      <c r="M36" s="253"/>
      <c r="O36" s="638"/>
      <c r="P36" s="639"/>
      <c r="Q36" s="640"/>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k9j8bW25VnE5P1m4N7kRWC3tPQja3hfpNvxiRPvXGihC1CMO+3cLAZ1nieK1kenKBkxCWq1YTSNhBIBAcVcTPg==" saltValue="jDjO05oV8pb5a5V0fhjDw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YIkeyuhhUc6/TcnXPrJA4vDeGvvGEn7UzkUlgweHQPh4smuwx2nn6YfLxzwy3bLDRsZl6ewzoYU51OoSIopggw==" saltValue="iDpRrs8tcGvSAZxe/jRKZ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4" t="s">
        <v>145</v>
      </c>
      <c r="G1" s="581" t="s">
        <v>65</v>
      </c>
      <c r="H1" s="581"/>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3s+RHu0j59HVCC+nTA/zUPDvDgKcHI5xbhd9dy93hv3JsyAomn6p38RBCMk0siHEOGy2Bv/CEmCj7D7sB9blvA==" saltValue="EjueqUgvOitKNYR9Vnoqx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2026-03-03T23:41:05Z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