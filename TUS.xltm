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33DFEA7-782E-4634-982A-C496E7C870FB}"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WorkItemDetails!$A$1:$B$2</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Table'!$A$1:$O$1708</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J8" i="95"/>
  <c r="J9" i="95"/>
  <c r="J10" i="95"/>
  <c r="J11" i="95"/>
  <c r="J12" i="95"/>
  <c r="J13" i="95"/>
  <c r="J14" i="95"/>
  <c r="J15" i="95"/>
  <c r="J16" i="95"/>
  <c r="J17" i="95"/>
  <c r="J18" i="95"/>
  <c r="K18" i="95" s="1"/>
  <c r="J19" i="95"/>
  <c r="K19" i="95" s="1"/>
  <c r="J20" i="95"/>
  <c r="K20" i="95" s="1"/>
  <c r="J21" i="95"/>
  <c r="J22" i="95"/>
  <c r="K22" i="95" s="1"/>
  <c r="J23" i="95"/>
  <c r="K23" i="95" s="1"/>
  <c r="J24" i="95"/>
  <c r="K24" i="95" s="1"/>
  <c r="J25" i="95"/>
  <c r="K25" i="95" s="1"/>
  <c r="J26" i="95"/>
  <c r="J27" i="95"/>
  <c r="J28" i="95"/>
  <c r="J29" i="95"/>
  <c r="J30" i="95"/>
  <c r="J31" i="95"/>
  <c r="J32" i="95"/>
  <c r="J33" i="95"/>
  <c r="J34" i="95"/>
  <c r="J35" i="95"/>
  <c r="J36" i="95"/>
  <c r="J37" i="95"/>
  <c r="J38" i="95"/>
  <c r="J39" i="95"/>
  <c r="J40" i="95"/>
  <c r="J41" i="95"/>
  <c r="J42" i="95"/>
  <c r="J43" i="95"/>
  <c r="J44" i="95"/>
  <c r="J45" i="95"/>
  <c r="J46" i="95"/>
  <c r="J47" i="95"/>
  <c r="J48" i="95"/>
  <c r="J49" i="95"/>
  <c r="J50" i="95"/>
  <c r="K50" i="95" s="1"/>
  <c r="J51" i="95"/>
  <c r="K51" i="95" s="1"/>
  <c r="J52" i="95"/>
  <c r="J53" i="95"/>
  <c r="J54" i="95"/>
  <c r="J55" i="95"/>
  <c r="K55" i="95" s="1"/>
  <c r="J56" i="95"/>
  <c r="K56" i="95" s="1"/>
  <c r="J57" i="95"/>
  <c r="K57" i="95" s="1"/>
  <c r="J58" i="95"/>
  <c r="J59" i="95"/>
  <c r="J60" i="95"/>
  <c r="J61" i="95"/>
  <c r="J62" i="95"/>
  <c r="J63" i="95"/>
  <c r="J64" i="95"/>
  <c r="J65" i="95"/>
  <c r="J66" i="95"/>
  <c r="J67" i="95"/>
  <c r="J68" i="95"/>
  <c r="J69" i="95"/>
  <c r="J70" i="95"/>
  <c r="J71" i="95"/>
  <c r="J72" i="95"/>
  <c r="J73" i="95"/>
  <c r="J74" i="95"/>
  <c r="J75" i="95"/>
  <c r="J76" i="95"/>
  <c r="J77" i="95"/>
  <c r="J78" i="95"/>
  <c r="J79" i="95"/>
  <c r="J80" i="95"/>
  <c r="J81" i="95"/>
  <c r="J82" i="95"/>
  <c r="K82" i="95" s="1"/>
  <c r="J83" i="95"/>
  <c r="K83" i="95" s="1"/>
  <c r="J84" i="95"/>
  <c r="J85" i="95"/>
  <c r="J86" i="95"/>
  <c r="J87" i="95"/>
  <c r="K87" i="95" s="1"/>
  <c r="J88" i="95"/>
  <c r="K88" i="95" s="1"/>
  <c r="J89" i="95"/>
  <c r="K89" i="95" s="1"/>
  <c r="J90" i="95"/>
  <c r="J91" i="95"/>
  <c r="J92" i="95"/>
  <c r="J93" i="95"/>
  <c r="J94" i="95"/>
  <c r="J95" i="95"/>
  <c r="J96" i="95"/>
  <c r="J97" i="95"/>
  <c r="J98" i="95"/>
  <c r="J99" i="95"/>
  <c r="J100" i="95"/>
  <c r="J101" i="95"/>
  <c r="J102" i="95"/>
  <c r="J103" i="95"/>
  <c r="J104" i="95"/>
  <c r="J105" i="95"/>
  <c r="J106" i="95"/>
  <c r="J107" i="95"/>
  <c r="J108" i="95"/>
  <c r="J109" i="95"/>
  <c r="J110" i="95"/>
  <c r="J111" i="95"/>
  <c r="J112" i="95"/>
  <c r="J113" i="95"/>
  <c r="J114" i="95"/>
  <c r="K114" i="95" s="1"/>
  <c r="J115" i="95"/>
  <c r="K115" i="95" s="1"/>
  <c r="J116" i="95"/>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J134" i="95"/>
  <c r="J135" i="95"/>
  <c r="J136" i="95"/>
  <c r="J137" i="95"/>
  <c r="J138" i="95"/>
  <c r="J139" i="95"/>
  <c r="J140" i="95"/>
  <c r="J141" i="95"/>
  <c r="J142" i="95"/>
  <c r="J143" i="95"/>
  <c r="J144" i="95"/>
  <c r="J145" i="95"/>
  <c r="J146" i="95"/>
  <c r="K146" i="95" s="1"/>
  <c r="J147" i="95"/>
  <c r="K147" i="95" s="1"/>
  <c r="J148" i="95"/>
  <c r="J149" i="95"/>
  <c r="K149" i="95" s="1"/>
  <c r="J150" i="95"/>
  <c r="K150" i="95" s="1"/>
  <c r="J151" i="95"/>
  <c r="K151" i="95" s="1"/>
  <c r="J152" i="95"/>
  <c r="K152" i="95" s="1"/>
  <c r="J153" i="95"/>
  <c r="K153" i="95" s="1"/>
  <c r="J154" i="95"/>
  <c r="J155" i="95"/>
  <c r="J156" i="95"/>
  <c r="J157" i="95"/>
  <c r="J158" i="95"/>
  <c r="J159" i="95"/>
  <c r="J160" i="95"/>
  <c r="J161" i="95"/>
  <c r="J162" i="95"/>
  <c r="J163" i="95"/>
  <c r="J164" i="95"/>
  <c r="J165" i="95"/>
  <c r="J166" i="95"/>
  <c r="J167" i="95"/>
  <c r="J168" i="95"/>
  <c r="J169" i="95"/>
  <c r="J170" i="95"/>
  <c r="J171" i="95"/>
  <c r="J172" i="95"/>
  <c r="J173" i="95"/>
  <c r="J174" i="95"/>
  <c r="J175" i="95"/>
  <c r="J176" i="95"/>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J196" i="95"/>
  <c r="J197" i="95"/>
  <c r="J198" i="95"/>
  <c r="J199" i="95"/>
  <c r="J200" i="95"/>
  <c r="J201" i="95"/>
  <c r="J202" i="95"/>
  <c r="J203" i="95"/>
  <c r="J204" i="95"/>
  <c r="J205" i="95"/>
  <c r="J206" i="95"/>
  <c r="J207" i="95"/>
  <c r="J208" i="95"/>
  <c r="J209" i="95"/>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J232" i="95"/>
  <c r="J233" i="95"/>
  <c r="J234" i="95"/>
  <c r="J235" i="95"/>
  <c r="J236" i="95"/>
  <c r="J237" i="95"/>
  <c r="J238" i="95"/>
  <c r="J239" i="95"/>
  <c r="J240" i="95"/>
  <c r="J241" i="95"/>
  <c r="J242" i="95"/>
  <c r="K242" i="95" s="1"/>
  <c r="J243" i="95"/>
  <c r="K243" i="95" s="1"/>
  <c r="J244" i="95"/>
  <c r="J245" i="95"/>
  <c r="J246" i="95"/>
  <c r="J247" i="95"/>
  <c r="K247" i="95" s="1"/>
  <c r="J248" i="95"/>
  <c r="K248" i="95" s="1"/>
  <c r="J249" i="95"/>
  <c r="K249" i="95" s="1"/>
  <c r="J250" i="95"/>
  <c r="J251" i="95"/>
  <c r="J252" i="95"/>
  <c r="J253" i="95"/>
  <c r="J254" i="95"/>
  <c r="J255" i="95"/>
  <c r="J256" i="95"/>
  <c r="J257" i="95"/>
  <c r="J258" i="95"/>
  <c r="J259" i="95"/>
  <c r="J260" i="95"/>
  <c r="J261" i="95"/>
  <c r="J262" i="95"/>
  <c r="J263" i="95"/>
  <c r="J264" i="95"/>
  <c r="J265" i="95"/>
  <c r="J266" i="95"/>
  <c r="J267" i="95"/>
  <c r="J268" i="95"/>
  <c r="J269" i="95"/>
  <c r="J270" i="95"/>
  <c r="J271" i="95"/>
  <c r="J272" i="95"/>
  <c r="J273" i="95"/>
  <c r="J274" i="95"/>
  <c r="K274" i="95" s="1"/>
  <c r="J275" i="95"/>
  <c r="K275" i="95" s="1"/>
  <c r="J276" i="95"/>
  <c r="J277" i="95"/>
  <c r="J278" i="95"/>
  <c r="J279" i="95"/>
  <c r="K279" i="95" s="1"/>
  <c r="J280" i="95"/>
  <c r="K280" i="95" s="1"/>
  <c r="J281" i="95"/>
  <c r="K281" i="95" s="1"/>
  <c r="J282" i="95"/>
  <c r="J283" i="95"/>
  <c r="J284" i="95"/>
  <c r="J285" i="95"/>
  <c r="J286" i="95"/>
  <c r="J287" i="95"/>
  <c r="J288" i="95"/>
  <c r="J289" i="95"/>
  <c r="J290" i="95"/>
  <c r="J291" i="95"/>
  <c r="J292" i="95"/>
  <c r="J293" i="95"/>
  <c r="J294" i="95"/>
  <c r="J295" i="95"/>
  <c r="J296" i="95"/>
  <c r="J297" i="95"/>
  <c r="J298" i="95"/>
  <c r="J299" i="95"/>
  <c r="J300" i="95"/>
  <c r="J301" i="95"/>
  <c r="J302" i="95"/>
  <c r="J303" i="95"/>
  <c r="J304" i="95"/>
  <c r="J305" i="95"/>
  <c r="J306" i="95"/>
  <c r="K306" i="95" s="1"/>
  <c r="J307" i="95"/>
  <c r="K307" i="95" s="1"/>
  <c r="J308" i="95"/>
  <c r="K308" i="95" s="1"/>
  <c r="J309" i="95"/>
  <c r="J310" i="95"/>
  <c r="K310" i="95" s="1"/>
  <c r="J311" i="95"/>
  <c r="K311" i="95" s="1"/>
  <c r="J312" i="95"/>
  <c r="K312" i="95" s="1"/>
  <c r="J313" i="95"/>
  <c r="K313" i="95" s="1"/>
  <c r="J314" i="95"/>
  <c r="J315" i="95"/>
  <c r="J316" i="95"/>
  <c r="J317" i="95"/>
  <c r="J318" i="95"/>
  <c r="J319" i="95"/>
  <c r="J320" i="95"/>
  <c r="J321" i="95"/>
  <c r="J322" i="95"/>
  <c r="J323" i="95"/>
  <c r="J324" i="95"/>
  <c r="J325" i="95"/>
  <c r="J326" i="95"/>
  <c r="J327" i="95"/>
  <c r="J328" i="95"/>
  <c r="J329" i="95"/>
  <c r="J330" i="95"/>
  <c r="J331" i="95"/>
  <c r="J332" i="95"/>
  <c r="J333" i="95"/>
  <c r="J334" i="95"/>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J356" i="95"/>
  <c r="J357" i="95"/>
  <c r="J358" i="95"/>
  <c r="J359" i="95"/>
  <c r="J360" i="95"/>
  <c r="J361" i="95"/>
  <c r="J362" i="95"/>
  <c r="J363" i="95"/>
  <c r="J364" i="95"/>
  <c r="J365" i="95"/>
  <c r="J366" i="95"/>
  <c r="J367" i="95"/>
  <c r="J368" i="95"/>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J387" i="95"/>
  <c r="J388" i="95"/>
  <c r="J389" i="95"/>
  <c r="J390" i="95"/>
  <c r="J391" i="95"/>
  <c r="J392" i="95"/>
  <c r="J393" i="95"/>
  <c r="J394" i="95"/>
  <c r="J395" i="95"/>
  <c r="J396" i="95"/>
  <c r="J397" i="95"/>
  <c r="J398" i="95"/>
  <c r="J399" i="95"/>
  <c r="J400" i="95"/>
  <c r="J401" i="95"/>
  <c r="J402" i="95"/>
  <c r="K402" i="95" s="1"/>
  <c r="J403" i="95"/>
  <c r="K403" i="95" s="1"/>
  <c r="J404" i="95"/>
  <c r="J405" i="95"/>
  <c r="J406" i="95"/>
  <c r="K406" i="95" s="1"/>
  <c r="J407" i="95"/>
  <c r="K407" i="95" s="1"/>
  <c r="J408" i="95"/>
  <c r="K408" i="95" s="1"/>
  <c r="J409" i="95"/>
  <c r="K409" i="95" s="1"/>
  <c r="J410" i="95"/>
  <c r="J411" i="95"/>
  <c r="J412" i="95"/>
  <c r="J413" i="95"/>
  <c r="J414" i="95"/>
  <c r="J415" i="95"/>
  <c r="J416" i="95"/>
  <c r="J417" i="95"/>
  <c r="J418" i="95"/>
  <c r="J419" i="95"/>
  <c r="J420" i="95"/>
  <c r="J421" i="95"/>
  <c r="J422" i="95"/>
  <c r="J423" i="95"/>
  <c r="J424" i="95"/>
  <c r="J425" i="95"/>
  <c r="K2" i="95"/>
  <c r="K3" i="95"/>
  <c r="K4" i="95"/>
  <c r="K5" i="95"/>
  <c r="K6" i="95"/>
  <c r="K7" i="95"/>
  <c r="K8" i="95"/>
  <c r="K9" i="95"/>
  <c r="K10" i="95"/>
  <c r="K11" i="95"/>
  <c r="K12" i="95"/>
  <c r="K13" i="95"/>
  <c r="K14" i="95"/>
  <c r="K15" i="95"/>
  <c r="K16" i="95"/>
  <c r="K17" i="95"/>
  <c r="K21" i="95"/>
  <c r="K26" i="95"/>
  <c r="K27" i="95"/>
  <c r="K28" i="95"/>
  <c r="K29" i="95"/>
  <c r="K30" i="95"/>
  <c r="K31" i="95"/>
  <c r="K32" i="95"/>
  <c r="K33" i="95"/>
  <c r="K34" i="95"/>
  <c r="K35" i="95"/>
  <c r="K36" i="95"/>
  <c r="K37" i="95"/>
  <c r="K38" i="95"/>
  <c r="K39" i="95"/>
  <c r="K40" i="95"/>
  <c r="K41" i="95"/>
  <c r="K42" i="95"/>
  <c r="K43" i="95"/>
  <c r="K44" i="95"/>
  <c r="K45" i="95"/>
  <c r="K46" i="95"/>
  <c r="K47" i="95"/>
  <c r="K48" i="95"/>
  <c r="K49" i="95"/>
  <c r="K52" i="95"/>
  <c r="K53" i="95"/>
  <c r="K54" i="95"/>
  <c r="K58" i="95"/>
  <c r="K59" i="95"/>
  <c r="K60" i="95"/>
  <c r="K61" i="95"/>
  <c r="K62" i="95"/>
  <c r="K63" i="95"/>
  <c r="K64" i="95"/>
  <c r="K65" i="95"/>
  <c r="K66" i="95"/>
  <c r="K67" i="95"/>
  <c r="K68" i="95"/>
  <c r="K69" i="95"/>
  <c r="K70" i="95"/>
  <c r="K71" i="95"/>
  <c r="K72" i="95"/>
  <c r="K73" i="95"/>
  <c r="K74" i="95"/>
  <c r="K75" i="95"/>
  <c r="K76" i="95"/>
  <c r="K77" i="95"/>
  <c r="K78" i="95"/>
  <c r="K79" i="95"/>
  <c r="K80" i="95"/>
  <c r="K81" i="95"/>
  <c r="K84" i="95"/>
  <c r="K85" i="95"/>
  <c r="K86" i="95"/>
  <c r="K90" i="95"/>
  <c r="K91" i="95"/>
  <c r="K92" i="95"/>
  <c r="K93" i="95"/>
  <c r="K94" i="95"/>
  <c r="K95" i="95"/>
  <c r="K96" i="95"/>
  <c r="K97" i="95"/>
  <c r="K98" i="95"/>
  <c r="K99" i="95"/>
  <c r="K100" i="95"/>
  <c r="K101" i="95"/>
  <c r="K102" i="95"/>
  <c r="K103" i="95"/>
  <c r="K104" i="95"/>
  <c r="K105" i="95"/>
  <c r="K106" i="95"/>
  <c r="K107" i="95"/>
  <c r="K108" i="95"/>
  <c r="K109" i="95"/>
  <c r="K110" i="95"/>
  <c r="K111" i="95"/>
  <c r="K112" i="95"/>
  <c r="K113" i="95"/>
  <c r="K116" i="95"/>
  <c r="K122" i="95"/>
  <c r="K123" i="95"/>
  <c r="K124" i="95"/>
  <c r="K125" i="95"/>
  <c r="K126" i="95"/>
  <c r="K127" i="95"/>
  <c r="K128" i="95"/>
  <c r="K129" i="95"/>
  <c r="K130" i="95"/>
  <c r="K131" i="95"/>
  <c r="K132" i="95"/>
  <c r="K133" i="95"/>
  <c r="K134" i="95"/>
  <c r="K135" i="95"/>
  <c r="K136" i="95"/>
  <c r="K137" i="95"/>
  <c r="K138" i="95"/>
  <c r="K139" i="95"/>
  <c r="K140" i="95"/>
  <c r="K141" i="95"/>
  <c r="K142" i="95"/>
  <c r="K143" i="95"/>
  <c r="K144" i="95"/>
  <c r="K145" i="95"/>
  <c r="K148" i="95"/>
  <c r="K154" i="95"/>
  <c r="K155" i="95"/>
  <c r="K156" i="95"/>
  <c r="K157" i="95"/>
  <c r="K158" i="95"/>
  <c r="K159" i="95"/>
  <c r="K160" i="95"/>
  <c r="K161" i="95"/>
  <c r="K162" i="95"/>
  <c r="K163" i="95"/>
  <c r="K164" i="95"/>
  <c r="K165" i="95"/>
  <c r="K166" i="95"/>
  <c r="K167" i="95"/>
  <c r="K168" i="95"/>
  <c r="K169" i="95"/>
  <c r="K170" i="95"/>
  <c r="K171" i="95"/>
  <c r="K172" i="95"/>
  <c r="K173" i="95"/>
  <c r="K174" i="95"/>
  <c r="K175" i="95"/>
  <c r="K176" i="95"/>
  <c r="K186" i="95"/>
  <c r="K187" i="95"/>
  <c r="K188" i="95"/>
  <c r="K189" i="95"/>
  <c r="K190" i="95"/>
  <c r="K191" i="95"/>
  <c r="K192" i="95"/>
  <c r="K193" i="95"/>
  <c r="K194" i="95"/>
  <c r="K195" i="95"/>
  <c r="K196" i="95"/>
  <c r="K197" i="95"/>
  <c r="K198" i="95"/>
  <c r="K199" i="95"/>
  <c r="K200" i="95"/>
  <c r="K201" i="95"/>
  <c r="K202" i="95"/>
  <c r="K203" i="95"/>
  <c r="K204" i="95"/>
  <c r="K205" i="95"/>
  <c r="K206" i="95"/>
  <c r="K207" i="95"/>
  <c r="K208" i="95"/>
  <c r="K209" i="95"/>
  <c r="K218" i="95"/>
  <c r="K220" i="95"/>
  <c r="K221" i="95"/>
  <c r="K222" i="95"/>
  <c r="K223" i="95"/>
  <c r="K224" i="95"/>
  <c r="K225" i="95"/>
  <c r="K226" i="95"/>
  <c r="K227" i="95"/>
  <c r="K228" i="95"/>
  <c r="K229" i="95"/>
  <c r="K230" i="95"/>
  <c r="K231" i="95"/>
  <c r="K232" i="95"/>
  <c r="K233" i="95"/>
  <c r="K234" i="95"/>
  <c r="K235" i="95"/>
  <c r="K236" i="95"/>
  <c r="K237" i="95"/>
  <c r="K238" i="95"/>
  <c r="K239" i="95"/>
  <c r="K240" i="95"/>
  <c r="K241" i="95"/>
  <c r="K244" i="95"/>
  <c r="K245" i="95"/>
  <c r="K246" i="95"/>
  <c r="K250" i="95"/>
  <c r="K251" i="95"/>
  <c r="K252" i="95"/>
  <c r="K253" i="95"/>
  <c r="K254" i="95"/>
  <c r="K255" i="95"/>
  <c r="K257" i="95"/>
  <c r="K258" i="95"/>
  <c r="K259" i="95"/>
  <c r="K260" i="95"/>
  <c r="K261" i="95"/>
  <c r="K262" i="95"/>
  <c r="K263" i="95"/>
  <c r="K264" i="95"/>
  <c r="K265" i="95"/>
  <c r="K266" i="95"/>
  <c r="K267" i="95"/>
  <c r="K268" i="95"/>
  <c r="K269" i="95"/>
  <c r="K270" i="95"/>
  <c r="K271" i="95"/>
  <c r="K272" i="95"/>
  <c r="K273" i="95"/>
  <c r="K276" i="95"/>
  <c r="K277" i="95"/>
  <c r="K278" i="95"/>
  <c r="K282" i="95"/>
  <c r="K283" i="95"/>
  <c r="K284" i="95"/>
  <c r="K285" i="95"/>
  <c r="K286" i="95"/>
  <c r="K287" i="95"/>
  <c r="K288" i="95"/>
  <c r="K289" i="95"/>
  <c r="K290" i="95"/>
  <c r="K291" i="95"/>
  <c r="K292" i="95"/>
  <c r="K293" i="95"/>
  <c r="K294" i="95"/>
  <c r="K295" i="95"/>
  <c r="K296" i="95"/>
  <c r="K297" i="95"/>
  <c r="K298" i="95"/>
  <c r="K299" i="95"/>
  <c r="K300" i="95"/>
  <c r="K301" i="95"/>
  <c r="K302" i="95"/>
  <c r="K303" i="95"/>
  <c r="K304" i="95"/>
  <c r="K305" i="95"/>
  <c r="K309" i="95"/>
  <c r="K314" i="95"/>
  <c r="K315" i="95"/>
  <c r="K316" i="95"/>
  <c r="K317" i="95"/>
  <c r="K318" i="95"/>
  <c r="K322" i="95"/>
  <c r="K323" i="95"/>
  <c r="K324" i="95"/>
  <c r="K325" i="95"/>
  <c r="K326" i="95"/>
  <c r="K327" i="95"/>
  <c r="K328" i="95"/>
  <c r="K329" i="95"/>
  <c r="K330" i="95"/>
  <c r="K331" i="95"/>
  <c r="K332" i="95"/>
  <c r="K333" i="95"/>
  <c r="K334" i="95"/>
  <c r="K335" i="95"/>
  <c r="K336" i="95"/>
  <c r="K346" i="95"/>
  <c r="K347" i="95"/>
  <c r="K348" i="95"/>
  <c r="K349" i="95"/>
  <c r="K350" i="95"/>
  <c r="K351" i="95"/>
  <c r="K352" i="95"/>
  <c r="K353" i="95"/>
  <c r="K354" i="95"/>
  <c r="K355" i="95"/>
  <c r="K356" i="95"/>
  <c r="K357" i="95"/>
  <c r="K358" i="95"/>
  <c r="K359" i="95"/>
  <c r="K360" i="95"/>
  <c r="K361" i="95"/>
  <c r="K362" i="95"/>
  <c r="K363" i="95"/>
  <c r="K364" i="95"/>
  <c r="K365" i="95"/>
  <c r="K366" i="95"/>
  <c r="K367" i="95"/>
  <c r="K368" i="95"/>
  <c r="K378" i="95"/>
  <c r="K379" i="95"/>
  <c r="K380" i="95"/>
  <c r="K381" i="95"/>
  <c r="K382" i="95"/>
  <c r="K383" i="95"/>
  <c r="K384" i="95"/>
  <c r="K385" i="95"/>
  <c r="K386" i="95"/>
  <c r="K387" i="95"/>
  <c r="K388" i="95"/>
  <c r="K389" i="95"/>
  <c r="K390" i="95"/>
  <c r="K391" i="95"/>
  <c r="K392" i="95"/>
  <c r="K393" i="95"/>
  <c r="K394" i="95"/>
  <c r="K395" i="95"/>
  <c r="K396" i="95"/>
  <c r="K397" i="95"/>
  <c r="K398" i="95"/>
  <c r="K399" i="95"/>
  <c r="K400" i="95"/>
  <c r="K401" i="95"/>
  <c r="K404" i="95"/>
  <c r="K405" i="95"/>
  <c r="K410" i="95"/>
  <c r="K411" i="95"/>
  <c r="K412" i="95"/>
  <c r="K413" i="95"/>
  <c r="K414" i="95"/>
  <c r="K415" i="95"/>
  <c r="K416" i="95"/>
  <c r="K417" i="95"/>
  <c r="K418" i="95"/>
  <c r="K419" i="95"/>
  <c r="K420"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M16" i="95" s="1"/>
  <c r="L17" i="95"/>
  <c r="L18" i="95"/>
  <c r="L19" i="95"/>
  <c r="L20" i="95"/>
  <c r="L21" i="95"/>
  <c r="M21" i="95" s="1"/>
  <c r="L22" i="95"/>
  <c r="L23" i="95"/>
  <c r="L24" i="95"/>
  <c r="L25" i="95"/>
  <c r="L26" i="95"/>
  <c r="L27" i="95"/>
  <c r="L28" i="95"/>
  <c r="L29" i="95"/>
  <c r="L30" i="95"/>
  <c r="L31" i="95"/>
  <c r="L32" i="95"/>
  <c r="L33" i="95"/>
  <c r="L34" i="95"/>
  <c r="M34" i="95" s="1"/>
  <c r="L35" i="95"/>
  <c r="M35" i="95" s="1"/>
  <c r="L36" i="95"/>
  <c r="L37" i="95"/>
  <c r="M37" i="95" s="1"/>
  <c r="L38" i="95"/>
  <c r="M38" i="95" s="1"/>
  <c r="L39" i="95"/>
  <c r="M39" i="95" s="1"/>
  <c r="L40" i="95"/>
  <c r="M40" i="95" s="1"/>
  <c r="L41" i="95"/>
  <c r="M41" i="95" s="1"/>
  <c r="L42" i="95"/>
  <c r="L43" i="95"/>
  <c r="M43" i="95" s="1"/>
  <c r="L44" i="95"/>
  <c r="M44" i="95" s="1"/>
  <c r="L45" i="95"/>
  <c r="L46" i="95"/>
  <c r="M46" i="95" s="1"/>
  <c r="L47" i="95"/>
  <c r="L48" i="95"/>
  <c r="M48" i="95" s="1"/>
  <c r="L49" i="95"/>
  <c r="M49" i="95" s="1"/>
  <c r="L50" i="95"/>
  <c r="M50" i="95" s="1"/>
  <c r="L51" i="95"/>
  <c r="L52" i="95"/>
  <c r="L53" i="95"/>
  <c r="M53" i="95" s="1"/>
  <c r="L54" i="95"/>
  <c r="L55" i="95"/>
  <c r="L56" i="95"/>
  <c r="L57" i="95"/>
  <c r="L58" i="95"/>
  <c r="L59" i="95"/>
  <c r="L60" i="95"/>
  <c r="L61" i="95"/>
  <c r="L62" i="95"/>
  <c r="L63" i="95"/>
  <c r="M63" i="95" s="1"/>
  <c r="L64" i="95"/>
  <c r="L65" i="95"/>
  <c r="L66" i="95"/>
  <c r="M66" i="95" s="1"/>
  <c r="L67" i="95"/>
  <c r="M67" i="95" s="1"/>
  <c r="L68" i="95"/>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L84" i="95"/>
  <c r="L85" i="95"/>
  <c r="M85" i="95" s="1"/>
  <c r="L86" i="95"/>
  <c r="L87" i="95"/>
  <c r="L88" i="95"/>
  <c r="L89" i="95"/>
  <c r="L90" i="95"/>
  <c r="L91" i="95"/>
  <c r="L92" i="95"/>
  <c r="L93" i="95"/>
  <c r="L94" i="95"/>
  <c r="L95" i="95"/>
  <c r="L96" i="95"/>
  <c r="L97" i="95"/>
  <c r="L98" i="95"/>
  <c r="M98" i="95" s="1"/>
  <c r="L99" i="95"/>
  <c r="M99" i="95" s="1"/>
  <c r="L100" i="95"/>
  <c r="L101" i="95"/>
  <c r="L102" i="95"/>
  <c r="M102" i="95" s="1"/>
  <c r="L103" i="95"/>
  <c r="M103" i="95" s="1"/>
  <c r="L104" i="95"/>
  <c r="M104" i="95" s="1"/>
  <c r="L105" i="95"/>
  <c r="M105" i="95" s="1"/>
  <c r="L106" i="95"/>
  <c r="M106" i="95" s="1"/>
  <c r="L107" i="95"/>
  <c r="M107" i="95" s="1"/>
  <c r="L108" i="95"/>
  <c r="M108" i="95" s="1"/>
  <c r="L109" i="95"/>
  <c r="M109" i="95" s="1"/>
  <c r="L110" i="95"/>
  <c r="L111" i="95"/>
  <c r="M111" i="95" s="1"/>
  <c r="L112" i="95"/>
  <c r="M112" i="95" s="1"/>
  <c r="L113" i="95"/>
  <c r="M113" i="95" s="1"/>
  <c r="L114" i="95"/>
  <c r="M114" i="95" s="1"/>
  <c r="L115" i="95"/>
  <c r="L116" i="95"/>
  <c r="L117" i="95"/>
  <c r="M117" i="95" s="1"/>
  <c r="L118" i="95"/>
  <c r="L119" i="95"/>
  <c r="L120" i="95"/>
  <c r="L121" i="95"/>
  <c r="L122" i="95"/>
  <c r="L123" i="95"/>
  <c r="L124" i="95"/>
  <c r="L125" i="95"/>
  <c r="L126" i="95"/>
  <c r="L127" i="95"/>
  <c r="L128" i="95"/>
  <c r="L129" i="95"/>
  <c r="L130" i="95"/>
  <c r="M130" i="95" s="1"/>
  <c r="L131" i="95"/>
  <c r="M131" i="95" s="1"/>
  <c r="L132" i="95"/>
  <c r="L133" i="95"/>
  <c r="L134" i="95"/>
  <c r="M134" i="95" s="1"/>
  <c r="L135" i="95"/>
  <c r="M135" i="95" s="1"/>
  <c r="L136" i="95"/>
  <c r="M136" i="95" s="1"/>
  <c r="L137" i="95"/>
  <c r="M137" i="95" s="1"/>
  <c r="L138" i="95"/>
  <c r="L139" i="95"/>
  <c r="M139" i="95" s="1"/>
  <c r="L140" i="95"/>
  <c r="M140" i="95" s="1"/>
  <c r="L141" i="95"/>
  <c r="L142" i="95"/>
  <c r="L143" i="95"/>
  <c r="L144" i="95"/>
  <c r="L145" i="95"/>
  <c r="M145" i="95" s="1"/>
  <c r="L146" i="95"/>
  <c r="M146" i="95" s="1"/>
  <c r="L147" i="95"/>
  <c r="L148" i="95"/>
  <c r="L149" i="95"/>
  <c r="M149" i="95" s="1"/>
  <c r="L150" i="95"/>
  <c r="L151" i="95"/>
  <c r="L152" i="95"/>
  <c r="M152" i="95" s="1"/>
  <c r="L153" i="95"/>
  <c r="L154" i="95"/>
  <c r="L155" i="95"/>
  <c r="L156" i="95"/>
  <c r="L157" i="95"/>
  <c r="L158" i="95"/>
  <c r="L159" i="95"/>
  <c r="L160" i="95"/>
  <c r="L161" i="95"/>
  <c r="L162" i="95"/>
  <c r="M162" i="95" s="1"/>
  <c r="L163" i="95"/>
  <c r="M163" i="95" s="1"/>
  <c r="L164" i="95"/>
  <c r="L165" i="95"/>
  <c r="L166" i="95"/>
  <c r="M166" i="95" s="1"/>
  <c r="L167" i="95"/>
  <c r="M167" i="95" s="1"/>
  <c r="L168" i="95"/>
  <c r="M168" i="95" s="1"/>
  <c r="L169" i="95"/>
  <c r="M169" i="95" s="1"/>
  <c r="L170" i="95"/>
  <c r="L171" i="95"/>
  <c r="M171" i="95" s="1"/>
  <c r="L172" i="95"/>
  <c r="M172" i="95" s="1"/>
  <c r="L173" i="95"/>
  <c r="L174" i="95"/>
  <c r="L175" i="95"/>
  <c r="M175" i="95" s="1"/>
  <c r="L176" i="95"/>
  <c r="M176" i="95" s="1"/>
  <c r="L177" i="95"/>
  <c r="M177" i="95" s="1"/>
  <c r="L178" i="95"/>
  <c r="M178" i="95" s="1"/>
  <c r="L179" i="95"/>
  <c r="L180" i="95"/>
  <c r="L181" i="95"/>
  <c r="M181" i="95" s="1"/>
  <c r="L182" i="95"/>
  <c r="L183" i="95"/>
  <c r="L184" i="95"/>
  <c r="L185" i="95"/>
  <c r="L186" i="95"/>
  <c r="L187" i="95"/>
  <c r="L188" i="95"/>
  <c r="L189" i="95"/>
  <c r="L190" i="95"/>
  <c r="L191" i="95"/>
  <c r="L192" i="95"/>
  <c r="L193" i="95"/>
  <c r="L194" i="95"/>
  <c r="M194" i="95" s="1"/>
  <c r="L195" i="95"/>
  <c r="M195" i="95" s="1"/>
  <c r="L196" i="95"/>
  <c r="L197" i="95"/>
  <c r="M197" i="95" s="1"/>
  <c r="L198" i="95"/>
  <c r="M198" i="95" s="1"/>
  <c r="L199" i="95"/>
  <c r="M199" i="95" s="1"/>
  <c r="L200" i="95"/>
  <c r="M200" i="95" s="1"/>
  <c r="L201" i="95"/>
  <c r="M201" i="95" s="1"/>
  <c r="L202" i="95"/>
  <c r="L203" i="95"/>
  <c r="M203" i="95" s="1"/>
  <c r="L204" i="95"/>
  <c r="M204" i="95" s="1"/>
  <c r="L205" i="95"/>
  <c r="M205" i="95" s="1"/>
  <c r="L206" i="95"/>
  <c r="L207" i="95"/>
  <c r="L208" i="95"/>
  <c r="M208" i="95" s="1"/>
  <c r="L209" i="95"/>
  <c r="M209" i="95" s="1"/>
  <c r="L210" i="95"/>
  <c r="M210" i="95" s="1"/>
  <c r="L211" i="95"/>
  <c r="L212" i="95"/>
  <c r="L213" i="95"/>
  <c r="M213" i="95" s="1"/>
  <c r="L214" i="95"/>
  <c r="L215" i="95"/>
  <c r="L216" i="95"/>
  <c r="L217" i="95"/>
  <c r="L218" i="95"/>
  <c r="L219" i="95"/>
  <c r="L220" i="95"/>
  <c r="L221" i="95"/>
  <c r="L222" i="95"/>
  <c r="L223" i="95"/>
  <c r="L224" i="95"/>
  <c r="L225" i="95"/>
  <c r="L226" i="95"/>
  <c r="M226" i="95" s="1"/>
  <c r="L227" i="95"/>
  <c r="M227" i="95" s="1"/>
  <c r="L228" i="95"/>
  <c r="L229" i="95"/>
  <c r="M229" i="95" s="1"/>
  <c r="L230" i="95"/>
  <c r="M230" i="95" s="1"/>
  <c r="L231" i="95"/>
  <c r="M231" i="95" s="1"/>
  <c r="L232" i="95"/>
  <c r="M232" i="95" s="1"/>
  <c r="L233" i="95"/>
  <c r="M233" i="95" s="1"/>
  <c r="L234" i="95"/>
  <c r="L235" i="95"/>
  <c r="M235" i="95" s="1"/>
  <c r="L236" i="95"/>
  <c r="M236" i="95" s="1"/>
  <c r="L237" i="95"/>
  <c r="M237" i="95" s="1"/>
  <c r="L238" i="95"/>
  <c r="M238" i="95" s="1"/>
  <c r="L239" i="95"/>
  <c r="M239" i="95" s="1"/>
  <c r="L240" i="95"/>
  <c r="M240" i="95" s="1"/>
  <c r="L241" i="95"/>
  <c r="M241" i="95" s="1"/>
  <c r="L242" i="95"/>
  <c r="M242" i="95" s="1"/>
  <c r="L243" i="95"/>
  <c r="L244" i="95"/>
  <c r="L245" i="95"/>
  <c r="M245" i="95" s="1"/>
  <c r="L246" i="95"/>
  <c r="L247" i="95"/>
  <c r="L248" i="95"/>
  <c r="L249" i="95"/>
  <c r="L250" i="95"/>
  <c r="L251" i="95"/>
  <c r="L252" i="95"/>
  <c r="L253" i="95"/>
  <c r="L254" i="95"/>
  <c r="L255" i="95"/>
  <c r="L256" i="95"/>
  <c r="L257" i="95"/>
  <c r="L258" i="95"/>
  <c r="M258" i="95" s="1"/>
  <c r="L259" i="95"/>
  <c r="M259" i="95" s="1"/>
  <c r="L260" i="95"/>
  <c r="L261" i="95"/>
  <c r="L262" i="95"/>
  <c r="M262" i="95" s="1"/>
  <c r="L263" i="95"/>
  <c r="M263" i="95" s="1"/>
  <c r="L264" i="95"/>
  <c r="M264" i="95" s="1"/>
  <c r="L265" i="95"/>
  <c r="M265" i="95" s="1"/>
  <c r="L266" i="95"/>
  <c r="L267" i="95"/>
  <c r="L268" i="95"/>
  <c r="L269" i="95"/>
  <c r="M269" i="95" s="1"/>
  <c r="L270" i="95"/>
  <c r="M270" i="95" s="1"/>
  <c r="L271" i="95"/>
  <c r="M271" i="95" s="1"/>
  <c r="L272" i="95"/>
  <c r="M272" i="95" s="1"/>
  <c r="L273" i="95"/>
  <c r="M273" i="95" s="1"/>
  <c r="L274" i="95"/>
  <c r="M274" i="95" s="1"/>
  <c r="L275" i="95"/>
  <c r="L276" i="95"/>
  <c r="L277" i="95"/>
  <c r="M277" i="95" s="1"/>
  <c r="L278" i="95"/>
  <c r="L279" i="95"/>
  <c r="M279" i="95" s="1"/>
  <c r="L280" i="95"/>
  <c r="L281" i="95"/>
  <c r="L282" i="95"/>
  <c r="L283" i="95"/>
  <c r="L284" i="95"/>
  <c r="L285" i="95"/>
  <c r="L286" i="95"/>
  <c r="L287" i="95"/>
  <c r="L288" i="95"/>
  <c r="L289" i="95"/>
  <c r="L290" i="95"/>
  <c r="M290" i="95" s="1"/>
  <c r="L291" i="95"/>
  <c r="M291" i="95" s="1"/>
  <c r="L292" i="95"/>
  <c r="L293" i="95"/>
  <c r="L294" i="95"/>
  <c r="M294" i="95" s="1"/>
  <c r="L295" i="95"/>
  <c r="M295" i="95" s="1"/>
  <c r="L296" i="95"/>
  <c r="M296" i="95" s="1"/>
  <c r="L297" i="95"/>
  <c r="M297" i="95" s="1"/>
  <c r="L298" i="95"/>
  <c r="L299" i="95"/>
  <c r="M299" i="95" s="1"/>
  <c r="L300" i="95"/>
  <c r="L301" i="95"/>
  <c r="L302" i="95"/>
  <c r="L303" i="95"/>
  <c r="L304" i="95"/>
  <c r="M304" i="95" s="1"/>
  <c r="L305" i="95"/>
  <c r="M305" i="95" s="1"/>
  <c r="L306" i="95"/>
  <c r="L307" i="95"/>
  <c r="L308" i="95"/>
  <c r="L309" i="95"/>
  <c r="M309" i="95" s="1"/>
  <c r="L310" i="95"/>
  <c r="L311" i="95"/>
  <c r="M311" i="95" s="1"/>
  <c r="L312" i="95"/>
  <c r="M312" i="95" s="1"/>
  <c r="L313" i="95"/>
  <c r="L314" i="95"/>
  <c r="L315" i="95"/>
  <c r="L316" i="95"/>
  <c r="L317" i="95"/>
  <c r="L318" i="95"/>
  <c r="L319" i="95"/>
  <c r="L320" i="95"/>
  <c r="L321" i="95"/>
  <c r="L322" i="95"/>
  <c r="M322" i="95" s="1"/>
  <c r="L323" i="95"/>
  <c r="M323" i="95" s="1"/>
  <c r="L324" i="95"/>
  <c r="L325" i="95"/>
  <c r="M325" i="95" s="1"/>
  <c r="L326" i="95"/>
  <c r="M326" i="95" s="1"/>
  <c r="L327" i="95"/>
  <c r="M327" i="95" s="1"/>
  <c r="L328" i="95"/>
  <c r="M328" i="95" s="1"/>
  <c r="L329" i="95"/>
  <c r="M329" i="95" s="1"/>
  <c r="L330" i="95"/>
  <c r="L331" i="95"/>
  <c r="M331" i="95" s="1"/>
  <c r="L332" i="95"/>
  <c r="M332" i="95" s="1"/>
  <c r="L333" i="95"/>
  <c r="L334" i="95"/>
  <c r="L335" i="95"/>
  <c r="L336" i="95"/>
  <c r="M336" i="95" s="1"/>
  <c r="L337" i="95"/>
  <c r="M337" i="95" s="1"/>
  <c r="L338" i="95"/>
  <c r="M338" i="95" s="1"/>
  <c r="L339" i="95"/>
  <c r="L340" i="95"/>
  <c r="L341" i="95"/>
  <c r="L342" i="95"/>
  <c r="L343" i="95"/>
  <c r="L344" i="95"/>
  <c r="L345" i="95"/>
  <c r="L346" i="95"/>
  <c r="L347" i="95"/>
  <c r="L348" i="95"/>
  <c r="L349" i="95"/>
  <c r="L350" i="95"/>
  <c r="L351" i="95"/>
  <c r="L352" i="95"/>
  <c r="L353" i="95"/>
  <c r="L354" i="95"/>
  <c r="M354" i="95" s="1"/>
  <c r="L355" i="95"/>
  <c r="M355" i="95" s="1"/>
  <c r="L356" i="95"/>
  <c r="L357" i="95"/>
  <c r="M357" i="95" s="1"/>
  <c r="L358" i="95"/>
  <c r="L359" i="95"/>
  <c r="M359" i="95" s="1"/>
  <c r="L360" i="95"/>
  <c r="M360" i="95" s="1"/>
  <c r="L361" i="95"/>
  <c r="M361" i="95" s="1"/>
  <c r="L362" i="95"/>
  <c r="L363" i="95"/>
  <c r="M363" i="95" s="1"/>
  <c r="L364" i="95"/>
  <c r="M364" i="95" s="1"/>
  <c r="L365" i="95"/>
  <c r="L366" i="95"/>
  <c r="M366" i="95" s="1"/>
  <c r="L367" i="95"/>
  <c r="L368" i="95"/>
  <c r="M368" i="95" s="1"/>
  <c r="L369" i="95"/>
  <c r="M369" i="95" s="1"/>
  <c r="L370" i="95"/>
  <c r="M370" i="95" s="1"/>
  <c r="L371" i="95"/>
  <c r="L372" i="95"/>
  <c r="L373" i="95"/>
  <c r="L374" i="95"/>
  <c r="L375" i="95"/>
  <c r="L376" i="95"/>
  <c r="L377" i="95"/>
  <c r="L378" i="95"/>
  <c r="L379" i="95"/>
  <c r="L380" i="95"/>
  <c r="L381" i="95"/>
  <c r="L382" i="95"/>
  <c r="L383" i="95"/>
  <c r="L384" i="95"/>
  <c r="L385" i="95"/>
  <c r="L386" i="95"/>
  <c r="M386" i="95" s="1"/>
  <c r="L387" i="95"/>
  <c r="M387" i="95" s="1"/>
  <c r="L388" i="95"/>
  <c r="L389" i="95"/>
  <c r="M389" i="95" s="1"/>
  <c r="L390" i="95"/>
  <c r="L391" i="95"/>
  <c r="M391" i="95" s="1"/>
  <c r="L392" i="95"/>
  <c r="M392" i="95" s="1"/>
  <c r="L393" i="95"/>
  <c r="M393" i="95" s="1"/>
  <c r="L394" i="95"/>
  <c r="L395" i="95"/>
  <c r="M395" i="95" s="1"/>
  <c r="L396" i="95"/>
  <c r="M396" i="95" s="1"/>
  <c r="L397" i="95"/>
  <c r="M397" i="95" s="1"/>
  <c r="L398" i="95"/>
  <c r="M398" i="95" s="1"/>
  <c r="L399" i="95"/>
  <c r="M399" i="95" s="1"/>
  <c r="L400" i="95"/>
  <c r="M400" i="95" s="1"/>
  <c r="L401" i="95"/>
  <c r="M401" i="95" s="1"/>
  <c r="L402" i="95"/>
  <c r="M402" i="95" s="1"/>
  <c r="L403" i="95"/>
  <c r="L404" i="95"/>
  <c r="L405" i="95"/>
  <c r="L406" i="95"/>
  <c r="L407" i="95"/>
  <c r="L408" i="95"/>
  <c r="L409" i="95"/>
  <c r="L410" i="95"/>
  <c r="L411" i="95"/>
  <c r="L412" i="95"/>
  <c r="L413" i="95"/>
  <c r="L414" i="95"/>
  <c r="L415" i="95"/>
  <c r="L416" i="95"/>
  <c r="L417" i="95"/>
  <c r="L418" i="95"/>
  <c r="M418" i="95" s="1"/>
  <c r="L419" i="95"/>
  <c r="M419" i="95" s="1"/>
  <c r="L420" i="95"/>
  <c r="L421" i="95"/>
  <c r="L422" i="95"/>
  <c r="L423" i="95"/>
  <c r="M423" i="95" s="1"/>
  <c r="L424" i="95"/>
  <c r="M424" i="95" s="1"/>
  <c r="L425" i="95"/>
  <c r="M425" i="95" s="1"/>
  <c r="M10" i="95"/>
  <c r="M11" i="95"/>
  <c r="M12" i="95"/>
  <c r="M13" i="95"/>
  <c r="M14" i="95"/>
  <c r="M15" i="95"/>
  <c r="M17" i="95"/>
  <c r="M18" i="95"/>
  <c r="M19" i="95"/>
  <c r="M20" i="95"/>
  <c r="M22" i="95"/>
  <c r="M23" i="95"/>
  <c r="M24" i="95"/>
  <c r="M25" i="95"/>
  <c r="M26" i="95"/>
  <c r="M27" i="95"/>
  <c r="M28" i="95"/>
  <c r="M29" i="95"/>
  <c r="M30" i="95"/>
  <c r="M31" i="95"/>
  <c r="M32" i="95"/>
  <c r="M33" i="95"/>
  <c r="M36" i="95"/>
  <c r="M42" i="95"/>
  <c r="M45" i="95"/>
  <c r="M47" i="95"/>
  <c r="M51" i="95"/>
  <c r="M52" i="95"/>
  <c r="M54" i="95"/>
  <c r="M55" i="95"/>
  <c r="M56" i="95"/>
  <c r="M57" i="95"/>
  <c r="M58" i="95"/>
  <c r="M59" i="95"/>
  <c r="M60" i="95"/>
  <c r="M61" i="95"/>
  <c r="M62" i="95"/>
  <c r="M64" i="95"/>
  <c r="M65" i="95"/>
  <c r="M68" i="95"/>
  <c r="M83" i="95"/>
  <c r="M84" i="95"/>
  <c r="M86" i="95"/>
  <c r="M87" i="95"/>
  <c r="M88" i="95"/>
  <c r="M89" i="95"/>
  <c r="M90" i="95"/>
  <c r="M91" i="95"/>
  <c r="M92" i="95"/>
  <c r="M93" i="95"/>
  <c r="M94" i="95"/>
  <c r="M95" i="95"/>
  <c r="M96" i="95"/>
  <c r="M97" i="95"/>
  <c r="M100" i="95"/>
  <c r="M101" i="95"/>
  <c r="M110" i="95"/>
  <c r="M115" i="95"/>
  <c r="M116" i="95"/>
  <c r="M118" i="95"/>
  <c r="M119" i="95"/>
  <c r="M120" i="95"/>
  <c r="M121" i="95"/>
  <c r="M122" i="95"/>
  <c r="M123" i="95"/>
  <c r="M124" i="95"/>
  <c r="M125" i="95"/>
  <c r="M126" i="95"/>
  <c r="M127" i="95"/>
  <c r="M128" i="95"/>
  <c r="M129" i="95"/>
  <c r="M132" i="95"/>
  <c r="M133" i="95"/>
  <c r="M138" i="95"/>
  <c r="M141" i="95"/>
  <c r="M142" i="95"/>
  <c r="M143" i="95"/>
  <c r="M144" i="95"/>
  <c r="M147" i="95"/>
  <c r="M148" i="95"/>
  <c r="M150" i="95"/>
  <c r="M151" i="95"/>
  <c r="M153" i="95"/>
  <c r="M154" i="95"/>
  <c r="M155" i="95"/>
  <c r="M156" i="95"/>
  <c r="M157" i="95"/>
  <c r="M158" i="95"/>
  <c r="M159" i="95"/>
  <c r="M160" i="95"/>
  <c r="M161" i="95"/>
  <c r="M164" i="95"/>
  <c r="M165" i="95"/>
  <c r="M170" i="95"/>
  <c r="M173" i="95"/>
  <c r="M174" i="95"/>
  <c r="M179" i="95"/>
  <c r="M180" i="95"/>
  <c r="M182" i="95"/>
  <c r="M183" i="95"/>
  <c r="M184" i="95"/>
  <c r="M185" i="95"/>
  <c r="M186" i="95"/>
  <c r="M187" i="95"/>
  <c r="M188" i="95"/>
  <c r="M189" i="95"/>
  <c r="M190" i="95"/>
  <c r="M191" i="95"/>
  <c r="M192" i="95"/>
  <c r="M193" i="95"/>
  <c r="M196" i="95"/>
  <c r="M202" i="95"/>
  <c r="M206" i="95"/>
  <c r="M207" i="95"/>
  <c r="M211" i="95"/>
  <c r="M212" i="95"/>
  <c r="M214" i="95"/>
  <c r="M215" i="95"/>
  <c r="M216" i="95"/>
  <c r="M217" i="95"/>
  <c r="M218" i="95"/>
  <c r="M219" i="95"/>
  <c r="M220" i="95"/>
  <c r="M221" i="95"/>
  <c r="M222" i="95"/>
  <c r="M223" i="95"/>
  <c r="M224" i="95"/>
  <c r="M225" i="95"/>
  <c r="M228" i="95"/>
  <c r="M234" i="95"/>
  <c r="M243" i="95"/>
  <c r="M244" i="95"/>
  <c r="M246" i="95"/>
  <c r="M247" i="95"/>
  <c r="M248" i="95"/>
  <c r="M249" i="95"/>
  <c r="M250" i="95"/>
  <c r="M251" i="95"/>
  <c r="M252" i="95"/>
  <c r="M253" i="95"/>
  <c r="M254" i="95"/>
  <c r="M255" i="95"/>
  <c r="M256" i="95"/>
  <c r="M257" i="95"/>
  <c r="M260" i="95"/>
  <c r="M261" i="95"/>
  <c r="M266" i="95"/>
  <c r="M267" i="95"/>
  <c r="M268" i="95"/>
  <c r="M275" i="95"/>
  <c r="M276" i="95"/>
  <c r="M278" i="95"/>
  <c r="M280" i="95"/>
  <c r="M281" i="95"/>
  <c r="M282" i="95"/>
  <c r="M283" i="95"/>
  <c r="M284" i="95"/>
  <c r="M285" i="95"/>
  <c r="M286" i="95"/>
  <c r="M287" i="95"/>
  <c r="M288" i="95"/>
  <c r="M289" i="95"/>
  <c r="M292" i="95"/>
  <c r="M293" i="95"/>
  <c r="M298" i="95"/>
  <c r="M300" i="95"/>
  <c r="M301" i="95"/>
  <c r="M302" i="95"/>
  <c r="M303" i="95"/>
  <c r="M306" i="95"/>
  <c r="M307" i="95"/>
  <c r="M308" i="95"/>
  <c r="M310" i="95"/>
  <c r="M313" i="95"/>
  <c r="M314" i="95"/>
  <c r="M315" i="95"/>
  <c r="M316" i="95"/>
  <c r="M317" i="95"/>
  <c r="M318" i="95"/>
  <c r="M319" i="95"/>
  <c r="M320" i="95"/>
  <c r="M321" i="95"/>
  <c r="M324" i="95"/>
  <c r="M330" i="95"/>
  <c r="M333" i="95"/>
  <c r="M334" i="95"/>
  <c r="M335" i="95"/>
  <c r="M339" i="95"/>
  <c r="M340" i="95"/>
  <c r="M341" i="95"/>
  <c r="M342" i="95"/>
  <c r="M343" i="95"/>
  <c r="M344" i="95"/>
  <c r="M345" i="95"/>
  <c r="M346" i="95"/>
  <c r="M347" i="95"/>
  <c r="M348" i="95"/>
  <c r="M349" i="95"/>
  <c r="M350" i="95"/>
  <c r="M351" i="95"/>
  <c r="M352" i="95"/>
  <c r="M353" i="95"/>
  <c r="M356" i="95"/>
  <c r="M358" i="95"/>
  <c r="M362" i="95"/>
  <c r="M365" i="95"/>
  <c r="M367" i="95"/>
  <c r="M371" i="95"/>
  <c r="M372" i="95"/>
  <c r="M373" i="95"/>
  <c r="M374" i="95"/>
  <c r="M375" i="95"/>
  <c r="M376" i="95"/>
  <c r="M377" i="95"/>
  <c r="M378" i="95"/>
  <c r="M379" i="95"/>
  <c r="M380" i="95"/>
  <c r="M381" i="95"/>
  <c r="M382" i="95"/>
  <c r="M383" i="95"/>
  <c r="M384" i="95"/>
  <c r="M385" i="95"/>
  <c r="M388" i="95"/>
  <c r="M390" i="95"/>
  <c r="M394" i="95"/>
  <c r="M403" i="95"/>
  <c r="M404" i="95"/>
  <c r="M405" i="95"/>
  <c r="M406" i="95"/>
  <c r="M407" i="95"/>
  <c r="M408" i="95"/>
  <c r="M409" i="95"/>
  <c r="M410" i="95"/>
  <c r="M411" i="95"/>
  <c r="M412" i="95"/>
  <c r="M413" i="95"/>
  <c r="M414" i="95"/>
  <c r="M415" i="95"/>
  <c r="M416" i="95"/>
  <c r="M417" i="95"/>
  <c r="M420" i="95"/>
  <c r="M421" i="95"/>
  <c r="M422"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O35" i="74"/>
  <c r="O23" i="74"/>
  <c r="P23" i="74" s="1"/>
  <c r="O24" i="74"/>
  <c r="P24" i="74" s="1"/>
  <c r="O25" i="74"/>
  <c r="O26" i="74"/>
  <c r="O27" i="74"/>
  <c r="O28" i="74"/>
  <c r="O29" i="74"/>
  <c r="O30" i="74"/>
  <c r="O31" i="74"/>
  <c r="P31" i="74" s="1"/>
  <c r="O21" i="74"/>
  <c r="P21" i="74" s="1"/>
  <c r="O22" i="74"/>
  <c r="O15" i="74"/>
  <c r="O16" i="74"/>
  <c r="O17" i="74"/>
  <c r="O18" i="74"/>
  <c r="O19" i="74"/>
  <c r="O20" i="74"/>
  <c r="O6" i="74"/>
  <c r="O7" i="74"/>
  <c r="P7" i="74" s="1"/>
  <c r="O8" i="74"/>
  <c r="P8" i="74" s="1"/>
  <c r="O9" i="74"/>
  <c r="P9" i="74" s="1"/>
  <c r="O10" i="74"/>
  <c r="P10" i="74" s="1"/>
  <c r="O11" i="74"/>
  <c r="O12" i="74"/>
  <c r="P12" i="74" s="1"/>
  <c r="O13" i="74"/>
  <c r="P13" i="74" s="1"/>
  <c r="O14" i="74"/>
  <c r="P14" i="74" s="1"/>
  <c r="O2" i="74"/>
  <c r="P2" i="74" s="1"/>
  <c r="O3" i="74"/>
  <c r="P3" i="74" s="1"/>
  <c r="O4" i="74"/>
  <c r="O5" i="74"/>
  <c r="P32" i="74"/>
  <c r="P33" i="74"/>
  <c r="P34" i="74"/>
  <c r="P35" i="74"/>
  <c r="P25" i="74"/>
  <c r="P26" i="74"/>
  <c r="P27" i="74"/>
  <c r="P28" i="74"/>
  <c r="P29" i="74"/>
  <c r="P30" i="74"/>
  <c r="P22" i="74"/>
  <c r="P15" i="74"/>
  <c r="P16" i="74"/>
  <c r="P17" i="74"/>
  <c r="P18" i="74"/>
  <c r="P19" i="74"/>
  <c r="P20" i="74"/>
  <c r="P6" i="74"/>
  <c r="P11"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E3" i="4" l="1"/>
  <c r="D47" i="8"/>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s="1"/>
  <c r="S18" i="78"/>
  <c r="T18" i="78"/>
  <c r="S5" i="78"/>
  <c r="T5" i="78" s="1"/>
  <c r="S14" i="78"/>
  <c r="T14" i="78"/>
  <c r="S12" i="78"/>
  <c r="T12" i="78"/>
  <c r="S21" i="78"/>
  <c r="T21" i="78"/>
  <c r="S23" i="78"/>
  <c r="T23" i="78"/>
  <c r="S25" i="78"/>
  <c r="T25" i="78"/>
  <c r="S11" i="78"/>
  <c r="T11" i="78" s="1"/>
  <c r="S7" i="78"/>
  <c r="T7" i="78" s="1"/>
  <c r="S16" i="78"/>
  <c r="T16" i="78"/>
  <c r="S15" i="78"/>
  <c r="T15" i="78"/>
  <c r="S26" i="78"/>
  <c r="T26" i="78"/>
  <c r="S22" i="78"/>
  <c r="T22" i="78"/>
  <c r="S33" i="78"/>
  <c r="T33" i="78"/>
  <c r="S28" i="78"/>
  <c r="T28" i="78"/>
  <c r="S13" i="78"/>
  <c r="T13" i="78"/>
  <c r="S9" i="78"/>
  <c r="T9" i="78" s="1"/>
  <c r="S10" i="78"/>
  <c r="T10" i="78"/>
  <c r="S24" i="78"/>
  <c r="T24" i="78"/>
  <c r="S17" i="78"/>
  <c r="T17" i="78"/>
  <c r="S32" i="78"/>
  <c r="T32" i="78"/>
  <c r="T2" i="78"/>
  <c r="T3" i="78"/>
  <c r="S19" i="78"/>
  <c r="T19" i="78"/>
  <c r="S8" i="78"/>
  <c r="T8" i="78" s="1"/>
  <c r="S4" i="78"/>
  <c r="T4" i="78" s="1"/>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5" i="78" a="1"/>
  <c r="O5" i="78" a="1"/>
  <c r="O13" i="78" a="1"/>
  <c r="O6" i="78" a="1"/>
  <c r="O10" i="78" a="1"/>
  <c r="O9" i="78" a="1"/>
  <c r="O4" i="78" a="1"/>
  <c r="O11" i="78" a="1"/>
  <c r="O12" i="78" a="1"/>
  <c r="O7" i="78" a="1"/>
  <c r="O8" i="78" a="1"/>
  <c r="O3"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D2" i="71"/>
  <c r="D6" i="8"/>
  <c r="G19" i="4"/>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3" i="21" a="1"/>
  <c r="D12" i="21" a="1"/>
  <c r="D11"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<sst xmlns="http://schemas.openxmlformats.org/spreadsheetml/2006/main" count="1327" uniqueCount="760">
  <si>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</si>
  <si>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</si>
  <si>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</si>
  <si>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</si>
  <si>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</si>
  <si>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</si>
  <si>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</si>
  <si>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</si>
  <si>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</si>
  <si>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</si>
  <si>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</si>
  <si>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</si>
  <si>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</si>
  <si>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</si>
  <si>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</si>
  <si>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</si>
  <si>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</si>
  <si>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</si>
  <si>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</si>
  <si>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</si>
  <si>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</si>
  <si>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</si>
  <si>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</si>
  <si>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</si>
  <si>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</si>
  <si>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</si>
  <si>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</si>
  <si>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</si>
  <si>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</si>
  <si>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</si>
  <si>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</si>
  <si>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</si>
  <si>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</si>
  <si>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</si>
  <si>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</si>
  <si>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</si>
  <si>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</si>
  <si>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</si>
  <si>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</si>
  <si>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</si>
  <si>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</si>
  <si>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</si>
  <si>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</si>
  <si>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</si>
  <si>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</si>
  <si>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</si>
  <si>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</si>
  <si>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</si>
  <si>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</si>
  <si>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</si>
  <si>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</si>
  <si>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</si>
  <si>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</si>
  <si>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</si>
  <si>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</si>
  <si>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</si>
  <si>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</si>
  <si>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</si>
  <si>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</si>
  <si>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</si>
  <si>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</si>
  <si>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</si>
  <si>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</si>
  <si>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</si>
  <si>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</si>
  <si>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</si>
  <si>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</si>
  <si>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</si>
  <si>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</si>
  <si>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</si>
  <si>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</si>
  <si>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</si>
  <si>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</si>
  <si>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</si>
  <si>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</si>
  <si>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</si>
  <si>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</si>
  <si>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</si>
  <si>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</si>
  <si>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</si>
  <si>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</si>
  <si>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</si>
  <si>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</si>
  <si>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</si>
  <si>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</si>
  <si>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</si>
  <si>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</si>
  <si>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</si>
  <si>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</si>
  <si>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</si>
  <si>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</si>
  <si>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</si>
  <si>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</si>
  <si>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</si>
  <si>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</si>
  <si>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</si>
  <si>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</si>
  <si>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</si>
  <si>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</si>
  <si>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</si>
  <si>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</si>
  <si>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</si>
  <si>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</si>
  <si>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</si>
  <si>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</si>
  <si>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</si>
  <si>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</si>
  <si>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</si>
  <si>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</si>
  <si>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</si>
  <si>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</si>
  <si>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</si>
  <si>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</si>
  <si>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</si>
  <si>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</si>
  <si>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</si>
  <si>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</si>
  <si>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</si>
  <si>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</si>
  <si>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</si>
  <si>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</si>
  <si>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</si>
  <si>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</si>
  <si>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</si>
  <si>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</si>
  <si>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</si>
  <si>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</si>
  <si>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</si>
  <si>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</si>
  <si>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</si>
  <si>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</si>
  <si>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</si>
  <si>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</si>
  <si>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</si>
  <si>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</si>
  <si>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</si>
  <si>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</si>
  <si>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</si>
  <si>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</si>
  <si>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</si>
  <si>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</si>
  <si>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</si>
  <si>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</si>
  <si>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</si>
  <si>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</si>
  <si>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</si>
  <si>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</si>
  <si>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</si>
  <si>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</si>
  <si>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</si>
  <si>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</si>
  <si>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</si>
  <si>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</si>
  <si>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</si>
  <si>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</si>
  <si>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</si>
  <si>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</si>
  <si>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</si>
  <si>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</si>
  <si>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</si>
  <si>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</si>
  <si>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</si>
  <si>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</si>
  <si>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</si>
  <si>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</si>
  <si>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</si>
  <si>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</si>
  <si>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</si>
  <si>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</si>
  <si>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</si>
  <si>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</si>
  <si>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</si>
  <si>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</si>
  <si>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</si>
  <si>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</si>
  <si>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</si>
  <si>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</si>
  <si>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</si>
  <si>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</si>
  <si>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</si>
  <si>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</si>
  <si>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</si>
  <si>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</si>
  <si>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</si>
  <si>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</si>
  <si>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</si>
  <si>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</si>
  <si>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</si>
  <si>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</si>
  <si>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</si>
  <si>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</si>
  <si>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</si>
  <si>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</si>
  <si>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</si>
  <si>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</si>
  <si>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</si>
  <si>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</si>
  <si>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</si>
  <si>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</si>
  <si>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</si>
  <si>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</si>
  <si>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</si>
  <si>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</si>
  <si>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</si>
  <si>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</si>
  <si>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</si>
  <si>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</si>
  <si>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</si>
  <si>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</si>
  <si>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</si>
  <si>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</si>
  <si>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</si>
  <si>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</si>
  <si>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</si>
  <si>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</si>
  <si>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</si>
  <si>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</si>
  <si>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</si>
  <si>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</si>
  <si>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</si>
  <si>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</si>
  <si>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</si>
  <si>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</si>
  <si>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</si>
  <si>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</si>
  <si>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</si>
  <si>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</si>
  <si>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</si>
  <si>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</si>
  <si>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</si>
  <si>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</si>
  <si>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</si>
  <si>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</si>
  <si>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</si>
  <si>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</si>
  <si>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</si>
  <si>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</si>
  <si>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</si>
  <si>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</si>
  <si>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</si>
  <si>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</si>
  <si>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</si>
  <si>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</si>
  <si>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</si>
  <si>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</si>
  <si>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</si>
  <si>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</si>
  <si>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</si>
  <si>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</si>
  <si>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</si>
  <si>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</si>
  <si>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</si>
  <si>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</si>
  <si>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</si>
  <si>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</si>
  <si>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</si>
  <si>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</si>
  <si>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</si>
  <si>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</si>
  <si>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</si>
  <si>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</si>
  <si>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</si>
  <si>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</si>
  <si>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</si>
  <si>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</si>
  <si>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</si>
  <si>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</si>
  <si>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</si>
  <si>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</si>
  <si>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</si>
  <si>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</si>
  <si>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</si>
  <si>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</si>
  <si>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</si>
  <si>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</si>
  <si>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</si>
  <si>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</si>
  <si>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</si>
  <si>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</si>
  <si>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</si>
  <si>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</si>
  <si>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</si>
  <si>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</si>
  <si>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</si>
  <si>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</si>
  <si>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</si>
  <si>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</si>
  <si>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</si>
  <si>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</si>
  <si>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</si>
  <si>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</si>
  <si>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</si>
  <si>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</si>
  <si>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</si>
  <si>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</si>
  <si>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</si>
  <si>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</si>
  <si>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</si>
  <si>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</si>
  <si>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</si>
  <si>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</si>
  <si>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</si>
  <si>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</si>
  <si>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</si>
  <si>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</si>
  <si>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</si>
  <si>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</si>
  <si>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</si>
  <si>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</si>
  <si>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</si>
  <si>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</si>
  <si>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</si>
  <si>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</si>
  <si>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</si>
  <si>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</si>
  <si>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</si>
  <si>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</si>
  <si>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</si>
  <si>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</si>
  <si>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</si>
  <si>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</si>
  <si>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</si>
  <si>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</si>
  <si>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</si>
  <si>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</si>
  <si>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</si>
  <si>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</si>
  <si>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</si>
  <si>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</si>
  <si>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</si>
  <si>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</si>
  <si>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</si>
  <si>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</si>
  <si>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</si>
  <si>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</si>
  <si>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</si>
  <si>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</si>
  <si>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</si>
  <si>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</si>
  <si>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</si>
  <si>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</si>
  <si>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</si>
  <si>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</si>
  <si>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</si>
  <si>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</si>
  <si>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</si>
  <si>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</si>
  <si>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</si>
  <si>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</si>
  <si>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</si>
  <si>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</si>
  <si>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</si>
  <si>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</si>
  <si>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</si>
  <si>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</si>
  <si>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</si>
  <si>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</si>
  <si>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</si>
  <si>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</si>
  <si>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</si>
  <si>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</si>
  <si>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</si>
  <si>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</si>
  <si>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</si>
  <si>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</si>
  <si>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</si>
  <si>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</si>
  <si>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</si>
  <si>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</si>
  <si>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</si>
  <si>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</si>
  <si>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</si>
  <si>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</si>
  <si>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</si>
  <si>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</si>
  <si>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</si>
  <si>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</si>
  <si>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</si>
  <si>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</si>
  <si>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</si>
  <si>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</si>
  <si>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</si>
  <si>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</si>
  <si>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</si>
  <si>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</si>
  <si>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</si>
  <si>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</si>
  <si>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</si>
  <si>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</si>
  <si>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</si>
  <si>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</si>
  <si>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</si>
  <si>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</si>
  <si>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</si>
  <si>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</si>
  <si>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</si>
  <si>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</si>
  <si>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</si>
  <si>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</si>
  <si>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</si>
  <si>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</si>
  <si>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</si>
  <si>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</si>
  <si>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</si>
  <si>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</si>
  <si>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</si>
  <si>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</si>
  <si>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</si>
  <si>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</si>
  <si>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</si>
  <si>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</si>
  <si>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</si>
  <si>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</si>
  <si>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</si>
  <si>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</si>
  <si>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</si>
  <si>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</si>
  <si>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</si>
  <si>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</si>
  <si>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</si>
  <si>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</si>
  <si>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</si>
  <si>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</si>
  <si>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</si>
  <si>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</si>
  <si>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</si>
  <si>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</si>
  <si>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</si>
  <si>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</si>
  <si>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</si>
  <si>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</si>
  <si>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</si>
  <si>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</si>
  <si>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</si>
  <si>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</si>
  <si>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</si>
  <si>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</si>
  <si>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</si>
  <si>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</si>
  <si>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</si>
  <si>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</si>
  <si>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</si>
  <si>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</si>
  <si>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</si>
  <si>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</si>
  <si>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</si>
  <si>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</si>
  <si>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</si>
  <si>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</si>
  <si>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</si>
  <si>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</si>
  <si>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</si>
  <si>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</si>
  <si>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</si>
  <si>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</si>
  <si>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</si>
  <si>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</si>
  <si>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</si>
  <si>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</si>
  <si>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</si>
  <si>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</si>
  <si>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</si>
  <si>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</si>
  <si>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</si>
  <si>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</si>
  <si>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</si>
  <si>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</si>
  <si>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</si>
  <si>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</si>
  <si>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</si>
  <si>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</si>
  <si>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</si>
  <si>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</si>
  <si>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</si>
  <si>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</si>
  <si>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</si>
  <si>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</si>
  <si>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</si>
  <si>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</si>
  <si>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</si>
  <si>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</si>
  <si>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</si>
  <si>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</si>
  <si>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</si>
  <si>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</si>
  <si>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</si>
  <si>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</si>
  <si>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</si>
  <si>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</si>
  <si>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</si>
  <si>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</si>
  <si>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</si>
  <si>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</si>
  <si>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</si>
  <si>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</si>
  <si>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</si>
  <si>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</si>
  <si>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</si>
  <si>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</si>
  <si>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</si>
  <si>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</si>
  <si>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</si>
  <si>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</si>
  <si>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</si>
  <si>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</si>
  <si>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</si>
  <si>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</si>
  <si>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</si>
  <si>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</si>
  <si>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</si>
  <si>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</si>
  <si>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</si>
  <si>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</si>
  <si>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</si>
  <si>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</si>
  <si>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</si>
  <si>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</si>
  <si>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</si>
  <si>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</si>
  <si>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</si>
  <si>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</si>
  <si>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</si>
  <si>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</si>
  <si>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</si>
  <si>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</si>
  <si>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</si>
  <si>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</si>
  <si>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</si>
  <si>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</si>
  <si>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</si>
  <si>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</si>
  <si>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</si>
  <si>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</si>
  <si>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</si>
  <si>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</si>
  <si>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</si>
  <si>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</si>
  <si>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</si>
  <si>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</si>
  <si>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</si>
  <si>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</si>
  <si>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</si>
  <si>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</si>
  <si>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</si>
  <si>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</si>
  <si>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</si>
  <si>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</si>
  <si>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</si>
  <si>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</si>
  <si>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</si>
  <si>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</si>
  <si>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</si>
  <si>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</si>
  <si>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</si>
  <si>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</si>
  <si>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</si>
  <si>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</si>
  <si>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</si>
  <si>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</si>
  <si>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</si>
  <si>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</si>
  <si>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</si>
  <si>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</si>
  <si>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</si>
  <si>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</si>
  <si>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</si>
  <si>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</si>
  <si>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</si>
  <si>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</si>
  <si>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</si>
  <si>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</si>
  <si>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</si>
  <si>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</si>
  <si>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</si>
  <si>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</si>
  <si>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</si>
  <si>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</si>
  <si>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</si>
  <si>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</si>
  <si>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</si>
  <si>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</si>
  <si>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</si>
  <si>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</si>
  <si>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</si>
  <si>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</si>
  <si>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</si>
  <si>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</si>
  <si>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</si>
  <si>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</si>
  <si>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</si>
  <si>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</si>
  <si>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</si>
  <si>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</si>
  <si>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</si>
  <si>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</si>
  <si>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</si>
  <si>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</si>
  <si>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</si>
  <si>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</si>
  <si>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</si>
  <si>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</si>
  <si>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</si>
  <si>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</si>
  <si>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</si>
  <si>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</si>
  <si>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</si>
  <si>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</si>
  <si>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</si>
  <si>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</si>
  <si>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</si>
  <si>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</si>
  <si>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</si>
  <si>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</si>
  <si>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</si>
  <si>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</si>
  <si>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</si>
  <si>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</si>
  <si>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</si>
  <si>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</si>
  <si>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</si>
  <si>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</si>
  <si>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</si>
  <si>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</si>
  <si>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</si>
  <si>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</si>
  <si>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</si>
  <si>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</si>
  <si>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</si>
  <si>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</si>
  <si>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</si>
  <si>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</si>
  <si>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</si>
  <si>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</si>
  <si>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</si>
  <si>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</si>
  <si>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</si>
  <si>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</si>
  <si>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</si>
  <si>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</si>
  <si>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</si>
  <si>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</si>
  <si>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</si>
  <si>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</si>
  <si>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</si>
  <si>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</si>
  <si>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</si>
  <si>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</si>
  <si>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</si>
  <si>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</si>
  <si>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</si>
  <si>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</si>
  <si>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</si>
  <si>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</si>
  <si>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</si>
  <si>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</si>
  <si>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</si>
  <si>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</si>
  <si>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</si>
  <si>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</si>
  <si>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</si>
  <si>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</si>
  <si>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</si>
  <si>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</si>
  <si>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</si>
  <si>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</si>
  <si>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</si>
  <si>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</si>
  <si>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</si>
  <si>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</si>
  <si>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</si>
  <si>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</si>
  <si>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</si>
  <si>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</si>
  <si>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</si>
  <si>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</si>
  <si>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</si>
  <si>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</si>
  <si>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</si>
  <si>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</si>
  <si>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</si>
  <si>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</si>
  <si>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</si>
  <si>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</si>
  <si>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</si>
  <si>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</si>
  <si>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</si>
  <si>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</si>
  <si>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</si>
  <si>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</si>
  <si>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</si>
  <si>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</si>
  <si>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</si>
  <si>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</si>
  <si>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</si>
  <si>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</si>
  <si>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</si>
  <si>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</si>
  <si>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</si>
  <si>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</si>
  <si>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</si>
  <si>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</si>
  <si>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</si>
  <si>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</si>
  <si>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</si>
  <si>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</si>
  <si>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</si>
  <si>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</si>
  <si>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</si>
  <si>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</si>
  <si>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</si>
  <si>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</si>
  <si>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</si>
  <si>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</si>
  <si>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</si>
  <si>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</si>
  <si>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</si>
  <si>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</si>
  <si>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</si>
  <si>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</si>
  <si>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</si>
  <si>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</si>
  <si>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</si>
  <si>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</si>
  <si>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</si>
  <si>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</si>
  <si>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</si>
  <si>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</si>
  <si>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</si>
  <si>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</si>
  <si>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</si>
  <si>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</si>
  <si>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</si>
  <si>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</si>
  <si>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</si>
  <si>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</si>
  <si>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</si>
  <si>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</si>
  <si>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</si>
  <si>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</si>
  <si>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</si>
  <si>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</si>
  <si>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</si>
  <si>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</si>
  <si>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</si>
  <si>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</si>
  <si>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</si>
  <si>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</si>
  <si>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</si>
  <si>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</si>
  <si>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</si>
  <si>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</si>
  <si>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</si>
  <si>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</si>
  <si>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</si>
  <si>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</si>
  <si>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</si>
  <si>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</si>
  <si>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</si>
  <si>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Ver. 03.27.26</t>
  </si>
  <si>
    <t>Qualer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</si>
</sst>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5">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182"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3" dataDxfId="202">
  <autoFilter ref="A4:K28" xr:uid="{2F912760-816C-4002-B982-1183C623C4D4}"/>
  <tableColumns count="11">
    <tableColumn id="1" xr3:uid="{4CB1C976-73DA-4579-B7F8-9D891581EA5A}" uniqueName="1" name="asset_id" queryTableFieldId="1" dataDxfId="201"/>
    <tableColumn id="2" xr3:uid="{D07D770F-21F7-425E-8CCA-AA85FFD513A3}" uniqueName="2" name="serial_number" queryTableFieldId="2" dataDxfId="200"/>
    <tableColumn id="3" xr3:uid="{D963BD5C-EE98-4CDD-ABAE-5315BBDA1135}" uniqueName="3" name="asset_tag" queryTableFieldId="3" dataDxfId="199"/>
    <tableColumn id="4" xr3:uid="{44F03B5B-6C09-4D5C-B2E2-D809B4EDF2B0}" uniqueName="4" name="custom_order_number" queryTableFieldId="4" dataDxfId="198"/>
    <tableColumn id="5" xr3:uid="{412A70E1-7452-417E-A3A9-BD3499EBD33C}" uniqueName="5" name="service_date" queryTableFieldId="5" dataDxfId="67"/>
    <tableColumn id="7" xr3:uid="{297A4F29-F6E9-4BD3-A7A2-5F1039480BAE}" uniqueName="7" name="certificate_number" queryTableFieldId="7" dataDxfId="197"/>
    <tableColumn id="6" xr3:uid="{7231074C-78F5-4F41-8E96-7068B6555E6F}" uniqueName="6" name="traceability_number" queryTableFieldId="61" dataDxfId="196"/>
    <tableColumn id="8" xr3:uid="{7C740CB9-37DA-435E-A87E-AF050E31623C}" uniqueName="8" name="wire_roll_cert_number" queryTableFieldId="8" dataDxfId="195"/>
    <tableColumn id="10" xr3:uid="{D46DFD3D-4FFF-4C46-B438-38B7E2ADB9AB}" uniqueName="10" name="Daqbook Compatibility" queryTableFieldId="81" dataDxfId="194">
      <calculatedColumnFormula>_xlfn.XLOOKUP(WireSets[[#This Row],[type]],Table6[TC Type],Table6[Daqbook Type],NA())</calculatedColumnFormula>
    </tableColumn>
    <tableColumn id="9" xr3:uid="{5B17E9FC-0D68-4EA9-9145-B5DC8FAF5A93}" uniqueName="9" name="type" queryTableFieldId="9" dataDxfId="193"/>
    <tableColumn id="11" xr3:uid="{2D3288D5-A49B-43E9-9125-CE335E115BBC}" uniqueName="11" name="daqbook_ok" queryTableFieldId="82" dataDxfId="192">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6" dataCellStyle="Normal"/>
    <tableColumn id="2" xr3:uid="{18C84E6F-0395-44B7-82E8-3E3C3338D295}" name="TUS Tol" totalsRowDxfId="205" dataCellStyle="Normal"/>
    <tableColumn id="5" xr3:uid="{DB50C328-B2A6-44C5-853C-318053CB9F8D}" name="SAT Tol" totalsRowDxfId="204"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8" tableType="queryTable" totalsRowShown="0" headerRowDxfId="82" dataDxfId="81">
  <autoFilter ref="A1:O1708"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65"/>
    <tableColumn id="4" xr3:uid="{04C8F569-A520-43B3-A7E7-E09CFF80F449}" uniqueName="4" name="service_date" queryTableFieldId="4" dataDxfId="64"/>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732</v>
      </c>
      <c r="P1" t="s">
        <v>733</v>
      </c>
      <c r="Q1" t="s">
        <v>732</v>
      </c>
    </row>
    <row r="2" spans="1:17" x14ac:dyDescent="0.2">
      <c r="J2" s="51"/>
      <c r="K2" t="e">
        <f>IF(DaqbookAssetTag&lt;&gt;"",LEFT(DaqbookAssetTag,1),NA())</f>
        <v>#N/A</v>
      </c>
      <c r="P2" t="s">
        <v>327</v>
      </c>
      <c r="Q2" t="s">
        <v>325</v>
      </c>
    </row>
    <row r="3" spans="1:17" x14ac:dyDescent="0.2">
      <c r="P3" t="s">
        <v>325</v>
      </c>
      <c r="Q3" t="s">
        <v>325</v>
      </c>
    </row>
    <row r="4" spans="1:17" x14ac:dyDescent="0.2">
      <c r="A4"/>
      <c r="B4"/>
      <c r="C4"/>
      <c r="D4"/>
      <c r="E4"/>
      <c r="F4"/>
      <c r="G4"/>
      <c r="H4"/>
      <c r="I4" s="36" t="s">
        <v>737</v>
      </c>
      <c r="J4"/>
      <c r="K4" s="36" t="s">
        <v>734</v>
      </c>
      <c r="P4" t="s">
        <v>326</v>
      </c>
      <c r="Q4" t="s">
        <v>326</v>
      </c>
    </row>
    <row r="5" spans="1:17" x14ac:dyDescent="0.2">
      <c r="A5"/>
      <c r="B5"/>
      <c r="C5"/>
      <c r="D5"/>
      <c r="E5" s="468"/>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324</v>
      </c>
      <c r="Q5" t="s">
        <v>324</v>
      </c>
    </row>
    <row r="6" spans="1:17" x14ac:dyDescent="0.2">
      <c r="A6"/>
      <c r="B6"/>
      <c r="C6"/>
      <c r="D6"/>
      <c r="E6" s="468"/>
      <c r="F6"/>
      <c r="G6"/>
      <c r="H6"/>
      <c r="I6" t="str">
        <f>_xlfn.XLOOKUP(WireSets[[#This Row],[type]],Table6[TC Type],Table6[Daqbook Type],NA())</f>
        <v>J</v>
      </c>
      <c r="J6"/>
      <c r="K6" t="b">
        <f>IF(ISNA($K$2), TRUE, $K$2=WireSets[[#This Row],[Daqbook Compatibility]])</f>
        <v>1</v>
      </c>
      <c r="N6" t="str">
        <v>J01-J24</v>
      </c>
      <c r="O6" t="str">
        <v>J</v>
      </c>
      <c r="P6" t="s">
        <v>731</v>
      </c>
      <c r="Q6" s="36" t="s">
        <v>324</v>
      </c>
    </row>
    <row r="7" spans="1:17" x14ac:dyDescent="0.2">
      <c r="A7"/>
      <c r="B7"/>
      <c r="C7"/>
      <c r="D7"/>
      <c r="E7" s="468"/>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8"/>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8"/>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8"/>
      <c r="F10"/>
      <c r="I10" t="str">
        <f>_xlfn.XLOOKUP(WireSets[[#This Row],[type]],Table6[TC Type],Table6[Daqbook Type],NA())</f>
        <v>J</v>
      </c>
      <c r="J10"/>
      <c r="K10" t="b">
        <f>IF(ISNA($K$2), TRUE, $K$2=WireSets[[#This Row],[Daqbook Compatibility]])</f>
        <v>1</v>
      </c>
      <c r="N10" t="str">
        <v>J301-J314</v>
      </c>
    </row>
    <row r="11" spans="1:17" x14ac:dyDescent="0.2">
      <c r="A11"/>
      <c r="B11"/>
      <c r="C11"/>
      <c r="D11"/>
      <c r="E11" s="468"/>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8"/>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8"/>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8"/>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8"/>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8"/>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8"/>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68"/>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68"/>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8"/>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8"/>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8"/>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8"/>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8"/>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8"/>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8"/>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8"/>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8"/>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D2" sqref="D2"/>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376</v>
      </c>
      <c r="E1" s="34" t="s">
        <v>377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433</v>
      </c>
      <c r="K1"/>
      <c r="L1"/>
      <c r="M1"/>
      <c r="N1"/>
      <c r="O1" s="36" t="s">
        <v>735</v>
      </c>
      <c r="P1" s="36" t="s">
        <v>736</v>
      </c>
      <c r="R1" s="467" t="s">
        <v>732</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386</v>
      </c>
      <c r="F1" s="36" t="s">
        <v>201</v>
      </c>
      <c r="G1" s="36" t="s">
        <v>202</v>
      </c>
      <c r="H1" s="36" t="s">
        <v>389</v>
      </c>
      <c r="J1" s="547" t="s">
        <v>384</v>
      </c>
      <c r="K1" s="548"/>
      <c r="M1" s="396" t="s">
        <v>379</v>
      </c>
      <c r="N1" s="397" t="s">
        <v>383</v>
      </c>
      <c r="O1" s="397" t="s">
        <v>375</v>
      </c>
      <c r="P1" s="397" t="s">
        <v>14</v>
      </c>
      <c r="Q1" s="448" t="s">
        <v>437</v>
      </c>
      <c r="R1" s="448" t="s">
        <v>201</v>
      </c>
      <c r="S1" s="448" t="s">
        <v>202</v>
      </c>
      <c r="T1" s="448" t="s">
        <v>438</v>
      </c>
    </row>
    <row r="2" spans="1:20" x14ac:dyDescent="0.2">
      <c r="A2" s="385"/>
      <c r="J2" s="399" t="s">
        <v>380</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387</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391</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392</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390</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381</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382</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388</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321</v>
      </c>
      <c r="I1" s="456" t="s">
        <v>440</v>
      </c>
      <c r="J1" s="456" t="s">
        <v>375</v>
      </c>
      <c r="K1" s="456" t="s">
        <v>439</v>
      </c>
      <c r="M1" s="456" t="s">
        <v>440</v>
      </c>
      <c r="N1" s="456" t="s">
        <v>723</v>
      </c>
      <c r="O1" s="456" t="s">
        <v>724</v>
      </c>
      <c r="P1" s="456" t="s">
        <v>85</v>
      </c>
      <c r="Q1" s="456" t="s">
        <v>460</v>
      </c>
      <c r="R1" s="456" t="s">
        <v>720</v>
      </c>
      <c r="S1" s="456" t="s">
        <v>721</v>
      </c>
      <c r="T1" s="456" t="s">
        <v>722</v>
      </c>
      <c r="W1" s="36" t="s">
        <v>725</v>
      </c>
      <c r="X1" s="36" t="s">
        <v>730</v>
      </c>
      <c r="Z1" s="462" t="s">
        <v>725</v>
      </c>
      <c r="AA1" s="463" t="s">
        <v>729</v>
      </c>
      <c r="AB1" s="471"/>
      <c r="AC1" s="471"/>
      <c r="AD1" s="471"/>
      <c r="AE1" s="471"/>
      <c r="AF1" s="1"/>
      <c r="AG1" s="464" t="s">
        <v>728</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441</v>
      </c>
      <c r="X2" t="s">
        <v>164</v>
      </c>
      <c r="Z2" s="461" t="str" cm="1">
        <f t="array" ref="Z2:AA314">_xlfn._xlws.SORT(_xlfn.VSTACK(WireSNs[],_xlfn.UNIQUE(SBPOffsets[[probe_serial_number]:[SBP_Set]])))</f>
        <v>06A</v>
      </c>
      <c r="AA2" s="194" t="str">
        <v>SBP Set 1</v>
      </c>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442</v>
      </c>
      <c r="X3" t="s">
        <v>164</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443</v>
      </c>
      <c r="X4" t="s">
        <v>164</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444</v>
      </c>
      <c r="X5" t="s">
        <v>164</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445</v>
      </c>
      <c r="X6" t="s">
        <v>164</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446</v>
      </c>
      <c r="X7" t="s">
        <v>164</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447</v>
      </c>
      <c r="X8" t="s">
        <v>164</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448</v>
      </c>
      <c r="X9" t="s">
        <v>164</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449</v>
      </c>
      <c r="X10" t="s">
        <v>164</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450</v>
      </c>
      <c r="X11" t="s">
        <v>164</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453</v>
      </c>
      <c r="X12" t="s">
        <v>165</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454</v>
      </c>
      <c r="X13" t="s">
        <v>165</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455</v>
      </c>
      <c r="X14" t="s">
        <v>165</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456</v>
      </c>
      <c r="X15" t="s">
        <v>165</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457</v>
      </c>
      <c r="X16" t="s">
        <v>165</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458</v>
      </c>
      <c r="X17" t="s">
        <v>165</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459</v>
      </c>
      <c r="X18" t="s">
        <v>165</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473</v>
      </c>
      <c r="X19" t="s">
        <v>165</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474</v>
      </c>
      <c r="X20" t="s">
        <v>165</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451</v>
      </c>
      <c r="X21" t="s">
        <v>164</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475</v>
      </c>
      <c r="X22" t="s">
        <v>165</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476</v>
      </c>
      <c r="X23" t="s">
        <v>166</v>
      </c>
      <c r="Z23" s="461" t="str">
        <v>ENV101</v>
      </c>
      <c r="AA23" s="194" t="str">
        <v>ENV101</v>
      </c>
      <c r="AG23" s="69" t="str">
        <v>ENV101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477</v>
      </c>
      <c r="X24" t="s">
        <v>166</v>
      </c>
      <c r="Z24" s="461" t="str">
        <v>ENV102</v>
      </c>
      <c r="AA24" s="194" t="str">
        <v>ENV101</v>
      </c>
      <c r="AG24" s="69" t="str">
        <v>ENV102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478</v>
      </c>
      <c r="X25" t="s">
        <v>166</v>
      </c>
      <c r="Z25" s="461" t="str">
        <v>ENV103</v>
      </c>
      <c r="AA25" s="194" t="str">
        <v>ENV101</v>
      </c>
      <c r="AG25" s="69" t="str">
        <v>ENV103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479</v>
      </c>
      <c r="X26" t="s">
        <v>166</v>
      </c>
      <c r="Z26" s="461" t="str">
        <v>ENV104</v>
      </c>
      <c r="AA26" s="194" t="str">
        <v>ENV101</v>
      </c>
      <c r="AG26" s="69" t="str">
        <v>ENV104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480</v>
      </c>
      <c r="X27" t="s">
        <v>166</v>
      </c>
      <c r="Z27" s="461" t="str">
        <v>ENV105</v>
      </c>
      <c r="AA27" s="194" t="str">
        <v>ENV101</v>
      </c>
      <c r="AG27" s="69" t="str">
        <v>ENV105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481</v>
      </c>
      <c r="X28" t="s">
        <v>166</v>
      </c>
      <c r="Z28" s="461" t="str">
        <v>ENV106</v>
      </c>
      <c r="AA28" s="194" t="str">
        <v>ENV101</v>
      </c>
      <c r="AG28" s="69" t="str">
        <v>ENV106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482</v>
      </c>
      <c r="X29" t="s">
        <v>166</v>
      </c>
      <c r="Z29" s="461" t="str">
        <v>ENV107</v>
      </c>
      <c r="AA29" s="194" t="str">
        <v>ENV101</v>
      </c>
      <c r="AG29" s="69" t="str">
        <v>ENV107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483</v>
      </c>
      <c r="X30" t="s">
        <v>166</v>
      </c>
      <c r="Z30" s="461" t="str">
        <v>ENV108</v>
      </c>
      <c r="AA30" s="194" t="str">
        <v>ENV101</v>
      </c>
      <c r="AG30" s="69" t="str">
        <v>ENV108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484</v>
      </c>
      <c r="X31" t="s">
        <v>166</v>
      </c>
      <c r="Z31" s="461" t="str">
        <v>ENV109</v>
      </c>
      <c r="AA31" s="194" t="str">
        <v>ENV101</v>
      </c>
      <c r="AG31" s="69" t="str">
        <v>ENV109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452</v>
      </c>
      <c r="X32" t="s">
        <v>164</v>
      </c>
      <c r="Z32" s="461" t="str">
        <v>ENV110</v>
      </c>
      <c r="AA32" s="194" t="str">
        <v>ENV101</v>
      </c>
      <c r="AG32" s="69" t="str">
        <v>ENV110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485</v>
      </c>
      <c r="X33" t="s">
        <v>166</v>
      </c>
      <c r="Z33" s="461" t="str">
        <v>ENV111</v>
      </c>
      <c r="AA33" s="194" t="str">
        <v>ENV101</v>
      </c>
      <c r="AG33" s="69" t="str">
        <v>ENV111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461</v>
      </c>
      <c r="X34" t="s">
        <v>164</v>
      </c>
      <c r="Z34" s="461" t="str">
        <v>ENV112</v>
      </c>
      <c r="AA34" s="194" t="str">
        <v>ENV101</v>
      </c>
      <c r="AG34" s="69" t="str">
        <v>ENV112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462</v>
      </c>
      <c r="X35" t="s">
        <v>164</v>
      </c>
      <c r="Z35" s="461" t="str">
        <v>ENV113</v>
      </c>
      <c r="AA35" s="194" t="str">
        <v>ENV101</v>
      </c>
      <c r="AG35" s="69" t="str">
        <v>ENV113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463</v>
      </c>
      <c r="X36" t="s">
        <v>164</v>
      </c>
      <c r="Z36" s="461" t="str">
        <v>ENV114</v>
      </c>
      <c r="AA36" s="194" t="str">
        <v>ENV101</v>
      </c>
      <c r="AG36" s="69" t="str">
        <v>ENV114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464</v>
      </c>
      <c r="X37" t="s">
        <v>164</v>
      </c>
      <c r="Z37" s="461" t="str">
        <v>J01</v>
      </c>
      <c r="AA37" s="194" t="str">
        <v>J01-J24</v>
      </c>
      <c r="AG37" s="69" t="str">
        <v>J01</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465</v>
      </c>
      <c r="X38" t="s">
        <v>164</v>
      </c>
      <c r="Z38" s="461" t="str">
        <v>J02</v>
      </c>
      <c r="AA38" s="194" t="str">
        <v>J01-J24</v>
      </c>
      <c r="AG38" s="69" t="str">
        <v>J02</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466</v>
      </c>
      <c r="X39" t="s">
        <v>164</v>
      </c>
      <c r="Z39" s="461" t="str">
        <v>J03</v>
      </c>
      <c r="AA39" s="194" t="str">
        <v>J01-J24</v>
      </c>
      <c r="AG39" s="69" t="str">
        <v>J03</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467</v>
      </c>
      <c r="X40" t="s">
        <v>164</v>
      </c>
      <c r="Z40" s="461" t="str">
        <v>J04</v>
      </c>
      <c r="AA40" s="194" t="str">
        <v>J01-J24</v>
      </c>
      <c r="AG40" s="69" t="str">
        <v>J04</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468</v>
      </c>
      <c r="X41" t="s">
        <v>164</v>
      </c>
      <c r="Z41" s="461" t="str">
        <v>J05</v>
      </c>
      <c r="AA41" s="194" t="str">
        <v>J01-J24</v>
      </c>
      <c r="AG41" s="69" t="str">
        <v>J05</v>
      </c>
    </row>
    <row r="42" spans="1:33" x14ac:dyDescent="0.2">
      <c r="A42"/>
      <c r="B42"/>
      <c r="C42"/>
      <c r="D42"/>
      <c r="E42"/>
      <c r="F42" t="str">
        <f>LEFT(AllDaqbookOffsets[[#This Row],[traceability_no]],2)</f>
        <v>J1</v>
      </c>
      <c r="W42" t="s">
        <v>486</v>
      </c>
      <c r="X42" t="s">
        <v>167</v>
      </c>
      <c r="Z42" s="461" t="str">
        <v>J06</v>
      </c>
      <c r="AA42" s="194" t="str">
        <v>J01-J24</v>
      </c>
      <c r="AG42" s="69" t="str">
        <v>J06</v>
      </c>
    </row>
    <row r="43" spans="1:33" x14ac:dyDescent="0.2">
      <c r="A43"/>
      <c r="B43"/>
      <c r="C43"/>
      <c r="D43"/>
      <c r="E43"/>
      <c r="F43" t="str">
        <f>LEFT(AllDaqbookOffsets[[#This Row],[traceability_no]],2)</f>
        <v>J1</v>
      </c>
      <c r="W43" t="s">
        <v>487</v>
      </c>
      <c r="X43" t="s">
        <v>167</v>
      </c>
      <c r="Z43" s="461" t="str">
        <v>J07</v>
      </c>
      <c r="AA43" s="194" t="str">
        <v>J01-J24</v>
      </c>
      <c r="AG43" s="69" t="str">
        <v>J07</v>
      </c>
    </row>
    <row r="44" spans="1:33" x14ac:dyDescent="0.2">
      <c r="A44"/>
      <c r="B44"/>
      <c r="C44"/>
      <c r="D44"/>
      <c r="E44"/>
      <c r="F44" t="str">
        <f>LEFT(AllDaqbookOffsets[[#This Row],[traceability_no]],2)</f>
        <v>J1</v>
      </c>
      <c r="W44" t="s">
        <v>488</v>
      </c>
      <c r="X44" t="s">
        <v>167</v>
      </c>
      <c r="Z44" s="461" t="str">
        <v>J08</v>
      </c>
      <c r="AA44" s="194" t="str">
        <v>J01-J24</v>
      </c>
      <c r="AG44" s="69" t="str">
        <v>J08</v>
      </c>
    </row>
    <row r="45" spans="1:33" x14ac:dyDescent="0.2">
      <c r="A45"/>
      <c r="B45"/>
      <c r="C45"/>
      <c r="D45"/>
      <c r="E45"/>
      <c r="F45" t="str">
        <f>LEFT(AllDaqbookOffsets[[#This Row],[traceability_no]],2)</f>
        <v>J1</v>
      </c>
      <c r="W45" t="s">
        <v>489</v>
      </c>
      <c r="X45" t="s">
        <v>167</v>
      </c>
      <c r="Z45" s="461" t="str">
        <v>J09</v>
      </c>
      <c r="AA45" s="194" t="str">
        <v>J01-J24</v>
      </c>
      <c r="AG45" s="69" t="str">
        <v>J09</v>
      </c>
    </row>
    <row r="46" spans="1:33" x14ac:dyDescent="0.2">
      <c r="A46"/>
      <c r="B46"/>
      <c r="C46"/>
      <c r="D46"/>
      <c r="E46"/>
      <c r="F46" t="str">
        <f>LEFT(AllDaqbookOffsets[[#This Row],[traceability_no]],2)</f>
        <v>J1</v>
      </c>
      <c r="W46" t="s">
        <v>490</v>
      </c>
      <c r="X46" t="s">
        <v>167</v>
      </c>
      <c r="Z46" s="461" t="str">
        <v>J10</v>
      </c>
      <c r="AA46" s="194" t="str">
        <v>J01-J24</v>
      </c>
      <c r="AG46" s="69" t="str">
        <v>J10</v>
      </c>
    </row>
    <row r="47" spans="1:33" x14ac:dyDescent="0.2">
      <c r="A47"/>
      <c r="B47"/>
      <c r="C47"/>
      <c r="D47"/>
      <c r="E47"/>
      <c r="F47" t="str">
        <f>LEFT(AllDaqbookOffsets[[#This Row],[traceability_no]],2)</f>
        <v>J1</v>
      </c>
      <c r="W47" t="s">
        <v>491</v>
      </c>
      <c r="X47" t="s">
        <v>167</v>
      </c>
      <c r="Z47" s="461" t="str">
        <v>J101</v>
      </c>
      <c r="AA47" s="194" t="str">
        <v>J101-J110</v>
      </c>
      <c r="AG47" s="69" t="str">
        <v>J101</v>
      </c>
    </row>
    <row r="48" spans="1:33" x14ac:dyDescent="0.2">
      <c r="A48"/>
      <c r="B48"/>
      <c r="C48"/>
      <c r="D48"/>
      <c r="E48"/>
      <c r="F48" t="str">
        <f>LEFT(AllDaqbookOffsets[[#This Row],[traceability_no]],2)</f>
        <v>J1</v>
      </c>
      <c r="W48" t="s">
        <v>492</v>
      </c>
      <c r="X48" t="s">
        <v>167</v>
      </c>
      <c r="Z48" s="461" t="str">
        <v>J102</v>
      </c>
      <c r="AA48" s="194" t="str">
        <v>J101-J110</v>
      </c>
      <c r="AG48" s="69" t="str">
        <v>J102</v>
      </c>
    </row>
    <row r="49" spans="1:33" x14ac:dyDescent="0.2">
      <c r="A49"/>
      <c r="B49"/>
      <c r="C49"/>
      <c r="D49"/>
      <c r="E49"/>
      <c r="F49" t="str">
        <f>LEFT(AllDaqbookOffsets[[#This Row],[traceability_no]],2)</f>
        <v>J1</v>
      </c>
      <c r="W49" t="s">
        <v>493</v>
      </c>
      <c r="X49" t="s">
        <v>167</v>
      </c>
      <c r="Z49" s="461" t="str">
        <v>J103</v>
      </c>
      <c r="AA49" s="194" t="str">
        <v>J101-J110</v>
      </c>
      <c r="AG49" s="69" t="str">
        <v>J103</v>
      </c>
    </row>
    <row r="50" spans="1:33" x14ac:dyDescent="0.2">
      <c r="A50"/>
      <c r="B50"/>
      <c r="C50"/>
      <c r="D50"/>
      <c r="E50"/>
      <c r="F50" t="str">
        <f>LEFT(AllDaqbookOffsets[[#This Row],[traceability_no]],2)</f>
        <v>J1</v>
      </c>
      <c r="W50" t="s">
        <v>494</v>
      </c>
      <c r="X50" t="s">
        <v>167</v>
      </c>
      <c r="Z50" s="461" t="str">
        <v>J104</v>
      </c>
      <c r="AA50" s="194" t="str">
        <v>J101-J110</v>
      </c>
      <c r="AG50" s="69" t="str">
        <v>J104</v>
      </c>
    </row>
    <row r="51" spans="1:33" x14ac:dyDescent="0.2">
      <c r="A51"/>
      <c r="B51"/>
      <c r="C51"/>
      <c r="D51"/>
      <c r="E51"/>
      <c r="F51" t="str">
        <f>LEFT(AllDaqbookOffsets[[#This Row],[traceability_no]],2)</f>
        <v>J1</v>
      </c>
      <c r="W51" t="s">
        <v>469</v>
      </c>
      <c r="X51" t="s">
        <v>164</v>
      </c>
      <c r="Z51" s="461" t="str">
        <v>J105</v>
      </c>
      <c r="AA51" s="194" t="str">
        <v>J101-J110</v>
      </c>
      <c r="AG51" s="69" t="str">
        <v>J105</v>
      </c>
    </row>
    <row r="52" spans="1:33" x14ac:dyDescent="0.2">
      <c r="A52"/>
      <c r="B52"/>
      <c r="C52"/>
      <c r="D52"/>
      <c r="E52"/>
      <c r="F52" t="str">
        <f>LEFT(AllDaqbookOffsets[[#This Row],[traceability_no]],2)</f>
        <v>J1</v>
      </c>
      <c r="W52" t="s">
        <v>495</v>
      </c>
      <c r="X52" t="s">
        <v>167</v>
      </c>
      <c r="Z52" s="461" t="str">
        <v>J106</v>
      </c>
      <c r="AA52" s="194" t="str">
        <v>J101-J110</v>
      </c>
      <c r="AG52" s="69" t="str">
        <v>J106</v>
      </c>
    </row>
    <row r="53" spans="1:33" x14ac:dyDescent="0.2">
      <c r="A53"/>
      <c r="B53"/>
      <c r="C53"/>
      <c r="D53"/>
      <c r="E53"/>
      <c r="F53" t="str">
        <f>LEFT(AllDaqbookOffsets[[#This Row],[traceability_no]],2)</f>
        <v>J1</v>
      </c>
      <c r="W53" t="s">
        <v>496</v>
      </c>
      <c r="X53" t="s">
        <v>167</v>
      </c>
      <c r="Z53" s="461" t="str">
        <v>J107</v>
      </c>
      <c r="AA53" s="194" t="str">
        <v>J101-J110</v>
      </c>
      <c r="AG53" s="69" t="str">
        <v>J107</v>
      </c>
    </row>
    <row r="54" spans="1:33" x14ac:dyDescent="0.2">
      <c r="A54"/>
      <c r="B54"/>
      <c r="C54"/>
      <c r="D54"/>
      <c r="E54"/>
      <c r="F54" t="str">
        <f>LEFT(AllDaqbookOffsets[[#This Row],[traceability_no]],2)</f>
        <v>J1</v>
      </c>
      <c r="W54" t="s">
        <v>497</v>
      </c>
      <c r="X54" t="s">
        <v>167</v>
      </c>
      <c r="Z54" s="461" t="str">
        <v>J108</v>
      </c>
      <c r="AA54" s="194" t="str">
        <v>J101-J110</v>
      </c>
      <c r="AG54" s="69" t="str">
        <v>J108</v>
      </c>
    </row>
    <row r="55" spans="1:33" x14ac:dyDescent="0.2">
      <c r="A55"/>
      <c r="B55"/>
      <c r="C55"/>
      <c r="D55"/>
      <c r="E55"/>
      <c r="F55" t="str">
        <f>LEFT(AllDaqbookOffsets[[#This Row],[traceability_no]],2)</f>
        <v>J1</v>
      </c>
      <c r="W55" t="s">
        <v>498</v>
      </c>
      <c r="X55" t="s">
        <v>167</v>
      </c>
      <c r="Z55" s="461" t="str">
        <v>J109</v>
      </c>
      <c r="AA55" s="194" t="str">
        <v>J101-J110</v>
      </c>
      <c r="AG55" s="69" t="str">
        <v>J109</v>
      </c>
    </row>
    <row r="56" spans="1:33" x14ac:dyDescent="0.2">
      <c r="A56"/>
      <c r="B56"/>
      <c r="C56"/>
      <c r="D56"/>
      <c r="E56"/>
      <c r="F56" t="str">
        <f>LEFT(AllDaqbookOffsets[[#This Row],[traceability_no]],2)</f>
        <v>J1</v>
      </c>
      <c r="W56" t="s">
        <v>499</v>
      </c>
      <c r="X56" t="s">
        <v>167</v>
      </c>
      <c r="Z56" s="461" t="str">
        <v>J11</v>
      </c>
      <c r="AA56" s="194" t="str">
        <v>J01-J24</v>
      </c>
      <c r="AG56" s="69" t="str">
        <v>J11</v>
      </c>
    </row>
    <row r="57" spans="1:33" x14ac:dyDescent="0.2">
      <c r="A57"/>
      <c r="B57"/>
      <c r="C57"/>
      <c r="D57"/>
      <c r="E57"/>
      <c r="F57" t="str">
        <f>LEFT(AllDaqbookOffsets[[#This Row],[traceability_no]],2)</f>
        <v>J1</v>
      </c>
      <c r="W57" t="s">
        <v>470</v>
      </c>
      <c r="X57" t="s">
        <v>164</v>
      </c>
      <c r="Z57" s="461" t="str">
        <v>J110</v>
      </c>
      <c r="AA57" s="194" t="str">
        <v>J101-J110</v>
      </c>
      <c r="AG57" s="69" t="str">
        <v>J110</v>
      </c>
    </row>
    <row r="58" spans="1:33" x14ac:dyDescent="0.2">
      <c r="A58"/>
      <c r="B58"/>
      <c r="C58"/>
      <c r="D58"/>
      <c r="E58"/>
      <c r="F58" t="str">
        <f>LEFT(AllDaqbookOffsets[[#This Row],[traceability_no]],2)</f>
        <v>J1</v>
      </c>
      <c r="W58" t="s">
        <v>471</v>
      </c>
      <c r="X58" t="s">
        <v>164</v>
      </c>
      <c r="Z58" s="461" t="str">
        <v>J111</v>
      </c>
      <c r="AA58" s="194" t="str">
        <v>J111-J120</v>
      </c>
      <c r="AG58" s="69" t="str">
        <v>J111</v>
      </c>
    </row>
    <row r="59" spans="1:33" x14ac:dyDescent="0.2">
      <c r="A59"/>
      <c r="B59"/>
      <c r="C59"/>
      <c r="D59"/>
      <c r="E59"/>
      <c r="F59" t="str">
        <f>LEFT(AllDaqbookOffsets[[#This Row],[traceability_no]],2)</f>
        <v>J1</v>
      </c>
      <c r="W59" t="s">
        <v>472</v>
      </c>
      <c r="X59" t="s">
        <v>164</v>
      </c>
      <c r="Z59" s="461" t="str">
        <v>J112</v>
      </c>
      <c r="AA59" s="194" t="str">
        <v>J111-J120</v>
      </c>
      <c r="AG59" s="69" t="str">
        <v>J112</v>
      </c>
    </row>
    <row r="60" spans="1:33" x14ac:dyDescent="0.2">
      <c r="A60"/>
      <c r="B60"/>
      <c r="C60"/>
      <c r="D60"/>
      <c r="E60"/>
      <c r="F60" t="str">
        <f>LEFT(AllDaqbookOffsets[[#This Row],[traceability_no]],2)</f>
        <v>J1</v>
      </c>
      <c r="W60" t="s">
        <v>500</v>
      </c>
      <c r="X60" t="s">
        <v>168</v>
      </c>
      <c r="Z60" s="461" t="str">
        <v>J113</v>
      </c>
      <c r="AA60" s="194" t="str">
        <v>J111-J120</v>
      </c>
      <c r="AG60" s="69" t="str">
        <v>J113</v>
      </c>
    </row>
    <row r="61" spans="1:33" x14ac:dyDescent="0.2">
      <c r="A61"/>
      <c r="B61"/>
      <c r="C61"/>
      <c r="D61"/>
      <c r="E61"/>
      <c r="F61" t="str">
        <f>LEFT(AllDaqbookOffsets[[#This Row],[traceability_no]],2)</f>
        <v>J1</v>
      </c>
      <c r="W61" t="s">
        <v>501</v>
      </c>
      <c r="X61" t="s">
        <v>168</v>
      </c>
      <c r="Z61" s="461" t="str">
        <v>J114</v>
      </c>
      <c r="AA61" s="194" t="str">
        <v>J111-J120</v>
      </c>
      <c r="AG61" s="69" t="str">
        <v>J114</v>
      </c>
    </row>
    <row r="62" spans="1:33" x14ac:dyDescent="0.2">
      <c r="A62"/>
      <c r="B62"/>
      <c r="C62"/>
      <c r="D62"/>
      <c r="E62"/>
      <c r="F62" t="str">
        <f>LEFT(AllDaqbookOffsets[[#This Row],[traceability_no]],2)</f>
        <v>J1</v>
      </c>
      <c r="W62" t="s">
        <v>502</v>
      </c>
      <c r="X62" t="s">
        <v>168</v>
      </c>
      <c r="Z62" s="461" t="str">
        <v>J115</v>
      </c>
      <c r="AA62" s="194" t="str">
        <v>J111-J120</v>
      </c>
      <c r="AG62" s="69" t="str">
        <v>J115</v>
      </c>
    </row>
    <row r="63" spans="1:33" x14ac:dyDescent="0.2">
      <c r="A63"/>
      <c r="B63"/>
      <c r="C63"/>
      <c r="D63"/>
      <c r="E63"/>
      <c r="F63" t="str">
        <f>LEFT(AllDaqbookOffsets[[#This Row],[traceability_no]],2)</f>
        <v>J1</v>
      </c>
      <c r="W63" t="s">
        <v>503</v>
      </c>
      <c r="X63" t="s">
        <v>168</v>
      </c>
      <c r="Z63" s="461" t="str">
        <v>J116</v>
      </c>
      <c r="AA63" s="194" t="str">
        <v>J111-J120</v>
      </c>
      <c r="AG63" s="69" t="str">
        <v>J116</v>
      </c>
    </row>
    <row r="64" spans="1:33" x14ac:dyDescent="0.2">
      <c r="A64"/>
      <c r="B64"/>
      <c r="C64"/>
      <c r="D64"/>
      <c r="E64"/>
      <c r="F64" t="str">
        <f>LEFT(AllDaqbookOffsets[[#This Row],[traceability_no]],2)</f>
        <v>J1</v>
      </c>
      <c r="W64" t="s">
        <v>504</v>
      </c>
      <c r="X64" t="s">
        <v>168</v>
      </c>
      <c r="Z64" s="461" t="str">
        <v>J117</v>
      </c>
      <c r="AA64" s="194" t="str">
        <v>J111-J120</v>
      </c>
      <c r="AG64" s="69" t="str">
        <v>J117</v>
      </c>
    </row>
    <row r="65" spans="1:33" x14ac:dyDescent="0.2">
      <c r="A65"/>
      <c r="B65"/>
      <c r="C65"/>
      <c r="D65"/>
      <c r="E65"/>
      <c r="F65" t="str">
        <f>LEFT(AllDaqbookOffsets[[#This Row],[traceability_no]],2)</f>
        <v>J1</v>
      </c>
      <c r="W65" t="s">
        <v>505</v>
      </c>
      <c r="X65" t="s">
        <v>168</v>
      </c>
      <c r="Z65" s="461" t="str">
        <v>J118</v>
      </c>
      <c r="AA65" s="194" t="str">
        <v>J111-J120</v>
      </c>
      <c r="AG65" s="69" t="str">
        <v>J118</v>
      </c>
    </row>
    <row r="66" spans="1:33" x14ac:dyDescent="0.2">
      <c r="A66"/>
      <c r="B66"/>
      <c r="C66"/>
      <c r="D66"/>
      <c r="E66"/>
      <c r="F66" t="str">
        <f>LEFT(AllDaqbookOffsets[[#This Row],[traceability_no]],2)</f>
        <v>J1</v>
      </c>
      <c r="W66" t="s">
        <v>506</v>
      </c>
      <c r="X66" t="s">
        <v>168</v>
      </c>
      <c r="Z66" s="461" t="str">
        <v>J119</v>
      </c>
      <c r="AA66" s="194" t="str">
        <v>J111-J120</v>
      </c>
      <c r="AG66" s="69" t="str">
        <v>J119</v>
      </c>
    </row>
    <row r="67" spans="1:33" x14ac:dyDescent="0.2">
      <c r="A67"/>
      <c r="B67"/>
      <c r="C67"/>
      <c r="D67"/>
      <c r="E67"/>
      <c r="F67" t="str">
        <f>LEFT(AllDaqbookOffsets[[#This Row],[traceability_no]],2)</f>
        <v>J1</v>
      </c>
      <c r="W67" t="s">
        <v>507</v>
      </c>
      <c r="X67" t="s">
        <v>168</v>
      </c>
      <c r="Z67" s="461" t="str">
        <v>J12</v>
      </c>
      <c r="AA67" s="194" t="str">
        <v>J01-J24</v>
      </c>
      <c r="AG67" s="69" t="str">
        <v>J12</v>
      </c>
    </row>
    <row r="68" spans="1:33" x14ac:dyDescent="0.2">
      <c r="A68"/>
      <c r="B68"/>
      <c r="C68"/>
      <c r="D68"/>
      <c r="E68"/>
      <c r="F68" t="str">
        <f>LEFT(AllDaqbookOffsets[[#This Row],[traceability_no]],2)</f>
        <v>J1</v>
      </c>
      <c r="W68" t="s">
        <v>508</v>
      </c>
      <c r="X68" t="s">
        <v>168</v>
      </c>
      <c r="Z68" s="461" t="str">
        <v>J120</v>
      </c>
      <c r="AA68" s="194" t="str">
        <v>J111-J120</v>
      </c>
      <c r="AG68" s="69" t="str">
        <v>J120</v>
      </c>
    </row>
    <row r="69" spans="1:33" x14ac:dyDescent="0.2">
      <c r="A69"/>
      <c r="B69"/>
      <c r="C69"/>
      <c r="D69"/>
      <c r="E69"/>
      <c r="F69" t="str">
        <f>LEFT(AllDaqbookOffsets[[#This Row],[traceability_no]],2)</f>
        <v>J1</v>
      </c>
      <c r="W69" t="s">
        <v>509</v>
      </c>
      <c r="X69" t="s">
        <v>168</v>
      </c>
      <c r="Z69" s="461" t="str">
        <v>J13</v>
      </c>
      <c r="AA69" s="194" t="str">
        <v>J01-J24</v>
      </c>
      <c r="AG69" s="69" t="str">
        <v>J13</v>
      </c>
    </row>
    <row r="70" spans="1:33" x14ac:dyDescent="0.2">
      <c r="A70"/>
      <c r="B70"/>
      <c r="C70"/>
      <c r="D70"/>
      <c r="E70"/>
      <c r="F70" t="str">
        <f>LEFT(AllDaqbookOffsets[[#This Row],[traceability_no]],2)</f>
        <v>J1</v>
      </c>
      <c r="W70" t="s">
        <v>510</v>
      </c>
      <c r="X70" t="s">
        <v>168</v>
      </c>
      <c r="Z70" s="461" t="str">
        <v>J14</v>
      </c>
      <c r="AA70" s="194" t="str">
        <v>J01-J24</v>
      </c>
      <c r="AG70" s="69" t="str">
        <v>J14</v>
      </c>
    </row>
    <row r="71" spans="1:33" x14ac:dyDescent="0.2">
      <c r="A71"/>
      <c r="B71"/>
      <c r="C71"/>
      <c r="D71"/>
      <c r="E71"/>
      <c r="F71" t="str">
        <f>LEFT(AllDaqbookOffsets[[#This Row],[traceability_no]],2)</f>
        <v>J1</v>
      </c>
      <c r="W71" t="s">
        <v>511</v>
      </c>
      <c r="X71" t="s">
        <v>168</v>
      </c>
      <c r="Z71" s="461" t="str">
        <v>J15</v>
      </c>
      <c r="AA71" s="194" t="str">
        <v>J01-J24</v>
      </c>
      <c r="AG71" s="69" t="str">
        <v>J15</v>
      </c>
    </row>
    <row r="72" spans="1:33" x14ac:dyDescent="0.2">
      <c r="A72"/>
      <c r="B72"/>
      <c r="C72"/>
      <c r="D72"/>
      <c r="E72"/>
      <c r="F72" t="str">
        <f>LEFT(AllDaqbookOffsets[[#This Row],[traceability_no]],2)</f>
        <v>J1</v>
      </c>
      <c r="W72" t="s">
        <v>512</v>
      </c>
      <c r="X72" t="s">
        <v>168</v>
      </c>
      <c r="Z72" s="461" t="str">
        <v>J16</v>
      </c>
      <c r="AA72" s="194" t="str">
        <v>J01-J24</v>
      </c>
      <c r="AG72" s="69" t="str">
        <v>J16</v>
      </c>
    </row>
    <row r="73" spans="1:33" x14ac:dyDescent="0.2">
      <c r="A73"/>
      <c r="B73"/>
      <c r="C73"/>
      <c r="D73"/>
      <c r="E73"/>
      <c r="F73" t="str">
        <f>LEFT(AllDaqbookOffsets[[#This Row],[traceability_no]],2)</f>
        <v>J1</v>
      </c>
      <c r="W73" t="s">
        <v>513</v>
      </c>
      <c r="X73" t="s">
        <v>168</v>
      </c>
      <c r="Z73" s="461" t="str">
        <v>J17</v>
      </c>
      <c r="AA73" s="194" t="str">
        <v>J01-J24</v>
      </c>
      <c r="AG73" s="69" t="str">
        <v>J17</v>
      </c>
    </row>
    <row r="74" spans="1:33" x14ac:dyDescent="0.2">
      <c r="A74"/>
      <c r="B74"/>
      <c r="C74"/>
      <c r="D74"/>
      <c r="E74"/>
      <c r="F74" t="str">
        <f>LEFT(AllDaqbookOffsets[[#This Row],[traceability_no]],2)</f>
        <v>J1</v>
      </c>
      <c r="W74" t="s">
        <v>514</v>
      </c>
      <c r="X74" t="s">
        <v>169</v>
      </c>
      <c r="Z74" s="461" t="str">
        <v>J18</v>
      </c>
      <c r="AA74" s="194" t="str">
        <v>J01-J24</v>
      </c>
      <c r="AG74" s="69" t="str">
        <v>J18</v>
      </c>
    </row>
    <row r="75" spans="1:33" x14ac:dyDescent="0.2">
      <c r="A75"/>
      <c r="B75"/>
      <c r="C75"/>
      <c r="D75"/>
      <c r="E75"/>
      <c r="F75" t="str">
        <f>LEFT(AllDaqbookOffsets[[#This Row],[traceability_no]],2)</f>
        <v>J1</v>
      </c>
      <c r="W75" t="s">
        <v>515</v>
      </c>
      <c r="X75" t="s">
        <v>169</v>
      </c>
      <c r="Z75" s="461" t="str">
        <v>J19</v>
      </c>
      <c r="AA75" s="194" t="str">
        <v>J01-J24</v>
      </c>
      <c r="AG75" s="69" t="str">
        <v>J19</v>
      </c>
    </row>
    <row r="76" spans="1:33" x14ac:dyDescent="0.2">
      <c r="A76"/>
      <c r="B76"/>
      <c r="C76"/>
      <c r="D76"/>
      <c r="E76"/>
      <c r="F76" t="str">
        <f>LEFT(AllDaqbookOffsets[[#This Row],[traceability_no]],2)</f>
        <v>J1</v>
      </c>
      <c r="W76" t="s">
        <v>516</v>
      </c>
      <c r="X76" t="s">
        <v>169</v>
      </c>
      <c r="Z76" s="461" t="str">
        <v>J20</v>
      </c>
      <c r="AA76" s="194" t="str">
        <v>J01-J24</v>
      </c>
      <c r="AG76" s="69" t="str">
        <v>J20</v>
      </c>
    </row>
    <row r="77" spans="1:33" x14ac:dyDescent="0.2">
      <c r="A77"/>
      <c r="B77"/>
      <c r="C77"/>
      <c r="D77"/>
      <c r="E77"/>
      <c r="F77" t="str">
        <f>LEFT(AllDaqbookOffsets[[#This Row],[traceability_no]],2)</f>
        <v>J1</v>
      </c>
      <c r="W77" t="s">
        <v>517</v>
      </c>
      <c r="X77" t="s">
        <v>169</v>
      </c>
      <c r="Z77" s="461" t="str">
        <v>J201</v>
      </c>
      <c r="AA77" s="194" t="str">
        <v>J201-J214</v>
      </c>
      <c r="AG77" s="69" t="str">
        <v>J201</v>
      </c>
    </row>
    <row r="78" spans="1:33" x14ac:dyDescent="0.2">
      <c r="A78"/>
      <c r="B78"/>
      <c r="C78"/>
      <c r="D78"/>
      <c r="E78"/>
      <c r="F78" t="str">
        <f>LEFT(AllDaqbookOffsets[[#This Row],[traceability_no]],2)</f>
        <v>J1</v>
      </c>
      <c r="W78" t="s">
        <v>518</v>
      </c>
      <c r="X78" t="s">
        <v>169</v>
      </c>
      <c r="Z78" s="461" t="str">
        <v>J202</v>
      </c>
      <c r="AA78" s="194" t="str">
        <v>J201-J214</v>
      </c>
      <c r="AG78" s="69" t="str">
        <v>J202</v>
      </c>
    </row>
    <row r="79" spans="1:33" x14ac:dyDescent="0.2">
      <c r="A79"/>
      <c r="B79"/>
      <c r="C79"/>
      <c r="D79"/>
      <c r="E79"/>
      <c r="F79" t="str">
        <f>LEFT(AllDaqbookOffsets[[#This Row],[traceability_no]],2)</f>
        <v>J1</v>
      </c>
      <c r="W79" t="s">
        <v>519</v>
      </c>
      <c r="X79" t="s">
        <v>169</v>
      </c>
      <c r="Z79" s="461" t="str">
        <v>J203</v>
      </c>
      <c r="AA79" s="194" t="str">
        <v>J201-J214</v>
      </c>
      <c r="AG79" s="69" t="str">
        <v>J203</v>
      </c>
    </row>
    <row r="80" spans="1:33" x14ac:dyDescent="0.2">
      <c r="A80"/>
      <c r="B80"/>
      <c r="C80"/>
      <c r="D80"/>
      <c r="E80"/>
      <c r="F80" t="str">
        <f>LEFT(AllDaqbookOffsets[[#This Row],[traceability_no]],2)</f>
        <v>J1</v>
      </c>
      <c r="W80" t="s">
        <v>520</v>
      </c>
      <c r="X80" t="s">
        <v>169</v>
      </c>
      <c r="Z80" s="461" t="str">
        <v>J204</v>
      </c>
      <c r="AA80" s="194" t="str">
        <v>J201-J214</v>
      </c>
      <c r="AG80" s="69" t="str">
        <v>J204</v>
      </c>
    </row>
    <row r="81" spans="1:33" x14ac:dyDescent="0.2">
      <c r="A81"/>
      <c r="B81"/>
      <c r="C81"/>
      <c r="D81"/>
      <c r="E81"/>
      <c r="F81" t="str">
        <f>LEFT(AllDaqbookOffsets[[#This Row],[traceability_no]],2)</f>
        <v>J1</v>
      </c>
      <c r="W81" t="s">
        <v>521</v>
      </c>
      <c r="X81" t="s">
        <v>169</v>
      </c>
      <c r="Z81" s="461" t="str">
        <v>J205</v>
      </c>
      <c r="AA81" s="194" t="str">
        <v>J201-J214</v>
      </c>
      <c r="AG81" s="69" t="str">
        <v>J205</v>
      </c>
    </row>
    <row r="82" spans="1:33" x14ac:dyDescent="0.2">
      <c r="A82"/>
      <c r="B82"/>
      <c r="C82"/>
      <c r="D82"/>
      <c r="E82"/>
      <c r="F82" t="str">
        <f>LEFT(AllDaqbookOffsets[[#This Row],[traceability_no]],2)</f>
        <v>J1</v>
      </c>
      <c r="W82" t="s">
        <v>522</v>
      </c>
      <c r="X82" t="s">
        <v>169</v>
      </c>
      <c r="Z82" s="461" t="str">
        <v>J206</v>
      </c>
      <c r="AA82" s="194" t="str">
        <v>J201-J214</v>
      </c>
      <c r="AG82" s="69" t="str">
        <v>J206</v>
      </c>
    </row>
    <row r="83" spans="1:33" x14ac:dyDescent="0.2">
      <c r="A83"/>
      <c r="B83"/>
      <c r="C83"/>
      <c r="D83"/>
      <c r="E83"/>
      <c r="F83" t="str">
        <f>LEFT(AllDaqbookOffsets[[#This Row],[traceability_no]],2)</f>
        <v>J1</v>
      </c>
      <c r="W83" t="s">
        <v>523</v>
      </c>
      <c r="X83" t="s">
        <v>169</v>
      </c>
      <c r="Z83" s="461" t="str">
        <v>J207</v>
      </c>
      <c r="AA83" s="194" t="str">
        <v>J201-J214</v>
      </c>
      <c r="AG83" s="69" t="str">
        <v>J207</v>
      </c>
    </row>
    <row r="84" spans="1:33" x14ac:dyDescent="0.2">
      <c r="A84"/>
      <c r="B84"/>
      <c r="C84"/>
      <c r="D84"/>
      <c r="E84"/>
      <c r="F84" t="str">
        <f>LEFT(AllDaqbookOffsets[[#This Row],[traceability_no]],2)</f>
        <v>J1</v>
      </c>
      <c r="W84" t="s">
        <v>524</v>
      </c>
      <c r="X84" t="s">
        <v>169</v>
      </c>
      <c r="Z84" s="461" t="str">
        <v>J208</v>
      </c>
      <c r="AA84" s="194" t="str">
        <v>J201-J214</v>
      </c>
      <c r="AG84" s="69" t="str">
        <v>J208</v>
      </c>
    </row>
    <row r="85" spans="1:33" x14ac:dyDescent="0.2">
      <c r="A85"/>
      <c r="B85"/>
      <c r="C85"/>
      <c r="D85"/>
      <c r="E85"/>
      <c r="F85" t="str">
        <f>LEFT(AllDaqbookOffsets[[#This Row],[traceability_no]],2)</f>
        <v>J1</v>
      </c>
      <c r="W85" t="s">
        <v>525</v>
      </c>
      <c r="X85" t="s">
        <v>169</v>
      </c>
      <c r="Z85" s="461" t="str">
        <v>J209</v>
      </c>
      <c r="AA85" s="194" t="str">
        <v>J201-J214</v>
      </c>
      <c r="AG85" s="69" t="str">
        <v>J209</v>
      </c>
    </row>
    <row r="86" spans="1:33" x14ac:dyDescent="0.2">
      <c r="A86"/>
      <c r="B86"/>
      <c r="C86"/>
      <c r="D86"/>
      <c r="E86"/>
      <c r="F86" t="str">
        <f>LEFT(AllDaqbookOffsets[[#This Row],[traceability_no]],2)</f>
        <v>J1</v>
      </c>
      <c r="W86" t="s">
        <v>526</v>
      </c>
      <c r="X86" t="s">
        <v>169</v>
      </c>
      <c r="Z86" s="461" t="str">
        <v>J21</v>
      </c>
      <c r="AA86" s="194" t="str">
        <v>J01-J24</v>
      </c>
      <c r="AG86" s="69" t="str">
        <v>J21</v>
      </c>
    </row>
    <row r="87" spans="1:33" x14ac:dyDescent="0.2">
      <c r="A87"/>
      <c r="B87"/>
      <c r="C87"/>
      <c r="D87"/>
      <c r="E87"/>
      <c r="F87" t="str">
        <f>LEFT(AllDaqbookOffsets[[#This Row],[traceability_no]],2)</f>
        <v>J1</v>
      </c>
      <c r="W87" t="s">
        <v>527</v>
      </c>
      <c r="X87" t="s">
        <v>169</v>
      </c>
      <c r="Z87" s="461" t="str">
        <v>J210</v>
      </c>
      <c r="AA87" s="194" t="str">
        <v>J201-J214</v>
      </c>
      <c r="AG87" s="69" t="str">
        <v>J210</v>
      </c>
    </row>
    <row r="88" spans="1:33" x14ac:dyDescent="0.2">
      <c r="A88"/>
      <c r="B88"/>
      <c r="C88"/>
      <c r="D88"/>
      <c r="E88"/>
      <c r="F88" t="str">
        <f>LEFT(AllDaqbookOffsets[[#This Row],[traceability_no]],2)</f>
        <v>J1</v>
      </c>
      <c r="W88" t="s">
        <v>528</v>
      </c>
      <c r="X88" t="s">
        <v>170</v>
      </c>
      <c r="Z88" s="461" t="str">
        <v>J211</v>
      </c>
      <c r="AA88" s="194" t="str">
        <v>J201-J214</v>
      </c>
      <c r="AG88" s="69" t="str">
        <v>J211</v>
      </c>
    </row>
    <row r="89" spans="1:33" x14ac:dyDescent="0.2">
      <c r="A89"/>
      <c r="B89"/>
      <c r="C89"/>
      <c r="D89"/>
      <c r="E89"/>
      <c r="F89" t="str">
        <f>LEFT(AllDaqbookOffsets[[#This Row],[traceability_no]],2)</f>
        <v>J1</v>
      </c>
      <c r="W89" t="s">
        <v>529</v>
      </c>
      <c r="X89" t="s">
        <v>170</v>
      </c>
      <c r="Z89" s="461" t="str">
        <v>J212</v>
      </c>
      <c r="AA89" s="194" t="str">
        <v>J201-J214</v>
      </c>
      <c r="AG89" s="69" t="str">
        <v>J212</v>
      </c>
    </row>
    <row r="90" spans="1:33" x14ac:dyDescent="0.2">
      <c r="A90"/>
      <c r="B90"/>
      <c r="C90"/>
      <c r="D90"/>
      <c r="E90"/>
      <c r="F90" t="str">
        <f>LEFT(AllDaqbookOffsets[[#This Row],[traceability_no]],2)</f>
        <v>J1</v>
      </c>
      <c r="W90" t="s">
        <v>530</v>
      </c>
      <c r="X90" t="s">
        <v>170</v>
      </c>
      <c r="Z90" s="461" t="str">
        <v>J213</v>
      </c>
      <c r="AA90" s="194" t="str">
        <v>J201-J214</v>
      </c>
      <c r="AG90" s="69" t="str">
        <v>J213</v>
      </c>
    </row>
    <row r="91" spans="1:33" x14ac:dyDescent="0.2">
      <c r="A91"/>
      <c r="B91"/>
      <c r="C91"/>
      <c r="D91"/>
      <c r="E91"/>
      <c r="F91" t="str">
        <f>LEFT(AllDaqbookOffsets[[#This Row],[traceability_no]],2)</f>
        <v>J1</v>
      </c>
      <c r="W91" t="s">
        <v>531</v>
      </c>
      <c r="X91" t="s">
        <v>170</v>
      </c>
      <c r="Z91" s="461" t="str">
        <v>J214</v>
      </c>
      <c r="AA91" s="194" t="str">
        <v>J201-J214</v>
      </c>
      <c r="AG91" s="69" t="str">
        <v>J214</v>
      </c>
    </row>
    <row r="92" spans="1:33" x14ac:dyDescent="0.2">
      <c r="A92"/>
      <c r="B92"/>
      <c r="C92"/>
      <c r="D92"/>
      <c r="E92"/>
      <c r="F92" t="str">
        <f>LEFT(AllDaqbookOffsets[[#This Row],[traceability_no]],2)</f>
        <v>J1</v>
      </c>
      <c r="W92" t="s">
        <v>532</v>
      </c>
      <c r="X92" t="s">
        <v>170</v>
      </c>
      <c r="Z92" s="461" t="str">
        <v>J22</v>
      </c>
      <c r="AA92" s="194" t="str">
        <v>J01-J24</v>
      </c>
      <c r="AG92" s="69" t="str">
        <v>J22</v>
      </c>
    </row>
    <row r="93" spans="1:33" x14ac:dyDescent="0.2">
      <c r="A93"/>
      <c r="B93"/>
      <c r="C93"/>
      <c r="D93"/>
      <c r="E93"/>
      <c r="F93" t="str">
        <f>LEFT(AllDaqbookOffsets[[#This Row],[traceability_no]],2)</f>
        <v>J1</v>
      </c>
      <c r="W93" t="s">
        <v>533</v>
      </c>
      <c r="X93" t="s">
        <v>170</v>
      </c>
      <c r="Z93" s="461" t="str">
        <v>J23</v>
      </c>
      <c r="AA93" s="194" t="str">
        <v>J01-J24</v>
      </c>
      <c r="AG93" s="69" t="str">
        <v>J23</v>
      </c>
    </row>
    <row r="94" spans="1:33" x14ac:dyDescent="0.2">
      <c r="A94"/>
      <c r="B94"/>
      <c r="C94"/>
      <c r="D94"/>
      <c r="E94"/>
      <c r="F94" t="str">
        <f>LEFT(AllDaqbookOffsets[[#This Row],[traceability_no]],2)</f>
        <v>J1</v>
      </c>
      <c r="W94" t="s">
        <v>534</v>
      </c>
      <c r="X94" t="s">
        <v>170</v>
      </c>
      <c r="Z94" s="461" t="str">
        <v>J24</v>
      </c>
      <c r="AA94" s="194" t="str">
        <v>J01-J24</v>
      </c>
      <c r="AG94" s="69" t="str">
        <v>J24</v>
      </c>
    </row>
    <row r="95" spans="1:33" x14ac:dyDescent="0.2">
      <c r="A95"/>
      <c r="B95"/>
      <c r="C95"/>
      <c r="D95"/>
      <c r="E95"/>
      <c r="F95" t="str">
        <f>LEFT(AllDaqbookOffsets[[#This Row],[traceability_no]],2)</f>
        <v>J1</v>
      </c>
      <c r="W95" t="s">
        <v>535</v>
      </c>
      <c r="X95" t="s">
        <v>170</v>
      </c>
      <c r="Z95" s="461" t="str">
        <v>J301</v>
      </c>
      <c r="AA95" s="194" t="str">
        <v>J301-J314</v>
      </c>
      <c r="AG95" s="69" t="str">
        <v>J301</v>
      </c>
    </row>
    <row r="96" spans="1:33" x14ac:dyDescent="0.2">
      <c r="A96"/>
      <c r="B96"/>
      <c r="C96"/>
      <c r="D96"/>
      <c r="E96"/>
      <c r="F96" t="str">
        <f>LEFT(AllDaqbookOffsets[[#This Row],[traceability_no]],2)</f>
        <v>J1</v>
      </c>
      <c r="W96" t="s">
        <v>536</v>
      </c>
      <c r="X96" t="s">
        <v>170</v>
      </c>
      <c r="Z96" s="461" t="str">
        <v>J302</v>
      </c>
      <c r="AA96" s="194" t="str">
        <v>J301-J314</v>
      </c>
      <c r="AG96" s="69" t="str">
        <v>J302</v>
      </c>
    </row>
    <row r="97" spans="1:33" x14ac:dyDescent="0.2">
      <c r="A97"/>
      <c r="B97"/>
      <c r="C97"/>
      <c r="D97"/>
      <c r="E97"/>
      <c r="F97" t="str">
        <f>LEFT(AllDaqbookOffsets[[#This Row],[traceability_no]],2)</f>
        <v>J1</v>
      </c>
      <c r="W97" t="s">
        <v>537</v>
      </c>
      <c r="X97" t="s">
        <v>170</v>
      </c>
      <c r="Z97" s="461" t="str">
        <v>J303</v>
      </c>
      <c r="AA97" s="194" t="str">
        <v>J301-J314</v>
      </c>
      <c r="AG97" s="69" t="str">
        <v>J303</v>
      </c>
    </row>
    <row r="98" spans="1:33" x14ac:dyDescent="0.2">
      <c r="A98"/>
      <c r="B98"/>
      <c r="C98"/>
      <c r="D98"/>
      <c r="E98"/>
      <c r="F98" t="str">
        <f>LEFT(AllDaqbookOffsets[[#This Row],[traceability_no]],2)</f>
        <v>J1</v>
      </c>
      <c r="W98" t="s">
        <v>538</v>
      </c>
      <c r="X98" t="s">
        <v>171</v>
      </c>
      <c r="Z98" s="461" t="str">
        <v>J304</v>
      </c>
      <c r="AA98" s="194" t="str">
        <v>J301-J314</v>
      </c>
      <c r="AG98" s="69" t="str">
        <v>J304</v>
      </c>
    </row>
    <row r="99" spans="1:33" x14ac:dyDescent="0.2">
      <c r="A99"/>
      <c r="B99"/>
      <c r="C99"/>
      <c r="D99"/>
      <c r="E99"/>
      <c r="F99" t="str">
        <f>LEFT(AllDaqbookOffsets[[#This Row],[traceability_no]],2)</f>
        <v>J1</v>
      </c>
      <c r="W99" t="s">
        <v>539</v>
      </c>
      <c r="X99" t="s">
        <v>171</v>
      </c>
      <c r="Z99" s="461" t="str">
        <v>J305</v>
      </c>
      <c r="AA99" s="194" t="str">
        <v>J301-J314</v>
      </c>
      <c r="AG99" s="69" t="str">
        <v>J305</v>
      </c>
    </row>
    <row r="100" spans="1:33" x14ac:dyDescent="0.2">
      <c r="A100"/>
      <c r="B100"/>
      <c r="C100"/>
      <c r="D100"/>
      <c r="E100"/>
      <c r="F100" t="str">
        <f>LEFT(AllDaqbookOffsets[[#This Row],[traceability_no]],2)</f>
        <v>J1</v>
      </c>
      <c r="W100" t="s">
        <v>540</v>
      </c>
      <c r="X100" t="s">
        <v>171</v>
      </c>
      <c r="Z100" s="461" t="str">
        <v>J306</v>
      </c>
      <c r="AA100" s="194" t="str">
        <v>J301-J314</v>
      </c>
      <c r="AG100" s="69" t="str">
        <v>J306</v>
      </c>
    </row>
    <row r="101" spans="1:33" x14ac:dyDescent="0.2">
      <c r="A101"/>
      <c r="B101"/>
      <c r="C101"/>
      <c r="D101"/>
      <c r="E101"/>
      <c r="F101" t="str">
        <f>LEFT(AllDaqbookOffsets[[#This Row],[traceability_no]],2)</f>
        <v>J1</v>
      </c>
      <c r="W101" t="s">
        <v>541</v>
      </c>
      <c r="X101" t="s">
        <v>171</v>
      </c>
      <c r="Z101" s="461" t="str">
        <v>J307</v>
      </c>
      <c r="AA101" s="194" t="str">
        <v>J301-J314</v>
      </c>
      <c r="AG101" s="69" t="str">
        <v>J307</v>
      </c>
    </row>
    <row r="102" spans="1:33" x14ac:dyDescent="0.2">
      <c r="A102"/>
      <c r="B102"/>
      <c r="C102"/>
      <c r="D102"/>
      <c r="E102"/>
      <c r="F102" t="str">
        <f>LEFT(AllDaqbookOffsets[[#This Row],[traceability_no]],2)</f>
        <v>J1</v>
      </c>
      <c r="W102" t="s">
        <v>542</v>
      </c>
      <c r="X102" t="s">
        <v>171</v>
      </c>
      <c r="Z102" s="461" t="str">
        <v>J308</v>
      </c>
      <c r="AA102" s="194" t="str">
        <v>J301-J314</v>
      </c>
      <c r="AG102" s="69" t="str">
        <v>J308</v>
      </c>
    </row>
    <row r="103" spans="1:33" x14ac:dyDescent="0.2">
      <c r="A103"/>
      <c r="B103"/>
      <c r="C103"/>
      <c r="D103"/>
      <c r="E103"/>
      <c r="F103" t="str">
        <f>LEFT(AllDaqbookOffsets[[#This Row],[traceability_no]],2)</f>
        <v>J1</v>
      </c>
      <c r="W103" t="s">
        <v>543</v>
      </c>
      <c r="X103" t="s">
        <v>171</v>
      </c>
      <c r="Z103" s="461" t="str">
        <v>J309</v>
      </c>
      <c r="AA103" s="194" t="str">
        <v>J301-J314</v>
      </c>
      <c r="AG103" s="69" t="str">
        <v>J309</v>
      </c>
    </row>
    <row r="104" spans="1:33" x14ac:dyDescent="0.2">
      <c r="A104"/>
      <c r="B104"/>
      <c r="C104"/>
      <c r="D104"/>
      <c r="E104"/>
      <c r="F104" t="str">
        <f>LEFT(AllDaqbookOffsets[[#This Row],[traceability_no]],2)</f>
        <v>J1</v>
      </c>
      <c r="W104" t="s">
        <v>544</v>
      </c>
      <c r="X104" t="s">
        <v>171</v>
      </c>
      <c r="Z104" s="461" t="str">
        <v>J310</v>
      </c>
      <c r="AA104" s="194" t="str">
        <v>J301-J314</v>
      </c>
      <c r="AG104" s="69" t="str">
        <v>J310</v>
      </c>
    </row>
    <row r="105" spans="1:33" x14ac:dyDescent="0.2">
      <c r="A105"/>
      <c r="B105"/>
      <c r="C105"/>
      <c r="D105"/>
      <c r="E105"/>
      <c r="F105" t="str">
        <f>LEFT(AllDaqbookOffsets[[#This Row],[traceability_no]],2)</f>
        <v>J1</v>
      </c>
      <c r="W105" t="s">
        <v>545</v>
      </c>
      <c r="X105" t="s">
        <v>171</v>
      </c>
      <c r="Z105" s="461" t="str">
        <v>J311</v>
      </c>
      <c r="AA105" s="194" t="str">
        <v>J301-J314</v>
      </c>
      <c r="AG105" s="69" t="str">
        <v>J311</v>
      </c>
    </row>
    <row r="106" spans="1:33" x14ac:dyDescent="0.2">
      <c r="A106"/>
      <c r="B106"/>
      <c r="C106"/>
      <c r="D106"/>
      <c r="E106"/>
      <c r="F106" t="str">
        <f>LEFT(AllDaqbookOffsets[[#This Row],[traceability_no]],2)</f>
        <v>J1</v>
      </c>
      <c r="W106" t="s">
        <v>546</v>
      </c>
      <c r="X106" t="s">
        <v>171</v>
      </c>
      <c r="Z106" s="461" t="str">
        <v>J312</v>
      </c>
      <c r="AA106" s="194" t="str">
        <v>J301-J314</v>
      </c>
      <c r="AG106" s="69" t="str">
        <v>J312</v>
      </c>
    </row>
    <row r="107" spans="1:33" x14ac:dyDescent="0.2">
      <c r="A107"/>
      <c r="B107"/>
      <c r="C107"/>
      <c r="D107"/>
      <c r="E107"/>
      <c r="F107" t="str">
        <f>LEFT(AllDaqbookOffsets[[#This Row],[traceability_no]],2)</f>
        <v>J1</v>
      </c>
      <c r="W107" t="s">
        <v>547</v>
      </c>
      <c r="X107" t="s">
        <v>171</v>
      </c>
      <c r="Z107" s="461" t="str">
        <v>J313</v>
      </c>
      <c r="AA107" s="194" t="str">
        <v>J301-J314</v>
      </c>
      <c r="AG107" s="69" t="str">
        <v>J313</v>
      </c>
    </row>
    <row r="108" spans="1:33" x14ac:dyDescent="0.2">
      <c r="A108"/>
      <c r="B108"/>
      <c r="C108"/>
      <c r="D108"/>
      <c r="E108"/>
      <c r="F108" t="str">
        <f>LEFT(AllDaqbookOffsets[[#This Row],[traceability_no]],2)</f>
        <v>J1</v>
      </c>
      <c r="W108" t="s">
        <v>548</v>
      </c>
      <c r="X108" t="s">
        <v>295</v>
      </c>
      <c r="Z108" s="461" t="str">
        <v>J314</v>
      </c>
      <c r="AA108" s="194" t="str">
        <v>J301-J314</v>
      </c>
      <c r="AG108" s="69" t="str">
        <v>J314</v>
      </c>
    </row>
    <row r="109" spans="1:33" x14ac:dyDescent="0.2">
      <c r="A109"/>
      <c r="B109"/>
      <c r="C109"/>
      <c r="D109"/>
      <c r="E109"/>
      <c r="F109" t="str">
        <f>LEFT(AllDaqbookOffsets[[#This Row],[traceability_no]],2)</f>
        <v>J1</v>
      </c>
      <c r="W109" t="s">
        <v>549</v>
      </c>
      <c r="X109" t="s">
        <v>295</v>
      </c>
      <c r="Z109" s="461" t="str">
        <v>J501</v>
      </c>
      <c r="AA109" s="194" t="str">
        <v>J501-J514</v>
      </c>
      <c r="AG109" s="69" t="str">
        <v>J501</v>
      </c>
    </row>
    <row r="110" spans="1:33" x14ac:dyDescent="0.2">
      <c r="A110"/>
      <c r="B110"/>
      <c r="C110"/>
      <c r="D110"/>
      <c r="E110"/>
      <c r="F110" t="str">
        <f>LEFT(AllDaqbookOffsets[[#This Row],[traceability_no]],2)</f>
        <v>J1</v>
      </c>
      <c r="W110" t="s">
        <v>550</v>
      </c>
      <c r="X110" t="s">
        <v>295</v>
      </c>
      <c r="Z110" s="461" t="str">
        <v>J502</v>
      </c>
      <c r="AA110" s="194" t="str">
        <v>J501-J514</v>
      </c>
      <c r="AG110" s="69" t="str">
        <v>J502</v>
      </c>
    </row>
    <row r="111" spans="1:33" x14ac:dyDescent="0.2">
      <c r="A111"/>
      <c r="B111"/>
      <c r="C111"/>
      <c r="D111"/>
      <c r="E111"/>
      <c r="F111" t="str">
        <f>LEFT(AllDaqbookOffsets[[#This Row],[traceability_no]],2)</f>
        <v>J1</v>
      </c>
      <c r="W111" t="s">
        <v>551</v>
      </c>
      <c r="X111" t="s">
        <v>295</v>
      </c>
      <c r="Z111" s="461" t="str">
        <v>J503</v>
      </c>
      <c r="AA111" s="194" t="str">
        <v>J501-J514</v>
      </c>
      <c r="AG111" s="69" t="str">
        <v>J503</v>
      </c>
    </row>
    <row r="112" spans="1:33" x14ac:dyDescent="0.2">
      <c r="A112"/>
      <c r="B112"/>
      <c r="C112"/>
      <c r="D112"/>
      <c r="E112"/>
      <c r="F112" t="str">
        <f>LEFT(AllDaqbookOffsets[[#This Row],[traceability_no]],2)</f>
        <v>J1</v>
      </c>
      <c r="W112" t="s">
        <v>552</v>
      </c>
      <c r="X112" t="s">
        <v>295</v>
      </c>
      <c r="Z112" s="461" t="str">
        <v>J504</v>
      </c>
      <c r="AA112" s="194" t="str">
        <v>J501-J514</v>
      </c>
      <c r="AG112" s="69" t="str">
        <v>J504</v>
      </c>
    </row>
    <row r="113" spans="1:33" x14ac:dyDescent="0.2">
      <c r="A113"/>
      <c r="B113"/>
      <c r="C113"/>
      <c r="D113"/>
      <c r="E113"/>
      <c r="F113" t="str">
        <f>LEFT(AllDaqbookOffsets[[#This Row],[traceability_no]],2)</f>
        <v>J1</v>
      </c>
      <c r="W113" t="s">
        <v>553</v>
      </c>
      <c r="X113" t="s">
        <v>295</v>
      </c>
      <c r="Z113" s="461" t="str">
        <v>J505</v>
      </c>
      <c r="AA113" s="194" t="str">
        <v>J501-J514</v>
      </c>
      <c r="AG113" s="69" t="str">
        <v>J505</v>
      </c>
    </row>
    <row r="114" spans="1:33" x14ac:dyDescent="0.2">
      <c r="A114"/>
      <c r="B114"/>
      <c r="C114"/>
      <c r="D114"/>
      <c r="E114"/>
      <c r="F114" t="str">
        <f>LEFT(AllDaqbookOffsets[[#This Row],[traceability_no]],2)</f>
        <v>J1</v>
      </c>
      <c r="W114" t="s">
        <v>554</v>
      </c>
      <c r="X114" t="s">
        <v>295</v>
      </c>
      <c r="Z114" s="461" t="str">
        <v>J506</v>
      </c>
      <c r="AA114" s="194" t="str">
        <v>J501-J514</v>
      </c>
      <c r="AG114" s="69" t="str">
        <v>J506</v>
      </c>
    </row>
    <row r="115" spans="1:33" x14ac:dyDescent="0.2">
      <c r="A115"/>
      <c r="B115"/>
      <c r="C115"/>
      <c r="D115"/>
      <c r="E115"/>
      <c r="F115" t="str">
        <f>LEFT(AllDaqbookOffsets[[#This Row],[traceability_no]],2)</f>
        <v>J1</v>
      </c>
      <c r="W115" t="s">
        <v>555</v>
      </c>
      <c r="X115" t="s">
        <v>295</v>
      </c>
      <c r="Z115" s="461" t="str">
        <v>J507</v>
      </c>
      <c r="AA115" s="194" t="str">
        <v>J501-J514</v>
      </c>
      <c r="AG115" s="69" t="str">
        <v>J507</v>
      </c>
    </row>
    <row r="116" spans="1:33" x14ac:dyDescent="0.2">
      <c r="A116"/>
      <c r="B116"/>
      <c r="C116"/>
      <c r="D116"/>
      <c r="E116"/>
      <c r="F116" t="str">
        <f>LEFT(AllDaqbookOffsets[[#This Row],[traceability_no]],2)</f>
        <v>J1</v>
      </c>
      <c r="W116" t="s">
        <v>556</v>
      </c>
      <c r="X116" t="s">
        <v>295</v>
      </c>
      <c r="Z116" s="461" t="str">
        <v>J508</v>
      </c>
      <c r="AA116" s="194" t="str">
        <v>J501-J514</v>
      </c>
      <c r="AG116" s="69" t="str">
        <v>J508</v>
      </c>
    </row>
    <row r="117" spans="1:33" x14ac:dyDescent="0.2">
      <c r="A117"/>
      <c r="B117"/>
      <c r="C117"/>
      <c r="D117"/>
      <c r="E117"/>
      <c r="F117" t="str">
        <f>LEFT(AllDaqbookOffsets[[#This Row],[traceability_no]],2)</f>
        <v>J1</v>
      </c>
      <c r="W117" t="s">
        <v>557</v>
      </c>
      <c r="X117" t="s">
        <v>295</v>
      </c>
      <c r="Z117" s="461" t="str">
        <v>J509</v>
      </c>
      <c r="AA117" s="194" t="str">
        <v>J501-J514</v>
      </c>
      <c r="AG117" s="69" t="str">
        <v>J509</v>
      </c>
    </row>
    <row r="118" spans="1:33" x14ac:dyDescent="0.2">
      <c r="A118"/>
      <c r="B118"/>
      <c r="C118"/>
      <c r="D118"/>
      <c r="E118"/>
      <c r="F118" t="str">
        <f>LEFT(AllDaqbookOffsets[[#This Row],[traceability_no]],2)</f>
        <v>J1</v>
      </c>
      <c r="W118" t="s">
        <v>564</v>
      </c>
      <c r="X118" t="s">
        <v>173</v>
      </c>
      <c r="Z118" s="461" t="str">
        <v>J510</v>
      </c>
      <c r="AA118" s="194" t="str">
        <v>J501-J514</v>
      </c>
      <c r="AG118" s="69" t="str">
        <v>J510</v>
      </c>
    </row>
    <row r="119" spans="1:33" x14ac:dyDescent="0.2">
      <c r="A119"/>
      <c r="B119"/>
      <c r="C119"/>
      <c r="D119"/>
      <c r="E119"/>
      <c r="F119" t="str">
        <f>LEFT(AllDaqbookOffsets[[#This Row],[traceability_no]],2)</f>
        <v>J1</v>
      </c>
      <c r="W119" t="s">
        <v>565</v>
      </c>
      <c r="X119" t="s">
        <v>173</v>
      </c>
      <c r="Z119" s="461" t="str">
        <v>J511</v>
      </c>
      <c r="AA119" s="194" t="str">
        <v>J501-J514</v>
      </c>
      <c r="AG119" s="69" t="str">
        <v>J511</v>
      </c>
    </row>
    <row r="120" spans="1:33" x14ac:dyDescent="0.2">
      <c r="A120"/>
      <c r="B120"/>
      <c r="C120"/>
      <c r="D120"/>
      <c r="E120"/>
      <c r="F120" t="str">
        <f>LEFT(AllDaqbookOffsets[[#This Row],[traceability_no]],2)</f>
        <v>J1</v>
      </c>
      <c r="W120" t="s">
        <v>566</v>
      </c>
      <c r="X120" t="s">
        <v>173</v>
      </c>
      <c r="Z120" s="461" t="str">
        <v>J512</v>
      </c>
      <c r="AA120" s="194" t="str">
        <v>J501-J514</v>
      </c>
      <c r="AG120" s="69" t="str">
        <v>J512</v>
      </c>
    </row>
    <row r="121" spans="1:33" x14ac:dyDescent="0.2">
      <c r="A121"/>
      <c r="B121"/>
      <c r="C121"/>
      <c r="D121"/>
      <c r="E121"/>
      <c r="F121" t="str">
        <f>LEFT(AllDaqbookOffsets[[#This Row],[traceability_no]],2)</f>
        <v>J1</v>
      </c>
      <c r="W121" t="s">
        <v>567</v>
      </c>
      <c r="X121" t="s">
        <v>173</v>
      </c>
      <c r="Z121" s="461" t="str">
        <v>J513</v>
      </c>
      <c r="AA121" s="194" t="str">
        <v>J501-J514</v>
      </c>
      <c r="AG121" s="69" t="str">
        <v>J513</v>
      </c>
    </row>
    <row r="122" spans="1:33" x14ac:dyDescent="0.2">
      <c r="A122"/>
      <c r="B122"/>
      <c r="C122"/>
      <c r="D122"/>
      <c r="E122"/>
      <c r="F122" t="str">
        <f>LEFT(AllDaqbookOffsets[[#This Row],[traceability_no]],2)</f>
        <v>J1</v>
      </c>
      <c r="W122" t="s">
        <v>568</v>
      </c>
      <c r="X122" t="s">
        <v>173</v>
      </c>
      <c r="Z122" s="461" t="str">
        <v>J514</v>
      </c>
      <c r="AA122" s="194" t="str">
        <v>J501-J514</v>
      </c>
      <c r="AG122" s="69" t="str">
        <v>J514</v>
      </c>
    </row>
    <row r="123" spans="1:33" x14ac:dyDescent="0.2">
      <c r="A123"/>
      <c r="B123"/>
      <c r="C123"/>
      <c r="D123"/>
      <c r="E123"/>
      <c r="F123" t="str">
        <f>LEFT(AllDaqbookOffsets[[#This Row],[traceability_no]],2)</f>
        <v>J1</v>
      </c>
      <c r="W123" t="s">
        <v>569</v>
      </c>
      <c r="X123" t="s">
        <v>173</v>
      </c>
      <c r="Z123" s="461" t="str">
        <v>J601</v>
      </c>
      <c r="AA123" s="194" t="str">
        <v>J601-J610</v>
      </c>
      <c r="AG123" s="69" t="str">
        <v>J601</v>
      </c>
    </row>
    <row r="124" spans="1:33" x14ac:dyDescent="0.2">
      <c r="A124"/>
      <c r="B124"/>
      <c r="C124"/>
      <c r="D124"/>
      <c r="E124"/>
      <c r="F124" t="str">
        <f>LEFT(AllDaqbookOffsets[[#This Row],[traceability_no]],2)</f>
        <v>J1</v>
      </c>
      <c r="W124" t="s">
        <v>570</v>
      </c>
      <c r="X124" t="s">
        <v>173</v>
      </c>
      <c r="Z124" s="461" t="str">
        <v>J602</v>
      </c>
      <c r="AA124" s="194" t="str">
        <v>J601-J610</v>
      </c>
      <c r="AG124" s="69" t="str">
        <v>J602</v>
      </c>
    </row>
    <row r="125" spans="1:33" x14ac:dyDescent="0.2">
      <c r="A125"/>
      <c r="B125"/>
      <c r="C125"/>
      <c r="D125"/>
      <c r="E125"/>
      <c r="F125" t="str">
        <f>LEFT(AllDaqbookOffsets[[#This Row],[traceability_no]],2)</f>
        <v>J1</v>
      </c>
      <c r="W125" t="s">
        <v>571</v>
      </c>
      <c r="X125" t="s">
        <v>173</v>
      </c>
      <c r="Z125" s="461" t="str">
        <v>J603</v>
      </c>
      <c r="AA125" s="194" t="str">
        <v>J601-J610</v>
      </c>
      <c r="AG125" s="69" t="str">
        <v>J603</v>
      </c>
    </row>
    <row r="126" spans="1:33" x14ac:dyDescent="0.2">
      <c r="A126"/>
      <c r="B126"/>
      <c r="C126"/>
      <c r="D126"/>
      <c r="E126"/>
      <c r="F126" t="str">
        <f>LEFT(AllDaqbookOffsets[[#This Row],[traceability_no]],2)</f>
        <v>J1</v>
      </c>
      <c r="W126" t="s">
        <v>572</v>
      </c>
      <c r="X126" t="s">
        <v>173</v>
      </c>
      <c r="Z126" s="461" t="str">
        <v>J604</v>
      </c>
      <c r="AA126" s="194" t="str">
        <v>J601-J610</v>
      </c>
      <c r="AG126" s="69" t="str">
        <v>J604</v>
      </c>
    </row>
    <row r="127" spans="1:33" x14ac:dyDescent="0.2">
      <c r="A127"/>
      <c r="B127"/>
      <c r="C127"/>
      <c r="D127"/>
      <c r="E127"/>
      <c r="F127" t="str">
        <f>LEFT(AllDaqbookOffsets[[#This Row],[traceability_no]],2)</f>
        <v>J1</v>
      </c>
      <c r="W127" t="s">
        <v>558</v>
      </c>
      <c r="X127" t="s">
        <v>295</v>
      </c>
      <c r="Z127" s="461" t="str">
        <v>J605</v>
      </c>
      <c r="AA127" s="194" t="str">
        <v>J601-J610</v>
      </c>
      <c r="AG127" s="69" t="str">
        <v>J605</v>
      </c>
    </row>
    <row r="128" spans="1:33" x14ac:dyDescent="0.2">
      <c r="A128"/>
      <c r="B128"/>
      <c r="C128"/>
      <c r="D128"/>
      <c r="E128"/>
      <c r="F128" t="str">
        <f>LEFT(AllDaqbookOffsets[[#This Row],[traceability_no]],2)</f>
        <v>J1</v>
      </c>
      <c r="W128" t="s">
        <v>573</v>
      </c>
      <c r="X128" t="s">
        <v>173</v>
      </c>
      <c r="Z128" s="461" t="str">
        <v>J606</v>
      </c>
      <c r="AA128" s="194" t="str">
        <v>J601-J610</v>
      </c>
      <c r="AG128" s="69" t="str">
        <v>J606</v>
      </c>
    </row>
    <row r="129" spans="1:33" x14ac:dyDescent="0.2">
      <c r="A129"/>
      <c r="B129"/>
      <c r="C129"/>
      <c r="D129"/>
      <c r="E129"/>
      <c r="F129" t="str">
        <f>LEFT(AllDaqbookOffsets[[#This Row],[traceability_no]],2)</f>
        <v>J1</v>
      </c>
      <c r="W129" t="s">
        <v>559</v>
      </c>
      <c r="X129" t="s">
        <v>295</v>
      </c>
      <c r="Z129" s="461" t="str">
        <v>J607</v>
      </c>
      <c r="AA129" s="194" t="str">
        <v>J601-J610</v>
      </c>
      <c r="AG129" s="69" t="str">
        <v>J607</v>
      </c>
    </row>
    <row r="130" spans="1:33" x14ac:dyDescent="0.2">
      <c r="A130"/>
      <c r="B130"/>
      <c r="C130"/>
      <c r="D130"/>
      <c r="E130"/>
      <c r="F130" t="str">
        <f>LEFT(AllDaqbookOffsets[[#This Row],[traceability_no]],2)</f>
        <v>J1</v>
      </c>
      <c r="W130" t="s">
        <v>560</v>
      </c>
      <c r="X130" t="s">
        <v>295</v>
      </c>
      <c r="Z130" s="461" t="str">
        <v>J608</v>
      </c>
      <c r="AA130" s="194" t="str">
        <v>J601-J610</v>
      </c>
      <c r="AG130" s="69" t="str">
        <v>J608</v>
      </c>
    </row>
    <row r="131" spans="1:33" x14ac:dyDescent="0.2">
      <c r="A131"/>
      <c r="B131"/>
      <c r="C131"/>
      <c r="D131"/>
      <c r="E131"/>
      <c r="F131" t="str">
        <f>LEFT(AllDaqbookOffsets[[#This Row],[traceability_no]],2)</f>
        <v>J1</v>
      </c>
      <c r="W131" t="s">
        <v>561</v>
      </c>
      <c r="X131" t="s">
        <v>295</v>
      </c>
      <c r="Z131" s="461" t="str">
        <v>J609</v>
      </c>
      <c r="AA131" s="194" t="str">
        <v>J601-J610</v>
      </c>
      <c r="AG131" s="69" t="str">
        <v>J609</v>
      </c>
    </row>
    <row r="132" spans="1:33" x14ac:dyDescent="0.2">
      <c r="A132"/>
      <c r="B132"/>
      <c r="C132"/>
      <c r="D132"/>
      <c r="E132"/>
      <c r="F132" t="str">
        <f>LEFT(AllDaqbookOffsets[[#This Row],[traceability_no]],2)</f>
        <v>J1</v>
      </c>
      <c r="W132" t="s">
        <v>562</v>
      </c>
      <c r="X132" t="s">
        <v>295</v>
      </c>
      <c r="Z132" s="461" t="str">
        <v>J610</v>
      </c>
      <c r="AA132" s="194" t="str">
        <v>J601-J610</v>
      </c>
      <c r="AG132" s="69" t="str">
        <v>J610</v>
      </c>
    </row>
    <row r="133" spans="1:33" x14ac:dyDescent="0.2">
      <c r="A133"/>
      <c r="B133"/>
      <c r="C133"/>
      <c r="D133"/>
      <c r="E133"/>
      <c r="F133" t="str">
        <f>LEFT(AllDaqbookOffsets[[#This Row],[traceability_no]],2)</f>
        <v>J1</v>
      </c>
      <c r="W133" t="s">
        <v>563</v>
      </c>
      <c r="X133" t="s">
        <v>295</v>
      </c>
      <c r="Z133" s="461" t="str">
        <v>J701</v>
      </c>
      <c r="AA133" s="194" t="str">
        <v>J701-J710</v>
      </c>
      <c r="AG133" s="69" t="str">
        <v>J701</v>
      </c>
    </row>
    <row r="134" spans="1:33" x14ac:dyDescent="0.2">
      <c r="A134"/>
      <c r="B134"/>
      <c r="C134"/>
      <c r="D134"/>
      <c r="E134"/>
      <c r="F134" t="str">
        <f>LEFT(AllDaqbookOffsets[[#This Row],[traceability_no]],2)</f>
        <v>J1</v>
      </c>
      <c r="W134" t="s">
        <v>574</v>
      </c>
      <c r="X134" t="s">
        <v>174</v>
      </c>
      <c r="Z134" s="461" t="str">
        <v>J702</v>
      </c>
      <c r="AA134" s="194" t="str">
        <v>J701-J710</v>
      </c>
      <c r="AG134" s="69" t="str">
        <v>J702</v>
      </c>
    </row>
    <row r="135" spans="1:33" x14ac:dyDescent="0.2">
      <c r="A135"/>
      <c r="B135"/>
      <c r="C135"/>
      <c r="D135"/>
      <c r="E135"/>
      <c r="F135" t="str">
        <f>LEFT(AllDaqbookOffsets[[#This Row],[traceability_no]],2)</f>
        <v>J1</v>
      </c>
      <c r="W135" t="s">
        <v>575</v>
      </c>
      <c r="X135" t="s">
        <v>174</v>
      </c>
      <c r="Z135" s="461" t="str">
        <v>J703</v>
      </c>
      <c r="AA135" s="194" t="str">
        <v>J701-J710</v>
      </c>
      <c r="AG135" s="69" t="str">
        <v>J703</v>
      </c>
    </row>
    <row r="136" spans="1:33" x14ac:dyDescent="0.2">
      <c r="A136"/>
      <c r="B136"/>
      <c r="C136"/>
      <c r="D136"/>
      <c r="E136"/>
      <c r="F136" t="str">
        <f>LEFT(AllDaqbookOffsets[[#This Row],[traceability_no]],2)</f>
        <v>J1</v>
      </c>
      <c r="W136" t="s">
        <v>576</v>
      </c>
      <c r="X136" t="s">
        <v>174</v>
      </c>
      <c r="Z136" s="461" t="str">
        <v>J704</v>
      </c>
      <c r="AA136" s="194" t="str">
        <v>J701-J710</v>
      </c>
      <c r="AG136" s="69" t="str">
        <v>J704</v>
      </c>
    </row>
    <row r="137" spans="1:33" x14ac:dyDescent="0.2">
      <c r="A137"/>
      <c r="B137"/>
      <c r="C137"/>
      <c r="D137"/>
      <c r="E137"/>
      <c r="F137" t="str">
        <f>LEFT(AllDaqbookOffsets[[#This Row],[traceability_no]],2)</f>
        <v>J1</v>
      </c>
      <c r="W137" t="s">
        <v>577</v>
      </c>
      <c r="X137" t="s">
        <v>174</v>
      </c>
      <c r="Z137" s="461" t="str">
        <v>J705</v>
      </c>
      <c r="AA137" s="194" t="str">
        <v>J701-J710</v>
      </c>
      <c r="AG137" s="69" t="str">
        <v>J705</v>
      </c>
    </row>
    <row r="138" spans="1:33" x14ac:dyDescent="0.2">
      <c r="A138"/>
      <c r="B138"/>
      <c r="C138"/>
      <c r="D138"/>
      <c r="E138"/>
      <c r="F138" t="str">
        <f>LEFT(AllDaqbookOffsets[[#This Row],[traceability_no]],2)</f>
        <v>J1</v>
      </c>
      <c r="W138" t="s">
        <v>578</v>
      </c>
      <c r="X138" t="s">
        <v>174</v>
      </c>
      <c r="Z138" s="461" t="str">
        <v>J706</v>
      </c>
      <c r="AA138" s="194" t="str">
        <v>J701-J710</v>
      </c>
      <c r="AG138" s="69" t="str">
        <v>J706</v>
      </c>
    </row>
    <row r="139" spans="1:33" x14ac:dyDescent="0.2">
      <c r="A139"/>
      <c r="B139"/>
      <c r="C139"/>
      <c r="D139"/>
      <c r="E139"/>
      <c r="F139" t="str">
        <f>LEFT(AllDaqbookOffsets[[#This Row],[traceability_no]],2)</f>
        <v>J1</v>
      </c>
      <c r="W139" t="s">
        <v>579</v>
      </c>
      <c r="X139" t="s">
        <v>174</v>
      </c>
      <c r="Z139" s="461" t="str">
        <v>J707</v>
      </c>
      <c r="AA139" s="194" t="str">
        <v>J701-J710</v>
      </c>
      <c r="AG139" s="69" t="str">
        <v>J707</v>
      </c>
    </row>
    <row r="140" spans="1:33" x14ac:dyDescent="0.2">
      <c r="A140"/>
      <c r="B140"/>
      <c r="C140"/>
      <c r="D140"/>
      <c r="E140"/>
      <c r="F140" t="str">
        <f>LEFT(AllDaqbookOffsets[[#This Row],[traceability_no]],2)</f>
        <v>J1</v>
      </c>
      <c r="W140" t="s">
        <v>580</v>
      </c>
      <c r="X140" t="s">
        <v>174</v>
      </c>
      <c r="Z140" s="461" t="str">
        <v>J708</v>
      </c>
      <c r="AA140" s="194" t="str">
        <v>J701-J710</v>
      </c>
      <c r="AG140" s="69" t="str">
        <v>J708</v>
      </c>
    </row>
    <row r="141" spans="1:33" x14ac:dyDescent="0.2">
      <c r="A141"/>
      <c r="B141"/>
      <c r="C141"/>
      <c r="D141"/>
      <c r="E141"/>
      <c r="F141" t="str">
        <f>LEFT(AllDaqbookOffsets[[#This Row],[traceability_no]],2)</f>
        <v>J1</v>
      </c>
      <c r="W141" t="s">
        <v>581</v>
      </c>
      <c r="X141" t="s">
        <v>174</v>
      </c>
      <c r="Z141" s="461" t="str">
        <v>J709</v>
      </c>
      <c r="AA141" s="194" t="str">
        <v>J701-J710</v>
      </c>
      <c r="AG141" s="69" t="str">
        <v>J709</v>
      </c>
    </row>
    <row r="142" spans="1:33" x14ac:dyDescent="0.2">
      <c r="A142"/>
      <c r="B142"/>
      <c r="C142"/>
      <c r="D142"/>
      <c r="E142"/>
      <c r="F142" t="str">
        <f>LEFT(AllDaqbookOffsets[[#This Row],[traceability_no]],2)</f>
        <v>J1</v>
      </c>
      <c r="W142" t="s">
        <v>582</v>
      </c>
      <c r="X142" t="s">
        <v>174</v>
      </c>
      <c r="Z142" s="461" t="str">
        <v>J710</v>
      </c>
      <c r="AA142" s="194" t="str">
        <v>J701-J710</v>
      </c>
      <c r="AG142" s="69" t="str">
        <v>J710</v>
      </c>
    </row>
    <row r="143" spans="1:33" x14ac:dyDescent="0.2">
      <c r="A143"/>
      <c r="B143"/>
      <c r="C143"/>
      <c r="D143"/>
      <c r="E143"/>
      <c r="F143" t="str">
        <f>LEFT(AllDaqbookOffsets[[#This Row],[traceability_no]],2)</f>
        <v>J1</v>
      </c>
      <c r="W143" t="s">
        <v>583</v>
      </c>
      <c r="X143" t="s">
        <v>174</v>
      </c>
      <c r="Z143" s="461" t="str">
        <v>K01</v>
      </c>
      <c r="AA143" s="194" t="str">
        <v>K01-K16</v>
      </c>
      <c r="AG143" s="69" t="str">
        <v>K01</v>
      </c>
    </row>
    <row r="144" spans="1:33" x14ac:dyDescent="0.2">
      <c r="A144"/>
      <c r="B144"/>
      <c r="C144"/>
      <c r="D144"/>
      <c r="E144"/>
      <c r="F144" t="str">
        <f>LEFT(AllDaqbookOffsets[[#This Row],[traceability_no]],2)</f>
        <v>J1</v>
      </c>
      <c r="W144" t="s">
        <v>584</v>
      </c>
      <c r="X144" t="s">
        <v>174</v>
      </c>
      <c r="Z144" s="461" t="str">
        <v>K02</v>
      </c>
      <c r="AA144" s="194" t="str">
        <v>K01-K16</v>
      </c>
      <c r="AG144" s="69" t="str">
        <v>K02</v>
      </c>
    </row>
    <row r="145" spans="1:33" x14ac:dyDescent="0.2">
      <c r="A145"/>
      <c r="B145"/>
      <c r="C145"/>
      <c r="D145"/>
      <c r="E145"/>
      <c r="F145" t="str">
        <f>LEFT(AllDaqbookOffsets[[#This Row],[traceability_no]],2)</f>
        <v>J1</v>
      </c>
      <c r="W145" t="s">
        <v>585</v>
      </c>
      <c r="X145" t="s">
        <v>174</v>
      </c>
      <c r="Z145" s="461" t="str">
        <v>K03</v>
      </c>
      <c r="AA145" s="194" t="str">
        <v>K01-K16</v>
      </c>
      <c r="AG145" s="69" t="str">
        <v>K03</v>
      </c>
    </row>
    <row r="146" spans="1:33" x14ac:dyDescent="0.2">
      <c r="A146"/>
      <c r="B146"/>
      <c r="C146"/>
      <c r="D146"/>
      <c r="E146"/>
      <c r="F146" t="str">
        <f>LEFT(AllDaqbookOffsets[[#This Row],[traceability_no]],2)</f>
        <v>J1</v>
      </c>
      <c r="W146" t="s">
        <v>586</v>
      </c>
      <c r="X146" t="s">
        <v>174</v>
      </c>
      <c r="Z146" s="461" t="str">
        <v>K04</v>
      </c>
      <c r="AA146" s="194" t="str">
        <v>K01-K16</v>
      </c>
      <c r="AG146" s="69" t="str">
        <v>K04</v>
      </c>
    </row>
    <row r="147" spans="1:33" x14ac:dyDescent="0.2">
      <c r="A147"/>
      <c r="B147"/>
      <c r="C147"/>
      <c r="D147"/>
      <c r="E147"/>
      <c r="F147" t="str">
        <f>LEFT(AllDaqbookOffsets[[#This Row],[traceability_no]],2)</f>
        <v>J1</v>
      </c>
      <c r="W147" t="s">
        <v>587</v>
      </c>
      <c r="X147" t="s">
        <v>174</v>
      </c>
      <c r="Z147" s="461" t="str">
        <v>K05</v>
      </c>
      <c r="AA147" s="194" t="str">
        <v>K01-K16</v>
      </c>
      <c r="AG147" s="69" t="str">
        <v>K05</v>
      </c>
    </row>
    <row r="148" spans="1:33" x14ac:dyDescent="0.2">
      <c r="A148"/>
      <c r="B148"/>
      <c r="C148"/>
      <c r="D148"/>
      <c r="E148"/>
      <c r="F148" t="str">
        <f>LEFT(AllDaqbookOffsets[[#This Row],[traceability_no]],2)</f>
        <v>J1</v>
      </c>
      <c r="W148" t="s">
        <v>588</v>
      </c>
      <c r="X148" t="s">
        <v>175</v>
      </c>
      <c r="Z148" s="461" t="str">
        <v>K06</v>
      </c>
      <c r="AA148" s="194" t="str">
        <v>K01-K16</v>
      </c>
      <c r="AG148" s="69" t="str">
        <v>K06</v>
      </c>
    </row>
    <row r="149" spans="1:33" x14ac:dyDescent="0.2">
      <c r="A149"/>
      <c r="B149"/>
      <c r="C149"/>
      <c r="D149"/>
      <c r="E149"/>
      <c r="F149" t="str">
        <f>LEFT(AllDaqbookOffsets[[#This Row],[traceability_no]],2)</f>
        <v>J1</v>
      </c>
      <c r="W149" t="s">
        <v>589</v>
      </c>
      <c r="X149" t="s">
        <v>175</v>
      </c>
      <c r="Z149" s="461" t="str">
        <v>K07</v>
      </c>
      <c r="AA149" s="194" t="str">
        <v>K01-K16</v>
      </c>
      <c r="AG149" s="69" t="str">
        <v>K07</v>
      </c>
    </row>
    <row r="150" spans="1:33" x14ac:dyDescent="0.2">
      <c r="A150"/>
      <c r="B150"/>
      <c r="C150"/>
      <c r="D150"/>
      <c r="E150"/>
      <c r="F150" t="str">
        <f>LEFT(AllDaqbookOffsets[[#This Row],[traceability_no]],2)</f>
        <v>J1</v>
      </c>
      <c r="W150" t="s">
        <v>590</v>
      </c>
      <c r="X150" t="s">
        <v>175</v>
      </c>
      <c r="Z150" s="461" t="str">
        <v>K08</v>
      </c>
      <c r="AA150" s="194" t="str">
        <v>K01-K16</v>
      </c>
      <c r="AG150" s="69" t="str">
        <v>K08</v>
      </c>
    </row>
    <row r="151" spans="1:33" x14ac:dyDescent="0.2">
      <c r="A151"/>
      <c r="B151"/>
      <c r="C151"/>
      <c r="D151"/>
      <c r="E151"/>
      <c r="F151" t="str">
        <f>LEFT(AllDaqbookOffsets[[#This Row],[traceability_no]],2)</f>
        <v>J1</v>
      </c>
      <c r="W151" t="s">
        <v>591</v>
      </c>
      <c r="X151" t="s">
        <v>175</v>
      </c>
      <c r="Z151" s="461" t="str">
        <v>K09</v>
      </c>
      <c r="AA151" s="194" t="str">
        <v>K01-K16</v>
      </c>
      <c r="AG151" s="69" t="str">
        <v>K09</v>
      </c>
    </row>
    <row r="152" spans="1:33" x14ac:dyDescent="0.2">
      <c r="A152"/>
      <c r="B152"/>
      <c r="C152"/>
      <c r="D152"/>
      <c r="E152"/>
      <c r="F152" t="str">
        <f>LEFT(AllDaqbookOffsets[[#This Row],[traceability_no]],2)</f>
        <v>J1</v>
      </c>
      <c r="W152" t="s">
        <v>592</v>
      </c>
      <c r="X152" t="s">
        <v>175</v>
      </c>
      <c r="Z152" s="461" t="str">
        <v>K10</v>
      </c>
      <c r="AA152" s="194" t="str">
        <v>K01-K16</v>
      </c>
      <c r="AG152" s="69" t="str">
        <v>K10</v>
      </c>
    </row>
    <row r="153" spans="1:33" x14ac:dyDescent="0.2">
      <c r="A153"/>
      <c r="B153"/>
      <c r="C153"/>
      <c r="D153"/>
      <c r="E153"/>
      <c r="F153" t="str">
        <f>LEFT(AllDaqbookOffsets[[#This Row],[traceability_no]],2)</f>
        <v>J1</v>
      </c>
      <c r="W153" t="s">
        <v>593</v>
      </c>
      <c r="X153" t="s">
        <v>175</v>
      </c>
      <c r="Z153" s="461" t="str">
        <v>K101</v>
      </c>
      <c r="AA153" s="194" t="str">
        <v>K101 - K110</v>
      </c>
      <c r="AG153" s="69" t="str">
        <v>K101</v>
      </c>
    </row>
    <row r="154" spans="1:33" x14ac:dyDescent="0.2">
      <c r="A154"/>
      <c r="B154"/>
      <c r="C154"/>
      <c r="D154"/>
      <c r="E154"/>
      <c r="F154" t="str">
        <f>LEFT(AllDaqbookOffsets[[#This Row],[traceability_no]],2)</f>
        <v>J1</v>
      </c>
      <c r="W154" t="s">
        <v>594</v>
      </c>
      <c r="X154" t="s">
        <v>175</v>
      </c>
      <c r="Z154" s="461" t="str">
        <v>K102</v>
      </c>
      <c r="AA154" s="194" t="str">
        <v>K101 - K110</v>
      </c>
      <c r="AG154" s="69" t="str">
        <v>K102</v>
      </c>
    </row>
    <row r="155" spans="1:33" x14ac:dyDescent="0.2">
      <c r="A155"/>
      <c r="B155"/>
      <c r="C155"/>
      <c r="D155"/>
      <c r="E155"/>
      <c r="F155" t="str">
        <f>LEFT(AllDaqbookOffsets[[#This Row],[traceability_no]],2)</f>
        <v>J1</v>
      </c>
      <c r="W155" t="s">
        <v>595</v>
      </c>
      <c r="X155" t="s">
        <v>175</v>
      </c>
      <c r="Z155" s="461" t="str">
        <v>K103</v>
      </c>
      <c r="AA155" s="194" t="str">
        <v>K101 - K110</v>
      </c>
      <c r="AG155" s="69" t="str">
        <v>K103</v>
      </c>
    </row>
    <row r="156" spans="1:33" x14ac:dyDescent="0.2">
      <c r="A156"/>
      <c r="B156"/>
      <c r="C156"/>
      <c r="D156"/>
      <c r="E156"/>
      <c r="F156" t="str">
        <f>LEFT(AllDaqbookOffsets[[#This Row],[traceability_no]],2)</f>
        <v>J1</v>
      </c>
      <c r="W156" t="s">
        <v>596</v>
      </c>
      <c r="X156" t="s">
        <v>175</v>
      </c>
      <c r="Z156" s="461" t="str">
        <v>K104</v>
      </c>
      <c r="AA156" s="194" t="str">
        <v>K101 - K110</v>
      </c>
      <c r="AG156" s="69" t="str">
        <v>K104</v>
      </c>
    </row>
    <row r="157" spans="1:33" x14ac:dyDescent="0.2">
      <c r="A157"/>
      <c r="B157"/>
      <c r="C157"/>
      <c r="D157"/>
      <c r="E157"/>
      <c r="F157" t="str">
        <f>LEFT(AllDaqbookOffsets[[#This Row],[traceability_no]],2)</f>
        <v>J1</v>
      </c>
      <c r="W157" t="s">
        <v>597</v>
      </c>
      <c r="X157" t="s">
        <v>175</v>
      </c>
      <c r="Z157" s="461" t="str">
        <v>K105</v>
      </c>
      <c r="AA157" s="194" t="str">
        <v>K101 - K110</v>
      </c>
      <c r="AG157" s="69" t="str">
        <v>K105</v>
      </c>
    </row>
    <row r="158" spans="1:33" x14ac:dyDescent="0.2">
      <c r="A158"/>
      <c r="B158"/>
      <c r="C158"/>
      <c r="D158"/>
      <c r="E158"/>
      <c r="F158" t="str">
        <f>LEFT(AllDaqbookOffsets[[#This Row],[traceability_no]],2)</f>
        <v>J1</v>
      </c>
      <c r="W158" t="s">
        <v>598</v>
      </c>
      <c r="X158" t="s">
        <v>175</v>
      </c>
      <c r="Z158" s="461" t="str">
        <v>K106</v>
      </c>
      <c r="AA158" s="194" t="str">
        <v>K101 - K110</v>
      </c>
      <c r="AG158" s="69" t="str">
        <v>K106</v>
      </c>
    </row>
    <row r="159" spans="1:33" x14ac:dyDescent="0.2">
      <c r="A159"/>
      <c r="B159"/>
      <c r="C159"/>
      <c r="D159"/>
      <c r="E159"/>
      <c r="F159" t="str">
        <f>LEFT(AllDaqbookOffsets[[#This Row],[traceability_no]],2)</f>
        <v>J1</v>
      </c>
      <c r="W159" t="s">
        <v>599</v>
      </c>
      <c r="X159" t="s">
        <v>175</v>
      </c>
      <c r="Z159" s="461" t="str">
        <v>K107</v>
      </c>
      <c r="AA159" s="194" t="str">
        <v>K101 - K110</v>
      </c>
      <c r="AG159" s="69" t="str">
        <v>K107</v>
      </c>
    </row>
    <row r="160" spans="1:33" x14ac:dyDescent="0.2">
      <c r="A160"/>
      <c r="B160"/>
      <c r="C160"/>
      <c r="D160"/>
      <c r="E160"/>
      <c r="F160" t="str">
        <f>LEFT(AllDaqbookOffsets[[#This Row],[traceability_no]],2)</f>
        <v>J1</v>
      </c>
      <c r="W160" t="s">
        <v>600</v>
      </c>
      <c r="X160" t="s">
        <v>175</v>
      </c>
      <c r="Z160" s="461" t="str">
        <v>K108</v>
      </c>
      <c r="AA160" s="194" t="str">
        <v>K101 - K110</v>
      </c>
      <c r="AG160" s="69" t="str">
        <v>K108</v>
      </c>
    </row>
    <row r="161" spans="1:33" x14ac:dyDescent="0.2">
      <c r="A161"/>
      <c r="B161"/>
      <c r="C161"/>
      <c r="D161"/>
      <c r="E161"/>
      <c r="F161" t="str">
        <f>LEFT(AllDaqbookOffsets[[#This Row],[traceability_no]],2)</f>
        <v>J1</v>
      </c>
      <c r="W161" t="s">
        <v>601</v>
      </c>
      <c r="X161" t="s">
        <v>175</v>
      </c>
      <c r="Z161" s="461" t="str">
        <v>K109</v>
      </c>
      <c r="AA161" s="194" t="str">
        <v>K101 - K110</v>
      </c>
      <c r="AG161" s="69" t="str">
        <v>K109</v>
      </c>
    </row>
    <row r="162" spans="1:33" x14ac:dyDescent="0.2">
      <c r="A162"/>
      <c r="B162"/>
      <c r="C162"/>
      <c r="D162"/>
      <c r="E162"/>
      <c r="F162" t="str">
        <f>LEFT(AllDaqbookOffsets[[#This Row],[traceability_no]],2)</f>
        <v>J1</v>
      </c>
      <c r="W162" t="s">
        <v>602</v>
      </c>
      <c r="X162" t="s">
        <v>176</v>
      </c>
      <c r="Z162" s="461" t="str">
        <v>K11</v>
      </c>
      <c r="AA162" s="194" t="str">
        <v>K01-K16</v>
      </c>
      <c r="AG162" s="69" t="str">
        <v>K11</v>
      </c>
    </row>
    <row r="163" spans="1:33" x14ac:dyDescent="0.2">
      <c r="A163"/>
      <c r="B163"/>
      <c r="C163"/>
      <c r="D163"/>
      <c r="E163"/>
      <c r="F163" t="str">
        <f>LEFT(AllDaqbookOffsets[[#This Row],[traceability_no]],2)</f>
        <v>J1</v>
      </c>
      <c r="W163" t="s">
        <v>603</v>
      </c>
      <c r="X163" t="s">
        <v>176</v>
      </c>
      <c r="Z163" s="461" t="str">
        <v>K110</v>
      </c>
      <c r="AA163" s="194" t="str">
        <v>K101 - K110</v>
      </c>
      <c r="AG163" s="69" t="str">
        <v>K110</v>
      </c>
    </row>
    <row r="164" spans="1:33" x14ac:dyDescent="0.2">
      <c r="A164"/>
      <c r="B164"/>
      <c r="C164"/>
      <c r="D164"/>
      <c r="E164"/>
      <c r="F164" t="str">
        <f>LEFT(AllDaqbookOffsets[[#This Row],[traceability_no]],2)</f>
        <v>J1</v>
      </c>
      <c r="W164" t="s">
        <v>604</v>
      </c>
      <c r="X164" t="s">
        <v>176</v>
      </c>
      <c r="Z164" s="461" t="str">
        <v>K12</v>
      </c>
      <c r="AA164" s="194" t="str">
        <v>K01-K16</v>
      </c>
      <c r="AG164" s="69" t="str">
        <v>K12</v>
      </c>
    </row>
    <row r="165" spans="1:33" x14ac:dyDescent="0.2">
      <c r="A165"/>
      <c r="B165"/>
      <c r="C165"/>
      <c r="D165"/>
      <c r="E165"/>
      <c r="F165" t="str">
        <f>LEFT(AllDaqbookOffsets[[#This Row],[traceability_no]],2)</f>
        <v>J1</v>
      </c>
      <c r="W165" t="s">
        <v>605</v>
      </c>
      <c r="X165" t="s">
        <v>176</v>
      </c>
      <c r="Z165" s="461" t="str">
        <v>K13</v>
      </c>
      <c r="AA165" s="194" t="str">
        <v>K01-K16</v>
      </c>
      <c r="AG165" s="69" t="str">
        <v>K13</v>
      </c>
    </row>
    <row r="166" spans="1:33" x14ac:dyDescent="0.2">
      <c r="A166"/>
      <c r="B166"/>
      <c r="C166"/>
      <c r="D166"/>
      <c r="E166"/>
      <c r="F166" t="str">
        <f>LEFT(AllDaqbookOffsets[[#This Row],[traceability_no]],2)</f>
        <v>J1</v>
      </c>
      <c r="W166" t="s">
        <v>606</v>
      </c>
      <c r="X166" t="s">
        <v>176</v>
      </c>
      <c r="Z166" s="461" t="str">
        <v>K14</v>
      </c>
      <c r="AA166" s="194" t="str">
        <v>K01-K16</v>
      </c>
      <c r="AG166" s="69" t="str">
        <v>K14</v>
      </c>
    </row>
    <row r="167" spans="1:33" x14ac:dyDescent="0.2">
      <c r="A167"/>
      <c r="B167"/>
      <c r="C167"/>
      <c r="D167"/>
      <c r="E167"/>
      <c r="F167" t="str">
        <f>LEFT(AllDaqbookOffsets[[#This Row],[traceability_no]],2)</f>
        <v>J1</v>
      </c>
      <c r="W167" t="s">
        <v>607</v>
      </c>
      <c r="X167" t="s">
        <v>176</v>
      </c>
      <c r="Z167" s="461" t="str">
        <v>K15</v>
      </c>
      <c r="AA167" s="194" t="str">
        <v>K01-K16</v>
      </c>
      <c r="AG167" s="69" t="str">
        <v>K15</v>
      </c>
    </row>
    <row r="168" spans="1:33" x14ac:dyDescent="0.2">
      <c r="A168"/>
      <c r="B168"/>
      <c r="C168"/>
      <c r="D168"/>
      <c r="E168"/>
      <c r="F168" t="str">
        <f>LEFT(AllDaqbookOffsets[[#This Row],[traceability_no]],2)</f>
        <v>J1</v>
      </c>
      <c r="W168" t="s">
        <v>608</v>
      </c>
      <c r="X168" t="s">
        <v>176</v>
      </c>
      <c r="Z168" s="461" t="str">
        <v>K16</v>
      </c>
      <c r="AA168" s="194" t="str">
        <v>K01-K16</v>
      </c>
      <c r="AG168" s="69" t="str">
        <v>K16</v>
      </c>
    </row>
    <row r="169" spans="1:33" x14ac:dyDescent="0.2">
      <c r="A169"/>
      <c r="B169"/>
      <c r="C169"/>
      <c r="D169"/>
      <c r="E169"/>
      <c r="F169" t="str">
        <f>LEFT(AllDaqbookOffsets[[#This Row],[traceability_no]],2)</f>
        <v>J1</v>
      </c>
      <c r="W169" t="s">
        <v>609</v>
      </c>
      <c r="X169" t="s">
        <v>176</v>
      </c>
      <c r="Z169" s="461" t="str">
        <v>K201</v>
      </c>
      <c r="AA169" s="194" t="str">
        <v>K201-K214</v>
      </c>
      <c r="AG169" s="69" t="str">
        <v>K201</v>
      </c>
    </row>
    <row r="170" spans="1:33" x14ac:dyDescent="0.2">
      <c r="A170"/>
      <c r="B170"/>
      <c r="C170"/>
      <c r="D170"/>
      <c r="E170"/>
      <c r="F170" t="str">
        <f>LEFT(AllDaqbookOffsets[[#This Row],[traceability_no]],2)</f>
        <v>J1</v>
      </c>
      <c r="W170" t="s">
        <v>610</v>
      </c>
      <c r="X170" t="s">
        <v>176</v>
      </c>
      <c r="Z170" s="461" t="str">
        <v>K202</v>
      </c>
      <c r="AA170" s="194" t="str">
        <v>K201-K214</v>
      </c>
      <c r="AG170" s="69" t="str">
        <v>K202</v>
      </c>
    </row>
    <row r="171" spans="1:33" x14ac:dyDescent="0.2">
      <c r="A171"/>
      <c r="B171"/>
      <c r="C171"/>
      <c r="D171"/>
      <c r="E171"/>
      <c r="F171" t="str">
        <f>LEFT(AllDaqbookOffsets[[#This Row],[traceability_no]],2)</f>
        <v>J1</v>
      </c>
      <c r="W171" t="s">
        <v>611</v>
      </c>
      <c r="X171" t="s">
        <v>176</v>
      </c>
      <c r="Z171" s="461" t="str">
        <v>K203</v>
      </c>
      <c r="AA171" s="194" t="str">
        <v>K201-K214</v>
      </c>
      <c r="AG171" s="69" t="str">
        <v>K203</v>
      </c>
    </row>
    <row r="172" spans="1:33" x14ac:dyDescent="0.2">
      <c r="A172"/>
      <c r="B172"/>
      <c r="C172"/>
      <c r="D172"/>
      <c r="E172"/>
      <c r="F172" t="str">
        <f>LEFT(AllDaqbookOffsets[[#This Row],[traceability_no]],2)</f>
        <v>J1</v>
      </c>
      <c r="W172" t="s">
        <v>612</v>
      </c>
      <c r="X172" t="s">
        <v>176</v>
      </c>
      <c r="Z172" s="461" t="str">
        <v>K204</v>
      </c>
      <c r="AA172" s="194" t="str">
        <v>K201-K214</v>
      </c>
      <c r="AG172" s="69" t="str">
        <v>K204</v>
      </c>
    </row>
    <row r="173" spans="1:33" x14ac:dyDescent="0.2">
      <c r="A173"/>
      <c r="B173"/>
      <c r="C173"/>
      <c r="D173"/>
      <c r="E173"/>
      <c r="F173" t="str">
        <f>LEFT(AllDaqbookOffsets[[#This Row],[traceability_no]],2)</f>
        <v>J1</v>
      </c>
      <c r="W173" t="s">
        <v>613</v>
      </c>
      <c r="X173" t="s">
        <v>176</v>
      </c>
      <c r="Z173" s="461" t="str">
        <v>K205</v>
      </c>
      <c r="AA173" s="194" t="str">
        <v>K201-K214</v>
      </c>
      <c r="AG173" s="69" t="str">
        <v>K205</v>
      </c>
    </row>
    <row r="174" spans="1:33" x14ac:dyDescent="0.2">
      <c r="A174"/>
      <c r="B174"/>
      <c r="C174"/>
      <c r="D174"/>
      <c r="E174"/>
      <c r="F174" t="str">
        <f>LEFT(AllDaqbookOffsets[[#This Row],[traceability_no]],2)</f>
        <v>J1</v>
      </c>
      <c r="W174" t="s">
        <v>614</v>
      </c>
      <c r="X174" t="s">
        <v>176</v>
      </c>
      <c r="Z174" s="461" t="str">
        <v>K206</v>
      </c>
      <c r="AA174" s="194" t="str">
        <v>K201-K214</v>
      </c>
      <c r="AG174" s="69" t="str">
        <v>K206</v>
      </c>
    </row>
    <row r="175" spans="1:33" x14ac:dyDescent="0.2">
      <c r="A175"/>
      <c r="B175"/>
      <c r="C175"/>
      <c r="D175"/>
      <c r="E175"/>
      <c r="F175" t="str">
        <f>LEFT(AllDaqbookOffsets[[#This Row],[traceability_no]],2)</f>
        <v>J1</v>
      </c>
      <c r="W175" t="s">
        <v>615</v>
      </c>
      <c r="X175" t="s">
        <v>176</v>
      </c>
      <c r="Z175" s="461" t="str">
        <v>K207</v>
      </c>
      <c r="AA175" s="194" t="str">
        <v>K201-K214</v>
      </c>
      <c r="AG175" s="69" t="str">
        <v>K207</v>
      </c>
    </row>
    <row r="176" spans="1:33" x14ac:dyDescent="0.2">
      <c r="A176"/>
      <c r="B176"/>
      <c r="C176"/>
      <c r="D176"/>
      <c r="E176"/>
      <c r="F176" t="str">
        <f>LEFT(AllDaqbookOffsets[[#This Row],[traceability_no]],2)</f>
        <v>J1</v>
      </c>
      <c r="W176" t="s">
        <v>616</v>
      </c>
      <c r="X176" t="s">
        <v>176</v>
      </c>
      <c r="Z176" s="461" t="str">
        <v>K208</v>
      </c>
      <c r="AA176" s="194" t="str">
        <v>K201-K214</v>
      </c>
      <c r="AG176" s="69" t="str">
        <v>K208</v>
      </c>
    </row>
    <row r="177" spans="1:33" x14ac:dyDescent="0.2">
      <c r="A177"/>
      <c r="B177"/>
      <c r="C177"/>
      <c r="D177"/>
      <c r="E177"/>
      <c r="F177" t="str">
        <f>LEFT(AllDaqbookOffsets[[#This Row],[traceability_no]],2)</f>
        <v>J1</v>
      </c>
      <c r="W177" t="s">
        <v>617</v>
      </c>
      <c r="X177" t="s">
        <v>176</v>
      </c>
      <c r="Z177" s="461" t="str">
        <v>K209</v>
      </c>
      <c r="AA177" s="194" t="str">
        <v>K201-K214</v>
      </c>
      <c r="AG177" s="69" t="str">
        <v>K209</v>
      </c>
    </row>
    <row r="178" spans="1:33" x14ac:dyDescent="0.2">
      <c r="A178"/>
      <c r="B178"/>
      <c r="C178"/>
      <c r="D178"/>
      <c r="E178"/>
      <c r="F178" t="str">
        <f>LEFT(AllDaqbookOffsets[[#This Row],[traceability_no]],2)</f>
        <v>J1</v>
      </c>
      <c r="W178" t="s">
        <v>618</v>
      </c>
      <c r="X178" t="s">
        <v>177</v>
      </c>
      <c r="Z178" s="461" t="str">
        <v>K210</v>
      </c>
      <c r="AA178" s="194" t="str">
        <v>K201-K214</v>
      </c>
      <c r="AG178" s="69" t="str">
        <v>K210</v>
      </c>
    </row>
    <row r="179" spans="1:33" x14ac:dyDescent="0.2">
      <c r="A179"/>
      <c r="B179"/>
      <c r="C179"/>
      <c r="D179"/>
      <c r="E179"/>
      <c r="F179" t="str">
        <f>LEFT(AllDaqbookOffsets[[#This Row],[traceability_no]],2)</f>
        <v>J1</v>
      </c>
      <c r="W179" t="s">
        <v>619</v>
      </c>
      <c r="X179" t="s">
        <v>177</v>
      </c>
      <c r="Z179" s="461" t="str">
        <v>K211</v>
      </c>
      <c r="AA179" s="194" t="str">
        <v>K201-K214</v>
      </c>
      <c r="AG179" s="69" t="str">
        <v>K211</v>
      </c>
    </row>
    <row r="180" spans="1:33" x14ac:dyDescent="0.2">
      <c r="A180"/>
      <c r="B180"/>
      <c r="C180"/>
      <c r="D180"/>
      <c r="E180"/>
      <c r="F180" t="str">
        <f>LEFT(AllDaqbookOffsets[[#This Row],[traceability_no]],2)</f>
        <v>J1</v>
      </c>
      <c r="W180" t="s">
        <v>620</v>
      </c>
      <c r="X180" t="s">
        <v>177</v>
      </c>
      <c r="Z180" s="461" t="str">
        <v>K212</v>
      </c>
      <c r="AA180" s="194" t="str">
        <v>K201-K214</v>
      </c>
      <c r="AG180" s="69" t="str">
        <v>K212</v>
      </c>
    </row>
    <row r="181" spans="1:33" x14ac:dyDescent="0.2">
      <c r="A181"/>
      <c r="B181"/>
      <c r="C181"/>
      <c r="D181"/>
      <c r="E181"/>
      <c r="F181" t="str">
        <f>LEFT(AllDaqbookOffsets[[#This Row],[traceability_no]],2)</f>
        <v>J1</v>
      </c>
      <c r="W181" t="s">
        <v>621</v>
      </c>
      <c r="X181" t="s">
        <v>177</v>
      </c>
      <c r="Z181" s="461" t="str">
        <v>K213</v>
      </c>
      <c r="AA181" s="194" t="str">
        <v>K201-K214</v>
      </c>
      <c r="AG181" s="69" t="str">
        <v>K213</v>
      </c>
    </row>
    <row r="182" spans="1:33" x14ac:dyDescent="0.2">
      <c r="A182"/>
      <c r="B182"/>
      <c r="C182"/>
      <c r="D182"/>
      <c r="E182"/>
      <c r="F182" t="str">
        <f>LEFT(AllDaqbookOffsets[[#This Row],[traceability_no]],2)</f>
        <v>J1</v>
      </c>
      <c r="W182" t="s">
        <v>622</v>
      </c>
      <c r="X182" t="s">
        <v>177</v>
      </c>
      <c r="Z182" s="461" t="str">
        <v>K214</v>
      </c>
      <c r="AA182" s="194" t="str">
        <v>K201-K214</v>
      </c>
      <c r="AG182" s="69" t="str">
        <v>K214</v>
      </c>
    </row>
    <row r="183" spans="1:33" x14ac:dyDescent="0.2">
      <c r="A183"/>
      <c r="B183"/>
      <c r="C183"/>
      <c r="D183"/>
      <c r="E183"/>
      <c r="F183" t="str">
        <f>LEFT(AllDaqbookOffsets[[#This Row],[traceability_no]],2)</f>
        <v>J1</v>
      </c>
      <c r="W183" t="s">
        <v>623</v>
      </c>
      <c r="X183" t="s">
        <v>177</v>
      </c>
      <c r="Z183" s="461" t="str">
        <v>K301</v>
      </c>
      <c r="AA183" s="194" t="str">
        <v>K301-K314</v>
      </c>
      <c r="AG183" s="69" t="str">
        <v>K301</v>
      </c>
    </row>
    <row r="184" spans="1:33" x14ac:dyDescent="0.2">
      <c r="A184"/>
      <c r="B184"/>
      <c r="C184"/>
      <c r="D184"/>
      <c r="E184"/>
      <c r="F184" t="str">
        <f>LEFT(AllDaqbookOffsets[[#This Row],[traceability_no]],2)</f>
        <v>J1</v>
      </c>
      <c r="W184" t="s">
        <v>624</v>
      </c>
      <c r="X184" t="s">
        <v>177</v>
      </c>
      <c r="Z184" s="461" t="str">
        <v>K302</v>
      </c>
      <c r="AA184" s="194" t="str">
        <v>K301-K314</v>
      </c>
      <c r="AG184" s="69" t="str">
        <v>K302</v>
      </c>
    </row>
    <row r="185" spans="1:33" x14ac:dyDescent="0.2">
      <c r="A185"/>
      <c r="B185"/>
      <c r="C185"/>
      <c r="D185"/>
      <c r="E185"/>
      <c r="F185" t="str">
        <f>LEFT(AllDaqbookOffsets[[#This Row],[traceability_no]],2)</f>
        <v>J1</v>
      </c>
      <c r="W185" t="s">
        <v>625</v>
      </c>
      <c r="X185" t="s">
        <v>177</v>
      </c>
      <c r="Z185" s="461" t="str">
        <v>K303</v>
      </c>
      <c r="AA185" s="194" t="str">
        <v>K301-K314</v>
      </c>
      <c r="AG185" s="69" t="str">
        <v>K303</v>
      </c>
    </row>
    <row r="186" spans="1:33" x14ac:dyDescent="0.2">
      <c r="A186"/>
      <c r="B186"/>
      <c r="C186"/>
      <c r="D186"/>
      <c r="E186"/>
      <c r="F186" t="str">
        <f>LEFT(AllDaqbookOffsets[[#This Row],[traceability_no]],2)</f>
        <v>J1</v>
      </c>
      <c r="W186" t="s">
        <v>626</v>
      </c>
      <c r="X186" t="s">
        <v>177</v>
      </c>
      <c r="Z186" s="461" t="str">
        <v>K304</v>
      </c>
      <c r="AA186" s="194" t="str">
        <v>K301-K314</v>
      </c>
      <c r="AG186" s="69" t="str">
        <v>K304</v>
      </c>
    </row>
    <row r="187" spans="1:33" x14ac:dyDescent="0.2">
      <c r="A187"/>
      <c r="B187"/>
      <c r="C187"/>
      <c r="D187"/>
      <c r="E187"/>
      <c r="F187" t="str">
        <f>LEFT(AllDaqbookOffsets[[#This Row],[traceability_no]],2)</f>
        <v>J1</v>
      </c>
      <c r="W187" t="s">
        <v>627</v>
      </c>
      <c r="X187" t="s">
        <v>177</v>
      </c>
      <c r="Z187" s="461" t="str">
        <v>K305</v>
      </c>
      <c r="AA187" s="194" t="str">
        <v>K301-K314</v>
      </c>
      <c r="AG187" s="69" t="str">
        <v>K305</v>
      </c>
    </row>
    <row r="188" spans="1:33" x14ac:dyDescent="0.2">
      <c r="A188"/>
      <c r="B188"/>
      <c r="C188"/>
      <c r="D188"/>
      <c r="E188"/>
      <c r="F188" t="str">
        <f>LEFT(AllDaqbookOffsets[[#This Row],[traceability_no]],2)</f>
        <v>J1</v>
      </c>
      <c r="W188" t="s">
        <v>628</v>
      </c>
      <c r="X188" t="s">
        <v>177</v>
      </c>
      <c r="Z188" s="461" t="str">
        <v>K306</v>
      </c>
      <c r="AA188" s="194" t="str">
        <v>K301-K314</v>
      </c>
      <c r="AG188" s="69" t="str">
        <v>K306</v>
      </c>
    </row>
    <row r="189" spans="1:33" x14ac:dyDescent="0.2">
      <c r="A189"/>
      <c r="B189"/>
      <c r="C189"/>
      <c r="D189"/>
      <c r="E189"/>
      <c r="F189" t="str">
        <f>LEFT(AllDaqbookOffsets[[#This Row],[traceability_no]],2)</f>
        <v>J1</v>
      </c>
      <c r="W189" t="s">
        <v>629</v>
      </c>
      <c r="X189" t="s">
        <v>177</v>
      </c>
      <c r="Z189" s="461" t="str">
        <v>K307</v>
      </c>
      <c r="AA189" s="194" t="str">
        <v>K301-K314</v>
      </c>
      <c r="AG189" s="69" t="str">
        <v>K307</v>
      </c>
    </row>
    <row r="190" spans="1:33" x14ac:dyDescent="0.2">
      <c r="A190"/>
      <c r="B190"/>
      <c r="C190"/>
      <c r="D190"/>
      <c r="E190"/>
      <c r="F190" t="str">
        <f>LEFT(AllDaqbookOffsets[[#This Row],[traceability_no]],2)</f>
        <v>J1</v>
      </c>
      <c r="W190" t="s">
        <v>630</v>
      </c>
      <c r="X190" t="s">
        <v>177</v>
      </c>
      <c r="Z190" s="461" t="str">
        <v>K308</v>
      </c>
      <c r="AA190" s="194" t="str">
        <v>K301-K314</v>
      </c>
      <c r="AG190" s="69" t="str">
        <v>K308</v>
      </c>
    </row>
    <row r="191" spans="1:33" x14ac:dyDescent="0.2">
      <c r="A191"/>
      <c r="B191"/>
      <c r="C191"/>
      <c r="D191"/>
      <c r="E191"/>
      <c r="F191" t="str">
        <f>LEFT(AllDaqbookOffsets[[#This Row],[traceability_no]],2)</f>
        <v>J1</v>
      </c>
      <c r="W191" t="s">
        <v>631</v>
      </c>
      <c r="X191" t="s">
        <v>177</v>
      </c>
      <c r="Z191" s="461" t="str">
        <v>K309</v>
      </c>
      <c r="AA191" s="194" t="str">
        <v>K301-K314</v>
      </c>
      <c r="AG191" s="69" t="str">
        <v>K309</v>
      </c>
    </row>
    <row r="192" spans="1:33" x14ac:dyDescent="0.2">
      <c r="A192"/>
      <c r="B192"/>
      <c r="C192"/>
      <c r="D192"/>
      <c r="E192"/>
      <c r="F192" t="str">
        <f>LEFT(AllDaqbookOffsets[[#This Row],[traceability_no]],2)</f>
        <v>J1</v>
      </c>
      <c r="W192" t="s">
        <v>632</v>
      </c>
      <c r="X192" t="s">
        <v>178</v>
      </c>
      <c r="Z192" s="461" t="str">
        <v>K310</v>
      </c>
      <c r="AA192" s="194" t="str">
        <v>K301-K314</v>
      </c>
      <c r="AG192" s="69" t="str">
        <v>K310</v>
      </c>
    </row>
    <row r="193" spans="1:33" x14ac:dyDescent="0.2">
      <c r="A193"/>
      <c r="B193"/>
      <c r="C193"/>
      <c r="D193"/>
      <c r="E193"/>
      <c r="F193" t="str">
        <f>LEFT(AllDaqbookOffsets[[#This Row],[traceability_no]],2)</f>
        <v>J1</v>
      </c>
      <c r="W193" t="s">
        <v>633</v>
      </c>
      <c r="X193" t="s">
        <v>178</v>
      </c>
      <c r="Z193" s="461" t="str">
        <v>K311</v>
      </c>
      <c r="AA193" s="194" t="str">
        <v>K301-K314</v>
      </c>
      <c r="AG193" s="69" t="str">
        <v>K311</v>
      </c>
    </row>
    <row r="194" spans="1:33" x14ac:dyDescent="0.2">
      <c r="A194"/>
      <c r="B194"/>
      <c r="C194"/>
      <c r="D194"/>
      <c r="E194"/>
      <c r="F194" t="str">
        <f>LEFT(AllDaqbookOffsets[[#This Row],[traceability_no]],2)</f>
        <v>J1</v>
      </c>
      <c r="W194" t="s">
        <v>634</v>
      </c>
      <c r="X194" t="s">
        <v>178</v>
      </c>
      <c r="Z194" s="461" t="str">
        <v>K312</v>
      </c>
      <c r="AA194" s="194" t="str">
        <v>K301-K314</v>
      </c>
      <c r="AG194" s="69" t="str">
        <v>K312</v>
      </c>
    </row>
    <row r="195" spans="1:33" x14ac:dyDescent="0.2">
      <c r="A195"/>
      <c r="B195"/>
      <c r="C195"/>
      <c r="D195"/>
      <c r="E195"/>
      <c r="F195" t="str">
        <f>LEFT(AllDaqbookOffsets[[#This Row],[traceability_no]],2)</f>
        <v>J1</v>
      </c>
      <c r="W195" t="s">
        <v>635</v>
      </c>
      <c r="X195" t="s">
        <v>178</v>
      </c>
      <c r="Z195" s="461" t="str">
        <v>K313</v>
      </c>
      <c r="AA195" s="194" t="str">
        <v>K301-K314</v>
      </c>
      <c r="AG195" s="69" t="str">
        <v>K313</v>
      </c>
    </row>
    <row r="196" spans="1:33" x14ac:dyDescent="0.2">
      <c r="A196"/>
      <c r="B196"/>
      <c r="C196"/>
      <c r="D196"/>
      <c r="E196"/>
      <c r="F196" t="str">
        <f>LEFT(AllDaqbookOffsets[[#This Row],[traceability_no]],2)</f>
        <v>J1</v>
      </c>
      <c r="W196" t="s">
        <v>636</v>
      </c>
      <c r="X196" t="s">
        <v>178</v>
      </c>
      <c r="Z196" s="461" t="str">
        <v>K314</v>
      </c>
      <c r="AA196" s="194" t="str">
        <v>K301-K314</v>
      </c>
      <c r="AG196" s="69" t="str">
        <v>K314</v>
      </c>
    </row>
    <row r="197" spans="1:33" x14ac:dyDescent="0.2">
      <c r="A197"/>
      <c r="B197"/>
      <c r="C197"/>
      <c r="D197"/>
      <c r="E197"/>
      <c r="F197" t="str">
        <f>LEFT(AllDaqbookOffsets[[#This Row],[traceability_no]],2)</f>
        <v>J1</v>
      </c>
      <c r="W197" t="s">
        <v>637</v>
      </c>
      <c r="X197" t="s">
        <v>178</v>
      </c>
      <c r="Z197" s="461" t="str">
        <v>K401</v>
      </c>
      <c r="AA197" s="194" t="str">
        <v>K401-K416</v>
      </c>
      <c r="AG197" s="69" t="str">
        <v>K401</v>
      </c>
    </row>
    <row r="198" spans="1:33" x14ac:dyDescent="0.2">
      <c r="A198"/>
      <c r="B198"/>
      <c r="C198"/>
      <c r="D198"/>
      <c r="E198"/>
      <c r="F198" t="str">
        <f>LEFT(AllDaqbookOffsets[[#This Row],[traceability_no]],2)</f>
        <v>J1</v>
      </c>
      <c r="W198" t="s">
        <v>638</v>
      </c>
      <c r="X198" t="s">
        <v>178</v>
      </c>
      <c r="Z198" s="461" t="str">
        <v>K402</v>
      </c>
      <c r="AA198" s="194" t="str">
        <v>K401-K416</v>
      </c>
      <c r="AG198" s="69" t="str">
        <v>K402</v>
      </c>
    </row>
    <row r="199" spans="1:33" x14ac:dyDescent="0.2">
      <c r="A199"/>
      <c r="B199"/>
      <c r="C199"/>
      <c r="D199"/>
      <c r="E199"/>
      <c r="F199" t="str">
        <f>LEFT(AllDaqbookOffsets[[#This Row],[traceability_no]],2)</f>
        <v>J1</v>
      </c>
      <c r="W199" t="s">
        <v>639</v>
      </c>
      <c r="X199" t="s">
        <v>178</v>
      </c>
      <c r="Z199" s="461" t="str">
        <v>K403</v>
      </c>
      <c r="AA199" s="194" t="str">
        <v>K401-K416</v>
      </c>
      <c r="AG199" s="69" t="str">
        <v>K403</v>
      </c>
    </row>
    <row r="200" spans="1:33" x14ac:dyDescent="0.2">
      <c r="A200"/>
      <c r="B200"/>
      <c r="C200"/>
      <c r="D200"/>
      <c r="E200"/>
      <c r="F200" t="str">
        <f>LEFT(AllDaqbookOffsets[[#This Row],[traceability_no]],2)</f>
        <v>J1</v>
      </c>
      <c r="W200" t="s">
        <v>640</v>
      </c>
      <c r="X200" t="s">
        <v>178</v>
      </c>
      <c r="Z200" s="461" t="str">
        <v>K404</v>
      </c>
      <c r="AA200" s="194" t="str">
        <v>K401-K416</v>
      </c>
      <c r="AG200" s="69" t="str">
        <v>K404</v>
      </c>
    </row>
    <row r="201" spans="1:33" x14ac:dyDescent="0.2">
      <c r="A201"/>
      <c r="B201"/>
      <c r="C201"/>
      <c r="D201"/>
      <c r="E201"/>
      <c r="F201" t="str">
        <f>LEFT(AllDaqbookOffsets[[#This Row],[traceability_no]],2)</f>
        <v>J1</v>
      </c>
      <c r="W201" t="s">
        <v>641</v>
      </c>
      <c r="X201" t="s">
        <v>178</v>
      </c>
      <c r="Z201" s="461" t="str">
        <v>K405</v>
      </c>
      <c r="AA201" s="194" t="str">
        <v>K401-K416</v>
      </c>
      <c r="AG201" s="69" t="str">
        <v>K405</v>
      </c>
    </row>
    <row r="202" spans="1:33" x14ac:dyDescent="0.2">
      <c r="A202"/>
      <c r="B202"/>
      <c r="C202"/>
      <c r="D202"/>
      <c r="E202"/>
      <c r="F202" t="str">
        <f>LEFT(AllDaqbookOffsets[[#This Row],[traceability_no]],2)</f>
        <v>J1</v>
      </c>
      <c r="W202" t="s">
        <v>642</v>
      </c>
      <c r="X202" t="s">
        <v>179</v>
      </c>
      <c r="Z202" s="461" t="str">
        <v>K406</v>
      </c>
      <c r="AA202" s="194" t="str">
        <v>K401-K416</v>
      </c>
      <c r="AG202" s="69" t="str">
        <v>K406</v>
      </c>
    </row>
    <row r="203" spans="1:33" x14ac:dyDescent="0.2">
      <c r="A203"/>
      <c r="B203"/>
      <c r="C203"/>
      <c r="D203"/>
      <c r="E203"/>
      <c r="F203" t="str">
        <f>LEFT(AllDaqbookOffsets[[#This Row],[traceability_no]],2)</f>
        <v>J1</v>
      </c>
      <c r="W203" t="s">
        <v>643</v>
      </c>
      <c r="X203" t="s">
        <v>179</v>
      </c>
      <c r="Z203" s="461" t="str">
        <v>K407</v>
      </c>
      <c r="AA203" s="194" t="str">
        <v>K401-K416</v>
      </c>
      <c r="AG203" s="69" t="str">
        <v>K407</v>
      </c>
    </row>
    <row r="204" spans="1:33" x14ac:dyDescent="0.2">
      <c r="A204"/>
      <c r="B204"/>
      <c r="C204"/>
      <c r="D204"/>
      <c r="E204"/>
      <c r="F204" t="str">
        <f>LEFT(AllDaqbookOffsets[[#This Row],[traceability_no]],2)</f>
        <v>J1</v>
      </c>
      <c r="W204" t="s">
        <v>644</v>
      </c>
      <c r="X204" t="s">
        <v>179</v>
      </c>
      <c r="Z204" s="461" t="str">
        <v>K408</v>
      </c>
      <c r="AA204" s="194" t="str">
        <v>K401-K416</v>
      </c>
      <c r="AG204" s="69" t="str">
        <v>K408</v>
      </c>
    </row>
    <row r="205" spans="1:33" x14ac:dyDescent="0.2">
      <c r="A205"/>
      <c r="B205"/>
      <c r="C205"/>
      <c r="D205"/>
      <c r="E205"/>
      <c r="F205" t="str">
        <f>LEFT(AllDaqbookOffsets[[#This Row],[traceability_no]],2)</f>
        <v>J1</v>
      </c>
      <c r="W205" t="s">
        <v>645</v>
      </c>
      <c r="X205" t="s">
        <v>179</v>
      </c>
      <c r="Z205" s="461" t="str">
        <v>K409</v>
      </c>
      <c r="AA205" s="194" t="str">
        <v>K401-K416</v>
      </c>
      <c r="AG205" s="69" t="str">
        <v>K409</v>
      </c>
    </row>
    <row r="206" spans="1:33" x14ac:dyDescent="0.2">
      <c r="A206"/>
      <c r="B206"/>
      <c r="C206"/>
      <c r="D206"/>
      <c r="E206"/>
      <c r="F206" t="str">
        <f>LEFT(AllDaqbookOffsets[[#This Row],[traceability_no]],2)</f>
        <v>J1</v>
      </c>
      <c r="W206" t="s">
        <v>646</v>
      </c>
      <c r="X206" t="s">
        <v>179</v>
      </c>
      <c r="Z206" s="461" t="str">
        <v>K410</v>
      </c>
      <c r="AA206" s="194" t="str">
        <v>K401-K416</v>
      </c>
      <c r="AG206" s="69" t="str">
        <v>K410</v>
      </c>
    </row>
    <row r="207" spans="1:33" x14ac:dyDescent="0.2">
      <c r="A207"/>
      <c r="B207"/>
      <c r="C207"/>
      <c r="D207"/>
      <c r="E207"/>
      <c r="F207" t="str">
        <f>LEFT(AllDaqbookOffsets[[#This Row],[traceability_no]],2)</f>
        <v>J1</v>
      </c>
      <c r="W207" t="s">
        <v>647</v>
      </c>
      <c r="X207" t="s">
        <v>179</v>
      </c>
      <c r="Z207" s="461" t="str">
        <v>K411</v>
      </c>
      <c r="AA207" s="194" t="str">
        <v>K401-K416</v>
      </c>
      <c r="AG207" s="69" t="str">
        <v>K411</v>
      </c>
    </row>
    <row r="208" spans="1:33" x14ac:dyDescent="0.2">
      <c r="A208"/>
      <c r="B208"/>
      <c r="C208"/>
      <c r="D208"/>
      <c r="E208"/>
      <c r="F208" t="str">
        <f>LEFT(AllDaqbookOffsets[[#This Row],[traceability_no]],2)</f>
        <v>J1</v>
      </c>
      <c r="W208" t="s">
        <v>648</v>
      </c>
      <c r="X208" t="s">
        <v>179</v>
      </c>
      <c r="Z208" s="461" t="str">
        <v>K412</v>
      </c>
      <c r="AA208" s="194" t="str">
        <v>K401-K416</v>
      </c>
      <c r="AG208" s="69" t="str">
        <v>K412</v>
      </c>
    </row>
    <row r="209" spans="1:33" x14ac:dyDescent="0.2">
      <c r="A209"/>
      <c r="B209"/>
      <c r="C209"/>
      <c r="D209"/>
      <c r="E209"/>
      <c r="F209" t="str">
        <f>LEFT(AllDaqbookOffsets[[#This Row],[traceability_no]],2)</f>
        <v>J1</v>
      </c>
      <c r="W209" t="s">
        <v>649</v>
      </c>
      <c r="X209" t="s">
        <v>179</v>
      </c>
      <c r="Z209" s="461" t="str">
        <v>K413</v>
      </c>
      <c r="AA209" s="194" t="str">
        <v>K401-K416</v>
      </c>
      <c r="AG209" s="69" t="str">
        <v>K413</v>
      </c>
    </row>
    <row r="210" spans="1:33" x14ac:dyDescent="0.2">
      <c r="A210"/>
      <c r="B210"/>
      <c r="C210"/>
      <c r="D210"/>
      <c r="E210"/>
      <c r="F210" t="str">
        <f>LEFT(AllDaqbookOffsets[[#This Row],[traceability_no]],2)</f>
        <v>J1</v>
      </c>
      <c r="W210" t="s">
        <v>650</v>
      </c>
      <c r="X210" t="s">
        <v>179</v>
      </c>
      <c r="Z210" s="461" t="str">
        <v>K414</v>
      </c>
      <c r="AA210" s="194" t="str">
        <v>K401-K416</v>
      </c>
      <c r="AG210" s="69" t="str">
        <v>K414</v>
      </c>
    </row>
    <row r="211" spans="1:33" x14ac:dyDescent="0.2">
      <c r="A211"/>
      <c r="B211"/>
      <c r="C211"/>
      <c r="D211"/>
      <c r="E211"/>
      <c r="F211" t="str">
        <f>LEFT(AllDaqbookOffsets[[#This Row],[traceability_no]],2)</f>
        <v>J1</v>
      </c>
      <c r="W211" t="s">
        <v>651</v>
      </c>
      <c r="X211" t="s">
        <v>179</v>
      </c>
      <c r="Z211" s="461" t="str">
        <v>K415</v>
      </c>
      <c r="AA211" s="194" t="str">
        <v>K401-K416</v>
      </c>
      <c r="AG211" s="69" t="str">
        <v>K415</v>
      </c>
    </row>
    <row r="212" spans="1:33" x14ac:dyDescent="0.2">
      <c r="A212"/>
      <c r="B212"/>
      <c r="C212"/>
      <c r="D212"/>
      <c r="E212"/>
      <c r="F212" t="str">
        <f>LEFT(AllDaqbookOffsets[[#This Row],[traceability_no]],2)</f>
        <v>J1</v>
      </c>
      <c r="W212" t="s">
        <v>652</v>
      </c>
      <c r="X212" t="s">
        <v>180</v>
      </c>
      <c r="Z212" s="461" t="str">
        <v>K416</v>
      </c>
      <c r="AA212" s="194" t="str">
        <v>K401-K416</v>
      </c>
      <c r="AG212" s="69" t="str">
        <v>K416</v>
      </c>
    </row>
    <row r="213" spans="1:33" x14ac:dyDescent="0.2">
      <c r="A213"/>
      <c r="B213"/>
      <c r="C213"/>
      <c r="D213"/>
      <c r="E213"/>
      <c r="F213" t="str">
        <f>LEFT(AllDaqbookOffsets[[#This Row],[traceability_no]],2)</f>
        <v>J1</v>
      </c>
      <c r="W213" t="s">
        <v>653</v>
      </c>
      <c r="X213" t="s">
        <v>180</v>
      </c>
      <c r="Z213" s="461" t="str">
        <v>K521</v>
      </c>
      <c r="AA213" s="194" t="str">
        <v>K521-K534</v>
      </c>
      <c r="AG213" s="69" t="str">
        <v>K521</v>
      </c>
    </row>
    <row r="214" spans="1:33" x14ac:dyDescent="0.2">
      <c r="A214"/>
      <c r="B214"/>
      <c r="C214"/>
      <c r="D214"/>
      <c r="E214"/>
      <c r="F214" t="str">
        <f>LEFT(AllDaqbookOffsets[[#This Row],[traceability_no]],2)</f>
        <v>J1</v>
      </c>
      <c r="W214" t="s">
        <v>654</v>
      </c>
      <c r="X214" t="s">
        <v>180</v>
      </c>
      <c r="Z214" s="461" t="str">
        <v>K522</v>
      </c>
      <c r="AA214" s="194" t="str">
        <v>K521-K534</v>
      </c>
      <c r="AG214" s="69" t="str">
        <v>K522</v>
      </c>
    </row>
    <row r="215" spans="1:33" x14ac:dyDescent="0.2">
      <c r="A215"/>
      <c r="B215"/>
      <c r="C215"/>
      <c r="D215"/>
      <c r="E215"/>
      <c r="F215" t="str">
        <f>LEFT(AllDaqbookOffsets[[#This Row],[traceability_no]],2)</f>
        <v>J1</v>
      </c>
      <c r="W215" t="s">
        <v>655</v>
      </c>
      <c r="X215" t="s">
        <v>180</v>
      </c>
      <c r="Z215" s="461" t="str">
        <v>K523</v>
      </c>
      <c r="AA215" s="194" t="str">
        <v>K521-K534</v>
      </c>
      <c r="AG215" s="69" t="str">
        <v>K523</v>
      </c>
    </row>
    <row r="216" spans="1:33" x14ac:dyDescent="0.2">
      <c r="A216"/>
      <c r="B216"/>
      <c r="C216"/>
      <c r="D216"/>
      <c r="E216"/>
      <c r="F216" t="str">
        <f>LEFT(AllDaqbookOffsets[[#This Row],[traceability_no]],2)</f>
        <v>J1</v>
      </c>
      <c r="W216" t="s">
        <v>656</v>
      </c>
      <c r="X216" t="s">
        <v>180</v>
      </c>
      <c r="Z216" s="461" t="str">
        <v>K524</v>
      </c>
      <c r="AA216" s="194" t="str">
        <v>K521-K534</v>
      </c>
      <c r="AG216" s="69" t="str">
        <v>K524</v>
      </c>
    </row>
    <row r="217" spans="1:33" x14ac:dyDescent="0.2">
      <c r="A217"/>
      <c r="B217"/>
      <c r="C217"/>
      <c r="D217"/>
      <c r="E217"/>
      <c r="F217" t="str">
        <f>LEFT(AllDaqbookOffsets[[#This Row],[traceability_no]],2)</f>
        <v>J1</v>
      </c>
      <c r="W217" t="s">
        <v>657</v>
      </c>
      <c r="X217" t="s">
        <v>180</v>
      </c>
      <c r="Z217" s="461" t="str">
        <v>K525</v>
      </c>
      <c r="AA217" s="194" t="str">
        <v>K521-K534</v>
      </c>
      <c r="AG217" s="69" t="str">
        <v>K525</v>
      </c>
    </row>
    <row r="218" spans="1:33" x14ac:dyDescent="0.2">
      <c r="A218"/>
      <c r="B218"/>
      <c r="C218"/>
      <c r="D218"/>
      <c r="E218"/>
      <c r="F218" t="str">
        <f>LEFT(AllDaqbookOffsets[[#This Row],[traceability_no]],2)</f>
        <v>J1</v>
      </c>
      <c r="W218" t="s">
        <v>658</v>
      </c>
      <c r="X218" t="s">
        <v>180</v>
      </c>
      <c r="Z218" s="461" t="str">
        <v>K526</v>
      </c>
      <c r="AA218" s="194" t="str">
        <v>K521-K534</v>
      </c>
      <c r="AG218" s="69" t="str">
        <v>K526</v>
      </c>
    </row>
    <row r="219" spans="1:33" x14ac:dyDescent="0.2">
      <c r="A219"/>
      <c r="B219"/>
      <c r="C219"/>
      <c r="D219"/>
      <c r="E219"/>
      <c r="F219" t="str">
        <f>LEFT(AllDaqbookOffsets[[#This Row],[traceability_no]],2)</f>
        <v>J1</v>
      </c>
      <c r="W219" t="s">
        <v>659</v>
      </c>
      <c r="X219" t="s">
        <v>180</v>
      </c>
      <c r="Z219" s="461" t="str">
        <v>K527</v>
      </c>
      <c r="AA219" s="194" t="str">
        <v>K521-K534</v>
      </c>
      <c r="AG219" s="69" t="str">
        <v>K527</v>
      </c>
    </row>
    <row r="220" spans="1:33" x14ac:dyDescent="0.2">
      <c r="A220"/>
      <c r="B220"/>
      <c r="C220"/>
      <c r="D220"/>
      <c r="E220"/>
      <c r="F220" t="str">
        <f>LEFT(AllDaqbookOffsets[[#This Row],[traceability_no]],2)</f>
        <v>J1</v>
      </c>
      <c r="W220" t="s">
        <v>660</v>
      </c>
      <c r="X220" t="s">
        <v>180</v>
      </c>
      <c r="Z220" s="461" t="str">
        <v>K528</v>
      </c>
      <c r="AA220" s="194" t="str">
        <v>K521-K534</v>
      </c>
      <c r="AG220" s="69" t="str">
        <v>K528</v>
      </c>
    </row>
    <row r="221" spans="1:33" x14ac:dyDescent="0.2">
      <c r="A221"/>
      <c r="B221"/>
      <c r="C221"/>
      <c r="D221"/>
      <c r="E221"/>
      <c r="F221" t="str">
        <f>LEFT(AllDaqbookOffsets[[#This Row],[traceability_no]],2)</f>
        <v>J1</v>
      </c>
      <c r="W221" t="s">
        <v>661</v>
      </c>
      <c r="X221" t="s">
        <v>180</v>
      </c>
      <c r="Z221" s="461" t="str">
        <v>K529</v>
      </c>
      <c r="AA221" s="194" t="str">
        <v>K521-K534</v>
      </c>
      <c r="AG221" s="69" t="str">
        <v>K529</v>
      </c>
    </row>
    <row r="222" spans="1:33" x14ac:dyDescent="0.2">
      <c r="A222"/>
      <c r="B222"/>
      <c r="C222"/>
      <c r="D222"/>
      <c r="E222"/>
      <c r="F222" t="str">
        <f>LEFT(AllDaqbookOffsets[[#This Row],[traceability_no]],2)</f>
        <v>J1</v>
      </c>
      <c r="W222" t="s">
        <v>662</v>
      </c>
      <c r="X222" t="s">
        <v>180</v>
      </c>
      <c r="Z222" s="461" t="str">
        <v>K530</v>
      </c>
      <c r="AA222" s="194" t="str">
        <v>K521-K534</v>
      </c>
      <c r="AG222" s="69" t="str">
        <v>K530</v>
      </c>
    </row>
    <row r="223" spans="1:33" x14ac:dyDescent="0.2">
      <c r="A223"/>
      <c r="B223"/>
      <c r="C223"/>
      <c r="D223"/>
      <c r="E223"/>
      <c r="F223" t="str">
        <f>LEFT(AllDaqbookOffsets[[#This Row],[traceability_no]],2)</f>
        <v>J1</v>
      </c>
      <c r="W223" t="s">
        <v>663</v>
      </c>
      <c r="X223" t="s">
        <v>180</v>
      </c>
      <c r="Z223" s="461" t="str">
        <v>K531</v>
      </c>
      <c r="AA223" s="194" t="str">
        <v>K521-K534</v>
      </c>
      <c r="AG223" s="69" t="str">
        <v>K531</v>
      </c>
    </row>
    <row r="224" spans="1:33" x14ac:dyDescent="0.2">
      <c r="A224"/>
      <c r="B224"/>
      <c r="C224"/>
      <c r="D224"/>
      <c r="E224"/>
      <c r="F224" t="str">
        <f>LEFT(AllDaqbookOffsets[[#This Row],[traceability_no]],2)</f>
        <v>J1</v>
      </c>
      <c r="W224" t="s">
        <v>664</v>
      </c>
      <c r="X224" t="s">
        <v>180</v>
      </c>
      <c r="Z224" s="461" t="str">
        <v>K532</v>
      </c>
      <c r="AA224" s="194" t="str">
        <v>K521-K534</v>
      </c>
      <c r="AG224" s="69" t="str">
        <v>K532</v>
      </c>
    </row>
    <row r="225" spans="1:33" x14ac:dyDescent="0.2">
      <c r="A225"/>
      <c r="B225"/>
      <c r="C225"/>
      <c r="D225"/>
      <c r="E225"/>
      <c r="F225" t="str">
        <f>LEFT(AllDaqbookOffsets[[#This Row],[traceability_no]],2)</f>
        <v>J1</v>
      </c>
      <c r="W225" t="s">
        <v>665</v>
      </c>
      <c r="X225" t="s">
        <v>180</v>
      </c>
      <c r="Z225" s="461" t="str">
        <v>K533</v>
      </c>
      <c r="AA225" s="194" t="str">
        <v>K521-K534</v>
      </c>
      <c r="AG225" s="69" t="str">
        <v>K533</v>
      </c>
    </row>
    <row r="226" spans="1:33" x14ac:dyDescent="0.2">
      <c r="A226"/>
      <c r="B226"/>
      <c r="C226"/>
      <c r="D226"/>
      <c r="E226"/>
      <c r="F226" t="str">
        <f>LEFT(AllDaqbookOffsets[[#This Row],[traceability_no]],2)</f>
        <v>J1</v>
      </c>
      <c r="W226" t="s">
        <v>666</v>
      </c>
      <c r="X226" t="s">
        <v>180</v>
      </c>
      <c r="Z226" s="461" t="str">
        <v>K534</v>
      </c>
      <c r="AA226" s="194" t="str">
        <v>K521-K534</v>
      </c>
      <c r="AG226" s="69" t="str">
        <v>K534</v>
      </c>
    </row>
    <row r="227" spans="1:33" x14ac:dyDescent="0.2">
      <c r="A227"/>
      <c r="B227"/>
      <c r="C227"/>
      <c r="D227"/>
      <c r="E227"/>
      <c r="F227" t="str">
        <f>LEFT(AllDaqbookOffsets[[#This Row],[traceability_no]],2)</f>
        <v>J1</v>
      </c>
      <c r="W227" t="s">
        <v>667</v>
      </c>
      <c r="X227" t="s">
        <v>180</v>
      </c>
      <c r="Z227" s="461" t="str">
        <v>K601</v>
      </c>
      <c r="AA227" s="194" t="str">
        <v>K601-K610</v>
      </c>
      <c r="AG227" s="69" t="str">
        <v>K601</v>
      </c>
    </row>
    <row r="228" spans="1:33" x14ac:dyDescent="0.2">
      <c r="A228"/>
      <c r="B228"/>
      <c r="C228"/>
      <c r="D228"/>
      <c r="E228"/>
      <c r="F228" t="str">
        <f>LEFT(AllDaqbookOffsets[[#This Row],[traceability_no]],2)</f>
        <v>J1</v>
      </c>
      <c r="W228" t="s">
        <v>668</v>
      </c>
      <c r="X228" t="s">
        <v>181</v>
      </c>
      <c r="Z228" s="461" t="str">
        <v>K602</v>
      </c>
      <c r="AA228" s="194" t="str">
        <v>K601-K610</v>
      </c>
      <c r="AG228" s="69" t="str">
        <v>K602</v>
      </c>
    </row>
    <row r="229" spans="1:33" x14ac:dyDescent="0.2">
      <c r="A229"/>
      <c r="B229"/>
      <c r="C229"/>
      <c r="D229"/>
      <c r="E229"/>
      <c r="F229" t="str">
        <f>LEFT(AllDaqbookOffsets[[#This Row],[traceability_no]],2)</f>
        <v>J1</v>
      </c>
      <c r="W229" t="s">
        <v>669</v>
      </c>
      <c r="X229" t="s">
        <v>181</v>
      </c>
      <c r="Z229" s="461" t="str">
        <v>K603</v>
      </c>
      <c r="AA229" s="194" t="str">
        <v>K601-K610</v>
      </c>
      <c r="AG229" s="69" t="str">
        <v>K603</v>
      </c>
    </row>
    <row r="230" spans="1:33" x14ac:dyDescent="0.2">
      <c r="A230"/>
      <c r="B230"/>
      <c r="C230"/>
      <c r="D230"/>
      <c r="E230"/>
      <c r="F230" t="str">
        <f>LEFT(AllDaqbookOffsets[[#This Row],[traceability_no]],2)</f>
        <v>J1</v>
      </c>
      <c r="W230" t="s">
        <v>670</v>
      </c>
      <c r="X230" t="s">
        <v>181</v>
      </c>
      <c r="Z230" s="461" t="str">
        <v>K604</v>
      </c>
      <c r="AA230" s="194" t="str">
        <v>K601-K610</v>
      </c>
      <c r="AG230" s="69" t="str">
        <v>K604</v>
      </c>
    </row>
    <row r="231" spans="1:33" x14ac:dyDescent="0.2">
      <c r="A231"/>
      <c r="B231"/>
      <c r="C231"/>
      <c r="D231"/>
      <c r="E231"/>
      <c r="F231" t="str">
        <f>LEFT(AllDaqbookOffsets[[#This Row],[traceability_no]],2)</f>
        <v>J1</v>
      </c>
      <c r="W231" t="s">
        <v>671</v>
      </c>
      <c r="X231" t="s">
        <v>181</v>
      </c>
      <c r="Z231" s="461" t="str">
        <v>K605</v>
      </c>
      <c r="AA231" s="194" t="str">
        <v>K601-K610</v>
      </c>
      <c r="AG231" s="69" t="str">
        <v>K605</v>
      </c>
    </row>
    <row r="232" spans="1:33" x14ac:dyDescent="0.2">
      <c r="A232"/>
      <c r="B232"/>
      <c r="C232"/>
      <c r="D232"/>
      <c r="E232"/>
      <c r="F232" t="str">
        <f>LEFT(AllDaqbookOffsets[[#This Row],[traceability_no]],2)</f>
        <v>J1</v>
      </c>
      <c r="W232" t="s">
        <v>672</v>
      </c>
      <c r="X232" t="s">
        <v>181</v>
      </c>
      <c r="Z232" s="461" t="str">
        <v>K606</v>
      </c>
      <c r="AA232" s="194" t="str">
        <v>K601-K610</v>
      </c>
      <c r="AG232" s="69" t="str">
        <v>K606</v>
      </c>
    </row>
    <row r="233" spans="1:33" x14ac:dyDescent="0.2">
      <c r="A233"/>
      <c r="B233"/>
      <c r="C233"/>
      <c r="D233"/>
      <c r="E233"/>
      <c r="F233" t="str">
        <f>LEFT(AllDaqbookOffsets[[#This Row],[traceability_no]],2)</f>
        <v>J1</v>
      </c>
      <c r="W233" t="s">
        <v>673</v>
      </c>
      <c r="X233" t="s">
        <v>181</v>
      </c>
      <c r="Z233" s="461" t="str">
        <v>K607</v>
      </c>
      <c r="AA233" s="194" t="str">
        <v>K601-K610</v>
      </c>
      <c r="AG233" s="69" t="str">
        <v>K607</v>
      </c>
    </row>
    <row r="234" spans="1:33" x14ac:dyDescent="0.2">
      <c r="A234"/>
      <c r="B234"/>
      <c r="C234"/>
      <c r="D234"/>
      <c r="E234"/>
      <c r="F234" t="str">
        <f>LEFT(AllDaqbookOffsets[[#This Row],[traceability_no]],2)</f>
        <v>J1</v>
      </c>
      <c r="W234" t="s">
        <v>674</v>
      </c>
      <c r="X234" t="s">
        <v>181</v>
      </c>
      <c r="Z234" s="461" t="str">
        <v>K608</v>
      </c>
      <c r="AA234" s="194" t="str">
        <v>K601-K610</v>
      </c>
      <c r="AG234" s="69" t="str">
        <v>K608</v>
      </c>
    </row>
    <row r="235" spans="1:33" x14ac:dyDescent="0.2">
      <c r="A235"/>
      <c r="B235"/>
      <c r="C235"/>
      <c r="D235"/>
      <c r="E235"/>
      <c r="F235" t="str">
        <f>LEFT(AllDaqbookOffsets[[#This Row],[traceability_no]],2)</f>
        <v>J1</v>
      </c>
      <c r="W235" t="s">
        <v>675</v>
      </c>
      <c r="X235" t="s">
        <v>181</v>
      </c>
      <c r="Z235" s="461" t="str">
        <v>K609</v>
      </c>
      <c r="AA235" s="194" t="str">
        <v>K601-K610</v>
      </c>
      <c r="AG235" s="69" t="str">
        <v>K609</v>
      </c>
    </row>
    <row r="236" spans="1:33" x14ac:dyDescent="0.2">
      <c r="A236"/>
      <c r="B236"/>
      <c r="C236"/>
      <c r="D236"/>
      <c r="E236"/>
      <c r="F236" t="str">
        <f>LEFT(AllDaqbookOffsets[[#This Row],[traceability_no]],2)</f>
        <v>J1</v>
      </c>
      <c r="W236" t="s">
        <v>676</v>
      </c>
      <c r="X236" t="s">
        <v>181</v>
      </c>
      <c r="Z236" s="461" t="str">
        <v>K610</v>
      </c>
      <c r="AA236" s="194" t="str">
        <v>K601-K610</v>
      </c>
      <c r="AG236" s="69" t="str">
        <v>K610</v>
      </c>
    </row>
    <row r="237" spans="1:33" x14ac:dyDescent="0.2">
      <c r="A237"/>
      <c r="B237"/>
      <c r="C237"/>
      <c r="D237"/>
      <c r="E237"/>
      <c r="F237" t="str">
        <f>LEFT(AllDaqbookOffsets[[#This Row],[traceability_no]],2)</f>
        <v>J1</v>
      </c>
      <c r="W237" t="s">
        <v>677</v>
      </c>
      <c r="X237" t="s">
        <v>181</v>
      </c>
      <c r="Z237" s="461" t="str">
        <v>K701</v>
      </c>
      <c r="AA237" s="194" t="str">
        <v>K701-K710</v>
      </c>
      <c r="AG237" s="69" t="str">
        <v>K701</v>
      </c>
    </row>
    <row r="238" spans="1:33" x14ac:dyDescent="0.2">
      <c r="A238"/>
      <c r="B238"/>
      <c r="C238"/>
      <c r="D238"/>
      <c r="E238"/>
      <c r="F238" t="str">
        <f>LEFT(AllDaqbookOffsets[[#This Row],[traceability_no]],2)</f>
        <v>J1</v>
      </c>
      <c r="W238" t="s">
        <v>678</v>
      </c>
      <c r="X238" t="s">
        <v>257</v>
      </c>
      <c r="Z238" s="461" t="str">
        <v>K702</v>
      </c>
      <c r="AA238" s="194" t="str">
        <v>K701-K710</v>
      </c>
      <c r="AG238" s="69" t="str">
        <v>K702</v>
      </c>
    </row>
    <row r="239" spans="1:33" x14ac:dyDescent="0.2">
      <c r="A239"/>
      <c r="B239"/>
      <c r="C239"/>
      <c r="D239"/>
      <c r="E239"/>
      <c r="F239" t="str">
        <f>LEFT(AllDaqbookOffsets[[#This Row],[traceability_no]],2)</f>
        <v>J1</v>
      </c>
      <c r="W239" t="s">
        <v>679</v>
      </c>
      <c r="X239" t="s">
        <v>257</v>
      </c>
      <c r="Z239" s="461" t="str">
        <v>K703</v>
      </c>
      <c r="AA239" s="194" t="str">
        <v>K701-K710</v>
      </c>
      <c r="AG239" s="69" t="str">
        <v>K703</v>
      </c>
    </row>
    <row r="240" spans="1:33" x14ac:dyDescent="0.2">
      <c r="A240"/>
      <c r="B240"/>
      <c r="C240"/>
      <c r="D240"/>
      <c r="E240"/>
      <c r="F240" t="str">
        <f>LEFT(AllDaqbookOffsets[[#This Row],[traceability_no]],2)</f>
        <v>J1</v>
      </c>
      <c r="W240" t="s">
        <v>680</v>
      </c>
      <c r="X240" t="s">
        <v>257</v>
      </c>
      <c r="Z240" s="461" t="str">
        <v>K704</v>
      </c>
      <c r="AA240" s="194" t="str">
        <v>K701-K710</v>
      </c>
      <c r="AG240" s="69" t="str">
        <v>K704</v>
      </c>
    </row>
    <row r="241" spans="1:33" x14ac:dyDescent="0.2">
      <c r="A241"/>
      <c r="B241"/>
      <c r="C241"/>
      <c r="D241"/>
      <c r="E241"/>
      <c r="F241" t="str">
        <f>LEFT(AllDaqbookOffsets[[#This Row],[traceability_no]],2)</f>
        <v>J1</v>
      </c>
      <c r="W241" t="s">
        <v>681</v>
      </c>
      <c r="X241" t="s">
        <v>257</v>
      </c>
      <c r="Z241" s="461" t="str">
        <v>K705</v>
      </c>
      <c r="AA241" s="194" t="str">
        <v>K701-K710</v>
      </c>
      <c r="AG241" s="69" t="str">
        <v>K705</v>
      </c>
    </row>
    <row r="242" spans="1:33" x14ac:dyDescent="0.2">
      <c r="A242"/>
      <c r="B242"/>
      <c r="C242"/>
      <c r="D242"/>
      <c r="E242"/>
      <c r="F242" t="str">
        <f>LEFT(AllDaqbookOffsets[[#This Row],[traceability_no]],2)</f>
        <v>J2</v>
      </c>
      <c r="W242" t="s">
        <v>682</v>
      </c>
      <c r="X242" t="s">
        <v>257</v>
      </c>
      <c r="Z242" s="461" t="str">
        <v>K706</v>
      </c>
      <c r="AA242" s="194" t="str">
        <v>K701-K710</v>
      </c>
      <c r="AG242" s="69" t="str">
        <v>K706</v>
      </c>
    </row>
    <row r="243" spans="1:33" x14ac:dyDescent="0.2">
      <c r="A243"/>
      <c r="B243"/>
      <c r="C243"/>
      <c r="D243"/>
      <c r="E243"/>
      <c r="F243" t="str">
        <f>LEFT(AllDaqbookOffsets[[#This Row],[traceability_no]],2)</f>
        <v>J2</v>
      </c>
      <c r="W243" t="s">
        <v>683</v>
      </c>
      <c r="X243" t="s">
        <v>257</v>
      </c>
      <c r="Z243" s="461" t="str">
        <v>K707</v>
      </c>
      <c r="AA243" s="194" t="str">
        <v>K701-K710</v>
      </c>
      <c r="AG243" s="69" t="str">
        <v>K707</v>
      </c>
    </row>
    <row r="244" spans="1:33" x14ac:dyDescent="0.2">
      <c r="A244"/>
      <c r="B244"/>
      <c r="C244"/>
      <c r="D244"/>
      <c r="E244"/>
      <c r="F244" t="str">
        <f>LEFT(AllDaqbookOffsets[[#This Row],[traceability_no]],2)</f>
        <v>J2</v>
      </c>
      <c r="W244" t="s">
        <v>684</v>
      </c>
      <c r="X244" t="s">
        <v>257</v>
      </c>
      <c r="Z244" s="461" t="str">
        <v>K708</v>
      </c>
      <c r="AA244" s="194" t="str">
        <v>K701-K710</v>
      </c>
      <c r="AG244" s="69" t="str">
        <v>K708</v>
      </c>
    </row>
    <row r="245" spans="1:33" x14ac:dyDescent="0.2">
      <c r="A245"/>
      <c r="B245"/>
      <c r="C245"/>
      <c r="D245"/>
      <c r="E245"/>
      <c r="F245" t="str">
        <f>LEFT(AllDaqbookOffsets[[#This Row],[traceability_no]],2)</f>
        <v>J2</v>
      </c>
      <c r="W245" t="s">
        <v>685</v>
      </c>
      <c r="X245" t="s">
        <v>257</v>
      </c>
      <c r="Z245" s="461" t="str">
        <v>K709</v>
      </c>
      <c r="AA245" s="194" t="str">
        <v>K701-K710</v>
      </c>
      <c r="AG245" s="69" t="str">
        <v>K709</v>
      </c>
    </row>
    <row r="246" spans="1:33" x14ac:dyDescent="0.2">
      <c r="A246"/>
      <c r="B246"/>
      <c r="C246"/>
      <c r="D246"/>
      <c r="E246"/>
      <c r="F246" t="str">
        <f>LEFT(AllDaqbookOffsets[[#This Row],[traceability_no]],2)</f>
        <v>J2</v>
      </c>
      <c r="W246" t="s">
        <v>686</v>
      </c>
      <c r="X246" t="s">
        <v>257</v>
      </c>
      <c r="Z246" s="461" t="str">
        <v>K710</v>
      </c>
      <c r="AA246" s="194" t="str">
        <v>K701-K710</v>
      </c>
      <c r="AG246" s="69" t="str">
        <v>K710</v>
      </c>
    </row>
    <row r="247" spans="1:33" x14ac:dyDescent="0.2">
      <c r="A247"/>
      <c r="B247"/>
      <c r="C247"/>
      <c r="D247"/>
      <c r="E247"/>
      <c r="F247" t="str">
        <f>LEFT(AllDaqbookOffsets[[#This Row],[traceability_no]],2)</f>
        <v>J2</v>
      </c>
      <c r="W247" t="s">
        <v>687</v>
      </c>
      <c r="X247" t="s">
        <v>257</v>
      </c>
      <c r="Z247" s="461" t="str">
        <v>K801</v>
      </c>
      <c r="AA247" s="194" t="str">
        <v>K801-K816</v>
      </c>
      <c r="AG247" s="69" t="str">
        <v>K801</v>
      </c>
    </row>
    <row r="248" spans="1:33" x14ac:dyDescent="0.2">
      <c r="A248"/>
      <c r="B248"/>
      <c r="C248"/>
      <c r="D248"/>
      <c r="E248"/>
      <c r="F248" t="str">
        <f>LEFT(AllDaqbookOffsets[[#This Row],[traceability_no]],2)</f>
        <v>J2</v>
      </c>
      <c r="W248" t="s">
        <v>694</v>
      </c>
      <c r="X248" t="s">
        <v>182</v>
      </c>
      <c r="Z248" s="461" t="str">
        <v>K802</v>
      </c>
      <c r="AA248" s="194" t="str">
        <v>K801-K816</v>
      </c>
      <c r="AG248" s="69" t="str">
        <v>K802</v>
      </c>
    </row>
    <row r="249" spans="1:33" x14ac:dyDescent="0.2">
      <c r="A249"/>
      <c r="B249"/>
      <c r="C249"/>
      <c r="D249"/>
      <c r="E249"/>
      <c r="F249" t="str">
        <f>LEFT(AllDaqbookOffsets[[#This Row],[traceability_no]],2)</f>
        <v>J2</v>
      </c>
      <c r="W249" t="s">
        <v>695</v>
      </c>
      <c r="X249" t="s">
        <v>182</v>
      </c>
      <c r="Z249" s="461" t="str">
        <v>K803</v>
      </c>
      <c r="AA249" s="194" t="str">
        <v>K801-K816</v>
      </c>
      <c r="AG249" s="69" t="str">
        <v>K803</v>
      </c>
    </row>
    <row r="250" spans="1:33" x14ac:dyDescent="0.2">
      <c r="A250"/>
      <c r="B250"/>
      <c r="C250"/>
      <c r="D250"/>
      <c r="E250"/>
      <c r="F250" t="str">
        <f>LEFT(AllDaqbookOffsets[[#This Row],[traceability_no]],2)</f>
        <v>J2</v>
      </c>
      <c r="W250" t="s">
        <v>696</v>
      </c>
      <c r="X250" t="s">
        <v>182</v>
      </c>
      <c r="Z250" s="461" t="str">
        <v>K804</v>
      </c>
      <c r="AA250" s="194" t="str">
        <v>K801-K816</v>
      </c>
      <c r="AG250" s="69" t="str">
        <v>K804</v>
      </c>
    </row>
    <row r="251" spans="1:33" x14ac:dyDescent="0.2">
      <c r="A251"/>
      <c r="B251"/>
      <c r="C251"/>
      <c r="D251"/>
      <c r="E251"/>
      <c r="F251" t="str">
        <f>LEFT(AllDaqbookOffsets[[#This Row],[traceability_no]],2)</f>
        <v>J2</v>
      </c>
      <c r="W251" t="s">
        <v>697</v>
      </c>
      <c r="X251" t="s">
        <v>182</v>
      </c>
      <c r="Z251" s="461" t="str">
        <v>K805</v>
      </c>
      <c r="AA251" s="194" t="str">
        <v>K801-K816</v>
      </c>
      <c r="AG251" s="69" t="str">
        <v>K805</v>
      </c>
    </row>
    <row r="252" spans="1:33" x14ac:dyDescent="0.2">
      <c r="A252"/>
      <c r="B252"/>
      <c r="C252"/>
      <c r="D252"/>
      <c r="E252"/>
      <c r="F252" t="str">
        <f>LEFT(AllDaqbookOffsets[[#This Row],[traceability_no]],2)</f>
        <v>J2</v>
      </c>
      <c r="W252" t="s">
        <v>698</v>
      </c>
      <c r="X252" t="s">
        <v>182</v>
      </c>
      <c r="Z252" s="461" t="str">
        <v>K806</v>
      </c>
      <c r="AA252" s="194" t="str">
        <v>K801-K816</v>
      </c>
      <c r="AG252" s="69" t="str">
        <v>K806</v>
      </c>
    </row>
    <row r="253" spans="1:33" x14ac:dyDescent="0.2">
      <c r="A253"/>
      <c r="B253"/>
      <c r="C253"/>
      <c r="D253"/>
      <c r="E253"/>
      <c r="F253" t="str">
        <f>LEFT(AllDaqbookOffsets[[#This Row],[traceability_no]],2)</f>
        <v>J2</v>
      </c>
      <c r="W253" t="s">
        <v>699</v>
      </c>
      <c r="X253" t="s">
        <v>182</v>
      </c>
      <c r="Z253" s="461" t="str">
        <v>K807</v>
      </c>
      <c r="AA253" s="194" t="str">
        <v>K801-K816</v>
      </c>
      <c r="AG253" s="69" t="str">
        <v>K807</v>
      </c>
    </row>
    <row r="254" spans="1:33" x14ac:dyDescent="0.2">
      <c r="A254"/>
      <c r="B254"/>
      <c r="C254"/>
      <c r="D254"/>
      <c r="E254"/>
      <c r="F254" t="str">
        <f>LEFT(AllDaqbookOffsets[[#This Row],[traceability_no]],2)</f>
        <v>J2</v>
      </c>
      <c r="W254" t="s">
        <v>700</v>
      </c>
      <c r="X254" t="s">
        <v>182</v>
      </c>
      <c r="Z254" s="461" t="str">
        <v>K808</v>
      </c>
      <c r="AA254" s="194" t="str">
        <v>K801-K816</v>
      </c>
      <c r="AG254" s="69" t="str">
        <v>K808</v>
      </c>
    </row>
    <row r="255" spans="1:33" x14ac:dyDescent="0.2">
      <c r="A255"/>
      <c r="B255"/>
      <c r="C255"/>
      <c r="D255"/>
      <c r="E255"/>
      <c r="F255" t="str">
        <f>LEFT(AllDaqbookOffsets[[#This Row],[traceability_no]],2)</f>
        <v>J2</v>
      </c>
      <c r="W255" t="s">
        <v>701</v>
      </c>
      <c r="X255" t="s">
        <v>182</v>
      </c>
      <c r="Z255" s="461" t="str">
        <v>K809</v>
      </c>
      <c r="AA255" s="194" t="str">
        <v>K801-K816</v>
      </c>
      <c r="AG255" s="69" t="str">
        <v>K809</v>
      </c>
    </row>
    <row r="256" spans="1:33" x14ac:dyDescent="0.2">
      <c r="A256"/>
      <c r="B256"/>
      <c r="C256"/>
      <c r="D256"/>
      <c r="E256"/>
      <c r="F256" t="str">
        <f>LEFT(AllDaqbookOffsets[[#This Row],[traceability_no]],2)</f>
        <v>J2</v>
      </c>
      <c r="W256" t="s">
        <v>702</v>
      </c>
      <c r="X256" t="s">
        <v>182</v>
      </c>
      <c r="Z256" s="461" t="str">
        <v>K810</v>
      </c>
      <c r="AA256" s="194" t="str">
        <v>K801-K816</v>
      </c>
      <c r="AG256" s="69" t="str">
        <v>K810</v>
      </c>
    </row>
    <row r="257" spans="1:33" x14ac:dyDescent="0.2">
      <c r="A257"/>
      <c r="B257"/>
      <c r="C257"/>
      <c r="D257"/>
      <c r="E257"/>
      <c r="F257" t="str">
        <f>LEFT(AllDaqbookOffsets[[#This Row],[traceability_no]],2)</f>
        <v>J2</v>
      </c>
      <c r="W257" t="s">
        <v>688</v>
      </c>
      <c r="X257" t="s">
        <v>257</v>
      </c>
      <c r="Z257" s="461" t="str">
        <v>K811</v>
      </c>
      <c r="AA257" s="194" t="str">
        <v>K801-K816</v>
      </c>
      <c r="AG257" s="69" t="str">
        <v>K811</v>
      </c>
    </row>
    <row r="258" spans="1:33" x14ac:dyDescent="0.2">
      <c r="A258"/>
      <c r="B258"/>
      <c r="C258"/>
      <c r="D258"/>
      <c r="E258"/>
      <c r="F258" t="str">
        <f>LEFT(AllDaqbookOffsets[[#This Row],[traceability_no]],2)</f>
        <v>J2</v>
      </c>
      <c r="W258" t="s">
        <v>703</v>
      </c>
      <c r="X258" t="s">
        <v>182</v>
      </c>
      <c r="Z258" s="461" t="str">
        <v>K812</v>
      </c>
      <c r="AA258" s="194" t="str">
        <v>K801-K816</v>
      </c>
      <c r="AG258" s="69" t="str">
        <v>K812</v>
      </c>
    </row>
    <row r="259" spans="1:33" x14ac:dyDescent="0.2">
      <c r="A259"/>
      <c r="B259"/>
      <c r="C259"/>
      <c r="D259"/>
      <c r="E259"/>
      <c r="F259" t="str">
        <f>LEFT(AllDaqbookOffsets[[#This Row],[traceability_no]],2)</f>
        <v>J2</v>
      </c>
      <c r="W259" t="s">
        <v>704</v>
      </c>
      <c r="X259" t="s">
        <v>182</v>
      </c>
      <c r="Z259" s="461" t="str">
        <v>K813</v>
      </c>
      <c r="AA259" s="194" t="str">
        <v>K801-K816</v>
      </c>
      <c r="AG259" s="69" t="str">
        <v>K813</v>
      </c>
    </row>
    <row r="260" spans="1:33" x14ac:dyDescent="0.2">
      <c r="A260"/>
      <c r="B260"/>
      <c r="C260"/>
      <c r="D260"/>
      <c r="E260"/>
      <c r="F260" t="str">
        <f>LEFT(AllDaqbookOffsets[[#This Row],[traceability_no]],2)</f>
        <v>J2</v>
      </c>
      <c r="W260" t="s">
        <v>705</v>
      </c>
      <c r="X260" t="s">
        <v>182</v>
      </c>
      <c r="Z260" s="461" t="str">
        <v>K814</v>
      </c>
      <c r="AA260" s="194" t="str">
        <v>K801-K816</v>
      </c>
      <c r="AG260" s="69" t="str">
        <v>K814</v>
      </c>
    </row>
    <row r="261" spans="1:33" x14ac:dyDescent="0.2">
      <c r="A261"/>
      <c r="B261"/>
      <c r="C261"/>
      <c r="D261"/>
      <c r="E261"/>
      <c r="F261" t="str">
        <f>LEFT(AllDaqbookOffsets[[#This Row],[traceability_no]],2)</f>
        <v>J2</v>
      </c>
      <c r="W261" t="s">
        <v>689</v>
      </c>
      <c r="X261" t="s">
        <v>257</v>
      </c>
      <c r="Z261" s="461" t="str">
        <v>K815</v>
      </c>
      <c r="AA261" s="194" t="str">
        <v>K801-K816</v>
      </c>
      <c r="AG261" s="69" t="str">
        <v>K815</v>
      </c>
    </row>
    <row r="262" spans="1:33" x14ac:dyDescent="0.2">
      <c r="A262"/>
      <c r="B262"/>
      <c r="C262"/>
      <c r="D262"/>
      <c r="E262"/>
      <c r="F262" t="str">
        <f>LEFT(AllDaqbookOffsets[[#This Row],[traceability_no]],2)</f>
        <v>J2</v>
      </c>
      <c r="W262" t="s">
        <v>690</v>
      </c>
      <c r="X262" t="s">
        <v>257</v>
      </c>
      <c r="Z262" s="461" t="str">
        <v>K816</v>
      </c>
      <c r="AA262" s="194" t="str">
        <v>K801-K816</v>
      </c>
      <c r="AG262" s="69" t="str">
        <v>K816</v>
      </c>
    </row>
    <row r="263" spans="1:33" x14ac:dyDescent="0.2">
      <c r="A263"/>
      <c r="B263"/>
      <c r="C263"/>
      <c r="D263"/>
      <c r="E263"/>
      <c r="F263" t="str">
        <f>LEFT(AllDaqbookOffsets[[#This Row],[traceability_no]],2)</f>
        <v>J2</v>
      </c>
      <c r="W263" t="s">
        <v>691</v>
      </c>
      <c r="X263" t="s">
        <v>257</v>
      </c>
      <c r="Z263" s="461" t="str">
        <v>K901</v>
      </c>
      <c r="AA263" s="194" t="str">
        <v>K901-K910</v>
      </c>
      <c r="AG263" s="69" t="str">
        <v>K901</v>
      </c>
    </row>
    <row r="264" spans="1:33" x14ac:dyDescent="0.2">
      <c r="A264"/>
      <c r="B264"/>
      <c r="C264"/>
      <c r="D264"/>
      <c r="E264"/>
      <c r="F264" t="str">
        <f>LEFT(AllDaqbookOffsets[[#This Row],[traceability_no]],2)</f>
        <v>J2</v>
      </c>
      <c r="W264" t="s">
        <v>692</v>
      </c>
      <c r="X264" t="s">
        <v>257</v>
      </c>
      <c r="Z264" s="461" t="str">
        <v>K902</v>
      </c>
      <c r="AA264" s="194" t="str">
        <v>K901-K910</v>
      </c>
      <c r="AG264" s="69" t="str">
        <v>K902</v>
      </c>
    </row>
    <row r="265" spans="1:33" x14ac:dyDescent="0.2">
      <c r="A265"/>
      <c r="B265"/>
      <c r="C265"/>
      <c r="D265"/>
      <c r="E265"/>
      <c r="F265" t="str">
        <f>LEFT(AllDaqbookOffsets[[#This Row],[traceability_no]],2)</f>
        <v>J2</v>
      </c>
      <c r="W265" t="s">
        <v>693</v>
      </c>
      <c r="X265" t="s">
        <v>257</v>
      </c>
      <c r="Z265" s="461" t="str">
        <v>K903</v>
      </c>
      <c r="AA265" s="194" t="str">
        <v>K901-K910</v>
      </c>
      <c r="AG265" s="69" t="str">
        <v>K903</v>
      </c>
    </row>
    <row r="266" spans="1:33" x14ac:dyDescent="0.2">
      <c r="A266"/>
      <c r="B266"/>
      <c r="C266"/>
      <c r="D266"/>
      <c r="E266"/>
      <c r="F266" t="str">
        <f>LEFT(AllDaqbookOffsets[[#This Row],[traceability_no]],2)</f>
        <v>J2</v>
      </c>
      <c r="W266" t="s">
        <v>706</v>
      </c>
      <c r="X266" t="s">
        <v>183</v>
      </c>
      <c r="Z266" s="461" t="str">
        <v>K904</v>
      </c>
      <c r="AA266" s="194" t="str">
        <v>K901-K910</v>
      </c>
      <c r="AG266" s="69" t="str">
        <v>K904</v>
      </c>
    </row>
    <row r="267" spans="1:33" x14ac:dyDescent="0.2">
      <c r="A267"/>
      <c r="B267"/>
      <c r="C267"/>
      <c r="D267"/>
      <c r="E267"/>
      <c r="F267" t="str">
        <f>LEFT(AllDaqbookOffsets[[#This Row],[traceability_no]],2)</f>
        <v>J2</v>
      </c>
      <c r="W267" t="s">
        <v>707</v>
      </c>
      <c r="X267" t="s">
        <v>183</v>
      </c>
      <c r="Z267" s="461" t="str">
        <v>K905</v>
      </c>
      <c r="AA267" s="194" t="str">
        <v>K901-K910</v>
      </c>
      <c r="AG267" s="69" t="str">
        <v>K905</v>
      </c>
    </row>
    <row r="268" spans="1:33" x14ac:dyDescent="0.2">
      <c r="A268"/>
      <c r="B268"/>
      <c r="C268"/>
      <c r="D268"/>
      <c r="E268"/>
      <c r="F268" t="str">
        <f>LEFT(AllDaqbookOffsets[[#This Row],[traceability_no]],2)</f>
        <v>J2</v>
      </c>
      <c r="W268" t="s">
        <v>708</v>
      </c>
      <c r="X268" t="s">
        <v>183</v>
      </c>
      <c r="Z268" s="461" t="str">
        <v>K906</v>
      </c>
      <c r="AA268" s="194" t="str">
        <v>K901-K910</v>
      </c>
      <c r="AG268" s="69" t="str">
        <v>K906</v>
      </c>
    </row>
    <row r="269" spans="1:33" x14ac:dyDescent="0.2">
      <c r="A269"/>
      <c r="B269"/>
      <c r="C269"/>
      <c r="D269"/>
      <c r="E269"/>
      <c r="F269" t="str">
        <f>LEFT(AllDaqbookOffsets[[#This Row],[traceability_no]],2)</f>
        <v>J2</v>
      </c>
      <c r="W269" t="s">
        <v>709</v>
      </c>
      <c r="X269" t="s">
        <v>183</v>
      </c>
      <c r="Z269" s="461" t="str">
        <v>K907</v>
      </c>
      <c r="AA269" s="194" t="str">
        <v>K901-K910</v>
      </c>
      <c r="AG269" s="69" t="str">
        <v>K907</v>
      </c>
    </row>
    <row r="270" spans="1:33" x14ac:dyDescent="0.2">
      <c r="A270"/>
      <c r="B270"/>
      <c r="C270"/>
      <c r="D270"/>
      <c r="E270"/>
      <c r="F270" t="str">
        <f>LEFT(AllDaqbookOffsets[[#This Row],[traceability_no]],2)</f>
        <v>J2</v>
      </c>
      <c r="W270" t="s">
        <v>710</v>
      </c>
      <c r="X270" t="s">
        <v>183</v>
      </c>
      <c r="Z270" s="461" t="str">
        <v>K908</v>
      </c>
      <c r="AA270" s="194" t="str">
        <v>K901-K910</v>
      </c>
      <c r="AG270" s="69" t="str">
        <v>K908</v>
      </c>
    </row>
    <row r="271" spans="1:33" x14ac:dyDescent="0.2">
      <c r="A271"/>
      <c r="B271"/>
      <c r="C271"/>
      <c r="D271"/>
      <c r="E271"/>
      <c r="F271" t="str">
        <f>LEFT(AllDaqbookOffsets[[#This Row],[traceability_no]],2)</f>
        <v>J2</v>
      </c>
      <c r="W271" t="s">
        <v>711</v>
      </c>
      <c r="X271" t="s">
        <v>183</v>
      </c>
      <c r="Z271" s="461" t="str">
        <v>K909</v>
      </c>
      <c r="AA271" s="194" t="str">
        <v>K901-K910</v>
      </c>
      <c r="AG271" s="69" t="str">
        <v>K909</v>
      </c>
    </row>
    <row r="272" spans="1:33" x14ac:dyDescent="0.2">
      <c r="A272"/>
      <c r="B272"/>
      <c r="C272"/>
      <c r="D272"/>
      <c r="E272"/>
      <c r="F272" t="str">
        <f>LEFT(AllDaqbookOffsets[[#This Row],[traceability_no]],2)</f>
        <v>J2</v>
      </c>
      <c r="W272" t="s">
        <v>712</v>
      </c>
      <c r="X272" t="s">
        <v>183</v>
      </c>
      <c r="Z272" s="461" t="str">
        <v>K910</v>
      </c>
      <c r="AA272" s="194" t="str">
        <v>K901-K910</v>
      </c>
      <c r="AG272" s="69" t="str">
        <v>K910</v>
      </c>
    </row>
    <row r="273" spans="1:33" x14ac:dyDescent="0.2">
      <c r="A273"/>
      <c r="B273"/>
      <c r="C273"/>
      <c r="D273"/>
      <c r="E273"/>
      <c r="F273" t="str">
        <f>LEFT(AllDaqbookOffsets[[#This Row],[traceability_no]],2)</f>
        <v>J2</v>
      </c>
      <c r="W273" t="s">
        <v>713</v>
      </c>
      <c r="X273" t="s">
        <v>183</v>
      </c>
      <c r="Z273" s="461" t="str">
        <v>N01</v>
      </c>
      <c r="AA273" s="194" t="str">
        <v>N01-N16</v>
      </c>
      <c r="AG273" s="69" t="str">
        <v>N01</v>
      </c>
    </row>
    <row r="274" spans="1:33" x14ac:dyDescent="0.2">
      <c r="A274"/>
      <c r="B274"/>
      <c r="C274"/>
      <c r="D274"/>
      <c r="E274"/>
      <c r="F274" t="str">
        <f>LEFT(AllDaqbookOffsets[[#This Row],[traceability_no]],2)</f>
        <v>J2</v>
      </c>
      <c r="W274" t="s">
        <v>714</v>
      </c>
      <c r="X274" t="s">
        <v>183</v>
      </c>
      <c r="Z274" s="461" t="str">
        <v>N02</v>
      </c>
      <c r="AA274" s="194" t="str">
        <v>N01-N16</v>
      </c>
      <c r="AG274" s="69" t="str">
        <v>N02</v>
      </c>
    </row>
    <row r="275" spans="1:33" x14ac:dyDescent="0.2">
      <c r="A275"/>
      <c r="B275"/>
      <c r="C275"/>
      <c r="D275"/>
      <c r="E275"/>
      <c r="F275" t="str">
        <f>LEFT(AllDaqbookOffsets[[#This Row],[traceability_no]],2)</f>
        <v>J2</v>
      </c>
      <c r="W275" t="s">
        <v>715</v>
      </c>
      <c r="X275" t="s">
        <v>183</v>
      </c>
      <c r="Z275" s="461" t="str">
        <v>N03</v>
      </c>
      <c r="AA275" s="194" t="str">
        <v>N01-N16</v>
      </c>
      <c r="AG275" s="69" t="str">
        <v>N03</v>
      </c>
    </row>
    <row r="276" spans="1:33" x14ac:dyDescent="0.2">
      <c r="A276"/>
      <c r="B276"/>
      <c r="C276"/>
      <c r="D276"/>
      <c r="E276"/>
      <c r="F276" t="str">
        <f>LEFT(AllDaqbookOffsets[[#This Row],[traceability_no]],2)</f>
        <v>J2</v>
      </c>
      <c r="W276" t="s">
        <v>716</v>
      </c>
      <c r="X276" t="s">
        <v>183</v>
      </c>
      <c r="Z276" s="461" t="str">
        <v>N04</v>
      </c>
      <c r="AA276" s="194" t="str">
        <v>N01-N16</v>
      </c>
      <c r="AG276" s="69" t="str">
        <v>N04</v>
      </c>
    </row>
    <row r="277" spans="1:33" x14ac:dyDescent="0.2">
      <c r="A277"/>
      <c r="B277"/>
      <c r="C277"/>
      <c r="D277"/>
      <c r="E277"/>
      <c r="F277" t="str">
        <f>LEFT(AllDaqbookOffsets[[#This Row],[traceability_no]],2)</f>
        <v>J2</v>
      </c>
      <c r="W277" t="s">
        <v>717</v>
      </c>
      <c r="X277" t="s">
        <v>183</v>
      </c>
      <c r="Z277" s="461" t="str">
        <v>N05</v>
      </c>
      <c r="AA277" s="194" t="str">
        <v>N01-N16</v>
      </c>
      <c r="AG277" s="69" t="str">
        <v>N05</v>
      </c>
    </row>
    <row r="278" spans="1:33" x14ac:dyDescent="0.2">
      <c r="A278"/>
      <c r="B278"/>
      <c r="C278"/>
      <c r="D278"/>
      <c r="E278"/>
      <c r="F278" t="str">
        <f>LEFT(AllDaqbookOffsets[[#This Row],[traceability_no]],2)</f>
        <v>J2</v>
      </c>
      <c r="W278" t="s">
        <v>718</v>
      </c>
      <c r="X278" t="s">
        <v>183</v>
      </c>
      <c r="Z278" s="461" t="str">
        <v>N06</v>
      </c>
      <c r="AA278" s="194" t="str">
        <v>N01-N16</v>
      </c>
      <c r="AG278" s="69" t="str">
        <v>N06</v>
      </c>
    </row>
    <row r="279" spans="1:33" x14ac:dyDescent="0.2">
      <c r="A279"/>
      <c r="B279"/>
      <c r="C279"/>
      <c r="D279"/>
      <c r="E279"/>
      <c r="F279" t="str">
        <f>LEFT(AllDaqbookOffsets[[#This Row],[traceability_no]],2)</f>
        <v>J2</v>
      </c>
      <c r="W279" t="s">
        <v>719</v>
      </c>
      <c r="X279" t="s">
        <v>183</v>
      </c>
      <c r="Z279" s="461" t="str">
        <v>N07</v>
      </c>
      <c r="AA279" s="194" t="str">
        <v>N01-N16</v>
      </c>
      <c r="AG279" s="69" t="str">
        <v>N07</v>
      </c>
    </row>
    <row r="280" spans="1:33" x14ac:dyDescent="0.2">
      <c r="A280"/>
      <c r="B280"/>
      <c r="C280"/>
      <c r="D280"/>
      <c r="E280"/>
      <c r="F280" t="str">
        <f>LEFT(AllDaqbookOffsets[[#This Row],[traceability_no]],2)</f>
        <v>J2</v>
      </c>
      <c r="W280" s="36" t="s">
        <v>744</v>
      </c>
      <c r="X280" t="s">
        <v>744</v>
      </c>
      <c r="Z280" s="461" t="str">
        <v>N08</v>
      </c>
      <c r="AA280" s="194" t="str">
        <v>N01-N16</v>
      </c>
      <c r="AG280" s="69" t="str">
        <v>N08</v>
      </c>
    </row>
    <row r="281" spans="1:33" x14ac:dyDescent="0.2">
      <c r="A281"/>
      <c r="B281"/>
      <c r="C281"/>
      <c r="D281"/>
      <c r="E281"/>
      <c r="F281" t="str">
        <f>LEFT(AllDaqbookOffsets[[#This Row],[traceability_no]],2)</f>
        <v>J2</v>
      </c>
      <c r="W281" s="36" t="s">
        <v>745</v>
      </c>
      <c r="X281" t="s">
        <v>744</v>
      </c>
      <c r="Z281" s="461" t="str">
        <v>N09</v>
      </c>
      <c r="AA281" s="194" t="str">
        <v>N01-N16</v>
      </c>
      <c r="AG281" s="69" t="str">
        <v>N09</v>
      </c>
    </row>
    <row r="282" spans="1:33" x14ac:dyDescent="0.2">
      <c r="A282"/>
      <c r="B282"/>
      <c r="C282"/>
      <c r="D282"/>
      <c r="E282"/>
      <c r="F282" t="str">
        <f>LEFT(AllDaqbookOffsets[[#This Row],[traceability_no]],2)</f>
        <v>J2</v>
      </c>
      <c r="W282" s="36" t="s">
        <v>746</v>
      </c>
      <c r="X282" t="s">
        <v>744</v>
      </c>
      <c r="Z282" s="461" t="str">
        <v>N10</v>
      </c>
      <c r="AA282" s="194" t="str">
        <v>N01-N16</v>
      </c>
      <c r="AG282" s="69" t="str">
        <v>N10</v>
      </c>
    </row>
    <row r="283" spans="1:33" x14ac:dyDescent="0.2">
      <c r="A283"/>
      <c r="B283"/>
      <c r="C283"/>
      <c r="D283"/>
      <c r="E283"/>
      <c r="F283" t="str">
        <f>LEFT(AllDaqbookOffsets[[#This Row],[traceability_no]],2)</f>
        <v>J2</v>
      </c>
      <c r="W283" s="36" t="s">
        <v>747</v>
      </c>
      <c r="X283" t="s">
        <v>744</v>
      </c>
      <c r="Z283" s="461" t="str">
        <v>N101</v>
      </c>
      <c r="AA283" s="194" t="str">
        <v>N101-N112</v>
      </c>
      <c r="AG283" s="69" t="str">
        <v>N101</v>
      </c>
    </row>
    <row r="284" spans="1:33" x14ac:dyDescent="0.2">
      <c r="A284"/>
      <c r="B284"/>
      <c r="C284"/>
      <c r="D284"/>
      <c r="E284"/>
      <c r="F284" t="str">
        <f>LEFT(AllDaqbookOffsets[[#This Row],[traceability_no]],2)</f>
        <v>J2</v>
      </c>
      <c r="W284" s="36" t="s">
        <v>748</v>
      </c>
      <c r="X284" t="s">
        <v>744</v>
      </c>
      <c r="Z284" s="461" t="str">
        <v>N102</v>
      </c>
      <c r="AA284" s="194" t="str">
        <v>N101-N112</v>
      </c>
      <c r="AG284" s="69" t="str">
        <v>N102</v>
      </c>
    </row>
    <row r="285" spans="1:33" x14ac:dyDescent="0.2">
      <c r="A285"/>
      <c r="B285"/>
      <c r="C285"/>
      <c r="D285"/>
      <c r="E285"/>
      <c r="F285" t="str">
        <f>LEFT(AllDaqbookOffsets[[#This Row],[traceability_no]],2)</f>
        <v>J2</v>
      </c>
      <c r="W285" s="36" t="s">
        <v>749</v>
      </c>
      <c r="X285" t="s">
        <v>744</v>
      </c>
      <c r="Z285" s="461" t="str">
        <v>N103</v>
      </c>
      <c r="AA285" s="194" t="str">
        <v>N101-N112</v>
      </c>
      <c r="AG285" s="69" t="str">
        <v>N103</v>
      </c>
    </row>
    <row r="286" spans="1:33" x14ac:dyDescent="0.2">
      <c r="A286"/>
      <c r="B286"/>
      <c r="C286"/>
      <c r="D286"/>
      <c r="E286"/>
      <c r="F286" t="str">
        <f>LEFT(AllDaqbookOffsets[[#This Row],[traceability_no]],2)</f>
        <v>J2</v>
      </c>
      <c r="W286" s="36" t="s">
        <v>750</v>
      </c>
      <c r="X286" t="s">
        <v>744</v>
      </c>
      <c r="Z286" s="461" t="str">
        <v>N104</v>
      </c>
      <c r="AA286" s="194" t="str">
        <v>N101-N112</v>
      </c>
      <c r="AG286" s="69" t="str">
        <v>N104</v>
      </c>
    </row>
    <row r="287" spans="1:33" x14ac:dyDescent="0.2">
      <c r="A287"/>
      <c r="B287"/>
      <c r="C287"/>
      <c r="D287"/>
      <c r="E287"/>
      <c r="F287" t="str">
        <f>LEFT(AllDaqbookOffsets[[#This Row],[traceability_no]],2)</f>
        <v>J2</v>
      </c>
      <c r="W287" s="36" t="s">
        <v>751</v>
      </c>
      <c r="X287" t="s">
        <v>744</v>
      </c>
      <c r="Z287" s="461" t="str">
        <v>N105</v>
      </c>
      <c r="AA287" s="194" t="str">
        <v>N101-N112</v>
      </c>
      <c r="AG287" s="69" t="str">
        <v>N105</v>
      </c>
    </row>
    <row r="288" spans="1:33" x14ac:dyDescent="0.2">
      <c r="A288"/>
      <c r="B288"/>
      <c r="C288"/>
      <c r="D288"/>
      <c r="E288"/>
      <c r="F288" t="str">
        <f>LEFT(AllDaqbookOffsets[[#This Row],[traceability_no]],2)</f>
        <v>J2</v>
      </c>
      <c r="W288" s="36" t="s">
        <v>752</v>
      </c>
      <c r="X288" t="s">
        <v>744</v>
      </c>
      <c r="Z288" s="461" t="str">
        <v>N106</v>
      </c>
      <c r="AA288" s="194" t="str">
        <v>N101-N112</v>
      </c>
      <c r="AG288" s="69" t="str">
        <v>N106</v>
      </c>
    </row>
    <row r="289" spans="1:33" x14ac:dyDescent="0.2">
      <c r="A289"/>
      <c r="B289"/>
      <c r="C289"/>
      <c r="D289"/>
      <c r="E289"/>
      <c r="F289" t="str">
        <f>LEFT(AllDaqbookOffsets[[#This Row],[traceability_no]],2)</f>
        <v>J2</v>
      </c>
      <c r="W289" s="36" t="s">
        <v>753</v>
      </c>
      <c r="X289" t="s">
        <v>744</v>
      </c>
      <c r="Z289" s="461" t="str">
        <v>N107</v>
      </c>
      <c r="AA289" s="194" t="str">
        <v>N101-N112</v>
      </c>
      <c r="AG289" s="69" t="str">
        <v>N107</v>
      </c>
    </row>
    <row r="290" spans="1:33" x14ac:dyDescent="0.2">
      <c r="A290"/>
      <c r="B290"/>
      <c r="C290"/>
      <c r="D290"/>
      <c r="E290"/>
      <c r="F290" t="str">
        <f>LEFT(AllDaqbookOffsets[[#This Row],[traceability_no]],2)</f>
        <v>J2</v>
      </c>
      <c r="W290" s="36" t="s">
        <v>754</v>
      </c>
      <c r="X290" t="s">
        <v>744</v>
      </c>
      <c r="Z290" s="461" t="str">
        <v>N108</v>
      </c>
      <c r="AA290" s="194" t="str">
        <v>N101-N112</v>
      </c>
      <c r="AG290" s="69" t="str">
        <v>N108</v>
      </c>
    </row>
    <row r="291" spans="1:33" x14ac:dyDescent="0.2">
      <c r="A291"/>
      <c r="B291"/>
      <c r="C291"/>
      <c r="D291"/>
      <c r="E291"/>
      <c r="F291" t="str">
        <f>LEFT(AllDaqbookOffsets[[#This Row],[traceability_no]],2)</f>
        <v>J2</v>
      </c>
      <c r="W291" s="36" t="s">
        <v>755</v>
      </c>
      <c r="X291" t="s">
        <v>744</v>
      </c>
      <c r="Z291" s="461" t="str">
        <v>N109</v>
      </c>
      <c r="AA291" s="194" t="str">
        <v>N101-N112</v>
      </c>
      <c r="AG291" s="69" t="str">
        <v>N109</v>
      </c>
    </row>
    <row r="292" spans="1:33" x14ac:dyDescent="0.2">
      <c r="A292"/>
      <c r="B292"/>
      <c r="C292"/>
      <c r="D292"/>
      <c r="E292"/>
      <c r="F292" t="str">
        <f>LEFT(AllDaqbookOffsets[[#This Row],[traceability_no]],2)</f>
        <v>J2</v>
      </c>
      <c r="W292" s="36" t="s">
        <v>756</v>
      </c>
      <c r="X292" t="s">
        <v>744</v>
      </c>
      <c r="Z292" s="461" t="str">
        <v>N11</v>
      </c>
      <c r="AA292" s="194" t="str">
        <v>N01-N16</v>
      </c>
      <c r="AG292" s="69" t="str">
        <v>N11</v>
      </c>
    </row>
    <row r="293" spans="1:33" x14ac:dyDescent="0.2">
      <c r="A293"/>
      <c r="B293"/>
      <c r="C293"/>
      <c r="D293"/>
      <c r="E293"/>
      <c r="F293" t="str">
        <f>LEFT(AllDaqbookOffsets[[#This Row],[traceability_no]],2)</f>
        <v>J2</v>
      </c>
      <c r="W293" s="36" t="s">
        <v>757</v>
      </c>
      <c r="X293" t="s">
        <v>744</v>
      </c>
      <c r="Z293" s="461" t="str">
        <v>N110</v>
      </c>
      <c r="AA293" s="194" t="str">
        <v>N101-N112</v>
      </c>
      <c r="AG293" s="69" t="str">
        <v>N110</v>
      </c>
    </row>
    <row r="294" spans="1:33" x14ac:dyDescent="0.2">
      <c r="A294"/>
      <c r="B294"/>
      <c r="C294"/>
      <c r="D294"/>
      <c r="E294"/>
      <c r="F294" t="str">
        <f>LEFT(AllDaqbookOffsets[[#This Row],[traceability_no]],2)</f>
        <v>J2</v>
      </c>
      <c r="Z294" s="461" t="str">
        <v>N111</v>
      </c>
      <c r="AA294" s="194" t="str">
        <v>N101-N112</v>
      </c>
      <c r="AG294" s="69" t="str">
        <v>N111</v>
      </c>
    </row>
    <row r="295" spans="1:33" x14ac:dyDescent="0.2">
      <c r="A295"/>
      <c r="B295"/>
      <c r="C295"/>
      <c r="D295"/>
      <c r="E295"/>
      <c r="F295" t="str">
        <f>LEFT(AllDaqbookOffsets[[#This Row],[traceability_no]],2)</f>
        <v>J2</v>
      </c>
      <c r="Z295" s="461" t="str">
        <v>N112</v>
      </c>
      <c r="AA295" s="194" t="str">
        <v>N101-N112</v>
      </c>
      <c r="AG295" s="69" t="str">
        <v>N112</v>
      </c>
    </row>
    <row r="296" spans="1:33" x14ac:dyDescent="0.2">
      <c r="A296"/>
      <c r="B296"/>
      <c r="C296"/>
      <c r="D296"/>
      <c r="E296"/>
      <c r="F296" t="str">
        <f>LEFT(AllDaqbookOffsets[[#This Row],[traceability_no]],2)</f>
        <v>J2</v>
      </c>
      <c r="Z296" s="461" t="str">
        <v>N12</v>
      </c>
      <c r="AA296" s="194" t="str">
        <v>N01-N16</v>
      </c>
      <c r="AG296" s="69" t="str">
        <v>N12</v>
      </c>
    </row>
    <row r="297" spans="1:33" x14ac:dyDescent="0.2">
      <c r="A297"/>
      <c r="B297"/>
      <c r="C297"/>
      <c r="D297"/>
      <c r="E297"/>
      <c r="F297" t="str">
        <f>LEFT(AllDaqbookOffsets[[#This Row],[traceability_no]],2)</f>
        <v>J2</v>
      </c>
      <c r="Z297" s="461" t="str">
        <v>N13</v>
      </c>
      <c r="AA297" s="194" t="str">
        <v>N01-N16</v>
      </c>
      <c r="AG297" s="69" t="str">
        <v>N13</v>
      </c>
    </row>
    <row r="298" spans="1:33" x14ac:dyDescent="0.2">
      <c r="A298"/>
      <c r="B298"/>
      <c r="C298"/>
      <c r="D298"/>
      <c r="E298"/>
      <c r="F298" t="str">
        <f>LEFT(AllDaqbookOffsets[[#This Row],[traceability_no]],2)</f>
        <v>J2</v>
      </c>
      <c r="Z298" s="461" t="str">
        <v>N14</v>
      </c>
      <c r="AA298" s="194" t="str">
        <v>N01-N16</v>
      </c>
      <c r="AG298" s="69" t="str">
        <v>N14</v>
      </c>
    </row>
    <row r="299" spans="1:33" x14ac:dyDescent="0.2">
      <c r="A299"/>
      <c r="B299"/>
      <c r="C299"/>
      <c r="D299"/>
      <c r="E299"/>
      <c r="F299" t="str">
        <f>LEFT(AllDaqbookOffsets[[#This Row],[traceability_no]],2)</f>
        <v>J2</v>
      </c>
      <c r="Z299" s="461" t="str">
        <v>N15</v>
      </c>
      <c r="AA299" s="194" t="str">
        <v>N01-N16</v>
      </c>
      <c r="AG299" s="69" t="str">
        <v>N15</v>
      </c>
    </row>
    <row r="300" spans="1:33" x14ac:dyDescent="0.2">
      <c r="A300"/>
      <c r="B300"/>
      <c r="C300"/>
      <c r="D300"/>
      <c r="E300"/>
      <c r="F300" t="str">
        <f>LEFT(AllDaqbookOffsets[[#This Row],[traceability_no]],2)</f>
        <v>J2</v>
      </c>
      <c r="Z300" s="461" t="str">
        <v>N16</v>
      </c>
      <c r="AA300" s="194" t="str">
        <v>N01-N16</v>
      </c>
      <c r="AG300" s="69" t="str">
        <v>N16</v>
      </c>
    </row>
    <row r="301" spans="1:33" x14ac:dyDescent="0.2">
      <c r="A301"/>
      <c r="B301"/>
      <c r="C301"/>
      <c r="D301"/>
      <c r="E301"/>
      <c r="F301" t="str">
        <f>LEFT(AllDaqbookOffsets[[#This Row],[traceability_no]],2)</f>
        <v>J2</v>
      </c>
      <c r="Z301" s="461" t="str">
        <v>N21</v>
      </c>
      <c r="AA301" s="194" t="str">
        <v>N21-N34</v>
      </c>
      <c r="AG301" s="69" t="str">
        <v>N21</v>
      </c>
    </row>
    <row r="302" spans="1:33" x14ac:dyDescent="0.2">
      <c r="A302"/>
      <c r="B302"/>
      <c r="C302"/>
      <c r="D302"/>
      <c r="E302"/>
      <c r="F302" t="str">
        <f>LEFT(AllDaqbookOffsets[[#This Row],[traceability_no]],2)</f>
        <v>J2</v>
      </c>
      <c r="Z302" s="461" t="str">
        <v>N22</v>
      </c>
      <c r="AA302" s="194" t="str">
        <v>N21-N34</v>
      </c>
      <c r="AG302" s="69" t="str">
        <v>N22</v>
      </c>
    </row>
    <row r="303" spans="1:33" x14ac:dyDescent="0.2">
      <c r="A303"/>
      <c r="B303"/>
      <c r="C303"/>
      <c r="D303"/>
      <c r="E303"/>
      <c r="F303" t="str">
        <f>LEFT(AllDaqbookOffsets[[#This Row],[traceability_no]],2)</f>
        <v>J2</v>
      </c>
      <c r="Z303" s="461" t="str">
        <v>N23</v>
      </c>
      <c r="AA303" s="194" t="str">
        <v>N21-N34</v>
      </c>
      <c r="AG303" s="69" t="str">
        <v>N23</v>
      </c>
    </row>
    <row r="304" spans="1:33" x14ac:dyDescent="0.2">
      <c r="A304"/>
      <c r="B304"/>
      <c r="C304"/>
      <c r="D304"/>
      <c r="E304"/>
      <c r="F304" t="str">
        <f>LEFT(AllDaqbookOffsets[[#This Row],[traceability_no]],2)</f>
        <v>J2</v>
      </c>
      <c r="Z304" s="461" t="str">
        <v>N24</v>
      </c>
      <c r="AA304" s="194" t="str">
        <v>N21-N34</v>
      </c>
      <c r="AG304" s="69" t="str">
        <v>N24</v>
      </c>
    </row>
    <row r="305" spans="1:33" x14ac:dyDescent="0.2">
      <c r="A305"/>
      <c r="B305"/>
      <c r="C305"/>
      <c r="D305"/>
      <c r="E305"/>
      <c r="F305" t="str">
        <f>LEFT(AllDaqbookOffsets[[#This Row],[traceability_no]],2)</f>
        <v>J2</v>
      </c>
      <c r="Z305" s="461" t="str">
        <v>N25</v>
      </c>
      <c r="AA305" s="194" t="str">
        <v>N21-N34</v>
      </c>
      <c r="AG305" s="69" t="str">
        <v>N25</v>
      </c>
    </row>
    <row r="306" spans="1:33" x14ac:dyDescent="0.2">
      <c r="A306"/>
      <c r="B306"/>
      <c r="C306"/>
      <c r="D306"/>
      <c r="E306"/>
      <c r="F306" t="str">
        <f>LEFT(AllDaqbookOffsets[[#This Row],[traceability_no]],2)</f>
        <v>J2</v>
      </c>
      <c r="Z306" s="461" t="str">
        <v>N26</v>
      </c>
      <c r="AA306" s="194" t="str">
        <v>N21-N34</v>
      </c>
      <c r="AG306" s="69" t="str">
        <v>N26</v>
      </c>
    </row>
    <row r="307" spans="1:33" x14ac:dyDescent="0.2">
      <c r="A307"/>
      <c r="B307"/>
      <c r="C307"/>
      <c r="D307"/>
      <c r="E307"/>
      <c r="F307" t="str">
        <f>LEFT(AllDaqbookOffsets[[#This Row],[traceability_no]],2)</f>
        <v>J2</v>
      </c>
      <c r="Z307" s="461" t="str">
        <v>N27</v>
      </c>
      <c r="AA307" s="194" t="str">
        <v>N21-N34</v>
      </c>
      <c r="AG307" s="69" t="str">
        <v>N27</v>
      </c>
    </row>
    <row r="308" spans="1:33" x14ac:dyDescent="0.2">
      <c r="A308"/>
      <c r="B308"/>
      <c r="C308"/>
      <c r="D308"/>
      <c r="E308"/>
      <c r="F308" t="str">
        <f>LEFT(AllDaqbookOffsets[[#This Row],[traceability_no]],2)</f>
        <v>J2</v>
      </c>
      <c r="Z308" s="461" t="str">
        <v>N28</v>
      </c>
      <c r="AA308" s="194" t="str">
        <v>N21-N34</v>
      </c>
      <c r="AG308" s="69" t="str">
        <v>N28</v>
      </c>
    </row>
    <row r="309" spans="1:33" x14ac:dyDescent="0.2">
      <c r="A309"/>
      <c r="B309"/>
      <c r="C309"/>
      <c r="D309"/>
      <c r="E309"/>
      <c r="F309" t="str">
        <f>LEFT(AllDaqbookOffsets[[#This Row],[traceability_no]],2)</f>
        <v>J2</v>
      </c>
      <c r="Z309" s="461" t="str">
        <v>N29</v>
      </c>
      <c r="AA309" s="194" t="str">
        <v>N21-N34</v>
      </c>
      <c r="AG309" s="69" t="str">
        <v>N29</v>
      </c>
    </row>
    <row r="310" spans="1:33" x14ac:dyDescent="0.2">
      <c r="A310"/>
      <c r="B310"/>
      <c r="C310"/>
      <c r="D310"/>
      <c r="E310"/>
      <c r="F310" t="str">
        <f>LEFT(AllDaqbookOffsets[[#This Row],[traceability_no]],2)</f>
        <v>J2</v>
      </c>
      <c r="Z310" s="461" t="str">
        <v>N30</v>
      </c>
      <c r="AA310" s="194" t="str">
        <v>N21-N34</v>
      </c>
      <c r="AG310" s="69" t="str">
        <v>N30</v>
      </c>
    </row>
    <row r="311" spans="1:33" x14ac:dyDescent="0.2">
      <c r="A311"/>
      <c r="B311"/>
      <c r="C311"/>
      <c r="D311"/>
      <c r="E311"/>
      <c r="F311" t="str">
        <f>LEFT(AllDaqbookOffsets[[#This Row],[traceability_no]],2)</f>
        <v>J2</v>
      </c>
      <c r="Z311" s="461" t="str">
        <v>N31</v>
      </c>
      <c r="AA311" s="194" t="str">
        <v>N21-N34</v>
      </c>
      <c r="AG311" s="69" t="str">
        <v>N31</v>
      </c>
    </row>
    <row r="312" spans="1:33" x14ac:dyDescent="0.2">
      <c r="A312"/>
      <c r="B312"/>
      <c r="C312"/>
      <c r="D312"/>
      <c r="E312"/>
      <c r="F312" t="str">
        <f>LEFT(AllDaqbookOffsets[[#This Row],[traceability_no]],2)</f>
        <v>J2</v>
      </c>
      <c r="Z312" s="461" t="str">
        <v>N32</v>
      </c>
      <c r="AA312" s="194" t="str">
        <v>N21-N34</v>
      </c>
      <c r="AG312" s="69" t="str">
        <v>N32</v>
      </c>
    </row>
    <row r="313" spans="1:33" x14ac:dyDescent="0.2">
      <c r="A313"/>
      <c r="B313"/>
      <c r="C313"/>
      <c r="D313"/>
      <c r="E313"/>
      <c r="F313" t="str">
        <f>LEFT(AllDaqbookOffsets[[#This Row],[traceability_no]],2)</f>
        <v>J2</v>
      </c>
      <c r="Z313" s="461" t="str">
        <v>N33</v>
      </c>
      <c r="AA313" s="194" t="str">
        <v>N21-N34</v>
      </c>
      <c r="AG313" s="69" t="str">
        <v>N33</v>
      </c>
    </row>
    <row r="314" spans="1:33" x14ac:dyDescent="0.2">
      <c r="A314"/>
      <c r="B314"/>
      <c r="C314"/>
      <c r="D314"/>
      <c r="E314"/>
      <c r="F314" t="str">
        <f>LEFT(AllDaqbookOffsets[[#This Row],[traceability_no]],2)</f>
        <v>J2</v>
      </c>
      <c r="Z314" s="461" t="str">
        <v>N34</v>
      </c>
      <c r="AA314" s="194" t="str">
        <v>N21-N34</v>
      </c>
      <c r="AG314" s="69" t="str">
        <v>N34</v>
      </c>
    </row>
    <row r="315" spans="1:33" x14ac:dyDescent="0.2">
      <c r="A315"/>
      <c r="B315"/>
      <c r="C315"/>
      <c r="D315"/>
      <c r="E315"/>
      <c r="F315" t="str">
        <f>LEFT(AllDaqbookOffsets[[#This Row],[traceability_no]],2)</f>
        <v>J2</v>
      </c>
    </row>
    <row r="316" spans="1:33" x14ac:dyDescent="0.2">
      <c r="A316"/>
      <c r="B316"/>
      <c r="C316"/>
      <c r="D316"/>
      <c r="E316"/>
      <c r="F316" t="str">
        <f>LEFT(AllDaqbookOffsets[[#This Row],[traceability_no]],2)</f>
        <v>J2</v>
      </c>
    </row>
    <row r="317" spans="1:33" x14ac:dyDescent="0.2">
      <c r="A317"/>
      <c r="B317"/>
      <c r="C317"/>
      <c r="D317"/>
      <c r="E317"/>
      <c r="F317" t="str">
        <f>LEFT(AllDaqbookOffsets[[#This Row],[traceability_no]],2)</f>
        <v>J2</v>
      </c>
    </row>
    <row r="318" spans="1:33" x14ac:dyDescent="0.2">
      <c r="A318"/>
      <c r="B318"/>
      <c r="C318"/>
      <c r="D318"/>
      <c r="E318"/>
      <c r="F318" t="str">
        <f>LEFT(AllDaqbookOffsets[[#This Row],[traceability_no]],2)</f>
        <v>J2</v>
      </c>
    </row>
    <row r="319" spans="1:33" x14ac:dyDescent="0.2">
      <c r="A319"/>
      <c r="B319"/>
      <c r="C319"/>
      <c r="D319"/>
      <c r="E319"/>
      <c r="F319" t="str">
        <f>LEFT(AllDaqbookOffsets[[#This Row],[traceability_no]],2)</f>
        <v>J2</v>
      </c>
    </row>
    <row r="320" spans="1:33"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N2</v>
      </c>
    </row>
    <row r="1371" spans="1:6" x14ac:dyDescent="0.2">
      <c r="A1371"/>
      <c r="B1371"/>
      <c r="C1371"/>
      <c r="D1371"/>
      <c r="E1371"/>
      <c r="F1371" t="str">
        <f>LEFT(AllDaqbookOffsets[[#This Row],[traceability_no]],2)</f>
        <v>N2</v>
      </c>
    </row>
    <row r="1372" spans="1:6" x14ac:dyDescent="0.2">
      <c r="A1372"/>
      <c r="B1372"/>
      <c r="C1372"/>
      <c r="D1372"/>
      <c r="E1372"/>
      <c r="F1372" t="str">
        <f>LEFT(AllDaqbookOffsets[[#This Row],[traceability_no]],2)</f>
        <v>N2</v>
      </c>
    </row>
    <row r="1373" spans="1:6" x14ac:dyDescent="0.2">
      <c r="A1373"/>
      <c r="B1373"/>
      <c r="C1373"/>
      <c r="D1373"/>
      <c r="E1373"/>
      <c r="F1373" t="str">
        <f>LEFT(AllDaqbookOffsets[[#This Row],[traceability_no]],2)</f>
        <v>N2</v>
      </c>
    </row>
    <row r="1374" spans="1:6" x14ac:dyDescent="0.2">
      <c r="A1374"/>
      <c r="B1374"/>
      <c r="C1374"/>
      <c r="D1374"/>
      <c r="E1374"/>
      <c r="F1374" t="str">
        <f>LEFT(AllDaqbookOffsets[[#This Row],[traceability_no]],2)</f>
        <v>N2</v>
      </c>
    </row>
    <row r="1375" spans="1:6" x14ac:dyDescent="0.2">
      <c r="A1375"/>
      <c r="B1375"/>
      <c r="C1375"/>
      <c r="D1375"/>
      <c r="E1375"/>
      <c r="F1375" t="str">
        <f>LEFT(AllDaqbookOffsets[[#This Row],[traceability_no]],2)</f>
        <v>N2</v>
      </c>
    </row>
    <row r="1376" spans="1:6" x14ac:dyDescent="0.2">
      <c r="A1376"/>
      <c r="B1376"/>
      <c r="C1376"/>
      <c r="D1376"/>
      <c r="E1376"/>
      <c r="F1376" t="str">
        <f>LEFT(AllDaqbookOffsets[[#This Row],[traceability_no]],2)</f>
        <v>N2</v>
      </c>
    </row>
    <row r="1377" spans="1:6" x14ac:dyDescent="0.2">
      <c r="A1377"/>
      <c r="B1377"/>
      <c r="C1377"/>
      <c r="D1377"/>
      <c r="E1377"/>
      <c r="F1377" t="str">
        <f>LEFT(AllDaqbookOffsets[[#This Row],[traceability_no]],2)</f>
        <v>N2</v>
      </c>
    </row>
    <row r="1378" spans="1:6" x14ac:dyDescent="0.2">
      <c r="A1378"/>
      <c r="B1378"/>
      <c r="C1378"/>
      <c r="D1378"/>
      <c r="E1378"/>
      <c r="F1378" t="str">
        <f>LEFT(AllDaqbookOffsets[[#This Row],[traceability_no]],2)</f>
        <v>N2</v>
      </c>
    </row>
    <row r="1379" spans="1:6" x14ac:dyDescent="0.2">
      <c r="A1379"/>
      <c r="B1379"/>
      <c r="C1379"/>
      <c r="D1379"/>
      <c r="E1379"/>
      <c r="F1379" t="str">
        <f>LEFT(AllDaqbookOffsets[[#This Row],[traceability_no]],2)</f>
        <v>N2</v>
      </c>
    </row>
    <row r="1380" spans="1:6" x14ac:dyDescent="0.2">
      <c r="A1380"/>
      <c r="B1380"/>
      <c r="C1380"/>
      <c r="D1380"/>
      <c r="E1380"/>
      <c r="F1380" t="str">
        <f>LEFT(AllDaqbookOffsets[[#This Row],[traceability_no]],2)</f>
        <v>N2</v>
      </c>
    </row>
    <row r="1381" spans="1:6" x14ac:dyDescent="0.2">
      <c r="A1381"/>
      <c r="B1381"/>
      <c r="C1381"/>
      <c r="D1381"/>
      <c r="E1381"/>
      <c r="F1381" t="str">
        <f>LEFT(AllDaqbookOffsets[[#This Row],[traceability_no]],2)</f>
        <v>N2</v>
      </c>
    </row>
    <row r="1382" spans="1:6" x14ac:dyDescent="0.2">
      <c r="A1382"/>
      <c r="B1382"/>
      <c r="C1382"/>
      <c r="D1382"/>
      <c r="E1382"/>
      <c r="F1382" t="str">
        <f>LEFT(AllDaqbookOffsets[[#This Row],[traceability_no]],2)</f>
        <v>N2</v>
      </c>
    </row>
    <row r="1383" spans="1:6" x14ac:dyDescent="0.2">
      <c r="A1383"/>
      <c r="B1383"/>
      <c r="C1383"/>
      <c r="D1383"/>
      <c r="E1383"/>
      <c r="F1383" t="str">
        <f>LEFT(AllDaqbookOffsets[[#This Row],[traceability_no]],2)</f>
        <v>N2</v>
      </c>
    </row>
    <row r="1384" spans="1:6" x14ac:dyDescent="0.2">
      <c r="A1384"/>
      <c r="B1384"/>
      <c r="C1384"/>
      <c r="D1384"/>
      <c r="E1384"/>
      <c r="F1384" t="str">
        <f>LEFT(AllDaqbookOffsets[[#This Row],[traceability_no]],2)</f>
        <v>N2</v>
      </c>
    </row>
    <row r="1385" spans="1:6" x14ac:dyDescent="0.2">
      <c r="A1385"/>
      <c r="B1385"/>
      <c r="C1385"/>
      <c r="D1385"/>
      <c r="E1385"/>
      <c r="F1385" t="str">
        <f>LEFT(AllDaqbookOffsets[[#This Row],[traceability_no]],2)</f>
        <v>N2</v>
      </c>
    </row>
    <row r="1386" spans="1:6" x14ac:dyDescent="0.2">
      <c r="A1386"/>
      <c r="B1386"/>
      <c r="C1386"/>
      <c r="D1386"/>
      <c r="E1386"/>
      <c r="F1386" t="str">
        <f>LEFT(AllDaqbookOffsets[[#This Row],[traceability_no]],2)</f>
        <v>N2</v>
      </c>
    </row>
    <row r="1387" spans="1:6" x14ac:dyDescent="0.2">
      <c r="A1387"/>
      <c r="B1387"/>
      <c r="C1387"/>
      <c r="D1387"/>
      <c r="E1387"/>
      <c r="F1387" t="str">
        <f>LEFT(AllDaqbookOffsets[[#This Row],[traceability_no]],2)</f>
        <v>N2</v>
      </c>
    </row>
    <row r="1388" spans="1:6" x14ac:dyDescent="0.2">
      <c r="A1388"/>
      <c r="B1388"/>
      <c r="C1388"/>
      <c r="D1388"/>
      <c r="E1388"/>
      <c r="F1388" t="str">
        <f>LEFT(AllDaqbookOffsets[[#This Row],[traceability_no]],2)</f>
        <v>N2</v>
      </c>
    </row>
    <row r="1389" spans="1:6" x14ac:dyDescent="0.2">
      <c r="A1389"/>
      <c r="B1389"/>
      <c r="C1389"/>
      <c r="D1389"/>
      <c r="E1389"/>
      <c r="F1389" t="str">
        <f>LEFT(AllDaqbookOffsets[[#This Row],[traceability_no]],2)</f>
        <v>N2</v>
      </c>
    </row>
    <row r="1390" spans="1:6" x14ac:dyDescent="0.2">
      <c r="A1390"/>
      <c r="B1390"/>
      <c r="C1390"/>
      <c r="D1390"/>
      <c r="E1390"/>
      <c r="F1390" t="str">
        <f>LEFT(AllDaqbookOffsets[[#This Row],[traceability_no]],2)</f>
        <v>N2</v>
      </c>
    </row>
    <row r="1391" spans="1:6" x14ac:dyDescent="0.2">
      <c r="A1391"/>
      <c r="B1391"/>
      <c r="C1391"/>
      <c r="D1391"/>
      <c r="E1391"/>
      <c r="F1391" t="str">
        <f>LEFT(AllDaqbookOffsets[[#This Row],[traceability_no]],2)</f>
        <v>N2</v>
      </c>
    </row>
    <row r="1392" spans="1:6" x14ac:dyDescent="0.2">
      <c r="A1392"/>
      <c r="B1392"/>
      <c r="C1392"/>
      <c r="D1392"/>
      <c r="E1392"/>
      <c r="F1392" t="str">
        <f>LEFT(AllDaqbookOffsets[[#This Row],[traceability_no]],2)</f>
        <v>N2</v>
      </c>
    </row>
    <row r="1393" spans="1:6" x14ac:dyDescent="0.2">
      <c r="A1393"/>
      <c r="B1393"/>
      <c r="C1393"/>
      <c r="D1393"/>
      <c r="E1393"/>
      <c r="F1393" t="str">
        <f>LEFT(AllDaqbookOffsets[[#This Row],[traceability_no]],2)</f>
        <v>N2</v>
      </c>
    </row>
    <row r="1394" spans="1:6" x14ac:dyDescent="0.2">
      <c r="A1394"/>
      <c r="B1394"/>
      <c r="C1394"/>
      <c r="D1394"/>
      <c r="E1394"/>
      <c r="F1394" t="str">
        <f>LEFT(AllDaqbookOffsets[[#This Row],[traceability_no]],2)</f>
        <v>N2</v>
      </c>
    </row>
    <row r="1395" spans="1:6" x14ac:dyDescent="0.2">
      <c r="A1395"/>
      <c r="B1395"/>
      <c r="C1395"/>
      <c r="D1395"/>
      <c r="E1395"/>
      <c r="F1395" t="str">
        <f>LEFT(AllDaqbookOffsets[[#This Row],[traceability_no]],2)</f>
        <v>N2</v>
      </c>
    </row>
    <row r="1396" spans="1:6" x14ac:dyDescent="0.2">
      <c r="A1396"/>
      <c r="B1396"/>
      <c r="C1396"/>
      <c r="D1396"/>
      <c r="E1396"/>
      <c r="F1396" t="str">
        <f>LEFT(AllDaqbookOffsets[[#This Row],[traceability_no]],2)</f>
        <v>N2</v>
      </c>
    </row>
    <row r="1397" spans="1:6" x14ac:dyDescent="0.2">
      <c r="A1397"/>
      <c r="B1397"/>
      <c r="C1397"/>
      <c r="D1397"/>
      <c r="E1397"/>
      <c r="F1397" t="str">
        <f>LEFT(AllDaqbookOffsets[[#This Row],[traceability_no]],2)</f>
        <v>N2</v>
      </c>
    </row>
    <row r="1398" spans="1:6" x14ac:dyDescent="0.2">
      <c r="A1398"/>
      <c r="B1398"/>
      <c r="C1398"/>
      <c r="D1398"/>
      <c r="E1398"/>
      <c r="F1398" t="str">
        <f>LEFT(AllDaqbookOffsets[[#This Row],[traceability_no]],2)</f>
        <v>N2</v>
      </c>
    </row>
    <row r="1399" spans="1:6" x14ac:dyDescent="0.2">
      <c r="A1399"/>
      <c r="B1399"/>
      <c r="C1399"/>
      <c r="D1399"/>
      <c r="E1399"/>
      <c r="F1399" t="str">
        <f>LEFT(AllDaqbookOffsets[[#This Row],[traceability_no]],2)</f>
        <v>N2</v>
      </c>
    </row>
    <row r="1400" spans="1:6" x14ac:dyDescent="0.2">
      <c r="A1400"/>
      <c r="B1400"/>
      <c r="C1400"/>
      <c r="D1400"/>
      <c r="E1400"/>
      <c r="F1400" t="str">
        <f>LEFT(AllDaqbookOffsets[[#This Row],[traceability_no]],2)</f>
        <v>N2</v>
      </c>
    </row>
    <row r="1401" spans="1:6" x14ac:dyDescent="0.2">
      <c r="A1401"/>
      <c r="B1401"/>
      <c r="C1401"/>
      <c r="D1401"/>
      <c r="E1401"/>
      <c r="F1401" t="str">
        <f>LEFT(AllDaqbookOffsets[[#This Row],[traceability_no]],2)</f>
        <v>N2</v>
      </c>
    </row>
    <row r="1402" spans="1:6" x14ac:dyDescent="0.2">
      <c r="A1402"/>
      <c r="B1402"/>
      <c r="C1402"/>
      <c r="D1402"/>
      <c r="E1402"/>
      <c r="F1402" t="str">
        <f>LEFT(AllDaqbookOffsets[[#This Row],[traceability_no]],2)</f>
        <v>N2</v>
      </c>
    </row>
    <row r="1403" spans="1:6" x14ac:dyDescent="0.2">
      <c r="A1403"/>
      <c r="B1403"/>
      <c r="C1403"/>
      <c r="D1403"/>
      <c r="E1403"/>
      <c r="F1403" t="str">
        <f>LEFT(AllDaqbookOffsets[[#This Row],[traceability_no]],2)</f>
        <v>N2</v>
      </c>
    </row>
    <row r="1404" spans="1:6" x14ac:dyDescent="0.2">
      <c r="A1404"/>
      <c r="B1404"/>
      <c r="C1404"/>
      <c r="D1404"/>
      <c r="E1404"/>
      <c r="F1404" t="str">
        <f>LEFT(AllDaqbookOffsets[[#This Row],[traceability_no]],2)</f>
        <v>N2</v>
      </c>
    </row>
    <row r="1405" spans="1:6" x14ac:dyDescent="0.2">
      <c r="A1405"/>
      <c r="B1405"/>
      <c r="C1405"/>
      <c r="D1405"/>
      <c r="E1405"/>
      <c r="F1405" t="str">
        <f>LEFT(AllDaqbookOffsets[[#This Row],[traceability_no]],2)</f>
        <v>N2</v>
      </c>
    </row>
    <row r="1406" spans="1:6" x14ac:dyDescent="0.2">
      <c r="A1406"/>
      <c r="B1406"/>
      <c r="C1406"/>
      <c r="D1406"/>
      <c r="E1406"/>
      <c r="F1406" t="str">
        <f>LEFT(AllDaqbookOffsets[[#This Row],[traceability_no]],2)</f>
        <v>N2</v>
      </c>
    </row>
    <row r="1407" spans="1:6" x14ac:dyDescent="0.2">
      <c r="A1407"/>
      <c r="B1407"/>
      <c r="C1407"/>
      <c r="D1407"/>
      <c r="E1407"/>
      <c r="F1407" t="str">
        <f>LEFT(AllDaqbookOffsets[[#This Row],[traceability_no]],2)</f>
        <v>N2</v>
      </c>
    </row>
    <row r="1408" spans="1:6" x14ac:dyDescent="0.2">
      <c r="A1408"/>
      <c r="B1408"/>
      <c r="C1408"/>
      <c r="D1408"/>
      <c r="E1408"/>
      <c r="F1408" t="str">
        <f>LEFT(AllDaqbookOffsets[[#This Row],[traceability_no]],2)</f>
        <v>N2</v>
      </c>
    </row>
    <row r="1409" spans="1:6" x14ac:dyDescent="0.2">
      <c r="A1409"/>
      <c r="B1409"/>
      <c r="C1409"/>
      <c r="D1409"/>
      <c r="E1409"/>
      <c r="F1409" t="str">
        <f>LEFT(AllDaqbookOffsets[[#This Row],[traceability_no]],2)</f>
        <v>N2</v>
      </c>
    </row>
    <row r="1410" spans="1:6" x14ac:dyDescent="0.2">
      <c r="A1410"/>
      <c r="B1410"/>
      <c r="C1410"/>
      <c r="D1410"/>
      <c r="E1410"/>
      <c r="F1410" t="str">
        <f>LEFT(AllDaqbookOffsets[[#This Row],[traceability_no]],2)</f>
        <v>N2</v>
      </c>
    </row>
    <row r="1411" spans="1:6" x14ac:dyDescent="0.2">
      <c r="A1411"/>
      <c r="B1411"/>
      <c r="C1411"/>
      <c r="D1411"/>
      <c r="E1411"/>
      <c r="F1411" t="str">
        <f>LEFT(AllDaqbookOffsets[[#This Row],[traceability_no]],2)</f>
        <v>N2</v>
      </c>
    </row>
    <row r="1412" spans="1:6" x14ac:dyDescent="0.2">
      <c r="A1412"/>
      <c r="B1412"/>
      <c r="C1412"/>
      <c r="D1412"/>
      <c r="E1412"/>
      <c r="F1412" t="str">
        <f>LEFT(AllDaqbookOffsets[[#This Row],[traceability_no]],2)</f>
        <v>N2</v>
      </c>
    </row>
    <row r="1413" spans="1:6" x14ac:dyDescent="0.2">
      <c r="A1413"/>
      <c r="B1413"/>
      <c r="C1413"/>
      <c r="D1413"/>
      <c r="E1413"/>
      <c r="F1413" t="str">
        <f>LEFT(AllDaqbookOffsets[[#This Row],[traceability_no]],2)</f>
        <v>N2</v>
      </c>
    </row>
    <row r="1414" spans="1:6" x14ac:dyDescent="0.2">
      <c r="A1414"/>
      <c r="B1414"/>
      <c r="C1414"/>
      <c r="D1414"/>
      <c r="E1414"/>
      <c r="F1414" t="str">
        <f>LEFT(AllDaqbookOffsets[[#This Row],[traceability_no]],2)</f>
        <v>N2</v>
      </c>
    </row>
    <row r="1415" spans="1:6" x14ac:dyDescent="0.2">
      <c r="A1415"/>
      <c r="B1415"/>
      <c r="C1415"/>
      <c r="D1415"/>
      <c r="E1415"/>
      <c r="F1415" t="str">
        <f>LEFT(AllDaqbookOffsets[[#This Row],[traceability_no]],2)</f>
        <v>N2</v>
      </c>
    </row>
    <row r="1416" spans="1:6" x14ac:dyDescent="0.2">
      <c r="A1416"/>
      <c r="B1416"/>
      <c r="C1416"/>
      <c r="D1416"/>
      <c r="E1416"/>
      <c r="F1416" t="str">
        <f>LEFT(AllDaqbookOffsets[[#This Row],[traceability_no]],2)</f>
        <v>N2</v>
      </c>
    </row>
    <row r="1417" spans="1:6" x14ac:dyDescent="0.2">
      <c r="A1417"/>
      <c r="B1417"/>
      <c r="C1417"/>
      <c r="D1417"/>
      <c r="E1417"/>
      <c r="F1417" t="str">
        <f>LEFT(AllDaqbookOffsets[[#This Row],[traceability_no]],2)</f>
        <v>N2</v>
      </c>
    </row>
    <row r="1418" spans="1:6" x14ac:dyDescent="0.2">
      <c r="A1418"/>
      <c r="B1418"/>
      <c r="C1418"/>
      <c r="D1418"/>
      <c r="E1418"/>
      <c r="F1418" t="str">
        <f>LEFT(AllDaqbookOffsets[[#This Row],[traceability_no]],2)</f>
        <v>N2</v>
      </c>
    </row>
    <row r="1419" spans="1:6" x14ac:dyDescent="0.2">
      <c r="A1419"/>
      <c r="B1419"/>
      <c r="C1419"/>
      <c r="D1419"/>
      <c r="E1419"/>
      <c r="F1419" t="str">
        <f>LEFT(AllDaqbookOffsets[[#This Row],[traceability_no]],2)</f>
        <v>N2</v>
      </c>
    </row>
    <row r="1420" spans="1:6" x14ac:dyDescent="0.2">
      <c r="A1420"/>
      <c r="B1420"/>
      <c r="C1420"/>
      <c r="D1420"/>
      <c r="E1420"/>
      <c r="F1420" t="str">
        <f>LEFT(AllDaqbookOffsets[[#This Row],[traceability_no]],2)</f>
        <v>N2</v>
      </c>
    </row>
    <row r="1421" spans="1:6" x14ac:dyDescent="0.2">
      <c r="A1421"/>
      <c r="B1421"/>
      <c r="C1421"/>
      <c r="D1421"/>
      <c r="E1421"/>
      <c r="F1421" t="str">
        <f>LEFT(AllDaqbookOffsets[[#This Row],[traceability_no]],2)</f>
        <v>N2</v>
      </c>
    </row>
    <row r="1422" spans="1:6" x14ac:dyDescent="0.2">
      <c r="A1422"/>
      <c r="B1422"/>
      <c r="C1422"/>
      <c r="D1422"/>
      <c r="E1422"/>
      <c r="F1422" t="str">
        <f>LEFT(AllDaqbookOffsets[[#This Row],[traceability_no]],2)</f>
        <v>N2</v>
      </c>
    </row>
    <row r="1423" spans="1:6" x14ac:dyDescent="0.2">
      <c r="A1423"/>
      <c r="B1423"/>
      <c r="C1423"/>
      <c r="D1423"/>
      <c r="E1423"/>
      <c r="F1423" t="str">
        <f>LEFT(AllDaqbookOffsets[[#This Row],[traceability_no]],2)</f>
        <v>N2</v>
      </c>
    </row>
    <row r="1424" spans="1:6" x14ac:dyDescent="0.2">
      <c r="A1424"/>
      <c r="B1424"/>
      <c r="C1424"/>
      <c r="D1424"/>
      <c r="E1424"/>
      <c r="F1424" t="str">
        <f>LEFT(AllDaqbookOffsets[[#This Row],[traceability_no]],2)</f>
        <v>N2</v>
      </c>
    </row>
    <row r="1425" spans="1:6" x14ac:dyDescent="0.2">
      <c r="A1425"/>
      <c r="B1425"/>
      <c r="C1425"/>
      <c r="D1425"/>
      <c r="E1425"/>
      <c r="F1425" t="str">
        <f>LEFT(AllDaqbookOffsets[[#This Row],[traceability_no]],2)</f>
        <v>N2</v>
      </c>
    </row>
    <row r="1426" spans="1:6" x14ac:dyDescent="0.2">
      <c r="A1426"/>
      <c r="B1426"/>
      <c r="C1426"/>
      <c r="D1426"/>
      <c r="E1426"/>
      <c r="F1426" t="str">
        <f>LEFT(AllDaqbookOffsets[[#This Row],[traceability_no]],2)</f>
        <v>N2</v>
      </c>
    </row>
    <row r="1427" spans="1:6" x14ac:dyDescent="0.2">
      <c r="A1427"/>
      <c r="B1427"/>
      <c r="C1427"/>
      <c r="D1427"/>
      <c r="E1427"/>
      <c r="F1427" t="str">
        <f>LEFT(AllDaqbookOffsets[[#This Row],[traceability_no]],2)</f>
        <v>N2</v>
      </c>
    </row>
    <row r="1428" spans="1:6" x14ac:dyDescent="0.2">
      <c r="A1428"/>
      <c r="B1428"/>
      <c r="C1428"/>
      <c r="D1428"/>
      <c r="E1428"/>
      <c r="F1428" t="str">
        <f>LEFT(AllDaqbookOffsets[[#This Row],[traceability_no]],2)</f>
        <v>N2</v>
      </c>
    </row>
    <row r="1429" spans="1:6" x14ac:dyDescent="0.2">
      <c r="A1429"/>
      <c r="B1429"/>
      <c r="C1429"/>
      <c r="D1429"/>
      <c r="E1429"/>
      <c r="F1429" t="str">
        <f>LEFT(AllDaqbookOffsets[[#This Row],[traceability_no]],2)</f>
        <v>N2</v>
      </c>
    </row>
    <row r="1430" spans="1:6" x14ac:dyDescent="0.2">
      <c r="A1430"/>
      <c r="B1430"/>
      <c r="C1430"/>
      <c r="D1430"/>
      <c r="E1430"/>
      <c r="F1430" t="str">
        <f>LEFT(AllDaqbookOffsets[[#This Row],[traceability_no]],2)</f>
        <v>N2</v>
      </c>
    </row>
    <row r="1431" spans="1:6" x14ac:dyDescent="0.2">
      <c r="A1431"/>
      <c r="B1431"/>
      <c r="C1431"/>
      <c r="D1431"/>
      <c r="E1431"/>
      <c r="F1431" t="str">
        <f>LEFT(AllDaqbookOffsets[[#This Row],[traceability_no]],2)</f>
        <v>N2</v>
      </c>
    </row>
    <row r="1432" spans="1:6" x14ac:dyDescent="0.2">
      <c r="A1432"/>
      <c r="B1432"/>
      <c r="C1432"/>
      <c r="D1432"/>
      <c r="E1432"/>
      <c r="F1432" t="str">
        <f>LEFT(AllDaqbookOffsets[[#This Row],[traceability_no]],2)</f>
        <v>N2</v>
      </c>
    </row>
    <row r="1433" spans="1:6" x14ac:dyDescent="0.2">
      <c r="A1433"/>
      <c r="B1433"/>
      <c r="C1433"/>
      <c r="D1433"/>
      <c r="E1433"/>
      <c r="F1433" t="str">
        <f>LEFT(AllDaqbookOffsets[[#This Row],[traceability_no]],2)</f>
        <v>N2</v>
      </c>
    </row>
    <row r="1434" spans="1:6" x14ac:dyDescent="0.2">
      <c r="A1434"/>
      <c r="B1434"/>
      <c r="C1434"/>
      <c r="D1434"/>
      <c r="E1434"/>
      <c r="F1434" t="str">
        <f>LEFT(AllDaqbookOffsets[[#This Row],[traceability_no]],2)</f>
        <v>N2</v>
      </c>
    </row>
    <row r="1435" spans="1:6" x14ac:dyDescent="0.2">
      <c r="A1435"/>
      <c r="B1435"/>
      <c r="C1435"/>
      <c r="D1435"/>
      <c r="E1435"/>
      <c r="F1435" t="str">
        <f>LEFT(AllDaqbookOffsets[[#This Row],[traceability_no]],2)</f>
        <v>N2</v>
      </c>
    </row>
    <row r="1436" spans="1:6" x14ac:dyDescent="0.2">
      <c r="A1436"/>
      <c r="B1436"/>
      <c r="C1436"/>
      <c r="D1436"/>
      <c r="E1436"/>
      <c r="F1436" t="str">
        <f>LEFT(AllDaqbookOffsets[[#This Row],[traceability_no]],2)</f>
        <v>N2</v>
      </c>
    </row>
    <row r="1437" spans="1:6" x14ac:dyDescent="0.2">
      <c r="A1437"/>
      <c r="B1437"/>
      <c r="C1437"/>
      <c r="D1437"/>
      <c r="E1437"/>
      <c r="F1437" t="str">
        <f>LEFT(AllDaqbookOffsets[[#This Row],[traceability_no]],2)</f>
        <v>N2</v>
      </c>
    </row>
    <row r="1438" spans="1:6" x14ac:dyDescent="0.2">
      <c r="A1438"/>
      <c r="B1438"/>
      <c r="C1438"/>
      <c r="D1438"/>
      <c r="E1438"/>
      <c r="F1438" t="str">
        <f>LEFT(AllDaqbookOffsets[[#This Row],[traceability_no]],2)</f>
        <v>N2</v>
      </c>
    </row>
    <row r="1439" spans="1:6" x14ac:dyDescent="0.2">
      <c r="A1439"/>
      <c r="B1439"/>
      <c r="C1439"/>
      <c r="D1439"/>
      <c r="E1439"/>
      <c r="F1439" t="str">
        <f>LEFT(AllDaqbookOffsets[[#This Row],[traceability_no]],2)</f>
        <v>N2</v>
      </c>
    </row>
    <row r="1440" spans="1:6" x14ac:dyDescent="0.2">
      <c r="A1440"/>
      <c r="B1440"/>
      <c r="C1440"/>
      <c r="D1440"/>
      <c r="E1440"/>
      <c r="F1440" t="str">
        <f>LEFT(AllDaqbookOffsets[[#This Row],[traceability_no]],2)</f>
        <v>N2</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333</v>
      </c>
      <c r="B1" s="359" t="s">
        <v>334</v>
      </c>
    </row>
    <row r="3" spans="1:5" x14ac:dyDescent="0.2">
      <c r="A3" t="s">
        <v>328</v>
      </c>
      <c r="B3" t="s">
        <v>329</v>
      </c>
      <c r="C3" t="s">
        <v>335</v>
      </c>
      <c r="D3" t="s">
        <v>422</v>
      </c>
      <c r="E3" s="36" t="s">
        <v>741</v>
      </c>
    </row>
    <row r="4" spans="1:5" x14ac:dyDescent="0.2">
      <c r="A4">
        <v>-100</v>
      </c>
      <c r="B4">
        <v>392</v>
      </c>
      <c r="C4">
        <v>1.6</v>
      </c>
      <c r="D4" t="s">
        <v>738</v>
      </c>
      <c r="E4" t="b">
        <f>1=(NominalTemp&gt;=CMCs[[#This Row],[Min]])*(NominalTemp&lt;CMCs[[#This Row],[Max]])*(CMCs[[#This Row],[Unit]]=Unit)</f>
        <v>1</v>
      </c>
    </row>
    <row r="5" spans="1:5" x14ac:dyDescent="0.2">
      <c r="A5">
        <v>392</v>
      </c>
      <c r="B5">
        <v>752</v>
      </c>
      <c r="C5">
        <v>4</v>
      </c>
      <c r="D5" t="s">
        <v>738</v>
      </c>
      <c r="E5" t="b">
        <f>1=(NominalTemp&gt;=CMCs[[#This Row],[Min]])*(NominalTemp&lt;CMCs[[#This Row],[Max]])*(CMCs[[#This Row],[Unit]]=Unit)</f>
        <v>0</v>
      </c>
    </row>
    <row r="6" spans="1:5" x14ac:dyDescent="0.2">
      <c r="A6">
        <v>752</v>
      </c>
      <c r="B6">
        <v>1200</v>
      </c>
      <c r="C6">
        <v>3</v>
      </c>
      <c r="D6" t="s">
        <v>738</v>
      </c>
      <c r="E6" t="b">
        <f>1=(NominalTemp&gt;=CMCs[[#This Row],[Min]])*(NominalTemp&lt;CMCs[[#This Row],[Max]])*(CMCs[[#This Row],[Unit]]=Unit)</f>
        <v>0</v>
      </c>
    </row>
    <row r="7" spans="1:5" x14ac:dyDescent="0.2">
      <c r="A7">
        <v>1200</v>
      </c>
      <c r="B7">
        <v>2000</v>
      </c>
      <c r="C7">
        <v>4.0999999999999996</v>
      </c>
      <c r="D7" t="s">
        <v>738</v>
      </c>
      <c r="E7" t="b">
        <f>1=(NominalTemp&gt;=CMCs[[#This Row],[Min]])*(NominalTemp&lt;CMCs[[#This Row],[Max]])*(CMCs[[#This Row],[Unit]]=Unit)</f>
        <v>0</v>
      </c>
    </row>
    <row r="8" spans="1:5" x14ac:dyDescent="0.2">
      <c r="A8">
        <v>1800</v>
      </c>
      <c r="B8">
        <v>2200</v>
      </c>
      <c r="C8">
        <v>4.0999999999999996</v>
      </c>
      <c r="D8" t="s">
        <v>738</v>
      </c>
      <c r="E8" t="b">
        <f>1=(NominalTemp&gt;=CMCs[[#This Row],[Min]])*(NominalTemp&lt;CMCs[[#This Row],[Max]])*(CMCs[[#This Row],[Unit]]=Unit)</f>
        <v>0</v>
      </c>
    </row>
    <row r="9" spans="1:5" x14ac:dyDescent="0.2">
      <c r="A9">
        <v>-73.333333333333329</v>
      </c>
      <c r="B9">
        <v>200</v>
      </c>
      <c r="C9">
        <v>0.88888888888888884</v>
      </c>
      <c r="D9" t="s">
        <v>739</v>
      </c>
      <c r="E9" t="b">
        <f>1=(NominalTemp&gt;=CMCs[[#This Row],[Min]])*(NominalTemp&lt;CMCs[[#This Row],[Max]])*(CMCs[[#This Row],[Unit]]=Unit)</f>
        <v>0</v>
      </c>
    </row>
    <row r="10" spans="1:5" x14ac:dyDescent="0.2">
      <c r="A10">
        <v>200</v>
      </c>
      <c r="B10">
        <v>400</v>
      </c>
      <c r="C10">
        <v>2.2222222222222223</v>
      </c>
      <c r="D10" t="s">
        <v>739</v>
      </c>
      <c r="E10" t="b">
        <f>1=(NominalTemp&gt;=CMCs[[#This Row],[Min]])*(NominalTemp&lt;CMCs[[#This Row],[Max]])*(CMCs[[#This Row],[Unit]]=Unit)</f>
        <v>0</v>
      </c>
    </row>
    <row r="11" spans="1:5" x14ac:dyDescent="0.2">
      <c r="A11">
        <v>400</v>
      </c>
      <c r="B11">
        <v>648.88888888888891</v>
      </c>
      <c r="C11">
        <v>1.6666666666666667</v>
      </c>
      <c r="D11" t="s">
        <v>739</v>
      </c>
      <c r="E11" t="b">
        <f>1=(NominalTemp&gt;=CMCs[[#This Row],[Min]])*(NominalTemp&lt;CMCs[[#This Row],[Max]])*(CMCs[[#This Row],[Unit]]=Unit)</f>
        <v>0</v>
      </c>
    </row>
    <row r="12" spans="1:5" x14ac:dyDescent="0.2">
      <c r="A12">
        <v>648.88888888888891</v>
      </c>
      <c r="B12">
        <v>1093.3333333333333</v>
      </c>
      <c r="C12">
        <v>2.2777777777777777</v>
      </c>
      <c r="D12" t="s">
        <v>739</v>
      </c>
      <c r="E12" t="b">
        <f>1=(NominalTemp&gt;=CMCs[[#This Row],[Min]])*(NominalTemp&lt;CMCs[[#This Row],[Max]])*(CMCs[[#This Row],[Unit]]=Unit)</f>
        <v>0</v>
      </c>
    </row>
    <row r="13" spans="1:5" x14ac:dyDescent="0.2">
      <c r="A13">
        <v>982.22222222222217</v>
      </c>
      <c r="B13">
        <v>1204.4444444444443</v>
      </c>
      <c r="C13">
        <v>2.2777777777777777</v>
      </c>
      <c r="D13" t="s">
        <v>739</v>
      </c>
      <c r="E13" t="b">
        <f>1=(NominalTemp&gt;=CMCs[[#This Row],[Min]])*(NominalTemp&lt;CMCs[[#This Row],[Max]])*(CMCs[[#This Row],[Unit]]=Unit)</f>
        <v>0</v>
      </c>
    </row>
  </sheetData>
  <sheetProtection algorithmName="SHA-512" hashValue="J6ngXMfk63WIzm3vw37a86F4JpgOc59AWc/eanxinZf8eT740qGV5wGVwnbV0H8zSYJVIr0YzxUnbVW9ETABGw==" saltValue="Xm7x2ZklS5InBR32rFzr1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423</v>
      </c>
      <c r="J1" t="s">
        <v>424</v>
      </c>
      <c r="K1" t="s">
        <v>425</v>
      </c>
      <c r="L1" t="s">
        <v>426</v>
      </c>
      <c r="M1" t="s">
        <v>427</v>
      </c>
      <c r="O1" s="34" t="s">
        <v>322</v>
      </c>
      <c r="P1" s="34" t="s">
        <v>418</v>
      </c>
      <c r="Q1" s="34" t="s">
        <v>419</v>
      </c>
      <c r="R1" s="34" t="s">
        <v>420</v>
      </c>
      <c r="S1" s="34" t="s">
        <v>421</v>
      </c>
      <c r="T1" s="34"/>
      <c r="U1" s="34" t="s">
        <v>422</v>
      </c>
      <c r="V1" s="34" t="s">
        <v>742</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429</v>
      </c>
      <c r="Q5" s="36" t="s">
        <v>430</v>
      </c>
      <c r="S5" s="36" t="s">
        <v>431</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328</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329</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727</v>
      </c>
      <c r="G1" s="34" t="s">
        <v>725</v>
      </c>
      <c r="H1" s="34" t="s">
        <v>726</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2" t="s">
        <v>49</v>
      </c>
      <c r="D1" s="513"/>
      <c r="E1" s="513"/>
      <c r="F1" s="513"/>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4" t="s">
        <v>98</v>
      </c>
      <c r="K3" s="515"/>
      <c r="L3" s="516"/>
      <c r="M3" s="299"/>
      <c r="N3" s="530" t="s">
        <v>87</v>
      </c>
      <c r="O3" s="530"/>
      <c r="P3" s="530"/>
      <c r="Q3" s="530"/>
      <c r="R3" s="530"/>
      <c r="S3" s="530"/>
    </row>
    <row r="4" spans="1:19" s="277" customFormat="1" x14ac:dyDescent="0.2">
      <c r="A4" s="317"/>
      <c r="B4" s="140"/>
      <c r="C4" s="141" t="s">
        <v>187</v>
      </c>
      <c r="D4" s="284" t="str">
        <f>IF(Condition="","",Condition)</f>
        <v/>
      </c>
      <c r="F4" s="299"/>
      <c r="G4" s="299"/>
      <c r="H4" s="299"/>
      <c r="I4" s="480" t="s">
        <v>759</v>
      </c>
      <c r="J4" s="519" t="s">
        <v>1</v>
      </c>
      <c r="K4" s="520"/>
      <c r="L4" s="142">
        <f>MAX(Survey[Deviations])</f>
        <v>0</v>
      </c>
      <c r="M4" s="299"/>
      <c r="N4" s="143" t="s">
        <v>86</v>
      </c>
      <c r="O4" s="144" t="s">
        <v>85</v>
      </c>
      <c r="P4" s="517" t="s">
        <v>96</v>
      </c>
      <c r="Q4" s="518"/>
      <c r="R4" s="143" t="s">
        <v>128</v>
      </c>
      <c r="S4" s="143" t="s">
        <v>132</v>
      </c>
    </row>
    <row r="5" spans="1:19" s="277" customFormat="1" x14ac:dyDescent="0.2">
      <c r="A5" s="317"/>
      <c r="B5" s="140"/>
      <c r="C5" s="141" t="s">
        <v>41</v>
      </c>
      <c r="D5" s="534" t="e">
        <f>companyName</f>
        <v>#N/A</v>
      </c>
      <c r="E5" s="535"/>
      <c r="F5" s="535"/>
      <c r="G5" s="535"/>
      <c r="H5" s="536"/>
      <c r="I5" s="481" t="e">
        <f>clientCompanyId</f>
        <v>#N/A</v>
      </c>
      <c r="J5" s="519" t="s">
        <v>2</v>
      </c>
      <c r="K5" s="520"/>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1" t="e">
        <f>VLOOKUP("assetName",WorkItemDetails[],2,FALSE)</f>
        <v>#N/A</v>
      </c>
      <c r="E6" s="532"/>
      <c r="F6" s="532"/>
      <c r="G6" s="532"/>
      <c r="H6" s="533"/>
      <c r="I6" s="481" t="e">
        <f>AssetId</f>
        <v>#N/A</v>
      </c>
      <c r="J6" s="519" t="s">
        <v>97</v>
      </c>
      <c r="K6" s="520"/>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8" t="str">
        <f>IFERROR(VLOOKUP("PoNumber",WorkItemDetails[],2,FALSE),"")</f>
        <v/>
      </c>
      <c r="L13" s="529"/>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7"/>
      <c r="L14" s="538"/>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3"/>
      <c r="L15" s="524"/>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5" t="s">
        <v>150</v>
      </c>
      <c r="K16" s="48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5" t="s">
        <v>151</v>
      </c>
      <c r="K17" s="48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9" t="s">
        <v>19</v>
      </c>
      <c r="H18" s="540"/>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1" t="str">
        <f>IF(K15="Salt",0, IF(OR(K15="Hot",K15="SIM Load Hot"),IF(OR(D26="",D28=""),"N/A",IF(ISBLANK(D26),"N/A",D28-D26)),"N/A"))</f>
        <v>N/A</v>
      </c>
      <c r="H19" s="522"/>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417</v>
      </c>
      <c r="V19" s="285">
        <f>L20</f>
        <v>1</v>
      </c>
    </row>
    <row r="20" spans="2:22" s="277" customFormat="1" ht="13.7" customHeight="1" x14ac:dyDescent="0.2">
      <c r="B20" s="525" t="s">
        <v>434</v>
      </c>
      <c r="C20" s="526"/>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416</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415</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414</v>
      </c>
      <c r="V22" s="285">
        <f>V20+1</f>
        <v>1</v>
      </c>
    </row>
    <row r="23" spans="2:22" s="277" customFormat="1" x14ac:dyDescent="0.2">
      <c r="B23" s="140"/>
      <c r="C23" s="389" t="s">
        <v>385</v>
      </c>
      <c r="D23" s="281"/>
      <c r="E23" s="299"/>
      <c r="F23" s="159" t="s">
        <v>93</v>
      </c>
      <c r="G23" s="502" t="s">
        <v>296</v>
      </c>
      <c r="H23" s="503"/>
      <c r="I23" s="503"/>
      <c r="J23" s="503"/>
      <c r="K23" s="504"/>
      <c r="L23" s="300"/>
      <c r="M23" s="299"/>
      <c r="N23" s="398">
        <v>19</v>
      </c>
      <c r="O23" s="145"/>
      <c r="P23" s="450" t="str">
        <v/>
      </c>
      <c r="Q23" s="451"/>
      <c r="R23" s="449" t="e">
        <v>#VALUE!</v>
      </c>
      <c r="S23" s="146" t="str">
        <v/>
      </c>
      <c r="T23" s="424"/>
      <c r="U23" s="285" t="s">
        <v>413</v>
      </c>
      <c r="V23" s="285">
        <f>V20+V21</f>
        <v>40</v>
      </c>
    </row>
    <row r="24" spans="2:22" s="277" customFormat="1" x14ac:dyDescent="0.2">
      <c r="B24" s="525" t="s">
        <v>323</v>
      </c>
      <c r="C24" s="527"/>
      <c r="D24" s="281">
        <v>1</v>
      </c>
      <c r="E24" s="299"/>
      <c r="F24" s="159" t="s">
        <v>94</v>
      </c>
      <c r="G24" s="505"/>
      <c r="H24" s="506"/>
      <c r="I24" s="506"/>
      <c r="J24" s="506"/>
      <c r="K24" s="507"/>
      <c r="L24" s="300"/>
      <c r="M24" s="299"/>
      <c r="N24" s="398">
        <v>20</v>
      </c>
      <c r="O24" s="145"/>
      <c r="P24" s="450" t="str">
        <v/>
      </c>
      <c r="Q24" s="451"/>
      <c r="R24" s="449" t="e">
        <v>#VALUE!</v>
      </c>
      <c r="S24" s="146" t="str">
        <v/>
      </c>
      <c r="T24" s="424"/>
      <c r="U24" s="285" t="s">
        <v>412</v>
      </c>
      <c r="V24" s="285" t="str">
        <f>IF(V19=1,"","DaqBook points "&amp;V22&amp;"-"&amp;V23&amp;" used.")</f>
        <v/>
      </c>
    </row>
    <row r="25" spans="2:22" s="277" customFormat="1" x14ac:dyDescent="0.2">
      <c r="B25" s="314"/>
      <c r="C25" s="315"/>
      <c r="D25" s="322"/>
      <c r="E25" s="299"/>
      <c r="F25" s="159" t="s">
        <v>95</v>
      </c>
      <c r="G25" s="505"/>
      <c r="H25" s="506"/>
      <c r="I25" s="506"/>
      <c r="J25" s="506"/>
      <c r="K25" s="507"/>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0" t="str">
        <f>IF(ISBLANK(D6),"",IF(CheckRec="x","CHECK INSTRUMENT CAL DATES!!!!             CHECK INSTRUMENT CAL DATES!!!!",""))</f>
        <v/>
      </c>
      <c r="I27" s="501"/>
      <c r="J27" s="501"/>
      <c r="K27" s="501"/>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0"/>
      <c r="I28" s="501"/>
      <c r="J28" s="501"/>
      <c r="K28" s="501"/>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4" t="s">
        <v>48</v>
      </c>
      <c r="C34" s="515"/>
      <c r="D34" s="515"/>
      <c r="E34" s="515"/>
      <c r="F34" s="515"/>
      <c r="G34" s="515"/>
      <c r="H34" s="515"/>
      <c r="I34" s="515"/>
      <c r="J34" s="515"/>
      <c r="K34" s="515"/>
      <c r="L34" s="516"/>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393</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2" t="s">
        <v>33</v>
      </c>
      <c r="E46" s="483"/>
      <c r="F46" s="483"/>
      <c r="G46" s="483"/>
      <c r="H46" s="483"/>
      <c r="I46" s="484"/>
      <c r="J46" s="343"/>
      <c r="K46" s="343"/>
      <c r="L46" s="343"/>
      <c r="M46" s="508" t="s">
        <v>258</v>
      </c>
      <c r="N46" s="509"/>
      <c r="O46" s="510"/>
      <c r="P46" s="511"/>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89" t="s">
        <v>261</v>
      </c>
      <c r="Q47" s="489"/>
      <c r="R47" s="378" t="s">
        <v>262</v>
      </c>
      <c r="T47" s="303"/>
      <c r="U47" s="303"/>
    </row>
    <row r="48" spans="1:24" x14ac:dyDescent="0.2">
      <c r="A48" s="317"/>
      <c r="B48" s="341"/>
      <c r="C48" s="376" t="s">
        <v>34</v>
      </c>
      <c r="D48" s="287"/>
      <c r="E48" s="287"/>
      <c r="F48" s="287"/>
      <c r="G48" s="287"/>
      <c r="H48" s="287"/>
      <c r="I48" s="287"/>
      <c r="J48" s="343"/>
      <c r="K48" s="343"/>
      <c r="L48" s="343"/>
      <c r="M48" s="490" t="s">
        <v>263</v>
      </c>
      <c r="N48" s="490"/>
      <c r="O48" s="345"/>
      <c r="P48" s="491" t="s">
        <v>304</v>
      </c>
      <c r="Q48" s="492"/>
      <c r="R48" s="493"/>
      <c r="S48" s="460" t="b">
        <f>_xlfn.REGEXTEST(TRIM(Class),"^[0-9][AC]",1)</f>
        <v>0</v>
      </c>
      <c r="T48" s="304"/>
      <c r="U48" s="491" t="s">
        <v>307</v>
      </c>
      <c r="V48" s="492"/>
      <c r="W48" s="493"/>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332</v>
      </c>
      <c r="L49" s="343"/>
      <c r="M49" s="239" t="s">
        <v>264</v>
      </c>
      <c r="N49" s="296" t="str">
        <f>IF(PB="","",PB)</f>
        <v/>
      </c>
      <c r="O49" s="313"/>
      <c r="P49" s="494" t="s">
        <v>309</v>
      </c>
      <c r="Q49" s="495"/>
      <c r="R49" s="496"/>
      <c r="S49" s="379" t="str">
        <f>IF($S$48, IF(MAX(Survey[RawTemp])&lt;=HalfTolMax,"Yes","No"), "")</f>
        <v/>
      </c>
      <c r="T49" s="305"/>
      <c r="U49" s="494" t="s">
        <v>308</v>
      </c>
      <c r="V49" s="495"/>
      <c r="W49" s="496"/>
      <c r="X49" s="379" t="str">
        <f>IF($S$48, IF(MIN(Survey[RawTemp])&gt;=HalfTolMin,"Yes","No"), "")</f>
        <v/>
      </c>
    </row>
    <row r="50" spans="3:24" x14ac:dyDescent="0.2">
      <c r="C50" s="375" t="s">
        <v>36</v>
      </c>
      <c r="D50" s="469" t="str">
        <f>IF(D49="","",EDATE(D49,3))</f>
        <v/>
      </c>
      <c r="E50" s="469" t="str">
        <f t="shared" ref="E50:I50" si="1">IF(E49="","",EDATE(E49,3))</f>
        <v/>
      </c>
      <c r="F50" s="469" t="str">
        <f t="shared" si="1"/>
        <v/>
      </c>
      <c r="G50" s="469" t="str">
        <f t="shared" si="1"/>
        <v/>
      </c>
      <c r="H50" s="469" t="str">
        <f t="shared" si="1"/>
        <v/>
      </c>
      <c r="I50" s="469" t="str">
        <f t="shared" si="1"/>
        <v/>
      </c>
      <c r="J50" s="343"/>
      <c r="K50" s="343"/>
      <c r="L50" s="343"/>
      <c r="M50" s="239" t="s">
        <v>265</v>
      </c>
      <c r="N50" s="296" t="str">
        <f>IF(Integral="","",Integral)</f>
        <v/>
      </c>
      <c r="O50" s="313"/>
      <c r="P50" s="497" t="s">
        <v>266</v>
      </c>
      <c r="Q50" s="498"/>
      <c r="R50" s="499"/>
      <c r="S50" s="346"/>
      <c r="T50" s="306"/>
      <c r="U50" s="497" t="s">
        <v>266</v>
      </c>
      <c r="V50" s="498"/>
      <c r="W50" s="499"/>
      <c r="X50" s="303"/>
    </row>
    <row r="51" spans="3:24" x14ac:dyDescent="0.2">
      <c r="C51" s="375" t="s">
        <v>54</v>
      </c>
      <c r="D51" s="287"/>
      <c r="E51" s="287"/>
      <c r="F51" s="287"/>
      <c r="G51" s="287"/>
      <c r="H51" s="287"/>
      <c r="I51" s="287"/>
      <c r="J51" s="343"/>
      <c r="K51" s="347"/>
      <c r="L51" s="343"/>
      <c r="M51" s="362" t="s">
        <v>267</v>
      </c>
      <c r="N51" s="296" t="str">
        <f>IF(Derivative="","",Derivative)</f>
        <v/>
      </c>
      <c r="O51" s="299"/>
      <c r="P51" s="494" t="s">
        <v>305</v>
      </c>
      <c r="Q51" s="495"/>
      <c r="R51" s="496"/>
      <c r="S51" s="379"/>
      <c r="T51" s="307"/>
      <c r="U51" s="494" t="s">
        <v>310</v>
      </c>
      <c r="V51" s="495"/>
      <c r="W51" s="496"/>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7" t="s">
        <v>266</v>
      </c>
      <c r="Q52" s="498"/>
      <c r="R52" s="499"/>
      <c r="S52" s="346"/>
      <c r="T52" s="308"/>
      <c r="U52" s="497" t="s">
        <v>266</v>
      </c>
      <c r="V52" s="498"/>
      <c r="W52" s="499"/>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1" t="s">
        <v>306</v>
      </c>
      <c r="Q53" s="542"/>
      <c r="R53" s="543"/>
      <c r="S53" s="379"/>
      <c r="T53" s="309"/>
      <c r="U53" s="541" t="s">
        <v>311</v>
      </c>
      <c r="V53" s="542"/>
      <c r="W53" s="543"/>
      <c r="X53" s="379"/>
    </row>
    <row r="54" spans="3:24" x14ac:dyDescent="0.2">
      <c r="C54" s="377" t="s">
        <v>743</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4"/>
      <c r="Q54" s="545"/>
      <c r="R54" s="546"/>
      <c r="S54" s="350"/>
      <c r="T54" s="310"/>
      <c r="U54" s="544"/>
      <c r="V54" s="545"/>
      <c r="W54" s="546"/>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2" t="s">
        <v>145</v>
      </c>
      <c r="D58" s="483"/>
      <c r="E58" s="483"/>
      <c r="F58" s="483"/>
      <c r="G58" s="483"/>
      <c r="H58" s="483"/>
      <c r="I58" s="483"/>
      <c r="J58" s="483"/>
      <c r="K58" s="487"/>
      <c r="L58" s="488"/>
      <c r="M58" s="303"/>
      <c r="N58" s="303"/>
      <c r="O58" s="303"/>
      <c r="P58" s="299"/>
      <c r="Q58" s="447"/>
      <c r="S58" s="303"/>
      <c r="T58" s="303"/>
      <c r="U58" s="303"/>
      <c r="V58" s="445"/>
    </row>
    <row r="59" spans="3:24" x14ac:dyDescent="0.2">
      <c r="C59" s="482" t="s">
        <v>148</v>
      </c>
      <c r="D59" s="483"/>
      <c r="E59" s="483"/>
      <c r="F59" s="483"/>
      <c r="G59" s="483"/>
      <c r="H59" s="483"/>
      <c r="I59" s="483"/>
      <c r="J59" s="483"/>
      <c r="K59" s="483"/>
      <c r="L59" s="48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378</v>
      </c>
      <c r="F65" t="s">
        <v>139</v>
      </c>
      <c r="G65" s="36" t="s">
        <v>740</v>
      </c>
      <c r="H65" t="s">
        <v>422</v>
      </c>
    </row>
    <row r="66" spans="5:10" x14ac:dyDescent="0.2">
      <c r="E66">
        <v>1</v>
      </c>
      <c r="F66">
        <v>5</v>
      </c>
      <c r="G66">
        <v>2</v>
      </c>
      <c r="H66" t="s">
        <v>738</v>
      </c>
      <c r="J66" s="476" cm="1">
        <f t="array" ref="J66:J71">_xlfn._xlws.FILTER(SAT_Tolerance_Lookup[SAT Tol],SAT_Tolerance_Lookup[Unit]=Unit)</f>
        <v>2</v>
      </c>
    </row>
    <row r="67" spans="5:10" x14ac:dyDescent="0.2">
      <c r="E67">
        <v>2</v>
      </c>
      <c r="F67">
        <v>10</v>
      </c>
      <c r="G67">
        <v>3</v>
      </c>
      <c r="H67" t="s">
        <v>738</v>
      </c>
      <c r="J67" s="476">
        <v>3</v>
      </c>
    </row>
    <row r="68" spans="5:10" x14ac:dyDescent="0.2">
      <c r="E68">
        <v>3</v>
      </c>
      <c r="F68">
        <v>15</v>
      </c>
      <c r="G68">
        <v>4</v>
      </c>
      <c r="H68" t="s">
        <v>738</v>
      </c>
      <c r="J68" s="476">
        <v>4</v>
      </c>
    </row>
    <row r="69" spans="5:10" x14ac:dyDescent="0.2">
      <c r="E69">
        <v>4</v>
      </c>
      <c r="F69">
        <v>20</v>
      </c>
      <c r="G69">
        <v>4</v>
      </c>
      <c r="H69" t="s">
        <v>738</v>
      </c>
      <c r="J69" s="476">
        <v>4</v>
      </c>
    </row>
    <row r="70" spans="5:10" x14ac:dyDescent="0.2">
      <c r="E70">
        <v>5</v>
      </c>
      <c r="F70">
        <v>25</v>
      </c>
      <c r="G70">
        <v>5</v>
      </c>
      <c r="H70" t="s">
        <v>738</v>
      </c>
      <c r="J70" s="476">
        <v>5</v>
      </c>
    </row>
    <row r="71" spans="5:10" x14ac:dyDescent="0.2">
      <c r="E71">
        <v>6</v>
      </c>
      <c r="F71">
        <v>50</v>
      </c>
      <c r="G71">
        <v>10</v>
      </c>
      <c r="H71" t="s">
        <v>738</v>
      </c>
      <c r="J71" s="476">
        <v>10</v>
      </c>
    </row>
    <row r="72" spans="5:10" x14ac:dyDescent="0.2">
      <c r="E72">
        <v>1</v>
      </c>
      <c r="F72">
        <v>3</v>
      </c>
      <c r="G72">
        <v>1.1000000000000001</v>
      </c>
      <c r="H72" t="s">
        <v>739</v>
      </c>
    </row>
    <row r="73" spans="5:10" x14ac:dyDescent="0.2">
      <c r="E73">
        <v>2</v>
      </c>
      <c r="F73">
        <v>6</v>
      </c>
      <c r="G73">
        <v>1.7</v>
      </c>
      <c r="H73" t="s">
        <v>739</v>
      </c>
    </row>
    <row r="74" spans="5:10" x14ac:dyDescent="0.2">
      <c r="E74">
        <v>3</v>
      </c>
      <c r="F74">
        <v>8</v>
      </c>
      <c r="G74">
        <v>2.2000000000000002</v>
      </c>
      <c r="H74" t="s">
        <v>739</v>
      </c>
    </row>
    <row r="75" spans="5:10" x14ac:dyDescent="0.2">
      <c r="E75">
        <v>4</v>
      </c>
      <c r="F75">
        <v>10</v>
      </c>
      <c r="G75">
        <v>2.2000000000000002</v>
      </c>
      <c r="H75" t="s">
        <v>739</v>
      </c>
    </row>
    <row r="76" spans="5:10" x14ac:dyDescent="0.2">
      <c r="E76">
        <v>5</v>
      </c>
      <c r="F76">
        <v>14</v>
      </c>
      <c r="G76">
        <v>2.8</v>
      </c>
      <c r="H76" t="s">
        <v>739</v>
      </c>
    </row>
    <row r="77" spans="5:10" x14ac:dyDescent="0.2">
      <c r="E77">
        <v>6</v>
      </c>
      <c r="F77">
        <v>28</v>
      </c>
      <c r="G77">
        <v>5.6</v>
      </c>
      <c r="H77" t="s">
        <v>739</v>
      </c>
    </row>
    <row r="78" spans="5:10" x14ac:dyDescent="0.2">
      <c r="F78" s="357"/>
    </row>
    <row r="79" spans="5:10" x14ac:dyDescent="0.2">
      <c r="F79" s="357"/>
    </row>
    <row r="80" spans="5:10" x14ac:dyDescent="0.2">
      <c r="F80" s="357"/>
    </row>
    <row r="81" spans="6:8" x14ac:dyDescent="0.2">
      <c r="F81" s="375" t="s">
        <v>435</v>
      </c>
      <c r="G81" s="433" t="b">
        <f>AND(UUTRangeTol!R2+UUTRangeTol!S2=0,UUTRangeTol!S2&gt;0)</f>
        <v>0</v>
      </c>
    </row>
    <row r="82" spans="6:8" x14ac:dyDescent="0.2">
      <c r="F82" s="375" t="s">
        <v>436</v>
      </c>
      <c r="G82" s="473" cm="1">
        <f t="array" ref="G82">IF(
  Symmetric_Tol,
  _xlfn.XLOOKUP(
    1,
    (UUTRangeTol!$S$2 = SAT_Tolerance_Lookup[TUS Tol])*(SAT_Tolerance_Lookup[Unit]=Unit),
    SAT_Tolerance_Lookup[SAT Tol]
  ),
  SAT_Tol
)</f>
        <v>0</v>
      </c>
      <c r="H82" s="139" t="str">
        <f>Unit</f>
        <v>°F</v>
      </c>
    </row>
  </sheetData>
  <sheetProtection algorithmName="SHA-512" hashValue="bmYc+akqg6fCaJAxsgITJFpd+qt/jExl9sdZCE10GhbESX4qrunIq3QNBaZwQQ5JAORFcN8VL+snct9xVnAbRg==" saltValue="vz+CUjFdmcinibeSStfBWA=="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410</v>
      </c>
      <c r="B1" s="1" t="s">
        <v>409</v>
      </c>
    </row>
    <row r="2" spans="1:2" x14ac:dyDescent="0.2">
      <c r="A2" t="s">
        <v>411</v>
      </c>
      <c r="B2" t="b">
        <v>1</v>
      </c>
    </row>
  </sheetData>
  <sheetProtection algorithmName="SHA-512" hashValue="z+4F1Oy8VGVVXAgOYHpU1kkipu+wDi0JTCelewOIEiBy+3XiFRuKpvs1ax8iYD2fcj4ifnuzRcl9WWLlyjp58w==" saltValue="MOqkSc3X0TEzY8KCi5Kq3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363</v>
      </c>
      <c r="C2" s="45" t="s">
        <v>364</v>
      </c>
      <c r="D2" s="45" t="s">
        <v>365</v>
      </c>
      <c r="E2" s="45" t="s">
        <v>319</v>
      </c>
      <c r="F2" s="45" t="s">
        <v>366</v>
      </c>
      <c r="G2" s="45" t="s">
        <v>367</v>
      </c>
      <c r="H2" s="45" t="s">
        <v>368</v>
      </c>
      <c r="I2" s="45" t="s">
        <v>369</v>
      </c>
      <c r="J2" s="45" t="s">
        <v>370</v>
      </c>
      <c r="K2" s="45" t="s">
        <v>320</v>
      </c>
      <c r="L2" s="45" t="s">
        <v>371</v>
      </c>
      <c r="M2" s="45" t="s">
        <v>372</v>
      </c>
      <c r="N2" s="45" t="s">
        <v>373</v>
      </c>
      <c r="O2" s="45" t="s">
        <v>374</v>
      </c>
      <c r="P2" s="49"/>
      <c r="Q2" s="388" t="s">
        <v>14</v>
      </c>
      <c r="R2" s="45" t="s">
        <v>349</v>
      </c>
      <c r="S2" s="45" t="s">
        <v>350</v>
      </c>
      <c r="T2" s="45" t="s">
        <v>351</v>
      </c>
      <c r="U2" s="45" t="s">
        <v>352</v>
      </c>
      <c r="V2" s="45" t="s">
        <v>353</v>
      </c>
      <c r="W2" s="45" t="s">
        <v>354</v>
      </c>
      <c r="X2" s="45" t="s">
        <v>355</v>
      </c>
      <c r="Y2" s="45" t="s">
        <v>356</v>
      </c>
      <c r="Z2" s="45" t="s">
        <v>357</v>
      </c>
      <c r="AA2" s="45" t="s">
        <v>358</v>
      </c>
      <c r="AB2" s="45" t="s">
        <v>359</v>
      </c>
      <c r="AC2" s="45" t="s">
        <v>360</v>
      </c>
      <c r="AD2" s="45" t="s">
        <v>361</v>
      </c>
      <c r="AE2" s="45" t="s">
        <v>362</v>
      </c>
      <c r="AF2" s="49"/>
      <c r="AG2" s="388" t="s">
        <v>14</v>
      </c>
      <c r="AH2" s="83" t="s">
        <v>337</v>
      </c>
      <c r="AI2" s="83" t="s">
        <v>338</v>
      </c>
      <c r="AJ2" s="83" t="s">
        <v>339</v>
      </c>
      <c r="AK2" s="83" t="s">
        <v>340</v>
      </c>
      <c r="AL2" s="83" t="s">
        <v>341</v>
      </c>
      <c r="AM2" s="83" t="s">
        <v>342</v>
      </c>
      <c r="AN2" s="83" t="s">
        <v>343</v>
      </c>
      <c r="AO2" s="83" t="s">
        <v>344</v>
      </c>
      <c r="AP2" s="83" t="s">
        <v>345</v>
      </c>
      <c r="AQ2" s="83" t="s">
        <v>346</v>
      </c>
      <c r="AR2" s="83" t="s">
        <v>347</v>
      </c>
      <c r="AS2" s="83" t="s">
        <v>348</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28J4DyQq10KLsQ4r8ropoDWlf+jJgFePBwTaSW5IZloSvcbX/OQo/Z+AQiwK+Mj4T4ZlAcUHoQVeV8lwmI1wxQ==" saltValue="Cv6ir78FskEkayyBdO77+A=="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mY9guTsyXUJZ+tAT/9U4vc8R6+DAzLLGqKUTMgEqFfZ1DmgKYtLFIiZqrmmu7g4XPXwaOZLUkvDKnhYi5MR2dA==" saltValue="hC5KbYg7wxVpwCNoBkhsdA=="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68" t="s">
        <v>6</v>
      </c>
      <c r="D5" s="568"/>
      <c r="E5" s="568"/>
      <c r="F5" s="568"/>
      <c r="G5" s="568"/>
      <c r="H5" s="568"/>
      <c r="I5" s="568"/>
      <c r="J5" s="568"/>
      <c r="K5" s="568"/>
      <c r="L5" s="568"/>
      <c r="M5" s="568"/>
    </row>
    <row r="6" spans="1:18" ht="23.25" x14ac:dyDescent="0.35">
      <c r="C6" s="214"/>
      <c r="D6" s="214"/>
      <c r="E6" s="588" t="str">
        <f>IFERROR(CONCATENATE("Report Number: ", WorkItemNumber),"")</f>
        <v/>
      </c>
      <c r="F6" s="588"/>
      <c r="G6" s="588"/>
      <c r="H6" s="588"/>
      <c r="I6" s="588"/>
      <c r="J6" s="588"/>
      <c r="K6" s="588"/>
      <c r="L6" s="214"/>
      <c r="M6" s="214"/>
    </row>
    <row r="7" spans="1:18" ht="18.75" customHeight="1" x14ac:dyDescent="0.3">
      <c r="G7" s="569"/>
      <c r="H7" s="569"/>
      <c r="I7" s="191"/>
      <c r="R7" t="str">
        <f>CONCATENATE("Page ",Main!L9," of ",Main!L10)</f>
        <v xml:space="preserve">Page  of </v>
      </c>
    </row>
    <row r="8" spans="1:18" ht="18" customHeight="1" x14ac:dyDescent="0.25">
      <c r="G8" s="581"/>
      <c r="H8" s="581"/>
      <c r="J8" s="78"/>
      <c r="K8" s="215" t="s">
        <v>251</v>
      </c>
      <c r="L8" s="592">
        <f>FormNumber</f>
        <v>0</v>
      </c>
      <c r="M8" s="592"/>
      <c r="N8" s="592"/>
      <c r="O8" s="592"/>
    </row>
    <row r="9" spans="1:18" ht="18" customHeight="1" x14ac:dyDescent="0.25">
      <c r="A9" s="215" t="s">
        <v>208</v>
      </c>
      <c r="B9" s="32" t="e">
        <f>Main!D5</f>
        <v>#N/A</v>
      </c>
      <c r="J9" s="78"/>
      <c r="K9" s="215" t="s">
        <v>252</v>
      </c>
      <c r="L9" s="583" t="str">
        <f>"JGI WP4100, "&amp;CalMethod</f>
        <v xml:space="preserve">JGI WP4100, </v>
      </c>
      <c r="M9" s="583"/>
      <c r="N9" s="583"/>
      <c r="O9" s="583"/>
    </row>
    <row r="10" spans="1:18" ht="18" customHeight="1" x14ac:dyDescent="0.25">
      <c r="A10" s="86"/>
      <c r="B10" s="210" t="str" cm="1">
        <f t="array" ref="B10">IFZERO('Customer Table'!R2,"")</f>
        <v/>
      </c>
      <c r="J10" s="78"/>
      <c r="K10" s="215"/>
      <c r="L10" s="583"/>
      <c r="M10" s="583"/>
      <c r="N10" s="583"/>
      <c r="O10" s="583"/>
    </row>
    <row r="11" spans="1:18" ht="18" customHeight="1" x14ac:dyDescent="0.25">
      <c r="A11" s="86"/>
      <c r="B11" s="210" t="str" cm="1">
        <f t="array" ref="B11">IFZERO('Customer Table'!S2,"")</f>
        <v/>
      </c>
      <c r="J11" s="78"/>
      <c r="K11" s="215" t="s">
        <v>253</v>
      </c>
      <c r="L11" s="592">
        <f>TolSource</f>
        <v>0</v>
      </c>
      <c r="M11" s="592"/>
      <c r="N11" s="592"/>
      <c r="O11" s="59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428</v>
      </c>
      <c r="C30" s="212"/>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9" t="str">
        <f>IF(Main!O5="","",Main!O5)</f>
        <v/>
      </c>
      <c r="C33" s="569"/>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9" t="str">
        <f>IF(Main!O25="","",Main!O25)</f>
        <v/>
      </c>
      <c r="K33" s="569"/>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9" t="str">
        <f>IF(Main!O6="","",Main!O6)</f>
        <v/>
      </c>
      <c r="C34" s="569"/>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9" t="str">
        <f>IF(Main!O26="","",Main!O26)</f>
        <v/>
      </c>
      <c r="K34" s="569"/>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9" t="str">
        <f>IF(Main!O7="","",Main!O7)</f>
        <v/>
      </c>
      <c r="C35" s="569"/>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9" t="str">
        <f>IF(Main!O27="","",Main!O27)</f>
        <v/>
      </c>
      <c r="K35" s="569"/>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9" t="str">
        <f>IF(Main!O8="","",Main!O8)</f>
        <v/>
      </c>
      <c r="C36" s="569"/>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9" t="str">
        <f>IF(Main!O28="","",Main!O28)</f>
        <v/>
      </c>
      <c r="K36" s="569"/>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9" t="str">
        <f>IF(Main!O9="","",Main!O9)</f>
        <v/>
      </c>
      <c r="C37" s="569"/>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9" t="str">
        <f>IF(Main!O29="","",Main!O29)</f>
        <v/>
      </c>
      <c r="K37" s="569"/>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9" t="str">
        <f>IF(Main!O10="","",Main!O10)</f>
        <v/>
      </c>
      <c r="C38" s="569"/>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9" t="str">
        <f>IF(Main!O30="","",Main!O30)</f>
        <v/>
      </c>
      <c r="K38" s="569"/>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9" t="str">
        <f>IF(Main!O11="","",Main!O11)</f>
        <v/>
      </c>
      <c r="C39" s="569"/>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9" t="str">
        <f>IF(Main!O31="","",Main!O31)</f>
        <v/>
      </c>
      <c r="K39" s="569"/>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9" t="str">
        <f>IF(Main!O12="","",Main!O12)</f>
        <v/>
      </c>
      <c r="C40" s="569"/>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9" t="str">
        <f>IF(Main!O32="","",Main!O32)</f>
        <v/>
      </c>
      <c r="K40" s="569"/>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9" t="str">
        <f>IF(Main!O13="","",Main!O13)</f>
        <v/>
      </c>
      <c r="C41" s="569"/>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9" t="str">
        <f>IF(Main!O33="","",Main!O33)</f>
        <v/>
      </c>
      <c r="K41" s="569"/>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9" t="str">
        <f>IF(Main!O14="","",Main!O14)</f>
        <v/>
      </c>
      <c r="C42" s="569"/>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9" t="str">
        <f>IF(Main!O34="","",Main!O34)</f>
        <v/>
      </c>
      <c r="K42" s="569"/>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9" t="str">
        <f>IF(Main!O15="","",Main!O15)</f>
        <v/>
      </c>
      <c r="C43" s="569"/>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9" t="str">
        <f>IF(Main!O35="","",Main!O35)</f>
        <v/>
      </c>
      <c r="K43" s="569"/>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9" t="str">
        <f>IF(Main!O16="","",Main!O16)</f>
        <v/>
      </c>
      <c r="C44" s="569"/>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9" t="str">
        <f>IF(Main!O36="","",Main!O36)</f>
        <v/>
      </c>
      <c r="K44" s="569"/>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9" t="str">
        <f>IF(Main!O17="","",Main!O17)</f>
        <v/>
      </c>
      <c r="C45" s="569"/>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9" t="str">
        <f>IF(Main!O37="","",Main!O37)</f>
        <v/>
      </c>
      <c r="K45" s="569"/>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9" t="str">
        <f>IF(Main!O18="","",Main!O18)</f>
        <v/>
      </c>
      <c r="C46" s="569"/>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9" t="str">
        <f>IF(Main!O38="","",Main!O38)</f>
        <v/>
      </c>
      <c r="K46" s="569"/>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9" t="str">
        <f>IF(Main!O19="","",Main!O19)</f>
        <v/>
      </c>
      <c r="C47" s="569"/>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9" t="str">
        <f>IF(Main!O39="","",Main!O39)</f>
        <v/>
      </c>
      <c r="K47" s="569"/>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9" t="str">
        <f>IF(Main!O20="","",Main!O20)</f>
        <v/>
      </c>
      <c r="C48" s="569"/>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9" t="str">
        <f>IF(Main!O40="","",Main!O40)</f>
        <v/>
      </c>
      <c r="K48" s="569"/>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9" t="str">
        <f>IF(Main!O21="","",Main!O21)</f>
        <v/>
      </c>
      <c r="C49" s="569"/>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9" t="str">
        <f>IF(Main!O41="","",Main!O41)</f>
        <v/>
      </c>
      <c r="K49" s="569"/>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9" t="str">
        <f>IF(Main!O22="","",Main!O22)</f>
        <v/>
      </c>
      <c r="C50" s="569"/>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9" t="str">
        <f>IF(Main!O42="","",Main!O42)</f>
        <v/>
      </c>
      <c r="K50" s="569"/>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9" t="str">
        <f>IF(Main!O23="","",Main!O23)</f>
        <v/>
      </c>
      <c r="C51" s="569"/>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9" t="str">
        <f>IF(Main!O43="","",Main!O43)</f>
        <v/>
      </c>
      <c r="K51" s="569"/>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9" t="str">
        <f>IF(Main!O24="","",Main!O24)</f>
        <v/>
      </c>
      <c r="C52" s="569"/>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9" t="str">
        <f>IF(Main!O44="","",Main!O44)</f>
        <v/>
      </c>
      <c r="K52" s="569"/>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5"/>
      <c r="B55" s="583"/>
      <c r="C55" s="583"/>
      <c r="D55" s="583"/>
      <c r="E55" s="583"/>
      <c r="F55" s="583"/>
      <c r="G55" s="583"/>
      <c r="H55" s="583"/>
      <c r="I55" s="583"/>
      <c r="J55" s="583"/>
      <c r="K55" s="583"/>
      <c r="L55" s="583"/>
      <c r="M55" s="583"/>
      <c r="N55" s="583"/>
      <c r="O55" s="583"/>
    </row>
    <row r="56" spans="1:21" ht="18" customHeight="1" x14ac:dyDescent="0.25">
      <c r="A56" s="75"/>
      <c r="B56" s="583"/>
      <c r="C56" s="583"/>
      <c r="D56" s="583"/>
      <c r="E56" s="583"/>
      <c r="F56" s="583"/>
      <c r="G56" s="583"/>
      <c r="H56" s="583"/>
      <c r="I56" s="583"/>
      <c r="J56" s="583"/>
      <c r="K56" s="583"/>
      <c r="L56" s="583"/>
      <c r="M56" s="583"/>
      <c r="N56" s="583"/>
      <c r="O56" s="583"/>
    </row>
    <row r="57" spans="1:21" ht="18" customHeight="1" x14ac:dyDescent="0.25">
      <c r="A57" s="75"/>
      <c r="B57" s="583"/>
      <c r="C57" s="583"/>
      <c r="D57" s="583"/>
      <c r="E57" s="583"/>
      <c r="F57" s="583"/>
      <c r="G57" s="583"/>
      <c r="H57" s="583"/>
      <c r="I57" s="583"/>
      <c r="J57" s="583"/>
      <c r="K57" s="583"/>
      <c r="L57" s="583"/>
      <c r="M57" s="583"/>
      <c r="N57" s="583"/>
      <c r="O57" s="583"/>
    </row>
    <row r="58" spans="1:21" ht="18" customHeight="1" x14ac:dyDescent="0.25">
      <c r="A58" s="75"/>
      <c r="B58" s="583"/>
      <c r="C58" s="583"/>
      <c r="D58" s="583"/>
      <c r="E58" s="583"/>
      <c r="F58" s="583"/>
      <c r="G58" s="583"/>
      <c r="H58" s="583"/>
      <c r="I58" s="583"/>
      <c r="J58" s="583"/>
      <c r="K58" s="583"/>
      <c r="L58" s="583"/>
      <c r="M58" s="583"/>
      <c r="N58" s="583"/>
      <c r="O58" s="583"/>
    </row>
    <row r="59" spans="1:21" ht="18" customHeight="1" x14ac:dyDescent="0.25">
      <c r="A59" s="75"/>
      <c r="B59" s="583"/>
      <c r="C59" s="583"/>
      <c r="D59" s="583"/>
      <c r="E59" s="583"/>
      <c r="F59" s="583"/>
      <c r="G59" s="583"/>
      <c r="H59" s="583"/>
      <c r="I59" s="583"/>
      <c r="J59" s="583"/>
      <c r="K59" s="583"/>
      <c r="L59" s="583"/>
      <c r="M59" s="583"/>
      <c r="N59" s="583"/>
      <c r="O59" s="583"/>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91" t="s">
        <v>244</v>
      </c>
      <c r="G61" s="591"/>
      <c r="H61" s="591"/>
      <c r="I61" s="591" t="s">
        <v>245</v>
      </c>
      <c r="J61" s="591"/>
      <c r="K61" s="591" t="s">
        <v>246</v>
      </c>
      <c r="L61" s="591"/>
      <c r="M61" s="591" t="s">
        <v>247</v>
      </c>
      <c r="N61" s="591"/>
      <c r="O61" s="591"/>
      <c r="R61" s="36" t="s">
        <v>330</v>
      </c>
      <c r="T61" s="36" t="s">
        <v>331</v>
      </c>
      <c r="U61" s="36"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7" t="s">
        <v>432</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OiacWgghONnGMNZ+QSU7ZyzFX+MZ73ZJphDQY5J3uxsvxfSm/kpTsUITS8ZKXaQ1NGPUV4zhrMKgMdh66PphjQ==" saltValue="rdfuF4t9f3m5ENGP0ntbFA=="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394</v>
      </c>
      <c r="R1" t="s">
        <v>395</v>
      </c>
      <c r="S1" t="s">
        <v>396</v>
      </c>
      <c r="T1" t="s">
        <v>397</v>
      </c>
      <c r="U1" t="s">
        <v>398</v>
      </c>
      <c r="V1" t="s">
        <v>399</v>
      </c>
      <c r="W1" t="s">
        <v>400</v>
      </c>
      <c r="X1" t="s">
        <v>401</v>
      </c>
      <c r="Y1" t="s">
        <v>402</v>
      </c>
      <c r="Z1" t="s">
        <v>403</v>
      </c>
      <c r="AA1" t="s">
        <v>404</v>
      </c>
      <c r="AB1" t="s">
        <v>405</v>
      </c>
      <c r="AC1" t="s">
        <v>406</v>
      </c>
      <c r="AD1" t="s">
        <v>407</v>
      </c>
      <c r="AE1" t="s">
        <v>408</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L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N345"/>
      <c r="O345"/>
    </row>
    <row r="346" spans="1:15" x14ac:dyDescent="0.2">
      <c r="A346"/>
      <c r="B346"/>
      <c r="C346"/>
      <c r="F346"/>
      <c r="G346"/>
      <c r="H346"/>
      <c r="I346"/>
      <c r="L346"/>
      <c r="M346"/>
      <c r="N346"/>
      <c r="O346"/>
    </row>
    <row r="347" spans="1:15" x14ac:dyDescent="0.2">
      <c r="A347"/>
      <c r="B347"/>
      <c r="C347"/>
      <c r="F347"/>
      <c r="G347"/>
      <c r="J347"/>
      <c r="K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H352"/>
      <c r="I352"/>
      <c r="L352"/>
      <c r="M352"/>
      <c r="N352"/>
      <c r="O352"/>
    </row>
    <row r="353" spans="1:15" x14ac:dyDescent="0.2">
      <c r="A353"/>
      <c r="B353"/>
      <c r="C353"/>
      <c r="F353"/>
      <c r="G353"/>
      <c r="H353"/>
      <c r="J353"/>
      <c r="K353"/>
      <c r="L353"/>
      <c r="M353"/>
      <c r="N353"/>
      <c r="O353"/>
    </row>
    <row r="354" spans="1:15" x14ac:dyDescent="0.2">
      <c r="A354"/>
      <c r="B354"/>
      <c r="C354"/>
      <c r="F354"/>
      <c r="G354"/>
      <c r="M354"/>
      <c r="N354"/>
      <c r="O354"/>
    </row>
    <row r="355" spans="1:15" x14ac:dyDescent="0.2">
      <c r="A355"/>
      <c r="B355"/>
      <c r="C355"/>
      <c r="F355"/>
      <c r="G355"/>
      <c r="L355"/>
      <c r="M355"/>
      <c r="N355"/>
      <c r="O355"/>
    </row>
    <row r="356" spans="1:15" x14ac:dyDescent="0.2">
      <c r="A356"/>
      <c r="B356"/>
      <c r="C356"/>
      <c r="F356"/>
      <c r="G356"/>
      <c r="H356"/>
      <c r="I356"/>
      <c r="J356"/>
      <c r="K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I360"/>
      <c r="L360"/>
      <c r="M360"/>
      <c r="N360"/>
      <c r="O360"/>
    </row>
    <row r="361" spans="1:15" x14ac:dyDescent="0.2">
      <c r="A361"/>
      <c r="B361"/>
      <c r="C361"/>
      <c r="F361"/>
      <c r="G361"/>
      <c r="I361"/>
      <c r="L361"/>
      <c r="M361"/>
      <c r="N361"/>
      <c r="O361"/>
    </row>
    <row r="362" spans="1:15" x14ac:dyDescent="0.2">
      <c r="A362"/>
      <c r="B362"/>
      <c r="C362"/>
      <c r="F362"/>
      <c r="G362"/>
      <c r="J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N372"/>
      <c r="O372"/>
    </row>
    <row r="373" spans="1:15" x14ac:dyDescent="0.2">
      <c r="A373"/>
      <c r="B373"/>
      <c r="C373"/>
      <c r="F373"/>
      <c r="G373"/>
      <c r="H373"/>
      <c r="I373"/>
      <c r="L373"/>
      <c r="M373"/>
      <c r="N373"/>
      <c r="O373"/>
    </row>
    <row r="374" spans="1:15" x14ac:dyDescent="0.2">
      <c r="A374"/>
      <c r="B374"/>
      <c r="C374"/>
      <c r="F374"/>
      <c r="G374"/>
      <c r="L374"/>
      <c r="M374"/>
      <c r="N374"/>
      <c r="O374"/>
    </row>
    <row r="375" spans="1:15" x14ac:dyDescent="0.2">
      <c r="A375"/>
      <c r="B375"/>
      <c r="C375"/>
      <c r="F375"/>
      <c r="G375"/>
      <c r="I375"/>
      <c r="L375"/>
      <c r="M375"/>
      <c r="N375"/>
      <c r="O375"/>
    </row>
    <row r="376" spans="1:15" x14ac:dyDescent="0.2">
      <c r="A376"/>
      <c r="B376"/>
      <c r="C376"/>
      <c r="F376"/>
      <c r="G376"/>
      <c r="H376"/>
      <c r="I376"/>
      <c r="L376"/>
      <c r="N376"/>
      <c r="O376"/>
    </row>
    <row r="377" spans="1:15" x14ac:dyDescent="0.2">
      <c r="A377"/>
      <c r="B377"/>
      <c r="C377"/>
      <c r="F377"/>
      <c r="G377"/>
      <c r="I377"/>
      <c r="L377"/>
      <c r="M377"/>
      <c r="N377"/>
      <c r="O377"/>
    </row>
    <row r="378" spans="1:15" x14ac:dyDescent="0.2">
      <c r="A378"/>
      <c r="B378"/>
      <c r="C378"/>
      <c r="F378"/>
      <c r="G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J382"/>
      <c r="K382"/>
      <c r="M382"/>
      <c r="N382"/>
      <c r="O382"/>
    </row>
    <row r="383" spans="1:15" x14ac:dyDescent="0.2">
      <c r="A383"/>
      <c r="B383"/>
      <c r="C383"/>
      <c r="F383"/>
      <c r="G383"/>
      <c r="I383"/>
      <c r="L383"/>
      <c r="M383"/>
      <c r="N383"/>
      <c r="O383"/>
    </row>
    <row r="384" spans="1:15" x14ac:dyDescent="0.2">
      <c r="A384"/>
      <c r="B384"/>
      <c r="C384"/>
      <c r="F384"/>
      <c r="G384"/>
      <c r="I384"/>
      <c r="L384"/>
      <c r="M384"/>
      <c r="N384"/>
      <c r="O384"/>
    </row>
    <row r="385" spans="1:15" x14ac:dyDescent="0.2">
      <c r="A385"/>
      <c r="B385"/>
      <c r="C385"/>
      <c r="F385"/>
      <c r="G385"/>
      <c r="H385"/>
      <c r="I385"/>
      <c r="J385"/>
      <c r="K385"/>
      <c r="L385"/>
      <c r="M385"/>
      <c r="N385"/>
      <c r="O385"/>
    </row>
    <row r="386" spans="1:15" x14ac:dyDescent="0.2">
      <c r="A386"/>
      <c r="B386"/>
      <c r="C386"/>
      <c r="F386"/>
      <c r="G386"/>
      <c r="L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L390"/>
      <c r="M390"/>
      <c r="N390"/>
      <c r="O390"/>
    </row>
    <row r="391" spans="1:15" x14ac:dyDescent="0.2">
      <c r="A391"/>
      <c r="B391"/>
      <c r="C391"/>
      <c r="F391"/>
      <c r="G391"/>
      <c r="J391"/>
      <c r="K391"/>
      <c r="L391"/>
      <c r="M391"/>
      <c r="N391"/>
      <c r="O391"/>
    </row>
    <row r="392" spans="1:15" x14ac:dyDescent="0.2">
      <c r="A392"/>
      <c r="B392"/>
      <c r="C392"/>
      <c r="F392"/>
      <c r="G392"/>
      <c r="H392"/>
      <c r="I392"/>
      <c r="L392"/>
      <c r="M392"/>
      <c r="N392"/>
      <c r="O392"/>
    </row>
    <row r="393" spans="1:15" x14ac:dyDescent="0.2">
      <c r="A393"/>
      <c r="B393"/>
      <c r="C393"/>
      <c r="F393"/>
      <c r="G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J398"/>
      <c r="K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J403"/>
      <c r="K403"/>
      <c r="L403"/>
      <c r="M403"/>
      <c r="N403"/>
      <c r="O403"/>
    </row>
    <row r="404" spans="1:15" x14ac:dyDescent="0.2">
      <c r="A404"/>
      <c r="B404"/>
      <c r="C404"/>
      <c r="F404"/>
      <c r="G404"/>
      <c r="I404"/>
      <c r="L404"/>
      <c r="M404"/>
      <c r="N404"/>
      <c r="O404"/>
    </row>
    <row r="405" spans="1:15" x14ac:dyDescent="0.2">
      <c r="A405"/>
      <c r="B405"/>
      <c r="C405"/>
      <c r="F405"/>
      <c r="G405"/>
      <c r="H405"/>
      <c r="I405"/>
      <c r="L405"/>
      <c r="N405"/>
      <c r="O405"/>
    </row>
    <row r="406" spans="1:15" x14ac:dyDescent="0.2">
      <c r="A406"/>
      <c r="B406"/>
      <c r="C406"/>
      <c r="F406"/>
      <c r="G406"/>
      <c r="H406"/>
      <c r="I406"/>
      <c r="L406"/>
      <c r="M406"/>
      <c r="N406"/>
      <c r="O406"/>
    </row>
    <row r="407" spans="1:15" x14ac:dyDescent="0.2">
      <c r="A407"/>
      <c r="B407"/>
      <c r="C407"/>
      <c r="F407"/>
      <c r="G407"/>
      <c r="H407"/>
      <c r="I407"/>
      <c r="L407"/>
      <c r="M407"/>
      <c r="N407"/>
      <c r="O407"/>
    </row>
    <row r="408" spans="1:15" x14ac:dyDescent="0.2">
      <c r="A408"/>
      <c r="B408"/>
      <c r="C408"/>
      <c r="F408"/>
      <c r="G408"/>
      <c r="L408"/>
      <c r="M408"/>
      <c r="N408"/>
      <c r="O408"/>
    </row>
    <row r="409" spans="1:15" x14ac:dyDescent="0.2">
      <c r="A409"/>
      <c r="B409"/>
      <c r="C409"/>
      <c r="F409"/>
      <c r="G409"/>
      <c r="I409"/>
      <c r="L409"/>
      <c r="M409"/>
      <c r="N409"/>
      <c r="O409"/>
    </row>
    <row r="410" spans="1:15" x14ac:dyDescent="0.2">
      <c r="A410"/>
      <c r="B410"/>
      <c r="C410"/>
      <c r="F410"/>
      <c r="G410"/>
      <c r="H410"/>
      <c r="I410"/>
      <c r="L410"/>
      <c r="M410"/>
      <c r="N410"/>
      <c r="O410"/>
    </row>
    <row r="411" spans="1:15" x14ac:dyDescent="0.2">
      <c r="A411"/>
      <c r="B411"/>
      <c r="C411"/>
      <c r="F411"/>
      <c r="G411"/>
      <c r="M411"/>
      <c r="N411"/>
      <c r="O411"/>
    </row>
    <row r="412" spans="1:15" x14ac:dyDescent="0.2">
      <c r="A412"/>
      <c r="B412"/>
      <c r="C412"/>
      <c r="F412"/>
      <c r="G412"/>
      <c r="H412"/>
      <c r="J412"/>
      <c r="K412"/>
      <c r="L412"/>
      <c r="M412"/>
      <c r="N412"/>
      <c r="O412"/>
    </row>
    <row r="413" spans="1:15" x14ac:dyDescent="0.2">
      <c r="A413"/>
      <c r="B413"/>
      <c r="C413"/>
      <c r="F413"/>
      <c r="G413"/>
      <c r="H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J416"/>
      <c r="K416"/>
      <c r="L416"/>
      <c r="M416"/>
      <c r="N416"/>
      <c r="O416"/>
    </row>
    <row r="417" spans="1:15" x14ac:dyDescent="0.2">
      <c r="A417"/>
      <c r="B417"/>
      <c r="C417"/>
      <c r="G417"/>
      <c r="M417"/>
      <c r="N417"/>
      <c r="O417"/>
    </row>
    <row r="418" spans="1:15" x14ac:dyDescent="0.2">
      <c r="A418"/>
      <c r="B418"/>
      <c r="C418"/>
      <c r="F418"/>
      <c r="G418"/>
      <c r="H418"/>
      <c r="J418"/>
      <c r="K418"/>
      <c r="L418"/>
      <c r="M418"/>
      <c r="N418"/>
      <c r="O418"/>
    </row>
    <row r="419" spans="1:15" x14ac:dyDescent="0.2">
      <c r="A419"/>
      <c r="B419"/>
      <c r="C419"/>
      <c r="F419"/>
      <c r="G419"/>
      <c r="H419"/>
      <c r="K419"/>
      <c r="L419"/>
      <c r="M419"/>
      <c r="N419"/>
      <c r="O419"/>
    </row>
    <row r="420" spans="1:15" x14ac:dyDescent="0.2">
      <c r="A420"/>
      <c r="B420"/>
      <c r="C420"/>
      <c r="F420"/>
      <c r="G420"/>
      <c r="H420"/>
      <c r="I420"/>
      <c r="L420"/>
      <c r="N420"/>
      <c r="O420"/>
    </row>
    <row r="421" spans="1:15" x14ac:dyDescent="0.2">
      <c r="A421"/>
      <c r="B421"/>
      <c r="C421"/>
      <c r="F421"/>
      <c r="G421"/>
      <c r="J421"/>
      <c r="K421"/>
      <c r="L421"/>
      <c r="M421"/>
      <c r="N421"/>
      <c r="O421"/>
    </row>
    <row r="422" spans="1:15" x14ac:dyDescent="0.2">
      <c r="A422"/>
      <c r="B422"/>
      <c r="C422"/>
      <c r="F422"/>
      <c r="G422"/>
      <c r="H422"/>
      <c r="J422"/>
      <c r="K422"/>
      <c r="L422"/>
      <c r="M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L431"/>
      <c r="M431"/>
      <c r="N431"/>
      <c r="O431"/>
    </row>
    <row r="432" spans="1:15" x14ac:dyDescent="0.2">
      <c r="A432"/>
      <c r="B432"/>
      <c r="C432"/>
      <c r="F432"/>
      <c r="G432"/>
      <c r="I432"/>
      <c r="L432"/>
      <c r="M432"/>
      <c r="N432"/>
      <c r="O432"/>
    </row>
    <row r="433" spans="1:15" x14ac:dyDescent="0.2">
      <c r="A433"/>
      <c r="B433"/>
      <c r="C433"/>
      <c r="F433"/>
      <c r="G433"/>
      <c r="H433"/>
      <c r="I433"/>
      <c r="L433"/>
      <c r="N433"/>
      <c r="O433"/>
    </row>
    <row r="434" spans="1:15" x14ac:dyDescent="0.2">
      <c r="A434"/>
      <c r="B434"/>
      <c r="C434"/>
      <c r="F434"/>
      <c r="G434"/>
      <c r="H434"/>
      <c r="I434"/>
      <c r="L434"/>
      <c r="M434"/>
      <c r="N434"/>
      <c r="O434"/>
    </row>
    <row r="435" spans="1:15" x14ac:dyDescent="0.2">
      <c r="A435"/>
      <c r="B435"/>
      <c r="C435"/>
      <c r="F435"/>
      <c r="G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N447"/>
      <c r="O447"/>
    </row>
    <row r="448" spans="1:15" x14ac:dyDescent="0.2">
      <c r="A448"/>
      <c r="B448"/>
      <c r="C448"/>
      <c r="F448"/>
      <c r="G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I459"/>
      <c r="L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L470"/>
      <c r="M470"/>
      <c r="N470"/>
      <c r="O470"/>
    </row>
    <row r="471" spans="1:15" x14ac:dyDescent="0.2">
      <c r="A471"/>
      <c r="B471"/>
      <c r="C471"/>
      <c r="F471"/>
      <c r="G471"/>
      <c r="M471"/>
      <c r="N471"/>
      <c r="O471"/>
    </row>
    <row r="472" spans="1:15" x14ac:dyDescent="0.2">
      <c r="A472"/>
      <c r="B472"/>
      <c r="C472"/>
      <c r="F472"/>
      <c r="G472"/>
      <c r="I472"/>
      <c r="L472"/>
      <c r="M472"/>
      <c r="N472"/>
      <c r="O472"/>
    </row>
    <row r="473" spans="1:15" x14ac:dyDescent="0.2">
      <c r="A473"/>
      <c r="B473"/>
      <c r="C473"/>
      <c r="F473"/>
      <c r="G473"/>
      <c r="H473"/>
      <c r="I473"/>
      <c r="J473"/>
      <c r="K473"/>
      <c r="L473"/>
      <c r="M473"/>
      <c r="N473"/>
      <c r="O473"/>
    </row>
    <row r="474" spans="1:15" x14ac:dyDescent="0.2">
      <c r="A474"/>
      <c r="B474"/>
      <c r="C474"/>
      <c r="F474"/>
      <c r="G474"/>
      <c r="I474"/>
      <c r="L474"/>
      <c r="M474"/>
      <c r="N474"/>
      <c r="O474"/>
    </row>
    <row r="475" spans="1:15" x14ac:dyDescent="0.2">
      <c r="A475"/>
      <c r="B475"/>
      <c r="C475"/>
      <c r="F475"/>
      <c r="G475"/>
      <c r="L475"/>
      <c r="M475"/>
      <c r="N475"/>
      <c r="O475"/>
    </row>
    <row r="476" spans="1:15" x14ac:dyDescent="0.2">
      <c r="A476"/>
      <c r="B476"/>
      <c r="C476"/>
      <c r="F476"/>
      <c r="G476"/>
      <c r="H476"/>
      <c r="I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H480"/>
      <c r="L480"/>
      <c r="M480"/>
      <c r="N480"/>
      <c r="O480"/>
    </row>
    <row r="481" spans="1:15" x14ac:dyDescent="0.2">
      <c r="A481"/>
      <c r="B481"/>
      <c r="C481"/>
      <c r="F481"/>
      <c r="G481"/>
      <c r="H481"/>
      <c r="I481"/>
      <c r="L481"/>
      <c r="M481"/>
      <c r="N481"/>
      <c r="O481"/>
    </row>
    <row r="482" spans="1:15" x14ac:dyDescent="0.2">
      <c r="A482"/>
      <c r="B482"/>
      <c r="C482"/>
      <c r="F482"/>
      <c r="G482"/>
      <c r="H482"/>
      <c r="J482"/>
      <c r="K482"/>
      <c r="L482"/>
      <c r="M482"/>
      <c r="N482"/>
      <c r="O482"/>
    </row>
    <row r="483" spans="1:15" x14ac:dyDescent="0.2">
      <c r="A483"/>
      <c r="B483"/>
      <c r="C483"/>
      <c r="F483"/>
      <c r="G483"/>
      <c r="H483"/>
      <c r="J483"/>
      <c r="K483"/>
      <c r="L483"/>
      <c r="M483"/>
      <c r="N483"/>
      <c r="O483"/>
    </row>
    <row r="484" spans="1:15" x14ac:dyDescent="0.2">
      <c r="A484"/>
      <c r="B484"/>
      <c r="C484"/>
      <c r="F484"/>
      <c r="G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H487"/>
      <c r="I487"/>
      <c r="L487"/>
      <c r="N487"/>
      <c r="O487"/>
    </row>
    <row r="488" spans="1:15" x14ac:dyDescent="0.2">
      <c r="A488"/>
      <c r="B488"/>
      <c r="C488"/>
      <c r="F488"/>
      <c r="G488"/>
      <c r="J488"/>
      <c r="K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H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J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L510"/>
      <c r="M510"/>
      <c r="N510"/>
      <c r="O510"/>
    </row>
    <row r="511" spans="1:15" x14ac:dyDescent="0.2">
      <c r="A511"/>
      <c r="B511"/>
      <c r="C511"/>
      <c r="F511"/>
      <c r="G511"/>
      <c r="H511"/>
      <c r="I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J520"/>
      <c r="K520"/>
      <c r="L520"/>
      <c r="M520"/>
      <c r="N520"/>
      <c r="O520"/>
    </row>
    <row r="521" spans="1:15" x14ac:dyDescent="0.2">
      <c r="A521"/>
      <c r="B521"/>
      <c r="C521"/>
      <c r="F521"/>
      <c r="G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J539"/>
      <c r="L539"/>
      <c r="M539"/>
      <c r="N539"/>
      <c r="O539"/>
    </row>
    <row r="540" spans="1:15" x14ac:dyDescent="0.2">
      <c r="A540"/>
      <c r="B540"/>
      <c r="C540"/>
      <c r="F540"/>
      <c r="G540"/>
      <c r="H540"/>
      <c r="L540"/>
      <c r="M540"/>
      <c r="N540"/>
      <c r="O540"/>
    </row>
    <row r="541" spans="1:15" x14ac:dyDescent="0.2">
      <c r="A541"/>
      <c r="B541"/>
      <c r="C541"/>
      <c r="F541"/>
      <c r="G541"/>
      <c r="J541"/>
      <c r="K541"/>
      <c r="L541"/>
      <c r="M541"/>
      <c r="N541"/>
      <c r="O541"/>
    </row>
    <row r="542" spans="1:15" x14ac:dyDescent="0.2">
      <c r="A542"/>
      <c r="B542"/>
      <c r="C542"/>
      <c r="F542"/>
      <c r="G542"/>
      <c r="L542"/>
      <c r="M542"/>
      <c r="N542"/>
      <c r="O542"/>
    </row>
    <row r="543" spans="1:15" x14ac:dyDescent="0.2">
      <c r="A543"/>
      <c r="B543"/>
      <c r="C543"/>
      <c r="F543"/>
      <c r="G543"/>
      <c r="H543"/>
      <c r="J543"/>
      <c r="K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M554"/>
      <c r="N554"/>
      <c r="O554"/>
    </row>
    <row r="555" spans="1:15" x14ac:dyDescent="0.2">
      <c r="A555"/>
      <c r="B555"/>
      <c r="C555"/>
      <c r="F555"/>
      <c r="G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L563"/>
      <c r="M563"/>
      <c r="N563"/>
      <c r="O563"/>
    </row>
    <row r="564" spans="1:15" x14ac:dyDescent="0.2">
      <c r="A564"/>
      <c r="B564"/>
      <c r="C564"/>
      <c r="F564"/>
      <c r="G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I571"/>
      <c r="L571"/>
      <c r="M571"/>
      <c r="N571"/>
      <c r="O571"/>
    </row>
    <row r="572" spans="1:15" x14ac:dyDescent="0.2">
      <c r="A572"/>
      <c r="B572"/>
      <c r="C572"/>
      <c r="F572"/>
      <c r="G572"/>
      <c r="L572"/>
      <c r="M572"/>
      <c r="N572"/>
      <c r="O572"/>
    </row>
    <row r="573" spans="1:15" x14ac:dyDescent="0.2">
      <c r="A573"/>
      <c r="B573"/>
      <c r="C573"/>
      <c r="F573"/>
      <c r="G573"/>
      <c r="I573"/>
      <c r="L573"/>
      <c r="M573"/>
      <c r="N573"/>
      <c r="O573"/>
    </row>
    <row r="574" spans="1:15" x14ac:dyDescent="0.2">
      <c r="A574"/>
      <c r="B574"/>
      <c r="C574"/>
      <c r="F574"/>
      <c r="G574"/>
      <c r="H574"/>
      <c r="I574"/>
      <c r="L574"/>
      <c r="N574"/>
      <c r="O574"/>
    </row>
    <row r="575" spans="1:15" x14ac:dyDescent="0.2">
      <c r="A575"/>
      <c r="B575"/>
      <c r="C575"/>
      <c r="F575"/>
      <c r="G575"/>
      <c r="H575"/>
      <c r="I575"/>
      <c r="L575"/>
      <c r="N575"/>
      <c r="O575"/>
    </row>
    <row r="576" spans="1:15" x14ac:dyDescent="0.2">
      <c r="A576"/>
      <c r="B576"/>
      <c r="C576"/>
      <c r="F576"/>
      <c r="G576"/>
      <c r="M576"/>
      <c r="N576"/>
      <c r="O576"/>
    </row>
    <row r="577" spans="1:15" x14ac:dyDescent="0.2">
      <c r="A577"/>
      <c r="B577"/>
      <c r="C577"/>
      <c r="F577"/>
      <c r="G577"/>
      <c r="I577"/>
      <c r="L577"/>
      <c r="M577"/>
      <c r="N577"/>
      <c r="O577"/>
    </row>
    <row r="578" spans="1:15" x14ac:dyDescent="0.2">
      <c r="A578"/>
      <c r="B578"/>
      <c r="C578"/>
      <c r="F578"/>
      <c r="G578"/>
      <c r="H578"/>
      <c r="I578"/>
      <c r="L578"/>
      <c r="M578"/>
      <c r="N578"/>
      <c r="O578"/>
    </row>
    <row r="579" spans="1:15" x14ac:dyDescent="0.2">
      <c r="A579"/>
      <c r="B579"/>
      <c r="C579"/>
      <c r="F579"/>
      <c r="G579"/>
      <c r="L579"/>
      <c r="M579"/>
      <c r="N579"/>
      <c r="O579"/>
    </row>
    <row r="580" spans="1:15" x14ac:dyDescent="0.2">
      <c r="A580"/>
      <c r="B580"/>
      <c r="C580"/>
      <c r="F580"/>
      <c r="G580"/>
      <c r="H580"/>
      <c r="I580"/>
      <c r="L580"/>
      <c r="M580"/>
      <c r="N580"/>
      <c r="O580"/>
    </row>
    <row r="581" spans="1:15" x14ac:dyDescent="0.2">
      <c r="A581"/>
      <c r="B581"/>
      <c r="C581"/>
      <c r="F581"/>
      <c r="G581"/>
      <c r="J581"/>
      <c r="K581"/>
      <c r="L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J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N589"/>
      <c r="O589"/>
    </row>
    <row r="590" spans="1:15" x14ac:dyDescent="0.2">
      <c r="A590"/>
      <c r="B590"/>
      <c r="C590"/>
      <c r="F590"/>
      <c r="G590"/>
      <c r="H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J598"/>
      <c r="K598"/>
      <c r="L598"/>
      <c r="M598"/>
      <c r="N598"/>
      <c r="O598"/>
    </row>
    <row r="599" spans="1:15" x14ac:dyDescent="0.2">
      <c r="A599"/>
      <c r="B599"/>
      <c r="C599"/>
      <c r="F599"/>
      <c r="G599"/>
      <c r="H599"/>
      <c r="J599"/>
      <c r="K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J606"/>
      <c r="K606"/>
      <c r="L606"/>
      <c r="M606"/>
      <c r="N606"/>
      <c r="O606"/>
    </row>
    <row r="607" spans="1:15" x14ac:dyDescent="0.2">
      <c r="A607"/>
      <c r="B607"/>
      <c r="C607"/>
      <c r="F607"/>
      <c r="G607"/>
      <c r="M607"/>
      <c r="N607"/>
      <c r="O607"/>
    </row>
    <row r="608" spans="1:15" x14ac:dyDescent="0.2">
      <c r="A608"/>
      <c r="B608"/>
      <c r="C608"/>
      <c r="F608"/>
      <c r="G608"/>
      <c r="L608"/>
      <c r="M608"/>
      <c r="N608"/>
      <c r="O608"/>
    </row>
    <row r="609" spans="1:15" x14ac:dyDescent="0.2">
      <c r="A609"/>
      <c r="B609"/>
      <c r="C609"/>
      <c r="F609"/>
      <c r="G609"/>
      <c r="H609"/>
      <c r="I609"/>
      <c r="L609"/>
      <c r="N609"/>
      <c r="O609"/>
    </row>
    <row r="610" spans="1:15" x14ac:dyDescent="0.2">
      <c r="A610"/>
      <c r="B610"/>
      <c r="C610"/>
      <c r="F610"/>
      <c r="G610"/>
      <c r="H610"/>
      <c r="I610"/>
      <c r="L610"/>
      <c r="M610"/>
      <c r="N610"/>
      <c r="O610"/>
    </row>
    <row r="611" spans="1:15" x14ac:dyDescent="0.2">
      <c r="A611"/>
      <c r="B611"/>
      <c r="C611"/>
      <c r="F611"/>
      <c r="G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H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L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H634"/>
      <c r="J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L639"/>
      <c r="M639"/>
      <c r="N639"/>
      <c r="O639"/>
    </row>
    <row r="640" spans="1:15" x14ac:dyDescent="0.2">
      <c r="A640"/>
      <c r="B640"/>
      <c r="C640"/>
      <c r="F640"/>
      <c r="G640"/>
      <c r="J640"/>
      <c r="K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J652"/>
      <c r="K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H658"/>
      <c r="I658"/>
      <c r="L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J675"/>
      <c r="K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N687"/>
      <c r="O687"/>
    </row>
    <row r="688" spans="1:15" x14ac:dyDescent="0.2">
      <c r="A688"/>
      <c r="B688"/>
      <c r="C688"/>
      <c r="F688"/>
      <c r="G688"/>
      <c r="H688"/>
      <c r="I688"/>
      <c r="L688"/>
      <c r="M688"/>
      <c r="N688"/>
      <c r="O688"/>
    </row>
    <row r="689" spans="1:15" x14ac:dyDescent="0.2">
      <c r="A689"/>
      <c r="B689"/>
      <c r="C689"/>
      <c r="F689"/>
      <c r="G689"/>
      <c r="H689"/>
      <c r="J689"/>
      <c r="L689"/>
      <c r="M689"/>
      <c r="N689"/>
      <c r="O689"/>
    </row>
    <row r="690" spans="1:15" x14ac:dyDescent="0.2">
      <c r="A690"/>
      <c r="B690"/>
      <c r="C690"/>
      <c r="F690"/>
      <c r="G690"/>
      <c r="H690"/>
      <c r="I690"/>
      <c r="L690"/>
      <c r="M690"/>
      <c r="N690"/>
      <c r="O690"/>
    </row>
    <row r="691" spans="1:15" x14ac:dyDescent="0.2">
      <c r="A691"/>
      <c r="B691"/>
      <c r="C691"/>
      <c r="F691"/>
      <c r="G691"/>
      <c r="I691"/>
      <c r="L691"/>
      <c r="M691"/>
      <c r="N691"/>
      <c r="O691"/>
    </row>
    <row r="692" spans="1:15" x14ac:dyDescent="0.2">
      <c r="A692"/>
      <c r="B692"/>
      <c r="C692"/>
      <c r="F692"/>
      <c r="G692"/>
      <c r="M692"/>
      <c r="N692"/>
      <c r="O692"/>
    </row>
    <row r="693" spans="1:15" x14ac:dyDescent="0.2">
      <c r="A693"/>
      <c r="B693"/>
      <c r="C693"/>
      <c r="F693"/>
      <c r="G693"/>
      <c r="H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M697"/>
      <c r="N697"/>
      <c r="O697"/>
    </row>
    <row r="698" spans="1:15" x14ac:dyDescent="0.2">
      <c r="A698"/>
      <c r="B698"/>
      <c r="C698"/>
      <c r="F698"/>
      <c r="G698"/>
      <c r="H698"/>
      <c r="I698"/>
      <c r="L698"/>
      <c r="M698"/>
      <c r="N698"/>
      <c r="O698"/>
    </row>
    <row r="699" spans="1:15" x14ac:dyDescent="0.2">
      <c r="A699"/>
      <c r="B699"/>
      <c r="C699"/>
      <c r="F699"/>
      <c r="G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L705"/>
      <c r="M705"/>
      <c r="N705"/>
      <c r="O705"/>
    </row>
    <row r="706" spans="1:15" x14ac:dyDescent="0.2">
      <c r="A706"/>
      <c r="B706"/>
      <c r="C706"/>
      <c r="F706"/>
      <c r="G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N711"/>
      <c r="O711"/>
    </row>
    <row r="712" spans="1:15" x14ac:dyDescent="0.2">
      <c r="A712"/>
      <c r="B712"/>
      <c r="C712"/>
      <c r="F712"/>
      <c r="G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L720"/>
      <c r="M720"/>
      <c r="N720"/>
      <c r="O720"/>
    </row>
    <row r="721" spans="1:15" x14ac:dyDescent="0.2">
      <c r="A721"/>
      <c r="B721"/>
      <c r="C721"/>
      <c r="F721"/>
      <c r="G721"/>
      <c r="H721"/>
      <c r="J721"/>
      <c r="K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I724"/>
      <c r="L724"/>
      <c r="M724"/>
      <c r="N724"/>
      <c r="O724"/>
    </row>
    <row r="725" spans="1:15" x14ac:dyDescent="0.2">
      <c r="A725"/>
      <c r="B725"/>
      <c r="C725"/>
      <c r="F725"/>
      <c r="G725"/>
      <c r="I725"/>
      <c r="L725"/>
      <c r="M725"/>
      <c r="N725"/>
      <c r="O725"/>
    </row>
    <row r="726" spans="1:15" x14ac:dyDescent="0.2">
      <c r="A726"/>
      <c r="B726"/>
      <c r="C726"/>
      <c r="F726"/>
      <c r="G726"/>
      <c r="J726"/>
      <c r="K726"/>
      <c r="L726"/>
      <c r="M726"/>
      <c r="N726"/>
      <c r="O726"/>
    </row>
    <row r="727" spans="1:15" x14ac:dyDescent="0.2">
      <c r="A727"/>
      <c r="B727"/>
      <c r="C727"/>
      <c r="F727"/>
      <c r="G727"/>
      <c r="H727"/>
      <c r="I727"/>
      <c r="J727"/>
      <c r="K727"/>
      <c r="L727"/>
      <c r="M727"/>
      <c r="N727"/>
      <c r="O727"/>
    </row>
    <row r="728" spans="1:15" x14ac:dyDescent="0.2">
      <c r="A728"/>
      <c r="B728"/>
      <c r="C728"/>
      <c r="F728"/>
      <c r="G728"/>
      <c r="H728"/>
      <c r="I728"/>
      <c r="L728"/>
      <c r="M728"/>
      <c r="N728"/>
      <c r="O728"/>
    </row>
    <row r="729" spans="1:15" x14ac:dyDescent="0.2">
      <c r="A729"/>
      <c r="B729"/>
      <c r="C729"/>
      <c r="F729"/>
      <c r="G729"/>
      <c r="H729"/>
      <c r="I729"/>
      <c r="J729"/>
      <c r="K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I742"/>
      <c r="L742"/>
      <c r="M742"/>
      <c r="N742"/>
      <c r="O742"/>
    </row>
    <row r="743" spans="1:15" x14ac:dyDescent="0.2">
      <c r="A743"/>
      <c r="B743"/>
      <c r="C743"/>
      <c r="F743"/>
      <c r="G743"/>
      <c r="H743"/>
      <c r="L743"/>
      <c r="M743"/>
      <c r="N743"/>
      <c r="O743"/>
    </row>
    <row r="744" spans="1:15" x14ac:dyDescent="0.2">
      <c r="A744"/>
      <c r="B744"/>
      <c r="C744"/>
      <c r="F744"/>
      <c r="G744"/>
      <c r="H744"/>
      <c r="J744"/>
      <c r="K744"/>
      <c r="L744"/>
      <c r="M744"/>
      <c r="N744"/>
      <c r="O744"/>
    </row>
    <row r="745" spans="1:15" x14ac:dyDescent="0.2">
      <c r="A745"/>
      <c r="B745"/>
      <c r="C745"/>
      <c r="F745"/>
      <c r="G745"/>
      <c r="H745"/>
      <c r="I745"/>
      <c r="L745"/>
      <c r="M745"/>
      <c r="N745"/>
      <c r="O745"/>
    </row>
    <row r="746" spans="1:15" x14ac:dyDescent="0.2">
      <c r="A746"/>
      <c r="B746"/>
      <c r="C746"/>
      <c r="F746"/>
      <c r="G746"/>
      <c r="J746"/>
      <c r="K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K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J752"/>
      <c r="L752"/>
      <c r="M752"/>
      <c r="N752"/>
      <c r="O752"/>
    </row>
    <row r="753" spans="1:15" x14ac:dyDescent="0.2">
      <c r="A753"/>
      <c r="B753"/>
      <c r="C753"/>
      <c r="F753"/>
      <c r="G753"/>
      <c r="H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J756"/>
      <c r="K756"/>
      <c r="L756"/>
      <c r="M756"/>
      <c r="N756"/>
      <c r="O756"/>
    </row>
    <row r="757" spans="1:15" x14ac:dyDescent="0.2">
      <c r="A757"/>
      <c r="B757"/>
      <c r="C757"/>
      <c r="F757"/>
      <c r="G757"/>
      <c r="H757"/>
      <c r="I757"/>
      <c r="L757"/>
      <c r="M757"/>
      <c r="N757"/>
      <c r="O757"/>
    </row>
    <row r="758" spans="1:15" x14ac:dyDescent="0.2">
      <c r="A758"/>
      <c r="B758"/>
      <c r="C758"/>
      <c r="F758"/>
      <c r="G758"/>
      <c r="M758"/>
      <c r="N758"/>
      <c r="O758"/>
    </row>
    <row r="759" spans="1:15" x14ac:dyDescent="0.2">
      <c r="A759"/>
      <c r="B759"/>
      <c r="C759"/>
      <c r="F759"/>
      <c r="G759"/>
      <c r="H759"/>
      <c r="I759"/>
      <c r="L759"/>
      <c r="M759"/>
      <c r="N759"/>
      <c r="O759"/>
    </row>
    <row r="760" spans="1:15" x14ac:dyDescent="0.2">
      <c r="A760"/>
      <c r="B760"/>
      <c r="C760"/>
      <c r="F760"/>
      <c r="G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J768"/>
      <c r="K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H778"/>
      <c r="J778"/>
      <c r="K778"/>
      <c r="L778"/>
      <c r="M778"/>
      <c r="N778"/>
      <c r="O778"/>
    </row>
    <row r="779" spans="1:15" x14ac:dyDescent="0.2">
      <c r="A779"/>
      <c r="B779"/>
      <c r="C779"/>
      <c r="F779"/>
      <c r="G779"/>
      <c r="H779"/>
      <c r="L779"/>
      <c r="M779"/>
      <c r="N779"/>
      <c r="O779"/>
    </row>
    <row r="780" spans="1:15" x14ac:dyDescent="0.2">
      <c r="A780"/>
      <c r="B780"/>
      <c r="C780"/>
      <c r="F780"/>
      <c r="G780"/>
      <c r="H780"/>
      <c r="I780"/>
      <c r="L780"/>
      <c r="M780"/>
      <c r="N780"/>
      <c r="O780"/>
    </row>
    <row r="781" spans="1:15" x14ac:dyDescent="0.2">
      <c r="A781"/>
      <c r="B781"/>
      <c r="C781"/>
      <c r="F781"/>
      <c r="G781"/>
      <c r="I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M797"/>
      <c r="N797"/>
      <c r="O797"/>
    </row>
    <row r="798" spans="1:15" x14ac:dyDescent="0.2">
      <c r="A798"/>
      <c r="B798"/>
      <c r="C798"/>
      <c r="F798"/>
      <c r="G798"/>
      <c r="H798"/>
      <c r="I798"/>
      <c r="L798"/>
      <c r="N798"/>
      <c r="O798"/>
    </row>
    <row r="799" spans="1:15" x14ac:dyDescent="0.2">
      <c r="A799"/>
      <c r="B799"/>
      <c r="C799"/>
      <c r="F799"/>
      <c r="G799"/>
      <c r="H799"/>
      <c r="J799"/>
      <c r="K799"/>
      <c r="L799"/>
      <c r="M799"/>
      <c r="N799"/>
      <c r="O799"/>
    </row>
    <row r="800" spans="1:15" x14ac:dyDescent="0.2">
      <c r="A800"/>
      <c r="B800"/>
      <c r="C800"/>
      <c r="F800"/>
      <c r="G800"/>
      <c r="H800"/>
      <c r="J800"/>
      <c r="K800"/>
      <c r="L800"/>
      <c r="M800"/>
      <c r="N800"/>
      <c r="O800"/>
    </row>
    <row r="801" spans="1:15" x14ac:dyDescent="0.2">
      <c r="A801"/>
      <c r="B801"/>
      <c r="C801"/>
      <c r="F801"/>
      <c r="G801"/>
      <c r="H801"/>
      <c r="J801"/>
      <c r="K801"/>
      <c r="L801"/>
      <c r="M801"/>
      <c r="N801"/>
      <c r="O801"/>
    </row>
    <row r="802" spans="1:15" x14ac:dyDescent="0.2">
      <c r="A802"/>
      <c r="B802"/>
      <c r="C802"/>
      <c r="F802"/>
      <c r="G802"/>
      <c r="J802"/>
      <c r="K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H810"/>
      <c r="I810"/>
      <c r="L810"/>
      <c r="M810"/>
      <c r="N810"/>
      <c r="O810"/>
    </row>
    <row r="811" spans="1:15" x14ac:dyDescent="0.2">
      <c r="A811"/>
      <c r="B811"/>
      <c r="C811"/>
      <c r="F811"/>
      <c r="G811"/>
      <c r="H811"/>
      <c r="I811"/>
      <c r="L811"/>
      <c r="N811"/>
      <c r="O811"/>
    </row>
    <row r="812" spans="1:15" x14ac:dyDescent="0.2">
      <c r="A812"/>
      <c r="B812"/>
      <c r="C812"/>
      <c r="F812"/>
      <c r="G812"/>
      <c r="H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L815"/>
      <c r="M815"/>
      <c r="N815"/>
      <c r="O815"/>
    </row>
    <row r="816" spans="1:15" x14ac:dyDescent="0.2">
      <c r="A816"/>
      <c r="B816"/>
      <c r="C816"/>
      <c r="F816"/>
      <c r="G816"/>
      <c r="H816"/>
      <c r="I816"/>
      <c r="J816"/>
      <c r="K816"/>
      <c r="L816"/>
      <c r="M816"/>
      <c r="N816"/>
      <c r="O816"/>
    </row>
    <row r="817" spans="1:15" x14ac:dyDescent="0.2">
      <c r="A817"/>
      <c r="B817"/>
      <c r="C817"/>
      <c r="F817"/>
      <c r="G817"/>
      <c r="J817"/>
      <c r="M817"/>
      <c r="N817"/>
      <c r="O817"/>
    </row>
    <row r="818" spans="1:15" x14ac:dyDescent="0.2">
      <c r="A818"/>
      <c r="B818"/>
      <c r="C818"/>
      <c r="F818"/>
      <c r="G818"/>
      <c r="I818"/>
      <c r="L818"/>
      <c r="M818"/>
      <c r="N818"/>
      <c r="O818"/>
    </row>
    <row r="819" spans="1:15" x14ac:dyDescent="0.2">
      <c r="A819"/>
      <c r="B819"/>
      <c r="C819"/>
      <c r="F819"/>
      <c r="G819"/>
      <c r="H819"/>
      <c r="J819"/>
      <c r="K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J822"/>
      <c r="K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H829"/>
      <c r="J829"/>
      <c r="K829"/>
      <c r="L829"/>
      <c r="M829"/>
      <c r="N829"/>
      <c r="O829"/>
    </row>
    <row r="830" spans="1:15" x14ac:dyDescent="0.2">
      <c r="A830"/>
      <c r="B830"/>
      <c r="C830"/>
      <c r="F830"/>
      <c r="G830"/>
      <c r="H830"/>
      <c r="I830"/>
      <c r="L830"/>
      <c r="M830"/>
      <c r="N830"/>
      <c r="O830"/>
    </row>
    <row r="831" spans="1:15" x14ac:dyDescent="0.2">
      <c r="A831"/>
      <c r="B831"/>
      <c r="C831"/>
      <c r="F831"/>
      <c r="G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L835"/>
      <c r="M835"/>
      <c r="N835"/>
      <c r="O835"/>
    </row>
    <row r="836" spans="1:15" x14ac:dyDescent="0.2">
      <c r="A836"/>
      <c r="B836"/>
      <c r="C836"/>
      <c r="F836"/>
      <c r="G836"/>
      <c r="H836"/>
      <c r="I836"/>
      <c r="L836"/>
      <c r="M836"/>
      <c r="N836"/>
      <c r="O836"/>
    </row>
    <row r="837" spans="1:15" x14ac:dyDescent="0.2">
      <c r="A837"/>
      <c r="B837"/>
      <c r="C837"/>
      <c r="F837"/>
      <c r="G837"/>
      <c r="J837"/>
      <c r="K837"/>
      <c r="L837"/>
      <c r="M837"/>
      <c r="N837"/>
      <c r="O837"/>
    </row>
    <row r="838" spans="1:15" x14ac:dyDescent="0.2">
      <c r="A838"/>
      <c r="B838"/>
      <c r="C838"/>
      <c r="F838"/>
      <c r="G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L841"/>
      <c r="M841"/>
      <c r="N841"/>
      <c r="O841"/>
    </row>
    <row r="842" spans="1:15" x14ac:dyDescent="0.2">
      <c r="A842"/>
      <c r="B842"/>
      <c r="C842"/>
      <c r="F842"/>
      <c r="G842"/>
      <c r="H842"/>
      <c r="I842"/>
      <c r="L842"/>
      <c r="M842"/>
      <c r="N842"/>
      <c r="O842"/>
    </row>
    <row r="843" spans="1:15" x14ac:dyDescent="0.2">
      <c r="A843"/>
      <c r="B843"/>
      <c r="C843"/>
      <c r="F843"/>
      <c r="G843"/>
      <c r="H843"/>
      <c r="I843"/>
      <c r="L843"/>
      <c r="M843"/>
      <c r="N843"/>
      <c r="O843"/>
    </row>
    <row r="844" spans="1:15" x14ac:dyDescent="0.2">
      <c r="A844"/>
      <c r="B844"/>
      <c r="C844"/>
      <c r="F844"/>
      <c r="G844"/>
      <c r="L844"/>
      <c r="M844"/>
      <c r="N844"/>
      <c r="O844"/>
    </row>
    <row r="845" spans="1:15" x14ac:dyDescent="0.2">
      <c r="A845"/>
      <c r="B845"/>
      <c r="C845"/>
      <c r="F845"/>
      <c r="G845"/>
      <c r="I845"/>
      <c r="L845"/>
      <c r="M845"/>
      <c r="N845"/>
      <c r="O845"/>
    </row>
    <row r="846" spans="1:15" x14ac:dyDescent="0.2">
      <c r="A846"/>
      <c r="B846"/>
      <c r="C846"/>
      <c r="F846"/>
      <c r="G846"/>
      <c r="L846"/>
      <c r="M846"/>
      <c r="N846"/>
      <c r="O846"/>
    </row>
    <row r="847" spans="1:15" x14ac:dyDescent="0.2">
      <c r="A847"/>
      <c r="B847"/>
      <c r="C847"/>
      <c r="F847"/>
      <c r="G847"/>
      <c r="H847"/>
      <c r="I847"/>
      <c r="L847"/>
      <c r="N847"/>
      <c r="O847"/>
    </row>
    <row r="848" spans="1:15" x14ac:dyDescent="0.2">
      <c r="A848"/>
      <c r="B848"/>
      <c r="C848"/>
      <c r="F848"/>
      <c r="G848"/>
      <c r="I848"/>
      <c r="L848"/>
      <c r="M848"/>
      <c r="N848"/>
      <c r="O848"/>
    </row>
    <row r="849" spans="1:15" x14ac:dyDescent="0.2">
      <c r="A849"/>
      <c r="B849"/>
      <c r="C849"/>
      <c r="F849"/>
      <c r="G849"/>
      <c r="H849"/>
      <c r="L849"/>
      <c r="M849"/>
      <c r="N849"/>
      <c r="O849"/>
    </row>
    <row r="850" spans="1:15" x14ac:dyDescent="0.2">
      <c r="A850"/>
      <c r="B850"/>
      <c r="C850"/>
      <c r="F850"/>
      <c r="G850"/>
      <c r="H850"/>
      <c r="I850"/>
      <c r="L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H854"/>
      <c r="M854"/>
      <c r="N854"/>
      <c r="O854"/>
    </row>
    <row r="855" spans="1:15" x14ac:dyDescent="0.2">
      <c r="A855"/>
      <c r="B855"/>
      <c r="C855"/>
      <c r="F855"/>
      <c r="G855"/>
      <c r="I855"/>
      <c r="L855"/>
      <c r="M855"/>
      <c r="N855"/>
      <c r="O855"/>
    </row>
    <row r="856" spans="1:15" x14ac:dyDescent="0.2">
      <c r="A856"/>
      <c r="B856"/>
      <c r="C856"/>
      <c r="F856"/>
      <c r="G856"/>
      <c r="M856"/>
      <c r="N856"/>
      <c r="O856"/>
    </row>
    <row r="857" spans="1:15" x14ac:dyDescent="0.2">
      <c r="A857"/>
      <c r="B857"/>
      <c r="C857"/>
      <c r="F857"/>
      <c r="G857"/>
      <c r="H857"/>
      <c r="I857"/>
      <c r="L857"/>
      <c r="M857"/>
      <c r="N857"/>
      <c r="O857"/>
    </row>
    <row r="858" spans="1:15" x14ac:dyDescent="0.2">
      <c r="A858"/>
      <c r="B858"/>
      <c r="C858"/>
      <c r="F858"/>
      <c r="G858"/>
      <c r="H858"/>
      <c r="I858"/>
      <c r="L858"/>
      <c r="M858"/>
      <c r="N858"/>
      <c r="O858"/>
    </row>
    <row r="859" spans="1:15" x14ac:dyDescent="0.2">
      <c r="A859"/>
      <c r="B859"/>
      <c r="C859"/>
      <c r="F859"/>
      <c r="G859"/>
      <c r="M859"/>
      <c r="N859"/>
      <c r="O859"/>
    </row>
    <row r="860" spans="1:15" x14ac:dyDescent="0.2">
      <c r="A860"/>
      <c r="B860"/>
      <c r="C860"/>
      <c r="F860"/>
      <c r="G860"/>
      <c r="L860"/>
      <c r="M860"/>
      <c r="N860"/>
      <c r="O860"/>
    </row>
    <row r="861" spans="1:15" x14ac:dyDescent="0.2">
      <c r="A861"/>
      <c r="B861"/>
      <c r="C861"/>
      <c r="F861"/>
      <c r="G861"/>
      <c r="H861"/>
      <c r="I861"/>
      <c r="L861"/>
      <c r="M861"/>
      <c r="N861"/>
      <c r="O861"/>
    </row>
    <row r="862" spans="1:15" x14ac:dyDescent="0.2">
      <c r="A862"/>
      <c r="B862"/>
      <c r="C862"/>
      <c r="F862"/>
      <c r="G862"/>
      <c r="L862"/>
      <c r="M862"/>
      <c r="N862"/>
      <c r="O862"/>
    </row>
    <row r="863" spans="1:15" x14ac:dyDescent="0.2">
      <c r="A863"/>
      <c r="B863"/>
      <c r="C863"/>
      <c r="F863"/>
      <c r="G863"/>
      <c r="L863"/>
      <c r="M863"/>
      <c r="N863"/>
      <c r="O863"/>
    </row>
    <row r="864" spans="1:15" x14ac:dyDescent="0.2">
      <c r="A864"/>
      <c r="B864"/>
      <c r="C864"/>
      <c r="F864"/>
      <c r="G864"/>
      <c r="H864"/>
      <c r="I864"/>
      <c r="J864"/>
      <c r="K864"/>
      <c r="L864"/>
      <c r="M864"/>
      <c r="N864"/>
      <c r="O864"/>
    </row>
    <row r="865" spans="1:15" x14ac:dyDescent="0.2">
      <c r="A865"/>
      <c r="B865"/>
      <c r="C865"/>
      <c r="F865"/>
      <c r="G865"/>
      <c r="I865"/>
      <c r="L865"/>
      <c r="M865"/>
      <c r="N865"/>
      <c r="O865"/>
    </row>
    <row r="866" spans="1:15" x14ac:dyDescent="0.2">
      <c r="A866"/>
      <c r="B866"/>
      <c r="C866"/>
      <c r="F866"/>
      <c r="G866"/>
      <c r="H866"/>
      <c r="I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L869"/>
      <c r="M869"/>
      <c r="N869"/>
      <c r="O869"/>
    </row>
    <row r="870" spans="1:15" x14ac:dyDescent="0.2">
      <c r="A870"/>
      <c r="B870"/>
      <c r="C870"/>
      <c r="F870"/>
      <c r="G870"/>
      <c r="J870"/>
      <c r="K870"/>
      <c r="L870"/>
      <c r="M870"/>
      <c r="N870"/>
      <c r="O870"/>
    </row>
    <row r="871" spans="1:15" x14ac:dyDescent="0.2">
      <c r="A871"/>
      <c r="B871"/>
      <c r="C871"/>
      <c r="F871"/>
      <c r="G871"/>
      <c r="I871"/>
      <c r="L871"/>
      <c r="M871"/>
      <c r="N871"/>
      <c r="O871"/>
    </row>
    <row r="872" spans="1:15" x14ac:dyDescent="0.2">
      <c r="A872"/>
      <c r="B872"/>
      <c r="C872"/>
      <c r="F872"/>
      <c r="G872"/>
      <c r="H872"/>
      <c r="I872"/>
      <c r="L872"/>
      <c r="N872"/>
      <c r="O872"/>
    </row>
    <row r="873" spans="1:15" x14ac:dyDescent="0.2">
      <c r="A873"/>
      <c r="B873"/>
      <c r="C873"/>
      <c r="F873"/>
      <c r="G873"/>
      <c r="H873"/>
      <c r="I873"/>
      <c r="L873"/>
      <c r="M873"/>
      <c r="N873"/>
      <c r="O873"/>
    </row>
    <row r="874" spans="1:15" x14ac:dyDescent="0.2">
      <c r="A874"/>
      <c r="B874"/>
      <c r="C874"/>
      <c r="F874"/>
      <c r="G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L877"/>
      <c r="M877"/>
      <c r="N877"/>
      <c r="O877"/>
    </row>
    <row r="878" spans="1:15" x14ac:dyDescent="0.2">
      <c r="A878"/>
      <c r="B878"/>
      <c r="C878"/>
      <c r="F878"/>
      <c r="G878"/>
      <c r="L878"/>
      <c r="M878"/>
      <c r="N878"/>
      <c r="O878"/>
    </row>
    <row r="879" spans="1:15" x14ac:dyDescent="0.2">
      <c r="A879"/>
      <c r="B879"/>
      <c r="C879"/>
      <c r="F879"/>
      <c r="G879"/>
      <c r="H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I886"/>
      <c r="L886"/>
      <c r="N886"/>
      <c r="O886"/>
    </row>
    <row r="887" spans="1:15" x14ac:dyDescent="0.2">
      <c r="A887"/>
      <c r="B887"/>
      <c r="C887"/>
      <c r="F887"/>
      <c r="G887"/>
      <c r="I887"/>
      <c r="L887"/>
      <c r="M887"/>
      <c r="N887"/>
      <c r="O887"/>
    </row>
    <row r="888" spans="1:15" x14ac:dyDescent="0.2">
      <c r="A888"/>
      <c r="B888"/>
      <c r="C888"/>
      <c r="F888"/>
      <c r="G888"/>
      <c r="L888"/>
      <c r="M888"/>
      <c r="N888"/>
      <c r="O888"/>
    </row>
    <row r="889" spans="1:15" x14ac:dyDescent="0.2">
      <c r="A889"/>
      <c r="B889"/>
      <c r="C889"/>
      <c r="F889"/>
      <c r="G889"/>
      <c r="H889"/>
      <c r="J889"/>
      <c r="K889"/>
      <c r="L889"/>
      <c r="M889"/>
      <c r="N889"/>
      <c r="O889"/>
    </row>
    <row r="890" spans="1:15" x14ac:dyDescent="0.2">
      <c r="A890"/>
      <c r="B890"/>
      <c r="C890"/>
      <c r="F890"/>
      <c r="G890"/>
      <c r="H890"/>
      <c r="I890"/>
      <c r="L890"/>
      <c r="M890"/>
      <c r="N890"/>
      <c r="O890"/>
    </row>
    <row r="891" spans="1:15" x14ac:dyDescent="0.2">
      <c r="A891"/>
      <c r="B891"/>
      <c r="C891"/>
      <c r="F891"/>
      <c r="G891"/>
      <c r="H891"/>
      <c r="I891"/>
      <c r="L891"/>
      <c r="N891"/>
      <c r="O891"/>
    </row>
    <row r="892" spans="1:15" x14ac:dyDescent="0.2">
      <c r="A892"/>
      <c r="B892"/>
      <c r="C892"/>
      <c r="F892"/>
      <c r="G892"/>
      <c r="L892"/>
      <c r="M892"/>
      <c r="N892"/>
      <c r="O892"/>
    </row>
    <row r="893" spans="1:15" x14ac:dyDescent="0.2">
      <c r="A893"/>
      <c r="B893"/>
      <c r="C893"/>
      <c r="F893"/>
      <c r="G893"/>
      <c r="H893"/>
      <c r="I893"/>
      <c r="L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I896"/>
      <c r="L896"/>
      <c r="M896"/>
      <c r="N896"/>
      <c r="O896"/>
    </row>
    <row r="897" spans="1:15" x14ac:dyDescent="0.2">
      <c r="A897"/>
      <c r="B897"/>
      <c r="C897"/>
      <c r="F897"/>
      <c r="G897"/>
      <c r="L897"/>
      <c r="M897"/>
      <c r="N897"/>
      <c r="O897"/>
    </row>
    <row r="898" spans="1:15" x14ac:dyDescent="0.2">
      <c r="A898"/>
      <c r="B898"/>
      <c r="C898"/>
      <c r="F898"/>
      <c r="G898"/>
      <c r="H898"/>
      <c r="J898"/>
      <c r="K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L918"/>
      <c r="M918"/>
      <c r="N918"/>
      <c r="O918"/>
    </row>
    <row r="919" spans="1:15" x14ac:dyDescent="0.2">
      <c r="A919"/>
      <c r="B919"/>
      <c r="C919"/>
      <c r="F919"/>
      <c r="G919"/>
      <c r="I919"/>
      <c r="J919"/>
      <c r="K919"/>
      <c r="L919"/>
      <c r="M919"/>
      <c r="N919"/>
      <c r="O919"/>
    </row>
    <row r="920" spans="1:15" x14ac:dyDescent="0.2">
      <c r="A920"/>
      <c r="B920"/>
      <c r="C920"/>
      <c r="F920"/>
      <c r="G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J932"/>
      <c r="K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J935"/>
      <c r="K935"/>
      <c r="L935"/>
      <c r="M935"/>
      <c r="N935"/>
      <c r="O935"/>
    </row>
    <row r="936" spans="1:15" x14ac:dyDescent="0.2">
      <c r="A936"/>
      <c r="B936"/>
      <c r="C936"/>
      <c r="F936"/>
      <c r="G936"/>
      <c r="H936"/>
      <c r="I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J940"/>
      <c r="K940"/>
      <c r="L940"/>
      <c r="M940"/>
      <c r="N940"/>
      <c r="O940"/>
    </row>
    <row r="941" spans="1:15" x14ac:dyDescent="0.2">
      <c r="A941"/>
      <c r="B941"/>
      <c r="C941"/>
      <c r="F941"/>
      <c r="G941"/>
      <c r="H941"/>
      <c r="J941"/>
      <c r="K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L944"/>
      <c r="M944"/>
      <c r="N944"/>
      <c r="O944"/>
    </row>
    <row r="945" spans="1:15" x14ac:dyDescent="0.2">
      <c r="A945"/>
      <c r="B945"/>
      <c r="C945"/>
      <c r="F945"/>
      <c r="G945"/>
      <c r="H945"/>
      <c r="J945"/>
      <c r="K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J950"/>
      <c r="K950"/>
      <c r="L950"/>
      <c r="M950"/>
      <c r="N950"/>
      <c r="O950"/>
    </row>
    <row r="951" spans="1:15" x14ac:dyDescent="0.2">
      <c r="A951"/>
      <c r="B951"/>
      <c r="C951"/>
      <c r="F951"/>
      <c r="G951"/>
      <c r="H951"/>
      <c r="I951"/>
      <c r="L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J974"/>
      <c r="K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I978"/>
      <c r="L978"/>
      <c r="M978"/>
      <c r="N978"/>
      <c r="O978"/>
    </row>
    <row r="979" spans="1:15" x14ac:dyDescent="0.2">
      <c r="A979"/>
      <c r="B979"/>
      <c r="C979"/>
      <c r="F979"/>
      <c r="G979"/>
      <c r="H979"/>
      <c r="I979"/>
      <c r="L979"/>
      <c r="M979"/>
      <c r="N979"/>
      <c r="O979"/>
    </row>
    <row r="980" spans="1:15" x14ac:dyDescent="0.2">
      <c r="A980"/>
      <c r="B980"/>
      <c r="C980"/>
      <c r="F980"/>
      <c r="G980"/>
      <c r="H980"/>
      <c r="J980"/>
      <c r="K980"/>
      <c r="L980"/>
      <c r="M980"/>
      <c r="N980"/>
      <c r="O980"/>
    </row>
    <row r="981" spans="1:15" x14ac:dyDescent="0.2">
      <c r="A981"/>
      <c r="B981"/>
      <c r="C981"/>
      <c r="F981"/>
      <c r="G981"/>
      <c r="L981"/>
      <c r="M981"/>
      <c r="N981"/>
      <c r="O981"/>
    </row>
    <row r="982" spans="1:15" x14ac:dyDescent="0.2">
      <c r="A982"/>
      <c r="B982"/>
      <c r="C982"/>
      <c r="F982"/>
      <c r="G982"/>
      <c r="H982"/>
      <c r="I982"/>
      <c r="L982"/>
      <c r="M982"/>
      <c r="N982"/>
      <c r="O982"/>
    </row>
    <row r="983" spans="1:15" x14ac:dyDescent="0.2">
      <c r="A983"/>
      <c r="B983"/>
      <c r="C983"/>
      <c r="F983"/>
      <c r="G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J989"/>
      <c r="K989"/>
      <c r="L989"/>
      <c r="M989"/>
      <c r="N989"/>
      <c r="O989"/>
    </row>
    <row r="990" spans="1:15" x14ac:dyDescent="0.2">
      <c r="A990"/>
      <c r="B990"/>
      <c r="C990"/>
      <c r="F990"/>
      <c r="G990"/>
      <c r="H990"/>
      <c r="J990"/>
      <c r="K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I1000"/>
      <c r="L1000"/>
      <c r="M1000"/>
      <c r="N1000"/>
      <c r="O1000"/>
    </row>
    <row r="1001" spans="1:15" x14ac:dyDescent="0.2">
      <c r="A1001"/>
      <c r="B1001"/>
      <c r="C1001"/>
      <c r="F1001"/>
      <c r="G1001"/>
      <c r="I1001"/>
      <c r="L1001"/>
      <c r="M1001"/>
      <c r="N1001"/>
      <c r="O1001"/>
    </row>
    <row r="1002" spans="1:15" x14ac:dyDescent="0.2">
      <c r="A1002"/>
      <c r="B1002"/>
      <c r="C1002"/>
      <c r="F1002"/>
      <c r="G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M1005"/>
      <c r="N1005"/>
      <c r="O1005"/>
    </row>
    <row r="1006" spans="1:15" x14ac:dyDescent="0.2">
      <c r="A1006"/>
      <c r="B1006"/>
      <c r="C1006"/>
      <c r="F1006"/>
      <c r="G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L1013"/>
      <c r="M1013"/>
      <c r="N1013"/>
      <c r="O1013"/>
    </row>
    <row r="1014" spans="1:15" x14ac:dyDescent="0.2">
      <c r="A1014"/>
      <c r="B1014"/>
      <c r="C1014"/>
      <c r="F1014"/>
      <c r="G1014"/>
      <c r="J1014"/>
      <c r="K1014"/>
      <c r="L1014"/>
      <c r="M1014"/>
      <c r="N1014"/>
      <c r="O1014"/>
    </row>
    <row r="1015" spans="1:15" x14ac:dyDescent="0.2">
      <c r="A1015"/>
      <c r="B1015"/>
      <c r="C1015"/>
      <c r="F1015"/>
      <c r="G1015"/>
      <c r="H1015"/>
      <c r="I1015"/>
      <c r="L1015"/>
      <c r="M1015"/>
      <c r="N1015"/>
      <c r="O1015"/>
    </row>
    <row r="1016" spans="1:15" x14ac:dyDescent="0.2">
      <c r="A1016"/>
      <c r="B1016"/>
      <c r="C1016"/>
      <c r="F1016"/>
      <c r="G1016"/>
      <c r="I1016"/>
      <c r="L1016"/>
      <c r="M1016"/>
      <c r="N1016"/>
      <c r="O1016"/>
    </row>
    <row r="1017" spans="1:15" x14ac:dyDescent="0.2">
      <c r="A1017"/>
      <c r="B1017"/>
      <c r="C1017"/>
      <c r="F1017"/>
      <c r="G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I1033"/>
      <c r="L1033"/>
      <c r="M1033"/>
      <c r="N1033"/>
      <c r="O1033"/>
    </row>
    <row r="1034" spans="1:15" x14ac:dyDescent="0.2">
      <c r="A1034"/>
      <c r="B1034"/>
      <c r="C1034"/>
      <c r="F1034"/>
      <c r="G1034"/>
      <c r="I1034"/>
      <c r="L1034"/>
      <c r="M1034"/>
      <c r="N1034"/>
      <c r="O1034"/>
    </row>
    <row r="1035" spans="1:15" x14ac:dyDescent="0.2">
      <c r="A1035"/>
      <c r="B1035"/>
      <c r="C1035"/>
      <c r="F1035"/>
      <c r="G1035"/>
      <c r="I1035"/>
      <c r="J1035"/>
      <c r="K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L1044"/>
      <c r="M1044"/>
      <c r="N1044"/>
      <c r="O1044"/>
    </row>
    <row r="1045" spans="1:15" x14ac:dyDescent="0.2">
      <c r="A1045"/>
      <c r="B1045"/>
      <c r="C1045"/>
      <c r="F1045"/>
      <c r="G1045"/>
      <c r="H1045"/>
      <c r="I1045"/>
      <c r="L1045"/>
      <c r="M1045"/>
      <c r="N1045"/>
      <c r="O1045"/>
    </row>
    <row r="1046" spans="1:15" x14ac:dyDescent="0.2">
      <c r="A1046"/>
      <c r="B1046"/>
      <c r="C1046"/>
      <c r="F1046"/>
      <c r="G1046"/>
      <c r="J1046"/>
      <c r="K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I1056"/>
      <c r="L1056"/>
      <c r="M1056"/>
      <c r="N1056"/>
      <c r="O1056"/>
    </row>
    <row r="1057" spans="1:15" x14ac:dyDescent="0.2">
      <c r="A1057"/>
      <c r="B1057"/>
      <c r="C1057"/>
      <c r="F1057"/>
      <c r="G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I1060"/>
      <c r="L1060"/>
      <c r="M1060"/>
      <c r="N1060"/>
      <c r="O1060"/>
    </row>
    <row r="1061" spans="1:15" x14ac:dyDescent="0.2">
      <c r="A1061"/>
      <c r="B1061"/>
      <c r="C1061"/>
      <c r="F1061"/>
      <c r="G1061"/>
      <c r="H1061"/>
      <c r="J1061"/>
      <c r="K1061"/>
      <c r="L1061"/>
      <c r="M1061"/>
      <c r="N1061"/>
      <c r="O1061"/>
    </row>
    <row r="1062" spans="1:15" x14ac:dyDescent="0.2">
      <c r="A1062"/>
      <c r="B1062"/>
      <c r="C1062"/>
      <c r="F1062"/>
      <c r="G1062"/>
      <c r="I1062"/>
      <c r="L1062"/>
      <c r="M1062"/>
      <c r="N1062"/>
      <c r="O1062"/>
    </row>
    <row r="1063" spans="1:15" x14ac:dyDescent="0.2">
      <c r="A1063"/>
      <c r="B1063"/>
      <c r="C1063"/>
      <c r="F1063"/>
      <c r="G1063"/>
      <c r="H1063"/>
      <c r="I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J1065"/>
      <c r="K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I1072"/>
      <c r="L1072"/>
      <c r="N1072"/>
      <c r="O1072"/>
    </row>
    <row r="1073" spans="1:15" x14ac:dyDescent="0.2">
      <c r="A1073"/>
      <c r="B1073"/>
      <c r="C1073"/>
      <c r="F1073"/>
      <c r="G1073"/>
      <c r="H1073"/>
      <c r="J1073"/>
      <c r="K1073"/>
      <c r="L1073"/>
      <c r="M1073"/>
      <c r="N1073"/>
      <c r="O1073"/>
    </row>
    <row r="1074" spans="1:15" x14ac:dyDescent="0.2">
      <c r="A1074"/>
      <c r="B1074"/>
      <c r="C1074"/>
      <c r="F1074"/>
      <c r="G1074"/>
      <c r="H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G1079"/>
      <c r="J1079"/>
      <c r="K1079"/>
      <c r="L1079"/>
      <c r="M1079"/>
      <c r="N1079"/>
      <c r="O1079"/>
    </row>
    <row r="1080" spans="1:15" x14ac:dyDescent="0.2">
      <c r="A1080"/>
      <c r="B1080"/>
      <c r="C1080"/>
      <c r="F1080"/>
      <c r="G1080"/>
      <c r="H1080"/>
      <c r="I1080"/>
      <c r="L1080"/>
      <c r="N1080"/>
      <c r="O1080"/>
    </row>
    <row r="1081" spans="1:15" x14ac:dyDescent="0.2">
      <c r="A1081"/>
      <c r="B1081"/>
      <c r="C1081"/>
      <c r="F1081"/>
      <c r="G1081"/>
      <c r="L1081"/>
      <c r="M1081"/>
      <c r="N1081"/>
      <c r="O1081"/>
    </row>
    <row r="1082" spans="1:15" x14ac:dyDescent="0.2">
      <c r="A1082"/>
      <c r="B1082"/>
      <c r="C1082"/>
      <c r="F1082"/>
      <c r="G1082"/>
      <c r="J1082"/>
      <c r="K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I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M1088"/>
      <c r="N1088"/>
      <c r="O1088"/>
    </row>
    <row r="1089" spans="1:15" x14ac:dyDescent="0.2">
      <c r="A1089"/>
      <c r="B1089"/>
      <c r="C1089"/>
      <c r="F1089"/>
      <c r="G1089"/>
      <c r="M1089"/>
      <c r="N1089"/>
      <c r="O1089"/>
    </row>
    <row r="1090" spans="1:15" x14ac:dyDescent="0.2">
      <c r="A1090"/>
      <c r="B1090"/>
      <c r="C1090"/>
      <c r="F1090"/>
      <c r="G1090"/>
      <c r="M1090"/>
      <c r="N1090"/>
      <c r="O1090"/>
    </row>
    <row r="1091" spans="1:15" x14ac:dyDescent="0.2">
      <c r="A1091"/>
      <c r="B1091"/>
      <c r="C1091"/>
      <c r="F1091"/>
      <c r="G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N1095"/>
      <c r="O1095"/>
    </row>
    <row r="1096" spans="1:15" x14ac:dyDescent="0.2">
      <c r="A1096"/>
      <c r="B1096"/>
      <c r="C1096"/>
      <c r="F1096"/>
      <c r="G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L1101"/>
      <c r="M1101"/>
      <c r="N1101"/>
      <c r="O1101"/>
    </row>
    <row r="1102" spans="1:15" x14ac:dyDescent="0.2">
      <c r="A1102"/>
      <c r="B1102"/>
      <c r="C1102"/>
      <c r="F1102"/>
      <c r="G1102"/>
      <c r="H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M1105"/>
      <c r="N1105"/>
      <c r="O1105"/>
    </row>
    <row r="1106" spans="1:15" x14ac:dyDescent="0.2">
      <c r="A1106"/>
      <c r="B1106"/>
      <c r="C1106"/>
      <c r="F1106"/>
      <c r="G1106"/>
      <c r="H1106"/>
      <c r="I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J1110"/>
      <c r="K1110"/>
      <c r="L1110"/>
      <c r="M1110"/>
      <c r="N1110"/>
      <c r="O1110"/>
    </row>
    <row r="1111" spans="1:15" x14ac:dyDescent="0.2">
      <c r="A1111"/>
      <c r="B1111"/>
      <c r="C1111"/>
      <c r="F1111"/>
      <c r="G1111"/>
      <c r="H1111"/>
      <c r="J1111"/>
      <c r="K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M1116"/>
      <c r="N1116"/>
      <c r="O1116"/>
    </row>
    <row r="1117" spans="1:15" x14ac:dyDescent="0.2">
      <c r="A1117"/>
      <c r="B1117"/>
      <c r="C1117"/>
      <c r="F1117"/>
      <c r="G1117"/>
      <c r="H1117"/>
      <c r="I1117"/>
      <c r="L1117"/>
      <c r="M1117"/>
      <c r="N1117"/>
      <c r="O1117"/>
    </row>
    <row r="1118" spans="1:15" x14ac:dyDescent="0.2">
      <c r="A1118"/>
      <c r="B1118"/>
      <c r="C1118"/>
      <c r="F1118"/>
      <c r="G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H1120"/>
      <c r="I1120"/>
      <c r="L1120"/>
      <c r="N1120"/>
      <c r="O1120"/>
    </row>
    <row r="1121" spans="1:15" x14ac:dyDescent="0.2">
      <c r="A1121"/>
      <c r="B1121"/>
      <c r="C1121"/>
      <c r="F1121"/>
      <c r="G1121"/>
      <c r="H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L1127"/>
      <c r="M1127"/>
      <c r="N1127"/>
      <c r="O1127"/>
    </row>
    <row r="1128" spans="1:15" x14ac:dyDescent="0.2">
      <c r="A1128"/>
      <c r="B1128"/>
      <c r="C1128"/>
      <c r="F1128"/>
      <c r="G1128"/>
      <c r="I1128"/>
      <c r="L1128"/>
      <c r="M1128"/>
      <c r="N1128"/>
      <c r="O1128"/>
    </row>
    <row r="1129" spans="1:15" x14ac:dyDescent="0.2">
      <c r="A1129"/>
      <c r="B1129"/>
      <c r="C1129"/>
      <c r="F1129"/>
      <c r="G1129"/>
      <c r="I1129"/>
      <c r="L1129"/>
      <c r="M1129"/>
      <c r="N1129"/>
      <c r="O1129"/>
    </row>
    <row r="1130" spans="1:15" x14ac:dyDescent="0.2">
      <c r="A1130"/>
      <c r="B1130"/>
      <c r="C1130"/>
      <c r="F1130"/>
      <c r="G1130"/>
      <c r="I1130"/>
      <c r="L1130"/>
      <c r="M1130"/>
      <c r="N1130"/>
      <c r="O1130"/>
    </row>
    <row r="1131" spans="1:15" x14ac:dyDescent="0.2">
      <c r="A1131"/>
      <c r="B1131"/>
      <c r="C1131"/>
      <c r="F1131"/>
      <c r="G1131"/>
      <c r="H1131"/>
      <c r="I1131"/>
      <c r="L1131"/>
      <c r="M1131"/>
      <c r="N1131"/>
      <c r="O1131"/>
    </row>
    <row r="1132" spans="1:15" x14ac:dyDescent="0.2">
      <c r="A1132"/>
      <c r="B1132"/>
      <c r="C1132"/>
      <c r="F1132"/>
      <c r="G1132"/>
      <c r="I1132"/>
      <c r="L1132"/>
      <c r="M1132"/>
      <c r="N1132"/>
      <c r="O1132"/>
    </row>
    <row r="1133" spans="1:15" x14ac:dyDescent="0.2">
      <c r="A1133"/>
      <c r="B1133"/>
      <c r="C1133"/>
      <c r="F1133"/>
      <c r="G1133"/>
      <c r="H1133"/>
      <c r="L1133"/>
      <c r="M1133"/>
      <c r="N1133"/>
      <c r="O1133"/>
    </row>
    <row r="1134" spans="1:15" x14ac:dyDescent="0.2">
      <c r="A1134"/>
      <c r="B1134"/>
      <c r="C1134"/>
      <c r="F1134"/>
      <c r="G1134"/>
      <c r="N1134"/>
      <c r="O1134"/>
    </row>
    <row r="1135" spans="1:15" x14ac:dyDescent="0.2">
      <c r="A1135"/>
      <c r="B1135"/>
      <c r="C1135"/>
      <c r="F1135"/>
      <c r="G1135"/>
      <c r="I1135"/>
      <c r="L1135"/>
      <c r="M1135"/>
      <c r="N1135"/>
      <c r="O1135"/>
    </row>
    <row r="1136" spans="1:15" x14ac:dyDescent="0.2">
      <c r="A1136"/>
      <c r="B1136"/>
      <c r="C1136"/>
      <c r="F1136"/>
      <c r="G1136"/>
      <c r="I1136"/>
      <c r="L1136"/>
      <c r="M1136"/>
      <c r="N1136"/>
      <c r="O1136"/>
    </row>
    <row r="1137" spans="1:15" x14ac:dyDescent="0.2">
      <c r="A1137"/>
      <c r="B1137"/>
      <c r="C1137"/>
      <c r="F1137"/>
      <c r="G1137"/>
      <c r="H1137"/>
      <c r="I1137"/>
      <c r="L1137"/>
      <c r="M1137"/>
      <c r="N1137"/>
      <c r="O1137"/>
    </row>
    <row r="1138" spans="1:15" x14ac:dyDescent="0.2">
      <c r="A1138"/>
      <c r="B1138"/>
      <c r="C1138"/>
      <c r="F1138"/>
      <c r="G1138"/>
      <c r="H1138"/>
      <c r="J1138"/>
      <c r="K1138"/>
      <c r="L1138"/>
      <c r="M1138"/>
      <c r="N1138"/>
      <c r="O1138"/>
    </row>
    <row r="1139" spans="1:15" x14ac:dyDescent="0.2">
      <c r="A1139"/>
      <c r="B1139"/>
      <c r="C1139"/>
      <c r="F1139"/>
      <c r="G1139"/>
      <c r="I1139"/>
      <c r="L1139"/>
      <c r="M1139"/>
      <c r="N1139"/>
      <c r="O1139"/>
    </row>
    <row r="1140" spans="1:15" x14ac:dyDescent="0.2">
      <c r="A1140"/>
      <c r="B1140"/>
      <c r="C1140"/>
      <c r="F1140"/>
      <c r="G1140"/>
      <c r="J1140"/>
      <c r="K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M1144"/>
      <c r="N1144"/>
      <c r="O1144"/>
    </row>
    <row r="1145" spans="1:15" x14ac:dyDescent="0.2">
      <c r="A1145"/>
      <c r="B1145"/>
      <c r="C1145"/>
      <c r="F1145"/>
      <c r="G1145"/>
      <c r="H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J1149"/>
      <c r="K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J1152"/>
      <c r="K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L1155"/>
      <c r="M1155"/>
      <c r="N1155"/>
      <c r="O1155"/>
    </row>
    <row r="1156" spans="1:15" x14ac:dyDescent="0.2">
      <c r="A1156"/>
      <c r="B1156"/>
      <c r="C1156"/>
      <c r="F1156"/>
      <c r="G1156"/>
      <c r="H1156"/>
      <c r="I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J1160"/>
      <c r="K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J1163"/>
      <c r="K1163"/>
      <c r="L1163"/>
      <c r="M1163"/>
      <c r="N1163"/>
      <c r="O1163"/>
    </row>
    <row r="1164" spans="1:15" x14ac:dyDescent="0.2">
      <c r="A1164"/>
      <c r="B1164"/>
      <c r="C1164"/>
      <c r="F1164"/>
      <c r="G1164"/>
      <c r="H1164"/>
      <c r="J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I1169"/>
      <c r="L1169"/>
      <c r="M1169"/>
      <c r="N1169"/>
      <c r="O1169"/>
    </row>
    <row r="1170" spans="1:15" x14ac:dyDescent="0.2">
      <c r="A1170"/>
      <c r="B1170"/>
      <c r="C1170"/>
      <c r="F1170"/>
      <c r="G1170"/>
      <c r="H1170"/>
      <c r="I1170"/>
      <c r="L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J1173"/>
      <c r="K1173"/>
      <c r="L1173"/>
      <c r="M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H1186"/>
      <c r="L1186"/>
      <c r="M1186"/>
      <c r="N1186"/>
      <c r="O1186"/>
    </row>
    <row r="1187" spans="1:15" x14ac:dyDescent="0.2">
      <c r="A1187"/>
      <c r="B1187"/>
      <c r="C1187"/>
      <c r="F1187"/>
      <c r="G1187"/>
      <c r="H1187"/>
      <c r="I1187"/>
      <c r="L1187"/>
      <c r="M1187"/>
      <c r="N1187"/>
      <c r="O1187"/>
    </row>
    <row r="1188" spans="1:15" x14ac:dyDescent="0.2">
      <c r="A1188"/>
      <c r="B1188"/>
      <c r="C1188"/>
      <c r="F1188"/>
      <c r="G1188"/>
      <c r="H1188"/>
      <c r="J1188"/>
      <c r="K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H1191"/>
      <c r="I1191"/>
      <c r="L1191"/>
      <c r="M1191"/>
      <c r="N1191"/>
      <c r="O1191"/>
    </row>
    <row r="1192" spans="1:15" x14ac:dyDescent="0.2">
      <c r="A1192"/>
      <c r="B1192"/>
      <c r="C1192"/>
      <c r="F1192"/>
      <c r="G1192"/>
      <c r="M1192"/>
      <c r="N1192"/>
      <c r="O1192"/>
    </row>
    <row r="1193" spans="1:15" x14ac:dyDescent="0.2">
      <c r="A1193"/>
      <c r="B1193"/>
      <c r="C1193"/>
      <c r="F1193"/>
      <c r="G1193"/>
      <c r="H1193"/>
      <c r="L1193"/>
      <c r="M1193"/>
      <c r="N1193"/>
      <c r="O1193"/>
    </row>
    <row r="1194" spans="1:15" x14ac:dyDescent="0.2">
      <c r="A1194"/>
      <c r="B1194"/>
      <c r="C1194"/>
      <c r="F1194"/>
      <c r="G1194"/>
      <c r="H1194"/>
      <c r="I1194"/>
      <c r="L1194"/>
      <c r="M1194"/>
      <c r="N1194"/>
      <c r="O1194"/>
    </row>
    <row r="1195" spans="1:15" x14ac:dyDescent="0.2">
      <c r="A1195"/>
      <c r="B1195"/>
      <c r="C1195"/>
      <c r="F1195"/>
      <c r="G1195"/>
      <c r="L1195"/>
      <c r="M1195"/>
      <c r="N1195"/>
      <c r="O1195"/>
    </row>
    <row r="1196" spans="1:15" x14ac:dyDescent="0.2">
      <c r="A1196"/>
      <c r="B1196"/>
      <c r="C1196"/>
      <c r="F1196"/>
      <c r="G1196"/>
      <c r="I1196"/>
      <c r="L1196"/>
      <c r="M1196"/>
      <c r="N1196"/>
      <c r="O1196"/>
    </row>
    <row r="1197" spans="1:15" x14ac:dyDescent="0.2">
      <c r="A1197"/>
      <c r="B1197"/>
      <c r="C1197"/>
      <c r="F1197"/>
      <c r="G1197"/>
      <c r="H1197"/>
      <c r="J1197"/>
      <c r="K1197"/>
      <c r="L1197"/>
      <c r="M1197"/>
      <c r="N1197"/>
      <c r="O1197"/>
    </row>
    <row r="1198" spans="1:15" x14ac:dyDescent="0.2">
      <c r="A1198"/>
      <c r="B1198"/>
      <c r="C1198"/>
      <c r="F1198"/>
      <c r="G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J1200"/>
      <c r="K1200"/>
      <c r="L1200"/>
      <c r="M1200"/>
      <c r="N1200"/>
      <c r="O1200"/>
    </row>
    <row r="1201" spans="1:15" x14ac:dyDescent="0.2">
      <c r="A1201"/>
      <c r="B1201"/>
      <c r="C1201"/>
      <c r="F1201"/>
      <c r="G1201"/>
      <c r="H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J1214"/>
      <c r="K1214"/>
      <c r="L1214"/>
      <c r="M1214"/>
      <c r="N1214"/>
      <c r="O1214"/>
    </row>
    <row r="1215" spans="1:15" x14ac:dyDescent="0.2">
      <c r="A1215"/>
      <c r="B1215"/>
      <c r="C1215"/>
      <c r="F1215"/>
      <c r="G1215"/>
      <c r="H1215"/>
      <c r="I1215"/>
      <c r="L1215"/>
      <c r="N1215"/>
      <c r="O1215"/>
    </row>
    <row r="1216" spans="1:15" x14ac:dyDescent="0.2">
      <c r="A1216"/>
      <c r="B1216"/>
      <c r="C1216"/>
      <c r="F1216"/>
      <c r="G1216"/>
      <c r="J1216"/>
      <c r="K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J1219"/>
      <c r="K1219"/>
      <c r="L1219"/>
      <c r="M1219"/>
      <c r="N1219"/>
      <c r="O1219"/>
    </row>
    <row r="1220" spans="1:15" x14ac:dyDescent="0.2">
      <c r="A1220"/>
      <c r="B1220"/>
      <c r="C1220"/>
      <c r="F1220"/>
      <c r="G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I1223"/>
      <c r="L1223"/>
      <c r="M1223"/>
      <c r="N1223"/>
      <c r="O1223"/>
    </row>
    <row r="1224" spans="1:15" x14ac:dyDescent="0.2">
      <c r="A1224"/>
      <c r="B1224"/>
      <c r="C1224"/>
      <c r="F1224"/>
      <c r="G1224"/>
      <c r="H1224"/>
      <c r="L1224"/>
      <c r="M1224"/>
      <c r="N1224"/>
      <c r="O1224"/>
    </row>
    <row r="1225" spans="1:15" x14ac:dyDescent="0.2">
      <c r="A1225"/>
      <c r="B1225"/>
      <c r="C1225"/>
      <c r="F1225"/>
      <c r="G1225"/>
      <c r="H1225"/>
      <c r="I1225"/>
      <c r="L1225"/>
      <c r="M1225"/>
      <c r="N1225"/>
      <c r="O1225"/>
    </row>
    <row r="1226" spans="1:15" x14ac:dyDescent="0.2">
      <c r="A1226"/>
      <c r="B1226"/>
      <c r="C1226"/>
      <c r="F1226"/>
      <c r="G1226"/>
      <c r="I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H1233"/>
      <c r="I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L1241"/>
      <c r="M1241"/>
      <c r="N1241"/>
      <c r="O1241"/>
    </row>
    <row r="1242" spans="1:15" x14ac:dyDescent="0.2">
      <c r="A1242"/>
      <c r="B1242"/>
      <c r="C1242"/>
      <c r="F1242"/>
      <c r="G1242"/>
      <c r="H1242"/>
      <c r="M1242"/>
      <c r="N1242"/>
      <c r="O1242"/>
    </row>
    <row r="1243" spans="1:15" x14ac:dyDescent="0.2">
      <c r="A1243"/>
      <c r="B1243"/>
      <c r="C1243"/>
      <c r="F1243"/>
      <c r="G1243"/>
      <c r="H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I1245"/>
      <c r="L1245"/>
      <c r="M1245"/>
      <c r="N1245"/>
      <c r="O1245"/>
    </row>
    <row r="1246" spans="1:15" x14ac:dyDescent="0.2">
      <c r="A1246"/>
      <c r="B1246"/>
      <c r="C1246"/>
      <c r="F1246"/>
      <c r="G1246"/>
      <c r="L1246"/>
      <c r="M1246"/>
      <c r="N1246"/>
      <c r="O1246"/>
    </row>
    <row r="1247" spans="1:15" x14ac:dyDescent="0.2">
      <c r="A1247"/>
      <c r="B1247"/>
      <c r="C1247"/>
      <c r="F1247"/>
      <c r="G1247"/>
      <c r="H1247"/>
      <c r="I1247"/>
      <c r="J1247"/>
      <c r="K1247"/>
      <c r="L1247"/>
      <c r="M1247"/>
      <c r="N1247"/>
      <c r="O1247"/>
    </row>
    <row r="1248" spans="1:15" x14ac:dyDescent="0.2">
      <c r="A1248"/>
      <c r="B1248"/>
      <c r="C1248"/>
      <c r="F1248"/>
      <c r="G1248"/>
      <c r="H1248"/>
      <c r="I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J1264"/>
      <c r="K1264"/>
      <c r="L1264"/>
      <c r="M1264"/>
      <c r="N1264"/>
      <c r="O1264"/>
    </row>
    <row r="1265" spans="1:15" x14ac:dyDescent="0.2">
      <c r="A1265"/>
      <c r="B1265"/>
      <c r="C1265"/>
      <c r="F1265"/>
      <c r="G1265"/>
      <c r="H1265"/>
      <c r="I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J1273"/>
      <c r="K1273"/>
      <c r="L1273"/>
      <c r="M1273"/>
      <c r="N1273"/>
      <c r="O1273"/>
    </row>
    <row r="1274" spans="1:15" x14ac:dyDescent="0.2">
      <c r="A1274"/>
      <c r="B1274"/>
      <c r="C1274"/>
      <c r="F1274"/>
      <c r="G1274"/>
      <c r="H1274"/>
      <c r="I1274"/>
      <c r="L1274"/>
      <c r="M1274"/>
      <c r="N1274"/>
      <c r="O1274"/>
    </row>
    <row r="1275" spans="1:15" x14ac:dyDescent="0.2">
      <c r="A1275"/>
      <c r="B1275"/>
      <c r="C1275"/>
      <c r="F1275"/>
      <c r="G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H1278"/>
      <c r="I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L1283"/>
      <c r="M1283"/>
      <c r="N1283"/>
      <c r="O1283"/>
    </row>
    <row r="1284" spans="1:15" x14ac:dyDescent="0.2">
      <c r="A1284"/>
      <c r="B1284"/>
      <c r="C1284"/>
      <c r="F1284"/>
      <c r="G1284"/>
      <c r="H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J1291"/>
      <c r="K1291"/>
      <c r="L1291"/>
      <c r="M1291"/>
      <c r="N1291"/>
      <c r="O1291"/>
    </row>
    <row r="1292" spans="1:15" x14ac:dyDescent="0.2">
      <c r="A1292"/>
      <c r="B1292"/>
      <c r="C1292"/>
      <c r="F1292"/>
      <c r="G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J1295"/>
      <c r="K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J1298"/>
      <c r="K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J1304"/>
      <c r="K1304"/>
      <c r="L1304"/>
      <c r="M1304"/>
      <c r="N1304"/>
      <c r="O1304"/>
    </row>
    <row r="1305" spans="1:15" x14ac:dyDescent="0.2">
      <c r="A1305"/>
      <c r="B1305"/>
      <c r="C1305"/>
      <c r="F1305"/>
      <c r="G1305"/>
      <c r="H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N1314"/>
      <c r="O1314"/>
    </row>
    <row r="1315" spans="1:15" x14ac:dyDescent="0.2">
      <c r="A1315"/>
      <c r="B1315"/>
      <c r="C1315"/>
      <c r="F1315"/>
      <c r="G1315"/>
      <c r="I1315"/>
      <c r="L1315"/>
      <c r="M1315"/>
      <c r="N1315"/>
      <c r="O1315"/>
    </row>
    <row r="1316" spans="1:15" x14ac:dyDescent="0.2">
      <c r="A1316"/>
      <c r="B1316"/>
      <c r="C1316"/>
      <c r="F1316"/>
      <c r="G1316"/>
      <c r="I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I1322"/>
      <c r="L1322"/>
      <c r="M1322"/>
      <c r="N1322"/>
      <c r="O1322"/>
    </row>
    <row r="1323" spans="1:15" x14ac:dyDescent="0.2">
      <c r="A1323"/>
      <c r="B1323"/>
      <c r="C1323"/>
      <c r="F1323"/>
      <c r="G1323"/>
      <c r="I1323"/>
      <c r="L1323"/>
      <c r="M1323"/>
      <c r="N1323"/>
      <c r="O1323"/>
    </row>
    <row r="1324" spans="1:15" x14ac:dyDescent="0.2">
      <c r="A1324"/>
      <c r="B1324"/>
      <c r="C1324"/>
      <c r="F1324"/>
      <c r="G1324"/>
      <c r="I1324"/>
      <c r="L1324"/>
      <c r="M1324"/>
      <c r="N1324"/>
      <c r="O1324"/>
    </row>
    <row r="1325" spans="1:15" x14ac:dyDescent="0.2">
      <c r="A1325"/>
      <c r="B1325"/>
      <c r="C1325"/>
      <c r="F1325"/>
      <c r="G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J1330"/>
      <c r="K1330"/>
      <c r="L1330"/>
      <c r="M1330"/>
      <c r="N1330"/>
      <c r="O1330"/>
    </row>
    <row r="1331" spans="1:15" x14ac:dyDescent="0.2">
      <c r="A1331"/>
      <c r="B1331"/>
      <c r="C1331"/>
      <c r="F1331"/>
      <c r="G1331"/>
      <c r="H1331"/>
      <c r="J1331"/>
      <c r="K1331"/>
      <c r="L1331"/>
      <c r="M1331"/>
      <c r="N1331"/>
      <c r="O1331"/>
    </row>
    <row r="1332" spans="1:15" x14ac:dyDescent="0.2">
      <c r="A1332"/>
      <c r="B1332"/>
      <c r="C1332"/>
      <c r="F1332"/>
      <c r="G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J1336"/>
      <c r="K1336"/>
      <c r="L1336"/>
      <c r="M1336"/>
      <c r="N1336"/>
      <c r="O1336"/>
    </row>
    <row r="1337" spans="1:15" x14ac:dyDescent="0.2">
      <c r="A1337"/>
      <c r="B1337"/>
      <c r="C1337"/>
      <c r="F1337"/>
      <c r="G1337"/>
      <c r="H1337"/>
      <c r="I1337"/>
      <c r="L1337"/>
      <c r="N1337"/>
      <c r="O1337"/>
    </row>
    <row r="1338" spans="1:15" x14ac:dyDescent="0.2">
      <c r="A1338"/>
      <c r="B1338"/>
      <c r="C1338"/>
      <c r="F1338"/>
      <c r="G1338"/>
      <c r="I1338"/>
      <c r="L1338"/>
      <c r="M1338"/>
      <c r="N1338"/>
      <c r="O1338"/>
    </row>
    <row r="1339" spans="1:15" x14ac:dyDescent="0.2">
      <c r="A1339"/>
      <c r="B1339"/>
      <c r="C1339"/>
      <c r="F1339"/>
      <c r="G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L1342"/>
      <c r="M1342"/>
      <c r="N1342"/>
      <c r="O1342"/>
    </row>
    <row r="1343" spans="1:15" x14ac:dyDescent="0.2">
      <c r="A1343"/>
      <c r="B1343"/>
      <c r="C1343"/>
      <c r="F1343"/>
      <c r="G1343"/>
      <c r="I1343"/>
      <c r="L1343"/>
      <c r="M1343"/>
      <c r="N1343"/>
      <c r="O1343"/>
    </row>
    <row r="1344" spans="1:15" x14ac:dyDescent="0.2">
      <c r="A1344"/>
      <c r="B1344"/>
      <c r="C1344"/>
      <c r="F1344"/>
      <c r="G1344"/>
      <c r="H1344"/>
      <c r="I1344"/>
      <c r="L1344"/>
      <c r="M1344"/>
      <c r="N1344"/>
      <c r="O1344"/>
    </row>
    <row r="1345" spans="1:15" x14ac:dyDescent="0.2">
      <c r="A1345"/>
      <c r="B1345"/>
      <c r="C1345"/>
      <c r="F1345"/>
      <c r="G1345"/>
      <c r="L1345"/>
      <c r="M1345"/>
      <c r="N1345"/>
      <c r="O1345"/>
    </row>
    <row r="1346" spans="1:15" x14ac:dyDescent="0.2">
      <c r="A1346"/>
      <c r="B1346"/>
      <c r="C1346"/>
      <c r="F1346"/>
      <c r="G1346"/>
      <c r="H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H1351"/>
      <c r="I1351"/>
      <c r="L1351"/>
      <c r="N1351"/>
      <c r="O1351"/>
    </row>
    <row r="1352" spans="1:15" x14ac:dyDescent="0.2">
      <c r="A1352"/>
      <c r="B1352"/>
      <c r="C1352"/>
      <c r="F1352"/>
      <c r="G1352"/>
      <c r="I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I1358"/>
      <c r="L1358"/>
      <c r="M1358"/>
      <c r="N1358"/>
      <c r="O1358"/>
    </row>
    <row r="1359" spans="1:15" x14ac:dyDescent="0.2">
      <c r="A1359"/>
      <c r="B1359"/>
      <c r="C1359"/>
      <c r="F1359"/>
      <c r="G1359"/>
      <c r="H1359"/>
      <c r="I1359"/>
      <c r="J1359"/>
      <c r="K1359"/>
      <c r="L1359"/>
      <c r="M1359"/>
      <c r="N1359"/>
      <c r="O1359"/>
    </row>
    <row r="1360" spans="1:15" x14ac:dyDescent="0.2">
      <c r="A1360"/>
      <c r="B1360"/>
      <c r="C1360"/>
      <c r="F1360"/>
      <c r="G1360"/>
      <c r="L1360"/>
      <c r="M1360"/>
      <c r="N1360"/>
      <c r="O1360"/>
    </row>
    <row r="1361" spans="1:15" x14ac:dyDescent="0.2">
      <c r="A1361"/>
      <c r="B1361"/>
      <c r="C1361"/>
      <c r="F1361"/>
      <c r="G1361"/>
      <c r="H1361"/>
      <c r="M1361"/>
      <c r="N1361"/>
      <c r="O1361"/>
    </row>
    <row r="1362" spans="1:15" x14ac:dyDescent="0.2">
      <c r="A1362"/>
      <c r="B1362"/>
      <c r="C1362"/>
      <c r="F1362"/>
      <c r="G1362"/>
      <c r="H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J1374"/>
      <c r="K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J1380"/>
      <c r="K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L1388"/>
      <c r="M1388"/>
      <c r="N1388"/>
      <c r="O1388"/>
    </row>
    <row r="1389" spans="1:15" x14ac:dyDescent="0.2">
      <c r="A1389"/>
      <c r="B1389"/>
      <c r="C1389"/>
      <c r="F1389"/>
      <c r="G1389"/>
      <c r="H1389"/>
      <c r="J1389"/>
      <c r="K1389"/>
      <c r="L1389"/>
      <c r="M1389"/>
      <c r="N1389"/>
      <c r="O1389"/>
    </row>
    <row r="1390" spans="1:15" x14ac:dyDescent="0.2">
      <c r="A1390"/>
      <c r="B1390"/>
      <c r="C1390"/>
      <c r="F1390"/>
      <c r="G1390"/>
      <c r="H1390"/>
      <c r="I1390"/>
      <c r="L1390"/>
      <c r="M1390"/>
      <c r="N1390"/>
      <c r="O1390"/>
    </row>
    <row r="1391" spans="1:15" x14ac:dyDescent="0.2">
      <c r="A1391"/>
      <c r="B1391"/>
      <c r="C1391"/>
      <c r="F1391"/>
      <c r="G1391"/>
      <c r="H1391"/>
      <c r="I1391"/>
      <c r="L1391"/>
      <c r="M1391"/>
      <c r="N1391"/>
      <c r="O1391"/>
    </row>
    <row r="1392" spans="1:15" x14ac:dyDescent="0.2">
      <c r="A1392"/>
      <c r="B1392"/>
      <c r="C1392"/>
      <c r="F1392"/>
      <c r="G1392"/>
      <c r="I1392"/>
      <c r="L1392"/>
      <c r="M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L1395"/>
      <c r="M1395"/>
      <c r="N1395"/>
      <c r="O1395"/>
    </row>
    <row r="1396" spans="1:15" x14ac:dyDescent="0.2">
      <c r="A1396"/>
      <c r="B1396"/>
      <c r="C1396"/>
      <c r="F1396"/>
      <c r="G1396"/>
      <c r="H1396"/>
      <c r="J1396"/>
      <c r="K1396"/>
      <c r="L1396"/>
      <c r="N1396"/>
      <c r="O1396"/>
    </row>
    <row r="1397" spans="1:15" x14ac:dyDescent="0.2">
      <c r="A1397"/>
      <c r="B1397"/>
      <c r="C1397"/>
      <c r="F1397"/>
      <c r="G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L1400"/>
      <c r="M1400"/>
      <c r="N1400"/>
      <c r="O1400"/>
    </row>
    <row r="1401" spans="1:15" x14ac:dyDescent="0.2">
      <c r="A1401"/>
      <c r="B1401"/>
      <c r="C1401"/>
      <c r="F1401"/>
      <c r="G1401"/>
      <c r="L1401"/>
      <c r="M1401"/>
      <c r="N1401"/>
      <c r="O1401"/>
    </row>
    <row r="1402" spans="1:15" x14ac:dyDescent="0.2">
      <c r="A1402"/>
      <c r="B1402"/>
      <c r="C1402"/>
      <c r="F1402"/>
      <c r="G1402"/>
      <c r="J1402"/>
      <c r="K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J1405"/>
      <c r="K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L1410"/>
      <c r="M1410"/>
      <c r="N1410"/>
      <c r="O1410"/>
    </row>
    <row r="1411" spans="1:15" x14ac:dyDescent="0.2">
      <c r="A1411"/>
      <c r="B1411"/>
      <c r="C1411"/>
      <c r="F1411"/>
      <c r="G1411"/>
      <c r="H1411"/>
      <c r="I1411"/>
      <c r="L1411"/>
      <c r="M1411"/>
      <c r="N1411"/>
      <c r="O1411"/>
    </row>
    <row r="1412" spans="1:15" x14ac:dyDescent="0.2">
      <c r="A1412"/>
      <c r="B1412"/>
      <c r="C1412"/>
      <c r="F1412"/>
      <c r="G1412"/>
      <c r="H1412"/>
      <c r="M1412"/>
      <c r="N1412"/>
      <c r="O1412"/>
    </row>
    <row r="1413" spans="1:15" x14ac:dyDescent="0.2">
      <c r="A1413"/>
      <c r="B1413"/>
      <c r="C1413"/>
      <c r="F1413"/>
      <c r="G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I1417"/>
      <c r="L1417"/>
      <c r="M1417"/>
      <c r="N1417"/>
      <c r="O1417"/>
    </row>
    <row r="1418" spans="1:15" x14ac:dyDescent="0.2">
      <c r="A1418"/>
      <c r="B1418"/>
      <c r="C1418"/>
      <c r="F1418"/>
      <c r="G1418"/>
      <c r="H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L1428"/>
      <c r="M1428"/>
      <c r="N1428"/>
      <c r="O1428"/>
    </row>
    <row r="1429" spans="1:15" x14ac:dyDescent="0.2">
      <c r="A1429"/>
      <c r="B1429"/>
      <c r="C1429"/>
      <c r="F1429"/>
      <c r="G1429"/>
      <c r="L1429"/>
      <c r="M1429"/>
      <c r="N1429"/>
      <c r="O1429"/>
    </row>
    <row r="1430" spans="1:15" x14ac:dyDescent="0.2">
      <c r="A1430"/>
      <c r="B1430"/>
      <c r="C1430"/>
      <c r="F1430"/>
      <c r="G1430"/>
      <c r="L1430"/>
      <c r="M1430"/>
      <c r="N1430"/>
      <c r="O1430"/>
    </row>
    <row r="1431" spans="1:15" x14ac:dyDescent="0.2">
      <c r="A1431"/>
      <c r="B1431"/>
      <c r="C1431"/>
      <c r="F1431"/>
      <c r="G1431"/>
      <c r="J1431"/>
      <c r="K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I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J1437"/>
      <c r="K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M1449"/>
      <c r="N1449"/>
      <c r="O1449"/>
    </row>
    <row r="1450" spans="1:15" x14ac:dyDescent="0.2">
      <c r="A1450"/>
      <c r="B1450"/>
      <c r="C1450"/>
      <c r="F1450"/>
      <c r="G1450"/>
      <c r="H1450"/>
      <c r="J1450"/>
      <c r="K1450"/>
      <c r="L1450"/>
      <c r="M1450"/>
      <c r="N1450"/>
      <c r="O1450"/>
    </row>
    <row r="1451" spans="1:15" x14ac:dyDescent="0.2">
      <c r="A1451"/>
      <c r="B1451"/>
      <c r="C1451"/>
      <c r="F1451"/>
      <c r="G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I1454"/>
      <c r="J1454"/>
      <c r="K1454"/>
      <c r="L1454"/>
      <c r="M1454"/>
      <c r="N1454"/>
      <c r="O1454"/>
    </row>
    <row r="1455" spans="1:15" x14ac:dyDescent="0.2">
      <c r="A1455"/>
      <c r="B1455"/>
      <c r="C1455"/>
      <c r="F1455"/>
      <c r="G1455"/>
      <c r="J1455"/>
      <c r="L1455"/>
      <c r="M1455"/>
      <c r="N1455"/>
      <c r="O1455"/>
    </row>
    <row r="1456" spans="1:15" x14ac:dyDescent="0.2">
      <c r="A1456"/>
      <c r="B1456"/>
      <c r="C1456"/>
      <c r="F1456"/>
      <c r="G1456"/>
      <c r="I1456"/>
      <c r="L1456"/>
      <c r="N1456"/>
      <c r="O1456"/>
    </row>
    <row r="1457" spans="1:15" x14ac:dyDescent="0.2">
      <c r="A1457"/>
      <c r="B1457"/>
      <c r="C1457"/>
      <c r="F1457"/>
      <c r="G1457"/>
      <c r="L1457"/>
      <c r="M1457"/>
      <c r="N1457"/>
      <c r="O1457"/>
    </row>
    <row r="1458" spans="1:15" x14ac:dyDescent="0.2">
      <c r="A1458"/>
      <c r="B1458"/>
      <c r="C1458"/>
      <c r="F1458"/>
      <c r="G1458"/>
      <c r="H1458"/>
      <c r="J1458"/>
      <c r="K1458"/>
      <c r="L1458"/>
      <c r="M1458"/>
      <c r="N1458"/>
      <c r="O1458"/>
    </row>
    <row r="1459" spans="1:15" x14ac:dyDescent="0.2">
      <c r="A1459"/>
      <c r="B1459"/>
      <c r="C1459"/>
      <c r="F1459"/>
      <c r="G1459"/>
      <c r="H1459"/>
      <c r="J1459"/>
      <c r="K1459"/>
      <c r="L1459"/>
      <c r="M1459"/>
      <c r="N1459"/>
      <c r="O1459"/>
    </row>
    <row r="1460" spans="1:15" x14ac:dyDescent="0.2">
      <c r="A1460"/>
      <c r="B1460"/>
      <c r="C1460"/>
      <c r="F1460"/>
      <c r="G1460"/>
      <c r="J1460"/>
      <c r="K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N1463"/>
      <c r="O1463"/>
    </row>
    <row r="1464" spans="1:15" x14ac:dyDescent="0.2">
      <c r="A1464"/>
      <c r="B1464"/>
      <c r="C1464"/>
      <c r="F1464"/>
      <c r="G1464"/>
      <c r="I1464"/>
      <c r="L1464"/>
      <c r="M1464"/>
      <c r="N1464"/>
      <c r="O1464"/>
    </row>
    <row r="1465" spans="1:15" x14ac:dyDescent="0.2">
      <c r="A1465"/>
      <c r="B1465"/>
      <c r="C1465"/>
      <c r="F1465"/>
      <c r="G1465"/>
      <c r="L1465"/>
      <c r="M1465"/>
      <c r="N1465"/>
      <c r="O1465"/>
    </row>
    <row r="1466" spans="1:15" x14ac:dyDescent="0.2">
      <c r="A1466"/>
      <c r="B1466"/>
      <c r="C1466"/>
      <c r="F1466"/>
      <c r="G1466"/>
      <c r="L1466"/>
      <c r="M1466"/>
      <c r="N1466"/>
      <c r="O1466"/>
    </row>
    <row r="1467" spans="1:15" x14ac:dyDescent="0.2">
      <c r="A1467"/>
      <c r="B1467"/>
      <c r="C1467"/>
      <c r="F1467"/>
      <c r="G1467"/>
      <c r="H1467"/>
      <c r="I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M1477"/>
      <c r="N1477"/>
      <c r="O1477"/>
    </row>
    <row r="1478" spans="1:15" x14ac:dyDescent="0.2">
      <c r="A1478"/>
      <c r="B1478"/>
      <c r="C1478"/>
      <c r="F1478"/>
      <c r="G1478"/>
      <c r="I1478"/>
      <c r="L1478"/>
      <c r="M1478"/>
      <c r="N1478"/>
      <c r="O1478"/>
    </row>
    <row r="1479" spans="1:15" x14ac:dyDescent="0.2">
      <c r="A1479"/>
      <c r="B1479"/>
      <c r="C1479"/>
      <c r="F1479"/>
      <c r="G1479"/>
      <c r="H1479"/>
      <c r="I1479"/>
      <c r="J1479"/>
      <c r="K1479"/>
      <c r="L1479"/>
      <c r="M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I1483"/>
      <c r="L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J1487"/>
      <c r="K1487"/>
      <c r="L1487"/>
      <c r="M1487"/>
      <c r="N1487"/>
      <c r="O1487"/>
    </row>
    <row r="1488" spans="1:15" x14ac:dyDescent="0.2">
      <c r="A1488"/>
      <c r="B1488"/>
      <c r="C1488"/>
      <c r="F1488"/>
      <c r="G1488"/>
      <c r="H1488"/>
      <c r="J1488"/>
      <c r="K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M1490"/>
      <c r="N1490"/>
      <c r="O1490"/>
    </row>
    <row r="1491" spans="1:15" x14ac:dyDescent="0.2">
      <c r="A1491"/>
      <c r="B1491"/>
      <c r="C1491"/>
      <c r="F1491"/>
      <c r="G1491"/>
      <c r="H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H1494"/>
      <c r="I1494"/>
      <c r="L1494"/>
      <c r="M1494"/>
      <c r="N1494"/>
      <c r="O1494"/>
    </row>
    <row r="1495" spans="1:15" x14ac:dyDescent="0.2">
      <c r="A1495"/>
      <c r="B1495"/>
      <c r="C1495"/>
      <c r="F1495"/>
      <c r="G1495"/>
      <c r="H1495"/>
      <c r="I1495"/>
      <c r="J1495"/>
      <c r="K1495"/>
      <c r="L1495"/>
      <c r="M1495"/>
      <c r="N1495"/>
      <c r="O1495"/>
    </row>
    <row r="1496" spans="1:15" x14ac:dyDescent="0.2">
      <c r="A1496"/>
      <c r="B1496"/>
      <c r="C1496"/>
      <c r="F1496"/>
      <c r="G1496"/>
      <c r="H1496"/>
      <c r="J1496"/>
      <c r="K1496"/>
      <c r="L1496"/>
      <c r="M1496"/>
      <c r="N1496"/>
      <c r="O1496"/>
    </row>
    <row r="1497" spans="1:15" x14ac:dyDescent="0.2">
      <c r="A1497"/>
      <c r="B1497"/>
      <c r="C1497"/>
      <c r="F1497"/>
      <c r="G1497"/>
      <c r="L1497"/>
      <c r="M1497"/>
      <c r="N1497"/>
      <c r="O1497"/>
    </row>
    <row r="1498" spans="1:15" x14ac:dyDescent="0.2">
      <c r="A1498"/>
      <c r="B1498"/>
      <c r="C1498"/>
      <c r="F1498"/>
      <c r="G1498"/>
      <c r="H1498"/>
      <c r="I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H1503"/>
      <c r="I1503"/>
      <c r="L1503"/>
      <c r="N1503"/>
      <c r="O1503"/>
    </row>
    <row r="1504" spans="1:15" x14ac:dyDescent="0.2">
      <c r="A1504"/>
      <c r="B1504"/>
      <c r="C1504"/>
      <c r="F1504"/>
      <c r="G1504"/>
      <c r="L1504"/>
      <c r="M1504"/>
      <c r="N1504"/>
      <c r="O1504"/>
    </row>
    <row r="1505" spans="1:15" x14ac:dyDescent="0.2">
      <c r="A1505"/>
      <c r="B1505"/>
      <c r="C1505"/>
      <c r="F1505"/>
      <c r="G1505"/>
      <c r="J1505"/>
      <c r="K1505"/>
      <c r="L1505"/>
      <c r="M1505"/>
      <c r="N1505"/>
      <c r="O1505"/>
    </row>
    <row r="1506" spans="1:15" x14ac:dyDescent="0.2">
      <c r="A1506"/>
      <c r="B1506"/>
      <c r="C1506"/>
      <c r="F1506"/>
      <c r="G1506"/>
      <c r="H1506"/>
      <c r="I1506"/>
      <c r="L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L1512"/>
      <c r="M1512"/>
      <c r="N1512"/>
      <c r="O1512"/>
    </row>
    <row r="1513" spans="1:15" x14ac:dyDescent="0.2">
      <c r="A1513"/>
      <c r="B1513"/>
      <c r="C1513"/>
      <c r="F1513"/>
      <c r="G1513"/>
      <c r="L1513"/>
      <c r="M1513"/>
      <c r="N1513"/>
      <c r="O1513"/>
    </row>
    <row r="1514" spans="1:15" x14ac:dyDescent="0.2">
      <c r="A1514"/>
      <c r="B1514"/>
      <c r="C1514"/>
      <c r="F1514"/>
      <c r="G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H1517"/>
      <c r="I1517"/>
      <c r="L1517"/>
      <c r="M1517"/>
      <c r="N1517"/>
      <c r="O1517"/>
    </row>
    <row r="1518" spans="1:15" x14ac:dyDescent="0.2">
      <c r="A1518"/>
      <c r="B1518"/>
      <c r="C1518"/>
      <c r="F1518"/>
      <c r="G1518"/>
      <c r="H1518"/>
      <c r="J1518"/>
      <c r="K1518"/>
      <c r="L1518"/>
      <c r="M1518"/>
      <c r="N1518"/>
      <c r="O1518"/>
    </row>
    <row r="1519" spans="1:15" x14ac:dyDescent="0.2">
      <c r="A1519"/>
      <c r="B1519"/>
      <c r="C1519"/>
      <c r="F1519"/>
      <c r="G1519"/>
      <c r="H1519"/>
      <c r="I1519"/>
      <c r="L1519"/>
      <c r="M1519"/>
      <c r="N1519"/>
      <c r="O1519"/>
    </row>
    <row r="1520" spans="1:15" x14ac:dyDescent="0.2">
      <c r="A1520"/>
      <c r="B1520"/>
      <c r="C1520"/>
      <c r="F1520"/>
      <c r="G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I1526"/>
      <c r="L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I1530"/>
      <c r="L1530"/>
      <c r="M1530"/>
      <c r="N1530"/>
      <c r="O1530"/>
    </row>
    <row r="1531" spans="1:15" x14ac:dyDescent="0.2">
      <c r="A1531"/>
      <c r="B1531"/>
      <c r="C1531"/>
      <c r="F1531"/>
      <c r="G1531"/>
      <c r="I1531"/>
      <c r="L1531"/>
      <c r="M1531"/>
      <c r="N1531"/>
      <c r="O1531"/>
    </row>
    <row r="1532" spans="1:15" x14ac:dyDescent="0.2">
      <c r="A1532"/>
      <c r="B1532"/>
      <c r="C1532"/>
      <c r="F1532"/>
      <c r="G1532"/>
      <c r="L1532"/>
      <c r="M1532"/>
      <c r="N1532"/>
      <c r="O1532"/>
    </row>
    <row r="1533" spans="1:15" x14ac:dyDescent="0.2">
      <c r="A1533"/>
      <c r="B1533"/>
      <c r="C1533"/>
      <c r="F1533"/>
      <c r="G1533"/>
      <c r="H1533"/>
      <c r="I1533"/>
      <c r="L1533"/>
      <c r="M1533"/>
      <c r="N1533"/>
      <c r="O1533"/>
    </row>
    <row r="1534" spans="1:15" x14ac:dyDescent="0.2">
      <c r="A1534"/>
      <c r="B1534"/>
      <c r="C1534"/>
      <c r="F1534"/>
      <c r="G1534"/>
      <c r="J1534"/>
      <c r="K1534"/>
      <c r="L1534"/>
      <c r="M1534"/>
      <c r="N1534"/>
      <c r="O1534"/>
    </row>
    <row r="1535" spans="1:15" x14ac:dyDescent="0.2">
      <c r="A1535"/>
      <c r="B1535"/>
      <c r="C1535"/>
      <c r="F1535"/>
      <c r="G1535"/>
      <c r="M1535"/>
      <c r="N1535"/>
      <c r="O1535"/>
    </row>
    <row r="1536" spans="1:15" x14ac:dyDescent="0.2">
      <c r="A1536"/>
      <c r="B1536"/>
      <c r="C1536"/>
      <c r="F1536"/>
      <c r="G1536"/>
      <c r="L1536"/>
      <c r="M1536"/>
      <c r="N1536"/>
      <c r="O1536"/>
    </row>
    <row r="1537" spans="1:15" x14ac:dyDescent="0.2">
      <c r="A1537"/>
      <c r="B1537"/>
      <c r="C1537"/>
      <c r="F1537"/>
      <c r="G1537"/>
      <c r="L1537"/>
      <c r="M1537"/>
      <c r="N1537"/>
      <c r="O1537"/>
    </row>
    <row r="1538" spans="1:15" x14ac:dyDescent="0.2">
      <c r="A1538"/>
      <c r="B1538"/>
      <c r="C1538"/>
      <c r="F1538"/>
      <c r="G1538"/>
      <c r="H1538"/>
      <c r="I1538"/>
      <c r="J1538"/>
      <c r="K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N1541"/>
      <c r="O1541"/>
    </row>
    <row r="1542" spans="1:15" x14ac:dyDescent="0.2">
      <c r="A1542"/>
      <c r="B1542"/>
      <c r="C1542"/>
      <c r="F1542"/>
      <c r="G1542"/>
      <c r="H1542"/>
      <c r="I1542"/>
      <c r="L1542"/>
      <c r="M1542"/>
      <c r="N1542"/>
      <c r="O1542"/>
    </row>
    <row r="1543" spans="1:15" x14ac:dyDescent="0.2">
      <c r="A1543"/>
      <c r="B1543"/>
      <c r="C1543"/>
      <c r="F1543"/>
      <c r="G1543"/>
      <c r="J1543"/>
      <c r="L1543"/>
      <c r="M1543"/>
      <c r="N1543"/>
      <c r="O1543"/>
    </row>
    <row r="1544" spans="1:15" x14ac:dyDescent="0.2">
      <c r="A1544"/>
      <c r="B1544"/>
      <c r="C1544"/>
      <c r="F1544"/>
      <c r="G1544"/>
      <c r="H1544"/>
      <c r="L1544"/>
      <c r="M1544"/>
      <c r="N1544"/>
      <c r="O1544"/>
    </row>
    <row r="1545" spans="1:15" x14ac:dyDescent="0.2">
      <c r="A1545"/>
      <c r="B1545"/>
      <c r="C1545"/>
      <c r="F1545"/>
      <c r="G1545"/>
      <c r="L1545"/>
      <c r="M1545"/>
      <c r="N1545"/>
      <c r="O1545"/>
    </row>
    <row r="1546" spans="1:15" x14ac:dyDescent="0.2">
      <c r="A1546"/>
      <c r="B1546"/>
      <c r="C1546"/>
      <c r="F1546"/>
      <c r="G1546"/>
      <c r="H1546"/>
      <c r="J1546"/>
      <c r="K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I1561"/>
      <c r="L1561"/>
      <c r="M1561"/>
      <c r="N1561"/>
      <c r="O1561"/>
    </row>
    <row r="1562" spans="1:15" x14ac:dyDescent="0.2">
      <c r="A1562"/>
      <c r="B1562"/>
      <c r="C1562"/>
      <c r="F1562"/>
      <c r="G1562"/>
      <c r="H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I1565"/>
      <c r="L1565"/>
      <c r="M1565"/>
      <c r="N1565"/>
      <c r="O1565"/>
    </row>
    <row r="1566" spans="1:15" x14ac:dyDescent="0.2">
      <c r="A1566"/>
      <c r="B1566"/>
      <c r="C1566"/>
      <c r="F1566"/>
      <c r="G1566"/>
      <c r="L1566"/>
      <c r="M1566"/>
      <c r="N1566"/>
      <c r="O1566"/>
    </row>
    <row r="1567" spans="1:15" x14ac:dyDescent="0.2">
      <c r="A1567"/>
      <c r="B1567"/>
      <c r="C1567"/>
      <c r="F1567"/>
      <c r="G1567"/>
      <c r="J1567"/>
      <c r="K1567"/>
      <c r="L1567"/>
      <c r="M1567"/>
      <c r="N1567"/>
      <c r="O1567"/>
    </row>
    <row r="1568" spans="1:15" x14ac:dyDescent="0.2">
      <c r="A1568"/>
      <c r="B1568"/>
      <c r="C1568"/>
      <c r="F1568"/>
      <c r="G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L1573"/>
      <c r="M1573"/>
      <c r="N1573"/>
      <c r="O1573"/>
    </row>
    <row r="1574" spans="1:15" x14ac:dyDescent="0.2">
      <c r="A1574"/>
      <c r="B1574"/>
      <c r="C1574"/>
      <c r="F1574"/>
      <c r="G1574"/>
      <c r="H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I1576"/>
      <c r="L1576"/>
      <c r="M1576"/>
      <c r="N1576"/>
      <c r="O1576"/>
    </row>
    <row r="1577" spans="1:15" x14ac:dyDescent="0.2">
      <c r="A1577"/>
      <c r="B1577"/>
      <c r="C1577"/>
      <c r="F1577"/>
      <c r="G1577"/>
      <c r="J1577"/>
      <c r="K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I1590"/>
      <c r="L1590"/>
      <c r="M1590"/>
      <c r="N1590"/>
      <c r="O1590"/>
    </row>
    <row r="1591" spans="1:15" x14ac:dyDescent="0.2">
      <c r="A1591"/>
      <c r="B1591"/>
      <c r="C1591"/>
      <c r="F1591"/>
      <c r="G1591"/>
      <c r="J1591"/>
      <c r="K1591"/>
      <c r="L1591"/>
      <c r="M1591"/>
      <c r="N1591"/>
      <c r="O1591"/>
    </row>
    <row r="1592" spans="1:15" x14ac:dyDescent="0.2">
      <c r="A1592"/>
      <c r="B1592"/>
      <c r="C1592"/>
      <c r="F1592"/>
      <c r="G1592"/>
      <c r="H1592"/>
      <c r="I1592"/>
      <c r="L1592"/>
      <c r="M1592"/>
      <c r="N1592"/>
      <c r="O1592"/>
    </row>
    <row r="1593" spans="1:15" x14ac:dyDescent="0.2">
      <c r="A1593"/>
      <c r="B1593"/>
      <c r="C1593"/>
      <c r="F1593"/>
      <c r="G1593"/>
      <c r="L1593"/>
      <c r="M1593"/>
      <c r="N1593"/>
      <c r="O1593"/>
    </row>
    <row r="1594" spans="1:15" x14ac:dyDescent="0.2">
      <c r="A1594"/>
      <c r="B1594"/>
      <c r="C1594"/>
      <c r="F1594"/>
      <c r="G1594"/>
      <c r="H1594"/>
      <c r="I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H1597"/>
      <c r="J1597"/>
      <c r="K1597"/>
      <c r="L1597"/>
      <c r="M1597"/>
      <c r="N1597"/>
      <c r="O1597"/>
    </row>
    <row r="1598" spans="1:15" x14ac:dyDescent="0.2">
      <c r="A1598"/>
      <c r="B1598"/>
      <c r="C1598"/>
      <c r="F1598"/>
      <c r="G1598"/>
      <c r="J1598"/>
      <c r="K1598"/>
      <c r="L1598"/>
      <c r="M1598"/>
      <c r="N1598"/>
      <c r="O1598"/>
    </row>
    <row r="1599" spans="1:15" x14ac:dyDescent="0.2">
      <c r="A1599"/>
      <c r="B1599"/>
      <c r="C1599"/>
      <c r="F1599"/>
      <c r="G1599"/>
      <c r="J1599"/>
      <c r="K1599"/>
      <c r="L1599"/>
      <c r="M1599"/>
      <c r="N1599"/>
      <c r="O1599"/>
    </row>
    <row r="1600" spans="1:15" x14ac:dyDescent="0.2">
      <c r="A1600"/>
      <c r="B1600"/>
      <c r="C1600"/>
      <c r="F1600"/>
      <c r="G1600"/>
      <c r="H1600"/>
      <c r="J1600"/>
      <c r="K1600"/>
      <c r="L1600"/>
      <c r="M1600"/>
      <c r="N1600"/>
      <c r="O1600"/>
    </row>
    <row r="1601" spans="1:15" x14ac:dyDescent="0.2">
      <c r="A1601"/>
      <c r="B1601"/>
      <c r="C1601"/>
      <c r="F1601"/>
      <c r="G1601"/>
      <c r="H1601"/>
      <c r="J1601"/>
      <c r="K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H1606"/>
      <c r="I1606"/>
      <c r="L1606"/>
      <c r="N1606"/>
      <c r="O1606"/>
    </row>
    <row r="1607" spans="1:15" x14ac:dyDescent="0.2">
      <c r="A1607"/>
      <c r="B1607"/>
      <c r="C1607"/>
      <c r="F1607"/>
      <c r="G1607"/>
      <c r="I1607"/>
      <c r="L1607"/>
      <c r="M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I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L1613"/>
      <c r="M1613"/>
      <c r="N1613"/>
      <c r="O1613"/>
    </row>
    <row r="1614" spans="1:15" x14ac:dyDescent="0.2">
      <c r="A1614"/>
      <c r="B1614"/>
      <c r="C1614"/>
      <c r="F1614"/>
      <c r="G1614"/>
      <c r="H1614"/>
      <c r="I1614"/>
      <c r="L1614"/>
      <c r="M1614"/>
      <c r="N1614"/>
      <c r="O1614"/>
    </row>
    <row r="1615" spans="1:15" x14ac:dyDescent="0.2">
      <c r="A1615"/>
      <c r="B1615"/>
      <c r="C1615"/>
      <c r="F1615"/>
      <c r="G1615"/>
      <c r="J1615"/>
      <c r="K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N1617"/>
      <c r="O1617"/>
    </row>
    <row r="1618" spans="1:15" x14ac:dyDescent="0.2">
      <c r="A1618"/>
      <c r="B1618"/>
      <c r="C1618"/>
      <c r="F1618"/>
      <c r="G1618"/>
      <c r="M1618"/>
      <c r="N1618"/>
      <c r="O1618"/>
    </row>
    <row r="1619" spans="1:15" x14ac:dyDescent="0.2">
      <c r="A1619"/>
      <c r="B1619"/>
      <c r="C1619"/>
      <c r="F1619"/>
      <c r="G1619"/>
      <c r="M1619"/>
      <c r="N1619"/>
      <c r="O1619"/>
    </row>
    <row r="1620" spans="1:15" x14ac:dyDescent="0.2">
      <c r="A1620"/>
      <c r="B1620"/>
      <c r="C1620"/>
      <c r="F1620"/>
      <c r="G1620"/>
      <c r="H1620"/>
      <c r="I1620"/>
      <c r="L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H1629"/>
      <c r="J1629"/>
      <c r="L1629"/>
      <c r="M1629"/>
      <c r="N1629"/>
      <c r="O1629"/>
    </row>
    <row r="1630" spans="1:15" x14ac:dyDescent="0.2">
      <c r="A1630"/>
      <c r="B1630"/>
      <c r="C1630"/>
      <c r="F1630"/>
      <c r="G1630"/>
      <c r="L1630"/>
      <c r="M1630"/>
      <c r="N1630"/>
      <c r="O1630"/>
    </row>
    <row r="1631" spans="1:15" x14ac:dyDescent="0.2">
      <c r="A1631"/>
      <c r="B1631"/>
      <c r="C1631"/>
      <c r="F1631"/>
      <c r="G1631"/>
      <c r="H1631"/>
      <c r="J1631"/>
      <c r="K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I1638"/>
      <c r="L1638"/>
      <c r="M1638"/>
      <c r="N1638"/>
      <c r="O1638"/>
    </row>
    <row r="1639" spans="1:15" x14ac:dyDescent="0.2">
      <c r="A1639"/>
      <c r="B1639"/>
      <c r="C1639"/>
      <c r="F1639"/>
      <c r="G1639"/>
      <c r="H1639"/>
      <c r="J1639"/>
      <c r="K1639"/>
      <c r="L1639"/>
      <c r="M1639"/>
      <c r="N1639"/>
      <c r="O1639"/>
    </row>
    <row r="1640" spans="1:15" x14ac:dyDescent="0.2">
      <c r="A1640"/>
      <c r="B1640"/>
      <c r="C1640"/>
      <c r="F1640"/>
      <c r="G1640"/>
      <c r="I1640"/>
      <c r="L1640"/>
      <c r="M1640"/>
      <c r="N1640"/>
      <c r="O1640"/>
    </row>
    <row r="1641" spans="1:15" x14ac:dyDescent="0.2">
      <c r="A1641"/>
      <c r="B1641"/>
      <c r="C1641"/>
      <c r="F1641"/>
      <c r="G1641"/>
      <c r="J1641"/>
      <c r="K1641"/>
      <c r="L1641"/>
      <c r="M1641"/>
      <c r="N1641"/>
      <c r="O1641"/>
    </row>
    <row r="1642" spans="1:15" x14ac:dyDescent="0.2">
      <c r="A1642"/>
      <c r="B1642"/>
      <c r="C1642"/>
      <c r="F1642"/>
      <c r="G1642"/>
      <c r="L1642"/>
      <c r="M1642"/>
      <c r="N1642"/>
      <c r="O1642"/>
    </row>
    <row r="1643" spans="1:15" x14ac:dyDescent="0.2">
      <c r="A1643"/>
      <c r="B1643"/>
      <c r="C1643"/>
      <c r="F1643"/>
      <c r="G1643"/>
      <c r="H1643"/>
      <c r="I1643"/>
      <c r="L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J1649"/>
      <c r="K1649"/>
      <c r="M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I1652"/>
      <c r="L1652"/>
      <c r="M1652"/>
      <c r="N1652"/>
      <c r="O1652"/>
    </row>
    <row r="1653" spans="1:15" x14ac:dyDescent="0.2">
      <c r="A1653"/>
      <c r="B1653"/>
      <c r="C1653"/>
      <c r="F1653"/>
      <c r="G1653"/>
      <c r="H1653"/>
      <c r="I1653"/>
      <c r="L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L1657"/>
      <c r="M1657"/>
      <c r="N1657"/>
      <c r="O1657"/>
    </row>
    <row r="1658" spans="1:15" x14ac:dyDescent="0.2">
      <c r="A1658"/>
      <c r="B1658"/>
      <c r="C1658"/>
      <c r="F1658"/>
      <c r="G1658"/>
      <c r="L1658"/>
      <c r="M1658"/>
      <c r="N1658"/>
      <c r="O1658"/>
    </row>
    <row r="1659" spans="1:15" x14ac:dyDescent="0.2">
      <c r="A1659"/>
      <c r="B1659"/>
      <c r="C1659"/>
      <c r="F1659"/>
      <c r="G1659"/>
      <c r="H1659"/>
      <c r="L1659"/>
      <c r="M1659"/>
      <c r="N1659"/>
      <c r="O1659"/>
    </row>
    <row r="1660" spans="1:15" x14ac:dyDescent="0.2">
      <c r="A1660"/>
      <c r="B1660"/>
      <c r="C1660"/>
      <c r="F1660"/>
      <c r="G1660"/>
      <c r="H1660"/>
      <c r="I1660"/>
      <c r="L1660"/>
      <c r="M1660"/>
      <c r="N1660"/>
      <c r="O1660"/>
    </row>
    <row r="1661" spans="1:15" x14ac:dyDescent="0.2">
      <c r="A1661"/>
      <c r="B1661"/>
      <c r="C1661"/>
      <c r="F1661"/>
      <c r="G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L1673"/>
      <c r="M1673"/>
      <c r="N1673"/>
      <c r="O1673"/>
    </row>
    <row r="1674" spans="1:15" x14ac:dyDescent="0.2">
      <c r="A1674"/>
      <c r="B1674"/>
      <c r="C1674"/>
      <c r="F1674"/>
      <c r="G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J1686"/>
      <c r="K1686"/>
      <c r="L1686"/>
      <c r="M1686"/>
      <c r="N1686"/>
      <c r="O1686"/>
    </row>
    <row r="1687" spans="1:15" x14ac:dyDescent="0.2">
      <c r="A1687"/>
      <c r="B1687"/>
      <c r="C1687"/>
      <c r="F1687"/>
      <c r="G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J1690"/>
      <c r="K1690"/>
      <c r="L1690"/>
      <c r="M1690"/>
      <c r="N1690"/>
      <c r="O1690"/>
    </row>
    <row r="1691" spans="1:15" x14ac:dyDescent="0.2">
      <c r="A1691"/>
      <c r="B1691"/>
      <c r="C1691"/>
      <c r="F1691"/>
      <c r="G1691"/>
      <c r="H1691"/>
      <c r="J1691"/>
      <c r="K1691"/>
      <c r="L1691"/>
      <c r="M1691"/>
      <c r="N1691"/>
      <c r="O1691"/>
    </row>
    <row r="1692" spans="1:15" x14ac:dyDescent="0.2">
      <c r="A1692"/>
      <c r="B1692"/>
      <c r="C1692"/>
      <c r="F1692"/>
      <c r="G1692"/>
      <c r="H1692"/>
      <c r="J1692"/>
      <c r="K1692"/>
      <c r="L1692"/>
      <c r="M1692"/>
      <c r="N1692"/>
      <c r="O1692"/>
    </row>
    <row r="1693" spans="1:15" x14ac:dyDescent="0.2">
      <c r="A1693"/>
      <c r="B1693"/>
      <c r="C1693"/>
      <c r="F1693"/>
      <c r="G1693"/>
      <c r="H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L1695"/>
      <c r="M1695"/>
      <c r="N1695"/>
      <c r="O1695"/>
    </row>
    <row r="1696" spans="1:15" x14ac:dyDescent="0.2">
      <c r="A1696"/>
      <c r="B1696"/>
      <c r="C1696"/>
      <c r="F1696"/>
      <c r="G1696"/>
      <c r="H1696"/>
      <c r="J1696"/>
      <c r="K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L1699"/>
      <c r="M1699"/>
      <c r="N1699"/>
      <c r="O1699"/>
    </row>
    <row r="1700" spans="1:15" x14ac:dyDescent="0.2">
      <c r="A1700"/>
      <c r="B1700"/>
      <c r="C1700"/>
      <c r="F1700"/>
      <c r="G1700"/>
      <c r="H1700"/>
      <c r="I1700"/>
      <c r="L1700"/>
      <c r="M1700"/>
      <c r="N1700"/>
      <c r="O1700"/>
    </row>
    <row r="1701" spans="1:15" x14ac:dyDescent="0.2">
      <c r="A1701"/>
      <c r="B1701"/>
      <c r="C1701"/>
      <c r="F1701"/>
      <c r="G1701"/>
      <c r="H1701"/>
      <c r="I1701"/>
      <c r="L1701"/>
      <c r="M1701"/>
      <c r="N1701"/>
      <c r="O1701"/>
    </row>
    <row r="1702" spans="1:15" x14ac:dyDescent="0.2">
      <c r="A1702"/>
      <c r="B1702"/>
      <c r="C1702"/>
      <c r="F1702"/>
      <c r="G1702"/>
      <c r="I1702"/>
      <c r="L1702"/>
      <c r="M1702"/>
      <c r="N1702"/>
      <c r="O1702"/>
    </row>
    <row r="1703" spans="1:15" x14ac:dyDescent="0.2">
      <c r="A1703"/>
      <c r="B1703"/>
      <c r="C1703"/>
      <c r="F1703"/>
      <c r="G1703"/>
      <c r="I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N1705"/>
      <c r="O1705"/>
    </row>
    <row r="1706" spans="1:15" x14ac:dyDescent="0.2">
      <c r="A1706"/>
      <c r="B1706"/>
      <c r="C1706"/>
      <c r="F1706"/>
      <c r="G1706"/>
      <c r="H1706"/>
      <c r="I1706"/>
      <c r="L1706"/>
      <c r="M1706"/>
      <c r="N1706"/>
      <c r="O1706"/>
    </row>
    <row r="1707" spans="1:15" x14ac:dyDescent="0.2">
      <c r="A1707"/>
      <c r="B1707"/>
      <c r="C1707"/>
      <c r="F1707"/>
      <c r="G1707"/>
      <c r="H1707"/>
      <c r="I1707"/>
      <c r="L1707"/>
      <c r="N1707"/>
      <c r="O1707"/>
    </row>
    <row r="1708" spans="1:15" x14ac:dyDescent="0.2">
      <c r="A1708"/>
      <c r="B1708"/>
      <c r="C1708"/>
      <c r="F1708"/>
      <c r="G1708"/>
      <c r="L1708"/>
      <c r="M1708"/>
      <c r="N1708"/>
      <c r="O1708"/>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5zWv/ErvOK1cbxSwXS/wObL7fZu84O7TlW9r47oCqoqvRkjc4/qLIX+sBhE0kZcuejJ8pp4MskVOwSJjcqw9nA==" saltValue="nfZUqAAwg+DX8lpyrda/nQ=="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cdjkloAqZajYO6zuEgmbUZgdlt4dg5tzw+rvmTxvGkRmtty/hHenbNFq9R2pf6QQlTFhiDWRN9GpYRlU5JlHuA==" saltValue="4Ouz54BhU/pZpK8X2FUNag=="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ETEb76AM9uJ0o5+zZ8b5fzPGX8u1OnZCigOmj92jHnMRM4D1qd3Sgmr/72tx/VFLp/pDaBV4S9LSb3sgFlCbuA==" saltValue="+Wc0cV62fnU91YM20jm2o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fZ/Mbtt3i9hUvpHAKAf5TqmEbEIcA+w0ruwIu6g3zMSwtwyvpr5oc8iT51NntjyUZhz121NZnqORk96avgsCgQ==" saltValue="5QLHht0y+PA2k68eS2zpZg==" spinCount="100000" sheet="1" scenarios="1" selectLockedCells="1" autoFilter="0"/>
  <mergeCells count="2">
    <mergeCell ref="D32:M34"/>
    <mergeCell ref="C37:M40"/>
  </mergeCells>
  <phoneticPr fontId="21"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336</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6" t="s">
        <v>273</v>
      </c>
      <c r="I28" s="616"/>
      <c r="J28" s="616"/>
      <c r="K28" s="616"/>
      <c r="L28" s="616"/>
      <c r="M28" s="616"/>
      <c r="N28" s="616"/>
      <c r="O28" s="616"/>
      <c r="P28" s="616"/>
      <c r="Q28" s="616"/>
      <c r="R28" s="616"/>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24" t="s">
        <v>275</v>
      </c>
      <c r="K29" s="625"/>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17" t="s">
        <v>263</v>
      </c>
      <c r="I30" s="617"/>
      <c r="J30" s="626" t="s">
        <v>304</v>
      </c>
      <c r="K30" s="627"/>
      <c r="L30" s="628"/>
      <c r="M30" s="253"/>
      <c r="O30" s="618" t="s">
        <v>307</v>
      </c>
      <c r="P30" s="619"/>
      <c r="Q30" s="620"/>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41" t="s">
        <v>312</v>
      </c>
      <c r="K31" s="642"/>
      <c r="L31" s="643"/>
      <c r="M31" s="254" t="str">
        <f>IF(Main!S49="","",Main!S49)</f>
        <v/>
      </c>
      <c r="O31" s="508" t="s">
        <v>314</v>
      </c>
      <c r="P31" s="509"/>
      <c r="Q31" s="621"/>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32" t="s">
        <v>266</v>
      </c>
      <c r="K32" s="633"/>
      <c r="L32" s="634"/>
      <c r="M32" s="249"/>
      <c r="O32" s="632" t="s">
        <v>266</v>
      </c>
      <c r="P32" s="633"/>
      <c r="Q32" s="634"/>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32" t="s">
        <v>266</v>
      </c>
      <c r="K34" s="633"/>
      <c r="L34" s="634"/>
      <c r="O34" s="632" t="s">
        <v>266</v>
      </c>
      <c r="P34" s="633"/>
      <c r="Q34" s="634"/>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5" t="s">
        <v>316</v>
      </c>
      <c r="K35" s="636"/>
      <c r="L35" s="637"/>
      <c r="M35" s="256" t="str">
        <f>IF(Main!S53="","",Main!S53)</f>
        <v/>
      </c>
      <c r="O35" s="635" t="s">
        <v>317</v>
      </c>
      <c r="P35" s="636"/>
      <c r="Q35" s="63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8"/>
      <c r="K36" s="639"/>
      <c r="L36" s="640"/>
      <c r="M36" s="252"/>
      <c r="O36" s="638"/>
      <c r="P36" s="639"/>
      <c r="Q36" s="64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S/UH81DH7V7L17ZkzXBNnMvI69wvizamFv3xbjCoJ3NTr+FAmZPacVWpXNFztm8UNu3xnf8XS9DWY1SQMSCeRw==" saltValue="utyMNps2FZGjkE4p/leIQA=="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lALqlBcIkjUj2Jpdlk00ohQvt3G4kL5obDpkYSu9sJwEozeeM22J9hww9iRnH3dCUUMeX/zsVBuCZhMH2TmHXw==" saltValue="aCvKQDbut2BbO93G+/ADG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325</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326</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324</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Wytfx/4cMsWl6HE+p53L6Le7ui0xza+kZeRMj7eQxUqcuy90ILbGXGT7YRzDdi9K89aSKkf8DSl0xcqR1TDqw==" saltValue="vVNAiCTZc1NZ4Mfe7oDfY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85</vt:i4>
      </vt:variant>
    </vt:vector>
  </HeadingPairs>
  <TitlesOfParts>
    <vt:vector size="112"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2026-03-28T01:33:16Z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