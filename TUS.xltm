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470D6B9-C06F-4AC4-AEFB-EC1C058F7040}" xr6:coauthVersionLast="47" xr6:coauthVersionMax="47" xr10:uidLastSave="{00000000-0000-0000-0000-000000000000}"/>
  <bookViews>
    <workbookView xWindow="-120" yWindow="-120" windowWidth="29040" windowHeight="15720" tabRatio="892" firstSheet="4" activeTab="4"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r:id="rId5"/>
    <sheet name="AllDaqbookOffsets" sheetId="78" state="hidden" r:id="rId6"/>
    <sheet name="UncBudgets" sheetId="86" r:id="rId7"/>
    <sheet name="CMCs" sheetId="85"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 i="90" l="1" a="1"/>
  <c r="K5" i="90" s="1"/>
  <c r="E4" i="85"/>
  <c r="K8" i="90" s="1" a="1"/>
  <c r="K8" i="90" s="1"/>
  <c r="E5" i="85"/>
  <c r="E6" i="85"/>
  <c r="E7" i="85"/>
  <c r="E8" i="85"/>
  <c r="E9" i="85"/>
  <c r="E10" i="85"/>
  <c r="E11" i="85"/>
  <c r="E12" i="85"/>
  <c r="E13" i="8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K3" i="95" s="1"/>
  <c r="J4" i="95"/>
  <c r="J5" i="95"/>
  <c r="J6" i="95"/>
  <c r="J7" i="95"/>
  <c r="K7" i="95" s="1"/>
  <c r="J8" i="95"/>
  <c r="J9" i="95"/>
  <c r="J10" i="95"/>
  <c r="J11" i="95"/>
  <c r="J12" i="95"/>
  <c r="J13" i="95"/>
  <c r="J14" i="95"/>
  <c r="J15" i="95"/>
  <c r="K15" i="95" s="1"/>
  <c r="J16" i="95"/>
  <c r="J17" i="95"/>
  <c r="J18" i="95"/>
  <c r="J19" i="95"/>
  <c r="J20" i="95"/>
  <c r="J21" i="95"/>
  <c r="J22" i="95"/>
  <c r="K22" i="95" s="1"/>
  <c r="J23" i="95"/>
  <c r="K23" i="95" s="1"/>
  <c r="J24" i="95"/>
  <c r="K24" i="95" s="1"/>
  <c r="J25" i="95"/>
  <c r="J26" i="95"/>
  <c r="J27" i="95"/>
  <c r="K27" i="95" s="1"/>
  <c r="J28" i="95"/>
  <c r="K28" i="95" s="1"/>
  <c r="J29" i="95"/>
  <c r="K29" i="95" s="1"/>
  <c r="J30" i="95"/>
  <c r="K30" i="95" s="1"/>
  <c r="J31" i="95"/>
  <c r="J32" i="95"/>
  <c r="J33" i="95"/>
  <c r="K33" i="95" s="1"/>
  <c r="J34" i="95"/>
  <c r="J35" i="95"/>
  <c r="K35" i="95" s="1"/>
  <c r="J36" i="95"/>
  <c r="J37" i="95"/>
  <c r="J38" i="95"/>
  <c r="K38" i="95" s="1"/>
  <c r="J39" i="95"/>
  <c r="K39" i="95" s="1"/>
  <c r="J40" i="95"/>
  <c r="J41" i="95"/>
  <c r="J42" i="95"/>
  <c r="J43" i="95"/>
  <c r="J44" i="95"/>
  <c r="J45" i="95"/>
  <c r="J46" i="95"/>
  <c r="K46" i="95" s="1"/>
  <c r="J47" i="95"/>
  <c r="J48" i="95"/>
  <c r="J49" i="95"/>
  <c r="J50" i="95"/>
  <c r="J51" i="95"/>
  <c r="J52" i="95"/>
  <c r="J53" i="95"/>
  <c r="J54" i="95"/>
  <c r="J55" i="95"/>
  <c r="J56" i="95"/>
  <c r="K56" i="95" s="1"/>
  <c r="J57" i="95"/>
  <c r="J58" i="95"/>
  <c r="K58" i="95" s="1"/>
  <c r="J59" i="95"/>
  <c r="K59" i="95" s="1"/>
  <c r="J60" i="95"/>
  <c r="K60" i="95" s="1"/>
  <c r="J61" i="95"/>
  <c r="K61" i="95" s="1"/>
  <c r="J62" i="95"/>
  <c r="K62" i="95" s="1"/>
  <c r="J63" i="95"/>
  <c r="J64" i="95"/>
  <c r="J65" i="95"/>
  <c r="K65" i="95" s="1"/>
  <c r="J66" i="95"/>
  <c r="J67" i="95"/>
  <c r="K67" i="95" s="1"/>
  <c r="J68" i="95"/>
  <c r="J69" i="95"/>
  <c r="J70" i="95"/>
  <c r="J71" i="95"/>
  <c r="K71" i="95" s="1"/>
  <c r="J72" i="95"/>
  <c r="J73" i="95"/>
  <c r="J74" i="95"/>
  <c r="J75" i="95"/>
  <c r="J76" i="95"/>
  <c r="J77" i="95"/>
  <c r="K77" i="95" s="1"/>
  <c r="J78" i="95"/>
  <c r="K78" i="95" s="1"/>
  <c r="J79" i="95"/>
  <c r="K79" i="95" s="1"/>
  <c r="J80" i="95"/>
  <c r="K80" i="95" s="1"/>
  <c r="J81" i="95"/>
  <c r="K81" i="95" s="1"/>
  <c r="J82" i="95"/>
  <c r="J83" i="95"/>
  <c r="J84" i="95"/>
  <c r="J85" i="95"/>
  <c r="J86" i="95"/>
  <c r="J87" i="95"/>
  <c r="J88" i="95"/>
  <c r="K88" i="95" s="1"/>
  <c r="J89" i="95"/>
  <c r="K89" i="95" s="1"/>
  <c r="J90" i="95"/>
  <c r="J91" i="95"/>
  <c r="K91" i="95" s="1"/>
  <c r="J92" i="95"/>
  <c r="K92" i="95" s="1"/>
  <c r="J93" i="95"/>
  <c r="K93" i="95" s="1"/>
  <c r="J94" i="95"/>
  <c r="K94" i="95" s="1"/>
  <c r="J95" i="95"/>
  <c r="J96" i="95"/>
  <c r="J97" i="95"/>
  <c r="K97" i="95" s="1"/>
  <c r="J98" i="95"/>
  <c r="J99" i="95"/>
  <c r="K99" i="95" s="1"/>
  <c r="J100" i="95"/>
  <c r="J101" i="95"/>
  <c r="J102" i="95"/>
  <c r="J103" i="95"/>
  <c r="K103" i="95" s="1"/>
  <c r="J104" i="95"/>
  <c r="J105" i="95"/>
  <c r="J106" i="95"/>
  <c r="J107" i="95"/>
  <c r="J108" i="95"/>
  <c r="J109" i="95"/>
  <c r="J110" i="95"/>
  <c r="K110" i="95" s="1"/>
  <c r="J111" i="95"/>
  <c r="J112" i="95"/>
  <c r="J113" i="95"/>
  <c r="J114" i="95"/>
  <c r="J115" i="95"/>
  <c r="J116" i="95"/>
  <c r="K116" i="95" s="1"/>
  <c r="J117" i="95"/>
  <c r="J118" i="95"/>
  <c r="K118" i="95" s="1"/>
  <c r="J119" i="95"/>
  <c r="K119" i="95" s="1"/>
  <c r="J120" i="95"/>
  <c r="K120" i="95" s="1"/>
  <c r="J121" i="95"/>
  <c r="K121" i="95" s="1"/>
  <c r="J122" i="95"/>
  <c r="K122" i="95" s="1"/>
  <c r="J123" i="95"/>
  <c r="J124" i="95"/>
  <c r="K124" i="95" s="1"/>
  <c r="J125" i="95"/>
  <c r="K125" i="95" s="1"/>
  <c r="J126" i="95"/>
  <c r="K126" i="95" s="1"/>
  <c r="J127" i="95"/>
  <c r="J128" i="95"/>
  <c r="J129" i="95"/>
  <c r="K129" i="95" s="1"/>
  <c r="J130" i="95"/>
  <c r="J131" i="95"/>
  <c r="K131" i="95" s="1"/>
  <c r="J132" i="95"/>
  <c r="J133" i="95"/>
  <c r="J134" i="95"/>
  <c r="J135" i="95"/>
  <c r="J136" i="95"/>
  <c r="J137" i="95"/>
  <c r="J138" i="95"/>
  <c r="K138" i="95" s="1"/>
  <c r="J139" i="95"/>
  <c r="J140" i="95"/>
  <c r="J141" i="95"/>
  <c r="J142" i="95"/>
  <c r="K142" i="95" s="1"/>
  <c r="J143" i="95"/>
  <c r="J144" i="95"/>
  <c r="J145" i="95"/>
  <c r="J146" i="95"/>
  <c r="J147" i="95"/>
  <c r="J148" i="95"/>
  <c r="K148" i="95" s="1"/>
  <c r="J149" i="95"/>
  <c r="J150" i="95"/>
  <c r="J151" i="95"/>
  <c r="J152" i="95"/>
  <c r="K152" i="95" s="1"/>
  <c r="J153" i="95"/>
  <c r="J154" i="95"/>
  <c r="J155" i="95"/>
  <c r="J156" i="95"/>
  <c r="K156" i="95" s="1"/>
  <c r="J157" i="95"/>
  <c r="K157" i="95" s="1"/>
  <c r="J158" i="95"/>
  <c r="K158" i="95" s="1"/>
  <c r="J159" i="95"/>
  <c r="J160" i="95"/>
  <c r="J161" i="95"/>
  <c r="K161" i="95" s="1"/>
  <c r="J162" i="95"/>
  <c r="J163" i="95"/>
  <c r="K163" i="95" s="1"/>
  <c r="J164" i="95"/>
  <c r="K164" i="95" s="1"/>
  <c r="J165" i="95"/>
  <c r="K165" i="95" s="1"/>
  <c r="J166" i="95"/>
  <c r="J167" i="95"/>
  <c r="K167" i="95" s="1"/>
  <c r="J168" i="95"/>
  <c r="J169" i="95"/>
  <c r="J170" i="95"/>
  <c r="K170" i="95" s="1"/>
  <c r="J171" i="95"/>
  <c r="J172" i="95"/>
  <c r="J173" i="95"/>
  <c r="J174" i="95"/>
  <c r="K174" i="95" s="1"/>
  <c r="J175" i="95"/>
  <c r="K175" i="95" s="1"/>
  <c r="J176" i="95"/>
  <c r="J177" i="95"/>
  <c r="J178" i="95"/>
  <c r="J179" i="95"/>
  <c r="J180" i="95"/>
  <c r="J181" i="95"/>
  <c r="J182" i="95"/>
  <c r="K182" i="95" s="1"/>
  <c r="J183" i="95"/>
  <c r="J184" i="95"/>
  <c r="K184" i="95" s="1"/>
  <c r="J185" i="95"/>
  <c r="J186" i="95"/>
  <c r="K186" i="95" s="1"/>
  <c r="J187" i="95"/>
  <c r="K187" i="95" s="1"/>
  <c r="J188" i="95"/>
  <c r="K188" i="95" s="1"/>
  <c r="J189" i="95"/>
  <c r="K189" i="95" s="1"/>
  <c r="J190" i="95"/>
  <c r="K190" i="95" s="1"/>
  <c r="J191" i="95"/>
  <c r="J192" i="95"/>
  <c r="J193" i="95"/>
  <c r="K193" i="95" s="1"/>
  <c r="J194" i="95"/>
  <c r="J195" i="95"/>
  <c r="K195" i="95" s="1"/>
  <c r="J196" i="95"/>
  <c r="J197" i="95"/>
  <c r="J198" i="95"/>
  <c r="J199" i="95"/>
  <c r="J200" i="95"/>
  <c r="J201" i="95"/>
  <c r="J202" i="95"/>
  <c r="J203" i="95"/>
  <c r="J204" i="95"/>
  <c r="K204" i="95" s="1"/>
  <c r="J205" i="95"/>
  <c r="K205" i="95" s="1"/>
  <c r="J206" i="95"/>
  <c r="K206" i="95" s="1"/>
  <c r="J207" i="95"/>
  <c r="K207" i="95" s="1"/>
  <c r="J208" i="95"/>
  <c r="K208" i="95" s="1"/>
  <c r="J209" i="95"/>
  <c r="J210" i="95"/>
  <c r="J211" i="95"/>
  <c r="J212" i="95"/>
  <c r="J213" i="95"/>
  <c r="J214" i="95"/>
  <c r="K214" i="95" s="1"/>
  <c r="J215" i="95"/>
  <c r="J216" i="95"/>
  <c r="K216" i="95" s="1"/>
  <c r="J217" i="95"/>
  <c r="J218" i="95"/>
  <c r="K218" i="95" s="1"/>
  <c r="J219" i="95"/>
  <c r="J220" i="95"/>
  <c r="K220" i="95" s="1"/>
  <c r="J221" i="95"/>
  <c r="K221" i="95" s="1"/>
  <c r="J222" i="95"/>
  <c r="K222" i="95" s="1"/>
  <c r="J223" i="95"/>
  <c r="J224" i="95"/>
  <c r="J225" i="95"/>
  <c r="K225" i="95" s="1"/>
  <c r="J226" i="95"/>
  <c r="J227" i="95"/>
  <c r="K227" i="95" s="1"/>
  <c r="J228" i="95"/>
  <c r="J229" i="95"/>
  <c r="J230" i="95"/>
  <c r="J231" i="95"/>
  <c r="K231" i="95" s="1"/>
  <c r="J232" i="95"/>
  <c r="J233" i="95"/>
  <c r="J234" i="95"/>
  <c r="K234" i="95" s="1"/>
  <c r="J235" i="95"/>
  <c r="J236" i="95"/>
  <c r="J237" i="95"/>
  <c r="J238" i="95"/>
  <c r="K238" i="95" s="1"/>
  <c r="J239" i="95"/>
  <c r="J240" i="95"/>
  <c r="J241" i="95"/>
  <c r="J242" i="95"/>
  <c r="J243" i="95"/>
  <c r="J244" i="95"/>
  <c r="J245" i="95"/>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K257" i="95" s="1"/>
  <c r="J258" i="95"/>
  <c r="J259" i="95"/>
  <c r="K259" i="95" s="1"/>
  <c r="J260" i="95"/>
  <c r="J261" i="95"/>
  <c r="J262" i="95"/>
  <c r="J263" i="95"/>
  <c r="K263" i="95" s="1"/>
  <c r="J264" i="95"/>
  <c r="K264" i="95" s="1"/>
  <c r="J265" i="95"/>
  <c r="J266" i="95"/>
  <c r="K266" i="95" s="1"/>
  <c r="J267" i="95"/>
  <c r="J268" i="95"/>
  <c r="J269" i="95"/>
  <c r="J270" i="95"/>
  <c r="K270" i="95" s="1"/>
  <c r="J271" i="95"/>
  <c r="J272" i="95"/>
  <c r="J273" i="95"/>
  <c r="J274" i="95"/>
  <c r="J275" i="95"/>
  <c r="J276" i="95"/>
  <c r="J277" i="95"/>
  <c r="J278" i="95"/>
  <c r="K278" i="95" s="1"/>
  <c r="J279" i="95"/>
  <c r="J280" i="95"/>
  <c r="K280" i="95" s="1"/>
  <c r="J281" i="95"/>
  <c r="J282" i="95"/>
  <c r="K282" i="95" s="1"/>
  <c r="J283" i="95"/>
  <c r="K283" i="95" s="1"/>
  <c r="J284" i="95"/>
  <c r="K284" i="95" s="1"/>
  <c r="J285" i="95"/>
  <c r="K285" i="95" s="1"/>
  <c r="J286" i="95"/>
  <c r="K286" i="95" s="1"/>
  <c r="J287" i="95"/>
  <c r="J288" i="95"/>
  <c r="J289" i="95"/>
  <c r="K289" i="95" s="1"/>
  <c r="J290" i="95"/>
  <c r="J291" i="95"/>
  <c r="K291" i="95" s="1"/>
  <c r="J292" i="95"/>
  <c r="J293" i="95"/>
  <c r="J294" i="95"/>
  <c r="K294" i="95" s="1"/>
  <c r="J295" i="95"/>
  <c r="K295" i="95" s="1"/>
  <c r="J296" i="95"/>
  <c r="K296" i="95" s="1"/>
  <c r="J297" i="95"/>
  <c r="K297" i="95" s="1"/>
  <c r="J298" i="95"/>
  <c r="K298" i="95" s="1"/>
  <c r="J299" i="95"/>
  <c r="J300" i="95"/>
  <c r="J301" i="95"/>
  <c r="J302" i="95"/>
  <c r="K302" i="95" s="1"/>
  <c r="J303" i="95"/>
  <c r="J304" i="95"/>
  <c r="J305" i="95"/>
  <c r="K305" i="95" s="1"/>
  <c r="J306" i="95"/>
  <c r="J307" i="95"/>
  <c r="J308" i="95"/>
  <c r="J309" i="95"/>
  <c r="J310" i="95"/>
  <c r="J311" i="95"/>
  <c r="J312" i="95"/>
  <c r="K312" i="95" s="1"/>
  <c r="J313" i="95"/>
  <c r="J314" i="95"/>
  <c r="K314" i="95" s="1"/>
  <c r="J315" i="95"/>
  <c r="K315" i="95" s="1"/>
  <c r="J316" i="95"/>
  <c r="K316" i="95" s="1"/>
  <c r="J317" i="95"/>
  <c r="K317" i="95" s="1"/>
  <c r="J318" i="95"/>
  <c r="K318" i="95" s="1"/>
  <c r="J319" i="95"/>
  <c r="J320" i="95"/>
  <c r="J321" i="95"/>
  <c r="J322" i="95"/>
  <c r="J323" i="95"/>
  <c r="K323" i="95" s="1"/>
  <c r="J324" i="95"/>
  <c r="J325" i="95"/>
  <c r="J326" i="95"/>
  <c r="J327" i="95"/>
  <c r="K327" i="95" s="1"/>
  <c r="J328" i="95"/>
  <c r="J329" i="95"/>
  <c r="J330" i="95"/>
  <c r="K330" i="95" s="1"/>
  <c r="J331" i="95"/>
  <c r="J332" i="95"/>
  <c r="J333" i="95"/>
  <c r="J334" i="95"/>
  <c r="K334" i="95" s="1"/>
  <c r="J335" i="95"/>
  <c r="J336" i="95"/>
  <c r="J337" i="95"/>
  <c r="K337" i="95" s="1"/>
  <c r="J338" i="95"/>
  <c r="K338" i="95" s="1"/>
  <c r="J339" i="95"/>
  <c r="J340" i="95"/>
  <c r="K340" i="95" s="1"/>
  <c r="J341" i="95"/>
  <c r="J342" i="95"/>
  <c r="K342" i="95" s="1"/>
  <c r="J343" i="95"/>
  <c r="J344" i="95"/>
  <c r="K344" i="95" s="1"/>
  <c r="J345" i="95"/>
  <c r="J346" i="95"/>
  <c r="J347" i="95"/>
  <c r="J348" i="95"/>
  <c r="K348" i="95" s="1"/>
  <c r="J349" i="95"/>
  <c r="K349" i="95" s="1"/>
  <c r="J350" i="95"/>
  <c r="K350" i="95" s="1"/>
  <c r="J351" i="95"/>
  <c r="J352" i="95"/>
  <c r="J353" i="95"/>
  <c r="K353" i="95" s="1"/>
  <c r="J354" i="95"/>
  <c r="J355" i="95"/>
  <c r="K355" i="95" s="1"/>
  <c r="J356" i="95"/>
  <c r="J357" i="95"/>
  <c r="J358" i="95"/>
  <c r="J359" i="95"/>
  <c r="K359" i="95" s="1"/>
  <c r="J360" i="95"/>
  <c r="J361" i="95"/>
  <c r="J362" i="95"/>
  <c r="J363" i="95"/>
  <c r="J364" i="95"/>
  <c r="K364" i="95" s="1"/>
  <c r="J365" i="95"/>
  <c r="J366" i="95"/>
  <c r="K366" i="95" s="1"/>
  <c r="J367" i="95"/>
  <c r="J368" i="95"/>
  <c r="J369" i="95"/>
  <c r="J370" i="95"/>
  <c r="J371" i="95"/>
  <c r="J372" i="95"/>
  <c r="J373" i="95"/>
  <c r="J374" i="95"/>
  <c r="K374" i="95" s="1"/>
  <c r="J375" i="95"/>
  <c r="J376" i="95"/>
  <c r="K376" i="95" s="1"/>
  <c r="J377" i="95"/>
  <c r="J378" i="95"/>
  <c r="J379" i="95"/>
  <c r="K379" i="95" s="1"/>
  <c r="J380" i="95"/>
  <c r="K380" i="95" s="1"/>
  <c r="J381" i="95"/>
  <c r="K381" i="95" s="1"/>
  <c r="J382" i="95"/>
  <c r="K382" i="95" s="1"/>
  <c r="J383" i="95"/>
  <c r="J384" i="95"/>
  <c r="K384" i="95" s="1"/>
  <c r="J385" i="95"/>
  <c r="K385" i="95" s="1"/>
  <c r="J386" i="95"/>
  <c r="J387" i="95"/>
  <c r="K387" i="95" s="1"/>
  <c r="J388" i="95"/>
  <c r="K388" i="95" s="1"/>
  <c r="J389" i="95"/>
  <c r="J390" i="95"/>
  <c r="J391" i="95"/>
  <c r="K391" i="95" s="1"/>
  <c r="J392" i="95"/>
  <c r="J393" i="95"/>
  <c r="J394" i="95"/>
  <c r="K394" i="95" s="1"/>
  <c r="J395" i="95"/>
  <c r="K395" i="95" s="1"/>
  <c r="J396" i="95"/>
  <c r="J397" i="95"/>
  <c r="J398" i="95"/>
  <c r="K398" i="95" s="1"/>
  <c r="J399" i="95"/>
  <c r="J400" i="95"/>
  <c r="J401" i="95"/>
  <c r="J402" i="95"/>
  <c r="J403" i="95"/>
  <c r="J404" i="95"/>
  <c r="J405" i="95"/>
  <c r="J406" i="95"/>
  <c r="K406" i="95" s="1"/>
  <c r="J407" i="95"/>
  <c r="J408" i="95"/>
  <c r="K408" i="95" s="1"/>
  <c r="J409" i="95"/>
  <c r="J410" i="95"/>
  <c r="K410" i="95" s="1"/>
  <c r="J411" i="95"/>
  <c r="K411" i="95" s="1"/>
  <c r="J412" i="95"/>
  <c r="K412" i="95" s="1"/>
  <c r="J413" i="95"/>
  <c r="K413" i="95" s="1"/>
  <c r="J414" i="95"/>
  <c r="K414" i="95" s="1"/>
  <c r="J415" i="95"/>
  <c r="J416" i="95"/>
  <c r="J417" i="95"/>
  <c r="K417" i="95" s="1"/>
  <c r="J418" i="95"/>
  <c r="J419" i="95"/>
  <c r="K419" i="95" s="1"/>
  <c r="J420" i="95"/>
  <c r="K2" i="95"/>
  <c r="K4" i="95"/>
  <c r="K5" i="95"/>
  <c r="K6" i="95"/>
  <c r="K8" i="95"/>
  <c r="K9" i="95"/>
  <c r="K10" i="95"/>
  <c r="K11" i="95"/>
  <c r="K12" i="95"/>
  <c r="K13" i="95"/>
  <c r="K14" i="95"/>
  <c r="K16" i="95"/>
  <c r="K17" i="95"/>
  <c r="K18" i="95"/>
  <c r="K19" i="95"/>
  <c r="K20" i="95"/>
  <c r="K21" i="95"/>
  <c r="K25" i="95"/>
  <c r="K26" i="95"/>
  <c r="K31" i="95"/>
  <c r="K32" i="95"/>
  <c r="K34" i="95"/>
  <c r="K36" i="95"/>
  <c r="K37" i="95"/>
  <c r="K40" i="95"/>
  <c r="K41" i="95"/>
  <c r="K42" i="95"/>
  <c r="K43" i="95"/>
  <c r="K44" i="95"/>
  <c r="K45" i="95"/>
  <c r="K47" i="95"/>
  <c r="K48" i="95"/>
  <c r="K49" i="95"/>
  <c r="K50" i="95"/>
  <c r="K51" i="95"/>
  <c r="K52" i="95"/>
  <c r="K53" i="95"/>
  <c r="K54" i="95"/>
  <c r="K55" i="95"/>
  <c r="K57" i="95"/>
  <c r="K63" i="95"/>
  <c r="K64" i="95"/>
  <c r="K66" i="95"/>
  <c r="K68" i="95"/>
  <c r="K69" i="95"/>
  <c r="K70" i="95"/>
  <c r="K72" i="95"/>
  <c r="K73" i="95"/>
  <c r="K74" i="95"/>
  <c r="K75" i="95"/>
  <c r="K76" i="95"/>
  <c r="K82" i="95"/>
  <c r="K83" i="95"/>
  <c r="K84" i="95"/>
  <c r="K85" i="95"/>
  <c r="K86" i="95"/>
  <c r="K87" i="95"/>
  <c r="K90" i="95"/>
  <c r="K95" i="95"/>
  <c r="K96" i="95"/>
  <c r="K98" i="95"/>
  <c r="K100" i="95"/>
  <c r="K101" i="95"/>
  <c r="K102" i="95"/>
  <c r="K104" i="95"/>
  <c r="K105" i="95"/>
  <c r="K106" i="95"/>
  <c r="K107" i="95"/>
  <c r="K108" i="95"/>
  <c r="K109" i="95"/>
  <c r="K111" i="95"/>
  <c r="K112" i="95"/>
  <c r="K113" i="95"/>
  <c r="K114" i="95"/>
  <c r="K115" i="95"/>
  <c r="K117" i="95"/>
  <c r="K123" i="95"/>
  <c r="K127" i="95"/>
  <c r="K128" i="95"/>
  <c r="K130" i="95"/>
  <c r="K132" i="95"/>
  <c r="K133" i="95"/>
  <c r="K134" i="95"/>
  <c r="K135" i="95"/>
  <c r="K136" i="95"/>
  <c r="K137" i="95"/>
  <c r="K139" i="95"/>
  <c r="K140" i="95"/>
  <c r="K141" i="95"/>
  <c r="K143" i="95"/>
  <c r="K144" i="95"/>
  <c r="K145" i="95"/>
  <c r="K146" i="95"/>
  <c r="K147" i="95"/>
  <c r="K149" i="95"/>
  <c r="K150" i="95"/>
  <c r="K151" i="95"/>
  <c r="K153" i="95"/>
  <c r="K154" i="95"/>
  <c r="K155" i="95"/>
  <c r="K159" i="95"/>
  <c r="K160" i="95"/>
  <c r="K162" i="95"/>
  <c r="K166" i="95"/>
  <c r="K168" i="95"/>
  <c r="K169" i="95"/>
  <c r="K171" i="95"/>
  <c r="K172" i="95"/>
  <c r="K173" i="95"/>
  <c r="K176" i="95"/>
  <c r="K177" i="95"/>
  <c r="K178" i="95"/>
  <c r="K179" i="95"/>
  <c r="K180" i="95"/>
  <c r="K181" i="95"/>
  <c r="K183" i="95"/>
  <c r="K185" i="95"/>
  <c r="K191" i="95"/>
  <c r="K192" i="95"/>
  <c r="K194" i="95"/>
  <c r="K196" i="95"/>
  <c r="K197" i="95"/>
  <c r="K198" i="95"/>
  <c r="K199" i="95"/>
  <c r="K200" i="95"/>
  <c r="K201" i="95"/>
  <c r="K202" i="95"/>
  <c r="K203" i="95"/>
  <c r="K209" i="95"/>
  <c r="K210" i="95"/>
  <c r="K211" i="95"/>
  <c r="K212" i="95"/>
  <c r="K213" i="95"/>
  <c r="K217" i="95"/>
  <c r="K219" i="95"/>
  <c r="K223" i="95"/>
  <c r="K224" i="95"/>
  <c r="K226" i="95"/>
  <c r="K228" i="95"/>
  <c r="K229" i="95"/>
  <c r="K230" i="95"/>
  <c r="K232" i="95"/>
  <c r="K233" i="95"/>
  <c r="K235" i="95"/>
  <c r="K236" i="95"/>
  <c r="K237" i="95"/>
  <c r="K239" i="95"/>
  <c r="K240" i="95"/>
  <c r="K241" i="95"/>
  <c r="K242" i="95"/>
  <c r="K243" i="95"/>
  <c r="K244" i="95"/>
  <c r="K245" i="95"/>
  <c r="K255" i="95"/>
  <c r="K258" i="95"/>
  <c r="K260" i="95"/>
  <c r="K261" i="95"/>
  <c r="K262" i="95"/>
  <c r="K265" i="95"/>
  <c r="K267" i="95"/>
  <c r="K268" i="95"/>
  <c r="K269" i="95"/>
  <c r="K271" i="95"/>
  <c r="K272" i="95"/>
  <c r="K273" i="95"/>
  <c r="K274" i="95"/>
  <c r="K275" i="95"/>
  <c r="K276" i="95"/>
  <c r="K277" i="95"/>
  <c r="K279" i="95"/>
  <c r="K281" i="95"/>
  <c r="K287" i="95"/>
  <c r="K288" i="95"/>
  <c r="K290" i="95"/>
  <c r="K292" i="95"/>
  <c r="K293" i="95"/>
  <c r="K299" i="95"/>
  <c r="K300" i="95"/>
  <c r="K301" i="95"/>
  <c r="K303" i="95"/>
  <c r="K304" i="95"/>
  <c r="K306" i="95"/>
  <c r="K307" i="95"/>
  <c r="K308" i="95"/>
  <c r="K309" i="95"/>
  <c r="K310" i="95"/>
  <c r="K311" i="95"/>
  <c r="K313" i="95"/>
  <c r="K322" i="95"/>
  <c r="K324" i="95"/>
  <c r="K325" i="95"/>
  <c r="K328" i="95"/>
  <c r="K329" i="95"/>
  <c r="K331" i="95"/>
  <c r="K332" i="95"/>
  <c r="K333" i="95"/>
  <c r="K335" i="95"/>
  <c r="K336" i="95"/>
  <c r="K339" i="95"/>
  <c r="K341" i="95"/>
  <c r="K343" i="95"/>
  <c r="K345" i="95"/>
  <c r="K346" i="95"/>
  <c r="K347" i="95"/>
  <c r="K351" i="95"/>
  <c r="K352" i="95"/>
  <c r="K354" i="95"/>
  <c r="K356" i="95"/>
  <c r="K357" i="95"/>
  <c r="K358" i="95"/>
  <c r="K360" i="95"/>
  <c r="K361" i="95"/>
  <c r="K362" i="95"/>
  <c r="K363" i="95"/>
  <c r="K365" i="95"/>
  <c r="K367" i="95"/>
  <c r="K368" i="95"/>
  <c r="K369" i="95"/>
  <c r="K370" i="95"/>
  <c r="K371" i="95"/>
  <c r="K372" i="95"/>
  <c r="K373" i="95"/>
  <c r="K375" i="95"/>
  <c r="K377" i="95"/>
  <c r="K378" i="95"/>
  <c r="K383" i="95"/>
  <c r="K386" i="95"/>
  <c r="K389" i="95"/>
  <c r="K390" i="95"/>
  <c r="K392" i="95"/>
  <c r="K393" i="95"/>
  <c r="K396" i="95"/>
  <c r="K397" i="95"/>
  <c r="K399" i="95"/>
  <c r="K400" i="95"/>
  <c r="K401" i="95"/>
  <c r="K402" i="95"/>
  <c r="K403" i="95"/>
  <c r="K404" i="95"/>
  <c r="K405" i="95"/>
  <c r="K407" i="95"/>
  <c r="K409" i="95"/>
  <c r="K415" i="95"/>
  <c r="K416" i="95"/>
  <c r="K418" i="95"/>
  <c r="K420" i="95"/>
  <c r="L2" i="95"/>
  <c r="M2" i="95" s="1"/>
  <c r="L3" i="95"/>
  <c r="M3" i="95" s="1"/>
  <c r="L4" i="95"/>
  <c r="M4" i="95" s="1"/>
  <c r="L5" i="95"/>
  <c r="L6" i="95"/>
  <c r="L7" i="95"/>
  <c r="L8" i="95"/>
  <c r="M8" i="95" s="1"/>
  <c r="L9" i="95"/>
  <c r="M9" i="95" s="1"/>
  <c r="L10" i="95"/>
  <c r="L11" i="95"/>
  <c r="L12" i="95"/>
  <c r="L13" i="95"/>
  <c r="M13" i="95" s="1"/>
  <c r="L14" i="95"/>
  <c r="M14" i="95" s="1"/>
  <c r="L15" i="95"/>
  <c r="L16" i="95"/>
  <c r="M16" i="95" s="1"/>
  <c r="L17" i="95"/>
  <c r="M17" i="95" s="1"/>
  <c r="L18" i="95"/>
  <c r="M18" i="95" s="1"/>
  <c r="L19" i="95"/>
  <c r="M19" i="95" s="1"/>
  <c r="L20" i="95"/>
  <c r="L21" i="95"/>
  <c r="L22" i="95"/>
  <c r="M22" i="95" s="1"/>
  <c r="L23" i="95"/>
  <c r="M23" i="95" s="1"/>
  <c r="L24" i="95"/>
  <c r="M24" i="95" s="1"/>
  <c r="L25" i="95"/>
  <c r="L26" i="95"/>
  <c r="L27" i="95"/>
  <c r="M27" i="95" s="1"/>
  <c r="L28" i="95"/>
  <c r="L29" i="95"/>
  <c r="M29" i="95" s="1"/>
  <c r="L30" i="95"/>
  <c r="L31" i="95"/>
  <c r="L32" i="95"/>
  <c r="M32" i="95" s="1"/>
  <c r="L33" i="95"/>
  <c r="M33" i="95" s="1"/>
  <c r="L34" i="95"/>
  <c r="M34" i="95" s="1"/>
  <c r="L35" i="95"/>
  <c r="M35" i="95" s="1"/>
  <c r="L36" i="95"/>
  <c r="M36" i="95" s="1"/>
  <c r="L37" i="95"/>
  <c r="L38" i="95"/>
  <c r="L39" i="95"/>
  <c r="L40" i="95"/>
  <c r="M40" i="95" s="1"/>
  <c r="L41" i="95"/>
  <c r="M41" i="95" s="1"/>
  <c r="L42" i="95"/>
  <c r="L43" i="95"/>
  <c r="L44" i="95"/>
  <c r="L45" i="95"/>
  <c r="L46" i="95"/>
  <c r="M46" i="95" s="1"/>
  <c r="L47" i="95"/>
  <c r="M47" i="95" s="1"/>
  <c r="L48" i="95"/>
  <c r="M48" i="95" s="1"/>
  <c r="L49" i="95"/>
  <c r="M49" i="95" s="1"/>
  <c r="L50" i="95"/>
  <c r="M50" i="95" s="1"/>
  <c r="L51" i="95"/>
  <c r="M51" i="95" s="1"/>
  <c r="L52" i="95"/>
  <c r="M52" i="95" s="1"/>
  <c r="L53" i="95"/>
  <c r="L54" i="95"/>
  <c r="M54" i="95" s="1"/>
  <c r="L55" i="95"/>
  <c r="M55" i="95" s="1"/>
  <c r="L56" i="95"/>
  <c r="M56" i="95" s="1"/>
  <c r="L57" i="95"/>
  <c r="L58" i="95"/>
  <c r="L59" i="95"/>
  <c r="M59" i="95" s="1"/>
  <c r="L60" i="95"/>
  <c r="L61" i="95"/>
  <c r="M61" i="95" s="1"/>
  <c r="L62" i="95"/>
  <c r="L63" i="95"/>
  <c r="L64" i="95"/>
  <c r="M64" i="95" s="1"/>
  <c r="L65" i="95"/>
  <c r="M65" i="95" s="1"/>
  <c r="L66" i="95"/>
  <c r="M66" i="95" s="1"/>
  <c r="L67" i="95"/>
  <c r="M67" i="95" s="1"/>
  <c r="L68" i="95"/>
  <c r="M68" i="95" s="1"/>
  <c r="L69" i="95"/>
  <c r="L70" i="95"/>
  <c r="L71" i="95"/>
  <c r="L72" i="95"/>
  <c r="M72" i="95" s="1"/>
  <c r="L73" i="95"/>
  <c r="M73" i="95" s="1"/>
  <c r="L74" i="95"/>
  <c r="L75" i="95"/>
  <c r="L76" i="95"/>
  <c r="M76" i="95" s="1"/>
  <c r="L77" i="95"/>
  <c r="M77" i="95" s="1"/>
  <c r="L78" i="95"/>
  <c r="L79" i="95"/>
  <c r="L80" i="95"/>
  <c r="M80" i="95" s="1"/>
  <c r="L81" i="95"/>
  <c r="M81" i="95" s="1"/>
  <c r="L82" i="95"/>
  <c r="M82" i="95" s="1"/>
  <c r="L83" i="95"/>
  <c r="M83" i="95" s="1"/>
  <c r="L84" i="95"/>
  <c r="L85" i="95"/>
  <c r="L86" i="95"/>
  <c r="M86" i="95" s="1"/>
  <c r="L87" i="95"/>
  <c r="M87" i="95" s="1"/>
  <c r="L88" i="95"/>
  <c r="M88" i="95" s="1"/>
  <c r="L89" i="95"/>
  <c r="L90" i="95"/>
  <c r="L91" i="95"/>
  <c r="M91" i="95" s="1"/>
  <c r="L92" i="95"/>
  <c r="L93" i="95"/>
  <c r="M93" i="95" s="1"/>
  <c r="L94" i="95"/>
  <c r="L95" i="95"/>
  <c r="L96" i="95"/>
  <c r="M96" i="95" s="1"/>
  <c r="L97" i="95"/>
  <c r="M97" i="95" s="1"/>
  <c r="L98" i="95"/>
  <c r="M98" i="95" s="1"/>
  <c r="L99" i="95"/>
  <c r="M99" i="95" s="1"/>
  <c r="L100" i="95"/>
  <c r="M100" i="95" s="1"/>
  <c r="L101" i="95"/>
  <c r="L102" i="95"/>
  <c r="L103" i="95"/>
  <c r="L104" i="95"/>
  <c r="M104" i="95" s="1"/>
  <c r="L105" i="95"/>
  <c r="M105" i="95" s="1"/>
  <c r="L106" i="95"/>
  <c r="L107" i="95"/>
  <c r="L108" i="95"/>
  <c r="M108" i="95" s="1"/>
  <c r="L109" i="95"/>
  <c r="M109" i="95" s="1"/>
  <c r="L110" i="95"/>
  <c r="L111" i="95"/>
  <c r="L112" i="95"/>
  <c r="L113" i="95"/>
  <c r="M113" i="95" s="1"/>
  <c r="L114" i="95"/>
  <c r="M114" i="95" s="1"/>
  <c r="L115" i="95"/>
  <c r="M115" i="95" s="1"/>
  <c r="L116" i="95"/>
  <c r="L117" i="95"/>
  <c r="L118" i="95"/>
  <c r="M118" i="95" s="1"/>
  <c r="L119" i="95"/>
  <c r="M119" i="95" s="1"/>
  <c r="L120" i="95"/>
  <c r="M120" i="95" s="1"/>
  <c r="L121" i="95"/>
  <c r="L122" i="95"/>
  <c r="L123" i="95"/>
  <c r="M123" i="95" s="1"/>
  <c r="L124" i="95"/>
  <c r="L125" i="95"/>
  <c r="M125" i="95" s="1"/>
  <c r="L126" i="95"/>
  <c r="M126" i="95" s="1"/>
  <c r="L127" i="95"/>
  <c r="L128" i="95"/>
  <c r="M128" i="95" s="1"/>
  <c r="L129" i="95"/>
  <c r="M129" i="95" s="1"/>
  <c r="L130" i="95"/>
  <c r="M130" i="95" s="1"/>
  <c r="L131" i="95"/>
  <c r="M131" i="95" s="1"/>
  <c r="L132" i="95"/>
  <c r="M132" i="95" s="1"/>
  <c r="L133" i="95"/>
  <c r="L134" i="95"/>
  <c r="L135" i="95"/>
  <c r="L136" i="95"/>
  <c r="M136" i="95" s="1"/>
  <c r="L137" i="95"/>
  <c r="M137" i="95" s="1"/>
  <c r="L138" i="95"/>
  <c r="L139" i="95"/>
  <c r="L140" i="95"/>
  <c r="M140" i="95" s="1"/>
  <c r="L141" i="95"/>
  <c r="M141" i="95" s="1"/>
  <c r="L142" i="95"/>
  <c r="M142" i="95" s="1"/>
  <c r="L143" i="95"/>
  <c r="L144" i="95"/>
  <c r="M144" i="95" s="1"/>
  <c r="L145" i="95"/>
  <c r="M145" i="95" s="1"/>
  <c r="L146" i="95"/>
  <c r="M146" i="95" s="1"/>
  <c r="L147" i="95"/>
  <c r="M147" i="95" s="1"/>
  <c r="L148" i="95"/>
  <c r="M148" i="95" s="1"/>
  <c r="L149" i="95"/>
  <c r="L150" i="95"/>
  <c r="M150" i="95" s="1"/>
  <c r="L151" i="95"/>
  <c r="M151" i="95" s="1"/>
  <c r="L152" i="95"/>
  <c r="M152" i="95" s="1"/>
  <c r="L153" i="95"/>
  <c r="L154" i="95"/>
  <c r="L155" i="95"/>
  <c r="M155" i="95" s="1"/>
  <c r="L156" i="95"/>
  <c r="M156" i="95" s="1"/>
  <c r="L157" i="95"/>
  <c r="M157" i="95" s="1"/>
  <c r="L158" i="95"/>
  <c r="M158" i="95" s="1"/>
  <c r="L159" i="95"/>
  <c r="L160" i="95"/>
  <c r="M160" i="95" s="1"/>
  <c r="L161" i="95"/>
  <c r="M161" i="95" s="1"/>
  <c r="L162" i="95"/>
  <c r="M162" i="95" s="1"/>
  <c r="L163" i="95"/>
  <c r="M163" i="95" s="1"/>
  <c r="L164" i="95"/>
  <c r="M164" i="95" s="1"/>
  <c r="L165" i="95"/>
  <c r="L166" i="95"/>
  <c r="L167" i="95"/>
  <c r="L168" i="95"/>
  <c r="M168" i="95" s="1"/>
  <c r="L169" i="95"/>
  <c r="M169" i="95" s="1"/>
  <c r="L170" i="95"/>
  <c r="L171" i="95"/>
  <c r="L172" i="95"/>
  <c r="M172" i="95" s="1"/>
  <c r="L173" i="95"/>
  <c r="M173" i="95" s="1"/>
  <c r="L174" i="95"/>
  <c r="L175" i="95"/>
  <c r="L176" i="95"/>
  <c r="L177" i="95"/>
  <c r="M177" i="95" s="1"/>
  <c r="L178" i="95"/>
  <c r="M178" i="95" s="1"/>
  <c r="L179" i="95"/>
  <c r="M179" i="95" s="1"/>
  <c r="L180" i="95"/>
  <c r="L181" i="95"/>
  <c r="L182" i="95"/>
  <c r="M182" i="95" s="1"/>
  <c r="L183" i="95"/>
  <c r="M183" i="95" s="1"/>
  <c r="L184" i="95"/>
  <c r="M184" i="95" s="1"/>
  <c r="L185" i="95"/>
  <c r="L186" i="95"/>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L198" i="95"/>
  <c r="L199" i="95"/>
  <c r="L200" i="95"/>
  <c r="M200" i="95" s="1"/>
  <c r="L201" i="95"/>
  <c r="L202" i="95"/>
  <c r="L203" i="95"/>
  <c r="L204" i="95"/>
  <c r="L205" i="95"/>
  <c r="M205" i="95" s="1"/>
  <c r="L206" i="95"/>
  <c r="L207" i="95"/>
  <c r="L208" i="95"/>
  <c r="L209" i="95"/>
  <c r="M209" i="95" s="1"/>
  <c r="L210" i="95"/>
  <c r="M210" i="95" s="1"/>
  <c r="L211" i="95"/>
  <c r="M211" i="95" s="1"/>
  <c r="L212" i="95"/>
  <c r="L213" i="95"/>
  <c r="M213" i="95" s="1"/>
  <c r="L214" i="95"/>
  <c r="M214" i="95" s="1"/>
  <c r="L215" i="95"/>
  <c r="M215" i="95" s="1"/>
  <c r="L216" i="95"/>
  <c r="M216" i="95" s="1"/>
  <c r="L217" i="95"/>
  <c r="L218" i="95"/>
  <c r="L219" i="95"/>
  <c r="M219" i="95" s="1"/>
  <c r="L220" i="95"/>
  <c r="L221" i="95"/>
  <c r="M221" i="95" s="1"/>
  <c r="L222" i="95"/>
  <c r="L223" i="95"/>
  <c r="L224" i="95"/>
  <c r="M224" i="95" s="1"/>
  <c r="L225" i="95"/>
  <c r="L226" i="95"/>
  <c r="M226" i="95" s="1"/>
  <c r="L227" i="95"/>
  <c r="M227" i="95" s="1"/>
  <c r="L228" i="95"/>
  <c r="M228" i="95" s="1"/>
  <c r="L229" i="95"/>
  <c r="L230" i="95"/>
  <c r="L231" i="95"/>
  <c r="M231" i="95" s="1"/>
  <c r="L232" i="95"/>
  <c r="M232" i="95" s="1"/>
  <c r="L233" i="95"/>
  <c r="M233" i="95" s="1"/>
  <c r="L234" i="95"/>
  <c r="M234" i="95" s="1"/>
  <c r="L235" i="95"/>
  <c r="L236" i="95"/>
  <c r="M236" i="95" s="1"/>
  <c r="L237" i="95"/>
  <c r="M237" i="95" s="1"/>
  <c r="L238" i="95"/>
  <c r="L239" i="95"/>
  <c r="L240" i="95"/>
  <c r="M240" i="95" s="1"/>
  <c r="L241" i="95"/>
  <c r="M241" i="95" s="1"/>
  <c r="L242" i="95"/>
  <c r="M242" i="95" s="1"/>
  <c r="L243" i="95"/>
  <c r="M243" i="95" s="1"/>
  <c r="L244" i="95"/>
  <c r="M244" i="95" s="1"/>
  <c r="L245" i="95"/>
  <c r="L246" i="95"/>
  <c r="M246" i="95" s="1"/>
  <c r="L247" i="95"/>
  <c r="M247" i="95" s="1"/>
  <c r="L248" i="95"/>
  <c r="M248" i="95" s="1"/>
  <c r="L249" i="95"/>
  <c r="L250" i="95"/>
  <c r="L251" i="95"/>
  <c r="M251" i="95" s="1"/>
  <c r="L252" i="95"/>
  <c r="L253" i="95"/>
  <c r="M253" i="95" s="1"/>
  <c r="L254" i="95"/>
  <c r="L255" i="95"/>
  <c r="L256" i="95"/>
  <c r="L257" i="95"/>
  <c r="L258" i="95"/>
  <c r="M258" i="95" s="1"/>
  <c r="L259" i="95"/>
  <c r="M259" i="95" s="1"/>
  <c r="L260" i="95"/>
  <c r="M260" i="95" s="1"/>
  <c r="L261" i="95"/>
  <c r="L262" i="95"/>
  <c r="L263" i="95"/>
  <c r="L264" i="95"/>
  <c r="M264" i="95" s="1"/>
  <c r="L265" i="95"/>
  <c r="L266" i="95"/>
  <c r="L267" i="95"/>
  <c r="L268" i="95"/>
  <c r="L269" i="95"/>
  <c r="L270" i="95"/>
  <c r="L271" i="95"/>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L283" i="95"/>
  <c r="M283" i="95" s="1"/>
  <c r="L284" i="95"/>
  <c r="M284" i="95" s="1"/>
  <c r="L285" i="95"/>
  <c r="M285" i="95" s="1"/>
  <c r="L286" i="95"/>
  <c r="M286" i="95" s="1"/>
  <c r="L287" i="95"/>
  <c r="L288" i="95"/>
  <c r="L289" i="95"/>
  <c r="M289" i="95" s="1"/>
  <c r="L290" i="95"/>
  <c r="M290" i="95" s="1"/>
  <c r="L291" i="95"/>
  <c r="M291" i="95" s="1"/>
  <c r="L292" i="95"/>
  <c r="M292" i="95" s="1"/>
  <c r="L293" i="95"/>
  <c r="L294" i="95"/>
  <c r="L295" i="95"/>
  <c r="L296" i="95"/>
  <c r="M296" i="95" s="1"/>
  <c r="L297" i="95"/>
  <c r="L298" i="95"/>
  <c r="L299" i="95"/>
  <c r="L300" i="95"/>
  <c r="M300" i="95" s="1"/>
  <c r="L301" i="95"/>
  <c r="M301" i="95" s="1"/>
  <c r="L302" i="95"/>
  <c r="L303" i="95"/>
  <c r="L304" i="95"/>
  <c r="M304" i="95" s="1"/>
  <c r="L305" i="95"/>
  <c r="M305" i="95" s="1"/>
  <c r="L306" i="95"/>
  <c r="M306" i="95" s="1"/>
  <c r="L307" i="95"/>
  <c r="M307" i="95" s="1"/>
  <c r="L308" i="95"/>
  <c r="L309" i="95"/>
  <c r="L310" i="95"/>
  <c r="M310" i="95" s="1"/>
  <c r="L311" i="95"/>
  <c r="M311" i="95" s="1"/>
  <c r="L312" i="95"/>
  <c r="M312" i="95" s="1"/>
  <c r="L313" i="95"/>
  <c r="L314" i="95"/>
  <c r="L315" i="95"/>
  <c r="M315" i="95" s="1"/>
  <c r="L316" i="95"/>
  <c r="L317" i="95"/>
  <c r="M317" i="95" s="1"/>
  <c r="L318" i="95"/>
  <c r="L319" i="95"/>
  <c r="L320" i="95"/>
  <c r="L321" i="95"/>
  <c r="M321" i="95" s="1"/>
  <c r="L322" i="95"/>
  <c r="M322" i="95" s="1"/>
  <c r="L323" i="95"/>
  <c r="M323" i="95" s="1"/>
  <c r="L324" i="95"/>
  <c r="M324" i="95" s="1"/>
  <c r="L325" i="95"/>
  <c r="L326" i="95"/>
  <c r="L327" i="95"/>
  <c r="L328" i="95"/>
  <c r="L329" i="95"/>
  <c r="M329" i="95" s="1"/>
  <c r="L330" i="95"/>
  <c r="L331" i="95"/>
  <c r="L332" i="95"/>
  <c r="M332" i="95" s="1"/>
  <c r="L333" i="95"/>
  <c r="M333" i="95" s="1"/>
  <c r="L334" i="95"/>
  <c r="L335" i="95"/>
  <c r="L336" i="95"/>
  <c r="L337" i="95"/>
  <c r="M337" i="95" s="1"/>
  <c r="L338" i="95"/>
  <c r="M338" i="95" s="1"/>
  <c r="L339" i="95"/>
  <c r="M339" i="95" s="1"/>
  <c r="L340" i="95"/>
  <c r="L341" i="95"/>
  <c r="L342" i="95"/>
  <c r="M342" i="95" s="1"/>
  <c r="L343" i="95"/>
  <c r="M343" i="95" s="1"/>
  <c r="L344" i="95"/>
  <c r="M344" i="95" s="1"/>
  <c r="L345" i="95"/>
  <c r="L346" i="95"/>
  <c r="L347" i="95"/>
  <c r="M347" i="95" s="1"/>
  <c r="L348" i="95"/>
  <c r="L349" i="95"/>
  <c r="M349" i="95" s="1"/>
  <c r="L350" i="95"/>
  <c r="M350" i="95" s="1"/>
  <c r="L351" i="95"/>
  <c r="L352" i="95"/>
  <c r="M352" i="95" s="1"/>
  <c r="L353" i="95"/>
  <c r="M353" i="95" s="1"/>
  <c r="L354" i="95"/>
  <c r="M354" i="95" s="1"/>
  <c r="L355" i="95"/>
  <c r="M355" i="95" s="1"/>
  <c r="L356" i="95"/>
  <c r="M356" i="95" s="1"/>
  <c r="L357" i="95"/>
  <c r="L358" i="95"/>
  <c r="L359" i="95"/>
  <c r="L360" i="95"/>
  <c r="M360" i="95" s="1"/>
  <c r="L361" i="95"/>
  <c r="M361" i="95" s="1"/>
  <c r="L362" i="95"/>
  <c r="L363" i="95"/>
  <c r="L364" i="95"/>
  <c r="M364" i="95" s="1"/>
  <c r="L365" i="95"/>
  <c r="M365" i="95" s="1"/>
  <c r="L366" i="95"/>
  <c r="M366" i="95" s="1"/>
  <c r="L367" i="95"/>
  <c r="L368" i="95"/>
  <c r="M368" i="95" s="1"/>
  <c r="L369" i="95"/>
  <c r="M369" i="95" s="1"/>
  <c r="L370" i="95"/>
  <c r="M370" i="95" s="1"/>
  <c r="L371" i="95"/>
  <c r="M371" i="95" s="1"/>
  <c r="L372" i="95"/>
  <c r="M372" i="95" s="1"/>
  <c r="L373" i="95"/>
  <c r="L374" i="95"/>
  <c r="M374" i="95" s="1"/>
  <c r="L375" i="95"/>
  <c r="M375" i="95" s="1"/>
  <c r="L376" i="95"/>
  <c r="M376" i="95" s="1"/>
  <c r="L377" i="95"/>
  <c r="L378" i="95"/>
  <c r="L379" i="95"/>
  <c r="M379" i="95" s="1"/>
  <c r="L380" i="95"/>
  <c r="M380" i="95" s="1"/>
  <c r="L381" i="95"/>
  <c r="M381" i="95" s="1"/>
  <c r="L382" i="95"/>
  <c r="L383" i="95"/>
  <c r="L384" i="95"/>
  <c r="M384" i="95" s="1"/>
  <c r="L385" i="95"/>
  <c r="M385" i="95" s="1"/>
  <c r="L386" i="95"/>
  <c r="M386" i="95" s="1"/>
  <c r="L387" i="95"/>
  <c r="M387" i="95" s="1"/>
  <c r="L388" i="95"/>
  <c r="M388" i="95" s="1"/>
  <c r="L389" i="95"/>
  <c r="L390" i="95"/>
  <c r="L391" i="95"/>
  <c r="L392" i="95"/>
  <c r="L393" i="95"/>
  <c r="L394" i="95"/>
  <c r="L395" i="95"/>
  <c r="L396" i="95"/>
  <c r="L397" i="95"/>
  <c r="M397" i="95" s="1"/>
  <c r="L398" i="95"/>
  <c r="L399" i="95"/>
  <c r="L400" i="95"/>
  <c r="L401" i="95"/>
  <c r="L402" i="95"/>
  <c r="M402" i="95" s="1"/>
  <c r="L403" i="95"/>
  <c r="M403" i="95" s="1"/>
  <c r="L404" i="95"/>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M416" i="95" s="1"/>
  <c r="L417" i="95"/>
  <c r="M417" i="95" s="1"/>
  <c r="L418" i="95"/>
  <c r="M418" i="95" s="1"/>
  <c r="L419" i="95"/>
  <c r="M419" i="95" s="1"/>
  <c r="L420" i="95"/>
  <c r="M420" i="95" s="1"/>
  <c r="M5" i="95"/>
  <c r="M6" i="95"/>
  <c r="M7" i="95"/>
  <c r="M10" i="95"/>
  <c r="M11" i="95"/>
  <c r="M12" i="95"/>
  <c r="M15" i="95"/>
  <c r="M20" i="95"/>
  <c r="M21" i="95"/>
  <c r="M25" i="95"/>
  <c r="M26" i="95"/>
  <c r="M28" i="95"/>
  <c r="M30" i="95"/>
  <c r="M31" i="95"/>
  <c r="M37" i="95"/>
  <c r="M38" i="95"/>
  <c r="M39" i="95"/>
  <c r="M42" i="95"/>
  <c r="M43" i="95"/>
  <c r="M44" i="95"/>
  <c r="M45" i="95"/>
  <c r="M53" i="95"/>
  <c r="M57" i="95"/>
  <c r="M58" i="95"/>
  <c r="M60" i="95"/>
  <c r="M62" i="95"/>
  <c r="M63" i="95"/>
  <c r="M69" i="95"/>
  <c r="M70" i="95"/>
  <c r="M71" i="95"/>
  <c r="M74" i="95"/>
  <c r="M75" i="95"/>
  <c r="M78" i="95"/>
  <c r="M79" i="95"/>
  <c r="M84" i="95"/>
  <c r="M85" i="95"/>
  <c r="M89" i="95"/>
  <c r="M90" i="95"/>
  <c r="M92" i="95"/>
  <c r="M94" i="95"/>
  <c r="M95" i="95"/>
  <c r="M101" i="95"/>
  <c r="M102" i="95"/>
  <c r="M103" i="95"/>
  <c r="M106" i="95"/>
  <c r="M107" i="95"/>
  <c r="M110" i="95"/>
  <c r="M111" i="95"/>
  <c r="M112" i="95"/>
  <c r="M116" i="95"/>
  <c r="M117" i="95"/>
  <c r="M121" i="95"/>
  <c r="M122" i="95"/>
  <c r="M124" i="95"/>
  <c r="M127" i="95"/>
  <c r="M133" i="95"/>
  <c r="M134" i="95"/>
  <c r="M135" i="95"/>
  <c r="M138" i="95"/>
  <c r="M139" i="95"/>
  <c r="M143" i="95"/>
  <c r="M149" i="95"/>
  <c r="M153" i="95"/>
  <c r="M154" i="95"/>
  <c r="M159" i="95"/>
  <c r="M165" i="95"/>
  <c r="M166" i="95"/>
  <c r="M167" i="95"/>
  <c r="M170" i="95"/>
  <c r="M171" i="95"/>
  <c r="M174" i="95"/>
  <c r="M175" i="95"/>
  <c r="M176" i="95"/>
  <c r="M180" i="95"/>
  <c r="M181" i="95"/>
  <c r="M185" i="95"/>
  <c r="M186" i="95"/>
  <c r="M197" i="95"/>
  <c r="M198" i="95"/>
  <c r="M199" i="95"/>
  <c r="M201" i="95"/>
  <c r="M202" i="95"/>
  <c r="M203" i="95"/>
  <c r="M204" i="95"/>
  <c r="M206" i="95"/>
  <c r="M207" i="95"/>
  <c r="M208" i="95"/>
  <c r="M212" i="95"/>
  <c r="M217" i="95"/>
  <c r="M218" i="95"/>
  <c r="M220" i="95"/>
  <c r="M222" i="95"/>
  <c r="M223" i="95"/>
  <c r="M225" i="95"/>
  <c r="M229" i="95"/>
  <c r="M230" i="95"/>
  <c r="M235" i="95"/>
  <c r="M238" i="95"/>
  <c r="M239" i="95"/>
  <c r="M245" i="95"/>
  <c r="M249" i="95"/>
  <c r="M250" i="95"/>
  <c r="M252" i="95"/>
  <c r="M254" i="95"/>
  <c r="M255" i="95"/>
  <c r="M256" i="95"/>
  <c r="M257" i="95"/>
  <c r="M261" i="95"/>
  <c r="M262" i="95"/>
  <c r="M263" i="95"/>
  <c r="M265" i="95"/>
  <c r="M266" i="95"/>
  <c r="M267" i="95"/>
  <c r="M268" i="95"/>
  <c r="M269" i="95"/>
  <c r="M270" i="95"/>
  <c r="M271" i="95"/>
  <c r="M282" i="95"/>
  <c r="M287" i="95"/>
  <c r="M288" i="95"/>
  <c r="M293" i="95"/>
  <c r="M294" i="95"/>
  <c r="M295" i="95"/>
  <c r="M297" i="95"/>
  <c r="M298" i="95"/>
  <c r="M299" i="95"/>
  <c r="M302" i="95"/>
  <c r="M303" i="95"/>
  <c r="M308" i="95"/>
  <c r="M309" i="95"/>
  <c r="M313" i="95"/>
  <c r="M314" i="95"/>
  <c r="M316" i="95"/>
  <c r="M318" i="95"/>
  <c r="M319" i="95"/>
  <c r="M320" i="95"/>
  <c r="M325" i="95"/>
  <c r="M326" i="95"/>
  <c r="M327" i="95"/>
  <c r="M328" i="95"/>
  <c r="M330" i="95"/>
  <c r="M331" i="95"/>
  <c r="M334" i="95"/>
  <c r="M335" i="95"/>
  <c r="M336" i="95"/>
  <c r="M340" i="95"/>
  <c r="M341" i="95"/>
  <c r="M345" i="95"/>
  <c r="M346" i="95"/>
  <c r="M348" i="95"/>
  <c r="M351" i="95"/>
  <c r="M357" i="95"/>
  <c r="M358" i="95"/>
  <c r="M359" i="95"/>
  <c r="M362" i="95"/>
  <c r="M363" i="95"/>
  <c r="M367" i="95"/>
  <c r="M373" i="95"/>
  <c r="M377" i="95"/>
  <c r="M378" i="95"/>
  <c r="M382" i="95"/>
  <c r="M383" i="95"/>
  <c r="M389" i="95"/>
  <c r="M390" i="95"/>
  <c r="M391" i="95"/>
  <c r="M392" i="95"/>
  <c r="M393" i="95"/>
  <c r="M394" i="95"/>
  <c r="M395" i="95"/>
  <c r="M396" i="95"/>
  <c r="M398" i="95"/>
  <c r="M399" i="95"/>
  <c r="M400" i="95"/>
  <c r="M401" i="95"/>
  <c r="M404" i="95"/>
  <c r="M415"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P13" i="74" s="1"/>
  <c r="O14" i="74"/>
  <c r="O15" i="74"/>
  <c r="P15" i="74" s="1"/>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4"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c r="L8" i="70" a="1"/>
  <c r="L8" i="70"/>
  <c r="L9" i="70" a="1"/>
  <c r="L9" i="70"/>
  <c r="L10" i="70" a="1"/>
  <c r="L10" i="70" s="1"/>
  <c r="L11" i="70" a="1"/>
  <c r="L11" i="70" s="1"/>
  <c r="L12" i="70" a="1"/>
  <c r="L12" i="70" s="1"/>
  <c r="L13" i="70" a="1"/>
  <c r="L13" i="70"/>
  <c r="L14" i="70" a="1"/>
  <c r="L14" i="70" s="1"/>
  <c r="L15" i="70" a="1"/>
  <c r="L15" i="70" s="1"/>
  <c r="L16" i="70" a="1"/>
  <c r="L16" i="70" s="1"/>
  <c r="L17" i="70" a="1"/>
  <c r="L17" i="70" s="1"/>
  <c r="L18" i="70" a="1"/>
  <c r="L18" i="70" s="1"/>
  <c r="L19" i="70" a="1"/>
  <c r="L19" i="70"/>
  <c r="L20" i="70" a="1"/>
  <c r="L20" i="70" s="1"/>
  <c r="L21" i="70" a="1"/>
  <c r="L21" i="70" s="1"/>
  <c r="L22" i="70" a="1"/>
  <c r="L22" i="70" s="1"/>
  <c r="L23" i="70" a="1"/>
  <c r="L23" i="70" s="1"/>
  <c r="L24" i="70" a="1"/>
  <c r="L24" i="70"/>
  <c r="L25" i="70" a="1"/>
  <c r="L25" i="70" s="1"/>
  <c r="L26" i="70" a="1"/>
  <c r="L26" i="70" s="1"/>
  <c r="L27" i="70" a="1"/>
  <c r="L27" i="70" s="1"/>
  <c r="L28" i="70" a="1"/>
  <c r="L28" i="70" s="1"/>
  <c r="E3" i="4"/>
  <c r="D47" i="8"/>
  <c r="M5" i="70" s="1" a="1"/>
  <c r="M5" i="70" s="1"/>
  <c r="R2" i="74"/>
  <c r="F2" i="74" s="1" a="1"/>
  <c r="F2" i="74" s="1"/>
  <c r="D14" i="8"/>
  <c r="D13" i="8"/>
  <c r="D12" i="8"/>
  <c r="D11" i="8" a="1"/>
  <c r="D11" i="8" s="1"/>
  <c r="K2" i="70"/>
  <c r="I47" i="8"/>
  <c r="H47" i="8"/>
  <c r="G47" i="8"/>
  <c r="F47" i="8"/>
  <c r="E47" i="8"/>
  <c r="G1" i="8" a="1"/>
  <c r="K215" i="95" l="1"/>
  <c r="K326" i="95"/>
  <c r="K321" i="95"/>
  <c r="M17" i="70" a="1"/>
  <c r="M17" i="70" s="1"/>
  <c r="M13" i="70" a="1"/>
  <c r="M13" i="70" s="1"/>
  <c r="M19" i="70" a="1"/>
  <c r="M19" i="70" s="1"/>
  <c r="M20" i="70" a="1"/>
  <c r="M20" i="70" s="1"/>
  <c r="M18" i="70" a="1"/>
  <c r="M18" i="70" s="1"/>
  <c r="M14" i="70" a="1"/>
  <c r="M14" i="70" s="1"/>
  <c r="M15" i="70" a="1"/>
  <c r="M15" i="70" s="1"/>
  <c r="M12" i="70" a="1"/>
  <c r="M12" i="70" s="1"/>
  <c r="M28" i="70" a="1"/>
  <c r="M28" i="70" s="1"/>
  <c r="M27" i="70" a="1"/>
  <c r="M27" i="70" s="1"/>
  <c r="M11" i="70" a="1"/>
  <c r="M11" i="70" s="1"/>
  <c r="M9" i="70" a="1"/>
  <c r="M9" i="70" s="1"/>
  <c r="M24" i="70" a="1"/>
  <c r="M24" i="70" s="1"/>
  <c r="M16" i="70" a="1"/>
  <c r="M16" i="70" s="1"/>
  <c r="M26" i="70" a="1"/>
  <c r="M26" i="70" s="1"/>
  <c r="M8" i="70" a="1"/>
  <c r="M8" i="70" s="1"/>
  <c r="M10" i="70" a="1"/>
  <c r="M10" i="70" s="1"/>
  <c r="M25" i="70" a="1"/>
  <c r="M25" i="70" s="1"/>
  <c r="M23" i="70" a="1"/>
  <c r="M23" i="70" s="1"/>
  <c r="M7" i="70" a="1"/>
  <c r="M7" i="70" s="1"/>
  <c r="M22" i="70" a="1"/>
  <c r="M22" i="70" s="1"/>
  <c r="M6" i="70" a="1"/>
  <c r="M6" i="70" s="1"/>
  <c r="M21" i="70" a="1"/>
  <c r="M21" i="70" s="1"/>
  <c r="G2" i="100" a="1"/>
  <c r="G2" i="100" s="1"/>
  <c r="G1" i="8"/>
  <c r="L2" i="70" a="1"/>
  <c r="L2" i="70" s="1"/>
  <c r="M2" i="70" l="1" a="1"/>
  <c r="M2" i="70" s="1"/>
  <c r="N16" i="70" s="1"/>
  <c r="N14" i="70" l="1"/>
  <c r="N28" i="70"/>
  <c r="N24" i="70"/>
  <c r="N6" i="70"/>
  <c r="N12" i="70"/>
  <c r="N8" i="70"/>
  <c r="N9" i="70"/>
  <c r="N10" i="70"/>
  <c r="N15" i="70"/>
  <c r="N17" i="70"/>
  <c r="N20" i="70"/>
  <c r="N18" i="70"/>
  <c r="N5" i="70"/>
  <c r="N19" i="70"/>
  <c r="N13" i="70"/>
  <c r="N11" i="70"/>
  <c r="N23" i="70"/>
  <c r="N26" i="70"/>
  <c r="N22" i="70"/>
  <c r="N25" i="70"/>
  <c r="N27" i="70"/>
  <c r="N7" i="70"/>
  <c r="N2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C23" i="5" l="1"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G19" i="4"/>
  <c r="J19" i="4"/>
  <c r="M19" i="4"/>
  <c r="D31" i="4"/>
  <c r="A43" i="8"/>
  <c r="J31" i="4" s="1"/>
  <c r="A44" i="8"/>
  <c r="M31" i="4" s="1"/>
  <c r="B11" i="26" a="1"/>
  <c r="B10" i="26" a="1"/>
  <c r="O2" i="95" l="1" a="1"/>
  <c r="G81" i="8" s="1"/>
  <c r="G82" i="8" s="1" a="1"/>
  <c r="G82" i="8" s="1"/>
  <c r="D20" i="8" s="1"/>
  <c r="D19" i="8" a="1"/>
  <c r="D19" i="8" s="1"/>
  <c r="H15" i="26" s="1"/>
  <c r="H14" i="26" a="1"/>
  <c r="H14" i="26" s="1"/>
  <c r="AM2" i="77" a="1"/>
  <c r="B10" i="26"/>
  <c r="B11" i="26"/>
  <c r="Q2" i="29"/>
  <c r="D5" i="8" s="1"/>
  <c r="O2" i="95" l="1"/>
  <c r="S48" i="8"/>
  <c r="E6" i="4"/>
  <c r="X2" i="95"/>
  <c r="S6" i="95"/>
  <c r="M6" i="15" s="1"/>
  <c r="AM2" i="77"/>
  <c r="L9" i="26"/>
  <c r="B54" i="26"/>
  <c r="D36" i="8"/>
  <c r="K2" i="90"/>
  <c r="K3" i="90" s="1"/>
  <c r="M26" i="26" s="1"/>
  <c r="H82" i="8" l="1"/>
  <c r="J66" i="8" a="1"/>
  <c r="J66" i="8" s="1"/>
  <c r="K4" i="4"/>
  <c r="C52" i="8"/>
  <c r="N61" i="8"/>
  <c r="N60" i="8"/>
  <c r="S49" i="8"/>
  <c r="S56" i="8" s="1"/>
  <c r="X49" i="8"/>
  <c r="X56" i="8" s="1"/>
  <c r="F60" i="8"/>
  <c r="N24" i="26"/>
  <c r="E36" i="8"/>
  <c r="F36" i="8" s="1"/>
  <c r="G36" i="8" s="1"/>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P5" i="8" l="1" a="1"/>
  <c r="P5" i="8" s="1"/>
  <c r="L6" i="8"/>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<sst xmlns="http://schemas.openxmlformats.org/spreadsheetml/2006/main" count="1307" uniqueCount="753">
  <si>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</si>
  <si>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</si>
  <si>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</si>
  <si>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</si>
  <si>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</si>
  <si>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</si>
  <si>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</si>
  <si>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</si>
  <si>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</si>
  <si>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</si>
  <si>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</si>
  <si>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</si>
  <si>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</si>
  <si>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</si>
  <si>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</si>
  <si>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</si>
  <si>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</si>
  <si>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</si>
  <si>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</si>
  <si>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</si>
  <si>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</si>
  <si>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</si>
  <si>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</si>
  <si>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</si>
  <si>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</si>
  <si>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</si>
  <si>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</si>
  <si>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</si>
  <si>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</si>
  <si>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</si>
  <si>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</si>
  <si>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</si>
  <si>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</si>
  <si>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</si>
  <si>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</si>
  <si>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</si>
  <si>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</si>
  <si>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</si>
  <si>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</si>
  <si>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</si>
  <si>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</si>
  <si>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</si>
  <si>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</si>
  <si>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</si>
  <si>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</si>
  <si>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</si>
  <si>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</si>
  <si>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</si>
  <si>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</si>
  <si>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</si>
  <si>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</si>
  <si>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</si>
  <si>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</si>
  <si>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</si>
  <si>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</si>
  <si>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</si>
  <si>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</si>
  <si>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</si>
  <si>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</si>
  <si>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</si>
  <si>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</si>
  <si>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</si>
  <si>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</si>
  <si>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</si>
  <si>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</si>
  <si>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</si>
  <si>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</si>
  <si>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</si>
  <si>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</si>
  <si>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</si>
  <si>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</si>
  <si>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</si>
  <si>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</si>
  <si>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</si>
  <si>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</si>
  <si>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</si>
  <si>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</si>
  <si>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</si>
  <si>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</si>
  <si>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</si>
  <si>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</si>
  <si>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</si>
  <si>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</si>
  <si>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</si>
  <si>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</si>
  <si>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</si>
  <si>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</si>
  <si>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</si>
  <si>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</si>
  <si>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</si>
  <si>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</si>
  <si>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</si>
  <si>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</si>
  <si>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</si>
  <si>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</si>
  <si>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</si>
  <si>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</si>
  <si>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</si>
  <si>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</si>
  <si>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</si>
  <si>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</si>
  <si>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</si>
  <si>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</si>
  <si>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</si>
  <si>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</si>
  <si>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</si>
  <si>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</si>
  <si>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</si>
  <si>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</si>
  <si>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</si>
  <si>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</si>
  <si>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</si>
  <si>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</si>
  <si>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</si>
  <si>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</si>
  <si>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</si>
  <si>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</si>
  <si>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</si>
  <si>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</si>
  <si>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</si>
  <si>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</si>
  <si>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</si>
  <si>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</si>
  <si>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</si>
  <si>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</si>
  <si>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</si>
  <si>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</si>
  <si>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</si>
  <si>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</si>
  <si>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</si>
  <si>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</si>
  <si>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</si>
  <si>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</si>
  <si>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</si>
  <si>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</si>
  <si>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</si>
  <si>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</si>
  <si>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</si>
  <si>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</si>
  <si>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</si>
  <si>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</si>
  <si>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</si>
  <si>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</si>
  <si>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</si>
  <si>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</si>
  <si>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</si>
  <si>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</si>
  <si>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</si>
  <si>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</si>
  <si>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</si>
  <si>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</si>
  <si>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</si>
  <si>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</si>
  <si>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</si>
  <si>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</si>
  <si>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</si>
  <si>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</si>
  <si>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</si>
  <si>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</si>
  <si>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</si>
  <si>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</si>
  <si>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</si>
  <si>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</si>
  <si>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</si>
  <si>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</si>
  <si>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</si>
  <si>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</si>
  <si>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</si>
  <si>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</si>
  <si>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</si>
  <si>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</si>
  <si>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</si>
  <si>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</si>
  <si>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</si>
  <si>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</si>
  <si>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</si>
  <si>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</si>
  <si>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</si>
  <si>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</si>
  <si>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</si>
  <si>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</si>
  <si>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</si>
  <si>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</si>
  <si>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</si>
  <si>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</si>
  <si>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</si>
  <si>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</si>
  <si>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</si>
  <si>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</si>
  <si>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</si>
  <si>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</si>
  <si>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</si>
  <si>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</si>
  <si>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</si>
  <si>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</si>
  <si>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</si>
  <si>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</si>
  <si>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</si>
  <si>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</si>
  <si>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</si>
  <si>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</si>
  <si>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</si>
  <si>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</si>
  <si>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</si>
  <si>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</si>
  <si>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</si>
  <si>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</si>
  <si>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</si>
  <si>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</si>
  <si>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</si>
  <si>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</si>
  <si>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</si>
  <si>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</si>
  <si>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</si>
  <si>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</si>
  <si>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</si>
  <si>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</si>
  <si>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</si>
  <si>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</si>
  <si>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</si>
  <si>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</si>
  <si>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</si>
  <si>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</si>
  <si>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</si>
  <si>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</si>
  <si>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</si>
  <si>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</si>
  <si>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</si>
  <si>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</si>
  <si>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</si>
  <si>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</si>
  <si>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</si>
  <si>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</si>
  <si>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</si>
  <si>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</si>
  <si>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</si>
  <si>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</si>
  <si>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</si>
  <si>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</si>
  <si>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</si>
  <si>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</si>
  <si>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</si>
  <si>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</si>
  <si>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</si>
  <si>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</si>
  <si>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</si>
  <si>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</si>
  <si>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</si>
  <si>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</si>
  <si>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</si>
  <si>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</si>
  <si>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</si>
  <si>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</si>
  <si>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</si>
  <si>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</si>
  <si>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</si>
  <si>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</si>
  <si>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</si>
  <si>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</si>
  <si>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</si>
  <si>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</si>
  <si>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</si>
  <si>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</si>
  <si>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</si>
  <si>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</si>
  <si>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</si>
  <si>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</si>
  <si>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</si>
  <si>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</si>
  <si>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</si>
  <si>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</si>
  <si>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</si>
  <si>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</si>
  <si>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</si>
  <si>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</si>
  <si>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</si>
  <si>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</si>
  <si>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</si>
  <si>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</si>
  <si>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</si>
  <si>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</si>
  <si>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</si>
  <si>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</si>
  <si>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</si>
  <si>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</si>
  <si>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</si>
  <si>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</si>
  <si>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</si>
  <si>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</si>
  <si>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</si>
  <si>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</si>
  <si>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</si>
  <si>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</si>
  <si>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</si>
  <si>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</si>
  <si>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</si>
  <si>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</si>
  <si>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</si>
  <si>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</si>
  <si>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</si>
  <si>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</si>
  <si>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</si>
  <si>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</si>
  <si>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</si>
  <si>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</si>
  <si>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</si>
  <si>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</si>
  <si>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</si>
  <si>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</si>
  <si>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</si>
  <si>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</si>
  <si>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</si>
  <si>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</si>
  <si>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</si>
  <si>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</si>
  <si>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</si>
  <si>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</si>
  <si>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</si>
  <si>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</si>
  <si>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</si>
  <si>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</si>
  <si>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</si>
  <si>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</si>
  <si>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</si>
  <si>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</si>
  <si>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</si>
  <si>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</si>
  <si>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</si>
  <si>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</si>
  <si>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</si>
  <si>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</si>
  <si>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</si>
  <si>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</si>
  <si>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</si>
  <si>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</si>
  <si>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</si>
  <si>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</si>
  <si>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</si>
  <si>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</si>
  <si>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</si>
  <si>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</si>
  <si>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</si>
  <si>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</si>
  <si>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</si>
  <si>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</si>
  <si>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</si>
  <si>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</si>
  <si>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</si>
  <si>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</si>
  <si>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</si>
  <si>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</si>
  <si>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</si>
  <si>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</si>
  <si>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</si>
  <si>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</si>
  <si>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</si>
  <si>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</si>
  <si>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</si>
  <si>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</si>
  <si>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</si>
  <si>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</si>
  <si>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</si>
  <si>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</si>
  <si>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</si>
  <si>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</si>
  <si>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</si>
  <si>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</si>
  <si>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</si>
  <si>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</si>
  <si>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</si>
  <si>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</si>
  <si>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</si>
  <si>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</si>
  <si>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</si>
  <si>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</si>
  <si>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</si>
  <si>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</si>
  <si>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</si>
  <si>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</si>
  <si>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</si>
  <si>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</si>
  <si>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</si>
  <si>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</si>
  <si>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</si>
  <si>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</si>
  <si>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</si>
  <si>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</si>
  <si>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</si>
  <si>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</si>
  <si>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</si>
  <si>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</si>
  <si>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</si>
  <si>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</si>
  <si>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</si>
  <si>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</si>
  <si>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</si>
  <si>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</si>
  <si>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</si>
  <si>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</si>
  <si>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</si>
  <si>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</si>
  <si>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</si>
  <si>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</si>
  <si>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</si>
  <si>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</si>
  <si>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</si>
  <si>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</si>
  <si>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</si>
  <si>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</si>
  <si>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</si>
  <si>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</si>
  <si>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</si>
  <si>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</si>
  <si>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</si>
  <si>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</si>
  <si>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</si>
  <si>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</si>
  <si>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</si>
  <si>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</si>
  <si>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</si>
  <si>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</si>
  <si>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</si>
  <si>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</si>
  <si>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</si>
  <si>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</si>
  <si>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</si>
  <si>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</si>
  <si>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</si>
  <si>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</si>
  <si>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</si>
  <si>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</si>
  <si>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</si>
  <si>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</si>
  <si>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</si>
  <si>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</si>
  <si>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</si>
  <si>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</si>
  <si>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</si>
  <si>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</si>
  <si>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</si>
  <si>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</si>
  <si>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</si>
  <si>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</si>
  <si>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</si>
  <si>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</si>
  <si>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</si>
  <si>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</si>
  <si>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</si>
  <si>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</si>
  <si>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</si>
  <si>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</si>
  <si>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</si>
  <si>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</si>
  <si>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</si>
  <si>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</si>
  <si>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</si>
  <si>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</si>
  <si>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</si>
  <si>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</si>
  <si>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</si>
  <si>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</si>
  <si>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</si>
  <si>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</si>
  <si>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</si>
  <si>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</si>
  <si>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</si>
  <si>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</si>
  <si>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</si>
  <si>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</si>
  <si>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</si>
  <si>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</si>
  <si>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</si>
  <si>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</si>
  <si>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</si>
  <si>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</si>
  <si>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</si>
  <si>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</si>
  <si>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</si>
  <si>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</si>
  <si>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</si>
  <si>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</si>
  <si>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</si>
  <si>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</si>
  <si>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</si>
  <si>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</si>
  <si>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</si>
  <si>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</si>
  <si>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</si>
  <si>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</si>
  <si>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</si>
  <si>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</si>
  <si>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</si>
  <si>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</si>
  <si>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</si>
  <si>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</si>
  <si>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</si>
  <si>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</si>
  <si>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</si>
  <si>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</si>
  <si>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</si>
  <si>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</si>
  <si>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</si>
  <si>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</si>
  <si>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</si>
  <si>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</si>
  <si>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</si>
  <si>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</si>
  <si>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</si>
  <si>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</si>
  <si>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</si>
  <si>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</si>
  <si>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</si>
  <si>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</si>
  <si>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</si>
  <si>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</si>
  <si>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</si>
  <si>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</si>
  <si>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</si>
  <si>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</si>
  <si>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</si>
  <si>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</si>
  <si>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</si>
  <si>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</si>
  <si>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</si>
  <si>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</si>
  <si>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</si>
  <si>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</si>
  <si>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</si>
  <si>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</si>
  <si>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</si>
  <si>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</si>
  <si>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</si>
  <si>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</si>
  <si>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</si>
  <si>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</si>
  <si>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</si>
  <si>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</si>
  <si>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</si>
  <si>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</si>
  <si>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</si>
  <si>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</si>
  <si>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</si>
  <si>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</si>
  <si>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</si>
  <si>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</si>
  <si>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</si>
  <si>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</si>
  <si>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</si>
  <si>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</si>
  <si>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</si>
  <si>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</si>
  <si>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</si>
  <si>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</si>
  <si>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</si>
  <si>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</si>
  <si>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</si>
  <si>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</si>
  <si>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</si>
  <si>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</si>
  <si>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</si>
  <si>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</si>
  <si>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</si>
  <si>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</si>
  <si>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</si>
  <si>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</si>
  <si>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</si>
  <si>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</si>
  <si>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</si>
  <si>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</si>
  <si>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</si>
  <si>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</si>
  <si>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</si>
  <si>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</si>
  <si>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</si>
  <si>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</si>
  <si>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</si>
  <si>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</si>
  <si>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</si>
  <si>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</si>
  <si>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</si>
  <si>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</si>
  <si>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</si>
  <si>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</si>
  <si>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</si>
  <si>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</si>
  <si>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</si>
  <si>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</si>
  <si>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</si>
  <si>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</si>
  <si>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</si>
  <si>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</si>
  <si>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</si>
  <si>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</si>
  <si>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</si>
  <si>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</si>
  <si>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</si>
  <si>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</si>
  <si>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</si>
  <si>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</si>
  <si>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</si>
  <si>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</si>
  <si>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</si>
  <si>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</si>
  <si>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</si>
  <si>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</si>
  <si>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</si>
  <si>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</si>
  <si>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</si>
  <si>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</si>
  <si>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</si>
  <si>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</si>
  <si>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</si>
  <si>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</si>
  <si>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</si>
  <si>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</si>
  <si>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</si>
  <si>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</si>
  <si>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</si>
  <si>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</si>
  <si>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</si>
  <si>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</si>
  <si>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</si>
  <si>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</si>
  <si>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</si>
  <si>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</si>
  <si>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</si>
  <si>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</si>
  <si>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</si>
  <si>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</si>
  <si>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</si>
  <si>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</si>
  <si>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</si>
  <si>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</si>
  <si>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</si>
  <si>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</si>
  <si>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</si>
  <si>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</si>
  <si>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</si>
  <si>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</si>
  <si>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</si>
  <si>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</si>
  <si>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</si>
  <si>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</si>
  <si>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</si>
  <si>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</si>
  <si>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</si>
  <si>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</si>
  <si>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</si>
  <si>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</si>
  <si>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</si>
  <si>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</si>
  <si>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</si>
  <si>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</si>
  <si>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</si>
  <si>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</si>
  <si>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</si>
  <si>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</si>
  <si>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</si>
  <si>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</si>
  <si>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</si>
  <si>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</si>
  <si>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</si>
  <si>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</si>
  <si>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</si>
  <si>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</si>
  <si>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</si>
  <si>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</si>
  <si>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</si>
  <si>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</si>
  <si>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</si>
  <si>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</si>
  <si>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</si>
  <si>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</si>
  <si>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</si>
  <si>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</si>
  <si>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</si>
  <si>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</si>
  <si>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</si>
  <si>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</si>
  <si>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</si>
  <si>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</si>
  <si>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</si>
  <si>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</si>
  <si>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</si>
  <si>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</si>
  <si>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</si>
  <si>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</si>
  <si>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</si>
  <si>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</si>
  <si>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</si>
  <si>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</si>
  <si>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</si>
  <si>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</si>
  <si>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</si>
  <si>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</si>
  <si>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</si>
  <si>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</si>
  <si>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</si>
  <si>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</si>
  <si>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</si>
  <si>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</si>
  <si>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</si>
  <si>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</si>
  <si>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</si>
  <si>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</si>
  <si>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</si>
  <si>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</si>
  <si>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</si>
  <si>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</si>
  <si>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</si>
  <si>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</si>
  <si>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</si>
  <si>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</si>
  <si>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</si>
  <si>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</si>
  <si>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</si>
  <si>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</si>
  <si>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</si>
  <si>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</si>
  <si>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</si>
  <si>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</si>
  <si>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</si>
  <si>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</si>
  <si>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</si>
  <si>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</si>
  <si>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</si>
  <si>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</si>
  <si>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</si>
  <si>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</si>
  <si>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</si>
  <si>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</si>
  <si>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</si>
  <si>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</si>
  <si>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</si>
  <si>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</si>
  <si>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</si>
  <si>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</si>
  <si>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</si>
  <si>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</si>
  <si>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</si>
  <si>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</si>
  <si>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</si>
  <si>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</si>
  <si>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</si>
  <si>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</si>
  <si>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</si>
  <si>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</si>
  <si>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</si>
  <si>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</si>
  <si>
    <t>°F</t>
  </si>
  <si>
    <t>°C</t>
  </si>
  <si>
    <t>SAT Tol</t>
  </si>
  <si>
    <t>MatchingRow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</si>
</sst>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8" formatCode="##&quot; minutes&quot;"/>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70"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3"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8" fontId="18" fillId="0" borderId="0" xfId="1" applyNumberFormat="1" applyFont="1" applyAlignment="1">
      <alignment horizontal="left"/>
    </xf>
    <xf numFmtId="0" fontId="28" fillId="0" borderId="0" xfId="0" applyFont="1"/>
    <xf numFmtId="172" fontId="0" fillId="0" borderId="0" xfId="0" applyNumberFormat="1"/>
    <xf numFmtId="172" fontId="10" fillId="0" borderId="0" xfId="1" applyNumberFormat="1" applyFont="1"/>
    <xf numFmtId="178"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8" fontId="23"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36" fillId="0" borderId="0" xfId="0" applyFont="1"/>
    <xf numFmtId="178"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2" fontId="7" fillId="0" borderId="0" xfId="0" applyNumberFormat="1" applyFont="1"/>
    <xf numFmtId="178" fontId="34" fillId="0" borderId="0" xfId="0" applyNumberFormat="1" applyFont="1"/>
    <xf numFmtId="177"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8" fontId="53" fillId="0" borderId="0" xfId="0" applyNumberFormat="1" applyFont="1"/>
    <xf numFmtId="0" fontId="55" fillId="0" borderId="0" xfId="0" applyFont="1"/>
    <xf numFmtId="164" fontId="7" fillId="0" borderId="4" xfId="0" applyNumberFormat="1" applyFont="1" applyBorder="1"/>
    <xf numFmtId="172" fontId="33" fillId="0" borderId="0" xfId="0" applyNumberFormat="1" applyFont="1"/>
    <xf numFmtId="172" fontId="7" fillId="0" borderId="0" xfId="0" applyNumberFormat="1" applyFont="1" applyAlignment="1">
      <alignment horizontal="right"/>
    </xf>
    <xf numFmtId="172"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2" fontId="61" fillId="0" borderId="0" xfId="0" applyNumberFormat="1" applyFont="1"/>
    <xf numFmtId="164" fontId="7" fillId="0" borderId="0" xfId="0" applyNumberFormat="1" applyFont="1"/>
    <xf numFmtId="172"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2" fontId="62" fillId="0" borderId="0" xfId="0" applyNumberFormat="1" applyFont="1"/>
    <xf numFmtId="0" fontId="23" fillId="0" borderId="0" xfId="0" applyFont="1" applyAlignment="1">
      <alignment horizontal="center"/>
    </xf>
    <xf numFmtId="179"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2" fontId="34" fillId="0" borderId="0" xfId="0" applyNumberFormat="1" applyFont="1" applyAlignment="1">
      <alignment horizontal="right"/>
    </xf>
    <xf numFmtId="0" fontId="34" fillId="0" borderId="0" xfId="0" applyFont="1" applyAlignment="1">
      <alignment horizontal="left"/>
    </xf>
    <xf numFmtId="172"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80"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4"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2"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4"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2"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4" fontId="69" fillId="2" borderId="0" xfId="0" applyNumberFormat="1" applyFont="1" applyFill="1"/>
    <xf numFmtId="184" fontId="55" fillId="2" borderId="0" xfId="0" applyNumberFormat="1" applyFont="1" applyFill="1"/>
    <xf numFmtId="184"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80" fontId="62" fillId="0" borderId="9" xfId="0" applyNumberFormat="1" applyFont="1" applyBorder="1" applyAlignment="1">
      <alignment horizontal="center"/>
    </xf>
    <xf numFmtId="180" fontId="62" fillId="0" borderId="18" xfId="0" applyNumberFormat="1" applyFont="1" applyBorder="1" applyAlignment="1">
      <alignment horizontal="center"/>
    </xf>
    <xf numFmtId="180" fontId="62" fillId="0" borderId="20" xfId="0" applyNumberFormat="1" applyFont="1" applyBorder="1" applyAlignment="1">
      <alignment horizontal="center"/>
    </xf>
    <xf numFmtId="180"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80" fontId="62" fillId="0" borderId="14" xfId="0" applyNumberFormat="1" applyFont="1" applyBorder="1" applyAlignment="1">
      <alignment horizontal="center"/>
    </xf>
    <xf numFmtId="180"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Fill="1"/>
    <xf numFmtId="164" fontId="21" fillId="3" borderId="4" xfId="0" applyNumberFormat="1" applyFont="1" applyFill="1" applyBorder="1" applyAlignment="1" applyProtection="1">
      <alignment horizontal="right"/>
      <protection locked="0"/>
    </xf>
    <xf numFmtId="182" fontId="83" fillId="8" borderId="4" xfId="0" applyNumberFormat="1" applyFont="1" applyFill="1" applyBorder="1" applyAlignment="1" applyProtection="1">
      <alignment horizontal="left"/>
      <protection locked="0"/>
    </xf>
    <xf numFmtId="0" fontId="1" fillId="0" borderId="0" xfId="1" applyNumberFormat="1" applyFont="1" applyAlignment="1">
      <alignment horizontal="left"/>
    </xf>
    <xf numFmtId="0" fontId="129" fillId="2" borderId="0" xfId="0" applyFont="1" applyFill="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4" formatCode="[$-F400]h:mm:ss\ AM/PM"/>
    </dxf>
    <dxf>
      <numFmt numFmtId="2" formatCode="0.00"/>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68"/>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9"/>
    <tableColumn id="2" xr3:uid="{4984B315-F281-4FCE-B730-0C7B248AA955}" uniqueName="2" name="nominal_temp" queryTableFieldId="2" dataDxfId="138"/>
    <tableColumn id="3" xr3:uid="{53D53435-D3FD-453C-A000-9DEF29CF77CD}" uniqueName="3" name="offset" queryTableFieldId="3" dataDxfId="137"/>
    <tableColumn id="4" xr3:uid="{71EBF38C-C2D5-457A-8BC4-1C726B409693}" uniqueName="4" name="probe_serial_number" queryTableFieldId="4" dataDxfId="136"/>
    <tableColumn id="5" xr3:uid="{264E3CB0-FEA8-40F6-AC5D-D574DD8CF263}" uniqueName="5" name="SBP_Set" queryTableFieldId="5" dataDxfId="135">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4" dataDxfId="133" tableBorderDxfId="132">
  <autoFilter ref="AG2:AS3" xr:uid="{B114758F-16E1-4C54-AA0B-E7F64DE85242}"/>
  <tableColumns count="13">
    <tableColumn id="1" xr3:uid="{0D0312AF-C987-4CC8-97F8-A45434AD138A}" name="Time" dataDxfId="131" dataCellStyle="Normal 3"/>
    <tableColumn id="2" xr3:uid="{E5CD88A1-1988-41C9-8D07-30908E60C0B6}" name="29" dataDxfId="130" dataCellStyle="Normal 3"/>
    <tableColumn id="3" xr3:uid="{52334E52-C590-4A01-82BC-CCC9DA2C2817}" name="30" dataDxfId="129" dataCellStyle="Normal 3"/>
    <tableColumn id="4" xr3:uid="{145DAD22-055B-47E2-958D-C0E0B68ECCC8}" name="31" dataDxfId="128" dataCellStyle="Normal 3"/>
    <tableColumn id="5" xr3:uid="{09C3BF4E-C2AE-4497-AAA2-CF5A8A70B030}" name="32" dataDxfId="127" dataCellStyle="Normal 3"/>
    <tableColumn id="6" xr3:uid="{E9F444F5-7F75-4B80-BC2D-E9E92BB7C32D}" name="33" dataDxfId="126" dataCellStyle="Normal 3"/>
    <tableColumn id="7" xr3:uid="{C42F56B6-C38E-41DC-811A-50AF69D04B80}" name="34" dataDxfId="125" dataCellStyle="Normal 3"/>
    <tableColumn id="8" xr3:uid="{1930235F-D2C0-482D-8CC0-6B3AC765E7EA}" name="35" dataDxfId="124" dataCellStyle="Normal 3"/>
    <tableColumn id="9" xr3:uid="{6FCF613B-A86F-4DC6-9CC5-0A1E44E3DFE0}" name="36" dataDxfId="123" dataCellStyle="Normal 3"/>
    <tableColumn id="10" xr3:uid="{19EA3429-FD7E-4BA0-96B7-70F520D9FE0F}" name="37" dataDxfId="122" dataCellStyle="Normal 3"/>
    <tableColumn id="11" xr3:uid="{A5D0DAE1-1017-4DE3-AEA6-1BAF97E0FBDC}" name="38" dataDxfId="121" dataCellStyle="Normal 3"/>
    <tableColumn id="12" xr3:uid="{ABC8E507-1120-436F-9E9F-E3A8852E2E1A}" name="39" dataDxfId="120"/>
    <tableColumn id="13" xr3:uid="{C69AC669-10C2-4E64-9F60-B4AA135FB3DF}" name="40" dataDxfId="119"/>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3" dataDxfId="82">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1"/>
    <tableColumn id="3" xr3:uid="{5F5E8FED-27C7-498A-86F2-8DE1BF0A773A}" uniqueName="3" name="Address2" queryTableFieldId="82" dataDxfId="80"/>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9"/>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8" dataDxfId="77">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6"/>
    <tableColumn id="1" xr3:uid="{5057086F-523D-4F8B-9A42-41FE3C8BBE96}" uniqueName="1" name="asset_id" queryTableFieldId="1"/>
    <tableColumn id="2" xr3:uid="{3726BB7E-1692-4770-A35E-9A744D09DBEF}" uniqueName="2" name="certificate_tn" queryTableFieldId="2" dataDxfId="75"/>
    <tableColumn id="3" xr3:uid="{629AF54F-0AD2-4FF2-858D-F1389CE1840E}" uniqueName="3" name="due_date" queryTableFieldId="3" dataDxfId="67"/>
    <tableColumn id="4" xr3:uid="{04C8F569-A520-43B3-A7E7-E09CFF80F449}" uniqueName="4" name="service_date" queryTableFieldId="4" dataDxfId="6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4"/>
    <tableColumn id="3" xr3:uid="{A4F2902A-51C9-47F2-ABB5-33476BF6B798}" uniqueName="3" name="login_email" queryTableFieldId="5"/>
    <tableColumn id="4" xr3:uid="{93F361AC-D356-4A7B-A6F2-34FB0F71E2F6}" uniqueName="4" name="IsPyro" queryTableFieldId="7" dataDxfId="73"/>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2" dataDxfId="71" headerRowCellStyle="Normal 2" dataCellStyle="Normal 2">
  <autoFilter ref="U11:V25" xr:uid="{DCCFF26E-EC5C-4962-98DB-A7DA1F3C8CE2}"/>
  <tableColumns count="2">
    <tableColumn id="1" xr3:uid="{DFC40837-B092-4826-9847-4A23BE22020F}" name="4" dataDxfId="70" dataCellStyle="Normal 2"/>
    <tableColumn id="2" xr3:uid="{0711DB07-19DA-4D5E-A417-C242A0304453}" name="10" dataDxfId="6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742</v>
      </c>
      <c r="L1" s="468" t="s">
        <v>737</v>
      </c>
      <c r="M1" s="469" t="s">
        <v>738</v>
      </c>
      <c r="S1" t="s">
        <v>743</v>
      </c>
      <c r="T1" t="s">
        <v>742</v>
      </c>
    </row>
    <row r="2" spans="1:20" x14ac:dyDescent="0.2">
      <c r="J2" s="51"/>
      <c r="K2" t="e">
        <f>IF(DaqbookAssetTag&lt;&gt;"",LEFT(DaqbookAssetTag,1),NA())</f>
        <v>#N/A</v>
      </c>
      <c r="L2" t="b" cm="1">
        <f t="array" ref="L2">AND(WireSetSNs="")</f>
        <v>1</v>
      </c>
      <c r="M2" t="b" cm="1">
        <f t="array" ref="M2">AND(types="")</f>
        <v>1</v>
      </c>
      <c r="S2" t="s">
        <v>331</v>
      </c>
      <c r="T2" t="s">
        <v>329</v>
      </c>
    </row>
    <row r="3" spans="1:20" x14ac:dyDescent="0.2">
      <c r="S3" t="s">
        <v>329</v>
      </c>
      <c r="T3" t="s">
        <v>329</v>
      </c>
    </row>
    <row r="4" spans="1:20" x14ac:dyDescent="0.2">
      <c r="A4"/>
      <c r="B4"/>
      <c r="C4"/>
      <c r="D4"/>
      <c r="E4"/>
      <c r="F4"/>
      <c r="G4"/>
      <c r="H4"/>
      <c r="I4" s="36" t="s">
        <v>747</v>
      </c>
      <c r="J4"/>
      <c r="K4" s="36" t="s">
        <v>744</v>
      </c>
      <c r="L4" s="36" t="s">
        <v>739</v>
      </c>
      <c r="M4" s="36" t="s">
        <v>740</v>
      </c>
      <c r="N4" s="36" t="s">
        <v>736</v>
      </c>
      <c r="S4" t="s">
        <v>330</v>
      </c>
      <c r="T4" t="s">
        <v>330</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328</v>
      </c>
      <c r="T5" t="s">
        <v>328</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741</v>
      </c>
      <c r="T6" s="36" t="s">
        <v>328</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380</v>
      </c>
      <c r="E1" s="34" t="s">
        <v>381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438</v>
      </c>
      <c r="K1"/>
      <c r="L1"/>
      <c r="M1"/>
      <c r="N1"/>
      <c r="O1" s="36" t="s">
        <v>745</v>
      </c>
      <c r="P1" s="36" t="s">
        <v>746</v>
      </c>
      <c r="R1" s="468" t="s">
        <v>742</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abSelected="1"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390</v>
      </c>
      <c r="F1" s="36" t="s">
        <v>202</v>
      </c>
      <c r="G1" s="36" t="s">
        <v>203</v>
      </c>
      <c r="H1" s="36" t="s">
        <v>393</v>
      </c>
      <c r="J1" s="540" t="s">
        <v>388</v>
      </c>
      <c r="K1" s="541"/>
      <c r="M1" s="397" t="s">
        <v>383</v>
      </c>
      <c r="N1" s="398" t="s">
        <v>387</v>
      </c>
      <c r="O1" s="398" t="s">
        <v>379</v>
      </c>
      <c r="P1" s="398" t="s">
        <v>14</v>
      </c>
      <c r="Q1" s="449" t="s">
        <v>442</v>
      </c>
      <c r="R1" s="449" t="s">
        <v>202</v>
      </c>
      <c r="S1" s="449" t="s">
        <v>203</v>
      </c>
      <c r="T1" s="449" t="s">
        <v>443</v>
      </c>
    </row>
    <row r="2" spans="1:20" x14ac:dyDescent="0.2">
      <c r="A2" s="386"/>
      <c r="J2" s="400" t="s">
        <v>384</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391</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395</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396</v>
      </c>
      <c r="K5" s="408" cm="1">
        <f t="array" ref="K5">LOOKUP(
  NominalTemp,
  _xlfn._xlws.FILTER(MUG[Range Lo], MUG[Meas Units]=Unit),
  _xlfn._xlws.FILTER(MUG[Base 2],      MUG[Meas Units]=Unit)
)</f>
        <v>0.68968455683080832</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394</v>
      </c>
      <c r="K6" s="403">
        <f>SQRT(Base₂^2+sp²)</f>
        <v>0.68968455683080832</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385</v>
      </c>
      <c r="K7" s="409">
        <f>K6*k</f>
        <v>1.3793691136616166</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386</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392</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325</v>
      </c>
      <c r="I1" s="457" t="s">
        <v>445</v>
      </c>
      <c r="J1" s="457" t="s">
        <v>379</v>
      </c>
      <c r="K1" s="457" t="s">
        <v>444</v>
      </c>
      <c r="M1" s="457" t="s">
        <v>445</v>
      </c>
      <c r="N1" s="457" t="s">
        <v>728</v>
      </c>
      <c r="O1" s="457" t="s">
        <v>729</v>
      </c>
      <c r="P1" s="457" t="s">
        <v>86</v>
      </c>
      <c r="Q1" s="457" t="s">
        <v>465</v>
      </c>
      <c r="R1" s="457" t="s">
        <v>725</v>
      </c>
      <c r="S1" s="457" t="s">
        <v>726</v>
      </c>
      <c r="T1" s="457" t="s">
        <v>727</v>
      </c>
      <c r="W1" s="36" t="s">
        <v>730</v>
      </c>
      <c r="X1" s="36" t="s">
        <v>735</v>
      </c>
      <c r="Z1" s="463" t="s">
        <v>730</v>
      </c>
      <c r="AA1" s="464" t="s">
        <v>734</v>
      </c>
      <c r="AB1" s="473"/>
      <c r="AC1" s="473"/>
      <c r="AD1" s="473"/>
      <c r="AE1" s="473"/>
      <c r="AF1" s="1"/>
      <c r="AG1" s="465" t="s">
        <v>733</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446</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447</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448</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449</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450</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451</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452</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453</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454</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455</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458</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459</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460</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461</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462</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463</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464</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478</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479</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456</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480</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481</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482</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483</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484</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485</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486</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487</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488</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489</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457</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490</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466</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467</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468</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469</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470</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471</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472</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473</v>
      </c>
      <c r="X41" t="s">
        <v>165</v>
      </c>
      <c r="Z41" s="462" t="str">
        <v>J109</v>
      </c>
      <c r="AA41" s="194" t="str">
        <v>J101-J110</v>
      </c>
      <c r="AG41" s="69" t="str">
        <v>J109</v>
      </c>
    </row>
    <row r="42" spans="1:33" x14ac:dyDescent="0.2">
      <c r="A42"/>
      <c r="B42"/>
      <c r="C42"/>
      <c r="D42"/>
      <c r="E42"/>
      <c r="F42" t="str">
        <f>LEFT(AllDaqbookOffsets[[#This Row],[traceability_no]],2)</f>
        <v>J1</v>
      </c>
      <c r="W42" t="s">
        <v>491</v>
      </c>
      <c r="X42" t="s">
        <v>168</v>
      </c>
      <c r="Z42" s="462" t="str">
        <v>J11</v>
      </c>
      <c r="AA42" s="194" t="str">
        <v>J01-J24</v>
      </c>
      <c r="AG42" s="69" t="str">
        <v>J11</v>
      </c>
    </row>
    <row r="43" spans="1:33" x14ac:dyDescent="0.2">
      <c r="A43"/>
      <c r="B43"/>
      <c r="C43"/>
      <c r="D43"/>
      <c r="E43"/>
      <c r="F43" t="str">
        <f>LEFT(AllDaqbookOffsets[[#This Row],[traceability_no]],2)</f>
        <v>J1</v>
      </c>
      <c r="W43" t="s">
        <v>492</v>
      </c>
      <c r="X43" t="s">
        <v>168</v>
      </c>
      <c r="Z43" s="462" t="str">
        <v>J110</v>
      </c>
      <c r="AA43" s="194" t="str">
        <v>J101-J110</v>
      </c>
      <c r="AG43" s="69" t="str">
        <v>J110</v>
      </c>
    </row>
    <row r="44" spans="1:33" x14ac:dyDescent="0.2">
      <c r="A44"/>
      <c r="B44"/>
      <c r="C44"/>
      <c r="D44"/>
      <c r="E44"/>
      <c r="F44" t="str">
        <f>LEFT(AllDaqbookOffsets[[#This Row],[traceability_no]],2)</f>
        <v>J1</v>
      </c>
      <c r="W44" t="s">
        <v>493</v>
      </c>
      <c r="X44" t="s">
        <v>168</v>
      </c>
      <c r="Z44" s="462" t="str">
        <v>J111</v>
      </c>
      <c r="AA44" s="194" t="str">
        <v>J111-J120</v>
      </c>
      <c r="AG44" s="69" t="str">
        <v>J111</v>
      </c>
    </row>
    <row r="45" spans="1:33" x14ac:dyDescent="0.2">
      <c r="A45"/>
      <c r="B45"/>
      <c r="C45"/>
      <c r="D45"/>
      <c r="E45"/>
      <c r="F45" t="str">
        <f>LEFT(AllDaqbookOffsets[[#This Row],[traceability_no]],2)</f>
        <v>J1</v>
      </c>
      <c r="W45" t="s">
        <v>494</v>
      </c>
      <c r="X45" t="s">
        <v>168</v>
      </c>
      <c r="Z45" s="462" t="str">
        <v>J112</v>
      </c>
      <c r="AA45" s="194" t="str">
        <v>J111-J120</v>
      </c>
      <c r="AG45" s="69" t="str">
        <v>J112</v>
      </c>
    </row>
    <row r="46" spans="1:33" x14ac:dyDescent="0.2">
      <c r="A46"/>
      <c r="B46"/>
      <c r="C46"/>
      <c r="D46"/>
      <c r="E46"/>
      <c r="F46" t="str">
        <f>LEFT(AllDaqbookOffsets[[#This Row],[traceability_no]],2)</f>
        <v>J1</v>
      </c>
      <c r="W46" t="s">
        <v>495</v>
      </c>
      <c r="X46" t="s">
        <v>168</v>
      </c>
      <c r="Z46" s="462" t="str">
        <v>J113</v>
      </c>
      <c r="AA46" s="194" t="str">
        <v>J111-J120</v>
      </c>
      <c r="AG46" s="69" t="str">
        <v>J113</v>
      </c>
    </row>
    <row r="47" spans="1:33" x14ac:dyDescent="0.2">
      <c r="A47"/>
      <c r="B47"/>
      <c r="C47"/>
      <c r="D47"/>
      <c r="E47"/>
      <c r="F47" t="str">
        <f>LEFT(AllDaqbookOffsets[[#This Row],[traceability_no]],2)</f>
        <v>J1</v>
      </c>
      <c r="W47" t="s">
        <v>496</v>
      </c>
      <c r="X47" t="s">
        <v>168</v>
      </c>
      <c r="Z47" s="462" t="str">
        <v>J114</v>
      </c>
      <c r="AA47" s="194" t="str">
        <v>J111-J120</v>
      </c>
      <c r="AG47" s="69" t="str">
        <v>J114</v>
      </c>
    </row>
    <row r="48" spans="1:33" x14ac:dyDescent="0.2">
      <c r="A48"/>
      <c r="B48"/>
      <c r="C48"/>
      <c r="D48"/>
      <c r="E48"/>
      <c r="F48" t="str">
        <f>LEFT(AllDaqbookOffsets[[#This Row],[traceability_no]],2)</f>
        <v>J1</v>
      </c>
      <c r="W48" t="s">
        <v>497</v>
      </c>
      <c r="X48" t="s">
        <v>168</v>
      </c>
      <c r="Z48" s="462" t="str">
        <v>J115</v>
      </c>
      <c r="AA48" s="194" t="str">
        <v>J111-J120</v>
      </c>
      <c r="AG48" s="69" t="str">
        <v>J115</v>
      </c>
    </row>
    <row r="49" spans="1:33" x14ac:dyDescent="0.2">
      <c r="A49"/>
      <c r="B49"/>
      <c r="C49"/>
      <c r="D49"/>
      <c r="E49"/>
      <c r="F49" t="str">
        <f>LEFT(AllDaqbookOffsets[[#This Row],[traceability_no]],2)</f>
        <v>J1</v>
      </c>
      <c r="W49" t="s">
        <v>498</v>
      </c>
      <c r="X49" t="s">
        <v>168</v>
      </c>
      <c r="Z49" s="462" t="str">
        <v>J116</v>
      </c>
      <c r="AA49" s="194" t="str">
        <v>J111-J120</v>
      </c>
      <c r="AG49" s="69" t="str">
        <v>J116</v>
      </c>
    </row>
    <row r="50" spans="1:33" x14ac:dyDescent="0.2">
      <c r="A50"/>
      <c r="B50"/>
      <c r="C50"/>
      <c r="D50"/>
      <c r="E50"/>
      <c r="F50" t="str">
        <f>LEFT(AllDaqbookOffsets[[#This Row],[traceability_no]],2)</f>
        <v>J1</v>
      </c>
      <c r="W50" t="s">
        <v>499</v>
      </c>
      <c r="X50" t="s">
        <v>168</v>
      </c>
      <c r="Z50" s="462" t="str">
        <v>J117</v>
      </c>
      <c r="AA50" s="194" t="str">
        <v>J111-J120</v>
      </c>
      <c r="AG50" s="69" t="str">
        <v>J117</v>
      </c>
    </row>
    <row r="51" spans="1:33" x14ac:dyDescent="0.2">
      <c r="A51"/>
      <c r="B51"/>
      <c r="C51"/>
      <c r="D51"/>
      <c r="E51"/>
      <c r="F51" t="str">
        <f>LEFT(AllDaqbookOffsets[[#This Row],[traceability_no]],2)</f>
        <v>J1</v>
      </c>
      <c r="W51" t="s">
        <v>474</v>
      </c>
      <c r="X51" t="s">
        <v>165</v>
      </c>
      <c r="Z51" s="462" t="str">
        <v>J118</v>
      </c>
      <c r="AA51" s="194" t="str">
        <v>J111-J120</v>
      </c>
      <c r="AG51" s="69" t="str">
        <v>J118</v>
      </c>
    </row>
    <row r="52" spans="1:33" x14ac:dyDescent="0.2">
      <c r="A52"/>
      <c r="B52"/>
      <c r="C52"/>
      <c r="D52"/>
      <c r="E52"/>
      <c r="F52" t="str">
        <f>LEFT(AllDaqbookOffsets[[#This Row],[traceability_no]],2)</f>
        <v>J1</v>
      </c>
      <c r="W52" t="s">
        <v>500</v>
      </c>
      <c r="X52" t="s">
        <v>168</v>
      </c>
      <c r="Z52" s="462" t="str">
        <v>J119</v>
      </c>
      <c r="AA52" s="194" t="str">
        <v>J111-J120</v>
      </c>
      <c r="AG52" s="69" t="str">
        <v>J119</v>
      </c>
    </row>
    <row r="53" spans="1:33" x14ac:dyDescent="0.2">
      <c r="A53"/>
      <c r="B53"/>
      <c r="C53"/>
      <c r="D53"/>
      <c r="E53"/>
      <c r="F53" t="str">
        <f>LEFT(AllDaqbookOffsets[[#This Row],[traceability_no]],2)</f>
        <v>J1</v>
      </c>
      <c r="W53" t="s">
        <v>501</v>
      </c>
      <c r="X53" t="s">
        <v>168</v>
      </c>
      <c r="Z53" s="462" t="str">
        <v>J12</v>
      </c>
      <c r="AA53" s="194" t="str">
        <v>J01-J24</v>
      </c>
      <c r="AG53" s="69" t="str">
        <v>J12</v>
      </c>
    </row>
    <row r="54" spans="1:33" x14ac:dyDescent="0.2">
      <c r="A54"/>
      <c r="B54"/>
      <c r="C54"/>
      <c r="D54"/>
      <c r="E54"/>
      <c r="F54" t="str">
        <f>LEFT(AllDaqbookOffsets[[#This Row],[traceability_no]],2)</f>
        <v>J1</v>
      </c>
      <c r="W54" t="s">
        <v>502</v>
      </c>
      <c r="X54" t="s">
        <v>168</v>
      </c>
      <c r="Z54" s="462" t="str">
        <v>J120</v>
      </c>
      <c r="AA54" s="194" t="str">
        <v>J111-J120</v>
      </c>
      <c r="AG54" s="69" t="str">
        <v>J120</v>
      </c>
    </row>
    <row r="55" spans="1:33" x14ac:dyDescent="0.2">
      <c r="A55"/>
      <c r="B55"/>
      <c r="C55"/>
      <c r="D55"/>
      <c r="E55"/>
      <c r="F55" t="str">
        <f>LEFT(AllDaqbookOffsets[[#This Row],[traceability_no]],2)</f>
        <v>J1</v>
      </c>
      <c r="W55" t="s">
        <v>503</v>
      </c>
      <c r="X55" t="s">
        <v>168</v>
      </c>
      <c r="Z55" s="462" t="str">
        <v>J13</v>
      </c>
      <c r="AA55" s="194" t="str">
        <v>J01-J24</v>
      </c>
      <c r="AG55" s="69" t="str">
        <v>J13</v>
      </c>
    </row>
    <row r="56" spans="1:33" x14ac:dyDescent="0.2">
      <c r="A56"/>
      <c r="B56"/>
      <c r="C56"/>
      <c r="D56"/>
      <c r="E56"/>
      <c r="F56" t="str">
        <f>LEFT(AllDaqbookOffsets[[#This Row],[traceability_no]],2)</f>
        <v>J1</v>
      </c>
      <c r="W56" t="s">
        <v>504</v>
      </c>
      <c r="X56" t="s">
        <v>168</v>
      </c>
      <c r="Z56" s="462" t="str">
        <v>J14</v>
      </c>
      <c r="AA56" s="194" t="str">
        <v>J01-J24</v>
      </c>
      <c r="AG56" s="69" t="str">
        <v>J14</v>
      </c>
    </row>
    <row r="57" spans="1:33" x14ac:dyDescent="0.2">
      <c r="A57"/>
      <c r="B57"/>
      <c r="C57"/>
      <c r="D57"/>
      <c r="E57"/>
      <c r="F57" t="str">
        <f>LEFT(AllDaqbookOffsets[[#This Row],[traceability_no]],2)</f>
        <v>J1</v>
      </c>
      <c r="W57" t="s">
        <v>475</v>
      </c>
      <c r="X57" t="s">
        <v>165</v>
      </c>
      <c r="Z57" s="462" t="str">
        <v>J15</v>
      </c>
      <c r="AA57" s="194" t="str">
        <v>J01-J24</v>
      </c>
      <c r="AG57" s="69" t="str">
        <v>J15</v>
      </c>
    </row>
    <row r="58" spans="1:33" x14ac:dyDescent="0.2">
      <c r="A58"/>
      <c r="B58"/>
      <c r="C58"/>
      <c r="D58"/>
      <c r="E58"/>
      <c r="F58" t="str">
        <f>LEFT(AllDaqbookOffsets[[#This Row],[traceability_no]],2)</f>
        <v>J1</v>
      </c>
      <c r="W58" t="s">
        <v>476</v>
      </c>
      <c r="X58" t="s">
        <v>165</v>
      </c>
      <c r="Z58" s="462" t="str">
        <v>J16</v>
      </c>
      <c r="AA58" s="194" t="str">
        <v>J01-J24</v>
      </c>
      <c r="AG58" s="69" t="str">
        <v>J16</v>
      </c>
    </row>
    <row r="59" spans="1:33" x14ac:dyDescent="0.2">
      <c r="A59"/>
      <c r="B59"/>
      <c r="C59"/>
      <c r="D59"/>
      <c r="E59"/>
      <c r="F59" t="str">
        <f>LEFT(AllDaqbookOffsets[[#This Row],[traceability_no]],2)</f>
        <v>J1</v>
      </c>
      <c r="W59" t="s">
        <v>477</v>
      </c>
      <c r="X59" t="s">
        <v>165</v>
      </c>
      <c r="Z59" s="462" t="str">
        <v>J17</v>
      </c>
      <c r="AA59" s="194" t="str">
        <v>J01-J24</v>
      </c>
      <c r="AG59" s="69" t="str">
        <v>J17</v>
      </c>
    </row>
    <row r="60" spans="1:33" x14ac:dyDescent="0.2">
      <c r="A60"/>
      <c r="B60"/>
      <c r="C60"/>
      <c r="D60"/>
      <c r="E60"/>
      <c r="F60" t="str">
        <f>LEFT(AllDaqbookOffsets[[#This Row],[traceability_no]],2)</f>
        <v>J1</v>
      </c>
      <c r="W60" t="s">
        <v>505</v>
      </c>
      <c r="X60" t="s">
        <v>169</v>
      </c>
      <c r="Z60" s="462" t="str">
        <v>J18</v>
      </c>
      <c r="AA60" s="194" t="str">
        <v>J01-J24</v>
      </c>
      <c r="AG60" s="69" t="str">
        <v>J18</v>
      </c>
    </row>
    <row r="61" spans="1:33" x14ac:dyDescent="0.2">
      <c r="A61"/>
      <c r="B61"/>
      <c r="C61"/>
      <c r="D61"/>
      <c r="E61"/>
      <c r="F61" t="str">
        <f>LEFT(AllDaqbookOffsets[[#This Row],[traceability_no]],2)</f>
        <v>J1</v>
      </c>
      <c r="W61" t="s">
        <v>506</v>
      </c>
      <c r="X61" t="s">
        <v>169</v>
      </c>
      <c r="Z61" s="462" t="str">
        <v>J19</v>
      </c>
      <c r="AA61" s="194" t="str">
        <v>J01-J24</v>
      </c>
      <c r="AG61" s="69" t="str">
        <v>J19</v>
      </c>
    </row>
    <row r="62" spans="1:33" x14ac:dyDescent="0.2">
      <c r="A62"/>
      <c r="B62"/>
      <c r="C62"/>
      <c r="D62"/>
      <c r="E62"/>
      <c r="F62" t="str">
        <f>LEFT(AllDaqbookOffsets[[#This Row],[traceability_no]],2)</f>
        <v>J1</v>
      </c>
      <c r="W62" t="s">
        <v>507</v>
      </c>
      <c r="X62" t="s">
        <v>169</v>
      </c>
      <c r="Z62" s="462" t="str">
        <v>J20</v>
      </c>
      <c r="AA62" s="194" t="str">
        <v>J01-J24</v>
      </c>
      <c r="AG62" s="69" t="str">
        <v>J20</v>
      </c>
    </row>
    <row r="63" spans="1:33" x14ac:dyDescent="0.2">
      <c r="A63"/>
      <c r="B63"/>
      <c r="C63"/>
      <c r="D63"/>
      <c r="E63"/>
      <c r="F63" t="str">
        <f>LEFT(AllDaqbookOffsets[[#This Row],[traceability_no]],2)</f>
        <v>J1</v>
      </c>
      <c r="W63" t="s">
        <v>508</v>
      </c>
      <c r="X63" t="s">
        <v>169</v>
      </c>
      <c r="Z63" s="462" t="str">
        <v>J201</v>
      </c>
      <c r="AA63" s="194" t="str">
        <v>J201-J214</v>
      </c>
      <c r="AG63" s="69" t="str">
        <v>J201</v>
      </c>
    </row>
    <row r="64" spans="1:33" x14ac:dyDescent="0.2">
      <c r="A64"/>
      <c r="B64"/>
      <c r="C64"/>
      <c r="D64"/>
      <c r="E64"/>
      <c r="F64" t="str">
        <f>LEFT(AllDaqbookOffsets[[#This Row],[traceability_no]],2)</f>
        <v>J1</v>
      </c>
      <c r="W64" t="s">
        <v>509</v>
      </c>
      <c r="X64" t="s">
        <v>169</v>
      </c>
      <c r="Z64" s="462" t="str">
        <v>J202</v>
      </c>
      <c r="AA64" s="194" t="str">
        <v>J201-J214</v>
      </c>
      <c r="AG64" s="69" t="str">
        <v>J202</v>
      </c>
    </row>
    <row r="65" spans="1:33" x14ac:dyDescent="0.2">
      <c r="A65"/>
      <c r="B65"/>
      <c r="C65"/>
      <c r="D65"/>
      <c r="E65"/>
      <c r="F65" t="str">
        <f>LEFT(AllDaqbookOffsets[[#This Row],[traceability_no]],2)</f>
        <v>J1</v>
      </c>
      <c r="W65" t="s">
        <v>510</v>
      </c>
      <c r="X65" t="s">
        <v>169</v>
      </c>
      <c r="Z65" s="462" t="str">
        <v>J203</v>
      </c>
      <c r="AA65" s="194" t="str">
        <v>J201-J214</v>
      </c>
      <c r="AG65" s="69" t="str">
        <v>J203</v>
      </c>
    </row>
    <row r="66" spans="1:33" x14ac:dyDescent="0.2">
      <c r="A66"/>
      <c r="B66"/>
      <c r="C66"/>
      <c r="D66"/>
      <c r="E66"/>
      <c r="F66" t="str">
        <f>LEFT(AllDaqbookOffsets[[#This Row],[traceability_no]],2)</f>
        <v>J1</v>
      </c>
      <c r="W66" t="s">
        <v>511</v>
      </c>
      <c r="X66" t="s">
        <v>169</v>
      </c>
      <c r="Z66" s="462" t="str">
        <v>J204</v>
      </c>
      <c r="AA66" s="194" t="str">
        <v>J201-J214</v>
      </c>
      <c r="AG66" s="69" t="str">
        <v>J204</v>
      </c>
    </row>
    <row r="67" spans="1:33" x14ac:dyDescent="0.2">
      <c r="A67"/>
      <c r="B67"/>
      <c r="C67"/>
      <c r="D67"/>
      <c r="E67"/>
      <c r="F67" t="str">
        <f>LEFT(AllDaqbookOffsets[[#This Row],[traceability_no]],2)</f>
        <v>J1</v>
      </c>
      <c r="W67" t="s">
        <v>512</v>
      </c>
      <c r="X67" t="s">
        <v>169</v>
      </c>
      <c r="Z67" s="462" t="str">
        <v>J205</v>
      </c>
      <c r="AA67" s="194" t="str">
        <v>J201-J214</v>
      </c>
      <c r="AG67" s="69" t="str">
        <v>J205</v>
      </c>
    </row>
    <row r="68" spans="1:33" x14ac:dyDescent="0.2">
      <c r="A68"/>
      <c r="B68"/>
      <c r="C68"/>
      <c r="D68"/>
      <c r="E68"/>
      <c r="F68" t="str">
        <f>LEFT(AllDaqbookOffsets[[#This Row],[traceability_no]],2)</f>
        <v>J1</v>
      </c>
      <c r="W68" t="s">
        <v>513</v>
      </c>
      <c r="X68" t="s">
        <v>169</v>
      </c>
      <c r="Z68" s="462" t="str">
        <v>J206</v>
      </c>
      <c r="AA68" s="194" t="str">
        <v>J201-J214</v>
      </c>
      <c r="AG68" s="69" t="str">
        <v>J206</v>
      </c>
    </row>
    <row r="69" spans="1:33" x14ac:dyDescent="0.2">
      <c r="A69"/>
      <c r="B69"/>
      <c r="C69"/>
      <c r="D69"/>
      <c r="E69"/>
      <c r="F69" t="str">
        <f>LEFT(AllDaqbookOffsets[[#This Row],[traceability_no]],2)</f>
        <v>J1</v>
      </c>
      <c r="W69" t="s">
        <v>514</v>
      </c>
      <c r="X69" t="s">
        <v>169</v>
      </c>
      <c r="Z69" s="462" t="str">
        <v>J207</v>
      </c>
      <c r="AA69" s="194" t="str">
        <v>J201-J214</v>
      </c>
      <c r="AG69" s="69" t="str">
        <v>J207</v>
      </c>
    </row>
    <row r="70" spans="1:33" x14ac:dyDescent="0.2">
      <c r="A70"/>
      <c r="B70"/>
      <c r="C70"/>
      <c r="D70"/>
      <c r="E70"/>
      <c r="F70" t="str">
        <f>LEFT(AllDaqbookOffsets[[#This Row],[traceability_no]],2)</f>
        <v>J1</v>
      </c>
      <c r="W70" t="s">
        <v>515</v>
      </c>
      <c r="X70" t="s">
        <v>169</v>
      </c>
      <c r="Z70" s="462" t="str">
        <v>J208</v>
      </c>
      <c r="AA70" s="194" t="str">
        <v>J201-J214</v>
      </c>
      <c r="AG70" s="69" t="str">
        <v>J208</v>
      </c>
    </row>
    <row r="71" spans="1:33" x14ac:dyDescent="0.2">
      <c r="A71"/>
      <c r="B71"/>
      <c r="C71"/>
      <c r="D71"/>
      <c r="E71"/>
      <c r="F71" t="str">
        <f>LEFT(AllDaqbookOffsets[[#This Row],[traceability_no]],2)</f>
        <v>J1</v>
      </c>
      <c r="W71" t="s">
        <v>516</v>
      </c>
      <c r="X71" t="s">
        <v>169</v>
      </c>
      <c r="Z71" s="462" t="str">
        <v>J209</v>
      </c>
      <c r="AA71" s="194" t="str">
        <v>J201-J214</v>
      </c>
      <c r="AG71" s="69" t="str">
        <v>J209</v>
      </c>
    </row>
    <row r="72" spans="1:33" x14ac:dyDescent="0.2">
      <c r="A72"/>
      <c r="B72"/>
      <c r="C72"/>
      <c r="D72"/>
      <c r="E72"/>
      <c r="F72" t="str">
        <f>LEFT(AllDaqbookOffsets[[#This Row],[traceability_no]],2)</f>
        <v>J1</v>
      </c>
      <c r="W72" t="s">
        <v>517</v>
      </c>
      <c r="X72" t="s">
        <v>169</v>
      </c>
      <c r="Z72" s="462" t="str">
        <v>J21</v>
      </c>
      <c r="AA72" s="194" t="str">
        <v>J01-J24</v>
      </c>
      <c r="AG72" s="69" t="str">
        <v>J21</v>
      </c>
    </row>
    <row r="73" spans="1:33" x14ac:dyDescent="0.2">
      <c r="A73"/>
      <c r="B73"/>
      <c r="C73"/>
      <c r="D73"/>
      <c r="E73"/>
      <c r="F73" t="str">
        <f>LEFT(AllDaqbookOffsets[[#This Row],[traceability_no]],2)</f>
        <v>J1</v>
      </c>
      <c r="W73" t="s">
        <v>518</v>
      </c>
      <c r="X73" t="s">
        <v>169</v>
      </c>
      <c r="Z73" s="462" t="str">
        <v>J210</v>
      </c>
      <c r="AA73" s="194" t="str">
        <v>J201-J214</v>
      </c>
      <c r="AG73" s="69" t="str">
        <v>J210</v>
      </c>
    </row>
    <row r="74" spans="1:33" x14ac:dyDescent="0.2">
      <c r="A74"/>
      <c r="B74"/>
      <c r="C74"/>
      <c r="D74"/>
      <c r="E74"/>
      <c r="F74" t="str">
        <f>LEFT(AllDaqbookOffsets[[#This Row],[traceability_no]],2)</f>
        <v>J1</v>
      </c>
      <c r="W74" t="s">
        <v>519</v>
      </c>
      <c r="X74" t="s">
        <v>170</v>
      </c>
      <c r="Z74" s="462" t="str">
        <v>J211</v>
      </c>
      <c r="AA74" s="194" t="str">
        <v>J201-J214</v>
      </c>
      <c r="AG74" s="69" t="str">
        <v>J211</v>
      </c>
    </row>
    <row r="75" spans="1:33" x14ac:dyDescent="0.2">
      <c r="A75"/>
      <c r="B75"/>
      <c r="C75"/>
      <c r="D75"/>
      <c r="E75"/>
      <c r="F75" t="str">
        <f>LEFT(AllDaqbookOffsets[[#This Row],[traceability_no]],2)</f>
        <v>J1</v>
      </c>
      <c r="W75" t="s">
        <v>520</v>
      </c>
      <c r="X75" t="s">
        <v>170</v>
      </c>
      <c r="Z75" s="462" t="str">
        <v>J212</v>
      </c>
      <c r="AA75" s="194" t="str">
        <v>J201-J214</v>
      </c>
      <c r="AG75" s="69" t="str">
        <v>J212</v>
      </c>
    </row>
    <row r="76" spans="1:33" x14ac:dyDescent="0.2">
      <c r="A76"/>
      <c r="B76"/>
      <c r="C76"/>
      <c r="D76"/>
      <c r="E76"/>
      <c r="F76" t="str">
        <f>LEFT(AllDaqbookOffsets[[#This Row],[traceability_no]],2)</f>
        <v>J1</v>
      </c>
      <c r="W76" t="s">
        <v>521</v>
      </c>
      <c r="X76" t="s">
        <v>170</v>
      </c>
      <c r="Z76" s="462" t="str">
        <v>J213</v>
      </c>
      <c r="AA76" s="194" t="str">
        <v>J201-J214</v>
      </c>
      <c r="AG76" s="69" t="str">
        <v>J213</v>
      </c>
    </row>
    <row r="77" spans="1:33" x14ac:dyDescent="0.2">
      <c r="A77"/>
      <c r="B77"/>
      <c r="C77"/>
      <c r="D77"/>
      <c r="E77"/>
      <c r="F77" t="str">
        <f>LEFT(AllDaqbookOffsets[[#This Row],[traceability_no]],2)</f>
        <v>J1</v>
      </c>
      <c r="W77" t="s">
        <v>522</v>
      </c>
      <c r="X77" t="s">
        <v>170</v>
      </c>
      <c r="Z77" s="462" t="str">
        <v>J214</v>
      </c>
      <c r="AA77" s="194" t="str">
        <v>J201-J214</v>
      </c>
      <c r="AG77" s="69" t="str">
        <v>J214</v>
      </c>
    </row>
    <row r="78" spans="1:33" x14ac:dyDescent="0.2">
      <c r="A78"/>
      <c r="B78"/>
      <c r="C78"/>
      <c r="D78"/>
      <c r="E78"/>
      <c r="F78" t="str">
        <f>LEFT(AllDaqbookOffsets[[#This Row],[traceability_no]],2)</f>
        <v>J1</v>
      </c>
      <c r="W78" t="s">
        <v>523</v>
      </c>
      <c r="X78" t="s">
        <v>170</v>
      </c>
      <c r="Z78" s="462" t="str">
        <v>J22</v>
      </c>
      <c r="AA78" s="194" t="str">
        <v>J01-J24</v>
      </c>
      <c r="AG78" s="69" t="str">
        <v>J22</v>
      </c>
    </row>
    <row r="79" spans="1:33" x14ac:dyDescent="0.2">
      <c r="A79"/>
      <c r="B79"/>
      <c r="C79"/>
      <c r="D79"/>
      <c r="E79"/>
      <c r="F79" t="str">
        <f>LEFT(AllDaqbookOffsets[[#This Row],[traceability_no]],2)</f>
        <v>J1</v>
      </c>
      <c r="W79" t="s">
        <v>524</v>
      </c>
      <c r="X79" t="s">
        <v>170</v>
      </c>
      <c r="Z79" s="462" t="str">
        <v>J23</v>
      </c>
      <c r="AA79" s="194" t="str">
        <v>J01-J24</v>
      </c>
      <c r="AG79" s="69" t="str">
        <v>J23</v>
      </c>
    </row>
    <row r="80" spans="1:33" x14ac:dyDescent="0.2">
      <c r="A80"/>
      <c r="B80"/>
      <c r="C80"/>
      <c r="D80"/>
      <c r="E80"/>
      <c r="F80" t="str">
        <f>LEFT(AllDaqbookOffsets[[#This Row],[traceability_no]],2)</f>
        <v>J1</v>
      </c>
      <c r="W80" t="s">
        <v>525</v>
      </c>
      <c r="X80" t="s">
        <v>170</v>
      </c>
      <c r="Z80" s="462" t="str">
        <v>J24</v>
      </c>
      <c r="AA80" s="194" t="str">
        <v>J01-J24</v>
      </c>
      <c r="AG80" s="69" t="str">
        <v>J24</v>
      </c>
    </row>
    <row r="81" spans="1:33" x14ac:dyDescent="0.2">
      <c r="A81"/>
      <c r="B81"/>
      <c r="C81"/>
      <c r="D81"/>
      <c r="E81"/>
      <c r="F81" t="str">
        <f>LEFT(AllDaqbookOffsets[[#This Row],[traceability_no]],2)</f>
        <v>J1</v>
      </c>
      <c r="W81" t="s">
        <v>526</v>
      </c>
      <c r="X81" t="s">
        <v>170</v>
      </c>
      <c r="Z81" s="462" t="str">
        <v>J301</v>
      </c>
      <c r="AA81" s="194" t="str">
        <v>J301-J314</v>
      </c>
      <c r="AG81" s="69" t="str">
        <v>J301</v>
      </c>
    </row>
    <row r="82" spans="1:33" x14ac:dyDescent="0.2">
      <c r="A82"/>
      <c r="B82"/>
      <c r="C82"/>
      <c r="D82"/>
      <c r="E82"/>
      <c r="F82" t="str">
        <f>LEFT(AllDaqbookOffsets[[#This Row],[traceability_no]],2)</f>
        <v>J1</v>
      </c>
      <c r="W82" t="s">
        <v>527</v>
      </c>
      <c r="X82" t="s">
        <v>170</v>
      </c>
      <c r="Z82" s="462" t="str">
        <v>J302</v>
      </c>
      <c r="AA82" s="194" t="str">
        <v>J301-J314</v>
      </c>
      <c r="AG82" s="69" t="str">
        <v>J302</v>
      </c>
    </row>
    <row r="83" spans="1:33" x14ac:dyDescent="0.2">
      <c r="A83"/>
      <c r="B83"/>
      <c r="C83"/>
      <c r="D83"/>
      <c r="E83"/>
      <c r="F83" t="str">
        <f>LEFT(AllDaqbookOffsets[[#This Row],[traceability_no]],2)</f>
        <v>J1</v>
      </c>
      <c r="W83" t="s">
        <v>528</v>
      </c>
      <c r="X83" t="s">
        <v>170</v>
      </c>
      <c r="Z83" s="462" t="str">
        <v>J303</v>
      </c>
      <c r="AA83" s="194" t="str">
        <v>J301-J314</v>
      </c>
      <c r="AG83" s="69" t="str">
        <v>J303</v>
      </c>
    </row>
    <row r="84" spans="1:33" x14ac:dyDescent="0.2">
      <c r="A84"/>
      <c r="B84"/>
      <c r="C84"/>
      <c r="D84"/>
      <c r="E84"/>
      <c r="F84" t="str">
        <f>LEFT(AllDaqbookOffsets[[#This Row],[traceability_no]],2)</f>
        <v>J1</v>
      </c>
      <c r="W84" t="s">
        <v>529</v>
      </c>
      <c r="X84" t="s">
        <v>170</v>
      </c>
      <c r="Z84" s="462" t="str">
        <v>J304</v>
      </c>
      <c r="AA84" s="194" t="str">
        <v>J301-J314</v>
      </c>
      <c r="AG84" s="69" t="str">
        <v>J304</v>
      </c>
    </row>
    <row r="85" spans="1:33" x14ac:dyDescent="0.2">
      <c r="A85"/>
      <c r="B85"/>
      <c r="C85"/>
      <c r="D85"/>
      <c r="E85"/>
      <c r="F85" t="str">
        <f>LEFT(AllDaqbookOffsets[[#This Row],[traceability_no]],2)</f>
        <v>J1</v>
      </c>
      <c r="W85" t="s">
        <v>530</v>
      </c>
      <c r="X85" t="s">
        <v>170</v>
      </c>
      <c r="Z85" s="462" t="str">
        <v>J305</v>
      </c>
      <c r="AA85" s="194" t="str">
        <v>J301-J314</v>
      </c>
      <c r="AG85" s="69" t="str">
        <v>J305</v>
      </c>
    </row>
    <row r="86" spans="1:33" x14ac:dyDescent="0.2">
      <c r="A86"/>
      <c r="B86"/>
      <c r="C86"/>
      <c r="D86"/>
      <c r="E86"/>
      <c r="F86" t="str">
        <f>LEFT(AllDaqbookOffsets[[#This Row],[traceability_no]],2)</f>
        <v>J1</v>
      </c>
      <c r="W86" t="s">
        <v>531</v>
      </c>
      <c r="X86" t="s">
        <v>170</v>
      </c>
      <c r="Z86" s="462" t="str">
        <v>J306</v>
      </c>
      <c r="AA86" s="194" t="str">
        <v>J301-J314</v>
      </c>
      <c r="AG86" s="69" t="str">
        <v>J306</v>
      </c>
    </row>
    <row r="87" spans="1:33" x14ac:dyDescent="0.2">
      <c r="A87"/>
      <c r="B87"/>
      <c r="C87"/>
      <c r="D87"/>
      <c r="E87"/>
      <c r="F87" t="str">
        <f>LEFT(AllDaqbookOffsets[[#This Row],[traceability_no]],2)</f>
        <v>J1</v>
      </c>
      <c r="W87" t="s">
        <v>532</v>
      </c>
      <c r="X87" t="s">
        <v>170</v>
      </c>
      <c r="Z87" s="462" t="str">
        <v>J307</v>
      </c>
      <c r="AA87" s="194" t="str">
        <v>J301-J314</v>
      </c>
      <c r="AG87" s="69" t="str">
        <v>J307</v>
      </c>
    </row>
    <row r="88" spans="1:33" x14ac:dyDescent="0.2">
      <c r="A88"/>
      <c r="B88"/>
      <c r="C88"/>
      <c r="D88"/>
      <c r="E88"/>
      <c r="F88" t="str">
        <f>LEFT(AllDaqbookOffsets[[#This Row],[traceability_no]],2)</f>
        <v>J1</v>
      </c>
      <c r="W88" t="s">
        <v>533</v>
      </c>
      <c r="X88" t="s">
        <v>171</v>
      </c>
      <c r="Z88" s="462" t="str">
        <v>J308</v>
      </c>
      <c r="AA88" s="194" t="str">
        <v>J301-J314</v>
      </c>
      <c r="AG88" s="69" t="str">
        <v>J308</v>
      </c>
    </row>
    <row r="89" spans="1:33" x14ac:dyDescent="0.2">
      <c r="A89"/>
      <c r="B89"/>
      <c r="C89"/>
      <c r="D89"/>
      <c r="E89"/>
      <c r="F89" t="str">
        <f>LEFT(AllDaqbookOffsets[[#This Row],[traceability_no]],2)</f>
        <v>J1</v>
      </c>
      <c r="W89" t="s">
        <v>534</v>
      </c>
      <c r="X89" t="s">
        <v>171</v>
      </c>
      <c r="Z89" s="462" t="str">
        <v>J309</v>
      </c>
      <c r="AA89" s="194" t="str">
        <v>J301-J314</v>
      </c>
      <c r="AG89" s="69" t="str">
        <v>J309</v>
      </c>
    </row>
    <row r="90" spans="1:33" x14ac:dyDescent="0.2">
      <c r="A90"/>
      <c r="B90"/>
      <c r="C90"/>
      <c r="D90"/>
      <c r="E90"/>
      <c r="F90" t="str">
        <f>LEFT(AllDaqbookOffsets[[#This Row],[traceability_no]],2)</f>
        <v>J1</v>
      </c>
      <c r="W90" t="s">
        <v>535</v>
      </c>
      <c r="X90" t="s">
        <v>171</v>
      </c>
      <c r="Z90" s="462" t="str">
        <v>J310</v>
      </c>
      <c r="AA90" s="194" t="str">
        <v>J301-J314</v>
      </c>
      <c r="AG90" s="69" t="str">
        <v>J310</v>
      </c>
    </row>
    <row r="91" spans="1:33" x14ac:dyDescent="0.2">
      <c r="A91"/>
      <c r="B91"/>
      <c r="C91"/>
      <c r="D91"/>
      <c r="E91"/>
      <c r="F91" t="str">
        <f>LEFT(AllDaqbookOffsets[[#This Row],[traceability_no]],2)</f>
        <v>J1</v>
      </c>
      <c r="W91" t="s">
        <v>536</v>
      </c>
      <c r="X91" t="s">
        <v>171</v>
      </c>
      <c r="Z91" s="462" t="str">
        <v>J311</v>
      </c>
      <c r="AA91" s="194" t="str">
        <v>J301-J314</v>
      </c>
      <c r="AG91" s="69" t="str">
        <v>J311</v>
      </c>
    </row>
    <row r="92" spans="1:33" x14ac:dyDescent="0.2">
      <c r="A92"/>
      <c r="B92"/>
      <c r="C92"/>
      <c r="D92"/>
      <c r="E92"/>
      <c r="F92" t="str">
        <f>LEFT(AllDaqbookOffsets[[#This Row],[traceability_no]],2)</f>
        <v>J1</v>
      </c>
      <c r="W92" t="s">
        <v>537</v>
      </c>
      <c r="X92" t="s">
        <v>171</v>
      </c>
      <c r="Z92" s="462" t="str">
        <v>J312</v>
      </c>
      <c r="AA92" s="194" t="str">
        <v>J301-J314</v>
      </c>
      <c r="AG92" s="69" t="str">
        <v>J312</v>
      </c>
    </row>
    <row r="93" spans="1:33" x14ac:dyDescent="0.2">
      <c r="A93"/>
      <c r="B93"/>
      <c r="C93"/>
      <c r="D93"/>
      <c r="E93"/>
      <c r="F93" t="str">
        <f>LEFT(AllDaqbookOffsets[[#This Row],[traceability_no]],2)</f>
        <v>J1</v>
      </c>
      <c r="W93" t="s">
        <v>538</v>
      </c>
      <c r="X93" t="s">
        <v>171</v>
      </c>
      <c r="Z93" s="462" t="str">
        <v>J313</v>
      </c>
      <c r="AA93" s="194" t="str">
        <v>J301-J314</v>
      </c>
      <c r="AG93" s="69" t="str">
        <v>J313</v>
      </c>
    </row>
    <row r="94" spans="1:33" x14ac:dyDescent="0.2">
      <c r="A94"/>
      <c r="B94"/>
      <c r="C94"/>
      <c r="D94"/>
      <c r="E94"/>
      <c r="F94" t="str">
        <f>LEFT(AllDaqbookOffsets[[#This Row],[traceability_no]],2)</f>
        <v>J1</v>
      </c>
      <c r="W94" t="s">
        <v>539</v>
      </c>
      <c r="X94" t="s">
        <v>171</v>
      </c>
      <c r="Z94" s="462" t="str">
        <v>J314</v>
      </c>
      <c r="AA94" s="194" t="str">
        <v>J301-J314</v>
      </c>
      <c r="AG94" s="69" t="str">
        <v>J314</v>
      </c>
    </row>
    <row r="95" spans="1:33" x14ac:dyDescent="0.2">
      <c r="A95"/>
      <c r="B95"/>
      <c r="C95"/>
      <c r="D95"/>
      <c r="E95"/>
      <c r="F95" t="str">
        <f>LEFT(AllDaqbookOffsets[[#This Row],[traceability_no]],2)</f>
        <v>J1</v>
      </c>
      <c r="W95" t="s">
        <v>540</v>
      </c>
      <c r="X95" t="s">
        <v>171</v>
      </c>
      <c r="Z95" s="462" t="str">
        <v>J501</v>
      </c>
      <c r="AA95" s="194" t="str">
        <v>J501-J514</v>
      </c>
      <c r="AG95" s="69" t="str">
        <v>J501</v>
      </c>
    </row>
    <row r="96" spans="1:33" x14ac:dyDescent="0.2">
      <c r="A96"/>
      <c r="B96"/>
      <c r="C96"/>
      <c r="D96"/>
      <c r="E96"/>
      <c r="F96" t="str">
        <f>LEFT(AllDaqbookOffsets[[#This Row],[traceability_no]],2)</f>
        <v>J1</v>
      </c>
      <c r="W96" t="s">
        <v>541</v>
      </c>
      <c r="X96" t="s">
        <v>171</v>
      </c>
      <c r="Z96" s="462" t="str">
        <v>J502</v>
      </c>
      <c r="AA96" s="194" t="str">
        <v>J501-J514</v>
      </c>
      <c r="AG96" s="69" t="str">
        <v>J502</v>
      </c>
    </row>
    <row r="97" spans="1:33" x14ac:dyDescent="0.2">
      <c r="A97"/>
      <c r="B97"/>
      <c r="C97"/>
      <c r="D97"/>
      <c r="E97"/>
      <c r="F97" t="str">
        <f>LEFT(AllDaqbookOffsets[[#This Row],[traceability_no]],2)</f>
        <v>J1</v>
      </c>
      <c r="W97" t="s">
        <v>542</v>
      </c>
      <c r="X97" t="s">
        <v>171</v>
      </c>
      <c r="Z97" s="462" t="str">
        <v>J503</v>
      </c>
      <c r="AA97" s="194" t="str">
        <v>J501-J514</v>
      </c>
      <c r="AG97" s="69" t="str">
        <v>J503</v>
      </c>
    </row>
    <row r="98" spans="1:33" x14ac:dyDescent="0.2">
      <c r="A98"/>
      <c r="B98"/>
      <c r="C98"/>
      <c r="D98"/>
      <c r="E98"/>
      <c r="F98" t="str">
        <f>LEFT(AllDaqbookOffsets[[#This Row],[traceability_no]],2)</f>
        <v>J1</v>
      </c>
      <c r="W98" t="s">
        <v>543</v>
      </c>
      <c r="X98" t="s">
        <v>172</v>
      </c>
      <c r="Z98" s="462" t="str">
        <v>J504</v>
      </c>
      <c r="AA98" s="194" t="str">
        <v>J501-J514</v>
      </c>
      <c r="AG98" s="69" t="str">
        <v>J504</v>
      </c>
    </row>
    <row r="99" spans="1:33" x14ac:dyDescent="0.2">
      <c r="A99"/>
      <c r="B99"/>
      <c r="C99"/>
      <c r="D99"/>
      <c r="E99"/>
      <c r="F99" t="str">
        <f>LEFT(AllDaqbookOffsets[[#This Row],[traceability_no]],2)</f>
        <v>J1</v>
      </c>
      <c r="W99" t="s">
        <v>544</v>
      </c>
      <c r="X99" t="s">
        <v>172</v>
      </c>
      <c r="Z99" s="462" t="str">
        <v>J505</v>
      </c>
      <c r="AA99" s="194" t="str">
        <v>J501-J514</v>
      </c>
      <c r="AG99" s="69" t="str">
        <v>J505</v>
      </c>
    </row>
    <row r="100" spans="1:33" x14ac:dyDescent="0.2">
      <c r="A100"/>
      <c r="B100"/>
      <c r="C100"/>
      <c r="D100"/>
      <c r="E100"/>
      <c r="F100" t="str">
        <f>LEFT(AllDaqbookOffsets[[#This Row],[traceability_no]],2)</f>
        <v>J1</v>
      </c>
      <c r="W100" t="s">
        <v>545</v>
      </c>
      <c r="X100" t="s">
        <v>172</v>
      </c>
      <c r="Z100" s="462" t="str">
        <v>J506</v>
      </c>
      <c r="AA100" s="194" t="str">
        <v>J501-J514</v>
      </c>
      <c r="AG100" s="69" t="str">
        <v>J506</v>
      </c>
    </row>
    <row r="101" spans="1:33" x14ac:dyDescent="0.2">
      <c r="A101"/>
      <c r="B101"/>
      <c r="C101"/>
      <c r="D101"/>
      <c r="E101"/>
      <c r="F101" t="str">
        <f>LEFT(AllDaqbookOffsets[[#This Row],[traceability_no]],2)</f>
        <v>J1</v>
      </c>
      <c r="W101" t="s">
        <v>546</v>
      </c>
      <c r="X101" t="s">
        <v>172</v>
      </c>
      <c r="Z101" s="462" t="str">
        <v>J507</v>
      </c>
      <c r="AA101" s="194" t="str">
        <v>J501-J514</v>
      </c>
      <c r="AG101" s="69" t="str">
        <v>J507</v>
      </c>
    </row>
    <row r="102" spans="1:33" x14ac:dyDescent="0.2">
      <c r="A102"/>
      <c r="B102"/>
      <c r="C102"/>
      <c r="D102"/>
      <c r="E102"/>
      <c r="F102" t="str">
        <f>LEFT(AllDaqbookOffsets[[#This Row],[traceability_no]],2)</f>
        <v>J1</v>
      </c>
      <c r="W102" t="s">
        <v>547</v>
      </c>
      <c r="X102" t="s">
        <v>172</v>
      </c>
      <c r="Z102" s="462" t="str">
        <v>J508</v>
      </c>
      <c r="AA102" s="194" t="str">
        <v>J501-J514</v>
      </c>
      <c r="AG102" s="69" t="str">
        <v>J508</v>
      </c>
    </row>
    <row r="103" spans="1:33" x14ac:dyDescent="0.2">
      <c r="A103"/>
      <c r="B103"/>
      <c r="C103"/>
      <c r="D103"/>
      <c r="E103"/>
      <c r="F103" t="str">
        <f>LEFT(AllDaqbookOffsets[[#This Row],[traceability_no]],2)</f>
        <v>J1</v>
      </c>
      <c r="W103" t="s">
        <v>548</v>
      </c>
      <c r="X103" t="s">
        <v>172</v>
      </c>
      <c r="Z103" s="462" t="str">
        <v>J509</v>
      </c>
      <c r="AA103" s="194" t="str">
        <v>J501-J514</v>
      </c>
      <c r="AG103" s="69" t="str">
        <v>J509</v>
      </c>
    </row>
    <row r="104" spans="1:33" x14ac:dyDescent="0.2">
      <c r="A104"/>
      <c r="B104"/>
      <c r="C104"/>
      <c r="D104"/>
      <c r="E104"/>
      <c r="F104" t="str">
        <f>LEFT(AllDaqbookOffsets[[#This Row],[traceability_no]],2)</f>
        <v>J1</v>
      </c>
      <c r="W104" t="s">
        <v>549</v>
      </c>
      <c r="X104" t="s">
        <v>172</v>
      </c>
      <c r="Z104" s="462" t="str">
        <v>J510</v>
      </c>
      <c r="AA104" s="194" t="str">
        <v>J501-J514</v>
      </c>
      <c r="AG104" s="69" t="str">
        <v>J510</v>
      </c>
    </row>
    <row r="105" spans="1:33" x14ac:dyDescent="0.2">
      <c r="A105"/>
      <c r="B105"/>
      <c r="C105"/>
      <c r="D105"/>
      <c r="E105"/>
      <c r="F105" t="str">
        <f>LEFT(AllDaqbookOffsets[[#This Row],[traceability_no]],2)</f>
        <v>J1</v>
      </c>
      <c r="W105" t="s">
        <v>550</v>
      </c>
      <c r="X105" t="s">
        <v>172</v>
      </c>
      <c r="Z105" s="462" t="str">
        <v>J511</v>
      </c>
      <c r="AA105" s="194" t="str">
        <v>J501-J514</v>
      </c>
      <c r="AG105" s="69" t="str">
        <v>J511</v>
      </c>
    </row>
    <row r="106" spans="1:33" x14ac:dyDescent="0.2">
      <c r="A106"/>
      <c r="B106"/>
      <c r="C106"/>
      <c r="D106"/>
      <c r="E106"/>
      <c r="F106" t="str">
        <f>LEFT(AllDaqbookOffsets[[#This Row],[traceability_no]],2)</f>
        <v>J1</v>
      </c>
      <c r="W106" t="s">
        <v>551</v>
      </c>
      <c r="X106" t="s">
        <v>172</v>
      </c>
      <c r="Z106" s="462" t="str">
        <v>J512</v>
      </c>
      <c r="AA106" s="194" t="str">
        <v>J501-J514</v>
      </c>
      <c r="AG106" s="69" t="str">
        <v>J512</v>
      </c>
    </row>
    <row r="107" spans="1:33" x14ac:dyDescent="0.2">
      <c r="A107"/>
      <c r="B107"/>
      <c r="C107"/>
      <c r="D107"/>
      <c r="E107"/>
      <c r="F107" t="str">
        <f>LEFT(AllDaqbookOffsets[[#This Row],[traceability_no]],2)</f>
        <v>J1</v>
      </c>
      <c r="W107" t="s">
        <v>552</v>
      </c>
      <c r="X107" t="s">
        <v>172</v>
      </c>
      <c r="Z107" s="462" t="str">
        <v>J513</v>
      </c>
      <c r="AA107" s="194" t="str">
        <v>J501-J514</v>
      </c>
      <c r="AG107" s="69" t="str">
        <v>J513</v>
      </c>
    </row>
    <row r="108" spans="1:33" x14ac:dyDescent="0.2">
      <c r="A108"/>
      <c r="B108"/>
      <c r="C108"/>
      <c r="D108"/>
      <c r="E108"/>
      <c r="F108" t="str">
        <f>LEFT(AllDaqbookOffsets[[#This Row],[traceability_no]],2)</f>
        <v>J1</v>
      </c>
      <c r="W108" t="s">
        <v>553</v>
      </c>
      <c r="X108" t="s">
        <v>299</v>
      </c>
      <c r="Z108" s="462" t="str">
        <v>J514</v>
      </c>
      <c r="AA108" s="194" t="str">
        <v>J501-J514</v>
      </c>
      <c r="AG108" s="69" t="str">
        <v>J514</v>
      </c>
    </row>
    <row r="109" spans="1:33" x14ac:dyDescent="0.2">
      <c r="A109"/>
      <c r="B109"/>
      <c r="C109"/>
      <c r="D109"/>
      <c r="E109"/>
      <c r="F109" t="str">
        <f>LEFT(AllDaqbookOffsets[[#This Row],[traceability_no]],2)</f>
        <v>J1</v>
      </c>
      <c r="W109" t="s">
        <v>554</v>
      </c>
      <c r="X109" t="s">
        <v>299</v>
      </c>
      <c r="Z109" s="462" t="str">
        <v>J601</v>
      </c>
      <c r="AA109" s="194" t="str">
        <v>J601-J610</v>
      </c>
      <c r="AG109" s="69" t="str">
        <v>J601</v>
      </c>
    </row>
    <row r="110" spans="1:33" x14ac:dyDescent="0.2">
      <c r="A110"/>
      <c r="B110"/>
      <c r="C110"/>
      <c r="D110"/>
      <c r="E110"/>
      <c r="F110" t="str">
        <f>LEFT(AllDaqbookOffsets[[#This Row],[traceability_no]],2)</f>
        <v>J1</v>
      </c>
      <c r="W110" t="s">
        <v>555</v>
      </c>
      <c r="X110" t="s">
        <v>299</v>
      </c>
      <c r="Z110" s="462" t="str">
        <v>J602</v>
      </c>
      <c r="AA110" s="194" t="str">
        <v>J601-J610</v>
      </c>
      <c r="AG110" s="69" t="str">
        <v>J602</v>
      </c>
    </row>
    <row r="111" spans="1:33" x14ac:dyDescent="0.2">
      <c r="A111"/>
      <c r="B111"/>
      <c r="C111"/>
      <c r="D111"/>
      <c r="E111"/>
      <c r="F111" t="str">
        <f>LEFT(AllDaqbookOffsets[[#This Row],[traceability_no]],2)</f>
        <v>J1</v>
      </c>
      <c r="W111" t="s">
        <v>556</v>
      </c>
      <c r="X111" t="s">
        <v>299</v>
      </c>
      <c r="Z111" s="462" t="str">
        <v>J603</v>
      </c>
      <c r="AA111" s="194" t="str">
        <v>J601-J610</v>
      </c>
      <c r="AG111" s="69" t="str">
        <v>J603</v>
      </c>
    </row>
    <row r="112" spans="1:33" x14ac:dyDescent="0.2">
      <c r="A112"/>
      <c r="B112"/>
      <c r="C112"/>
      <c r="D112"/>
      <c r="E112"/>
      <c r="F112" t="str">
        <f>LEFT(AllDaqbookOffsets[[#This Row],[traceability_no]],2)</f>
        <v>J1</v>
      </c>
      <c r="W112" t="s">
        <v>557</v>
      </c>
      <c r="X112" t="s">
        <v>299</v>
      </c>
      <c r="Z112" s="462" t="str">
        <v>J604</v>
      </c>
      <c r="AA112" s="194" t="str">
        <v>J601-J610</v>
      </c>
      <c r="AG112" s="69" t="str">
        <v>J604</v>
      </c>
    </row>
    <row r="113" spans="1:33" x14ac:dyDescent="0.2">
      <c r="A113"/>
      <c r="B113"/>
      <c r="C113"/>
      <c r="D113"/>
      <c r="E113"/>
      <c r="F113" t="str">
        <f>LEFT(AllDaqbookOffsets[[#This Row],[traceability_no]],2)</f>
        <v>J1</v>
      </c>
      <c r="W113" t="s">
        <v>558</v>
      </c>
      <c r="X113" t="s">
        <v>299</v>
      </c>
      <c r="Z113" s="462" t="str">
        <v>J605</v>
      </c>
      <c r="AA113" s="194" t="str">
        <v>J601-J610</v>
      </c>
      <c r="AG113" s="69" t="str">
        <v>J605</v>
      </c>
    </row>
    <row r="114" spans="1:33" x14ac:dyDescent="0.2">
      <c r="A114"/>
      <c r="B114"/>
      <c r="C114"/>
      <c r="D114"/>
      <c r="E114"/>
      <c r="F114" t="str">
        <f>LEFT(AllDaqbookOffsets[[#This Row],[traceability_no]],2)</f>
        <v>J1</v>
      </c>
      <c r="W114" t="s">
        <v>559</v>
      </c>
      <c r="X114" t="s">
        <v>299</v>
      </c>
      <c r="Z114" s="462" t="str">
        <v>J606</v>
      </c>
      <c r="AA114" s="194" t="str">
        <v>J601-J610</v>
      </c>
      <c r="AG114" s="69" t="str">
        <v>J606</v>
      </c>
    </row>
    <row r="115" spans="1:33" x14ac:dyDescent="0.2">
      <c r="A115"/>
      <c r="B115"/>
      <c r="C115"/>
      <c r="D115"/>
      <c r="E115"/>
      <c r="F115" t="str">
        <f>LEFT(AllDaqbookOffsets[[#This Row],[traceability_no]],2)</f>
        <v>J1</v>
      </c>
      <c r="W115" t="s">
        <v>560</v>
      </c>
      <c r="X115" t="s">
        <v>299</v>
      </c>
      <c r="Z115" s="462" t="str">
        <v>J607</v>
      </c>
      <c r="AA115" s="194" t="str">
        <v>J601-J610</v>
      </c>
      <c r="AG115" s="69" t="str">
        <v>J607</v>
      </c>
    </row>
    <row r="116" spans="1:33" x14ac:dyDescent="0.2">
      <c r="A116"/>
      <c r="B116"/>
      <c r="C116"/>
      <c r="D116"/>
      <c r="E116"/>
      <c r="F116" t="str">
        <f>LEFT(AllDaqbookOffsets[[#This Row],[traceability_no]],2)</f>
        <v>J1</v>
      </c>
      <c r="W116" t="s">
        <v>561</v>
      </c>
      <c r="X116" t="s">
        <v>299</v>
      </c>
      <c r="Z116" s="462" t="str">
        <v>J608</v>
      </c>
      <c r="AA116" s="194" t="str">
        <v>J601-J610</v>
      </c>
      <c r="AG116" s="69" t="str">
        <v>J608</v>
      </c>
    </row>
    <row r="117" spans="1:33" x14ac:dyDescent="0.2">
      <c r="A117"/>
      <c r="B117"/>
      <c r="C117"/>
      <c r="D117"/>
      <c r="E117"/>
      <c r="F117" t="str">
        <f>LEFT(AllDaqbookOffsets[[#This Row],[traceability_no]],2)</f>
        <v>J1</v>
      </c>
      <c r="W117" t="s">
        <v>562</v>
      </c>
      <c r="X117" t="s">
        <v>299</v>
      </c>
      <c r="Z117" s="462" t="str">
        <v>J609</v>
      </c>
      <c r="AA117" s="194" t="str">
        <v>J601-J610</v>
      </c>
      <c r="AG117" s="69" t="str">
        <v>J609</v>
      </c>
    </row>
    <row r="118" spans="1:33" x14ac:dyDescent="0.2">
      <c r="A118"/>
      <c r="B118"/>
      <c r="C118"/>
      <c r="D118"/>
      <c r="E118"/>
      <c r="F118" t="str">
        <f>LEFT(AllDaqbookOffsets[[#This Row],[traceability_no]],2)</f>
        <v>J1</v>
      </c>
      <c r="W118" t="s">
        <v>569</v>
      </c>
      <c r="X118" t="s">
        <v>174</v>
      </c>
      <c r="Z118" s="462" t="str">
        <v>J610</v>
      </c>
      <c r="AA118" s="194" t="str">
        <v>J601-J610</v>
      </c>
      <c r="AG118" s="69" t="str">
        <v>J610</v>
      </c>
    </row>
    <row r="119" spans="1:33" x14ac:dyDescent="0.2">
      <c r="A119"/>
      <c r="B119"/>
      <c r="C119"/>
      <c r="D119"/>
      <c r="E119"/>
      <c r="F119" t="str">
        <f>LEFT(AllDaqbookOffsets[[#This Row],[traceability_no]],2)</f>
        <v>J1</v>
      </c>
      <c r="W119" t="s">
        <v>570</v>
      </c>
      <c r="X119" t="s">
        <v>174</v>
      </c>
      <c r="Z119" s="462" t="str">
        <v>J701</v>
      </c>
      <c r="AA119" s="194" t="str">
        <v>J701-J710</v>
      </c>
      <c r="AG119" s="69" t="str">
        <v>J701</v>
      </c>
    </row>
    <row r="120" spans="1:33" x14ac:dyDescent="0.2">
      <c r="A120"/>
      <c r="B120"/>
      <c r="C120"/>
      <c r="D120"/>
      <c r="E120"/>
      <c r="F120" t="str">
        <f>LEFT(AllDaqbookOffsets[[#This Row],[traceability_no]],2)</f>
        <v>J1</v>
      </c>
      <c r="W120" t="s">
        <v>571</v>
      </c>
      <c r="X120" t="s">
        <v>174</v>
      </c>
      <c r="Z120" s="462" t="str">
        <v>J702</v>
      </c>
      <c r="AA120" s="194" t="str">
        <v>J701-J710</v>
      </c>
      <c r="AG120" s="69" t="str">
        <v>J702</v>
      </c>
    </row>
    <row r="121" spans="1:33" x14ac:dyDescent="0.2">
      <c r="A121"/>
      <c r="B121"/>
      <c r="C121"/>
      <c r="D121"/>
      <c r="E121"/>
      <c r="F121" t="str">
        <f>LEFT(AllDaqbookOffsets[[#This Row],[traceability_no]],2)</f>
        <v>J1</v>
      </c>
      <c r="W121" t="s">
        <v>572</v>
      </c>
      <c r="X121" t="s">
        <v>174</v>
      </c>
      <c r="Z121" s="462" t="str">
        <v>J703</v>
      </c>
      <c r="AA121" s="194" t="str">
        <v>J701-J710</v>
      </c>
      <c r="AG121" s="69" t="str">
        <v>J703</v>
      </c>
    </row>
    <row r="122" spans="1:33" x14ac:dyDescent="0.2">
      <c r="A122"/>
      <c r="B122"/>
      <c r="C122"/>
      <c r="D122"/>
      <c r="E122"/>
      <c r="F122" t="str">
        <f>LEFT(AllDaqbookOffsets[[#This Row],[traceability_no]],2)</f>
        <v>J1</v>
      </c>
      <c r="W122" t="s">
        <v>573</v>
      </c>
      <c r="X122" t="s">
        <v>174</v>
      </c>
      <c r="Z122" s="462" t="str">
        <v>J704</v>
      </c>
      <c r="AA122" s="194" t="str">
        <v>J701-J710</v>
      </c>
      <c r="AG122" s="69" t="str">
        <v>J704</v>
      </c>
    </row>
    <row r="123" spans="1:33" x14ac:dyDescent="0.2">
      <c r="A123"/>
      <c r="B123"/>
      <c r="C123"/>
      <c r="D123"/>
      <c r="E123"/>
      <c r="F123" t="str">
        <f>LEFT(AllDaqbookOffsets[[#This Row],[traceability_no]],2)</f>
        <v>J1</v>
      </c>
      <c r="W123" t="s">
        <v>574</v>
      </c>
      <c r="X123" t="s">
        <v>174</v>
      </c>
      <c r="Z123" s="462" t="str">
        <v>J705</v>
      </c>
      <c r="AA123" s="194" t="str">
        <v>J701-J710</v>
      </c>
      <c r="AG123" s="69" t="str">
        <v>J705</v>
      </c>
    </row>
    <row r="124" spans="1:33" x14ac:dyDescent="0.2">
      <c r="A124"/>
      <c r="B124"/>
      <c r="C124"/>
      <c r="D124"/>
      <c r="E124"/>
      <c r="F124" t="str">
        <f>LEFT(AllDaqbookOffsets[[#This Row],[traceability_no]],2)</f>
        <v>J1</v>
      </c>
      <c r="W124" t="s">
        <v>575</v>
      </c>
      <c r="X124" t="s">
        <v>174</v>
      </c>
      <c r="Z124" s="462" t="str">
        <v>J706</v>
      </c>
      <c r="AA124" s="194" t="str">
        <v>J701-J710</v>
      </c>
      <c r="AG124" s="69" t="str">
        <v>J706</v>
      </c>
    </row>
    <row r="125" spans="1:33" x14ac:dyDescent="0.2">
      <c r="A125"/>
      <c r="B125"/>
      <c r="C125"/>
      <c r="D125"/>
      <c r="E125"/>
      <c r="F125" t="str">
        <f>LEFT(AllDaqbookOffsets[[#This Row],[traceability_no]],2)</f>
        <v>J1</v>
      </c>
      <c r="W125" t="s">
        <v>576</v>
      </c>
      <c r="X125" t="s">
        <v>174</v>
      </c>
      <c r="Z125" s="462" t="str">
        <v>J707</v>
      </c>
      <c r="AA125" s="194" t="str">
        <v>J701-J710</v>
      </c>
      <c r="AG125" s="69" t="str">
        <v>J707</v>
      </c>
    </row>
    <row r="126" spans="1:33" x14ac:dyDescent="0.2">
      <c r="A126"/>
      <c r="B126"/>
      <c r="C126"/>
      <c r="D126"/>
      <c r="E126"/>
      <c r="F126" t="str">
        <f>LEFT(AllDaqbookOffsets[[#This Row],[traceability_no]],2)</f>
        <v>J1</v>
      </c>
      <c r="W126" t="s">
        <v>577</v>
      </c>
      <c r="X126" t="s">
        <v>174</v>
      </c>
      <c r="Z126" s="462" t="str">
        <v>J708</v>
      </c>
      <c r="AA126" s="194" t="str">
        <v>J701-J710</v>
      </c>
      <c r="AG126" s="69" t="str">
        <v>J708</v>
      </c>
    </row>
    <row r="127" spans="1:33" x14ac:dyDescent="0.2">
      <c r="A127"/>
      <c r="B127"/>
      <c r="C127"/>
      <c r="D127"/>
      <c r="E127"/>
      <c r="F127" t="str">
        <f>LEFT(AllDaqbookOffsets[[#This Row],[traceability_no]],2)</f>
        <v>J1</v>
      </c>
      <c r="W127" t="s">
        <v>563</v>
      </c>
      <c r="X127" t="s">
        <v>299</v>
      </c>
      <c r="Z127" s="462" t="str">
        <v>J709</v>
      </c>
      <c r="AA127" s="194" t="str">
        <v>J701-J710</v>
      </c>
      <c r="AG127" s="69" t="str">
        <v>J709</v>
      </c>
    </row>
    <row r="128" spans="1:33" x14ac:dyDescent="0.2">
      <c r="A128"/>
      <c r="B128"/>
      <c r="C128"/>
      <c r="D128"/>
      <c r="E128"/>
      <c r="F128" t="str">
        <f>LEFT(AllDaqbookOffsets[[#This Row],[traceability_no]],2)</f>
        <v>J1</v>
      </c>
      <c r="W128" t="s">
        <v>578</v>
      </c>
      <c r="X128" t="s">
        <v>174</v>
      </c>
      <c r="Z128" s="462" t="str">
        <v>J710</v>
      </c>
      <c r="AA128" s="194" t="str">
        <v>J701-J710</v>
      </c>
      <c r="AG128" s="69" t="str">
        <v>J710</v>
      </c>
    </row>
    <row r="129" spans="1:33" x14ac:dyDescent="0.2">
      <c r="A129"/>
      <c r="B129"/>
      <c r="C129"/>
      <c r="D129"/>
      <c r="E129"/>
      <c r="F129" t="str">
        <f>LEFT(AllDaqbookOffsets[[#This Row],[traceability_no]],2)</f>
        <v>J1</v>
      </c>
      <c r="W129" t="s">
        <v>564</v>
      </c>
      <c r="X129" t="s">
        <v>299</v>
      </c>
      <c r="Z129" s="462" t="str">
        <v>K01</v>
      </c>
      <c r="AA129" s="194" t="str">
        <v>K01-K16</v>
      </c>
      <c r="AG129" s="69" t="str">
        <v>K01</v>
      </c>
    </row>
    <row r="130" spans="1:33" x14ac:dyDescent="0.2">
      <c r="A130"/>
      <c r="B130"/>
      <c r="C130"/>
      <c r="D130"/>
      <c r="E130"/>
      <c r="F130" t="str">
        <f>LEFT(AllDaqbookOffsets[[#This Row],[traceability_no]],2)</f>
        <v>J1</v>
      </c>
      <c r="W130" t="s">
        <v>565</v>
      </c>
      <c r="X130" t="s">
        <v>299</v>
      </c>
      <c r="Z130" s="462" t="str">
        <v>K02</v>
      </c>
      <c r="AA130" s="194" t="str">
        <v>K01-K16</v>
      </c>
      <c r="AG130" s="69" t="str">
        <v>K02</v>
      </c>
    </row>
    <row r="131" spans="1:33" x14ac:dyDescent="0.2">
      <c r="A131"/>
      <c r="B131"/>
      <c r="C131"/>
      <c r="D131"/>
      <c r="E131"/>
      <c r="F131" t="str">
        <f>LEFT(AllDaqbookOffsets[[#This Row],[traceability_no]],2)</f>
        <v>J1</v>
      </c>
      <c r="W131" t="s">
        <v>566</v>
      </c>
      <c r="X131" t="s">
        <v>299</v>
      </c>
      <c r="Z131" s="462" t="str">
        <v>K03</v>
      </c>
      <c r="AA131" s="194" t="str">
        <v>K01-K16</v>
      </c>
      <c r="AG131" s="69" t="str">
        <v>K03</v>
      </c>
    </row>
    <row r="132" spans="1:33" x14ac:dyDescent="0.2">
      <c r="A132"/>
      <c r="B132"/>
      <c r="C132"/>
      <c r="D132"/>
      <c r="E132"/>
      <c r="F132" t="str">
        <f>LEFT(AllDaqbookOffsets[[#This Row],[traceability_no]],2)</f>
        <v>J1</v>
      </c>
      <c r="W132" t="s">
        <v>567</v>
      </c>
      <c r="X132" t="s">
        <v>299</v>
      </c>
      <c r="Z132" s="462" t="str">
        <v>K04</v>
      </c>
      <c r="AA132" s="194" t="str">
        <v>K01-K16</v>
      </c>
      <c r="AG132" s="69" t="str">
        <v>K04</v>
      </c>
    </row>
    <row r="133" spans="1:33" x14ac:dyDescent="0.2">
      <c r="A133"/>
      <c r="B133"/>
      <c r="C133"/>
      <c r="D133"/>
      <c r="E133"/>
      <c r="F133" t="str">
        <f>LEFT(AllDaqbookOffsets[[#This Row],[traceability_no]],2)</f>
        <v>J1</v>
      </c>
      <c r="W133" t="s">
        <v>568</v>
      </c>
      <c r="X133" t="s">
        <v>299</v>
      </c>
      <c r="Z133" s="462" t="str">
        <v>K05</v>
      </c>
      <c r="AA133" s="194" t="str">
        <v>K01-K16</v>
      </c>
      <c r="AG133" s="69" t="str">
        <v>K05</v>
      </c>
    </row>
    <row r="134" spans="1:33" x14ac:dyDescent="0.2">
      <c r="A134"/>
      <c r="B134"/>
      <c r="C134"/>
      <c r="D134"/>
      <c r="E134"/>
      <c r="F134" t="str">
        <f>LEFT(AllDaqbookOffsets[[#This Row],[traceability_no]],2)</f>
        <v>J1</v>
      </c>
      <c r="W134" t="s">
        <v>579</v>
      </c>
      <c r="X134" t="s">
        <v>175</v>
      </c>
      <c r="Z134" s="462" t="str">
        <v>K06</v>
      </c>
      <c r="AA134" s="194" t="str">
        <v>K01-K16</v>
      </c>
      <c r="AG134" s="69" t="str">
        <v>K06</v>
      </c>
    </row>
    <row r="135" spans="1:33" x14ac:dyDescent="0.2">
      <c r="A135"/>
      <c r="B135"/>
      <c r="C135"/>
      <c r="D135"/>
      <c r="E135"/>
      <c r="F135" t="str">
        <f>LEFT(AllDaqbookOffsets[[#This Row],[traceability_no]],2)</f>
        <v>J1</v>
      </c>
      <c r="W135" t="s">
        <v>580</v>
      </c>
      <c r="X135" t="s">
        <v>175</v>
      </c>
      <c r="Z135" s="462" t="str">
        <v>K07</v>
      </c>
      <c r="AA135" s="194" t="str">
        <v>K01-K16</v>
      </c>
      <c r="AG135" s="69" t="str">
        <v>K07</v>
      </c>
    </row>
    <row r="136" spans="1:33" x14ac:dyDescent="0.2">
      <c r="A136"/>
      <c r="B136"/>
      <c r="C136"/>
      <c r="D136"/>
      <c r="E136"/>
      <c r="F136" t="str">
        <f>LEFT(AllDaqbookOffsets[[#This Row],[traceability_no]],2)</f>
        <v>J1</v>
      </c>
      <c r="W136" t="s">
        <v>581</v>
      </c>
      <c r="X136" t="s">
        <v>175</v>
      </c>
      <c r="Z136" s="462" t="str">
        <v>K08</v>
      </c>
      <c r="AA136" s="194" t="str">
        <v>K01-K16</v>
      </c>
      <c r="AG136" s="69" t="str">
        <v>K08</v>
      </c>
    </row>
    <row r="137" spans="1:33" x14ac:dyDescent="0.2">
      <c r="A137"/>
      <c r="B137"/>
      <c r="C137"/>
      <c r="D137"/>
      <c r="E137"/>
      <c r="F137" t="str">
        <f>LEFT(AllDaqbookOffsets[[#This Row],[traceability_no]],2)</f>
        <v>J1</v>
      </c>
      <c r="W137" t="s">
        <v>582</v>
      </c>
      <c r="X137" t="s">
        <v>175</v>
      </c>
      <c r="Z137" s="462" t="str">
        <v>K09</v>
      </c>
      <c r="AA137" s="194" t="str">
        <v>K01-K16</v>
      </c>
      <c r="AG137" s="69" t="str">
        <v>K09</v>
      </c>
    </row>
    <row r="138" spans="1:33" x14ac:dyDescent="0.2">
      <c r="A138"/>
      <c r="B138"/>
      <c r="C138"/>
      <c r="D138"/>
      <c r="E138"/>
      <c r="F138" t="str">
        <f>LEFT(AllDaqbookOffsets[[#This Row],[traceability_no]],2)</f>
        <v>J1</v>
      </c>
      <c r="W138" t="s">
        <v>583</v>
      </c>
      <c r="X138" t="s">
        <v>175</v>
      </c>
      <c r="Z138" s="462" t="str">
        <v>K10</v>
      </c>
      <c r="AA138" s="194" t="str">
        <v>K01-K16</v>
      </c>
      <c r="AG138" s="69" t="str">
        <v>K10</v>
      </c>
    </row>
    <row r="139" spans="1:33" x14ac:dyDescent="0.2">
      <c r="A139"/>
      <c r="B139"/>
      <c r="C139"/>
      <c r="D139"/>
      <c r="E139"/>
      <c r="F139" t="str">
        <f>LEFT(AllDaqbookOffsets[[#This Row],[traceability_no]],2)</f>
        <v>J1</v>
      </c>
      <c r="W139" t="s">
        <v>584</v>
      </c>
      <c r="X139" t="s">
        <v>175</v>
      </c>
      <c r="Z139" s="462" t="str">
        <v>K101</v>
      </c>
      <c r="AA139" s="194" t="str">
        <v>K101 - K110</v>
      </c>
      <c r="AG139" s="69" t="str">
        <v>K101</v>
      </c>
    </row>
    <row r="140" spans="1:33" x14ac:dyDescent="0.2">
      <c r="A140"/>
      <c r="B140"/>
      <c r="C140"/>
      <c r="D140"/>
      <c r="E140"/>
      <c r="F140" t="str">
        <f>LEFT(AllDaqbookOffsets[[#This Row],[traceability_no]],2)</f>
        <v>J1</v>
      </c>
      <c r="W140" t="s">
        <v>585</v>
      </c>
      <c r="X140" t="s">
        <v>175</v>
      </c>
      <c r="Z140" s="462" t="str">
        <v>K102</v>
      </c>
      <c r="AA140" s="194" t="str">
        <v>K101 - K110</v>
      </c>
      <c r="AG140" s="69" t="str">
        <v>K102</v>
      </c>
    </row>
    <row r="141" spans="1:33" x14ac:dyDescent="0.2">
      <c r="A141"/>
      <c r="B141"/>
      <c r="C141"/>
      <c r="D141"/>
      <c r="E141"/>
      <c r="F141" t="str">
        <f>LEFT(AllDaqbookOffsets[[#This Row],[traceability_no]],2)</f>
        <v>J1</v>
      </c>
      <c r="W141" t="s">
        <v>586</v>
      </c>
      <c r="X141" t="s">
        <v>175</v>
      </c>
      <c r="Z141" s="462" t="str">
        <v>K103</v>
      </c>
      <c r="AA141" s="194" t="str">
        <v>K101 - K110</v>
      </c>
      <c r="AG141" s="69" t="str">
        <v>K103</v>
      </c>
    </row>
    <row r="142" spans="1:33" x14ac:dyDescent="0.2">
      <c r="A142"/>
      <c r="B142"/>
      <c r="C142"/>
      <c r="D142"/>
      <c r="E142"/>
      <c r="F142" t="str">
        <f>LEFT(AllDaqbookOffsets[[#This Row],[traceability_no]],2)</f>
        <v>J1</v>
      </c>
      <c r="W142" t="s">
        <v>587</v>
      </c>
      <c r="X142" t="s">
        <v>175</v>
      </c>
      <c r="Z142" s="462" t="str">
        <v>K104</v>
      </c>
      <c r="AA142" s="194" t="str">
        <v>K101 - K110</v>
      </c>
      <c r="AG142" s="69" t="str">
        <v>K104</v>
      </c>
    </row>
    <row r="143" spans="1:33" x14ac:dyDescent="0.2">
      <c r="A143"/>
      <c r="B143"/>
      <c r="C143"/>
      <c r="D143"/>
      <c r="E143"/>
      <c r="F143" t="str">
        <f>LEFT(AllDaqbookOffsets[[#This Row],[traceability_no]],2)</f>
        <v>J1</v>
      </c>
      <c r="W143" t="s">
        <v>588</v>
      </c>
      <c r="X143" t="s">
        <v>175</v>
      </c>
      <c r="Z143" s="462" t="str">
        <v>K105</v>
      </c>
      <c r="AA143" s="194" t="str">
        <v>K101 - K110</v>
      </c>
      <c r="AG143" s="69" t="str">
        <v>K105</v>
      </c>
    </row>
    <row r="144" spans="1:33" x14ac:dyDescent="0.2">
      <c r="A144"/>
      <c r="B144"/>
      <c r="C144"/>
      <c r="D144"/>
      <c r="E144"/>
      <c r="F144" t="str">
        <f>LEFT(AllDaqbookOffsets[[#This Row],[traceability_no]],2)</f>
        <v>J1</v>
      </c>
      <c r="W144" t="s">
        <v>589</v>
      </c>
      <c r="X144" t="s">
        <v>175</v>
      </c>
      <c r="Z144" s="462" t="str">
        <v>K106</v>
      </c>
      <c r="AA144" s="194" t="str">
        <v>K101 - K110</v>
      </c>
      <c r="AG144" s="69" t="str">
        <v>K106</v>
      </c>
    </row>
    <row r="145" spans="1:33" x14ac:dyDescent="0.2">
      <c r="A145"/>
      <c r="B145"/>
      <c r="C145"/>
      <c r="D145"/>
      <c r="E145"/>
      <c r="F145" t="str">
        <f>LEFT(AllDaqbookOffsets[[#This Row],[traceability_no]],2)</f>
        <v>J1</v>
      </c>
      <c r="W145" t="s">
        <v>590</v>
      </c>
      <c r="X145" t="s">
        <v>175</v>
      </c>
      <c r="Z145" s="462" t="str">
        <v>K107</v>
      </c>
      <c r="AA145" s="194" t="str">
        <v>K101 - K110</v>
      </c>
      <c r="AG145" s="69" t="str">
        <v>K107</v>
      </c>
    </row>
    <row r="146" spans="1:33" x14ac:dyDescent="0.2">
      <c r="A146"/>
      <c r="B146"/>
      <c r="C146"/>
      <c r="D146"/>
      <c r="E146"/>
      <c r="F146" t="str">
        <f>LEFT(AllDaqbookOffsets[[#This Row],[traceability_no]],2)</f>
        <v>J1</v>
      </c>
      <c r="W146" t="s">
        <v>591</v>
      </c>
      <c r="X146" t="s">
        <v>175</v>
      </c>
      <c r="Z146" s="462" t="str">
        <v>K108</v>
      </c>
      <c r="AA146" s="194" t="str">
        <v>K101 - K110</v>
      </c>
      <c r="AG146" s="69" t="str">
        <v>K108</v>
      </c>
    </row>
    <row r="147" spans="1:33" x14ac:dyDescent="0.2">
      <c r="A147"/>
      <c r="B147"/>
      <c r="C147"/>
      <c r="D147"/>
      <c r="E147"/>
      <c r="F147" t="str">
        <f>LEFT(AllDaqbookOffsets[[#This Row],[traceability_no]],2)</f>
        <v>J1</v>
      </c>
      <c r="W147" t="s">
        <v>592</v>
      </c>
      <c r="X147" t="s">
        <v>175</v>
      </c>
      <c r="Z147" s="462" t="str">
        <v>K109</v>
      </c>
      <c r="AA147" s="194" t="str">
        <v>K101 - K110</v>
      </c>
      <c r="AG147" s="69" t="str">
        <v>K109</v>
      </c>
    </row>
    <row r="148" spans="1:33" x14ac:dyDescent="0.2">
      <c r="A148"/>
      <c r="B148"/>
      <c r="C148"/>
      <c r="D148"/>
      <c r="E148"/>
      <c r="F148" t="str">
        <f>LEFT(AllDaqbookOffsets[[#This Row],[traceability_no]],2)</f>
        <v>J1</v>
      </c>
      <c r="W148" t="s">
        <v>593</v>
      </c>
      <c r="X148" t="s">
        <v>176</v>
      </c>
      <c r="Z148" s="462" t="str">
        <v>K11</v>
      </c>
      <c r="AA148" s="194" t="str">
        <v>K01-K16</v>
      </c>
      <c r="AG148" s="69" t="str">
        <v>K11</v>
      </c>
    </row>
    <row r="149" spans="1:33" x14ac:dyDescent="0.2">
      <c r="A149"/>
      <c r="B149"/>
      <c r="C149"/>
      <c r="D149"/>
      <c r="E149"/>
      <c r="F149" t="str">
        <f>LEFT(AllDaqbookOffsets[[#This Row],[traceability_no]],2)</f>
        <v>J1</v>
      </c>
      <c r="W149" t="s">
        <v>594</v>
      </c>
      <c r="X149" t="s">
        <v>176</v>
      </c>
      <c r="Z149" s="462" t="str">
        <v>K110</v>
      </c>
      <c r="AA149" s="194" t="str">
        <v>K101 - K110</v>
      </c>
      <c r="AG149" s="69" t="str">
        <v>K110</v>
      </c>
    </row>
    <row r="150" spans="1:33" x14ac:dyDescent="0.2">
      <c r="A150"/>
      <c r="B150"/>
      <c r="C150"/>
      <c r="D150"/>
      <c r="E150"/>
      <c r="F150" t="str">
        <f>LEFT(AllDaqbookOffsets[[#This Row],[traceability_no]],2)</f>
        <v>J1</v>
      </c>
      <c r="W150" t="s">
        <v>595</v>
      </c>
      <c r="X150" t="s">
        <v>176</v>
      </c>
      <c r="Z150" s="462" t="str">
        <v>K12</v>
      </c>
      <c r="AA150" s="194" t="str">
        <v>K01-K16</v>
      </c>
      <c r="AG150" s="69" t="str">
        <v>K12</v>
      </c>
    </row>
    <row r="151" spans="1:33" x14ac:dyDescent="0.2">
      <c r="A151"/>
      <c r="B151"/>
      <c r="C151"/>
      <c r="D151"/>
      <c r="E151"/>
      <c r="F151" t="str">
        <f>LEFT(AllDaqbookOffsets[[#This Row],[traceability_no]],2)</f>
        <v>J1</v>
      </c>
      <c r="W151" t="s">
        <v>596</v>
      </c>
      <c r="X151" t="s">
        <v>176</v>
      </c>
      <c r="Z151" s="462" t="str">
        <v>K13</v>
      </c>
      <c r="AA151" s="194" t="str">
        <v>K01-K16</v>
      </c>
      <c r="AG151" s="69" t="str">
        <v>K13</v>
      </c>
    </row>
    <row r="152" spans="1:33" x14ac:dyDescent="0.2">
      <c r="A152"/>
      <c r="B152"/>
      <c r="C152"/>
      <c r="D152"/>
      <c r="E152"/>
      <c r="F152" t="str">
        <f>LEFT(AllDaqbookOffsets[[#This Row],[traceability_no]],2)</f>
        <v>J1</v>
      </c>
      <c r="W152" t="s">
        <v>597</v>
      </c>
      <c r="X152" t="s">
        <v>176</v>
      </c>
      <c r="Z152" s="462" t="str">
        <v>K14</v>
      </c>
      <c r="AA152" s="194" t="str">
        <v>K01-K16</v>
      </c>
      <c r="AG152" s="69" t="str">
        <v>K14</v>
      </c>
    </row>
    <row r="153" spans="1:33" x14ac:dyDescent="0.2">
      <c r="A153"/>
      <c r="B153"/>
      <c r="C153"/>
      <c r="D153"/>
      <c r="E153"/>
      <c r="F153" t="str">
        <f>LEFT(AllDaqbookOffsets[[#This Row],[traceability_no]],2)</f>
        <v>J1</v>
      </c>
      <c r="W153" t="s">
        <v>598</v>
      </c>
      <c r="X153" t="s">
        <v>176</v>
      </c>
      <c r="Z153" s="462" t="str">
        <v>K15</v>
      </c>
      <c r="AA153" s="194" t="str">
        <v>K01-K16</v>
      </c>
      <c r="AG153" s="69" t="str">
        <v>K15</v>
      </c>
    </row>
    <row r="154" spans="1:33" x14ac:dyDescent="0.2">
      <c r="A154"/>
      <c r="B154"/>
      <c r="C154"/>
      <c r="D154"/>
      <c r="E154"/>
      <c r="F154" t="str">
        <f>LEFT(AllDaqbookOffsets[[#This Row],[traceability_no]],2)</f>
        <v>J1</v>
      </c>
      <c r="W154" t="s">
        <v>599</v>
      </c>
      <c r="X154" t="s">
        <v>176</v>
      </c>
      <c r="Z154" s="462" t="str">
        <v>K16</v>
      </c>
      <c r="AA154" s="194" t="str">
        <v>K01-K16</v>
      </c>
      <c r="AG154" s="69" t="str">
        <v>K16</v>
      </c>
    </row>
    <row r="155" spans="1:33" x14ac:dyDescent="0.2">
      <c r="A155"/>
      <c r="B155"/>
      <c r="C155"/>
      <c r="D155"/>
      <c r="E155"/>
      <c r="F155" t="str">
        <f>LEFT(AllDaqbookOffsets[[#This Row],[traceability_no]],2)</f>
        <v>J1</v>
      </c>
      <c r="W155" t="s">
        <v>600</v>
      </c>
      <c r="X155" t="s">
        <v>176</v>
      </c>
      <c r="Z155" s="462" t="str">
        <v>K201</v>
      </c>
      <c r="AA155" s="194" t="str">
        <v>K201-K214</v>
      </c>
      <c r="AG155" s="69" t="str">
        <v>K201</v>
      </c>
    </row>
    <row r="156" spans="1:33" x14ac:dyDescent="0.2">
      <c r="A156"/>
      <c r="B156"/>
      <c r="C156"/>
      <c r="D156"/>
      <c r="E156"/>
      <c r="F156" t="str">
        <f>LEFT(AllDaqbookOffsets[[#This Row],[traceability_no]],2)</f>
        <v>J1</v>
      </c>
      <c r="W156" t="s">
        <v>601</v>
      </c>
      <c r="X156" t="s">
        <v>176</v>
      </c>
      <c r="Z156" s="462" t="str">
        <v>K202</v>
      </c>
      <c r="AA156" s="194" t="str">
        <v>K201-K214</v>
      </c>
      <c r="AG156" s="69" t="str">
        <v>K202</v>
      </c>
    </row>
    <row r="157" spans="1:33" x14ac:dyDescent="0.2">
      <c r="A157"/>
      <c r="B157"/>
      <c r="C157"/>
      <c r="D157"/>
      <c r="E157"/>
      <c r="F157" t="str">
        <f>LEFT(AllDaqbookOffsets[[#This Row],[traceability_no]],2)</f>
        <v>J1</v>
      </c>
      <c r="W157" t="s">
        <v>602</v>
      </c>
      <c r="X157" t="s">
        <v>176</v>
      </c>
      <c r="Z157" s="462" t="str">
        <v>K203</v>
      </c>
      <c r="AA157" s="194" t="str">
        <v>K201-K214</v>
      </c>
      <c r="AG157" s="69" t="str">
        <v>K203</v>
      </c>
    </row>
    <row r="158" spans="1:33" x14ac:dyDescent="0.2">
      <c r="A158"/>
      <c r="B158"/>
      <c r="C158"/>
      <c r="D158"/>
      <c r="E158"/>
      <c r="F158" t="str">
        <f>LEFT(AllDaqbookOffsets[[#This Row],[traceability_no]],2)</f>
        <v>J1</v>
      </c>
      <c r="W158" t="s">
        <v>603</v>
      </c>
      <c r="X158" t="s">
        <v>176</v>
      </c>
      <c r="Z158" s="462" t="str">
        <v>K204</v>
      </c>
      <c r="AA158" s="194" t="str">
        <v>K201-K214</v>
      </c>
      <c r="AG158" s="69" t="str">
        <v>K204</v>
      </c>
    </row>
    <row r="159" spans="1:33" x14ac:dyDescent="0.2">
      <c r="A159"/>
      <c r="B159"/>
      <c r="C159"/>
      <c r="D159"/>
      <c r="E159"/>
      <c r="F159" t="str">
        <f>LEFT(AllDaqbookOffsets[[#This Row],[traceability_no]],2)</f>
        <v>J1</v>
      </c>
      <c r="W159" t="s">
        <v>604</v>
      </c>
      <c r="X159" t="s">
        <v>176</v>
      </c>
      <c r="Z159" s="462" t="str">
        <v>K205</v>
      </c>
      <c r="AA159" s="194" t="str">
        <v>K201-K214</v>
      </c>
      <c r="AG159" s="69" t="str">
        <v>K205</v>
      </c>
    </row>
    <row r="160" spans="1:33" x14ac:dyDescent="0.2">
      <c r="A160"/>
      <c r="B160"/>
      <c r="C160"/>
      <c r="D160"/>
      <c r="E160"/>
      <c r="F160" t="str">
        <f>LEFT(AllDaqbookOffsets[[#This Row],[traceability_no]],2)</f>
        <v>J1</v>
      </c>
      <c r="W160" t="s">
        <v>605</v>
      </c>
      <c r="X160" t="s">
        <v>176</v>
      </c>
      <c r="Z160" s="462" t="str">
        <v>K206</v>
      </c>
      <c r="AA160" s="194" t="str">
        <v>K201-K214</v>
      </c>
      <c r="AG160" s="69" t="str">
        <v>K206</v>
      </c>
    </row>
    <row r="161" spans="1:33" x14ac:dyDescent="0.2">
      <c r="A161"/>
      <c r="B161"/>
      <c r="C161"/>
      <c r="D161"/>
      <c r="E161"/>
      <c r="F161" t="str">
        <f>LEFT(AllDaqbookOffsets[[#This Row],[traceability_no]],2)</f>
        <v>J1</v>
      </c>
      <c r="W161" t="s">
        <v>606</v>
      </c>
      <c r="X161" t="s">
        <v>176</v>
      </c>
      <c r="Z161" s="462" t="str">
        <v>K207</v>
      </c>
      <c r="AA161" s="194" t="str">
        <v>K201-K214</v>
      </c>
      <c r="AG161" s="69" t="str">
        <v>K207</v>
      </c>
    </row>
    <row r="162" spans="1:33" x14ac:dyDescent="0.2">
      <c r="A162"/>
      <c r="B162"/>
      <c r="C162"/>
      <c r="D162"/>
      <c r="E162"/>
      <c r="F162" t="str">
        <f>LEFT(AllDaqbookOffsets[[#This Row],[traceability_no]],2)</f>
        <v>J1</v>
      </c>
      <c r="W162" t="s">
        <v>607</v>
      </c>
      <c r="X162" t="s">
        <v>177</v>
      </c>
      <c r="Z162" s="462" t="str">
        <v>K208</v>
      </c>
      <c r="AA162" s="194" t="str">
        <v>K201-K214</v>
      </c>
      <c r="AG162" s="69" t="str">
        <v>K208</v>
      </c>
    </row>
    <row r="163" spans="1:33" x14ac:dyDescent="0.2">
      <c r="A163"/>
      <c r="B163"/>
      <c r="C163"/>
      <c r="D163"/>
      <c r="E163"/>
      <c r="F163" t="str">
        <f>LEFT(AllDaqbookOffsets[[#This Row],[traceability_no]],2)</f>
        <v>J1</v>
      </c>
      <c r="W163" t="s">
        <v>608</v>
      </c>
      <c r="X163" t="s">
        <v>177</v>
      </c>
      <c r="Z163" s="462" t="str">
        <v>K209</v>
      </c>
      <c r="AA163" s="194" t="str">
        <v>K201-K214</v>
      </c>
      <c r="AG163" s="69" t="str">
        <v>K209</v>
      </c>
    </row>
    <row r="164" spans="1:33" x14ac:dyDescent="0.2">
      <c r="A164"/>
      <c r="B164"/>
      <c r="C164"/>
      <c r="D164"/>
      <c r="E164"/>
      <c r="F164" t="str">
        <f>LEFT(AllDaqbookOffsets[[#This Row],[traceability_no]],2)</f>
        <v>J1</v>
      </c>
      <c r="W164" t="s">
        <v>609</v>
      </c>
      <c r="X164" t="s">
        <v>177</v>
      </c>
      <c r="Z164" s="462" t="str">
        <v>K210</v>
      </c>
      <c r="AA164" s="194" t="str">
        <v>K201-K214</v>
      </c>
      <c r="AG164" s="69" t="str">
        <v>K210</v>
      </c>
    </row>
    <row r="165" spans="1:33" x14ac:dyDescent="0.2">
      <c r="A165"/>
      <c r="B165"/>
      <c r="C165"/>
      <c r="D165"/>
      <c r="E165"/>
      <c r="F165" t="str">
        <f>LEFT(AllDaqbookOffsets[[#This Row],[traceability_no]],2)</f>
        <v>J1</v>
      </c>
      <c r="W165" t="s">
        <v>610</v>
      </c>
      <c r="X165" t="s">
        <v>177</v>
      </c>
      <c r="Z165" s="462" t="str">
        <v>K211</v>
      </c>
      <c r="AA165" s="194" t="str">
        <v>K201-K214</v>
      </c>
      <c r="AG165" s="69" t="str">
        <v>K211</v>
      </c>
    </row>
    <row r="166" spans="1:33" x14ac:dyDescent="0.2">
      <c r="A166"/>
      <c r="B166"/>
      <c r="C166"/>
      <c r="D166"/>
      <c r="E166"/>
      <c r="F166" t="str">
        <f>LEFT(AllDaqbookOffsets[[#This Row],[traceability_no]],2)</f>
        <v>J1</v>
      </c>
      <c r="W166" t="s">
        <v>611</v>
      </c>
      <c r="X166" t="s">
        <v>177</v>
      </c>
      <c r="Z166" s="462" t="str">
        <v>K212</v>
      </c>
      <c r="AA166" s="194" t="str">
        <v>K201-K214</v>
      </c>
      <c r="AG166" s="69" t="str">
        <v>K212</v>
      </c>
    </row>
    <row r="167" spans="1:33" x14ac:dyDescent="0.2">
      <c r="A167"/>
      <c r="B167"/>
      <c r="C167"/>
      <c r="D167"/>
      <c r="E167"/>
      <c r="F167" t="str">
        <f>LEFT(AllDaqbookOffsets[[#This Row],[traceability_no]],2)</f>
        <v>J1</v>
      </c>
      <c r="W167" t="s">
        <v>612</v>
      </c>
      <c r="X167" t="s">
        <v>177</v>
      </c>
      <c r="Z167" s="462" t="str">
        <v>K213</v>
      </c>
      <c r="AA167" s="194" t="str">
        <v>K201-K214</v>
      </c>
      <c r="AG167" s="69" t="str">
        <v>K213</v>
      </c>
    </row>
    <row r="168" spans="1:33" x14ac:dyDescent="0.2">
      <c r="A168"/>
      <c r="B168"/>
      <c r="C168"/>
      <c r="D168"/>
      <c r="E168"/>
      <c r="F168" t="str">
        <f>LEFT(AllDaqbookOffsets[[#This Row],[traceability_no]],2)</f>
        <v>J1</v>
      </c>
      <c r="W168" t="s">
        <v>613</v>
      </c>
      <c r="X168" t="s">
        <v>177</v>
      </c>
      <c r="Z168" s="462" t="str">
        <v>K214</v>
      </c>
      <c r="AA168" s="194" t="str">
        <v>K201-K214</v>
      </c>
      <c r="AG168" s="69" t="str">
        <v>K214</v>
      </c>
    </row>
    <row r="169" spans="1:33" x14ac:dyDescent="0.2">
      <c r="A169"/>
      <c r="B169"/>
      <c r="C169"/>
      <c r="D169"/>
      <c r="E169"/>
      <c r="F169" t="str">
        <f>LEFT(AllDaqbookOffsets[[#This Row],[traceability_no]],2)</f>
        <v>J1</v>
      </c>
      <c r="W169" t="s">
        <v>614</v>
      </c>
      <c r="X169" t="s">
        <v>177</v>
      </c>
      <c r="Z169" s="462" t="str">
        <v>K301</v>
      </c>
      <c r="AA169" s="194" t="str">
        <v>K301-K314</v>
      </c>
      <c r="AG169" s="69" t="str">
        <v>K301</v>
      </c>
    </row>
    <row r="170" spans="1:33" x14ac:dyDescent="0.2">
      <c r="A170"/>
      <c r="B170"/>
      <c r="C170"/>
      <c r="D170"/>
      <c r="E170"/>
      <c r="F170" t="str">
        <f>LEFT(AllDaqbookOffsets[[#This Row],[traceability_no]],2)</f>
        <v>J1</v>
      </c>
      <c r="W170" t="s">
        <v>615</v>
      </c>
      <c r="X170" t="s">
        <v>177</v>
      </c>
      <c r="Z170" s="462" t="str">
        <v>K302</v>
      </c>
      <c r="AA170" s="194" t="str">
        <v>K301-K314</v>
      </c>
      <c r="AG170" s="69" t="str">
        <v>K302</v>
      </c>
    </row>
    <row r="171" spans="1:33" x14ac:dyDescent="0.2">
      <c r="A171"/>
      <c r="B171"/>
      <c r="C171"/>
      <c r="D171"/>
      <c r="E171"/>
      <c r="F171" t="str">
        <f>LEFT(AllDaqbookOffsets[[#This Row],[traceability_no]],2)</f>
        <v>J1</v>
      </c>
      <c r="W171" t="s">
        <v>616</v>
      </c>
      <c r="X171" t="s">
        <v>177</v>
      </c>
      <c r="Z171" s="462" t="str">
        <v>K303</v>
      </c>
      <c r="AA171" s="194" t="str">
        <v>K301-K314</v>
      </c>
      <c r="AG171" s="69" t="str">
        <v>K303</v>
      </c>
    </row>
    <row r="172" spans="1:33" x14ac:dyDescent="0.2">
      <c r="A172"/>
      <c r="B172"/>
      <c r="C172"/>
      <c r="D172"/>
      <c r="E172"/>
      <c r="F172" t="str">
        <f>LEFT(AllDaqbookOffsets[[#This Row],[traceability_no]],2)</f>
        <v>J1</v>
      </c>
      <c r="W172" t="s">
        <v>617</v>
      </c>
      <c r="X172" t="s">
        <v>177</v>
      </c>
      <c r="Z172" s="462" t="str">
        <v>K304</v>
      </c>
      <c r="AA172" s="194" t="str">
        <v>K301-K314</v>
      </c>
      <c r="AG172" s="69" t="str">
        <v>K304</v>
      </c>
    </row>
    <row r="173" spans="1:33" x14ac:dyDescent="0.2">
      <c r="A173"/>
      <c r="B173"/>
      <c r="C173"/>
      <c r="D173"/>
      <c r="E173"/>
      <c r="F173" t="str">
        <f>LEFT(AllDaqbookOffsets[[#This Row],[traceability_no]],2)</f>
        <v>J1</v>
      </c>
      <c r="W173" t="s">
        <v>618</v>
      </c>
      <c r="X173" t="s">
        <v>177</v>
      </c>
      <c r="Z173" s="462" t="str">
        <v>K305</v>
      </c>
      <c r="AA173" s="194" t="str">
        <v>K301-K314</v>
      </c>
      <c r="AG173" s="69" t="str">
        <v>K305</v>
      </c>
    </row>
    <row r="174" spans="1:33" x14ac:dyDescent="0.2">
      <c r="A174"/>
      <c r="B174"/>
      <c r="C174"/>
      <c r="D174"/>
      <c r="E174"/>
      <c r="F174" t="str">
        <f>LEFT(AllDaqbookOffsets[[#This Row],[traceability_no]],2)</f>
        <v>J1</v>
      </c>
      <c r="W174" t="s">
        <v>619</v>
      </c>
      <c r="X174" t="s">
        <v>177</v>
      </c>
      <c r="Z174" s="462" t="str">
        <v>K306</v>
      </c>
      <c r="AA174" s="194" t="str">
        <v>K301-K314</v>
      </c>
      <c r="AG174" s="69" t="str">
        <v>K306</v>
      </c>
    </row>
    <row r="175" spans="1:33" x14ac:dyDescent="0.2">
      <c r="A175"/>
      <c r="B175"/>
      <c r="C175"/>
      <c r="D175"/>
      <c r="E175"/>
      <c r="F175" t="str">
        <f>LEFT(AllDaqbookOffsets[[#This Row],[traceability_no]],2)</f>
        <v>J1</v>
      </c>
      <c r="W175" t="s">
        <v>620</v>
      </c>
      <c r="X175" t="s">
        <v>177</v>
      </c>
      <c r="Z175" s="462" t="str">
        <v>K307</v>
      </c>
      <c r="AA175" s="194" t="str">
        <v>K301-K314</v>
      </c>
      <c r="AG175" s="69" t="str">
        <v>K307</v>
      </c>
    </row>
    <row r="176" spans="1:33" x14ac:dyDescent="0.2">
      <c r="A176"/>
      <c r="B176"/>
      <c r="C176"/>
      <c r="D176"/>
      <c r="E176"/>
      <c r="F176" t="str">
        <f>LEFT(AllDaqbookOffsets[[#This Row],[traceability_no]],2)</f>
        <v>J1</v>
      </c>
      <c r="W176" t="s">
        <v>621</v>
      </c>
      <c r="X176" t="s">
        <v>177</v>
      </c>
      <c r="Z176" s="462" t="str">
        <v>K308</v>
      </c>
      <c r="AA176" s="194" t="str">
        <v>K301-K314</v>
      </c>
      <c r="AG176" s="69" t="str">
        <v>K308</v>
      </c>
    </row>
    <row r="177" spans="1:33" x14ac:dyDescent="0.2">
      <c r="A177"/>
      <c r="B177"/>
      <c r="C177"/>
      <c r="D177"/>
      <c r="E177"/>
      <c r="F177" t="str">
        <f>LEFT(AllDaqbookOffsets[[#This Row],[traceability_no]],2)</f>
        <v>J1</v>
      </c>
      <c r="W177" t="s">
        <v>622</v>
      </c>
      <c r="X177" t="s">
        <v>177</v>
      </c>
      <c r="Z177" s="462" t="str">
        <v>K309</v>
      </c>
      <c r="AA177" s="194" t="str">
        <v>K301-K314</v>
      </c>
      <c r="AG177" s="69" t="str">
        <v>K309</v>
      </c>
    </row>
    <row r="178" spans="1:33" x14ac:dyDescent="0.2">
      <c r="A178"/>
      <c r="B178"/>
      <c r="C178"/>
      <c r="D178"/>
      <c r="E178"/>
      <c r="F178" t="str">
        <f>LEFT(AllDaqbookOffsets[[#This Row],[traceability_no]],2)</f>
        <v>J1</v>
      </c>
      <c r="W178" t="s">
        <v>623</v>
      </c>
      <c r="X178" t="s">
        <v>178</v>
      </c>
      <c r="Z178" s="462" t="str">
        <v>K310</v>
      </c>
      <c r="AA178" s="194" t="str">
        <v>K301-K314</v>
      </c>
      <c r="AG178" s="69" t="str">
        <v>K310</v>
      </c>
    </row>
    <row r="179" spans="1:33" x14ac:dyDescent="0.2">
      <c r="A179"/>
      <c r="B179"/>
      <c r="C179"/>
      <c r="D179"/>
      <c r="E179"/>
      <c r="F179" t="str">
        <f>LEFT(AllDaqbookOffsets[[#This Row],[traceability_no]],2)</f>
        <v>J1</v>
      </c>
      <c r="W179" t="s">
        <v>624</v>
      </c>
      <c r="X179" t="s">
        <v>178</v>
      </c>
      <c r="Z179" s="462" t="str">
        <v>K311</v>
      </c>
      <c r="AA179" s="194" t="str">
        <v>K301-K314</v>
      </c>
      <c r="AG179" s="69" t="str">
        <v>K311</v>
      </c>
    </row>
    <row r="180" spans="1:33" x14ac:dyDescent="0.2">
      <c r="A180"/>
      <c r="B180"/>
      <c r="C180"/>
      <c r="D180"/>
      <c r="E180"/>
      <c r="F180" t="str">
        <f>LEFT(AllDaqbookOffsets[[#This Row],[traceability_no]],2)</f>
        <v>J1</v>
      </c>
      <c r="W180" t="s">
        <v>625</v>
      </c>
      <c r="X180" t="s">
        <v>178</v>
      </c>
      <c r="Z180" s="462" t="str">
        <v>K312</v>
      </c>
      <c r="AA180" s="194" t="str">
        <v>K301-K314</v>
      </c>
      <c r="AG180" s="69" t="str">
        <v>K312</v>
      </c>
    </row>
    <row r="181" spans="1:33" x14ac:dyDescent="0.2">
      <c r="A181"/>
      <c r="B181"/>
      <c r="C181"/>
      <c r="D181"/>
      <c r="E181"/>
      <c r="F181" t="str">
        <f>LEFT(AllDaqbookOffsets[[#This Row],[traceability_no]],2)</f>
        <v>J1</v>
      </c>
      <c r="W181" t="s">
        <v>626</v>
      </c>
      <c r="X181" t="s">
        <v>178</v>
      </c>
      <c r="Z181" s="462" t="str">
        <v>K313</v>
      </c>
      <c r="AA181" s="194" t="str">
        <v>K301-K314</v>
      </c>
      <c r="AG181" s="69" t="str">
        <v>K313</v>
      </c>
    </row>
    <row r="182" spans="1:33" x14ac:dyDescent="0.2">
      <c r="A182"/>
      <c r="B182"/>
      <c r="C182"/>
      <c r="D182"/>
      <c r="E182"/>
      <c r="F182" t="str">
        <f>LEFT(AllDaqbookOffsets[[#This Row],[traceability_no]],2)</f>
        <v>J1</v>
      </c>
      <c r="W182" t="s">
        <v>627</v>
      </c>
      <c r="X182" t="s">
        <v>178</v>
      </c>
      <c r="Z182" s="462" t="str">
        <v>K314</v>
      </c>
      <c r="AA182" s="194" t="str">
        <v>K301-K314</v>
      </c>
      <c r="AG182" s="69" t="str">
        <v>K314</v>
      </c>
    </row>
    <row r="183" spans="1:33" x14ac:dyDescent="0.2">
      <c r="A183"/>
      <c r="B183"/>
      <c r="C183"/>
      <c r="D183"/>
      <c r="E183"/>
      <c r="F183" t="str">
        <f>LEFT(AllDaqbookOffsets[[#This Row],[traceability_no]],2)</f>
        <v>J1</v>
      </c>
      <c r="W183" t="s">
        <v>628</v>
      </c>
      <c r="X183" t="s">
        <v>178</v>
      </c>
      <c r="Z183" s="462" t="str">
        <v>K401</v>
      </c>
      <c r="AA183" s="194" t="str">
        <v>K401-K416</v>
      </c>
      <c r="AG183" s="69" t="str">
        <v>K401</v>
      </c>
    </row>
    <row r="184" spans="1:33" x14ac:dyDescent="0.2">
      <c r="A184"/>
      <c r="B184"/>
      <c r="C184"/>
      <c r="D184"/>
      <c r="E184"/>
      <c r="F184" t="str">
        <f>LEFT(AllDaqbookOffsets[[#This Row],[traceability_no]],2)</f>
        <v>J1</v>
      </c>
      <c r="W184" t="s">
        <v>629</v>
      </c>
      <c r="X184" t="s">
        <v>178</v>
      </c>
      <c r="Z184" s="462" t="str">
        <v>K402</v>
      </c>
      <c r="AA184" s="194" t="str">
        <v>K401-K416</v>
      </c>
      <c r="AG184" s="69" t="str">
        <v>K402</v>
      </c>
    </row>
    <row r="185" spans="1:33" x14ac:dyDescent="0.2">
      <c r="A185"/>
      <c r="B185"/>
      <c r="C185"/>
      <c r="D185"/>
      <c r="E185"/>
      <c r="F185" t="str">
        <f>LEFT(AllDaqbookOffsets[[#This Row],[traceability_no]],2)</f>
        <v>J1</v>
      </c>
      <c r="W185" t="s">
        <v>630</v>
      </c>
      <c r="X185" t="s">
        <v>178</v>
      </c>
      <c r="Z185" s="462" t="str">
        <v>K403</v>
      </c>
      <c r="AA185" s="194" t="str">
        <v>K401-K416</v>
      </c>
      <c r="AG185" s="69" t="str">
        <v>K403</v>
      </c>
    </row>
    <row r="186" spans="1:33" x14ac:dyDescent="0.2">
      <c r="A186"/>
      <c r="B186"/>
      <c r="C186"/>
      <c r="D186"/>
      <c r="E186"/>
      <c r="F186" t="str">
        <f>LEFT(AllDaqbookOffsets[[#This Row],[traceability_no]],2)</f>
        <v>J1</v>
      </c>
      <c r="W186" t="s">
        <v>631</v>
      </c>
      <c r="X186" t="s">
        <v>178</v>
      </c>
      <c r="Z186" s="462" t="str">
        <v>K404</v>
      </c>
      <c r="AA186" s="194" t="str">
        <v>K401-K416</v>
      </c>
      <c r="AG186" s="69" t="str">
        <v>K404</v>
      </c>
    </row>
    <row r="187" spans="1:33" x14ac:dyDescent="0.2">
      <c r="A187"/>
      <c r="B187"/>
      <c r="C187"/>
      <c r="D187"/>
      <c r="E187"/>
      <c r="F187" t="str">
        <f>LEFT(AllDaqbookOffsets[[#This Row],[traceability_no]],2)</f>
        <v>J1</v>
      </c>
      <c r="W187" t="s">
        <v>632</v>
      </c>
      <c r="X187" t="s">
        <v>178</v>
      </c>
      <c r="Z187" s="462" t="str">
        <v>K405</v>
      </c>
      <c r="AA187" s="194" t="str">
        <v>K401-K416</v>
      </c>
      <c r="AG187" s="69" t="str">
        <v>K405</v>
      </c>
    </row>
    <row r="188" spans="1:33" x14ac:dyDescent="0.2">
      <c r="A188"/>
      <c r="B188"/>
      <c r="C188"/>
      <c r="D188"/>
      <c r="E188"/>
      <c r="F188" t="str">
        <f>LEFT(AllDaqbookOffsets[[#This Row],[traceability_no]],2)</f>
        <v>J1</v>
      </c>
      <c r="W188" t="s">
        <v>633</v>
      </c>
      <c r="X188" t="s">
        <v>178</v>
      </c>
      <c r="Z188" s="462" t="str">
        <v>K406</v>
      </c>
      <c r="AA188" s="194" t="str">
        <v>K401-K416</v>
      </c>
      <c r="AG188" s="69" t="str">
        <v>K406</v>
      </c>
    </row>
    <row r="189" spans="1:33" x14ac:dyDescent="0.2">
      <c r="A189"/>
      <c r="B189"/>
      <c r="C189"/>
      <c r="D189"/>
      <c r="E189"/>
      <c r="F189" t="str">
        <f>LEFT(AllDaqbookOffsets[[#This Row],[traceability_no]],2)</f>
        <v>J1</v>
      </c>
      <c r="W189" t="s">
        <v>634</v>
      </c>
      <c r="X189" t="s">
        <v>178</v>
      </c>
      <c r="Z189" s="462" t="str">
        <v>K407</v>
      </c>
      <c r="AA189" s="194" t="str">
        <v>K401-K416</v>
      </c>
      <c r="AG189" s="69" t="str">
        <v>K407</v>
      </c>
    </row>
    <row r="190" spans="1:33" x14ac:dyDescent="0.2">
      <c r="A190"/>
      <c r="B190"/>
      <c r="C190"/>
      <c r="D190"/>
      <c r="E190"/>
      <c r="F190" t="str">
        <f>LEFT(AllDaqbookOffsets[[#This Row],[traceability_no]],2)</f>
        <v>J1</v>
      </c>
      <c r="W190" t="s">
        <v>635</v>
      </c>
      <c r="X190" t="s">
        <v>178</v>
      </c>
      <c r="Z190" s="462" t="str">
        <v>K408</v>
      </c>
      <c r="AA190" s="194" t="str">
        <v>K401-K416</v>
      </c>
      <c r="AG190" s="69" t="str">
        <v>K408</v>
      </c>
    </row>
    <row r="191" spans="1:33" x14ac:dyDescent="0.2">
      <c r="A191"/>
      <c r="B191"/>
      <c r="C191"/>
      <c r="D191"/>
      <c r="E191"/>
      <c r="F191" t="str">
        <f>LEFT(AllDaqbookOffsets[[#This Row],[traceability_no]],2)</f>
        <v>J1</v>
      </c>
      <c r="W191" t="s">
        <v>636</v>
      </c>
      <c r="X191" t="s">
        <v>178</v>
      </c>
      <c r="Z191" s="462" t="str">
        <v>K409</v>
      </c>
      <c r="AA191" s="194" t="str">
        <v>K401-K416</v>
      </c>
      <c r="AG191" s="69" t="str">
        <v>K409</v>
      </c>
    </row>
    <row r="192" spans="1:33" x14ac:dyDescent="0.2">
      <c r="A192"/>
      <c r="B192"/>
      <c r="C192"/>
      <c r="D192"/>
      <c r="E192"/>
      <c r="F192" t="str">
        <f>LEFT(AllDaqbookOffsets[[#This Row],[traceability_no]],2)</f>
        <v>J1</v>
      </c>
      <c r="W192" t="s">
        <v>637</v>
      </c>
      <c r="X192" t="s">
        <v>179</v>
      </c>
      <c r="Z192" s="462" t="str">
        <v>K410</v>
      </c>
      <c r="AA192" s="194" t="str">
        <v>K401-K416</v>
      </c>
      <c r="AG192" s="69" t="str">
        <v>K410</v>
      </c>
    </row>
    <row r="193" spans="1:33" x14ac:dyDescent="0.2">
      <c r="A193"/>
      <c r="B193"/>
      <c r="C193"/>
      <c r="D193"/>
      <c r="E193"/>
      <c r="F193" t="str">
        <f>LEFT(AllDaqbookOffsets[[#This Row],[traceability_no]],2)</f>
        <v>J1</v>
      </c>
      <c r="W193" t="s">
        <v>638</v>
      </c>
      <c r="X193" t="s">
        <v>179</v>
      </c>
      <c r="Z193" s="462" t="str">
        <v>K411</v>
      </c>
      <c r="AA193" s="194" t="str">
        <v>K401-K416</v>
      </c>
      <c r="AG193" s="69" t="str">
        <v>K411</v>
      </c>
    </row>
    <row r="194" spans="1:33" x14ac:dyDescent="0.2">
      <c r="A194"/>
      <c r="B194"/>
      <c r="C194"/>
      <c r="D194"/>
      <c r="E194"/>
      <c r="F194" t="str">
        <f>LEFT(AllDaqbookOffsets[[#This Row],[traceability_no]],2)</f>
        <v>J1</v>
      </c>
      <c r="W194" t="s">
        <v>639</v>
      </c>
      <c r="X194" t="s">
        <v>179</v>
      </c>
      <c r="Z194" s="462" t="str">
        <v>K412</v>
      </c>
      <c r="AA194" s="194" t="str">
        <v>K401-K416</v>
      </c>
      <c r="AG194" s="69" t="str">
        <v>K412</v>
      </c>
    </row>
    <row r="195" spans="1:33" x14ac:dyDescent="0.2">
      <c r="A195"/>
      <c r="B195"/>
      <c r="C195"/>
      <c r="D195"/>
      <c r="E195"/>
      <c r="F195" t="str">
        <f>LEFT(AllDaqbookOffsets[[#This Row],[traceability_no]],2)</f>
        <v>J1</v>
      </c>
      <c r="W195" t="s">
        <v>640</v>
      </c>
      <c r="X195" t="s">
        <v>179</v>
      </c>
      <c r="Z195" s="462" t="str">
        <v>K413</v>
      </c>
      <c r="AA195" s="194" t="str">
        <v>K401-K416</v>
      </c>
      <c r="AG195" s="69" t="str">
        <v>K413</v>
      </c>
    </row>
    <row r="196" spans="1:33" x14ac:dyDescent="0.2">
      <c r="A196"/>
      <c r="B196"/>
      <c r="C196"/>
      <c r="D196"/>
      <c r="E196"/>
      <c r="F196" t="str">
        <f>LEFT(AllDaqbookOffsets[[#This Row],[traceability_no]],2)</f>
        <v>J1</v>
      </c>
      <c r="W196" t="s">
        <v>641</v>
      </c>
      <c r="X196" t="s">
        <v>179</v>
      </c>
      <c r="Z196" s="462" t="str">
        <v>K414</v>
      </c>
      <c r="AA196" s="194" t="str">
        <v>K401-K416</v>
      </c>
      <c r="AG196" s="69" t="str">
        <v>K414</v>
      </c>
    </row>
    <row r="197" spans="1:33" x14ac:dyDescent="0.2">
      <c r="A197"/>
      <c r="B197"/>
      <c r="C197"/>
      <c r="D197"/>
      <c r="E197"/>
      <c r="F197" t="str">
        <f>LEFT(AllDaqbookOffsets[[#This Row],[traceability_no]],2)</f>
        <v>J1</v>
      </c>
      <c r="W197" t="s">
        <v>642</v>
      </c>
      <c r="X197" t="s">
        <v>179</v>
      </c>
      <c r="Z197" s="462" t="str">
        <v>K415</v>
      </c>
      <c r="AA197" s="194" t="str">
        <v>K401-K416</v>
      </c>
      <c r="AG197" s="69" t="str">
        <v>K415</v>
      </c>
    </row>
    <row r="198" spans="1:33" x14ac:dyDescent="0.2">
      <c r="A198"/>
      <c r="B198"/>
      <c r="C198"/>
      <c r="D198"/>
      <c r="E198"/>
      <c r="F198" t="str">
        <f>LEFT(AllDaqbookOffsets[[#This Row],[traceability_no]],2)</f>
        <v>J1</v>
      </c>
      <c r="W198" t="s">
        <v>643</v>
      </c>
      <c r="X198" t="s">
        <v>179</v>
      </c>
      <c r="Z198" s="462" t="str">
        <v>K416</v>
      </c>
      <c r="AA198" s="194" t="str">
        <v>K401-K416</v>
      </c>
      <c r="AG198" s="69" t="str">
        <v>K416</v>
      </c>
    </row>
    <row r="199" spans="1:33" x14ac:dyDescent="0.2">
      <c r="A199"/>
      <c r="B199"/>
      <c r="C199"/>
      <c r="D199"/>
      <c r="E199"/>
      <c r="F199" t="str">
        <f>LEFT(AllDaqbookOffsets[[#This Row],[traceability_no]],2)</f>
        <v>J1</v>
      </c>
      <c r="W199" t="s">
        <v>644</v>
      </c>
      <c r="X199" t="s">
        <v>179</v>
      </c>
      <c r="Z199" s="462" t="str">
        <v>K521</v>
      </c>
      <c r="AA199" s="194" t="str">
        <v>K521-K534</v>
      </c>
      <c r="AG199" s="69" t="str">
        <v>K521</v>
      </c>
    </row>
    <row r="200" spans="1:33" x14ac:dyDescent="0.2">
      <c r="A200"/>
      <c r="B200"/>
      <c r="C200"/>
      <c r="D200"/>
      <c r="E200"/>
      <c r="F200" t="str">
        <f>LEFT(AllDaqbookOffsets[[#This Row],[traceability_no]],2)</f>
        <v>J1</v>
      </c>
      <c r="W200" t="s">
        <v>645</v>
      </c>
      <c r="X200" t="s">
        <v>179</v>
      </c>
      <c r="Z200" s="462" t="str">
        <v>K522</v>
      </c>
      <c r="AA200" s="194" t="str">
        <v>K521-K534</v>
      </c>
      <c r="AG200" s="69" t="str">
        <v>K522</v>
      </c>
    </row>
    <row r="201" spans="1:33" x14ac:dyDescent="0.2">
      <c r="A201"/>
      <c r="B201"/>
      <c r="C201"/>
      <c r="D201"/>
      <c r="E201"/>
      <c r="F201" t="str">
        <f>LEFT(AllDaqbookOffsets[[#This Row],[traceability_no]],2)</f>
        <v>J1</v>
      </c>
      <c r="W201" t="s">
        <v>646</v>
      </c>
      <c r="X201" t="s">
        <v>179</v>
      </c>
      <c r="Z201" s="462" t="str">
        <v>K523</v>
      </c>
      <c r="AA201" s="194" t="str">
        <v>K521-K534</v>
      </c>
      <c r="AG201" s="69" t="str">
        <v>K523</v>
      </c>
    </row>
    <row r="202" spans="1:33" x14ac:dyDescent="0.2">
      <c r="A202"/>
      <c r="B202"/>
      <c r="C202"/>
      <c r="D202"/>
      <c r="E202"/>
      <c r="F202" t="str">
        <f>LEFT(AllDaqbookOffsets[[#This Row],[traceability_no]],2)</f>
        <v>J1</v>
      </c>
      <c r="W202" t="s">
        <v>647</v>
      </c>
      <c r="X202" t="s">
        <v>180</v>
      </c>
      <c r="Z202" s="462" t="str">
        <v>K524</v>
      </c>
      <c r="AA202" s="194" t="str">
        <v>K521-K534</v>
      </c>
      <c r="AG202" s="69" t="str">
        <v>K524</v>
      </c>
    </row>
    <row r="203" spans="1:33" x14ac:dyDescent="0.2">
      <c r="A203"/>
      <c r="B203"/>
      <c r="C203"/>
      <c r="D203"/>
      <c r="E203"/>
      <c r="F203" t="str">
        <f>LEFT(AllDaqbookOffsets[[#This Row],[traceability_no]],2)</f>
        <v>J1</v>
      </c>
      <c r="W203" t="s">
        <v>648</v>
      </c>
      <c r="X203" t="s">
        <v>180</v>
      </c>
      <c r="Z203" s="462" t="str">
        <v>K525</v>
      </c>
      <c r="AA203" s="194" t="str">
        <v>K521-K534</v>
      </c>
      <c r="AG203" s="69" t="str">
        <v>K525</v>
      </c>
    </row>
    <row r="204" spans="1:33" x14ac:dyDescent="0.2">
      <c r="A204"/>
      <c r="B204"/>
      <c r="C204"/>
      <c r="D204"/>
      <c r="E204"/>
      <c r="F204" t="str">
        <f>LEFT(AllDaqbookOffsets[[#This Row],[traceability_no]],2)</f>
        <v>J1</v>
      </c>
      <c r="W204" t="s">
        <v>649</v>
      </c>
      <c r="X204" t="s">
        <v>180</v>
      </c>
      <c r="Z204" s="462" t="str">
        <v>K526</v>
      </c>
      <c r="AA204" s="194" t="str">
        <v>K521-K534</v>
      </c>
      <c r="AG204" s="69" t="str">
        <v>K526</v>
      </c>
    </row>
    <row r="205" spans="1:33" x14ac:dyDescent="0.2">
      <c r="A205"/>
      <c r="B205"/>
      <c r="C205"/>
      <c r="D205"/>
      <c r="E205"/>
      <c r="F205" t="str">
        <f>LEFT(AllDaqbookOffsets[[#This Row],[traceability_no]],2)</f>
        <v>J1</v>
      </c>
      <c r="W205" t="s">
        <v>650</v>
      </c>
      <c r="X205" t="s">
        <v>180</v>
      </c>
      <c r="Z205" s="462" t="str">
        <v>K527</v>
      </c>
      <c r="AA205" s="194" t="str">
        <v>K521-K534</v>
      </c>
      <c r="AG205" s="69" t="str">
        <v>K527</v>
      </c>
    </row>
    <row r="206" spans="1:33" x14ac:dyDescent="0.2">
      <c r="A206"/>
      <c r="B206"/>
      <c r="C206"/>
      <c r="D206"/>
      <c r="E206"/>
      <c r="F206" t="str">
        <f>LEFT(AllDaqbookOffsets[[#This Row],[traceability_no]],2)</f>
        <v>J1</v>
      </c>
      <c r="W206" t="s">
        <v>651</v>
      </c>
      <c r="X206" t="s">
        <v>180</v>
      </c>
      <c r="Z206" s="462" t="str">
        <v>K528</v>
      </c>
      <c r="AA206" s="194" t="str">
        <v>K521-K534</v>
      </c>
      <c r="AG206" s="69" t="str">
        <v>K528</v>
      </c>
    </row>
    <row r="207" spans="1:33" x14ac:dyDescent="0.2">
      <c r="A207"/>
      <c r="B207"/>
      <c r="C207"/>
      <c r="D207"/>
      <c r="E207"/>
      <c r="F207" t="str">
        <f>LEFT(AllDaqbookOffsets[[#This Row],[traceability_no]],2)</f>
        <v>J1</v>
      </c>
      <c r="W207" t="s">
        <v>652</v>
      </c>
      <c r="X207" t="s">
        <v>180</v>
      </c>
      <c r="Z207" s="462" t="str">
        <v>K529</v>
      </c>
      <c r="AA207" s="194" t="str">
        <v>K521-K534</v>
      </c>
      <c r="AG207" s="69" t="str">
        <v>K529</v>
      </c>
    </row>
    <row r="208" spans="1:33" x14ac:dyDescent="0.2">
      <c r="A208"/>
      <c r="B208"/>
      <c r="C208"/>
      <c r="D208"/>
      <c r="E208"/>
      <c r="F208" t="str">
        <f>LEFT(AllDaqbookOffsets[[#This Row],[traceability_no]],2)</f>
        <v>J1</v>
      </c>
      <c r="W208" t="s">
        <v>653</v>
      </c>
      <c r="X208" t="s">
        <v>180</v>
      </c>
      <c r="Z208" s="462" t="str">
        <v>K530</v>
      </c>
      <c r="AA208" s="194" t="str">
        <v>K521-K534</v>
      </c>
      <c r="AG208" s="69" t="str">
        <v>K530</v>
      </c>
    </row>
    <row r="209" spans="1:33" x14ac:dyDescent="0.2">
      <c r="A209"/>
      <c r="B209"/>
      <c r="C209"/>
      <c r="D209"/>
      <c r="E209"/>
      <c r="F209" t="str">
        <f>LEFT(AllDaqbookOffsets[[#This Row],[traceability_no]],2)</f>
        <v>J1</v>
      </c>
      <c r="W209" t="s">
        <v>654</v>
      </c>
      <c r="X209" t="s">
        <v>180</v>
      </c>
      <c r="Z209" s="462" t="str">
        <v>K531</v>
      </c>
      <c r="AA209" s="194" t="str">
        <v>K521-K534</v>
      </c>
      <c r="AG209" s="69" t="str">
        <v>K531</v>
      </c>
    </row>
    <row r="210" spans="1:33" x14ac:dyDescent="0.2">
      <c r="A210"/>
      <c r="B210"/>
      <c r="C210"/>
      <c r="D210"/>
      <c r="E210"/>
      <c r="F210" t="str">
        <f>LEFT(AllDaqbookOffsets[[#This Row],[traceability_no]],2)</f>
        <v>J1</v>
      </c>
      <c r="W210" t="s">
        <v>655</v>
      </c>
      <c r="X210" t="s">
        <v>180</v>
      </c>
      <c r="Z210" s="462" t="str">
        <v>K532</v>
      </c>
      <c r="AA210" s="194" t="str">
        <v>K521-K534</v>
      </c>
      <c r="AG210" s="69" t="str">
        <v>K532</v>
      </c>
    </row>
    <row r="211" spans="1:33" x14ac:dyDescent="0.2">
      <c r="A211"/>
      <c r="B211"/>
      <c r="C211"/>
      <c r="D211"/>
      <c r="E211"/>
      <c r="F211" t="str">
        <f>LEFT(AllDaqbookOffsets[[#This Row],[traceability_no]],2)</f>
        <v>J1</v>
      </c>
      <c r="W211" t="s">
        <v>656</v>
      </c>
      <c r="X211" t="s">
        <v>180</v>
      </c>
      <c r="Z211" s="462" t="str">
        <v>K533</v>
      </c>
      <c r="AA211" s="194" t="str">
        <v>K521-K534</v>
      </c>
      <c r="AG211" s="69" t="str">
        <v>K533</v>
      </c>
    </row>
    <row r="212" spans="1:33" x14ac:dyDescent="0.2">
      <c r="A212"/>
      <c r="B212"/>
      <c r="C212"/>
      <c r="D212"/>
      <c r="E212"/>
      <c r="F212" t="str">
        <f>LEFT(AllDaqbookOffsets[[#This Row],[traceability_no]],2)</f>
        <v>J1</v>
      </c>
      <c r="W212" t="s">
        <v>657</v>
      </c>
      <c r="X212" t="s">
        <v>181</v>
      </c>
      <c r="Z212" s="462" t="str">
        <v>K534</v>
      </c>
      <c r="AA212" s="194" t="str">
        <v>K521-K534</v>
      </c>
      <c r="AG212" s="69" t="str">
        <v>K534</v>
      </c>
    </row>
    <row r="213" spans="1:33" x14ac:dyDescent="0.2">
      <c r="A213"/>
      <c r="B213"/>
      <c r="C213"/>
      <c r="D213"/>
      <c r="E213"/>
      <c r="F213" t="str">
        <f>LEFT(AllDaqbookOffsets[[#This Row],[traceability_no]],2)</f>
        <v>J1</v>
      </c>
      <c r="W213" t="s">
        <v>658</v>
      </c>
      <c r="X213" t="s">
        <v>181</v>
      </c>
      <c r="Z213" s="462" t="str">
        <v>K601</v>
      </c>
      <c r="AA213" s="194" t="str">
        <v>K601-K610</v>
      </c>
      <c r="AG213" s="69" t="str">
        <v>K601</v>
      </c>
    </row>
    <row r="214" spans="1:33" x14ac:dyDescent="0.2">
      <c r="A214"/>
      <c r="B214"/>
      <c r="C214"/>
      <c r="D214"/>
      <c r="E214"/>
      <c r="F214" t="str">
        <f>LEFT(AllDaqbookOffsets[[#This Row],[traceability_no]],2)</f>
        <v>J1</v>
      </c>
      <c r="W214" t="s">
        <v>659</v>
      </c>
      <c r="X214" t="s">
        <v>181</v>
      </c>
      <c r="Z214" s="462" t="str">
        <v>K602</v>
      </c>
      <c r="AA214" s="194" t="str">
        <v>K601-K610</v>
      </c>
      <c r="AG214" s="69" t="str">
        <v>K602</v>
      </c>
    </row>
    <row r="215" spans="1:33" x14ac:dyDescent="0.2">
      <c r="A215"/>
      <c r="B215"/>
      <c r="C215"/>
      <c r="D215"/>
      <c r="E215"/>
      <c r="F215" t="str">
        <f>LEFT(AllDaqbookOffsets[[#This Row],[traceability_no]],2)</f>
        <v>J1</v>
      </c>
      <c r="W215" t="s">
        <v>660</v>
      </c>
      <c r="X215" t="s">
        <v>181</v>
      </c>
      <c r="Z215" s="462" t="str">
        <v>K603</v>
      </c>
      <c r="AA215" s="194" t="str">
        <v>K601-K610</v>
      </c>
      <c r="AG215" s="69" t="str">
        <v>K603</v>
      </c>
    </row>
    <row r="216" spans="1:33" x14ac:dyDescent="0.2">
      <c r="A216"/>
      <c r="B216"/>
      <c r="C216"/>
      <c r="D216"/>
      <c r="E216"/>
      <c r="F216" t="str">
        <f>LEFT(AllDaqbookOffsets[[#This Row],[traceability_no]],2)</f>
        <v>J1</v>
      </c>
      <c r="W216" t="s">
        <v>661</v>
      </c>
      <c r="X216" t="s">
        <v>181</v>
      </c>
      <c r="Z216" s="462" t="str">
        <v>K604</v>
      </c>
      <c r="AA216" s="194" t="str">
        <v>K601-K610</v>
      </c>
      <c r="AG216" s="69" t="str">
        <v>K604</v>
      </c>
    </row>
    <row r="217" spans="1:33" x14ac:dyDescent="0.2">
      <c r="A217"/>
      <c r="B217"/>
      <c r="C217"/>
      <c r="D217"/>
      <c r="E217"/>
      <c r="F217" t="str">
        <f>LEFT(AllDaqbookOffsets[[#This Row],[traceability_no]],2)</f>
        <v>J1</v>
      </c>
      <c r="W217" t="s">
        <v>662</v>
      </c>
      <c r="X217" t="s">
        <v>181</v>
      </c>
      <c r="Z217" s="462" t="str">
        <v>K605</v>
      </c>
      <c r="AA217" s="194" t="str">
        <v>K601-K610</v>
      </c>
      <c r="AG217" s="69" t="str">
        <v>K605</v>
      </c>
    </row>
    <row r="218" spans="1:33" x14ac:dyDescent="0.2">
      <c r="A218"/>
      <c r="B218"/>
      <c r="C218"/>
      <c r="D218"/>
      <c r="E218"/>
      <c r="F218" t="str">
        <f>LEFT(AllDaqbookOffsets[[#This Row],[traceability_no]],2)</f>
        <v>J1</v>
      </c>
      <c r="W218" t="s">
        <v>663</v>
      </c>
      <c r="X218" t="s">
        <v>181</v>
      </c>
      <c r="Z218" s="462" t="str">
        <v>K606</v>
      </c>
      <c r="AA218" s="194" t="str">
        <v>K601-K610</v>
      </c>
      <c r="AG218" s="69" t="str">
        <v>K606</v>
      </c>
    </row>
    <row r="219" spans="1:33" x14ac:dyDescent="0.2">
      <c r="A219"/>
      <c r="B219"/>
      <c r="C219"/>
      <c r="D219"/>
      <c r="E219"/>
      <c r="F219" t="str">
        <f>LEFT(AllDaqbookOffsets[[#This Row],[traceability_no]],2)</f>
        <v>J1</v>
      </c>
      <c r="W219" t="s">
        <v>664</v>
      </c>
      <c r="X219" t="s">
        <v>181</v>
      </c>
      <c r="Z219" s="462" t="str">
        <v>K607</v>
      </c>
      <c r="AA219" s="194" t="str">
        <v>K601-K610</v>
      </c>
      <c r="AG219" s="69" t="str">
        <v>K607</v>
      </c>
    </row>
    <row r="220" spans="1:33" x14ac:dyDescent="0.2">
      <c r="A220"/>
      <c r="B220"/>
      <c r="C220"/>
      <c r="D220"/>
      <c r="E220"/>
      <c r="F220" t="str">
        <f>LEFT(AllDaqbookOffsets[[#This Row],[traceability_no]],2)</f>
        <v>J1</v>
      </c>
      <c r="W220" t="s">
        <v>665</v>
      </c>
      <c r="X220" t="s">
        <v>181</v>
      </c>
      <c r="Z220" s="462" t="str">
        <v>K608</v>
      </c>
      <c r="AA220" s="194" t="str">
        <v>K601-K610</v>
      </c>
      <c r="AG220" s="69" t="str">
        <v>K608</v>
      </c>
    </row>
    <row r="221" spans="1:33" x14ac:dyDescent="0.2">
      <c r="A221"/>
      <c r="B221"/>
      <c r="C221"/>
      <c r="D221"/>
      <c r="E221"/>
      <c r="F221" t="str">
        <f>LEFT(AllDaqbookOffsets[[#This Row],[traceability_no]],2)</f>
        <v>J1</v>
      </c>
      <c r="W221" t="s">
        <v>666</v>
      </c>
      <c r="X221" t="s">
        <v>181</v>
      </c>
      <c r="Z221" s="462" t="str">
        <v>K609</v>
      </c>
      <c r="AA221" s="194" t="str">
        <v>K601-K610</v>
      </c>
      <c r="AG221" s="69" t="str">
        <v>K609</v>
      </c>
    </row>
    <row r="222" spans="1:33" x14ac:dyDescent="0.2">
      <c r="A222"/>
      <c r="B222"/>
      <c r="C222"/>
      <c r="D222"/>
      <c r="E222"/>
      <c r="F222" t="str">
        <f>LEFT(AllDaqbookOffsets[[#This Row],[traceability_no]],2)</f>
        <v>J1</v>
      </c>
      <c r="W222" t="s">
        <v>667</v>
      </c>
      <c r="X222" t="s">
        <v>181</v>
      </c>
      <c r="Z222" s="462" t="str">
        <v>K610</v>
      </c>
      <c r="AA222" s="194" t="str">
        <v>K601-K610</v>
      </c>
      <c r="AG222" s="69" t="str">
        <v>K610</v>
      </c>
    </row>
    <row r="223" spans="1:33" x14ac:dyDescent="0.2">
      <c r="A223"/>
      <c r="B223"/>
      <c r="C223"/>
      <c r="D223"/>
      <c r="E223"/>
      <c r="F223" t="str">
        <f>LEFT(AllDaqbookOffsets[[#This Row],[traceability_no]],2)</f>
        <v>J1</v>
      </c>
      <c r="W223" t="s">
        <v>668</v>
      </c>
      <c r="X223" t="s">
        <v>181</v>
      </c>
      <c r="Z223" s="462" t="str">
        <v>K701</v>
      </c>
      <c r="AA223" s="194" t="str">
        <v>K701-K710</v>
      </c>
      <c r="AG223" s="69" t="str">
        <v>K701</v>
      </c>
    </row>
    <row r="224" spans="1:33" x14ac:dyDescent="0.2">
      <c r="A224"/>
      <c r="B224"/>
      <c r="C224"/>
      <c r="D224"/>
      <c r="E224"/>
      <c r="F224" t="str">
        <f>LEFT(AllDaqbookOffsets[[#This Row],[traceability_no]],2)</f>
        <v>J1</v>
      </c>
      <c r="W224" t="s">
        <v>669</v>
      </c>
      <c r="X224" t="s">
        <v>181</v>
      </c>
      <c r="Z224" s="462" t="str">
        <v>K702</v>
      </c>
      <c r="AA224" s="194" t="str">
        <v>K701-K710</v>
      </c>
      <c r="AG224" s="69" t="str">
        <v>K702</v>
      </c>
    </row>
    <row r="225" spans="1:33" x14ac:dyDescent="0.2">
      <c r="A225"/>
      <c r="B225"/>
      <c r="C225"/>
      <c r="D225"/>
      <c r="E225"/>
      <c r="F225" t="str">
        <f>LEFT(AllDaqbookOffsets[[#This Row],[traceability_no]],2)</f>
        <v>J1</v>
      </c>
      <c r="W225" t="s">
        <v>670</v>
      </c>
      <c r="X225" t="s">
        <v>181</v>
      </c>
      <c r="Z225" s="462" t="str">
        <v>K703</v>
      </c>
      <c r="AA225" s="194" t="str">
        <v>K701-K710</v>
      </c>
      <c r="AG225" s="69" t="str">
        <v>K703</v>
      </c>
    </row>
    <row r="226" spans="1:33" x14ac:dyDescent="0.2">
      <c r="A226"/>
      <c r="B226"/>
      <c r="C226"/>
      <c r="D226"/>
      <c r="E226"/>
      <c r="F226" t="str">
        <f>LEFT(AllDaqbookOffsets[[#This Row],[traceability_no]],2)</f>
        <v>J1</v>
      </c>
      <c r="W226" t="s">
        <v>671</v>
      </c>
      <c r="X226" t="s">
        <v>181</v>
      </c>
      <c r="Z226" s="462" t="str">
        <v>K704</v>
      </c>
      <c r="AA226" s="194" t="str">
        <v>K701-K710</v>
      </c>
      <c r="AG226" s="69" t="str">
        <v>K704</v>
      </c>
    </row>
    <row r="227" spans="1:33" x14ac:dyDescent="0.2">
      <c r="A227"/>
      <c r="B227"/>
      <c r="C227"/>
      <c r="D227"/>
      <c r="E227"/>
      <c r="F227" t="str">
        <f>LEFT(AllDaqbookOffsets[[#This Row],[traceability_no]],2)</f>
        <v>J1</v>
      </c>
      <c r="W227" t="s">
        <v>672</v>
      </c>
      <c r="X227" t="s">
        <v>181</v>
      </c>
      <c r="Z227" s="462" t="str">
        <v>K705</v>
      </c>
      <c r="AA227" s="194" t="str">
        <v>K701-K710</v>
      </c>
      <c r="AG227" s="69" t="str">
        <v>K705</v>
      </c>
    </row>
    <row r="228" spans="1:33" x14ac:dyDescent="0.2">
      <c r="A228"/>
      <c r="B228"/>
      <c r="C228"/>
      <c r="D228"/>
      <c r="E228"/>
      <c r="F228" t="str">
        <f>LEFT(AllDaqbookOffsets[[#This Row],[traceability_no]],2)</f>
        <v>J1</v>
      </c>
      <c r="W228" t="s">
        <v>673</v>
      </c>
      <c r="X228" t="s">
        <v>182</v>
      </c>
      <c r="Z228" s="462" t="str">
        <v>K706</v>
      </c>
      <c r="AA228" s="194" t="str">
        <v>K701-K710</v>
      </c>
      <c r="AG228" s="69" t="str">
        <v>K706</v>
      </c>
    </row>
    <row r="229" spans="1:33" x14ac:dyDescent="0.2">
      <c r="A229"/>
      <c r="B229"/>
      <c r="C229"/>
      <c r="D229"/>
      <c r="E229"/>
      <c r="F229" t="str">
        <f>LEFT(AllDaqbookOffsets[[#This Row],[traceability_no]],2)</f>
        <v>J1</v>
      </c>
      <c r="W229" t="s">
        <v>674</v>
      </c>
      <c r="X229" t="s">
        <v>182</v>
      </c>
      <c r="Z229" s="462" t="str">
        <v>K707</v>
      </c>
      <c r="AA229" s="194" t="str">
        <v>K701-K710</v>
      </c>
      <c r="AG229" s="69" t="str">
        <v>K707</v>
      </c>
    </row>
    <row r="230" spans="1:33" x14ac:dyDescent="0.2">
      <c r="A230"/>
      <c r="B230"/>
      <c r="C230"/>
      <c r="D230"/>
      <c r="E230"/>
      <c r="F230" t="str">
        <f>LEFT(AllDaqbookOffsets[[#This Row],[traceability_no]],2)</f>
        <v>J1</v>
      </c>
      <c r="W230" t="s">
        <v>675</v>
      </c>
      <c r="X230" t="s">
        <v>182</v>
      </c>
      <c r="Z230" s="462" t="str">
        <v>K708</v>
      </c>
      <c r="AA230" s="194" t="str">
        <v>K701-K710</v>
      </c>
      <c r="AG230" s="69" t="str">
        <v>K708</v>
      </c>
    </row>
    <row r="231" spans="1:33" x14ac:dyDescent="0.2">
      <c r="A231"/>
      <c r="B231"/>
      <c r="C231"/>
      <c r="D231"/>
      <c r="E231"/>
      <c r="F231" t="str">
        <f>LEFT(AllDaqbookOffsets[[#This Row],[traceability_no]],2)</f>
        <v>J1</v>
      </c>
      <c r="W231" t="s">
        <v>676</v>
      </c>
      <c r="X231" t="s">
        <v>182</v>
      </c>
      <c r="Z231" s="462" t="str">
        <v>K709</v>
      </c>
      <c r="AA231" s="194" t="str">
        <v>K701-K710</v>
      </c>
      <c r="AG231" s="69" t="str">
        <v>K709</v>
      </c>
    </row>
    <row r="232" spans="1:33" x14ac:dyDescent="0.2">
      <c r="A232"/>
      <c r="B232"/>
      <c r="C232"/>
      <c r="D232"/>
      <c r="E232"/>
      <c r="F232" t="str">
        <f>LEFT(AllDaqbookOffsets[[#This Row],[traceability_no]],2)</f>
        <v>J1</v>
      </c>
      <c r="W232" t="s">
        <v>677</v>
      </c>
      <c r="X232" t="s">
        <v>182</v>
      </c>
      <c r="Z232" s="462" t="str">
        <v>K710</v>
      </c>
      <c r="AA232" s="194" t="str">
        <v>K701-K710</v>
      </c>
      <c r="AG232" s="69" t="str">
        <v>K710</v>
      </c>
    </row>
    <row r="233" spans="1:33" x14ac:dyDescent="0.2">
      <c r="A233"/>
      <c r="B233"/>
      <c r="C233"/>
      <c r="D233"/>
      <c r="E233"/>
      <c r="F233" t="str">
        <f>LEFT(AllDaqbookOffsets[[#This Row],[traceability_no]],2)</f>
        <v>J1</v>
      </c>
      <c r="W233" t="s">
        <v>678</v>
      </c>
      <c r="X233" t="s">
        <v>182</v>
      </c>
      <c r="Z233" s="462" t="str">
        <v>K801</v>
      </c>
      <c r="AA233" s="194" t="str">
        <v>K801-K816</v>
      </c>
      <c r="AG233" s="69" t="str">
        <v>K801</v>
      </c>
    </row>
    <row r="234" spans="1:33" x14ac:dyDescent="0.2">
      <c r="A234"/>
      <c r="B234"/>
      <c r="C234"/>
      <c r="D234"/>
      <c r="E234"/>
      <c r="F234" t="str">
        <f>LEFT(AllDaqbookOffsets[[#This Row],[traceability_no]],2)</f>
        <v>J1</v>
      </c>
      <c r="W234" t="s">
        <v>679</v>
      </c>
      <c r="X234" t="s">
        <v>182</v>
      </c>
      <c r="Z234" s="462" t="str">
        <v>K802</v>
      </c>
      <c r="AA234" s="194" t="str">
        <v>K801-K816</v>
      </c>
      <c r="AG234" s="69" t="str">
        <v>K802</v>
      </c>
    </row>
    <row r="235" spans="1:33" x14ac:dyDescent="0.2">
      <c r="A235"/>
      <c r="B235"/>
      <c r="C235"/>
      <c r="D235"/>
      <c r="E235"/>
      <c r="F235" t="str">
        <f>LEFT(AllDaqbookOffsets[[#This Row],[traceability_no]],2)</f>
        <v>J1</v>
      </c>
      <c r="W235" t="s">
        <v>680</v>
      </c>
      <c r="X235" t="s">
        <v>182</v>
      </c>
      <c r="Z235" s="462" t="str">
        <v>K803</v>
      </c>
      <c r="AA235" s="194" t="str">
        <v>K801-K816</v>
      </c>
      <c r="AG235" s="69" t="str">
        <v>K803</v>
      </c>
    </row>
    <row r="236" spans="1:33" x14ac:dyDescent="0.2">
      <c r="A236"/>
      <c r="B236"/>
      <c r="C236"/>
      <c r="D236"/>
      <c r="E236"/>
      <c r="F236" t="str">
        <f>LEFT(AllDaqbookOffsets[[#This Row],[traceability_no]],2)</f>
        <v>J1</v>
      </c>
      <c r="W236" t="s">
        <v>681</v>
      </c>
      <c r="X236" t="s">
        <v>182</v>
      </c>
      <c r="Z236" s="462" t="str">
        <v>K804</v>
      </c>
      <c r="AA236" s="194" t="str">
        <v>K801-K816</v>
      </c>
      <c r="AG236" s="69" t="str">
        <v>K804</v>
      </c>
    </row>
    <row r="237" spans="1:33" x14ac:dyDescent="0.2">
      <c r="A237"/>
      <c r="B237"/>
      <c r="C237"/>
      <c r="D237"/>
      <c r="E237"/>
      <c r="F237" t="str">
        <f>LEFT(AllDaqbookOffsets[[#This Row],[traceability_no]],2)</f>
        <v>J1</v>
      </c>
      <c r="W237" t="s">
        <v>682</v>
      </c>
      <c r="X237" t="s">
        <v>182</v>
      </c>
      <c r="Z237" s="462" t="str">
        <v>K805</v>
      </c>
      <c r="AA237" s="194" t="str">
        <v>K801-K816</v>
      </c>
      <c r="AG237" s="69" t="str">
        <v>K805</v>
      </c>
    </row>
    <row r="238" spans="1:33" x14ac:dyDescent="0.2">
      <c r="A238"/>
      <c r="B238"/>
      <c r="C238"/>
      <c r="D238"/>
      <c r="E238"/>
      <c r="F238" t="str">
        <f>LEFT(AllDaqbookOffsets[[#This Row],[traceability_no]],2)</f>
        <v>J1</v>
      </c>
      <c r="W238" t="s">
        <v>683</v>
      </c>
      <c r="X238" t="s">
        <v>258</v>
      </c>
      <c r="Z238" s="462" t="str">
        <v>K806</v>
      </c>
      <c r="AA238" s="194" t="str">
        <v>K801-K816</v>
      </c>
      <c r="AG238" s="69" t="str">
        <v>K806</v>
      </c>
    </row>
    <row r="239" spans="1:33" x14ac:dyDescent="0.2">
      <c r="A239"/>
      <c r="B239"/>
      <c r="C239"/>
      <c r="D239"/>
      <c r="E239"/>
      <c r="F239" t="str">
        <f>LEFT(AllDaqbookOffsets[[#This Row],[traceability_no]],2)</f>
        <v>J1</v>
      </c>
      <c r="W239" t="s">
        <v>684</v>
      </c>
      <c r="X239" t="s">
        <v>258</v>
      </c>
      <c r="Z239" s="462" t="str">
        <v>K807</v>
      </c>
      <c r="AA239" s="194" t="str">
        <v>K801-K816</v>
      </c>
      <c r="AG239" s="69" t="str">
        <v>K807</v>
      </c>
    </row>
    <row r="240" spans="1:33" x14ac:dyDescent="0.2">
      <c r="A240"/>
      <c r="B240"/>
      <c r="C240"/>
      <c r="D240"/>
      <c r="E240"/>
      <c r="F240" t="str">
        <f>LEFT(AllDaqbookOffsets[[#This Row],[traceability_no]],2)</f>
        <v>J1</v>
      </c>
      <c r="W240" t="s">
        <v>685</v>
      </c>
      <c r="X240" t="s">
        <v>258</v>
      </c>
      <c r="Z240" s="462" t="str">
        <v>K808</v>
      </c>
      <c r="AA240" s="194" t="str">
        <v>K801-K816</v>
      </c>
      <c r="AG240" s="69" t="str">
        <v>K808</v>
      </c>
    </row>
    <row r="241" spans="1:33" x14ac:dyDescent="0.2">
      <c r="A241"/>
      <c r="B241"/>
      <c r="C241"/>
      <c r="D241"/>
      <c r="E241"/>
      <c r="F241" t="str">
        <f>LEFT(AllDaqbookOffsets[[#This Row],[traceability_no]],2)</f>
        <v>J1</v>
      </c>
      <c r="W241" t="s">
        <v>686</v>
      </c>
      <c r="X241" t="s">
        <v>258</v>
      </c>
      <c r="Z241" s="462" t="str">
        <v>K809</v>
      </c>
      <c r="AA241" s="194" t="str">
        <v>K801-K816</v>
      </c>
      <c r="AG241" s="69" t="str">
        <v>K809</v>
      </c>
    </row>
    <row r="242" spans="1:33" x14ac:dyDescent="0.2">
      <c r="A242"/>
      <c r="B242"/>
      <c r="C242"/>
      <c r="D242"/>
      <c r="E242"/>
      <c r="F242" t="str">
        <f>LEFT(AllDaqbookOffsets[[#This Row],[traceability_no]],2)</f>
        <v>J2</v>
      </c>
      <c r="W242" t="s">
        <v>687</v>
      </c>
      <c r="X242" t="s">
        <v>258</v>
      </c>
      <c r="Z242" s="462" t="str">
        <v>K810</v>
      </c>
      <c r="AA242" s="194" t="str">
        <v>K801-K816</v>
      </c>
      <c r="AG242" s="69" t="str">
        <v>K810</v>
      </c>
    </row>
    <row r="243" spans="1:33" x14ac:dyDescent="0.2">
      <c r="A243"/>
      <c r="B243"/>
      <c r="C243"/>
      <c r="D243"/>
      <c r="E243"/>
      <c r="F243" t="str">
        <f>LEFT(AllDaqbookOffsets[[#This Row],[traceability_no]],2)</f>
        <v>J2</v>
      </c>
      <c r="W243" t="s">
        <v>688</v>
      </c>
      <c r="X243" t="s">
        <v>258</v>
      </c>
      <c r="Z243" s="462" t="str">
        <v>K811</v>
      </c>
      <c r="AA243" s="194" t="str">
        <v>K801-K816</v>
      </c>
      <c r="AG243" s="69" t="str">
        <v>K811</v>
      </c>
    </row>
    <row r="244" spans="1:33" x14ac:dyDescent="0.2">
      <c r="A244"/>
      <c r="B244"/>
      <c r="C244"/>
      <c r="D244"/>
      <c r="E244"/>
      <c r="F244" t="str">
        <f>LEFT(AllDaqbookOffsets[[#This Row],[traceability_no]],2)</f>
        <v>J2</v>
      </c>
      <c r="W244" t="s">
        <v>689</v>
      </c>
      <c r="X244" t="s">
        <v>258</v>
      </c>
      <c r="Z244" s="462" t="str">
        <v>K812</v>
      </c>
      <c r="AA244" s="194" t="str">
        <v>K801-K816</v>
      </c>
      <c r="AG244" s="69" t="str">
        <v>K812</v>
      </c>
    </row>
    <row r="245" spans="1:33" x14ac:dyDescent="0.2">
      <c r="A245"/>
      <c r="B245"/>
      <c r="C245"/>
      <c r="D245"/>
      <c r="E245"/>
      <c r="F245" t="str">
        <f>LEFT(AllDaqbookOffsets[[#This Row],[traceability_no]],2)</f>
        <v>J2</v>
      </c>
      <c r="W245" t="s">
        <v>690</v>
      </c>
      <c r="X245" t="s">
        <v>258</v>
      </c>
      <c r="Z245" s="462" t="str">
        <v>K813</v>
      </c>
      <c r="AA245" s="194" t="str">
        <v>K801-K816</v>
      </c>
      <c r="AG245" s="69" t="str">
        <v>K813</v>
      </c>
    </row>
    <row r="246" spans="1:33" x14ac:dyDescent="0.2">
      <c r="A246"/>
      <c r="B246"/>
      <c r="C246"/>
      <c r="D246"/>
      <c r="E246"/>
      <c r="F246" t="str">
        <f>LEFT(AllDaqbookOffsets[[#This Row],[traceability_no]],2)</f>
        <v>J2</v>
      </c>
      <c r="W246" t="s">
        <v>691</v>
      </c>
      <c r="X246" t="s">
        <v>258</v>
      </c>
      <c r="Z246" s="462" t="str">
        <v>K814</v>
      </c>
      <c r="AA246" s="194" t="str">
        <v>K801-K816</v>
      </c>
      <c r="AG246" s="69" t="str">
        <v>K814</v>
      </c>
    </row>
    <row r="247" spans="1:33" x14ac:dyDescent="0.2">
      <c r="A247"/>
      <c r="B247"/>
      <c r="C247"/>
      <c r="D247"/>
      <c r="E247"/>
      <c r="F247" t="str">
        <f>LEFT(AllDaqbookOffsets[[#This Row],[traceability_no]],2)</f>
        <v>J2</v>
      </c>
      <c r="W247" t="s">
        <v>692</v>
      </c>
      <c r="X247" t="s">
        <v>258</v>
      </c>
      <c r="Z247" s="462" t="str">
        <v>K815</v>
      </c>
      <c r="AA247" s="194" t="str">
        <v>K801-K816</v>
      </c>
      <c r="AG247" s="69" t="str">
        <v>K815</v>
      </c>
    </row>
    <row r="248" spans="1:33" x14ac:dyDescent="0.2">
      <c r="A248"/>
      <c r="B248"/>
      <c r="C248"/>
      <c r="D248"/>
      <c r="E248"/>
      <c r="F248" t="str">
        <f>LEFT(AllDaqbookOffsets[[#This Row],[traceability_no]],2)</f>
        <v>J2</v>
      </c>
      <c r="W248" t="s">
        <v>699</v>
      </c>
      <c r="X248" t="s">
        <v>183</v>
      </c>
      <c r="Z248" s="462" t="str">
        <v>K816</v>
      </c>
      <c r="AA248" s="194" t="str">
        <v>K801-K816</v>
      </c>
      <c r="AG248" s="69" t="str">
        <v>K816</v>
      </c>
    </row>
    <row r="249" spans="1:33" x14ac:dyDescent="0.2">
      <c r="A249"/>
      <c r="B249"/>
      <c r="C249"/>
      <c r="D249"/>
      <c r="E249"/>
      <c r="F249" t="str">
        <f>LEFT(AllDaqbookOffsets[[#This Row],[traceability_no]],2)</f>
        <v>J2</v>
      </c>
      <c r="W249" t="s">
        <v>700</v>
      </c>
      <c r="X249" t="s">
        <v>183</v>
      </c>
      <c r="Z249" s="462" t="str">
        <v>K901</v>
      </c>
      <c r="AA249" s="194" t="str">
        <v>K901-K910</v>
      </c>
      <c r="AG249" s="69" t="str">
        <v>K901</v>
      </c>
    </row>
    <row r="250" spans="1:33" x14ac:dyDescent="0.2">
      <c r="A250"/>
      <c r="B250"/>
      <c r="C250"/>
      <c r="D250"/>
      <c r="E250"/>
      <c r="F250" t="str">
        <f>LEFT(AllDaqbookOffsets[[#This Row],[traceability_no]],2)</f>
        <v>J2</v>
      </c>
      <c r="W250" t="s">
        <v>701</v>
      </c>
      <c r="X250" t="s">
        <v>183</v>
      </c>
      <c r="Z250" s="462" t="str">
        <v>K902</v>
      </c>
      <c r="AA250" s="194" t="str">
        <v>K901-K910</v>
      </c>
      <c r="AG250" s="69" t="str">
        <v>K902</v>
      </c>
    </row>
    <row r="251" spans="1:33" x14ac:dyDescent="0.2">
      <c r="A251"/>
      <c r="B251"/>
      <c r="C251"/>
      <c r="D251"/>
      <c r="E251"/>
      <c r="F251" t="str">
        <f>LEFT(AllDaqbookOffsets[[#This Row],[traceability_no]],2)</f>
        <v>J2</v>
      </c>
      <c r="W251" t="s">
        <v>702</v>
      </c>
      <c r="X251" t="s">
        <v>183</v>
      </c>
      <c r="Z251" s="462" t="str">
        <v>K903</v>
      </c>
      <c r="AA251" s="194" t="str">
        <v>K901-K910</v>
      </c>
      <c r="AG251" s="69" t="str">
        <v>K903</v>
      </c>
    </row>
    <row r="252" spans="1:33" x14ac:dyDescent="0.2">
      <c r="A252"/>
      <c r="B252"/>
      <c r="C252"/>
      <c r="D252"/>
      <c r="E252"/>
      <c r="F252" t="str">
        <f>LEFT(AllDaqbookOffsets[[#This Row],[traceability_no]],2)</f>
        <v>J2</v>
      </c>
      <c r="W252" t="s">
        <v>703</v>
      </c>
      <c r="X252" t="s">
        <v>183</v>
      </c>
      <c r="Z252" s="462" t="str">
        <v>K904</v>
      </c>
      <c r="AA252" s="194" t="str">
        <v>K901-K910</v>
      </c>
      <c r="AG252" s="69" t="str">
        <v>K904</v>
      </c>
    </row>
    <row r="253" spans="1:33" x14ac:dyDescent="0.2">
      <c r="A253"/>
      <c r="B253"/>
      <c r="C253"/>
      <c r="D253"/>
      <c r="E253"/>
      <c r="F253" t="str">
        <f>LEFT(AllDaqbookOffsets[[#This Row],[traceability_no]],2)</f>
        <v>J2</v>
      </c>
      <c r="W253" t="s">
        <v>704</v>
      </c>
      <c r="X253" t="s">
        <v>183</v>
      </c>
      <c r="Z253" s="462" t="str">
        <v>K905</v>
      </c>
      <c r="AA253" s="194" t="str">
        <v>K901-K910</v>
      </c>
      <c r="AG253" s="69" t="str">
        <v>K905</v>
      </c>
    </row>
    <row r="254" spans="1:33" x14ac:dyDescent="0.2">
      <c r="A254"/>
      <c r="B254"/>
      <c r="C254"/>
      <c r="D254"/>
      <c r="E254"/>
      <c r="F254" t="str">
        <f>LEFT(AllDaqbookOffsets[[#This Row],[traceability_no]],2)</f>
        <v>J2</v>
      </c>
      <c r="W254" t="s">
        <v>705</v>
      </c>
      <c r="X254" t="s">
        <v>183</v>
      </c>
      <c r="Z254" s="462" t="str">
        <v>K906</v>
      </c>
      <c r="AA254" s="194" t="str">
        <v>K901-K910</v>
      </c>
      <c r="AG254" s="69" t="str">
        <v>K906</v>
      </c>
    </row>
    <row r="255" spans="1:33" x14ac:dyDescent="0.2">
      <c r="A255"/>
      <c r="B255"/>
      <c r="C255"/>
      <c r="D255"/>
      <c r="E255"/>
      <c r="F255" t="str">
        <f>LEFT(AllDaqbookOffsets[[#This Row],[traceability_no]],2)</f>
        <v>J2</v>
      </c>
      <c r="W255" t="s">
        <v>706</v>
      </c>
      <c r="X255" t="s">
        <v>183</v>
      </c>
      <c r="Z255" s="462" t="str">
        <v>K907</v>
      </c>
      <c r="AA255" s="194" t="str">
        <v>K901-K910</v>
      </c>
      <c r="AG255" s="69" t="str">
        <v>K907</v>
      </c>
    </row>
    <row r="256" spans="1:33" x14ac:dyDescent="0.2">
      <c r="A256"/>
      <c r="B256"/>
      <c r="C256"/>
      <c r="D256"/>
      <c r="E256"/>
      <c r="F256" t="str">
        <f>LEFT(AllDaqbookOffsets[[#This Row],[traceability_no]],2)</f>
        <v>J2</v>
      </c>
      <c r="W256" t="s">
        <v>707</v>
      </c>
      <c r="X256" t="s">
        <v>183</v>
      </c>
      <c r="Z256" s="462" t="str">
        <v>K908</v>
      </c>
      <c r="AA256" s="194" t="str">
        <v>K901-K910</v>
      </c>
      <c r="AG256" s="69" t="str">
        <v>K908</v>
      </c>
    </row>
    <row r="257" spans="1:33" x14ac:dyDescent="0.2">
      <c r="A257"/>
      <c r="B257"/>
      <c r="C257"/>
      <c r="D257"/>
      <c r="E257"/>
      <c r="F257" t="str">
        <f>LEFT(AllDaqbookOffsets[[#This Row],[traceability_no]],2)</f>
        <v>J2</v>
      </c>
      <c r="W257" t="s">
        <v>693</v>
      </c>
      <c r="X257" t="s">
        <v>258</v>
      </c>
      <c r="Z257" s="462" t="str">
        <v>K909</v>
      </c>
      <c r="AA257" s="194" t="str">
        <v>K901-K910</v>
      </c>
      <c r="AG257" s="69" t="str">
        <v>K909</v>
      </c>
    </row>
    <row r="258" spans="1:33" x14ac:dyDescent="0.2">
      <c r="A258"/>
      <c r="B258"/>
      <c r="C258"/>
      <c r="D258"/>
      <c r="E258"/>
      <c r="F258" t="str">
        <f>LEFT(AllDaqbookOffsets[[#This Row],[traceability_no]],2)</f>
        <v>J2</v>
      </c>
      <c r="W258" t="s">
        <v>708</v>
      </c>
      <c r="X258" t="s">
        <v>183</v>
      </c>
      <c r="Z258" s="462" t="str">
        <v>K910</v>
      </c>
      <c r="AA258" s="194" t="str">
        <v>K901-K910</v>
      </c>
      <c r="AG258" s="69" t="str">
        <v>K910</v>
      </c>
    </row>
    <row r="259" spans="1:33" x14ac:dyDescent="0.2">
      <c r="A259"/>
      <c r="B259"/>
      <c r="C259"/>
      <c r="D259"/>
      <c r="E259"/>
      <c r="F259" t="str">
        <f>LEFT(AllDaqbookOffsets[[#This Row],[traceability_no]],2)</f>
        <v>J2</v>
      </c>
      <c r="W259" t="s">
        <v>709</v>
      </c>
      <c r="X259" t="s">
        <v>183</v>
      </c>
      <c r="Z259" s="462" t="str">
        <v>N01</v>
      </c>
      <c r="AA259" s="194" t="str">
        <v>N01-N16</v>
      </c>
      <c r="AG259" s="69" t="str">
        <v>N01</v>
      </c>
    </row>
    <row r="260" spans="1:33" x14ac:dyDescent="0.2">
      <c r="A260"/>
      <c r="B260"/>
      <c r="C260"/>
      <c r="D260"/>
      <c r="E260"/>
      <c r="F260" t="str">
        <f>LEFT(AllDaqbookOffsets[[#This Row],[traceability_no]],2)</f>
        <v>J2</v>
      </c>
      <c r="W260" t="s">
        <v>710</v>
      </c>
      <c r="X260" t="s">
        <v>183</v>
      </c>
      <c r="Z260" s="462" t="str">
        <v>N02</v>
      </c>
      <c r="AA260" s="194" t="str">
        <v>N01-N16</v>
      </c>
      <c r="AG260" s="69" t="str">
        <v>N02</v>
      </c>
    </row>
    <row r="261" spans="1:33" x14ac:dyDescent="0.2">
      <c r="A261"/>
      <c r="B261"/>
      <c r="C261"/>
      <c r="D261"/>
      <c r="E261"/>
      <c r="F261" t="str">
        <f>LEFT(AllDaqbookOffsets[[#This Row],[traceability_no]],2)</f>
        <v>J2</v>
      </c>
      <c r="W261" t="s">
        <v>694</v>
      </c>
      <c r="X261" t="s">
        <v>258</v>
      </c>
      <c r="Z261" s="462" t="str">
        <v>N03</v>
      </c>
      <c r="AA261" s="194" t="str">
        <v>N01-N16</v>
      </c>
      <c r="AG261" s="69" t="str">
        <v>N03</v>
      </c>
    </row>
    <row r="262" spans="1:33" x14ac:dyDescent="0.2">
      <c r="A262"/>
      <c r="B262"/>
      <c r="C262"/>
      <c r="D262"/>
      <c r="E262"/>
      <c r="F262" t="str">
        <f>LEFT(AllDaqbookOffsets[[#This Row],[traceability_no]],2)</f>
        <v>J2</v>
      </c>
      <c r="W262" t="s">
        <v>695</v>
      </c>
      <c r="X262" t="s">
        <v>258</v>
      </c>
      <c r="Z262" s="462" t="str">
        <v>N04</v>
      </c>
      <c r="AA262" s="194" t="str">
        <v>N01-N16</v>
      </c>
      <c r="AG262" s="69" t="str">
        <v>N04</v>
      </c>
    </row>
    <row r="263" spans="1:33" x14ac:dyDescent="0.2">
      <c r="A263"/>
      <c r="B263"/>
      <c r="C263"/>
      <c r="D263"/>
      <c r="E263"/>
      <c r="F263" t="str">
        <f>LEFT(AllDaqbookOffsets[[#This Row],[traceability_no]],2)</f>
        <v>J2</v>
      </c>
      <c r="W263" t="s">
        <v>696</v>
      </c>
      <c r="X263" t="s">
        <v>258</v>
      </c>
      <c r="Z263" s="462" t="str">
        <v>N05</v>
      </c>
      <c r="AA263" s="194" t="str">
        <v>N01-N16</v>
      </c>
      <c r="AG263" s="69" t="str">
        <v>N05</v>
      </c>
    </row>
    <row r="264" spans="1:33" x14ac:dyDescent="0.2">
      <c r="A264"/>
      <c r="B264"/>
      <c r="C264"/>
      <c r="D264"/>
      <c r="E264"/>
      <c r="F264" t="str">
        <f>LEFT(AllDaqbookOffsets[[#This Row],[traceability_no]],2)</f>
        <v>J2</v>
      </c>
      <c r="W264" t="s">
        <v>697</v>
      </c>
      <c r="X264" t="s">
        <v>258</v>
      </c>
      <c r="Z264" s="462" t="str">
        <v>N06</v>
      </c>
      <c r="AA264" s="194" t="str">
        <v>N01-N16</v>
      </c>
      <c r="AG264" s="69" t="str">
        <v>N06</v>
      </c>
    </row>
    <row r="265" spans="1:33" x14ac:dyDescent="0.2">
      <c r="A265"/>
      <c r="B265"/>
      <c r="C265"/>
      <c r="D265"/>
      <c r="E265"/>
      <c r="F265" t="str">
        <f>LEFT(AllDaqbookOffsets[[#This Row],[traceability_no]],2)</f>
        <v>J2</v>
      </c>
      <c r="W265" t="s">
        <v>698</v>
      </c>
      <c r="X265" t="s">
        <v>258</v>
      </c>
      <c r="Z265" s="462" t="str">
        <v>N07</v>
      </c>
      <c r="AA265" s="194" t="str">
        <v>N01-N16</v>
      </c>
      <c r="AG265" s="69" t="str">
        <v>N07</v>
      </c>
    </row>
    <row r="266" spans="1:33" x14ac:dyDescent="0.2">
      <c r="A266"/>
      <c r="B266"/>
      <c r="C266"/>
      <c r="D266"/>
      <c r="E266"/>
      <c r="F266" t="str">
        <f>LEFT(AllDaqbookOffsets[[#This Row],[traceability_no]],2)</f>
        <v>J2</v>
      </c>
      <c r="W266" t="s">
        <v>711</v>
      </c>
      <c r="X266" t="s">
        <v>184</v>
      </c>
      <c r="Z266" s="462" t="str">
        <v>N08</v>
      </c>
      <c r="AA266" s="194" t="str">
        <v>N01-N16</v>
      </c>
      <c r="AG266" s="69" t="str">
        <v>N08</v>
      </c>
    </row>
    <row r="267" spans="1:33" x14ac:dyDescent="0.2">
      <c r="A267"/>
      <c r="B267"/>
      <c r="C267"/>
      <c r="D267"/>
      <c r="E267"/>
      <c r="F267" t="str">
        <f>LEFT(AllDaqbookOffsets[[#This Row],[traceability_no]],2)</f>
        <v>J2</v>
      </c>
      <c r="W267" t="s">
        <v>712</v>
      </c>
      <c r="X267" t="s">
        <v>184</v>
      </c>
      <c r="Z267" s="462" t="str">
        <v>N09</v>
      </c>
      <c r="AA267" s="194" t="str">
        <v>N01-N16</v>
      </c>
      <c r="AG267" s="69" t="str">
        <v>N09</v>
      </c>
    </row>
    <row r="268" spans="1:33" x14ac:dyDescent="0.2">
      <c r="A268"/>
      <c r="B268"/>
      <c r="C268"/>
      <c r="D268"/>
      <c r="E268"/>
      <c r="F268" t="str">
        <f>LEFT(AllDaqbookOffsets[[#This Row],[traceability_no]],2)</f>
        <v>J2</v>
      </c>
      <c r="W268" t="s">
        <v>713</v>
      </c>
      <c r="X268" t="s">
        <v>184</v>
      </c>
      <c r="Z268" s="462" t="str">
        <v>N10</v>
      </c>
      <c r="AA268" s="194" t="str">
        <v>N01-N16</v>
      </c>
      <c r="AG268" s="69" t="str">
        <v>N10</v>
      </c>
    </row>
    <row r="269" spans="1:33" x14ac:dyDescent="0.2">
      <c r="A269"/>
      <c r="B269"/>
      <c r="C269"/>
      <c r="D269"/>
      <c r="E269"/>
      <c r="F269" t="str">
        <f>LEFT(AllDaqbookOffsets[[#This Row],[traceability_no]],2)</f>
        <v>J2</v>
      </c>
      <c r="W269" t="s">
        <v>714</v>
      </c>
      <c r="X269" t="s">
        <v>184</v>
      </c>
      <c r="Z269" s="462" t="str">
        <v>N101</v>
      </c>
      <c r="AA269" s="194" t="str">
        <v>N101-N112</v>
      </c>
      <c r="AG269" s="69" t="str">
        <v>N101</v>
      </c>
    </row>
    <row r="270" spans="1:33" x14ac:dyDescent="0.2">
      <c r="A270"/>
      <c r="B270"/>
      <c r="C270"/>
      <c r="D270"/>
      <c r="E270"/>
      <c r="F270" t="str">
        <f>LEFT(AllDaqbookOffsets[[#This Row],[traceability_no]],2)</f>
        <v>J2</v>
      </c>
      <c r="W270" t="s">
        <v>715</v>
      </c>
      <c r="X270" t="s">
        <v>184</v>
      </c>
      <c r="Z270" s="462" t="str">
        <v>N102</v>
      </c>
      <c r="AA270" s="194" t="str">
        <v>N101-N112</v>
      </c>
      <c r="AG270" s="69" t="str">
        <v>N102</v>
      </c>
    </row>
    <row r="271" spans="1:33" x14ac:dyDescent="0.2">
      <c r="A271"/>
      <c r="B271"/>
      <c r="C271"/>
      <c r="D271"/>
      <c r="E271"/>
      <c r="F271" t="str">
        <f>LEFT(AllDaqbookOffsets[[#This Row],[traceability_no]],2)</f>
        <v>J2</v>
      </c>
      <c r="W271" t="s">
        <v>716</v>
      </c>
      <c r="X271" t="s">
        <v>184</v>
      </c>
      <c r="Z271" s="462" t="str">
        <v>N103</v>
      </c>
      <c r="AA271" s="194" t="str">
        <v>N101-N112</v>
      </c>
      <c r="AG271" s="69" t="str">
        <v>N103</v>
      </c>
    </row>
    <row r="272" spans="1:33" x14ac:dyDescent="0.2">
      <c r="A272"/>
      <c r="B272"/>
      <c r="C272"/>
      <c r="D272"/>
      <c r="E272"/>
      <c r="F272" t="str">
        <f>LEFT(AllDaqbookOffsets[[#This Row],[traceability_no]],2)</f>
        <v>J2</v>
      </c>
      <c r="W272" t="s">
        <v>717</v>
      </c>
      <c r="X272" t="s">
        <v>184</v>
      </c>
      <c r="Z272" s="462" t="str">
        <v>N104</v>
      </c>
      <c r="AA272" s="194" t="str">
        <v>N101-N112</v>
      </c>
      <c r="AG272" s="69" t="str">
        <v>N104</v>
      </c>
    </row>
    <row r="273" spans="1:33" x14ac:dyDescent="0.2">
      <c r="A273"/>
      <c r="B273"/>
      <c r="C273"/>
      <c r="D273"/>
      <c r="E273"/>
      <c r="F273" t="str">
        <f>LEFT(AllDaqbookOffsets[[#This Row],[traceability_no]],2)</f>
        <v>J2</v>
      </c>
      <c r="W273" t="s">
        <v>718</v>
      </c>
      <c r="X273" t="s">
        <v>184</v>
      </c>
      <c r="Z273" s="462" t="str">
        <v>N105</v>
      </c>
      <c r="AA273" s="194" t="str">
        <v>N101-N112</v>
      </c>
      <c r="AG273" s="69" t="str">
        <v>N105</v>
      </c>
    </row>
    <row r="274" spans="1:33" x14ac:dyDescent="0.2">
      <c r="A274"/>
      <c r="B274"/>
      <c r="C274"/>
      <c r="D274"/>
      <c r="E274"/>
      <c r="F274" t="str">
        <f>LEFT(AllDaqbookOffsets[[#This Row],[traceability_no]],2)</f>
        <v>J2</v>
      </c>
      <c r="W274" t="s">
        <v>719</v>
      </c>
      <c r="X274" t="s">
        <v>184</v>
      </c>
      <c r="Z274" s="462" t="str">
        <v>N106</v>
      </c>
      <c r="AA274" s="194" t="str">
        <v>N101-N112</v>
      </c>
      <c r="AG274" s="69" t="str">
        <v>N106</v>
      </c>
    </row>
    <row r="275" spans="1:33" x14ac:dyDescent="0.2">
      <c r="A275"/>
      <c r="B275"/>
      <c r="C275"/>
      <c r="D275"/>
      <c r="E275"/>
      <c r="F275" t="str">
        <f>LEFT(AllDaqbookOffsets[[#This Row],[traceability_no]],2)</f>
        <v>J2</v>
      </c>
      <c r="W275" t="s">
        <v>720</v>
      </c>
      <c r="X275" t="s">
        <v>184</v>
      </c>
      <c r="Z275" s="462" t="str">
        <v>N107</v>
      </c>
      <c r="AA275" s="194" t="str">
        <v>N101-N112</v>
      </c>
      <c r="AG275" s="69" t="str">
        <v>N107</v>
      </c>
    </row>
    <row r="276" spans="1:33" x14ac:dyDescent="0.2">
      <c r="A276"/>
      <c r="B276"/>
      <c r="C276"/>
      <c r="D276"/>
      <c r="E276"/>
      <c r="F276" t="str">
        <f>LEFT(AllDaqbookOffsets[[#This Row],[traceability_no]],2)</f>
        <v>J2</v>
      </c>
      <c r="W276" t="s">
        <v>721</v>
      </c>
      <c r="X276" t="s">
        <v>184</v>
      </c>
      <c r="Z276" s="462" t="str">
        <v>N108</v>
      </c>
      <c r="AA276" s="194" t="str">
        <v>N101-N112</v>
      </c>
      <c r="AG276" s="69" t="str">
        <v>N108</v>
      </c>
    </row>
    <row r="277" spans="1:33" x14ac:dyDescent="0.2">
      <c r="A277"/>
      <c r="B277"/>
      <c r="C277"/>
      <c r="D277"/>
      <c r="E277"/>
      <c r="F277" t="str">
        <f>LEFT(AllDaqbookOffsets[[#This Row],[traceability_no]],2)</f>
        <v>J2</v>
      </c>
      <c r="W277" t="s">
        <v>722</v>
      </c>
      <c r="X277" t="s">
        <v>184</v>
      </c>
      <c r="Z277" s="462" t="str">
        <v>N109</v>
      </c>
      <c r="AA277" s="194" t="str">
        <v>N101-N112</v>
      </c>
      <c r="AG277" s="69" t="str">
        <v>N109</v>
      </c>
    </row>
    <row r="278" spans="1:33" x14ac:dyDescent="0.2">
      <c r="A278"/>
      <c r="B278"/>
      <c r="C278"/>
      <c r="D278"/>
      <c r="E278"/>
      <c r="F278" t="str">
        <f>LEFT(AllDaqbookOffsets[[#This Row],[traceability_no]],2)</f>
        <v>J2</v>
      </c>
      <c r="W278" t="s">
        <v>723</v>
      </c>
      <c r="X278" t="s">
        <v>184</v>
      </c>
      <c r="Z278" s="462" t="str">
        <v>N11</v>
      </c>
      <c r="AA278" s="194" t="str">
        <v>N01-N16</v>
      </c>
      <c r="AG278" s="69" t="str">
        <v>N11</v>
      </c>
    </row>
    <row r="279" spans="1:33" x14ac:dyDescent="0.2">
      <c r="A279"/>
      <c r="B279"/>
      <c r="C279"/>
      <c r="D279"/>
      <c r="E279"/>
      <c r="F279" t="str">
        <f>LEFT(AllDaqbookOffsets[[#This Row],[traceability_no]],2)</f>
        <v>J2</v>
      </c>
      <c r="W279" t="s">
        <v>724</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337</v>
      </c>
      <c r="B1" s="360" t="s">
        <v>338</v>
      </c>
    </row>
    <row r="3" spans="1:5" x14ac:dyDescent="0.2">
      <c r="A3" t="s">
        <v>332</v>
      </c>
      <c r="B3" t="s">
        <v>333</v>
      </c>
      <c r="C3" t="s">
        <v>339</v>
      </c>
      <c r="D3" t="s">
        <v>427</v>
      </c>
      <c r="E3" s="36" t="s">
        <v>752</v>
      </c>
    </row>
    <row r="4" spans="1:5" x14ac:dyDescent="0.2">
      <c r="A4">
        <v>-100</v>
      </c>
      <c r="B4">
        <v>392</v>
      </c>
      <c r="C4">
        <v>1.6</v>
      </c>
      <c r="D4" t="s">
        <v>749</v>
      </c>
      <c r="E4" t="b">
        <f>1=(NominalTemp&gt;=CMCs[[#This Row],[Min]])*(NominalTemp&lt;CMCs[[#This Row],[Max]])*(CMCs[[#This Row],[Unit]]=Unit)</f>
        <v>1</v>
      </c>
    </row>
    <row r="5" spans="1:5" x14ac:dyDescent="0.2">
      <c r="A5">
        <v>392</v>
      </c>
      <c r="B5">
        <v>752</v>
      </c>
      <c r="C5">
        <v>4</v>
      </c>
      <c r="D5" t="s">
        <v>749</v>
      </c>
      <c r="E5" t="b">
        <f>1=(NominalTemp&gt;=CMCs[[#This Row],[Min]])*(NominalTemp&lt;CMCs[[#This Row],[Max]])*(CMCs[[#This Row],[Unit]]=Unit)</f>
        <v>0</v>
      </c>
    </row>
    <row r="6" spans="1:5" x14ac:dyDescent="0.2">
      <c r="A6">
        <v>752</v>
      </c>
      <c r="B6">
        <v>1200</v>
      </c>
      <c r="C6">
        <v>3</v>
      </c>
      <c r="D6" t="s">
        <v>749</v>
      </c>
      <c r="E6" t="b">
        <f>1=(NominalTemp&gt;=CMCs[[#This Row],[Min]])*(NominalTemp&lt;CMCs[[#This Row],[Max]])*(CMCs[[#This Row],[Unit]]=Unit)</f>
        <v>0</v>
      </c>
    </row>
    <row r="7" spans="1:5" x14ac:dyDescent="0.2">
      <c r="A7">
        <v>1200</v>
      </c>
      <c r="B7">
        <v>2000</v>
      </c>
      <c r="C7">
        <v>4.0999999999999996</v>
      </c>
      <c r="D7" t="s">
        <v>749</v>
      </c>
      <c r="E7" t="b">
        <f>1=(NominalTemp&gt;=CMCs[[#This Row],[Min]])*(NominalTemp&lt;CMCs[[#This Row],[Max]])*(CMCs[[#This Row],[Unit]]=Unit)</f>
        <v>0</v>
      </c>
    </row>
    <row r="8" spans="1:5" x14ac:dyDescent="0.2">
      <c r="A8">
        <v>1800</v>
      </c>
      <c r="B8">
        <v>2200</v>
      </c>
      <c r="C8">
        <v>4.0999999999999996</v>
      </c>
      <c r="D8" t="s">
        <v>749</v>
      </c>
      <c r="E8" t="b">
        <f>1=(NominalTemp&gt;=CMCs[[#This Row],[Min]])*(NominalTemp&lt;CMCs[[#This Row],[Max]])*(CMCs[[#This Row],[Unit]]=Unit)</f>
        <v>0</v>
      </c>
    </row>
    <row r="9" spans="1:5" x14ac:dyDescent="0.2">
      <c r="A9">
        <v>-73.333333333333329</v>
      </c>
      <c r="B9">
        <v>200</v>
      </c>
      <c r="C9">
        <v>0.88888888888888884</v>
      </c>
      <c r="D9" t="s">
        <v>750</v>
      </c>
      <c r="E9" t="b">
        <f>1=(NominalTemp&gt;=CMCs[[#This Row],[Min]])*(NominalTemp&lt;CMCs[[#This Row],[Max]])*(CMCs[[#This Row],[Unit]]=Unit)</f>
        <v>0</v>
      </c>
    </row>
    <row r="10" spans="1:5" x14ac:dyDescent="0.2">
      <c r="A10">
        <v>200</v>
      </c>
      <c r="B10">
        <v>400</v>
      </c>
      <c r="C10">
        <v>2.2222222222222223</v>
      </c>
      <c r="D10" t="s">
        <v>750</v>
      </c>
      <c r="E10" t="b">
        <f>1=(NominalTemp&gt;=CMCs[[#This Row],[Min]])*(NominalTemp&lt;CMCs[[#This Row],[Max]])*(CMCs[[#This Row],[Unit]]=Unit)</f>
        <v>0</v>
      </c>
    </row>
    <row r="11" spans="1:5" x14ac:dyDescent="0.2">
      <c r="A11">
        <v>400</v>
      </c>
      <c r="B11">
        <v>648.88888888888891</v>
      </c>
      <c r="C11">
        <v>1.6666666666666667</v>
      </c>
      <c r="D11" t="s">
        <v>750</v>
      </c>
      <c r="E11" t="b">
        <f>1=(NominalTemp&gt;=CMCs[[#This Row],[Min]])*(NominalTemp&lt;CMCs[[#This Row],[Max]])*(CMCs[[#This Row],[Unit]]=Unit)</f>
        <v>0</v>
      </c>
    </row>
    <row r="12" spans="1:5" x14ac:dyDescent="0.2">
      <c r="A12">
        <v>648.88888888888891</v>
      </c>
      <c r="B12">
        <v>1093.3333333333333</v>
      </c>
      <c r="C12">
        <v>2.2777777777777777</v>
      </c>
      <c r="D12" t="s">
        <v>750</v>
      </c>
      <c r="E12" t="b">
        <f>1=(NominalTemp&gt;=CMCs[[#This Row],[Min]])*(NominalTemp&lt;CMCs[[#This Row],[Max]])*(CMCs[[#This Row],[Unit]]=Unit)</f>
        <v>0</v>
      </c>
    </row>
    <row r="13" spans="1:5" x14ac:dyDescent="0.2">
      <c r="A13">
        <v>982.22222222222217</v>
      </c>
      <c r="B13">
        <v>1204.4444444444443</v>
      </c>
      <c r="C13">
        <v>2.2777777777777777</v>
      </c>
      <c r="D13" t="s">
        <v>750</v>
      </c>
      <c r="E13" t="b">
        <f>1=(NominalTemp&gt;=CMCs[[#This Row],[Min]])*(NominalTemp&lt;CMCs[[#This Row],[Max]])*(CMCs[[#This Row],[Unit]]=Unit)</f>
        <v>0</v>
      </c>
    </row>
  </sheetData>
  <sheetProtection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428</v>
      </c>
      <c r="J1" t="s">
        <v>429</v>
      </c>
      <c r="K1" t="s">
        <v>430</v>
      </c>
      <c r="L1" t="s">
        <v>431</v>
      </c>
      <c r="M1" t="s">
        <v>432</v>
      </c>
      <c r="O1" s="36" t="s">
        <v>326</v>
      </c>
      <c r="P1" t="s">
        <v>422</v>
      </c>
      <c r="Q1" t="s">
        <v>423</v>
      </c>
      <c r="R1" t="s">
        <v>424</v>
      </c>
      <c r="S1" t="s">
        <v>425</v>
      </c>
      <c r="T1" t="s">
        <v>426</v>
      </c>
      <c r="U1" t="s">
        <v>427</v>
      </c>
      <c r="X1" t="s">
        <v>427</v>
      </c>
    </row>
    <row r="2" spans="1:24"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434</v>
      </c>
      <c r="Q5" s="36" t="s">
        <v>435</v>
      </c>
      <c r="S5" s="36" t="s">
        <v>436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332</v>
      </c>
      <c r="P6" s="36">
        <f>IF(MaxMode,-1E+99,NominalTemp+R2)</f>
        <v>100</v>
      </c>
      <c r="Q6" s="36">
        <f>IF(MaxMode,-1E+99,NominalTemp+R2/2)</f>
        <v>100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333</v>
      </c>
      <c r="P7" s="433">
        <f>IF(MaxMode,S2,NominalTemp+S2)</f>
        <v>100</v>
      </c>
      <c r="Q7" s="36">
        <f>IF(MaxMode,-1E+99,NominalTemp+S2/2)</f>
        <v>100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732</v>
      </c>
      <c r="G1" s="34" t="s">
        <v>730</v>
      </c>
      <c r="H1" s="34" t="s">
        <v>731</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zoomScaleNormal="100" workbookViewId="0">
      <pane ySplit="1" topLeftCell="A2" activePane="bottomLeft" state="frozen"/>
      <selection pane="bottomLeft" activeCell="D17" sqref="D17"/>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748</v>
      </c>
      <c r="B1" s="317"/>
      <c r="C1" s="505" t="s">
        <v>49</v>
      </c>
      <c r="D1" s="506"/>
      <c r="E1" s="506"/>
      <c r="F1" s="506"/>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07" t="s">
        <v>99</v>
      </c>
      <c r="K3" s="508"/>
      <c r="L3" s="509"/>
      <c r="M3" s="300"/>
      <c r="N3" s="523" t="s">
        <v>88</v>
      </c>
      <c r="O3" s="523"/>
      <c r="P3" s="523"/>
      <c r="Q3" s="523"/>
      <c r="R3" s="523"/>
      <c r="S3" s="523"/>
    </row>
    <row r="4" spans="1:19" s="277" customFormat="1" x14ac:dyDescent="0.2">
      <c r="A4" s="318"/>
      <c r="B4" s="140"/>
      <c r="C4" s="141" t="s">
        <v>188</v>
      </c>
      <c r="D4" s="284" t="str">
        <f>IF(Condition="","",Condition)</f>
        <v/>
      </c>
      <c r="E4" s="300"/>
      <c r="F4" s="300"/>
      <c r="G4" s="300"/>
      <c r="H4" s="300"/>
      <c r="I4" s="300"/>
      <c r="J4" s="512" t="s">
        <v>1</v>
      </c>
      <c r="K4" s="513"/>
      <c r="L4" s="142">
        <f>MAX(Survey[Deviations])</f>
        <v>0</v>
      </c>
      <c r="M4" s="300"/>
      <c r="N4" s="143" t="s">
        <v>87</v>
      </c>
      <c r="O4" s="144" t="s">
        <v>86</v>
      </c>
      <c r="P4" s="510" t="s">
        <v>97</v>
      </c>
      <c r="Q4" s="511"/>
      <c r="R4" s="143" t="s">
        <v>129</v>
      </c>
      <c r="S4" s="143" t="s">
        <v>133</v>
      </c>
    </row>
    <row r="5" spans="1:19" s="277" customFormat="1" x14ac:dyDescent="0.2">
      <c r="A5" s="318"/>
      <c r="B5" s="140"/>
      <c r="C5" s="141" t="s">
        <v>41</v>
      </c>
      <c r="D5" s="527" t="e">
        <f>companyName</f>
        <v>#N/A</v>
      </c>
      <c r="E5" s="528"/>
      <c r="F5" s="528"/>
      <c r="G5" s="528"/>
      <c r="H5" s="529"/>
      <c r="I5" s="285"/>
      <c r="J5" s="512" t="s">
        <v>2</v>
      </c>
      <c r="K5" s="513"/>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4" t="e">
        <f>VLOOKUP("assetName",WorkItemDetails[],2,FALSE)</f>
        <v>#N/A</v>
      </c>
      <c r="E6" s="525"/>
      <c r="F6" s="525"/>
      <c r="G6" s="525"/>
      <c r="H6" s="526"/>
      <c r="J6" s="512" t="s">
        <v>98</v>
      </c>
      <c r="K6" s="513"/>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00"/>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1" t="str">
        <f>IFERROR(VLOOKUP("PoNumber",WorkItemDetails[],2,FALSE),"")</f>
        <v/>
      </c>
      <c r="L13" s="522"/>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0"/>
      <c r="L14" s="531"/>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16"/>
      <c r="L15" s="517"/>
      <c r="M15" s="300"/>
      <c r="N15" s="399">
        <v>11</v>
      </c>
      <c r="O15" s="145"/>
      <c r="P15" s="451" t="str">
        <v/>
      </c>
      <c r="Q15" s="452"/>
      <c r="R15" s="450" t="e">
        <v>#VALUE!</v>
      </c>
      <c r="S15" s="146" t="str">
        <v/>
      </c>
    </row>
    <row r="16" spans="1:19" s="277" customFormat="1" x14ac:dyDescent="0.2">
      <c r="A16" s="318"/>
      <c r="B16" s="154"/>
      <c r="C16" s="186" t="s">
        <v>199</v>
      </c>
      <c r="D16" s="293">
        <v>100</v>
      </c>
      <c r="E16" s="300"/>
      <c r="F16" s="152" t="s">
        <v>74</v>
      </c>
      <c r="G16" s="387" t="s">
        <v>201</v>
      </c>
      <c r="H16" s="388"/>
      <c r="I16" s="300"/>
      <c r="J16" s="478" t="s">
        <v>151</v>
      </c>
      <c r="K16" s="479"/>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78" t="s">
        <v>152</v>
      </c>
      <c r="K17" s="479"/>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2" t="s">
        <v>19</v>
      </c>
      <c r="H18" s="533"/>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4" t="str">
        <f>IF(K15="Salt",0, IF(OR(K15="Hot",K15="SIM Load Hot"),IF(OR(D26="",D28=""),"N/A",IF(ISBLANK(D26),"N/A",D28-D26)),"N/A"))</f>
        <v>N/A</v>
      </c>
      <c r="H19" s="515"/>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421</v>
      </c>
      <c r="V19" s="285">
        <f>L20</f>
        <v>1</v>
      </c>
    </row>
    <row r="20" spans="2:22" s="277" customFormat="1" ht="13.7" customHeight="1" x14ac:dyDescent="0.2">
      <c r="B20" s="518" t="s">
        <v>439</v>
      </c>
      <c r="C20" s="519"/>
      <c r="D20" s="640">
        <f>G82*MAX(NominalTemp/1000,1)</f>
        <v>0</v>
      </c>
      <c r="E20" s="412"/>
      <c r="F20" s="300"/>
      <c r="G20" s="300"/>
      <c r="H20" s="300"/>
      <c r="I20" s="301"/>
      <c r="J20" s="300"/>
      <c r="K20" s="300"/>
      <c r="L20" s="413">
        <v>1</v>
      </c>
      <c r="M20" s="300"/>
      <c r="N20" s="399">
        <v>16</v>
      </c>
      <c r="O20" s="145"/>
      <c r="P20" s="451" t="str">
        <v/>
      </c>
      <c r="Q20" s="452"/>
      <c r="R20" s="450" t="e">
        <v>#VALUE!</v>
      </c>
      <c r="S20" s="146" t="str">
        <v/>
      </c>
      <c r="T20" s="425"/>
      <c r="U20" s="285" t="s">
        <v>420</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419</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418</v>
      </c>
      <c r="V22" s="285">
        <f>V20+1</f>
        <v>1</v>
      </c>
    </row>
    <row r="23" spans="2:22" s="277" customFormat="1" x14ac:dyDescent="0.2">
      <c r="B23" s="140"/>
      <c r="C23" s="390" t="s">
        <v>389</v>
      </c>
      <c r="D23" s="281"/>
      <c r="E23" s="300"/>
      <c r="F23" s="159" t="s">
        <v>94</v>
      </c>
      <c r="G23" s="495" t="s">
        <v>300</v>
      </c>
      <c r="H23" s="496"/>
      <c r="I23" s="496"/>
      <c r="J23" s="496"/>
      <c r="K23" s="497"/>
      <c r="L23" s="301"/>
      <c r="M23" s="300"/>
      <c r="N23" s="399">
        <v>19</v>
      </c>
      <c r="O23" s="145"/>
      <c r="P23" s="451" t="str">
        <v/>
      </c>
      <c r="Q23" s="452"/>
      <c r="R23" s="450" t="e">
        <v>#VALUE!</v>
      </c>
      <c r="S23" s="146" t="str">
        <v/>
      </c>
      <c r="T23" s="425"/>
      <c r="U23" s="285" t="s">
        <v>417</v>
      </c>
      <c r="V23" s="285">
        <f>V20+V21</f>
        <v>40</v>
      </c>
    </row>
    <row r="24" spans="2:22" s="277" customFormat="1" x14ac:dyDescent="0.2">
      <c r="B24" s="518" t="s">
        <v>327</v>
      </c>
      <c r="C24" s="520"/>
      <c r="D24" s="281">
        <v>1</v>
      </c>
      <c r="E24" s="300"/>
      <c r="F24" s="159" t="s">
        <v>95</v>
      </c>
      <c r="G24" s="498"/>
      <c r="H24" s="499"/>
      <c r="I24" s="499"/>
      <c r="J24" s="499"/>
      <c r="K24" s="500"/>
      <c r="L24" s="301"/>
      <c r="M24" s="300"/>
      <c r="N24" s="399">
        <v>20</v>
      </c>
      <c r="O24" s="145"/>
      <c r="P24" s="451" t="str">
        <v/>
      </c>
      <c r="Q24" s="452"/>
      <c r="R24" s="450" t="e">
        <v>#VALUE!</v>
      </c>
      <c r="S24" s="146" t="str">
        <v/>
      </c>
      <c r="T24" s="425"/>
      <c r="U24" s="285" t="s">
        <v>416</v>
      </c>
      <c r="V24" s="285" t="str">
        <f>IF(V19=1,"","DaqBook points "&amp;V22&amp;"-"&amp;V23&amp;" used.")</f>
        <v/>
      </c>
    </row>
    <row r="25" spans="2:22" s="277" customFormat="1" x14ac:dyDescent="0.2">
      <c r="B25" s="315"/>
      <c r="C25" s="316"/>
      <c r="D25" s="323"/>
      <c r="E25" s="300"/>
      <c r="F25" s="159" t="s">
        <v>96</v>
      </c>
      <c r="G25" s="498"/>
      <c r="H25" s="499"/>
      <c r="I25" s="499"/>
      <c r="J25" s="499"/>
      <c r="K25" s="500"/>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3" t="str">
        <f>IF(ISBLANK(D6),"",IF(CheckRec="x","CHECK INSTRUMENT CAL DATES!!!!             CHECK INSTRUMENT CAL DATES!!!!",""))</f>
        <v/>
      </c>
      <c r="I27" s="494"/>
      <c r="J27" s="494"/>
      <c r="K27" s="494"/>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3"/>
      <c r="I28" s="494"/>
      <c r="J28" s="494"/>
      <c r="K28" s="494"/>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07" t="s">
        <v>48</v>
      </c>
      <c r="C34" s="508"/>
      <c r="D34" s="508"/>
      <c r="E34" s="508"/>
      <c r="F34" s="508"/>
      <c r="G34" s="508"/>
      <c r="H34" s="508"/>
      <c r="I34" s="508"/>
      <c r="J34" s="508"/>
      <c r="K34" s="508"/>
      <c r="L34" s="509"/>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397</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5" t="s">
        <v>33</v>
      </c>
      <c r="E46" s="476"/>
      <c r="F46" s="476"/>
      <c r="G46" s="476"/>
      <c r="H46" s="476"/>
      <c r="I46" s="477"/>
      <c r="J46" s="344"/>
      <c r="K46" s="344"/>
      <c r="L46" s="344"/>
      <c r="M46" s="501" t="s">
        <v>259</v>
      </c>
      <c r="N46" s="502"/>
      <c r="O46" s="503"/>
      <c r="P46" s="504"/>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2" t="s">
        <v>262</v>
      </c>
      <c r="Q47" s="482"/>
      <c r="R47" s="379" t="s">
        <v>263</v>
      </c>
      <c r="T47" s="304"/>
      <c r="U47" s="304"/>
    </row>
    <row r="48" spans="1:24" x14ac:dyDescent="0.2">
      <c r="A48" s="318"/>
      <c r="B48" s="342"/>
      <c r="C48" s="377" t="s">
        <v>34</v>
      </c>
      <c r="D48" s="287"/>
      <c r="E48" s="287"/>
      <c r="F48" s="287"/>
      <c r="G48" s="287"/>
      <c r="H48" s="287"/>
      <c r="I48" s="287"/>
      <c r="J48" s="344"/>
      <c r="K48" s="344"/>
      <c r="L48" s="344"/>
      <c r="M48" s="483" t="s">
        <v>264</v>
      </c>
      <c r="N48" s="483"/>
      <c r="O48" s="346"/>
      <c r="P48" s="484" t="s">
        <v>308</v>
      </c>
      <c r="Q48" s="485"/>
      <c r="R48" s="486"/>
      <c r="S48" s="461" t="b">
        <f>_xlfn.REGEXTEST(TRIM(Class),"^[0-9][AC]",1)</f>
        <v>0</v>
      </c>
      <c r="T48" s="305"/>
      <c r="U48" s="484" t="s">
        <v>311</v>
      </c>
      <c r="V48" s="485"/>
      <c r="W48" s="486"/>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336</v>
      </c>
      <c r="L49" s="344"/>
      <c r="M49" s="239" t="s">
        <v>265</v>
      </c>
      <c r="N49" s="297" t="str">
        <f>IF(PB="","",PB)</f>
        <v/>
      </c>
      <c r="O49" s="314"/>
      <c r="P49" s="487" t="s">
        <v>313</v>
      </c>
      <c r="Q49" s="488"/>
      <c r="R49" s="489"/>
      <c r="S49" s="380" t="str">
        <f>IF($S$48, IF(MAX(Survey[RawTemp])&lt;=HalfTolMax,"Yes","No"), "N/A")</f>
        <v>N/A</v>
      </c>
      <c r="T49" s="306"/>
      <c r="U49" s="487" t="s">
        <v>312</v>
      </c>
      <c r="V49" s="488"/>
      <c r="W49" s="489"/>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0" t="s">
        <v>267</v>
      </c>
      <c r="Q50" s="491"/>
      <c r="R50" s="492"/>
      <c r="S50" s="347"/>
      <c r="T50" s="307"/>
      <c r="U50" s="490" t="s">
        <v>267</v>
      </c>
      <c r="V50" s="491"/>
      <c r="W50" s="492"/>
      <c r="X50" s="304"/>
    </row>
    <row r="51" spans="3:24" x14ac:dyDescent="0.2">
      <c r="C51" s="376" t="s">
        <v>54</v>
      </c>
      <c r="D51" s="287"/>
      <c r="E51" s="287"/>
      <c r="F51" s="287"/>
      <c r="G51" s="287"/>
      <c r="H51" s="287"/>
      <c r="I51" s="287"/>
      <c r="J51" s="344"/>
      <c r="K51" s="348"/>
      <c r="L51" s="344"/>
      <c r="M51" s="363" t="s">
        <v>268</v>
      </c>
      <c r="N51" s="297" t="str">
        <f>IF(Derivative="","",Derivative)</f>
        <v/>
      </c>
      <c r="O51" s="300"/>
      <c r="P51" s="487" t="s">
        <v>309</v>
      </c>
      <c r="Q51" s="488"/>
      <c r="R51" s="489"/>
      <c r="S51" s="380"/>
      <c r="T51" s="308"/>
      <c r="U51" s="487" t="s">
        <v>314</v>
      </c>
      <c r="V51" s="488"/>
      <c r="W51" s="489"/>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0" t="s">
        <v>267</v>
      </c>
      <c r="Q52" s="491"/>
      <c r="R52" s="492"/>
      <c r="S52" s="347"/>
      <c r="T52" s="309"/>
      <c r="U52" s="490" t="s">
        <v>267</v>
      </c>
      <c r="V52" s="491"/>
      <c r="W52" s="492"/>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4" t="s">
        <v>310</v>
      </c>
      <c r="Q53" s="535"/>
      <c r="R53" s="536"/>
      <c r="S53" s="380"/>
      <c r="T53" s="310"/>
      <c r="U53" s="534" t="s">
        <v>315</v>
      </c>
      <c r="V53" s="535"/>
      <c r="W53" s="53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295</v>
      </c>
      <c r="N54" s="296">
        <v>0</v>
      </c>
      <c r="O54" s="302"/>
      <c r="P54" s="537"/>
      <c r="Q54" s="538"/>
      <c r="R54" s="539"/>
      <c r="S54" s="351"/>
      <c r="T54" s="311"/>
      <c r="U54" s="537"/>
      <c r="V54" s="538"/>
      <c r="W54" s="53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296</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297</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
        <v>274</v>
      </c>
      <c r="D57" s="288"/>
      <c r="E57" s="288"/>
      <c r="F57" s="288"/>
      <c r="G57" s="288"/>
      <c r="H57" s="288"/>
      <c r="I57" s="288"/>
      <c r="J57" s="300"/>
      <c r="K57" s="373"/>
      <c r="L57" s="374"/>
      <c r="M57" s="375" t="s">
        <v>298</v>
      </c>
      <c r="N57" s="296">
        <v>0</v>
      </c>
      <c r="O57" s="302"/>
      <c r="P57" s="300"/>
      <c r="Q57" s="446"/>
      <c r="S57" s="300"/>
      <c r="V57" s="446"/>
    </row>
    <row r="58" spans="3:24" x14ac:dyDescent="0.2">
      <c r="C58" s="475" t="s">
        <v>146</v>
      </c>
      <c r="D58" s="476"/>
      <c r="E58" s="476"/>
      <c r="F58" s="476"/>
      <c r="G58" s="476"/>
      <c r="H58" s="476"/>
      <c r="I58" s="476"/>
      <c r="J58" s="476"/>
      <c r="K58" s="480"/>
      <c r="L58" s="481"/>
      <c r="M58" s="304"/>
      <c r="N58" s="304"/>
      <c r="O58" s="304"/>
      <c r="P58" s="300"/>
      <c r="Q58" s="448"/>
      <c r="S58" s="304"/>
      <c r="T58" s="304"/>
      <c r="U58" s="304"/>
      <c r="V58" s="446"/>
    </row>
    <row r="59" spans="3:24" x14ac:dyDescent="0.2">
      <c r="C59" s="475" t="s">
        <v>149</v>
      </c>
      <c r="D59" s="476"/>
      <c r="E59" s="476"/>
      <c r="F59" s="476"/>
      <c r="G59" s="476"/>
      <c r="H59" s="476"/>
      <c r="I59" s="476"/>
      <c r="J59" s="476"/>
      <c r="K59" s="476"/>
      <c r="L59" s="477"/>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293</v>
      </c>
      <c r="G62" s="338"/>
      <c r="H62" s="338"/>
      <c r="I62" s="338"/>
      <c r="J62" s="300"/>
      <c r="K62" s="300"/>
      <c r="L62" s="300"/>
      <c r="M62" s="357"/>
      <c r="N62" s="356"/>
      <c r="O62" s="356"/>
      <c r="P62" s="314"/>
      <c r="Q62" s="447"/>
      <c r="R62" s="314"/>
      <c r="S62" s="314"/>
      <c r="T62" s="314"/>
      <c r="U62" s="314"/>
      <c r="V62" s="447"/>
    </row>
    <row r="65" spans="5:10" x14ac:dyDescent="0.2">
      <c r="E65" t="s">
        <v>382</v>
      </c>
      <c r="F65" t="s">
        <v>140</v>
      </c>
      <c r="G65" s="36" t="s">
        <v>751</v>
      </c>
      <c r="H65" s="638" t="s">
        <v>427</v>
      </c>
    </row>
    <row r="66" spans="5:10" x14ac:dyDescent="0.2">
      <c r="E66">
        <v>1</v>
      </c>
      <c r="F66">
        <v>5</v>
      </c>
      <c r="G66">
        <v>2</v>
      </c>
      <c r="H66" s="638" t="s">
        <v>749</v>
      </c>
      <c r="J66" s="642" cm="1">
        <f t="array" ref="J66:J71">_xlfn._xlws.FILTER(SAT_Tolerance_Lookup[SAT Tol],SAT_Tolerance_Lookup[Unit]=Unit)</f>
        <v>2</v>
      </c>
    </row>
    <row r="67" spans="5:10" x14ac:dyDescent="0.2">
      <c r="E67">
        <v>2</v>
      </c>
      <c r="F67">
        <v>10</v>
      </c>
      <c r="G67">
        <v>3</v>
      </c>
      <c r="H67" s="638" t="s">
        <v>749</v>
      </c>
      <c r="J67" s="642">
        <v>3</v>
      </c>
    </row>
    <row r="68" spans="5:10" x14ac:dyDescent="0.2">
      <c r="E68">
        <v>3</v>
      </c>
      <c r="F68">
        <v>15</v>
      </c>
      <c r="G68">
        <v>4</v>
      </c>
      <c r="H68" s="638" t="s">
        <v>749</v>
      </c>
      <c r="J68" s="642">
        <v>4</v>
      </c>
    </row>
    <row r="69" spans="5:10" x14ac:dyDescent="0.2">
      <c r="E69">
        <v>4</v>
      </c>
      <c r="F69">
        <v>20</v>
      </c>
      <c r="G69">
        <v>4</v>
      </c>
      <c r="H69" s="638" t="s">
        <v>749</v>
      </c>
      <c r="J69" s="642">
        <v>4</v>
      </c>
    </row>
    <row r="70" spans="5:10" x14ac:dyDescent="0.2">
      <c r="E70">
        <v>5</v>
      </c>
      <c r="F70">
        <v>25</v>
      </c>
      <c r="G70">
        <v>5</v>
      </c>
      <c r="H70" s="638" t="s">
        <v>749</v>
      </c>
      <c r="J70" s="642">
        <v>5</v>
      </c>
    </row>
    <row r="71" spans="5:10" x14ac:dyDescent="0.2">
      <c r="E71">
        <v>6</v>
      </c>
      <c r="F71">
        <v>50</v>
      </c>
      <c r="G71">
        <v>10</v>
      </c>
      <c r="H71" s="638" t="s">
        <v>749</v>
      </c>
      <c r="J71" s="642">
        <v>10</v>
      </c>
    </row>
    <row r="72" spans="5:10" x14ac:dyDescent="0.2">
      <c r="E72" s="638">
        <v>1</v>
      </c>
      <c r="F72" s="638">
        <v>3</v>
      </c>
      <c r="G72" s="638">
        <v>1.1000000000000001</v>
      </c>
      <c r="H72" s="638" t="s">
        <v>750</v>
      </c>
    </row>
    <row r="73" spans="5:10" x14ac:dyDescent="0.2">
      <c r="E73" s="638">
        <v>2</v>
      </c>
      <c r="F73" s="638">
        <v>6</v>
      </c>
      <c r="G73" s="638">
        <v>1.7</v>
      </c>
      <c r="H73" s="638" t="s">
        <v>750</v>
      </c>
    </row>
    <row r="74" spans="5:10" x14ac:dyDescent="0.2">
      <c r="E74" s="638">
        <v>3</v>
      </c>
      <c r="F74" s="638">
        <v>8</v>
      </c>
      <c r="G74" s="638">
        <v>2.2000000000000002</v>
      </c>
      <c r="H74" s="638" t="s">
        <v>750</v>
      </c>
    </row>
    <row r="75" spans="5:10" x14ac:dyDescent="0.2">
      <c r="E75" s="638">
        <v>4</v>
      </c>
      <c r="F75" s="638">
        <v>10</v>
      </c>
      <c r="G75" s="638">
        <v>2.2000000000000002</v>
      </c>
      <c r="H75" s="638" t="s">
        <v>750</v>
      </c>
    </row>
    <row r="76" spans="5:10" x14ac:dyDescent="0.2">
      <c r="E76" s="638">
        <v>5</v>
      </c>
      <c r="F76" s="638">
        <v>14</v>
      </c>
      <c r="G76" s="638">
        <v>2.8</v>
      </c>
      <c r="H76" s="638" t="s">
        <v>750</v>
      </c>
    </row>
    <row r="77" spans="5:10" x14ac:dyDescent="0.2">
      <c r="E77" s="638">
        <v>6</v>
      </c>
      <c r="F77" s="638">
        <v>28</v>
      </c>
      <c r="G77" s="638">
        <v>5.6</v>
      </c>
      <c r="H77" s="638" t="s">
        <v>750</v>
      </c>
    </row>
    <row r="78" spans="5:10" x14ac:dyDescent="0.2">
      <c r="F78" s="358"/>
    </row>
    <row r="79" spans="5:10" x14ac:dyDescent="0.2">
      <c r="F79" s="358"/>
    </row>
    <row r="80" spans="5:10" x14ac:dyDescent="0.2">
      <c r="F80" s="358"/>
    </row>
    <row r="81" spans="6:8" x14ac:dyDescent="0.2">
      <c r="F81" s="376" t="s">
        <v>440</v>
      </c>
      <c r="G81" s="434" t="b">
        <f>AND(UUTRangeTol!R2+UUTRangeTol!S2=0,UUTRangeTol!S2&gt;0)</f>
        <v>0</v>
      </c>
    </row>
    <row r="82" spans="6:8" x14ac:dyDescent="0.2">
      <c r="F82" s="376" t="s">
        <v>441</v>
      </c>
      <c r="G82" s="639" cm="1">
        <f t="array" ref="G82">IF(
  Symmetric_Tol,
  _xlfn.XLOOKUP(
    TRUE,
    (UUTRangeTol!S2 = SAT_Tolerance_Lookup[TUS Tol])*(SAT_Tolerance_Lookup[Unit]=Unit),
    SAT_Tolerance_Lookup[SAT Tol]
  ),
  SAT_Tol
)</f>
        <v>0</v>
      </c>
      <c r="H82" s="139" t="str">
        <f>Unit</f>
        <v>°F</v>
      </c>
    </row>
  </sheetData>
  <sheetProtection selectLockedCell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414</v>
      </c>
      <c r="B1" s="1" t="s">
        <v>413</v>
      </c>
    </row>
    <row r="2" spans="1:2" x14ac:dyDescent="0.2">
      <c r="A2" t="s">
        <v>415</v>
      </c>
      <c r="B2" t="b">
        <v>1</v>
      </c>
    </row>
  </sheetData>
  <sheetProtection algorithmName="SHA-512" hashValue="mwjTSiTpDI0FvMR4SFt8BKBF4jMft2Xg1cTRPnGaCLlHf+tjDsdqTvBDb4KunyiJmiBycSy2gyfxXoAl7PZvPA==" saltValue="+42NQumerVLgEObzqVd+J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367</v>
      </c>
      <c r="C2" s="45" t="s">
        <v>368</v>
      </c>
      <c r="D2" s="45" t="s">
        <v>369</v>
      </c>
      <c r="E2" s="45" t="s">
        <v>323</v>
      </c>
      <c r="F2" s="45" t="s">
        <v>370</v>
      </c>
      <c r="G2" s="45" t="s">
        <v>371</v>
      </c>
      <c r="H2" s="45" t="s">
        <v>372</v>
      </c>
      <c r="I2" s="45" t="s">
        <v>373</v>
      </c>
      <c r="J2" s="45" t="s">
        <v>374</v>
      </c>
      <c r="K2" s="45" t="s">
        <v>324</v>
      </c>
      <c r="L2" s="45" t="s">
        <v>375</v>
      </c>
      <c r="M2" s="45" t="s">
        <v>376</v>
      </c>
      <c r="N2" s="45" t="s">
        <v>377</v>
      </c>
      <c r="O2" s="45" t="s">
        <v>378</v>
      </c>
      <c r="P2" s="49"/>
      <c r="Q2" s="389" t="s">
        <v>14</v>
      </c>
      <c r="R2" s="45" t="s">
        <v>353</v>
      </c>
      <c r="S2" s="45" t="s">
        <v>354</v>
      </c>
      <c r="T2" s="45" t="s">
        <v>355</v>
      </c>
      <c r="U2" s="45" t="s">
        <v>356</v>
      </c>
      <c r="V2" s="45" t="s">
        <v>357</v>
      </c>
      <c r="W2" s="45" t="s">
        <v>358</v>
      </c>
      <c r="X2" s="45" t="s">
        <v>359</v>
      </c>
      <c r="Y2" s="45" t="s">
        <v>360</v>
      </c>
      <c r="Z2" s="45" t="s">
        <v>361</v>
      </c>
      <c r="AA2" s="45" t="s">
        <v>362</v>
      </c>
      <c r="AB2" s="45" t="s">
        <v>363</v>
      </c>
      <c r="AC2" s="45" t="s">
        <v>364</v>
      </c>
      <c r="AD2" s="45" t="s">
        <v>365</v>
      </c>
      <c r="AE2" s="45" t="s">
        <v>366</v>
      </c>
      <c r="AF2" s="49"/>
      <c r="AG2" s="389" t="s">
        <v>14</v>
      </c>
      <c r="AH2" s="83" t="s">
        <v>341</v>
      </c>
      <c r="AI2" s="83" t="s">
        <v>342</v>
      </c>
      <c r="AJ2" s="83" t="s">
        <v>343</v>
      </c>
      <c r="AK2" s="83" t="s">
        <v>344</v>
      </c>
      <c r="AL2" s="83" t="s">
        <v>345</v>
      </c>
      <c r="AM2" s="83" t="s">
        <v>346</v>
      </c>
      <c r="AN2" s="83" t="s">
        <v>347</v>
      </c>
      <c r="AO2" s="83" t="s">
        <v>348</v>
      </c>
      <c r="AP2" s="83" t="s">
        <v>349</v>
      </c>
      <c r="AQ2" s="83" t="s">
        <v>350</v>
      </c>
      <c r="AR2" s="83" t="s">
        <v>351</v>
      </c>
      <c r="AS2" s="83" t="s">
        <v>352</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jWPS82M4SZN3Kng2NcBGH0megFc2h1Ma1QIGDgfwyi3rSmZWuvjG1oliNmy/Nvm8Q0/bvBXL2smwoOI6Tfkpbw==" saltValue="OGgR85HTU0I0nm6CshbAMg=="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4">
        <f>Main!D3</f>
        <v>0</v>
      </c>
      <c r="E10" s="544"/>
      <c r="F10" s="544"/>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3" t="s">
        <v>302</v>
      </c>
      <c r="F15" s="543"/>
      <c r="G15" s="543"/>
      <c r="H15" s="543"/>
    </row>
    <row r="16" spans="3:8" ht="15" x14ac:dyDescent="0.2">
      <c r="C16" s="129"/>
      <c r="D16" s="72"/>
      <c r="E16" s="286" t="s">
        <v>116</v>
      </c>
      <c r="F16" s="286"/>
      <c r="G16" s="286"/>
      <c r="H16" s="286"/>
    </row>
    <row r="17" spans="3:8" ht="15" x14ac:dyDescent="0.2">
      <c r="C17" s="129"/>
      <c r="D17" s="72"/>
      <c r="E17" s="542" t="s">
        <v>117</v>
      </c>
      <c r="F17" s="542"/>
      <c r="G17" s="542"/>
      <c r="H17" s="542"/>
    </row>
    <row r="18" spans="3:8" ht="15" x14ac:dyDescent="0.2">
      <c r="C18" s="129"/>
      <c r="D18" s="72"/>
      <c r="E18" s="542" t="s">
        <v>6</v>
      </c>
      <c r="F18" s="542"/>
      <c r="G18" s="542"/>
      <c r="H18" s="542"/>
    </row>
    <row r="19" spans="3:8" ht="15" x14ac:dyDescent="0.2">
      <c r="C19" s="129"/>
      <c r="D19" s="72"/>
      <c r="E19" s="542" t="s">
        <v>122</v>
      </c>
      <c r="F19" s="542"/>
      <c r="G19" s="542"/>
      <c r="H19" s="542"/>
    </row>
    <row r="20" spans="3:8" ht="15" x14ac:dyDescent="0.2">
      <c r="C20" s="129"/>
      <c r="D20" s="72"/>
      <c r="E20" s="542" t="s">
        <v>119</v>
      </c>
      <c r="F20" s="542"/>
      <c r="G20" s="542"/>
      <c r="H20" s="542"/>
    </row>
    <row r="21" spans="3:8" ht="15" x14ac:dyDescent="0.2">
      <c r="C21" s="129"/>
      <c r="D21" s="72"/>
      <c r="E21" s="542" t="s">
        <v>120</v>
      </c>
      <c r="F21" s="542"/>
      <c r="G21" s="542"/>
      <c r="H21" s="542"/>
    </row>
    <row r="22" spans="3:8" ht="15" x14ac:dyDescent="0.2">
      <c r="C22" s="129"/>
      <c r="D22" s="72"/>
      <c r="E22" s="542" t="s">
        <v>103</v>
      </c>
      <c r="F22" s="542"/>
      <c r="G22" s="542"/>
      <c r="H22" s="542"/>
    </row>
    <row r="23" spans="3:8" ht="15" x14ac:dyDescent="0.2">
      <c r="C23" s="129"/>
      <c r="D23" s="72"/>
      <c r="E23" s="542" t="s">
        <v>121</v>
      </c>
      <c r="F23" s="542"/>
      <c r="G23" s="542"/>
      <c r="H23" s="542"/>
    </row>
    <row r="24" spans="3:8" ht="15" x14ac:dyDescent="0.2">
      <c r="C24" s="81"/>
      <c r="D24" s="72"/>
      <c r="E24" s="542" t="s">
        <v>139</v>
      </c>
      <c r="F24" s="542"/>
      <c r="G24" s="542"/>
      <c r="H24" s="542"/>
    </row>
    <row r="25" spans="3:8" ht="15" x14ac:dyDescent="0.2">
      <c r="C25" s="81"/>
      <c r="D25" s="72"/>
      <c r="E25" s="542"/>
      <c r="F25" s="542"/>
      <c r="G25" s="542"/>
      <c r="H25" s="542"/>
    </row>
    <row r="26" spans="3:8" ht="15" x14ac:dyDescent="0.2">
      <c r="C26" s="81"/>
      <c r="D26" s="72"/>
      <c r="E26" s="542"/>
      <c r="F26" s="542"/>
      <c r="G26" s="542"/>
      <c r="H26" s="542"/>
    </row>
    <row r="27" spans="3:8" ht="15" x14ac:dyDescent="0.2">
      <c r="C27" s="81"/>
      <c r="D27" s="72"/>
      <c r="E27" s="542"/>
      <c r="F27" s="542"/>
      <c r="G27" s="542"/>
      <c r="H27" s="542"/>
    </row>
    <row r="28" spans="3:8" ht="15" x14ac:dyDescent="0.2">
      <c r="C28" s="81"/>
      <c r="D28" s="72"/>
      <c r="E28" s="542"/>
      <c r="F28" s="542"/>
      <c r="G28" s="542"/>
      <c r="H28" s="542"/>
    </row>
    <row r="29" spans="3:8" ht="15" x14ac:dyDescent="0.2">
      <c r="C29" s="81"/>
      <c r="D29" s="72"/>
      <c r="E29" s="542"/>
      <c r="F29" s="542"/>
      <c r="G29" s="542"/>
      <c r="H29" s="542"/>
    </row>
    <row r="30" spans="3:8" ht="15" x14ac:dyDescent="0.2">
      <c r="C30" s="81"/>
      <c r="D30" s="72"/>
      <c r="E30" s="542"/>
      <c r="F30" s="542"/>
      <c r="G30" s="542"/>
      <c r="H30" s="542"/>
    </row>
    <row r="31" spans="3:8" ht="15" x14ac:dyDescent="0.2">
      <c r="C31" s="247" t="s">
        <v>303</v>
      </c>
      <c r="E31" s="542"/>
      <c r="F31" s="542"/>
      <c r="G31" s="542"/>
      <c r="H31" s="542"/>
    </row>
    <row r="32" spans="3:8" ht="15" x14ac:dyDescent="0.2">
      <c r="C32" s="81"/>
      <c r="D32" s="72"/>
      <c r="E32" s="542"/>
      <c r="F32" s="542"/>
      <c r="G32" s="542"/>
      <c r="H32" s="542"/>
    </row>
    <row r="33" spans="3:8" ht="15" x14ac:dyDescent="0.2">
      <c r="C33" s="81"/>
      <c r="D33" s="72"/>
      <c r="E33" s="542"/>
      <c r="F33" s="542"/>
      <c r="G33" s="542"/>
      <c r="H33" s="542"/>
    </row>
    <row r="34" spans="3:8" ht="15" x14ac:dyDescent="0.2">
      <c r="C34" s="81"/>
      <c r="D34" s="72"/>
      <c r="E34" s="542"/>
      <c r="F34" s="542"/>
      <c r="G34" s="542"/>
      <c r="H34" s="542"/>
    </row>
    <row r="35" spans="3:8" ht="15" x14ac:dyDescent="0.2">
      <c r="C35" s="81"/>
      <c r="D35" s="72"/>
      <c r="E35" s="542"/>
      <c r="F35" s="542"/>
      <c r="G35" s="542"/>
      <c r="H35" s="542"/>
    </row>
    <row r="36" spans="3:8" ht="15" x14ac:dyDescent="0.2">
      <c r="C36" s="72"/>
      <c r="D36" s="72"/>
      <c r="E36" s="542"/>
      <c r="F36" s="542"/>
      <c r="G36" s="542"/>
      <c r="H36" s="542"/>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zc4ABsa7thhj1/vKRFrFyWzfL/ilK8PizUSfJvEkYuSGQbE1yJbaHwmWrb/Ntke8CqAjK5jMjvI+XVcDCq0cQw==" saltValue="s1Hp+Zxo0cEOXXuy9UB6E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4" t="s">
        <v>108</v>
      </c>
      <c r="E1" s="564"/>
      <c r="F1" s="564"/>
      <c r="G1" s="564"/>
      <c r="H1" s="564"/>
      <c r="I1" s="564"/>
      <c r="J1" s="564"/>
      <c r="K1" s="564"/>
      <c r="L1" s="564"/>
      <c r="M1" s="564"/>
    </row>
    <row r="2" spans="1:18" ht="23.25" customHeight="1" x14ac:dyDescent="0.3">
      <c r="C2" s="229"/>
      <c r="D2" s="229" t="s">
        <v>255</v>
      </c>
      <c r="E2" s="229"/>
      <c r="F2" s="229"/>
      <c r="G2" s="229"/>
      <c r="H2" s="229"/>
      <c r="I2" s="229"/>
      <c r="J2" s="229"/>
      <c r="K2" s="229"/>
      <c r="L2" s="229"/>
      <c r="M2" s="229"/>
    </row>
    <row r="3" spans="1:18" ht="23.25" x14ac:dyDescent="0.35">
      <c r="C3" s="565"/>
      <c r="D3" s="565"/>
      <c r="E3" s="565"/>
      <c r="F3" s="565"/>
      <c r="G3" s="565"/>
      <c r="H3" s="565"/>
      <c r="I3" s="565"/>
      <c r="J3" s="565"/>
      <c r="K3" s="565"/>
      <c r="L3" s="565"/>
      <c r="M3" s="565"/>
    </row>
    <row r="4" spans="1:18" ht="23.25" x14ac:dyDescent="0.35">
      <c r="C4" s="213"/>
      <c r="D4" s="213"/>
      <c r="E4" s="213"/>
      <c r="F4" s="213"/>
      <c r="G4" s="213"/>
      <c r="H4" s="213"/>
      <c r="I4" s="213"/>
      <c r="J4" s="213"/>
      <c r="K4" s="213"/>
      <c r="L4" s="213"/>
      <c r="M4" s="213"/>
    </row>
    <row r="5" spans="1:18" ht="23.25" x14ac:dyDescent="0.35">
      <c r="C5" s="561" t="s">
        <v>6</v>
      </c>
      <c r="D5" s="561"/>
      <c r="E5" s="561"/>
      <c r="F5" s="561"/>
      <c r="G5" s="561"/>
      <c r="H5" s="561"/>
      <c r="I5" s="561"/>
      <c r="J5" s="561"/>
      <c r="K5" s="561"/>
      <c r="L5" s="561"/>
      <c r="M5" s="561"/>
    </row>
    <row r="6" spans="1:18" ht="23.25" x14ac:dyDescent="0.35">
      <c r="C6" s="214"/>
      <c r="D6" s="214"/>
      <c r="E6" s="581" t="str">
        <f>IFERROR(CONCATENATE("Report Number: ", WorkItemNumber),"")</f>
        <v/>
      </c>
      <c r="F6" s="581"/>
      <c r="G6" s="581"/>
      <c r="H6" s="581"/>
      <c r="I6" s="581"/>
      <c r="J6" s="581"/>
      <c r="K6" s="581"/>
      <c r="L6" s="214"/>
      <c r="M6" s="214"/>
    </row>
    <row r="7" spans="1:18" ht="18.75" customHeight="1" x14ac:dyDescent="0.3">
      <c r="G7" s="562"/>
      <c r="H7" s="562"/>
      <c r="I7" s="191"/>
      <c r="R7" t="str">
        <f>CONCATENATE("Page ",Main!L9," of ",Main!L10)</f>
        <v xml:space="preserve">Page  of </v>
      </c>
    </row>
    <row r="8" spans="1:18" ht="18" customHeight="1" x14ac:dyDescent="0.25">
      <c r="G8" s="574"/>
      <c r="H8" s="574"/>
      <c r="J8" s="78"/>
      <c r="K8" s="215" t="s">
        <v>252</v>
      </c>
      <c r="L8" s="585">
        <f>FormNumber</f>
        <v>0</v>
      </c>
      <c r="M8" s="585"/>
      <c r="N8" s="585"/>
      <c r="O8" s="585"/>
    </row>
    <row r="9" spans="1:18" ht="18" customHeight="1" x14ac:dyDescent="0.25">
      <c r="A9" s="215" t="s">
        <v>209</v>
      </c>
      <c r="B9" s="32" t="e">
        <f>Main!D5</f>
        <v>#N/A</v>
      </c>
      <c r="J9" s="78"/>
      <c r="K9" s="215" t="s">
        <v>253</v>
      </c>
      <c r="L9" s="576" t="str">
        <f>"JGI WP4100, "&amp;CalMethod</f>
        <v xml:space="preserve">JGI WP4100, </v>
      </c>
      <c r="M9" s="576"/>
      <c r="N9" s="576"/>
      <c r="O9" s="576"/>
    </row>
    <row r="10" spans="1:18" ht="18" customHeight="1" x14ac:dyDescent="0.25">
      <c r="A10" s="86"/>
      <c r="B10" s="210" t="str" cm="1">
        <f t="array" ref="B10">IFZERO('Customer Table'!R2,"")</f>
        <v/>
      </c>
      <c r="J10" s="78"/>
      <c r="K10" s="215"/>
      <c r="L10" s="576"/>
      <c r="M10" s="576"/>
      <c r="N10" s="576"/>
      <c r="O10" s="576"/>
    </row>
    <row r="11" spans="1:18" ht="18" customHeight="1" x14ac:dyDescent="0.25">
      <c r="A11" s="86"/>
      <c r="B11" s="210" t="str" cm="1">
        <f t="array" ref="B11">IFZERO('Customer Table'!S2,"")</f>
        <v/>
      </c>
      <c r="J11" s="78"/>
      <c r="K11" s="215" t="s">
        <v>254</v>
      </c>
      <c r="L11" s="585">
        <f>TolSource</f>
        <v>0</v>
      </c>
      <c r="M11" s="585"/>
      <c r="N11" s="585"/>
      <c r="O11" s="585"/>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77">
        <f>SerialNumber</f>
        <v>0</v>
      </c>
      <c r="C16" s="577"/>
      <c r="D16" s="577"/>
      <c r="E16" s="577"/>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68">
        <f>Class</f>
        <v>0</v>
      </c>
      <c r="C18" s="568"/>
      <c r="D18" s="568"/>
      <c r="E18" s="568"/>
      <c r="G18" s="215" t="s">
        <v>219</v>
      </c>
      <c r="H18" s="219">
        <f>CubicFeet</f>
        <v>0</v>
      </c>
      <c r="M18" s="215" t="s">
        <v>223</v>
      </c>
      <c r="N18" s="219" t="str">
        <f>Main!G18</f>
        <v>ACCEPTED</v>
      </c>
      <c r="O18" s="194"/>
    </row>
    <row r="19" spans="1:19" ht="18" customHeight="1" x14ac:dyDescent="0.25">
      <c r="A19" s="205"/>
      <c r="B19" s="569"/>
      <c r="C19" s="569"/>
      <c r="D19" s="569"/>
      <c r="E19" s="569"/>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78">
        <f>Controller</f>
        <v>0</v>
      </c>
      <c r="C21" s="578"/>
      <c r="D21" s="578"/>
      <c r="E21" s="578"/>
      <c r="F21" s="206" t="s">
        <v>226</v>
      </c>
      <c r="G21" s="578">
        <f>ContSN</f>
        <v>0</v>
      </c>
      <c r="H21" s="578"/>
      <c r="I21" s="578"/>
      <c r="J21" s="206" t="s">
        <v>227</v>
      </c>
      <c r="K21" s="218">
        <f>ContTol</f>
        <v>0</v>
      </c>
      <c r="L21" s="192"/>
      <c r="M21" s="206" t="s">
        <v>228</v>
      </c>
      <c r="N21" s="231" t="str">
        <f>Main!G27</f>
        <v/>
      </c>
      <c r="O21" s="193"/>
    </row>
    <row r="22" spans="1:19" ht="18" customHeight="1" x14ac:dyDescent="0.25">
      <c r="A22" s="224" t="s">
        <v>225</v>
      </c>
      <c r="B22" s="579">
        <f>_xlnm.Recorder</f>
        <v>0</v>
      </c>
      <c r="C22" s="579"/>
      <c r="D22" s="579"/>
      <c r="E22" s="579"/>
      <c r="F22" s="207" t="s">
        <v>226</v>
      </c>
      <c r="G22" s="579">
        <f>RecSN</f>
        <v>0</v>
      </c>
      <c r="H22" s="579"/>
      <c r="I22" s="579"/>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100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5" t="s">
        <v>237</v>
      </c>
      <c r="D27" s="575"/>
      <c r="E27" s="575"/>
      <c r="F27" s="575"/>
      <c r="G27" s="575"/>
      <c r="H27" s="575"/>
      <c r="I27" s="575"/>
      <c r="J27" s="575"/>
      <c r="K27" s="575"/>
      <c r="L27" s="575"/>
      <c r="M27" s="575"/>
      <c r="N27" s="195"/>
      <c r="O27" s="196"/>
    </row>
    <row r="28" spans="1:19" ht="8.1" customHeight="1" x14ac:dyDescent="0.2"/>
    <row r="29" spans="1:19" ht="18" customHeight="1" x14ac:dyDescent="0.2">
      <c r="A29" s="571" t="s">
        <v>207</v>
      </c>
      <c r="B29" s="572"/>
      <c r="C29" s="573"/>
      <c r="D29" s="571" t="s">
        <v>238</v>
      </c>
      <c r="E29" s="572"/>
      <c r="F29" s="572"/>
      <c r="G29" s="573"/>
      <c r="H29" s="571" t="s">
        <v>208</v>
      </c>
      <c r="I29" s="572"/>
      <c r="J29" s="572"/>
      <c r="K29" s="573"/>
      <c r="L29" s="571" t="s">
        <v>194</v>
      </c>
      <c r="M29" s="572"/>
      <c r="N29" s="572"/>
      <c r="O29" s="573"/>
    </row>
    <row r="30" spans="1:19" ht="18" customHeight="1" x14ac:dyDescent="0.2">
      <c r="A30" s="211"/>
      <c r="B30" s="201" t="s">
        <v>433</v>
      </c>
      <c r="C30" s="212"/>
      <c r="D30" s="554" t="str">
        <f>CONCATENATE(Main!D22,Unit," / ",Main!D23,"% RH")</f>
        <v>°F / % RH</v>
      </c>
      <c r="E30" s="555"/>
      <c r="F30" s="555"/>
      <c r="G30" s="556"/>
      <c r="H30" s="554">
        <f>OvenLocation</f>
        <v>0</v>
      </c>
      <c r="I30" s="555"/>
      <c r="J30" s="555"/>
      <c r="K30" s="556"/>
      <c r="L30" s="554">
        <f>Condition</f>
        <v>0</v>
      </c>
      <c r="M30" s="555"/>
      <c r="N30" s="555"/>
      <c r="O30" s="556"/>
    </row>
    <row r="31" spans="1:19" ht="18" customHeight="1" x14ac:dyDescent="0.2"/>
    <row r="32" spans="1:19" ht="18" customHeight="1" x14ac:dyDescent="0.25">
      <c r="A32" s="234" t="s">
        <v>239</v>
      </c>
      <c r="B32" s="563" t="s">
        <v>240</v>
      </c>
      <c r="C32" s="563"/>
      <c r="D32" s="234" t="s">
        <v>203</v>
      </c>
      <c r="E32" s="234" t="s">
        <v>202</v>
      </c>
      <c r="F32" s="234" t="s">
        <v>241</v>
      </c>
      <c r="G32" s="78"/>
      <c r="H32" s="78"/>
      <c r="I32" s="234" t="s">
        <v>239</v>
      </c>
      <c r="J32" s="563" t="s">
        <v>240</v>
      </c>
      <c r="K32" s="563"/>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7" t="s">
        <v>242</v>
      </c>
      <c r="C53" s="567"/>
      <c r="D53" s="567"/>
      <c r="E53" s="567"/>
      <c r="F53" s="567"/>
      <c r="G53" s="567"/>
      <c r="H53" s="567"/>
      <c r="I53" s="567"/>
      <c r="J53" s="567"/>
      <c r="K53" s="567"/>
      <c r="L53" s="567"/>
      <c r="M53" s="567"/>
      <c r="N53" s="567"/>
    </row>
    <row r="54" spans="1:21" ht="18" customHeight="1" x14ac:dyDescent="0.25">
      <c r="A54" s="237" t="s">
        <v>243</v>
      </c>
      <c r="B54" s="576" t="str">
        <f>CONCATENATE(Main!G23,"  ",FurnaceSpecificComments,Main!V24)</f>
        <v xml:space="preserve">Found in tolerance.  No adjustment required.  </v>
      </c>
      <c r="C54" s="576"/>
      <c r="D54" s="576"/>
      <c r="E54" s="576"/>
      <c r="F54" s="576"/>
      <c r="G54" s="576"/>
      <c r="H54" s="576"/>
      <c r="I54" s="576"/>
      <c r="J54" s="576"/>
      <c r="K54" s="576"/>
      <c r="L54" s="576"/>
      <c r="M54" s="576"/>
      <c r="N54" s="576"/>
      <c r="O54" s="576"/>
    </row>
    <row r="55" spans="1:21" ht="18" customHeight="1" x14ac:dyDescent="0.25">
      <c r="A55" s="75"/>
      <c r="B55" s="576"/>
      <c r="C55" s="576"/>
      <c r="D55" s="576"/>
      <c r="E55" s="576"/>
      <c r="F55" s="576"/>
      <c r="G55" s="576"/>
      <c r="H55" s="576"/>
      <c r="I55" s="576"/>
      <c r="J55" s="576"/>
      <c r="K55" s="576"/>
      <c r="L55" s="576"/>
      <c r="M55" s="576"/>
      <c r="N55" s="576"/>
      <c r="O55" s="576"/>
    </row>
    <row r="56" spans="1:21" ht="18" customHeight="1" x14ac:dyDescent="0.25">
      <c r="A56" s="75"/>
      <c r="B56" s="576"/>
      <c r="C56" s="576"/>
      <c r="D56" s="576"/>
      <c r="E56" s="576"/>
      <c r="F56" s="576"/>
      <c r="G56" s="576"/>
      <c r="H56" s="576"/>
      <c r="I56" s="576"/>
      <c r="J56" s="576"/>
      <c r="K56" s="576"/>
      <c r="L56" s="576"/>
      <c r="M56" s="576"/>
      <c r="N56" s="576"/>
      <c r="O56" s="576"/>
    </row>
    <row r="57" spans="1:21" ht="18" customHeight="1" x14ac:dyDescent="0.25">
      <c r="A57" s="75"/>
      <c r="B57" s="576"/>
      <c r="C57" s="576"/>
      <c r="D57" s="576"/>
      <c r="E57" s="576"/>
      <c r="F57" s="576"/>
      <c r="G57" s="576"/>
      <c r="H57" s="576"/>
      <c r="I57" s="576"/>
      <c r="J57" s="576"/>
      <c r="K57" s="576"/>
      <c r="L57" s="576"/>
      <c r="M57" s="576"/>
      <c r="N57" s="576"/>
      <c r="O57" s="576"/>
    </row>
    <row r="58" spans="1:21" ht="18" customHeight="1" x14ac:dyDescent="0.25">
      <c r="A58" s="75"/>
      <c r="B58" s="576"/>
      <c r="C58" s="576"/>
      <c r="D58" s="576"/>
      <c r="E58" s="576"/>
      <c r="F58" s="576"/>
      <c r="G58" s="576"/>
      <c r="H58" s="576"/>
      <c r="I58" s="576"/>
      <c r="J58" s="576"/>
      <c r="K58" s="576"/>
      <c r="L58" s="576"/>
      <c r="M58" s="576"/>
      <c r="N58" s="576"/>
      <c r="O58" s="576"/>
    </row>
    <row r="59" spans="1:21" ht="18" customHeight="1" x14ac:dyDescent="0.25">
      <c r="A59" s="75"/>
      <c r="B59" s="576"/>
      <c r="C59" s="576"/>
      <c r="D59" s="576"/>
      <c r="E59" s="576"/>
      <c r="F59" s="576"/>
      <c r="G59" s="576"/>
      <c r="H59" s="576"/>
      <c r="I59" s="576"/>
      <c r="J59" s="576"/>
      <c r="K59" s="576"/>
      <c r="L59" s="576"/>
      <c r="M59" s="576"/>
      <c r="N59" s="576"/>
      <c r="O59" s="576"/>
    </row>
    <row r="60" spans="1:21" ht="18" customHeight="1" x14ac:dyDescent="0.2">
      <c r="A60" s="566" t="s">
        <v>251</v>
      </c>
      <c r="B60" s="566"/>
      <c r="C60" s="566"/>
      <c r="D60" s="566"/>
      <c r="E60" s="566"/>
      <c r="F60" s="566"/>
      <c r="G60" s="566"/>
      <c r="H60" s="566"/>
      <c r="I60" s="566"/>
      <c r="J60" s="566"/>
      <c r="K60" s="566"/>
      <c r="L60" s="566"/>
      <c r="M60" s="566"/>
      <c r="N60" s="566"/>
      <c r="O60" s="566"/>
    </row>
    <row r="61" spans="1:21" ht="18" customHeight="1" x14ac:dyDescent="0.2">
      <c r="A61" s="570" t="s">
        <v>244</v>
      </c>
      <c r="B61" s="570"/>
      <c r="C61" s="570"/>
      <c r="D61" s="570"/>
      <c r="E61" s="570"/>
      <c r="F61" s="584" t="s">
        <v>245</v>
      </c>
      <c r="G61" s="584"/>
      <c r="H61" s="584"/>
      <c r="I61" s="584" t="s">
        <v>246</v>
      </c>
      <c r="J61" s="584"/>
      <c r="K61" s="584" t="s">
        <v>247</v>
      </c>
      <c r="L61" s="584"/>
      <c r="M61" s="584" t="s">
        <v>248</v>
      </c>
      <c r="N61" s="584"/>
      <c r="O61" s="584"/>
      <c r="R61" s="36" t="s">
        <v>334</v>
      </c>
      <c r="T61" s="36" t="s">
        <v>335</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82" t="str">
        <f>IF(F62="","",Main!D12)</f>
        <v/>
      </c>
      <c r="J62" s="583"/>
      <c r="K62" s="582" t="str">
        <f>IF(F62="","",Main!D13)</f>
        <v/>
      </c>
      <c r="L62" s="583"/>
      <c r="M62" s="548" t="str">
        <f>IF(F62="","",Main!D14)</f>
        <v/>
      </c>
      <c r="N62" s="549"/>
      <c r="O62" s="550"/>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5" t="str">
        <f>IF(Q63="","",CONCATENATE("Type """,U63,""" Thermocouple"))</f>
        <v/>
      </c>
      <c r="B63" s="546"/>
      <c r="C63" s="546"/>
      <c r="D63" s="546"/>
      <c r="E63" s="547"/>
      <c r="F63" s="545" t="str">
        <f>IF(Main!D48="","",Main!D48)</f>
        <v/>
      </c>
      <c r="G63" s="546"/>
      <c r="H63" s="547"/>
      <c r="I63" s="559" t="str">
        <f>IF(Q63="","",Main!D49)</f>
        <v/>
      </c>
      <c r="J63" s="560"/>
      <c r="K63" s="559" t="str">
        <f>IF(Q63="","",Main!D50)</f>
        <v/>
      </c>
      <c r="L63" s="560"/>
      <c r="M63" s="545" t="str">
        <f>IF(Q63="","",Main!D54)</f>
        <v/>
      </c>
      <c r="N63" s="546"/>
      <c r="O63" s="547"/>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5" t="str">
        <f t="shared" ref="A64:A69" si="0">IF(Q64="","",CONCATENATE("Type """,U64,""" Thermocouple"))</f>
        <v/>
      </c>
      <c r="B64" s="546"/>
      <c r="C64" s="546"/>
      <c r="D64" s="546"/>
      <c r="E64" s="547"/>
      <c r="F64" s="545" t="str">
        <f>IF(Main!E48="","",Main!E48)</f>
        <v/>
      </c>
      <c r="G64" s="546"/>
      <c r="H64" s="547"/>
      <c r="I64" s="559" t="str">
        <f>IF(Q64="","",Main!E49)</f>
        <v/>
      </c>
      <c r="J64" s="560"/>
      <c r="K64" s="559" t="str">
        <f>IF(Q64="","",Main!E50)</f>
        <v/>
      </c>
      <c r="L64" s="560"/>
      <c r="M64" s="545" t="str">
        <f>IF(Q64="","",Main!E54)</f>
        <v/>
      </c>
      <c r="N64" s="546"/>
      <c r="O64" s="547"/>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5" t="str">
        <f t="shared" si="0"/>
        <v/>
      </c>
      <c r="B65" s="546"/>
      <c r="C65" s="546"/>
      <c r="D65" s="546"/>
      <c r="E65" s="547"/>
      <c r="F65" s="545" t="str">
        <f>IF(Main!F48="","",Main!F48)</f>
        <v/>
      </c>
      <c r="G65" s="546"/>
      <c r="H65" s="547"/>
      <c r="I65" s="559" t="str">
        <f>IF(Q65="","",Main!F49)</f>
        <v/>
      </c>
      <c r="J65" s="560"/>
      <c r="K65" s="559" t="str">
        <f>IF(Q65="","",Main!F50)</f>
        <v/>
      </c>
      <c r="L65" s="560"/>
      <c r="M65" s="545" t="str">
        <f>IF(Q65="","",Main!F54)</f>
        <v/>
      </c>
      <c r="N65" s="546"/>
      <c r="O65" s="547"/>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5" t="str">
        <f t="shared" si="0"/>
        <v/>
      </c>
      <c r="B66" s="546"/>
      <c r="C66" s="546"/>
      <c r="D66" s="546"/>
      <c r="E66" s="547"/>
      <c r="F66" s="545" t="str">
        <f>IF(Main!G48="","",Main!G48)</f>
        <v/>
      </c>
      <c r="G66" s="546"/>
      <c r="H66" s="547"/>
      <c r="I66" s="559" t="str">
        <f>IF(Q66="","",Main!G49)</f>
        <v/>
      </c>
      <c r="J66" s="560"/>
      <c r="K66" s="559" t="str">
        <f>IF(Q66="","",Main!G50)</f>
        <v/>
      </c>
      <c r="L66" s="560"/>
      <c r="M66" s="545" t="str">
        <f>IF(Q66="","",Main!G54)</f>
        <v/>
      </c>
      <c r="N66" s="546"/>
      <c r="O66" s="547"/>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5" t="str">
        <f t="shared" si="0"/>
        <v/>
      </c>
      <c r="B67" s="546"/>
      <c r="C67" s="546"/>
      <c r="D67" s="546"/>
      <c r="E67" s="547"/>
      <c r="F67" s="545" t="str">
        <f>IF(Main!H48="","",Main!H48)</f>
        <v/>
      </c>
      <c r="G67" s="546"/>
      <c r="H67" s="547"/>
      <c r="I67" s="559" t="str">
        <f>IF(Q67="","",Main!H49)</f>
        <v/>
      </c>
      <c r="J67" s="560"/>
      <c r="K67" s="559" t="str">
        <f>IF(Q67="","",Main!H50)</f>
        <v/>
      </c>
      <c r="L67" s="560"/>
      <c r="M67" s="545" t="str">
        <f>IF(Q67="","",Main!H54)</f>
        <v/>
      </c>
      <c r="N67" s="546"/>
      <c r="O67" s="547"/>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5" t="str">
        <f t="shared" si="0"/>
        <v/>
      </c>
      <c r="B68" s="546"/>
      <c r="C68" s="546"/>
      <c r="D68" s="546"/>
      <c r="E68" s="547"/>
      <c r="F68" s="545" t="str">
        <f>IF(Main!I48="","",Main!I48)</f>
        <v/>
      </c>
      <c r="G68" s="546"/>
      <c r="H68" s="547"/>
      <c r="I68" s="559" t="str">
        <f>IF(Q68="","",Main!I49)</f>
        <v/>
      </c>
      <c r="J68" s="560"/>
      <c r="K68" s="559" t="str">
        <f>IF(Q68="","",Main!I50)</f>
        <v/>
      </c>
      <c r="L68" s="560"/>
      <c r="M68" s="545" t="str">
        <f>IF(Q68="","",Main!I54)</f>
        <v/>
      </c>
      <c r="N68" s="546"/>
      <c r="O68" s="547"/>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5" t="str">
        <f t="shared" si="0"/>
        <v/>
      </c>
      <c r="B69" s="546"/>
      <c r="C69" s="546"/>
      <c r="D69" s="546"/>
      <c r="E69" s="547"/>
      <c r="F69" s="554" t="str">
        <f>IF(Main!J48="","",Main!J48)</f>
        <v/>
      </c>
      <c r="G69" s="555"/>
      <c r="H69" s="556"/>
      <c r="I69" s="557" t="str">
        <f>IF(Q69="","",Main!J49)</f>
        <v/>
      </c>
      <c r="J69" s="558"/>
      <c r="K69" s="557" t="str">
        <f>IF(Q69="","",Main!J50)</f>
        <v/>
      </c>
      <c r="L69" s="558"/>
      <c r="M69" s="554" t="str">
        <f>IF(Q69="","",Main!J54)</f>
        <v/>
      </c>
      <c r="N69" s="555"/>
      <c r="O69" s="556"/>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0" t="s">
        <v>437</v>
      </c>
      <c r="B71" s="580"/>
      <c r="C71" s="580"/>
      <c r="D71" s="580"/>
      <c r="E71" s="580"/>
      <c r="F71" s="580"/>
      <c r="G71" s="580"/>
      <c r="H71" s="580"/>
      <c r="I71" s="580"/>
      <c r="J71" s="580"/>
      <c r="K71" s="580"/>
      <c r="L71" s="580"/>
      <c r="M71" s="580"/>
      <c r="N71" s="580"/>
      <c r="O71" s="580"/>
    </row>
    <row r="72" spans="1:21" ht="18" customHeight="1" x14ac:dyDescent="0.2">
      <c r="A72" s="580"/>
      <c r="B72" s="580"/>
      <c r="C72" s="580"/>
      <c r="D72" s="580"/>
      <c r="E72" s="580"/>
      <c r="F72" s="580"/>
      <c r="G72" s="580"/>
      <c r="H72" s="580"/>
      <c r="I72" s="580"/>
      <c r="J72" s="580"/>
      <c r="K72" s="580"/>
      <c r="L72" s="580"/>
      <c r="M72" s="580"/>
      <c r="N72" s="580"/>
      <c r="O72" s="580"/>
    </row>
    <row r="73" spans="1:21" ht="18" customHeight="1" x14ac:dyDescent="0.2">
      <c r="A73" s="580"/>
      <c r="B73" s="580"/>
      <c r="C73" s="580"/>
      <c r="D73" s="580"/>
      <c r="E73" s="580"/>
      <c r="F73" s="580"/>
      <c r="G73" s="580"/>
      <c r="H73" s="580"/>
      <c r="I73" s="580"/>
      <c r="J73" s="580"/>
      <c r="K73" s="580"/>
      <c r="L73" s="580"/>
      <c r="M73" s="580"/>
      <c r="N73" s="580"/>
      <c r="O73" s="580"/>
    </row>
    <row r="74" spans="1:21" ht="18" customHeight="1" x14ac:dyDescent="0.2">
      <c r="A74" s="580"/>
      <c r="B74" s="580"/>
      <c r="C74" s="580"/>
      <c r="D74" s="580"/>
      <c r="E74" s="580"/>
      <c r="F74" s="580"/>
      <c r="G74" s="580"/>
      <c r="H74" s="580"/>
      <c r="I74" s="580"/>
      <c r="J74" s="580"/>
      <c r="K74" s="580"/>
      <c r="L74" s="580"/>
      <c r="M74" s="580"/>
      <c r="N74" s="580"/>
      <c r="O74" s="580"/>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ReUTrX9EQrfLR2V9N6dgrh8qOqNtVDa5bEB59suZw1eXO0Ce8zymO47HuZe4gf6ubYlzuPemC2Tme+64FEzBtg==" saltValue="r9v1aaxkLiZNGiB6Ipww9w=="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398</v>
      </c>
      <c r="R1" t="s">
        <v>399</v>
      </c>
      <c r="S1" t="s">
        <v>400</v>
      </c>
      <c r="T1" t="s">
        <v>401</v>
      </c>
      <c r="U1" t="s">
        <v>402</v>
      </c>
      <c r="V1" t="s">
        <v>403</v>
      </c>
      <c r="W1" t="s">
        <v>404</v>
      </c>
      <c r="X1" t="s">
        <v>405</v>
      </c>
      <c r="Y1" t="s">
        <v>406</v>
      </c>
      <c r="Z1" t="s">
        <v>407</v>
      </c>
      <c r="AA1" t="s">
        <v>408</v>
      </c>
      <c r="AB1" t="s">
        <v>409</v>
      </c>
      <c r="AC1" t="s">
        <v>410</v>
      </c>
      <c r="AD1" t="s">
        <v>411</v>
      </c>
      <c r="AE1" t="s">
        <v>412</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200</v>
      </c>
      <c r="D1" s="110"/>
      <c r="E1" s="110">
        <f>NominalTemp+TolMin/2</f>
        <v>150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200</v>
      </c>
      <c r="D2" s="110"/>
      <c r="E2" s="110">
        <f>NominalTemp+TolMax/2</f>
        <v>150</v>
      </c>
      <c r="F2" s="117"/>
      <c r="G2" s="117"/>
      <c r="H2" s="117"/>
      <c r="I2" s="135" t="s">
        <v>187</v>
      </c>
      <c r="J2" s="117"/>
      <c r="K2" s="117"/>
      <c r="L2" s="117"/>
      <c r="M2" s="589" t="s">
        <v>100</v>
      </c>
      <c r="N2" s="589"/>
      <c r="O2" s="589"/>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0" t="s">
        <v>101</v>
      </c>
      <c r="N3" s="591"/>
      <c r="O3" s="592"/>
      <c r="P3" s="102"/>
      <c r="Q3" s="102"/>
    </row>
    <row r="4" spans="1:18" ht="15" x14ac:dyDescent="0.25">
      <c r="B4" s="112" t="s">
        <v>25</v>
      </c>
      <c r="C4" s="59"/>
      <c r="D4" s="36"/>
      <c r="E4" s="36"/>
      <c r="F4" s="36"/>
      <c r="G4" s="36"/>
      <c r="H4" s="36"/>
      <c r="I4" s="36"/>
      <c r="J4" s="36"/>
      <c r="K4" s="36"/>
      <c r="L4" s="36"/>
      <c r="M4" s="593" t="s">
        <v>136</v>
      </c>
      <c r="N4" s="594"/>
      <c r="O4" s="595"/>
      <c r="P4" s="84"/>
    </row>
    <row r="5" spans="1:18" x14ac:dyDescent="0.2">
      <c r="B5" s="113" t="s">
        <v>26</v>
      </c>
      <c r="C5" s="53">
        <f>Main!D3</f>
        <v>0</v>
      </c>
      <c r="D5" s="36"/>
      <c r="E5" s="36"/>
      <c r="F5" s="36"/>
      <c r="G5" s="36"/>
      <c r="H5" s="36"/>
      <c r="I5" s="51" t="s">
        <v>4</v>
      </c>
      <c r="J5" s="36" t="e">
        <f>Main!D5</f>
        <v>#N/A</v>
      </c>
      <c r="L5" s="36"/>
      <c r="M5" s="596" t="s">
        <v>135</v>
      </c>
      <c r="N5" s="597"/>
      <c r="O5" s="598"/>
      <c r="P5" s="128"/>
    </row>
    <row r="6" spans="1:18" ht="13.5" thickBot="1" x14ac:dyDescent="0.25">
      <c r="B6" s="113" t="s">
        <v>3</v>
      </c>
      <c r="C6" s="54" t="e">
        <f>Main!D6</f>
        <v>#N/A</v>
      </c>
      <c r="D6" s="36"/>
      <c r="E6" s="36"/>
      <c r="F6" s="36"/>
      <c r="G6" s="36"/>
      <c r="H6" s="36"/>
      <c r="I6" s="51" t="s">
        <v>5</v>
      </c>
      <c r="J6" s="50">
        <f>Main!D16</f>
        <v>100</v>
      </c>
      <c r="L6" s="36"/>
      <c r="M6" s="599" t="str">
        <f>IF(MaxMode,"","In 1/2 Tolerance")</f>
        <v>In 1/2 Tolerance</v>
      </c>
      <c r="N6" s="600"/>
      <c r="O6" s="601"/>
      <c r="P6" s="85"/>
    </row>
    <row r="7" spans="1:18" ht="13.5" thickBot="1" x14ac:dyDescent="0.25">
      <c r="B7" s="113" t="s">
        <v>27</v>
      </c>
      <c r="C7" s="54" t="str">
        <f>Main!D7</f>
        <v>Jeff Hall</v>
      </c>
      <c r="D7" s="36"/>
      <c r="E7" s="36"/>
      <c r="F7" s="36"/>
      <c r="G7" s="36"/>
      <c r="H7" s="36"/>
      <c r="I7" s="56" t="s">
        <v>154</v>
      </c>
      <c r="J7" s="587">
        <f>Main!$D$30</f>
        <v>0</v>
      </c>
      <c r="K7" s="588"/>
      <c r="L7" s="99"/>
      <c r="M7" s="586" t="s">
        <v>134</v>
      </c>
      <c r="N7" s="586"/>
      <c r="O7" s="586"/>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MnizLu4a6OQE4eHaDX8CoSefxLh+izf4yIw3NluXG79hsBf7+mC9Bs+pe5dC81V5fqtN4PcusnwGVt6gjmTTmw==" saltValue="5dTAYE2CNfs6RFgphhFHEg=="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200</v>
      </c>
      <c r="D1" s="110"/>
      <c r="E1" s="110">
        <f>NominalTemp+TolMin/2</f>
        <v>150</v>
      </c>
      <c r="F1" s="32" t="s">
        <v>72</v>
      </c>
      <c r="P1" s="290" t="str">
        <f>IF(Main!$E$30="","A10",ADDRESS(13+(MATCH(Main!$E$30,Data_Sheet!$A$14:$A$903,0)),1,4))</f>
        <v>A10</v>
      </c>
      <c r="Q1" s="290">
        <f>VALUE(MID(P1, 2, LEN(P1)-1))</f>
        <v>10</v>
      </c>
    </row>
    <row r="2" spans="1:17" x14ac:dyDescent="0.2">
      <c r="B2" s="116"/>
      <c r="C2" s="116">
        <f>NominalTemp+TolMax</f>
        <v>200</v>
      </c>
      <c r="D2" s="110"/>
      <c r="E2" s="110">
        <f>NominalTemp+TolMax/2</f>
        <v>150</v>
      </c>
      <c r="I2" s="71" t="s">
        <v>187</v>
      </c>
      <c r="M2" s="602" t="s">
        <v>100</v>
      </c>
      <c r="N2" s="602"/>
      <c r="O2" s="602"/>
      <c r="P2" s="290" t="str">
        <f>IF(Main!$E$30="","A10",ADDRESS(13+Standards_Info!W2+(MATCH(Main!$E$30,Data_Sheet!$A$14:$A$903,0)),1,4))</f>
        <v>A10</v>
      </c>
      <c r="Q2" s="290">
        <f>VALUE(MID(P2, 2, LEN(P2)-1))</f>
        <v>10</v>
      </c>
    </row>
    <row r="3" spans="1:17" ht="15" x14ac:dyDescent="0.25">
      <c r="B3" s="125" t="s">
        <v>0</v>
      </c>
      <c r="C3" s="3"/>
      <c r="M3" s="590" t="s">
        <v>101</v>
      </c>
      <c r="N3" s="591"/>
      <c r="O3" s="592"/>
      <c r="P3" s="39"/>
    </row>
    <row r="4" spans="1:17" ht="15" x14ac:dyDescent="0.25">
      <c r="B4" s="112" t="s">
        <v>25</v>
      </c>
      <c r="C4" s="4"/>
      <c r="M4" s="593" t="s">
        <v>136</v>
      </c>
      <c r="N4" s="594"/>
      <c r="O4" s="595"/>
    </row>
    <row r="5" spans="1:17" x14ac:dyDescent="0.2">
      <c r="B5" s="113" t="s">
        <v>26</v>
      </c>
      <c r="C5" s="53">
        <f>Main!D3</f>
        <v>0</v>
      </c>
      <c r="D5" s="36"/>
      <c r="E5" s="36"/>
      <c r="F5" s="36"/>
      <c r="G5" s="36"/>
      <c r="H5" s="36"/>
      <c r="I5" s="51" t="s">
        <v>4</v>
      </c>
      <c r="J5" t="e">
        <f>Main!D5</f>
        <v>#N/A</v>
      </c>
      <c r="M5" s="603" t="s">
        <v>135</v>
      </c>
      <c r="N5" s="604"/>
      <c r="O5" s="605"/>
    </row>
    <row r="6" spans="1:17" ht="13.5" thickBot="1" x14ac:dyDescent="0.25">
      <c r="B6" s="113" t="s">
        <v>3</v>
      </c>
      <c r="C6" s="54" t="e">
        <f>Main!D6</f>
        <v>#N/A</v>
      </c>
      <c r="D6" s="36"/>
      <c r="E6" s="36"/>
      <c r="F6" s="36"/>
      <c r="G6" s="36"/>
      <c r="H6" s="36"/>
      <c r="I6" s="51" t="s">
        <v>5</v>
      </c>
      <c r="J6" s="38">
        <f>Main!D16</f>
        <v>100</v>
      </c>
      <c r="M6" s="599" t="str">
        <f>IF(MaxMode,"","In 1/2 Tolerance")</f>
        <v>In 1/2 Tolerance</v>
      </c>
      <c r="N6" s="600"/>
      <c r="O6" s="601"/>
    </row>
    <row r="7" spans="1:17" ht="13.5" thickBot="1" x14ac:dyDescent="0.25">
      <c r="B7" s="113" t="s">
        <v>27</v>
      </c>
      <c r="C7" s="54" t="str">
        <f>Main!D7</f>
        <v>Jeff Hall</v>
      </c>
      <c r="D7" s="36"/>
      <c r="E7" s="36"/>
      <c r="F7" s="36"/>
      <c r="G7" s="36"/>
      <c r="H7" s="36"/>
      <c r="I7" s="56" t="s">
        <v>154</v>
      </c>
      <c r="J7" s="587">
        <f>Main!$D$30</f>
        <v>0</v>
      </c>
      <c r="K7" s="588"/>
      <c r="L7" s="99"/>
      <c r="M7" s="586" t="s">
        <v>134</v>
      </c>
      <c r="N7" s="586"/>
      <c r="O7" s="586"/>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1aY74XavQwRNDNLokZeUoPEAdn6Rcnp7KuUE+EMBwQWPxPOzVXQq4djQXQkifsZXfQd7NIAk4iJsSbiARCG82A==" saltValue="zctSi31vqILkxrphw3B5tg=="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200</v>
      </c>
      <c r="D1" s="110"/>
      <c r="E1" s="110">
        <f>NominalTemp+TolMin/2</f>
        <v>150</v>
      </c>
      <c r="F1" s="32" t="s">
        <v>71</v>
      </c>
      <c r="P1" s="290" t="str">
        <f>IF(Main!$E$30="","A10",ADDRESS(13+(MATCH(Main!$E$30,Data_Sheet!$A$14:$A$903,0)),1,4))</f>
        <v>A10</v>
      </c>
      <c r="Q1" s="290">
        <f>VALUE(MID(P1, 2, LEN(P1)-1))</f>
        <v>10</v>
      </c>
    </row>
    <row r="2" spans="1:17" x14ac:dyDescent="0.2">
      <c r="A2" s="109"/>
      <c r="B2" s="116"/>
      <c r="C2" s="116">
        <f>NominalTemp+TolMax</f>
        <v>200</v>
      </c>
      <c r="D2" s="110"/>
      <c r="E2" s="110">
        <f>NominalTemp+TolMax/2</f>
        <v>150</v>
      </c>
      <c r="F2" s="102"/>
      <c r="I2" s="71" t="s">
        <v>187</v>
      </c>
      <c r="M2" s="602" t="s">
        <v>100</v>
      </c>
      <c r="N2" s="602"/>
      <c r="O2" s="602"/>
      <c r="P2" s="290" t="str">
        <f>IF(Main!$E$30="","A10",ADDRESS(13+Standards_Info!W2+(MATCH(Main!$E$30,Data_Sheet!$A$14:$A$903,0)),1,4))</f>
        <v>A10</v>
      </c>
      <c r="Q2" s="290">
        <f>VALUE(MID(P2, 2, LEN(P2)-1))</f>
        <v>10</v>
      </c>
    </row>
    <row r="3" spans="1:17" ht="15" x14ac:dyDescent="0.25">
      <c r="B3" s="125" t="s">
        <v>0</v>
      </c>
      <c r="C3" s="3"/>
      <c r="M3" s="590" t="s">
        <v>101</v>
      </c>
      <c r="N3" s="591"/>
      <c r="O3" s="592"/>
      <c r="P3" s="39"/>
    </row>
    <row r="4" spans="1:17" ht="15" x14ac:dyDescent="0.25">
      <c r="B4" s="112" t="s">
        <v>25</v>
      </c>
      <c r="C4" s="4"/>
      <c r="M4" s="593" t="s">
        <v>136</v>
      </c>
      <c r="N4" s="594"/>
      <c r="O4" s="595"/>
    </row>
    <row r="5" spans="1:17" x14ac:dyDescent="0.2">
      <c r="B5" s="113" t="s">
        <v>26</v>
      </c>
      <c r="C5" s="53">
        <f>Main!D3</f>
        <v>0</v>
      </c>
      <c r="D5" s="36"/>
      <c r="E5" s="36"/>
      <c r="F5" s="36"/>
      <c r="G5" s="36"/>
      <c r="H5" s="36"/>
      <c r="I5" s="51" t="s">
        <v>4</v>
      </c>
      <c r="J5" s="36" t="e">
        <f>Main!D5</f>
        <v>#N/A</v>
      </c>
      <c r="L5" s="36"/>
      <c r="M5" s="596" t="s">
        <v>135</v>
      </c>
      <c r="N5" s="597"/>
      <c r="O5" s="598"/>
    </row>
    <row r="6" spans="1:17" ht="13.5" thickBot="1" x14ac:dyDescent="0.25">
      <c r="B6" s="113" t="s">
        <v>3</v>
      </c>
      <c r="C6" s="54" t="e">
        <f>Main!D6</f>
        <v>#N/A</v>
      </c>
      <c r="D6" s="36"/>
      <c r="E6" s="36"/>
      <c r="F6" s="36"/>
      <c r="G6" s="36"/>
      <c r="H6" s="36"/>
      <c r="I6" s="51" t="s">
        <v>5</v>
      </c>
      <c r="J6" s="50">
        <f>Main!D16</f>
        <v>100</v>
      </c>
      <c r="L6" s="36"/>
      <c r="M6" s="599" t="str">
        <f>IF(MaxMode,"","In 1/2 Tolerance")</f>
        <v>In 1/2 Tolerance</v>
      </c>
      <c r="N6" s="600"/>
      <c r="O6" s="601"/>
    </row>
    <row r="7" spans="1:17" ht="13.5" thickBot="1" x14ac:dyDescent="0.25">
      <c r="B7" s="113" t="s">
        <v>27</v>
      </c>
      <c r="C7" s="54" t="str">
        <f>Main!D7</f>
        <v>Jeff Hall</v>
      </c>
      <c r="D7" s="36"/>
      <c r="E7" s="36"/>
      <c r="F7" s="36"/>
      <c r="G7" s="36"/>
      <c r="H7" s="36"/>
      <c r="I7" s="56" t="s">
        <v>154</v>
      </c>
      <c r="J7" s="587">
        <f>Main!$D$30</f>
        <v>0</v>
      </c>
      <c r="K7" s="588"/>
      <c r="L7" s="99"/>
      <c r="M7" s="586" t="s">
        <v>134</v>
      </c>
      <c r="N7" s="586"/>
      <c r="O7" s="586"/>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6KPwI2gTaF+XRoAa93KoyDa9dsuR3YXmQheiDKo9nzfUwu+ZoF2w7HaqOTn1Wqf/1Q1dAF6QSJzuY0IRFZ3Edg==" saltValue="PV5itpOhDsfTt9xpZGbDsQ=="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E3" sqref="E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641" t="str">
        <f>NominalTemp&amp;Unit</f>
        <v>100°F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TEXT(SAT_Tolerance,"0.0")&amp;Unit</f>
        <v>0.0°F</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322</v>
      </c>
      <c r="U11" s="276" t="s">
        <v>323</v>
      </c>
      <c r="V11" s="276" t="s">
        <v>324</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06" t="s">
        <v>17</v>
      </c>
      <c r="E32" s="606"/>
      <c r="F32" s="606"/>
      <c r="G32" s="606"/>
      <c r="H32" s="606"/>
      <c r="I32" s="606"/>
      <c r="J32" s="606"/>
      <c r="K32" s="606"/>
      <c r="L32" s="606"/>
      <c r="M32" s="606"/>
    </row>
    <row r="33" spans="1:14" ht="15" customHeight="1" x14ac:dyDescent="0.25">
      <c r="D33" s="607"/>
      <c r="E33" s="607"/>
      <c r="F33" s="607"/>
      <c r="G33" s="607"/>
      <c r="H33" s="607"/>
      <c r="I33" s="607"/>
      <c r="J33" s="607"/>
      <c r="K33" s="607"/>
      <c r="L33" s="607"/>
      <c r="M33" s="607"/>
      <c r="N33" s="22"/>
    </row>
    <row r="34" spans="1:14" x14ac:dyDescent="0.25">
      <c r="A34" s="17"/>
      <c r="B34" s="17"/>
      <c r="D34" s="607"/>
      <c r="E34" s="607"/>
      <c r="F34" s="607"/>
      <c r="G34" s="607"/>
      <c r="H34" s="607"/>
      <c r="I34" s="607"/>
      <c r="J34" s="607"/>
      <c r="K34" s="607"/>
      <c r="L34" s="607"/>
      <c r="M34" s="607"/>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08" t="s">
        <v>20</v>
      </c>
      <c r="D37" s="608"/>
      <c r="E37" s="608"/>
      <c r="F37" s="608"/>
      <c r="G37" s="608"/>
      <c r="H37" s="608"/>
      <c r="I37" s="608"/>
      <c r="J37" s="608"/>
      <c r="K37" s="608"/>
      <c r="L37" s="608"/>
      <c r="M37" s="608"/>
    </row>
    <row r="38" spans="1:14" x14ac:dyDescent="0.25">
      <c r="A38" s="17"/>
      <c r="B38" s="17"/>
      <c r="C38" s="608"/>
      <c r="D38" s="608"/>
      <c r="E38" s="608"/>
      <c r="F38" s="608"/>
      <c r="G38" s="608"/>
      <c r="H38" s="608"/>
      <c r="I38" s="608"/>
      <c r="J38" s="608"/>
      <c r="K38" s="608"/>
      <c r="L38" s="608"/>
      <c r="M38" s="608"/>
    </row>
    <row r="39" spans="1:14" x14ac:dyDescent="0.25">
      <c r="A39" s="17"/>
      <c r="B39" s="17"/>
      <c r="C39" s="608"/>
      <c r="D39" s="608"/>
      <c r="E39" s="608"/>
      <c r="F39" s="608"/>
      <c r="G39" s="608"/>
      <c r="H39" s="608"/>
      <c r="I39" s="608"/>
      <c r="J39" s="608"/>
      <c r="K39" s="608"/>
      <c r="L39" s="608"/>
      <c r="M39" s="608"/>
    </row>
    <row r="40" spans="1:14" x14ac:dyDescent="0.25">
      <c r="A40" s="17"/>
      <c r="B40" s="17"/>
      <c r="C40" s="608"/>
      <c r="D40" s="608"/>
      <c r="E40" s="608"/>
      <c r="F40" s="608"/>
      <c r="G40" s="608"/>
      <c r="H40" s="608"/>
      <c r="I40" s="608"/>
      <c r="J40" s="608"/>
      <c r="K40" s="608"/>
      <c r="L40" s="608"/>
      <c r="M40" s="608"/>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selectLockedCells="1" autoFilter="0"/>
  <mergeCells count="2">
    <mergeCell ref="D32:M34"/>
    <mergeCell ref="C37:M40"/>
  </mergeCells>
  <phoneticPr fontId="21"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7">
    <cfRule type="expression" dxfId="46" priority="61">
      <formula>ISERROR(SEARCH(1,$G$19))</formula>
    </cfRule>
    <cfRule type="expression" dxfId="45" priority="62">
      <formula>ISNUMBER(SEARCH(1,$G$19))</formula>
    </cfRule>
  </conditionalFormatting>
  <conditionalFormatting sqref="J14:J17">
    <cfRule type="expression" dxfId="44" priority="57">
      <formula>ISERROR(SEARCH(1,$J$19))</formula>
    </cfRule>
    <cfRule type="expression" dxfId="43" priority="58">
      <formula>ISNUMBER(SEARCH(1,$J$19))</formula>
    </cfRule>
  </conditionalFormatting>
  <conditionalFormatting sqref="M14:M17">
    <cfRule type="expression" dxfId="42" priority="53">
      <formula>ISERROR(SEARCH(1,$M$19))</formula>
    </cfRule>
    <cfRule type="expression" dxfId="41" priority="54">
      <formula>ISNUMBER(SEARCH(1,$M$19))</formula>
    </cfRule>
  </conditionalFormatting>
  <conditionalFormatting sqref="G26:G29">
    <cfRule type="expression" dxfId="40" priority="45">
      <formula>ISERROR(SEARCH(1,$G$31))</formula>
    </cfRule>
    <cfRule type="expression" dxfId="39" priority="46">
      <formula>ISNUMBER(SEARCH(1,$G$31))</formula>
    </cfRule>
  </conditionalFormatting>
  <conditionalFormatting sqref="J26:J29">
    <cfRule type="expression" dxfId="38" priority="41">
      <formula>ISERROR(SEARCH(1,$J$31))</formula>
    </cfRule>
    <cfRule type="expression" dxfId="37" priority="42">
      <formula>ISNUMBER(SEARCH(1,$J$31))</formula>
    </cfRule>
  </conditionalFormatting>
  <conditionalFormatting sqref="M26:M29">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G11:G13">
    <cfRule type="expression" dxfId="30" priority="27">
      <formula>ISERROR(SEARCH(1,$G$19))</formula>
    </cfRule>
    <cfRule type="expression" dxfId="29" priority="28">
      <formula>ISNUMBER(SEARCH(1,$G$19))</formula>
    </cfRule>
  </conditionalFormatting>
  <conditionalFormatting sqref="G10">
    <cfRule type="expression" dxfId="28" priority="25">
      <formula>ISERROR(SEARCH(1,$G$19))</formula>
    </cfRule>
    <cfRule type="expression" dxfId="27" priority="26">
      <formula>ISNUMBER(SEARCH(1,$G$19))</formula>
    </cfRule>
  </conditionalFormatting>
  <conditionalFormatting sqref="J11:J13">
    <cfRule type="expression" dxfId="26" priority="23">
      <formula>ISERROR(SEARCH(1,$G$19))</formula>
    </cfRule>
    <cfRule type="expression" dxfId="25" priority="24">
      <formula>ISNUMBER(SEARCH(1,$G$19))</formula>
    </cfRule>
  </conditionalFormatting>
  <conditionalFormatting sqref="J10">
    <cfRule type="expression" dxfId="24" priority="21">
      <formula>ISERROR(SEARCH(1,$G$19))</formula>
    </cfRule>
    <cfRule type="expression" dxfId="23" priority="22">
      <formula>ISNUMBER(SEARCH(1,$G$19))</formula>
    </cfRule>
  </conditionalFormatting>
  <conditionalFormatting sqref="M11:M13">
    <cfRule type="expression" dxfId="22" priority="19">
      <formula>ISERROR(SEARCH(1,$G$19))</formula>
    </cfRule>
    <cfRule type="expression" dxfId="21" priority="20">
      <formula>ISNUMBER(SEARCH(1,$G$19))</formula>
    </cfRule>
  </conditionalFormatting>
  <conditionalFormatting sqref="M10">
    <cfRule type="expression" dxfId="20" priority="17">
      <formula>ISERROR(SEARCH(1,$G$19))</formula>
    </cfRule>
    <cfRule type="expression" dxfId="19" priority="18">
      <formula>ISNUMBER(SEARCH(1,$G$19))</formula>
    </cfRule>
  </conditionalFormatting>
  <conditionalFormatting sqref="D23:D25">
    <cfRule type="expression" dxfId="18" priority="15">
      <formula>ISERROR(SEARCH(1,$G$19))</formula>
    </cfRule>
    <cfRule type="expression" dxfId="17" priority="16">
      <formula>ISNUMBER(SEARCH(1,$G$19))</formula>
    </cfRule>
  </conditionalFormatting>
  <conditionalFormatting sqref="D22">
    <cfRule type="expression" dxfId="16" priority="13">
      <formula>ISERROR(SEARCH(1,$G$19))</formula>
    </cfRule>
    <cfRule type="expression" dxfId="15" priority="14">
      <formula>ISNUMBER(SEARCH(1,$G$19))</formula>
    </cfRule>
  </conditionalFormatting>
  <conditionalFormatting sqref="G23:G25">
    <cfRule type="expression" dxfId="14" priority="11">
      <formula>ISERROR(SEARCH(1,$G$19))</formula>
    </cfRule>
    <cfRule type="expression" dxfId="13" priority="12">
      <formula>ISNUMBER(SEARCH(1,$G$19))</formula>
    </cfRule>
  </conditionalFormatting>
  <conditionalFormatting sqref="G22">
    <cfRule type="expression" dxfId="12" priority="9">
      <formula>ISERROR(SEARCH(1,$G$19))</formula>
    </cfRule>
    <cfRule type="expression" dxfId="11" priority="10">
      <formula>ISNUMBER(SEARCH(1,$G$19))</formula>
    </cfRule>
  </conditionalFormatting>
  <conditionalFormatting sqref="J23:J25">
    <cfRule type="expression" dxfId="10" priority="7">
      <formula>ISERROR(SEARCH(1,$G$19))</formula>
    </cfRule>
    <cfRule type="expression" dxfId="9" priority="8">
      <formula>ISNUMBER(SEARCH(1,$G$19))</formula>
    </cfRule>
  </conditionalFormatting>
  <conditionalFormatting sqref="J22">
    <cfRule type="expression" dxfId="8" priority="5">
      <formula>ISERROR(SEARCH(1,$G$19))</formula>
    </cfRule>
    <cfRule type="expression" dxfId="7" priority="6">
      <formula>ISNUMBER(SEARCH(1,$G$19))</formula>
    </cfRule>
  </conditionalFormatting>
  <conditionalFormatting sqref="M23:M25">
    <cfRule type="expression" dxfId="6" priority="3">
      <formula>ISERROR(SEARCH(1,$G$19))</formula>
    </cfRule>
    <cfRule type="expression" dxfId="5" priority="4">
      <formula>ISNUMBER(SEARCH(1,$G$19))</formula>
    </cfRule>
  </conditionalFormatting>
  <conditionalFormatting sqref="M22">
    <cfRule type="expression" dxfId="4" priority="1">
      <formula>ISERROR(SEARCH(1,$G$19))</formula>
    </cfRule>
    <cfRule type="expression" dxfId="3"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2" t="s">
        <v>340</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f>IF(NominalTemp="","",NominalTemp)</f>
        <v>100</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09" t="s">
        <v>275</v>
      </c>
      <c r="I28" s="609"/>
      <c r="J28" s="609"/>
      <c r="K28" s="609"/>
      <c r="L28" s="609"/>
      <c r="M28" s="609"/>
      <c r="N28" s="609"/>
      <c r="O28" s="609"/>
      <c r="P28" s="609"/>
      <c r="Q28" s="609"/>
      <c r="R28" s="609"/>
    </row>
    <row r="29" spans="1:20" x14ac:dyDescent="0.2">
      <c r="A29" s="615" t="s">
        <v>34</v>
      </c>
      <c r="B29" s="616"/>
      <c r="C29" s="46" t="str">
        <f>IF(Main!D48="","",Main!D48)</f>
        <v/>
      </c>
      <c r="D29" s="46" t="str">
        <f>IF(Main!E48="","",Main!E48)</f>
        <v/>
      </c>
      <c r="E29" s="46" t="str">
        <f>IF(Main!F48="","",Main!F48)</f>
        <v/>
      </c>
      <c r="F29" s="46" t="str">
        <f>IF(Main!G48="","",Main!G48)</f>
        <v/>
      </c>
      <c r="G29" s="258"/>
      <c r="H29" s="255" t="s">
        <v>276</v>
      </c>
      <c r="I29" s="111" t="str">
        <f>IF(Main!N47="","",Main!N47)</f>
        <v>Periodic</v>
      </c>
      <c r="J29" s="617" t="s">
        <v>277</v>
      </c>
      <c r="K29" s="618"/>
      <c r="L29" s="111" t="str">
        <f>IF(Main!R47="","",Main!R47)</f>
        <v>Air</v>
      </c>
    </row>
    <row r="30" spans="1:20" x14ac:dyDescent="0.2">
      <c r="A30" s="615" t="s">
        <v>35</v>
      </c>
      <c r="B30" s="616"/>
      <c r="C30" s="47" t="str">
        <f>IF(Main!D49="","",Main!D49)</f>
        <v/>
      </c>
      <c r="D30" s="47" t="str">
        <f>IF(Main!E49="","",Main!E49)</f>
        <v/>
      </c>
      <c r="E30" s="47" t="str">
        <f>IF(Main!F49="","",Main!F49)</f>
        <v/>
      </c>
      <c r="F30" s="47" t="str">
        <f>IF(Main!G49="","",Main!G49)</f>
        <v/>
      </c>
      <c r="G30" s="260"/>
      <c r="H30" s="610" t="s">
        <v>264</v>
      </c>
      <c r="I30" s="610"/>
      <c r="J30" s="619" t="s">
        <v>308</v>
      </c>
      <c r="K30" s="620"/>
      <c r="L30" s="621"/>
      <c r="M30" s="253"/>
      <c r="O30" s="611" t="s">
        <v>311</v>
      </c>
      <c r="P30" s="612"/>
      <c r="Q30" s="613"/>
      <c r="T30" s="36"/>
    </row>
    <row r="31" spans="1:20" x14ac:dyDescent="0.2">
      <c r="A31" s="615" t="s">
        <v>36</v>
      </c>
      <c r="B31" s="616"/>
      <c r="C31" s="47" t="str">
        <f>IF(Main!D50="","",Main!D50)</f>
        <v/>
      </c>
      <c r="D31" s="47" t="str">
        <f>IF(Main!E50="","",Main!E50)</f>
        <v/>
      </c>
      <c r="E31" s="47" t="str">
        <f>IF(Main!F50="","",Main!F50)</f>
        <v/>
      </c>
      <c r="F31" s="47" t="str">
        <f>IF(Main!G50="","",Main!G50)</f>
        <v/>
      </c>
      <c r="G31" s="260"/>
      <c r="H31" s="241" t="s">
        <v>278</v>
      </c>
      <c r="I31" s="243" t="str">
        <f>IF(Main!N49="","",Main!N49)</f>
        <v/>
      </c>
      <c r="J31" s="634" t="s">
        <v>316</v>
      </c>
      <c r="K31" s="635"/>
      <c r="L31" s="636"/>
      <c r="M31" s="254" t="str">
        <f>IF(Main!S49="","",Main!S49)</f>
        <v>N/A</v>
      </c>
      <c r="O31" s="501" t="s">
        <v>318</v>
      </c>
      <c r="P31" s="502"/>
      <c r="Q31" s="614"/>
      <c r="R31" s="55" t="str">
        <f>IF(Main!X49="","",Main!X49)</f>
        <v>N/A</v>
      </c>
      <c r="T31" s="36"/>
    </row>
    <row r="32" spans="1:20" ht="12.75" customHeight="1" x14ac:dyDescent="0.2">
      <c r="A32" s="615" t="s">
        <v>37</v>
      </c>
      <c r="B32" s="616"/>
      <c r="C32" s="46" t="str">
        <f>IF(Main!D51="","",Main!D51)</f>
        <v/>
      </c>
      <c r="D32" s="46" t="str">
        <f>IF(Main!E51="","",Main!E51)</f>
        <v/>
      </c>
      <c r="E32" s="46" t="str">
        <f>IF(Main!F51="","",Main!F51)</f>
        <v/>
      </c>
      <c r="F32" s="46" t="str">
        <f>IF(Main!G51="","",Main!G51)</f>
        <v/>
      </c>
      <c r="G32" s="258"/>
      <c r="H32" s="241" t="s">
        <v>294</v>
      </c>
      <c r="I32" s="243" t="str">
        <f>IF(Main!N50="","",Main!N50)</f>
        <v/>
      </c>
      <c r="J32" s="625" t="s">
        <v>267</v>
      </c>
      <c r="K32" s="626"/>
      <c r="L32" s="627"/>
      <c r="M32" s="249"/>
      <c r="O32" s="625" t="s">
        <v>267</v>
      </c>
      <c r="P32" s="626"/>
      <c r="Q32" s="627"/>
      <c r="T32" s="36"/>
    </row>
    <row r="33" spans="1:20" ht="12.75" customHeight="1" x14ac:dyDescent="0.2">
      <c r="A33" s="615" t="s">
        <v>279</v>
      </c>
      <c r="B33" s="616"/>
      <c r="C33" s="46" t="str">
        <f>IF(Main!D52="","",Main!D52)</f>
        <v/>
      </c>
      <c r="D33" s="46" t="str">
        <f>IF(Main!E52="","",Main!E52)</f>
        <v/>
      </c>
      <c r="E33" s="46" t="str">
        <f>IF(Main!F52="","",Main!F52)</f>
        <v/>
      </c>
      <c r="F33" s="46" t="str">
        <f>IF(Main!G52="","",Main!G52)</f>
        <v/>
      </c>
      <c r="G33" s="258"/>
      <c r="H33" s="241" t="s">
        <v>280</v>
      </c>
      <c r="I33" s="243" t="str">
        <f>IF(Main!N51="","",Main!N51)</f>
        <v/>
      </c>
      <c r="J33" s="622" t="s">
        <v>317</v>
      </c>
      <c r="K33" s="623"/>
      <c r="L33" s="624"/>
      <c r="M33" s="248" t="str">
        <f>IF(Main!S51="","",Main!S51)</f>
        <v/>
      </c>
      <c r="O33" s="622" t="s">
        <v>319</v>
      </c>
      <c r="P33" s="623"/>
      <c r="Q33" s="624"/>
      <c r="R33" s="55" t="str">
        <f>IF(Main!X51="","",Main!X51)</f>
        <v/>
      </c>
      <c r="T33" s="36"/>
    </row>
    <row r="34" spans="1:20" ht="12.75" customHeight="1" x14ac:dyDescent="0.2">
      <c r="A34" s="615" t="s">
        <v>38</v>
      </c>
      <c r="B34" s="616"/>
      <c r="C34" s="48" t="str">
        <f>IF(Main!D53="","",Main!D53)</f>
        <v/>
      </c>
      <c r="D34" s="48" t="str">
        <f>IF(Main!E53="","",Main!E53)</f>
        <v/>
      </c>
      <c r="E34" s="48" t="str">
        <f>IF(Main!F53="","",Main!F53)</f>
        <v/>
      </c>
      <c r="F34" s="48" t="str">
        <f>IF(Main!G53="","",Main!G53)</f>
        <v/>
      </c>
      <c r="G34" s="261"/>
      <c r="H34" s="241" t="s">
        <v>281</v>
      </c>
      <c r="I34" s="240" t="str">
        <f>IF(Main!N52="","",Main!N52)</f>
        <v/>
      </c>
      <c r="J34" s="625" t="s">
        <v>267</v>
      </c>
      <c r="K34" s="626"/>
      <c r="L34" s="627"/>
      <c r="O34" s="625" t="s">
        <v>267</v>
      </c>
      <c r="P34" s="626"/>
      <c r="Q34" s="627"/>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281</v>
      </c>
      <c r="I35" s="240" t="str">
        <f>IF(Main!N53="","",Main!N53)</f>
        <v/>
      </c>
      <c r="J35" s="628" t="s">
        <v>320</v>
      </c>
      <c r="K35" s="629"/>
      <c r="L35" s="630"/>
      <c r="M35" s="256" t="str">
        <f>IF(Main!S53="","",Main!S53)</f>
        <v/>
      </c>
      <c r="O35" s="628" t="s">
        <v>321</v>
      </c>
      <c r="P35" s="629"/>
      <c r="Q35" s="630"/>
      <c r="R35" s="257" t="str">
        <f>IF(Main!X53="","",Main!X53)</f>
        <v/>
      </c>
    </row>
    <row r="36" spans="1:20" ht="13.5" thickBot="1" x14ac:dyDescent="0.25">
      <c r="B36" s="58" t="s">
        <v>282</v>
      </c>
      <c r="C36" s="46" t="str">
        <f>IF(Main!D56="","",Main!D56)</f>
        <v/>
      </c>
      <c r="D36" s="46" t="str">
        <f>IF(Main!E56="","",Main!E56)</f>
        <v/>
      </c>
      <c r="E36" s="46" t="str">
        <f>IF(Main!F56="","",Main!F56)</f>
        <v/>
      </c>
      <c r="F36" s="46" t="str">
        <f>IF(Main!G56="","",Main!G56)</f>
        <v/>
      </c>
      <c r="G36" s="258"/>
      <c r="H36" s="259"/>
      <c r="J36" s="631"/>
      <c r="K36" s="632"/>
      <c r="L36" s="633"/>
      <c r="M36" s="252"/>
      <c r="O36" s="631"/>
      <c r="P36" s="632"/>
      <c r="Q36" s="633"/>
      <c r="T36" s="36"/>
    </row>
    <row r="37" spans="1:20" ht="13.5" thickBot="1" x14ac:dyDescent="0.25">
      <c r="B37" s="56" t="s">
        <v>283</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
        <v>292</v>
      </c>
      <c r="M39" s="269"/>
    </row>
    <row r="40" spans="1:20" ht="15.75" x14ac:dyDescent="0.25">
      <c r="B40" s="251"/>
      <c r="C40" s="251"/>
      <c r="D40" s="251"/>
      <c r="E40" s="251"/>
      <c r="K40" s="56" t="s">
        <v>295</v>
      </c>
      <c r="L40">
        <f>IF(Main!N54="","",Main!N54)</f>
        <v>0</v>
      </c>
      <c r="O40" s="56" t="s">
        <v>297</v>
      </c>
      <c r="P40">
        <f>IF(Main!N56="","",Main!N56)</f>
        <v>0</v>
      </c>
    </row>
    <row r="41" spans="1:20" x14ac:dyDescent="0.2">
      <c r="K41" s="56" t="s">
        <v>296</v>
      </c>
      <c r="L41">
        <f>IF(Main!N55="","",Main!N55)</f>
        <v>0</v>
      </c>
      <c r="O41" s="56" t="s">
        <v>298</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ZPkDxMeNfIRWX9ICHzlzFTfn3+jyinDJ58tE7RHquTDtP34zGRR1XN0WD+kvVWu8t5XVhGxr0aaNW2lt9a6SdA==" saltValue="124GyxxQSrnuo6PmDnJhY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100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QnGptXlykVvKV1pMNhRpbuK+gqXVUUZ/FHVexm/cr8XBUZ7hRyGhTnHEpF12TIT+2IUw9PHPbWwUdSq3kmn20w==" saltValue="rriFYUQrgSxNWrfCloO5y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7" t="s">
        <v>53</v>
      </c>
      <c r="B1" s="574"/>
      <c r="C1" s="574"/>
      <c r="D1" s="574"/>
      <c r="E1" s="33" t="s">
        <v>145</v>
      </c>
      <c r="G1" s="574" t="s">
        <v>65</v>
      </c>
      <c r="H1" s="574"/>
      <c r="K1" t="s">
        <v>89</v>
      </c>
      <c r="M1" t="s">
        <v>90</v>
      </c>
      <c r="O1" t="s">
        <v>115</v>
      </c>
      <c r="Q1" t="s">
        <v>124</v>
      </c>
      <c r="S1" t="s">
        <v>130</v>
      </c>
      <c r="U1" s="36" t="s">
        <v>155</v>
      </c>
      <c r="W1" s="36" t="s">
        <v>159</v>
      </c>
      <c r="Y1" s="36" t="s">
        <v>185</v>
      </c>
      <c r="AA1" s="36" t="s">
        <v>186</v>
      </c>
      <c r="AC1" s="36" t="s">
        <v>194</v>
      </c>
      <c r="AE1" s="61" t="s">
        <v>284</v>
      </c>
      <c r="AG1" s="34" t="s">
        <v>291</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329</v>
      </c>
      <c r="H2" t="s">
        <v>68</v>
      </c>
      <c r="K2" t="s">
        <v>80</v>
      </c>
      <c r="M2" t="s">
        <v>91</v>
      </c>
      <c r="Q2" t="s">
        <v>125</v>
      </c>
      <c r="S2" t="s">
        <v>77</v>
      </c>
      <c r="U2" s="36" t="s">
        <v>156</v>
      </c>
      <c r="W2">
        <f>IF(Main!D32 = 10, 5, IF(Main!D32 = 30, 15, IF(Main!D32 = 40, 20, 0)))</f>
        <v>0</v>
      </c>
      <c r="Y2" t="s">
        <v>165</v>
      </c>
      <c r="AC2" s="36" t="s">
        <v>196</v>
      </c>
      <c r="AE2" s="36" t="s">
        <v>285</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330</v>
      </c>
      <c r="H3" t="s">
        <v>66</v>
      </c>
      <c r="K3" t="s">
        <v>81</v>
      </c>
      <c r="M3" t="s">
        <v>92</v>
      </c>
      <c r="O3" t="s">
        <v>116</v>
      </c>
      <c r="Q3" s="36" t="s">
        <v>153</v>
      </c>
      <c r="S3" t="s">
        <v>132</v>
      </c>
      <c r="U3" s="36" t="s">
        <v>256</v>
      </c>
      <c r="Y3" t="s">
        <v>166</v>
      </c>
      <c r="AC3" s="36" t="s">
        <v>195</v>
      </c>
      <c r="AE3" s="36" t="s">
        <v>307</v>
      </c>
      <c r="AG3" s="36" t="str">
        <v>Jeremy Keene</v>
      </c>
      <c r="AH3" s="36"/>
    </row>
    <row r="4" spans="1:34" x14ac:dyDescent="0.2">
      <c r="A4" s="33" t="str">
        <v>J3</v>
      </c>
      <c r="B4" s="33" t="str">
        <v>DaqBook/2005</v>
      </c>
      <c r="C4" s="33" t="str">
        <v>807705</v>
      </c>
      <c r="D4" s="33" t="str">
        <f t="shared" si="0"/>
        <v>"J" IRON-CONSTANTAN</v>
      </c>
      <c r="E4" s="33">
        <v>28</v>
      </c>
      <c r="G4" s="36" t="s">
        <v>328</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304</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305</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306</v>
      </c>
      <c r="U8" t="str">
        <f>IF(AND(Main!D17&lt;&gt;"",Main!D17&gt;14),"Data_Sheet_15_28","")</f>
        <v/>
      </c>
      <c r="Y8" t="s">
        <v>171</v>
      </c>
      <c r="AE8" s="61" t="s">
        <v>286</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287</v>
      </c>
      <c r="AG10" s="36" t="str">
        <v>Nick Nolte</v>
      </c>
      <c r="AH10" s="36"/>
    </row>
    <row r="11" spans="1:34" x14ac:dyDescent="0.2">
      <c r="O11" t="s">
        <v>121</v>
      </c>
      <c r="Y11" s="36" t="s">
        <v>190</v>
      </c>
      <c r="AE11" s="36" t="s">
        <v>127</v>
      </c>
      <c r="AG11" t="str">
        <v>Ryan Byars</v>
      </c>
    </row>
    <row r="12" spans="1:34" x14ac:dyDescent="0.2">
      <c r="O12" t="s">
        <v>120</v>
      </c>
      <c r="Y12" s="36" t="s">
        <v>299</v>
      </c>
      <c r="AE12" s="36" t="s">
        <v>288</v>
      </c>
    </row>
    <row r="13" spans="1:34" x14ac:dyDescent="0.2">
      <c r="O13" s="36" t="s">
        <v>302</v>
      </c>
      <c r="Y13" t="s">
        <v>174</v>
      </c>
      <c r="AE13" s="36" t="s">
        <v>289</v>
      </c>
    </row>
    <row r="14" spans="1:34" x14ac:dyDescent="0.2">
      <c r="Y14" t="s">
        <v>175</v>
      </c>
      <c r="AE14" s="36" t="s">
        <v>290</v>
      </c>
    </row>
    <row r="15" spans="1:34" x14ac:dyDescent="0.2">
      <c r="Y15" t="s">
        <v>176</v>
      </c>
      <c r="AE15" s="36" t="s">
        <v>301</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28QBKT1FeHnq4cNwoyFjPDKQxDGLkTaEZk19tY78a/AVEsXpBhGxeZ6ENVWIVzuSzZfV9DmH9SzasR/Og1di5Q==" saltValue="zX3DiCza9X/xn1nQzCAtV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2026-03-04T19:58:48Z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