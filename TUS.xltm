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2CAB06C-8A8A-4E02-8CD0-48AEFE47EE6D}" xr6:coauthVersionLast="47" xr6:coauthVersionMax="47" xr10:uidLastSave="{00000000-0000-0000-0000-000000000000}"/>
  <bookViews>
    <workbookView xWindow="-120" yWindow="-120" windowWidth="29040" windowHeight="15720" tabRatio="892" firstSheet="7"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s="1"/>
  <c r="L9" i="70" a="1"/>
  <c r="L9" i="70" s="1"/>
  <c r="L10" i="70" a="1"/>
  <c r="L10" i="70"/>
  <c r="L11" i="70" a="1"/>
  <c r="L11" i="70"/>
  <c r="L12" i="70" a="1"/>
  <c r="L12" i="70" s="1"/>
  <c r="L13" i="70" a="1"/>
  <c r="L13" i="70" s="1"/>
  <c r="L14" i="70" a="1"/>
  <c r="L14" i="70" s="1"/>
  <c r="L15" i="70" a="1"/>
  <c r="L15" i="70" s="1"/>
  <c r="L16" i="70" a="1"/>
  <c r="L16" i="70" s="1"/>
  <c r="L17" i="70" a="1"/>
  <c r="L17" i="70" s="1"/>
  <c r="L18" i="70" a="1"/>
  <c r="L18" i="70" s="1"/>
  <c r="L19" i="70" a="1"/>
  <c r="L19" i="70" s="1"/>
  <c r="L20" i="70" a="1"/>
  <c r="L20" i="70" s="1"/>
  <c r="L21" i="70" a="1"/>
  <c r="L21" i="70" s="1"/>
  <c r="L22" i="70" a="1"/>
  <c r="L22" i="70"/>
  <c r="L23" i="70" a="1"/>
  <c r="L23" i="70"/>
  <c r="L24" i="70" a="1"/>
  <c r="L24" i="70"/>
  <c r="L25" i="70" a="1"/>
  <c r="L25" i="70" s="1"/>
  <c r="L26" i="70" a="1"/>
  <c r="L26" i="70"/>
  <c r="L27" i="70" a="1"/>
  <c r="L27" i="70" s="1"/>
  <c r="L28" i="70" a="1"/>
  <c r="L28" i="70"/>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J7" i="95"/>
  <c r="K7" i="95" s="1"/>
  <c r="J8" i="95"/>
  <c r="J9" i="95"/>
  <c r="J10" i="95"/>
  <c r="J11" i="95"/>
  <c r="J12" i="95"/>
  <c r="K12" i="95" s="1"/>
  <c r="J13" i="95"/>
  <c r="K13" i="95" s="1"/>
  <c r="J14" i="95"/>
  <c r="K14" i="95" s="1"/>
  <c r="J15" i="95"/>
  <c r="J16" i="95"/>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J48" i="95"/>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J76" i="95"/>
  <c r="K76" i="95" s="1"/>
  <c r="J77" i="95"/>
  <c r="K77" i="95" s="1"/>
  <c r="J78" i="95"/>
  <c r="K78" i="95" s="1"/>
  <c r="J79" i="95"/>
  <c r="J80" i="95"/>
  <c r="J81" i="95"/>
  <c r="J82" i="95"/>
  <c r="J83" i="95"/>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J104" i="95"/>
  <c r="J105" i="95"/>
  <c r="J106" i="95"/>
  <c r="J107" i="95"/>
  <c r="K107" i="95" s="1"/>
  <c r="J108" i="95"/>
  <c r="K108" i="95" s="1"/>
  <c r="J109" i="95"/>
  <c r="K109" i="95" s="1"/>
  <c r="J110" i="95"/>
  <c r="K110" i="95" s="1"/>
  <c r="J111" i="95"/>
  <c r="J112" i="95"/>
  <c r="J113" i="95"/>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K133" i="95" s="1"/>
  <c r="J134" i="95"/>
  <c r="K134" i="95" s="1"/>
  <c r="J135" i="95"/>
  <c r="K135" i="95" s="1"/>
  <c r="J136" i="95"/>
  <c r="K136" i="95" s="1"/>
  <c r="J137" i="95"/>
  <c r="K137" i="95" s="1"/>
  <c r="J138" i="95"/>
  <c r="J139" i="95"/>
  <c r="K139" i="95" s="1"/>
  <c r="J140" i="95"/>
  <c r="K140" i="95" s="1"/>
  <c r="J141" i="95"/>
  <c r="K141" i="95" s="1"/>
  <c r="J142" i="95"/>
  <c r="K142" i="95" s="1"/>
  <c r="J143" i="95"/>
  <c r="J144" i="95"/>
  <c r="J145" i="95"/>
  <c r="K145" i="95" s="1"/>
  <c r="J146" i="95"/>
  <c r="K146" i="95" s="1"/>
  <c r="J147" i="95"/>
  <c r="K147" i="95" s="1"/>
  <c r="J148" i="95"/>
  <c r="K148" i="95" s="1"/>
  <c r="J149" i="95"/>
  <c r="K149" i="95" s="1"/>
  <c r="J150" i="95"/>
  <c r="K150" i="95" s="1"/>
  <c r="J151" i="95"/>
  <c r="K151" i="95" s="1"/>
  <c r="J152" i="95"/>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J170" i="95"/>
  <c r="J171" i="95"/>
  <c r="J172" i="95"/>
  <c r="K172" i="95" s="1"/>
  <c r="J173" i="95"/>
  <c r="K173" i="95" s="1"/>
  <c r="J174" i="95"/>
  <c r="K174" i="95" s="1"/>
  <c r="J175" i="95"/>
  <c r="J176" i="95"/>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K198" i="95" s="1"/>
  <c r="J199" i="95"/>
  <c r="J200" i="95"/>
  <c r="J201" i="95"/>
  <c r="J202" i="95"/>
  <c r="J203" i="95"/>
  <c r="K203" i="95" s="1"/>
  <c r="J204" i="95"/>
  <c r="K204" i="95" s="1"/>
  <c r="J205" i="95"/>
  <c r="K205" i="95" s="1"/>
  <c r="J206" i="95"/>
  <c r="K206" i="95" s="1"/>
  <c r="J207" i="95"/>
  <c r="J208" i="95"/>
  <c r="J209" i="95"/>
  <c r="J210" i="95"/>
  <c r="J211" i="95"/>
  <c r="J212" i="95"/>
  <c r="J213" i="95"/>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J240" i="95"/>
  <c r="J241" i="95"/>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J267" i="95"/>
  <c r="J268" i="95"/>
  <c r="K268" i="95" s="1"/>
  <c r="J269" i="95"/>
  <c r="K269" i="95" s="1"/>
  <c r="J270" i="95"/>
  <c r="K270" i="95" s="1"/>
  <c r="J271" i="95"/>
  <c r="J272" i="95"/>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K294" i="95" s="1"/>
  <c r="J295" i="95"/>
  <c r="J296" i="95"/>
  <c r="J297" i="95"/>
  <c r="J298" i="95"/>
  <c r="J299" i="95"/>
  <c r="K299" i="95" s="1"/>
  <c r="J300" i="95"/>
  <c r="K300" i="95" s="1"/>
  <c r="J301" i="95"/>
  <c r="K301" i="95" s="1"/>
  <c r="J302" i="95"/>
  <c r="K302" i="95" s="1"/>
  <c r="J303" i="95"/>
  <c r="J304" i="95"/>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K328" i="95" s="1"/>
  <c r="J329" i="95"/>
  <c r="K329" i="95" s="1"/>
  <c r="J330" i="95"/>
  <c r="K330" i="95" s="1"/>
  <c r="J331" i="95"/>
  <c r="K331" i="95" s="1"/>
  <c r="J332" i="95"/>
  <c r="K332" i="95" s="1"/>
  <c r="J333" i="95"/>
  <c r="K333" i="95" s="1"/>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J364" i="95"/>
  <c r="K364" i="95" s="1"/>
  <c r="J365" i="95"/>
  <c r="K365" i="95" s="1"/>
  <c r="J366" i="95"/>
  <c r="K366" i="95" s="1"/>
  <c r="J367" i="95"/>
  <c r="J368" i="95"/>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K389" i="95" s="1"/>
  <c r="J390" i="95"/>
  <c r="J391" i="95"/>
  <c r="K391" i="95" s="1"/>
  <c r="J392" i="95"/>
  <c r="J393" i="95"/>
  <c r="J394" i="95"/>
  <c r="J395" i="95"/>
  <c r="J396" i="95"/>
  <c r="K396" i="95" s="1"/>
  <c r="J397" i="95"/>
  <c r="K397" i="95" s="1"/>
  <c r="J398" i="95"/>
  <c r="K398" i="95" s="1"/>
  <c r="J399" i="95"/>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6" i="95"/>
  <c r="K8" i="95"/>
  <c r="K9" i="95"/>
  <c r="K10" i="95"/>
  <c r="K11" i="95"/>
  <c r="K15" i="95"/>
  <c r="K16" i="95"/>
  <c r="K31" i="95"/>
  <c r="K32" i="95"/>
  <c r="K33" i="95"/>
  <c r="K34" i="95"/>
  <c r="K35" i="95"/>
  <c r="K36" i="95"/>
  <c r="K37" i="95"/>
  <c r="K38" i="95"/>
  <c r="K47" i="95"/>
  <c r="K48" i="95"/>
  <c r="K49" i="95"/>
  <c r="K63" i="95"/>
  <c r="K64" i="95"/>
  <c r="K65" i="95"/>
  <c r="K66" i="95"/>
  <c r="K67" i="95"/>
  <c r="K68" i="95"/>
  <c r="K69" i="95"/>
  <c r="K70" i="95"/>
  <c r="K71" i="95"/>
  <c r="K72" i="95"/>
  <c r="K73" i="95"/>
  <c r="K74" i="95"/>
  <c r="K75" i="95"/>
  <c r="K79" i="95"/>
  <c r="K80" i="95"/>
  <c r="K81" i="95"/>
  <c r="K82" i="95"/>
  <c r="K83" i="95"/>
  <c r="K95" i="95"/>
  <c r="K96" i="95"/>
  <c r="K97" i="95"/>
  <c r="K98" i="95"/>
  <c r="K99" i="95"/>
  <c r="K100" i="95"/>
  <c r="K101" i="95"/>
  <c r="K103" i="95"/>
  <c r="K104" i="95"/>
  <c r="K105" i="95"/>
  <c r="K106" i="95"/>
  <c r="K111" i="95"/>
  <c r="K112" i="95"/>
  <c r="K113" i="95"/>
  <c r="K114" i="95"/>
  <c r="K115" i="95"/>
  <c r="K116" i="95"/>
  <c r="K117" i="95"/>
  <c r="K127" i="95"/>
  <c r="K128" i="95"/>
  <c r="K129" i="95"/>
  <c r="K130" i="95"/>
  <c r="K131" i="95"/>
  <c r="K132" i="95"/>
  <c r="K138" i="95"/>
  <c r="K143" i="95"/>
  <c r="K144" i="95"/>
  <c r="K159" i="95"/>
  <c r="K160" i="95"/>
  <c r="K161" i="95"/>
  <c r="K162" i="95"/>
  <c r="K163" i="95"/>
  <c r="K164" i="95"/>
  <c r="K165" i="95"/>
  <c r="K166" i="95"/>
  <c r="K167" i="95"/>
  <c r="K168" i="95"/>
  <c r="K169" i="95"/>
  <c r="K170" i="95"/>
  <c r="K171" i="95"/>
  <c r="K175" i="95"/>
  <c r="K176" i="95"/>
  <c r="K177" i="95"/>
  <c r="K178" i="95"/>
  <c r="K191" i="95"/>
  <c r="K192" i="95"/>
  <c r="K193" i="95"/>
  <c r="K194" i="95"/>
  <c r="K195" i="95"/>
  <c r="K196" i="95"/>
  <c r="K197" i="95"/>
  <c r="K199" i="95"/>
  <c r="K200" i="95"/>
  <c r="K201" i="95"/>
  <c r="K202" i="95"/>
  <c r="K207" i="95"/>
  <c r="K208" i="95"/>
  <c r="K210" i="95"/>
  <c r="K211" i="95"/>
  <c r="K212" i="95"/>
  <c r="K213" i="95"/>
  <c r="K223" i="95"/>
  <c r="K224" i="95"/>
  <c r="K225" i="95"/>
  <c r="K226" i="95"/>
  <c r="K227" i="95"/>
  <c r="K228" i="95"/>
  <c r="K229" i="95"/>
  <c r="K239" i="95"/>
  <c r="K240" i="95"/>
  <c r="K241" i="95"/>
  <c r="K255" i="95"/>
  <c r="K257" i="95"/>
  <c r="K258" i="95"/>
  <c r="K259" i="95"/>
  <c r="K260" i="95"/>
  <c r="K261" i="95"/>
  <c r="K262" i="95"/>
  <c r="K263" i="95"/>
  <c r="K264" i="95"/>
  <c r="K265" i="95"/>
  <c r="K266" i="95"/>
  <c r="K267" i="95"/>
  <c r="K271" i="95"/>
  <c r="K272" i="95"/>
  <c r="K273" i="95"/>
  <c r="K274" i="95"/>
  <c r="K275" i="95"/>
  <c r="K287" i="95"/>
  <c r="K288" i="95"/>
  <c r="K289" i="95"/>
  <c r="K290" i="95"/>
  <c r="K291" i="95"/>
  <c r="K292" i="95"/>
  <c r="K293" i="95"/>
  <c r="K295" i="95"/>
  <c r="K296" i="95"/>
  <c r="K297" i="95"/>
  <c r="K298" i="95"/>
  <c r="K303" i="95"/>
  <c r="K304" i="95"/>
  <c r="K305" i="95"/>
  <c r="K306" i="95"/>
  <c r="K307" i="95"/>
  <c r="K308" i="95"/>
  <c r="K309" i="95"/>
  <c r="K322" i="95"/>
  <c r="K323" i="95"/>
  <c r="K324" i="95"/>
  <c r="K325" i="95"/>
  <c r="K326" i="95"/>
  <c r="K327" i="95"/>
  <c r="K336" i="95"/>
  <c r="K351" i="95"/>
  <c r="K352" i="95"/>
  <c r="K353" i="95"/>
  <c r="K354" i="95"/>
  <c r="K355" i="95"/>
  <c r="K356" i="95"/>
  <c r="K357" i="95"/>
  <c r="K358" i="95"/>
  <c r="K359" i="95"/>
  <c r="K360" i="95"/>
  <c r="K361" i="95"/>
  <c r="K362" i="95"/>
  <c r="K363" i="95"/>
  <c r="K367" i="95"/>
  <c r="K368" i="95"/>
  <c r="K369" i="95"/>
  <c r="K370" i="95"/>
  <c r="K371" i="95"/>
  <c r="K372" i="95"/>
  <c r="K383" i="95"/>
  <c r="K384" i="95"/>
  <c r="K385" i="95"/>
  <c r="K386" i="95"/>
  <c r="K387" i="95"/>
  <c r="K388" i="95"/>
  <c r="K390" i="95"/>
  <c r="K392" i="95"/>
  <c r="K393" i="95"/>
  <c r="K394" i="95"/>
  <c r="K395" i="95"/>
  <c r="K399" i="95"/>
  <c r="K400" i="95"/>
  <c r="K401" i="95"/>
  <c r="K402" i="95"/>
  <c r="K403" i="95"/>
  <c r="K404" i="95"/>
  <c r="K405" i="95"/>
  <c r="K415" i="95"/>
  <c r="K416" i="95"/>
  <c r="K417" i="95"/>
  <c r="K418" i="95"/>
  <c r="K419" i="95"/>
  <c r="K420" i="95"/>
  <c r="L2" i="95"/>
  <c r="M2" i="95" s="1"/>
  <c r="L3" i="95"/>
  <c r="L4" i="95"/>
  <c r="L5" i="95"/>
  <c r="L6" i="95"/>
  <c r="M6" i="95" s="1"/>
  <c r="L7" i="95"/>
  <c r="M7" i="95" s="1"/>
  <c r="L8" i="95"/>
  <c r="M8" i="95" s="1"/>
  <c r="L9" i="95"/>
  <c r="L10" i="95"/>
  <c r="L11" i="95"/>
  <c r="L12" i="95"/>
  <c r="L13" i="95"/>
  <c r="L14" i="95"/>
  <c r="L15" i="95"/>
  <c r="L16" i="95"/>
  <c r="M16" i="95" s="1"/>
  <c r="L17" i="95"/>
  <c r="M17" i="95" s="1"/>
  <c r="L18" i="95"/>
  <c r="M18" i="95" s="1"/>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L36" i="95"/>
  <c r="L37" i="95"/>
  <c r="L38" i="95"/>
  <c r="M38" i="95" s="1"/>
  <c r="L39" i="95"/>
  <c r="M39" i="95" s="1"/>
  <c r="L40" i="95"/>
  <c r="M40" i="95" s="1"/>
  <c r="L41" i="95"/>
  <c r="L42" i="95"/>
  <c r="L43" i="95"/>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L68" i="95"/>
  <c r="L69" i="95"/>
  <c r="L70" i="95"/>
  <c r="M70" i="95" s="1"/>
  <c r="L71" i="95"/>
  <c r="M71" i="95" s="1"/>
  <c r="L72" i="95"/>
  <c r="M72" i="95" s="1"/>
  <c r="L73" i="95"/>
  <c r="L74" i="95"/>
  <c r="L75" i="95"/>
  <c r="L76" i="95"/>
  <c r="L77" i="95"/>
  <c r="L78" i="95"/>
  <c r="L79" i="95"/>
  <c r="L80" i="95"/>
  <c r="M80" i="95" s="1"/>
  <c r="L81" i="95"/>
  <c r="M81" i="95" s="1"/>
  <c r="L82" i="95"/>
  <c r="L83" i="95"/>
  <c r="L84" i="95"/>
  <c r="M84" i="95" s="1"/>
  <c r="L85" i="95"/>
  <c r="M85" i="95" s="1"/>
  <c r="L86" i="95"/>
  <c r="M86" i="95" s="1"/>
  <c r="L87" i="95"/>
  <c r="M87" i="95" s="1"/>
  <c r="L88" i="95"/>
  <c r="M88" i="95" s="1"/>
  <c r="L89" i="95"/>
  <c r="L90" i="95"/>
  <c r="L91" i="95"/>
  <c r="L92" i="95"/>
  <c r="L93" i="95"/>
  <c r="L94" i="95"/>
  <c r="M94" i="95" s="1"/>
  <c r="L95" i="95"/>
  <c r="M95" i="95" s="1"/>
  <c r="L96" i="95"/>
  <c r="M96" i="95" s="1"/>
  <c r="L97" i="95"/>
  <c r="M97" i="95" s="1"/>
  <c r="L98" i="95"/>
  <c r="M98" i="95" s="1"/>
  <c r="L99" i="95"/>
  <c r="L100" i="95"/>
  <c r="L101" i="95"/>
  <c r="L102" i="95"/>
  <c r="M102" i="95" s="1"/>
  <c r="L103" i="95"/>
  <c r="M103" i="95" s="1"/>
  <c r="L104" i="95"/>
  <c r="M104" i="95" s="1"/>
  <c r="L105" i="95"/>
  <c r="L106" i="95"/>
  <c r="M106" i="95" s="1"/>
  <c r="L107" i="95"/>
  <c r="L108" i="95"/>
  <c r="L109" i="95"/>
  <c r="L110" i="95"/>
  <c r="L111" i="95"/>
  <c r="L112" i="95"/>
  <c r="M112" i="95" s="1"/>
  <c r="L113" i="95"/>
  <c r="M113" i="95" s="1"/>
  <c r="L114" i="95"/>
  <c r="L115" i="95"/>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L132" i="95"/>
  <c r="L133" i="95"/>
  <c r="L134" i="95"/>
  <c r="M134" i="95" s="1"/>
  <c r="L135" i="95"/>
  <c r="M135" i="95" s="1"/>
  <c r="L136" i="95"/>
  <c r="M136" i="95" s="1"/>
  <c r="L137" i="95"/>
  <c r="L138" i="95"/>
  <c r="L139" i="95"/>
  <c r="M139" i="95" s="1"/>
  <c r="L140" i="95"/>
  <c r="M140" i="95" s="1"/>
  <c r="L141" i="95"/>
  <c r="M141" i="95" s="1"/>
  <c r="L142" i="95"/>
  <c r="M142" i="95" s="1"/>
  <c r="L143" i="95"/>
  <c r="M143" i="95" s="1"/>
  <c r="L144" i="95"/>
  <c r="M144" i="95" s="1"/>
  <c r="L145" i="95"/>
  <c r="M145" i="95" s="1"/>
  <c r="L146" i="95"/>
  <c r="M146" i="95" s="1"/>
  <c r="L147" i="95"/>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L164" i="95"/>
  <c r="L165" i="95"/>
  <c r="L166" i="95"/>
  <c r="M166" i="95" s="1"/>
  <c r="L167" i="95"/>
  <c r="M167" i="95" s="1"/>
  <c r="L168" i="95"/>
  <c r="M168" i="95" s="1"/>
  <c r="L169" i="95"/>
  <c r="L170" i="95"/>
  <c r="L171" i="95"/>
  <c r="L172" i="95"/>
  <c r="L173" i="95"/>
  <c r="L174" i="95"/>
  <c r="L175" i="95"/>
  <c r="L176" i="95"/>
  <c r="M176" i="95" s="1"/>
  <c r="L177" i="95"/>
  <c r="M177" i="95" s="1"/>
  <c r="L178" i="95"/>
  <c r="L179" i="95"/>
  <c r="L180" i="95"/>
  <c r="M180" i="95" s="1"/>
  <c r="L181" i="95"/>
  <c r="M181" i="95" s="1"/>
  <c r="L182" i="95"/>
  <c r="M182" i="95" s="1"/>
  <c r="L183" i="95"/>
  <c r="M183" i="95" s="1"/>
  <c r="L184" i="95"/>
  <c r="M184" i="95" s="1"/>
  <c r="L185" i="95"/>
  <c r="L186" i="95"/>
  <c r="L187" i="95"/>
  <c r="L188" i="95"/>
  <c r="M188" i="95" s="1"/>
  <c r="L189" i="95"/>
  <c r="M189" i="95" s="1"/>
  <c r="L190" i="95"/>
  <c r="M190" i="95" s="1"/>
  <c r="L191" i="95"/>
  <c r="M191" i="95" s="1"/>
  <c r="L192" i="95"/>
  <c r="M192" i="95" s="1"/>
  <c r="L193" i="95"/>
  <c r="M193" i="95" s="1"/>
  <c r="L194" i="95"/>
  <c r="M194" i="95" s="1"/>
  <c r="L195" i="95"/>
  <c r="L196" i="95"/>
  <c r="L197" i="95"/>
  <c r="L198" i="95"/>
  <c r="M198" i="95" s="1"/>
  <c r="L199" i="95"/>
  <c r="M199" i="95" s="1"/>
  <c r="L200" i="95"/>
  <c r="M200" i="95" s="1"/>
  <c r="L201" i="95"/>
  <c r="L202" i="95"/>
  <c r="M202" i="95" s="1"/>
  <c r="L203" i="95"/>
  <c r="L204" i="95"/>
  <c r="L205" i="95"/>
  <c r="L206" i="95"/>
  <c r="L207" i="95"/>
  <c r="M207" i="95" s="1"/>
  <c r="L208" i="95"/>
  <c r="M208" i="95" s="1"/>
  <c r="L209" i="95"/>
  <c r="M209" i="95" s="1"/>
  <c r="L210" i="95"/>
  <c r="M210" i="95" s="1"/>
  <c r="L211" i="95"/>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L228" i="95"/>
  <c r="L229" i="95"/>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L260" i="95"/>
  <c r="L261" i="95"/>
  <c r="L262" i="95"/>
  <c r="M262" i="95" s="1"/>
  <c r="L263" i="95"/>
  <c r="M263" i="95" s="1"/>
  <c r="L264" i="95"/>
  <c r="M264" i="95" s="1"/>
  <c r="L265" i="95"/>
  <c r="L266" i="95"/>
  <c r="L267" i="95"/>
  <c r="L268" i="95"/>
  <c r="L269" i="95"/>
  <c r="L270" i="95"/>
  <c r="L271" i="95"/>
  <c r="L272" i="95"/>
  <c r="M272" i="95" s="1"/>
  <c r="L273" i="95"/>
  <c r="M273" i="95" s="1"/>
  <c r="L274" i="95"/>
  <c r="L275" i="95"/>
  <c r="L276" i="95"/>
  <c r="M276" i="95" s="1"/>
  <c r="L277" i="95"/>
  <c r="M277" i="95" s="1"/>
  <c r="L278" i="95"/>
  <c r="M278" i="95" s="1"/>
  <c r="L279" i="95"/>
  <c r="M279" i="95" s="1"/>
  <c r="L280" i="95"/>
  <c r="M280" i="95" s="1"/>
  <c r="L281" i="95"/>
  <c r="L282" i="95"/>
  <c r="M282" i="95" s="1"/>
  <c r="L283" i="95"/>
  <c r="M283" i="95" s="1"/>
  <c r="L284" i="95"/>
  <c r="M284" i="95" s="1"/>
  <c r="L285" i="95"/>
  <c r="M285" i="95" s="1"/>
  <c r="L286" i="95"/>
  <c r="M286" i="95" s="1"/>
  <c r="L287" i="95"/>
  <c r="M287" i="95" s="1"/>
  <c r="L288" i="95"/>
  <c r="M288" i="95" s="1"/>
  <c r="L289" i="95"/>
  <c r="M289" i="95" s="1"/>
  <c r="L290" i="95"/>
  <c r="M290" i="95" s="1"/>
  <c r="L291" i="95"/>
  <c r="L292" i="95"/>
  <c r="L293" i="95"/>
  <c r="L294" i="95"/>
  <c r="M294" i="95" s="1"/>
  <c r="L295" i="95"/>
  <c r="M295" i="95" s="1"/>
  <c r="L296" i="95"/>
  <c r="M296" i="95" s="1"/>
  <c r="L297" i="95"/>
  <c r="L298" i="95"/>
  <c r="L299" i="95"/>
  <c r="L300" i="95"/>
  <c r="L301" i="95"/>
  <c r="M301" i="95" s="1"/>
  <c r="L302" i="95"/>
  <c r="L303" i="95"/>
  <c r="M303" i="95" s="1"/>
  <c r="L304" i="95"/>
  <c r="M304" i="95" s="1"/>
  <c r="L305" i="95"/>
  <c r="M305" i="95" s="1"/>
  <c r="L306" i="95"/>
  <c r="M306" i="95" s="1"/>
  <c r="L307" i="95"/>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L324" i="95"/>
  <c r="L325" i="95"/>
  <c r="L326" i="95"/>
  <c r="M326" i="95" s="1"/>
  <c r="L327" i="95"/>
  <c r="M327" i="95" s="1"/>
  <c r="L328" i="95"/>
  <c r="M328" i="95" s="1"/>
  <c r="L329" i="95"/>
  <c r="M329" i="95" s="1"/>
  <c r="L330" i="95"/>
  <c r="M330" i="95" s="1"/>
  <c r="L331" i="95"/>
  <c r="M331" i="95" s="1"/>
  <c r="L332" i="95"/>
  <c r="M332" i="95" s="1"/>
  <c r="L333" i="95"/>
  <c r="M333" i="95" s="1"/>
  <c r="L334" i="95"/>
  <c r="L335" i="95"/>
  <c r="M335" i="95" s="1"/>
  <c r="L336" i="95"/>
  <c r="M336" i="95" s="1"/>
  <c r="L337" i="95"/>
  <c r="M337" i="95" s="1"/>
  <c r="L338" i="95"/>
  <c r="M338" i="95" s="1"/>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L356" i="95"/>
  <c r="L357" i="95"/>
  <c r="L358" i="95"/>
  <c r="M358" i="95" s="1"/>
  <c r="L359" i="95"/>
  <c r="M359" i="95" s="1"/>
  <c r="L360" i="95"/>
  <c r="M360" i="95" s="1"/>
  <c r="L361" i="95"/>
  <c r="L362" i="95"/>
  <c r="L363" i="95"/>
  <c r="L364" i="95"/>
  <c r="L365" i="95"/>
  <c r="L366" i="95"/>
  <c r="L367" i="95"/>
  <c r="L368" i="95"/>
  <c r="M368" i="95" s="1"/>
  <c r="L369" i="95"/>
  <c r="M369" i="95" s="1"/>
  <c r="L370" i="95"/>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L388" i="95"/>
  <c r="L389" i="95"/>
  <c r="L390" i="95"/>
  <c r="M390" i="95" s="1"/>
  <c r="L391" i="95"/>
  <c r="M391" i="95" s="1"/>
  <c r="L392" i="95"/>
  <c r="M392" i="95" s="1"/>
  <c r="L393" i="95"/>
  <c r="L394" i="95"/>
  <c r="L395" i="95"/>
  <c r="M395" i="95" s="1"/>
  <c r="L396" i="95"/>
  <c r="M396" i="95" s="1"/>
  <c r="L397" i="95"/>
  <c r="M397" i="95" s="1"/>
  <c r="L398" i="95"/>
  <c r="L399" i="95"/>
  <c r="L400" i="95"/>
  <c r="M400" i="95" s="1"/>
  <c r="L401" i="95"/>
  <c r="M401" i="95" s="1"/>
  <c r="L402" i="95"/>
  <c r="L403" i="95"/>
  <c r="L404" i="95"/>
  <c r="M404" i="95" s="1"/>
  <c r="L405" i="95"/>
  <c r="M405" i="95" s="1"/>
  <c r="L406" i="95"/>
  <c r="M406" i="95" s="1"/>
  <c r="L407" i="95"/>
  <c r="M407" i="95" s="1"/>
  <c r="L408" i="95"/>
  <c r="M408" i="95" s="1"/>
  <c r="L409" i="95"/>
  <c r="L410" i="95"/>
  <c r="L411" i="95"/>
  <c r="L412" i="95"/>
  <c r="L413" i="95"/>
  <c r="L414" i="95"/>
  <c r="L415" i="95"/>
  <c r="L416" i="95"/>
  <c r="L417" i="95"/>
  <c r="L418" i="95"/>
  <c r="M418" i="95" s="1"/>
  <c r="L419" i="95"/>
  <c r="L420" i="95"/>
  <c r="M3" i="95"/>
  <c r="M4" i="95"/>
  <c r="M5" i="95"/>
  <c r="M9" i="95"/>
  <c r="M10" i="95"/>
  <c r="M11" i="95"/>
  <c r="M12" i="95"/>
  <c r="M13" i="95"/>
  <c r="M14" i="95"/>
  <c r="M15" i="95"/>
  <c r="M19" i="95"/>
  <c r="M35" i="95"/>
  <c r="M36" i="95"/>
  <c r="M37" i="95"/>
  <c r="M41" i="95"/>
  <c r="M42" i="95"/>
  <c r="M43" i="95"/>
  <c r="M44" i="95"/>
  <c r="M67" i="95"/>
  <c r="M68" i="95"/>
  <c r="M69" i="95"/>
  <c r="M73" i="95"/>
  <c r="M74" i="95"/>
  <c r="M75" i="95"/>
  <c r="M76" i="95"/>
  <c r="M77" i="95"/>
  <c r="M78" i="95"/>
  <c r="M79" i="95"/>
  <c r="M82" i="95"/>
  <c r="M83" i="95"/>
  <c r="M89" i="95"/>
  <c r="M90" i="95"/>
  <c r="M91" i="95"/>
  <c r="M92" i="95"/>
  <c r="M93" i="95"/>
  <c r="M99" i="95"/>
  <c r="M100" i="95"/>
  <c r="M101" i="95"/>
  <c r="M105" i="95"/>
  <c r="M107" i="95"/>
  <c r="M108" i="95"/>
  <c r="M109" i="95"/>
  <c r="M110" i="95"/>
  <c r="M111" i="95"/>
  <c r="M114" i="95"/>
  <c r="M115" i="95"/>
  <c r="M131" i="95"/>
  <c r="M132" i="95"/>
  <c r="M133" i="95"/>
  <c r="M137" i="95"/>
  <c r="M138" i="95"/>
  <c r="M147" i="95"/>
  <c r="M163" i="95"/>
  <c r="M164" i="95"/>
  <c r="M165" i="95"/>
  <c r="M169" i="95"/>
  <c r="M170" i="95"/>
  <c r="M171" i="95"/>
  <c r="M172" i="95"/>
  <c r="M173" i="95"/>
  <c r="M174" i="95"/>
  <c r="M175" i="95"/>
  <c r="M178" i="95"/>
  <c r="M179" i="95"/>
  <c r="M185" i="95"/>
  <c r="M186" i="95"/>
  <c r="M187" i="95"/>
  <c r="M195" i="95"/>
  <c r="M196" i="95"/>
  <c r="M197" i="95"/>
  <c r="M201" i="95"/>
  <c r="M203" i="95"/>
  <c r="M204" i="95"/>
  <c r="M205" i="95"/>
  <c r="M206" i="95"/>
  <c r="M211" i="95"/>
  <c r="M227" i="95"/>
  <c r="M228" i="95"/>
  <c r="M229" i="95"/>
  <c r="M243" i="95"/>
  <c r="M259" i="95"/>
  <c r="M260" i="95"/>
  <c r="M261" i="95"/>
  <c r="M265" i="95"/>
  <c r="M266" i="95"/>
  <c r="M267" i="95"/>
  <c r="M268" i="95"/>
  <c r="M269" i="95"/>
  <c r="M270" i="95"/>
  <c r="M271" i="95"/>
  <c r="M274" i="95"/>
  <c r="M275" i="95"/>
  <c r="M281" i="95"/>
  <c r="M291" i="95"/>
  <c r="M292" i="95"/>
  <c r="M293" i="95"/>
  <c r="M297" i="95"/>
  <c r="M298" i="95"/>
  <c r="M299" i="95"/>
  <c r="M300" i="95"/>
  <c r="M302" i="95"/>
  <c r="M307" i="95"/>
  <c r="M323" i="95"/>
  <c r="M324" i="95"/>
  <c r="M325" i="95"/>
  <c r="M334" i="95"/>
  <c r="M339" i="95"/>
  <c r="M355" i="95"/>
  <c r="M356" i="95"/>
  <c r="M357" i="95"/>
  <c r="M361" i="95"/>
  <c r="M362" i="95"/>
  <c r="M363" i="95"/>
  <c r="M364" i="95"/>
  <c r="M365" i="95"/>
  <c r="M366" i="95"/>
  <c r="M367" i="95"/>
  <c r="M370" i="95"/>
  <c r="M387" i="95"/>
  <c r="M388" i="95"/>
  <c r="M389" i="95"/>
  <c r="M393" i="95"/>
  <c r="M394" i="95"/>
  <c r="M398" i="95"/>
  <c r="M399" i="95"/>
  <c r="M402" i="95"/>
  <c r="M403" i="95"/>
  <c r="M409" i="95"/>
  <c r="M410" i="95"/>
  <c r="M411" i="95"/>
  <c r="M412" i="95"/>
  <c r="M413" i="95"/>
  <c r="M414" i="95"/>
  <c r="M415" i="95"/>
  <c r="M416" i="95"/>
  <c r="M417" i="95"/>
  <c r="M419" i="95"/>
  <c r="M420" i="95"/>
  <c r="K152" i="95" l="1"/>
  <c r="E3" i="4"/>
  <c r="D47" i="8"/>
  <c r="R2" i="74"/>
  <c r="F2" i="74" s="1" a="1"/>
  <c r="F2" i="74" s="1"/>
  <c r="D14" i="8"/>
  <c r="D13" i="8"/>
  <c r="D12" i="8"/>
  <c r="D11" i="8" a="1"/>
  <c r="D11" i="8" s="1"/>
  <c r="K2" i="70"/>
  <c r="I47" i="8"/>
  <c r="H47" i="8"/>
  <c r="G47" i="8"/>
  <c r="F47" i="8"/>
  <c r="E47" i="8"/>
  <c r="G1" i="8" a="1"/>
  <c r="M5" i="70" l="1" a="1"/>
  <c r="M5" i="70" s="1"/>
  <c r="M21" i="70" a="1"/>
  <c r="M21" i="70" s="1"/>
  <c r="M10" i="70" a="1"/>
  <c r="M10" i="70" s="1"/>
  <c r="M6" i="70" a="1"/>
  <c r="M6" i="70" s="1"/>
  <c r="M22" i="70" a="1"/>
  <c r="M22" i="70" s="1"/>
  <c r="M26" i="70" a="1"/>
  <c r="M26" i="70" s="1"/>
  <c r="M7" i="70" a="1"/>
  <c r="M7" i="70" s="1"/>
  <c r="M23" i="70" a="1"/>
  <c r="M23" i="70" s="1"/>
  <c r="M19" i="70" a="1"/>
  <c r="M19" i="70" s="1"/>
  <c r="M27" i="70" a="1"/>
  <c r="M27" i="70" s="1"/>
  <c r="M8" i="70" a="1"/>
  <c r="M8" i="70" s="1"/>
  <c r="M24" i="70" a="1"/>
  <c r="M24" i="70" s="1"/>
  <c r="M9" i="70" a="1"/>
  <c r="M9" i="70" s="1"/>
  <c r="M25" i="70" a="1"/>
  <c r="M25" i="70" s="1"/>
  <c r="M12" i="70" a="1"/>
  <c r="M12" i="70" s="1"/>
  <c r="M28" i="70" a="1"/>
  <c r="M28" i="70" s="1"/>
  <c r="M11" i="70" a="1"/>
  <c r="M11" i="70" s="1"/>
  <c r="M16" i="70" a="1"/>
  <c r="M16" i="70" s="1"/>
  <c r="M13" i="70" a="1"/>
  <c r="M13" i="70" s="1"/>
  <c r="M17" i="70" a="1"/>
  <c r="M17" i="70" s="1"/>
  <c r="M18" i="70" a="1"/>
  <c r="M18" i="70" s="1"/>
  <c r="M14" i="70" a="1"/>
  <c r="M14" i="70" s="1"/>
  <c r="M15" i="70" a="1"/>
  <c r="M15" i="70" s="1"/>
  <c r="M20" i="70" a="1"/>
  <c r="M20" i="70" s="1"/>
  <c r="G2" i="100" a="1"/>
  <c r="G2" i="100" s="1"/>
  <c r="G1" i="8"/>
  <c r="L2" i="70" a="1"/>
  <c r="L2" i="70" s="1"/>
  <c r="M2" i="70" l="1" a="1"/>
  <c r="M2" i="70" s="1"/>
  <c r="N11" i="70" s="1"/>
  <c r="N28" i="70" l="1"/>
  <c r="N23" i="70"/>
  <c r="N15" i="70"/>
  <c r="N20" i="70"/>
  <c r="N12" i="70"/>
  <c r="N22" i="70"/>
  <c r="N26" i="70"/>
  <c r="N25" i="70"/>
  <c r="N19" i="70"/>
  <c r="N8" i="70"/>
  <c r="N21" i="70"/>
  <c r="N16" i="70"/>
  <c r="N9" i="70"/>
  <c r="N6" i="70"/>
  <c r="N14" i="70"/>
  <c r="N5" i="70"/>
  <c r="N17" i="70"/>
  <c r="N24" i="70"/>
  <c r="N10" i="70"/>
  <c r="N13" i="70"/>
  <c r="N27" i="70"/>
  <c r="N18" i="70"/>
  <c r="N7"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<sst xmlns="http://schemas.openxmlformats.org/spreadsheetml/2006/main" count="1303" uniqueCount="750">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</sst>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2">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19" formatCode="m/d/yyyy"/>
    </dxf>
    <dxf>
      <numFmt numFmtId="2" formatCode="0.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3"/>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H15" sqref="H15"/>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B1" sqref="B1"/>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eDmr8YJp0W2VZ2WVfTkpJEm/mN5wpOnpetKMdw6Z7qjFbjNxJHPOgvbp9imqhbuwLBjO2F/LBqo13IXnGAmgdA==" saltValue="DABII6gvxCTXeD4wXwE22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22" t="s">
        <v>435</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499" t="s">
        <v>297</v>
      </c>
      <c r="H23" s="500"/>
      <c r="I23" s="500"/>
      <c r="J23" s="500"/>
      <c r="K23" s="501"/>
      <c r="L23" s="301"/>
      <c r="M23" s="300"/>
      <c r="N23" s="399">
        <v>19</v>
      </c>
      <c r="O23" s="145"/>
      <c r="P23" s="451" t="str">
        <v/>
      </c>
      <c r="Q23" s="452"/>
      <c r="R23" s="450" t="e">
        <v>#VALUE!</v>
      </c>
      <c r="S23" s="146" t="str">
        <v/>
      </c>
      <c r="T23" s="425"/>
      <c r="U23" s="285" t="s">
        <v>414</v>
      </c>
      <c r="V23" s="285">
        <f>V20+V21</f>
        <v>40</v>
      </c>
    </row>
    <row r="24" spans="2:22" s="277" customFormat="1" x14ac:dyDescent="0.2">
      <c r="B24" s="522" t="s">
        <v>324</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305</v>
      </c>
      <c r="Q48" s="489"/>
      <c r="R48" s="490"/>
      <c r="S48" s="461" t="b">
        <f>_xlfn.REGEXTEST(TRIM(Class),"^[0-9][AC]",1)</f>
        <v>0</v>
      </c>
      <c r="T48" s="305"/>
      <c r="U48" s="488" t="s">
        <v>308</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1" t="s">
        <v>310</v>
      </c>
      <c r="Q49" s="492"/>
      <c r="R49" s="493"/>
      <c r="S49" s="380" t="str">
        <f>IF($S$48, IF(MAX(Survey[RawTemp])&lt;=HalfTolMax,"Yes","No"), "N/A")</f>
        <v>N/A</v>
      </c>
      <c r="T49" s="306"/>
      <c r="U49" s="491" t="s">
        <v>309</v>
      </c>
      <c r="V49" s="492"/>
      <c r="W49" s="493"/>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306</v>
      </c>
      <c r="Q51" s="492"/>
      <c r="R51" s="493"/>
      <c r="S51" s="380"/>
      <c r="T51" s="308"/>
      <c r="U51" s="491" t="s">
        <v>311</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307</v>
      </c>
      <c r="Q53" s="539"/>
      <c r="R53" s="540"/>
      <c r="S53" s="380"/>
      <c r="T53" s="310"/>
      <c r="U53" s="538" t="s">
        <v>312</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TRUE,
    (UUTRangeTol!S2 = SAT_Tolerance_Lookup[TUS Tol])*(SAT_Tolerance_Lookup[Unit]=Unit),
    SAT_Tolerance_Lookup[SAT Tol]
  ),
  SAT_Tol
)</f>
        <v>0</v>
      </c>
      <c r="H82" s="139" t="str">
        <f>Unit</f>
        <v>°F</v>
      </c>
    </row>
  </sheetData>
  <sheetProtection algorithmName="SHA-512" hashValue="YaZEaifvDQ8DZMcJvRHqc8CSyRd2EFkKKp1IusLk3pqUuk3lOLlDELHoqpu5LuhGbc7Y2y6EmH+B7RYud/Txeg==" saltValue="Hb2AtdvZljCeJXKpnqPM/A==" spinCount="100000" sheet="1" objects="1" scenarios="1" selectLockedCell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uyvygZ0e/RubeLxz/Z8LXOnedh+tkqpn63LeJ/58vVJSFqlz1gb0KdWKJpJ8sAzUgLnDcsYoioyEoJogZw12rA==" saltValue="dIpTDjkNkGqlLIiXzF8NV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PDZhSibRG216eOkcSfZD6rPXasRGFMgFRSe5e//9Qb9QppP5q1pbF24QoStn8/BLRtNMjG0bUMAvmk3EJYwqVQ==" saltValue="AaAOI6XoSXFYDJQVnVA/gA=="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eUbLYv0c3jIM/XeGO9rJmcUE91T5oWCIKjrrJuLQ/SbLvp8lpMiiHbT4vpaeTkPyqoTBYuaZ0DIX9xUNBVEiQA==" saltValue="LZhZRDL0nqfWrDM59Jm2l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429</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331</v>
      </c>
      <c r="T61" s="36" t="s">
        <v>332</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433</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2RfD8GLjfkTFHbK23sGaCnSpAZQIs4R5hGzM8cxZJoFlKP3RmVRi6qS10cUW8/BdpNXLcgyM0RruA/kdXj0mSA==" saltValue="5aTKsHrY/ZQPsPJhGuZvh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o7ntw2BXJ+ZDQqhLPr0yhWAJ/2n/yJ4lFARsbuiXb+DVroVWdiC5h+8hJjY6P1r6UXQAaX2e8F/V7Ux/mf92qQ==" saltValue="usHdUH+kfeA8AHGGb99rOQ=="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2aQhA2fKAfvP966ZM7N7XxFGYt16hVB7NufRYyQ4gpyEhAJSgaA6LvhcSaQgniGu+wkRSqEc2bQerk37qqiyZw==" saltValue="4lirXbitkbymw5Sf+XVDVA=="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1VF4tf35iM6ynp+4ZPTIbOxKzB1f8NOlce6xvLLJjJAaVkbi5pRHrdLkQPQvaLkS4uz28qGSFWvV8e87zLwagA==" saltValue="uEsn+iQaEU/qaDqZCufV2A=="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s5y2aIEuqyTdWLHx3tdiQvnpZZzQB2PLMUAQNAIOCY/5PzbvLJ/UqqBjEIxQsVNeps+dkpQBhkM/GyBfYShprw==" saltValue="LTFkAyP9YiVhpSmTRDk3Tg==" spinCount="100000" sheet="1" objects="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305</v>
      </c>
      <c r="K30" s="624"/>
      <c r="L30" s="625"/>
      <c r="M30" s="253"/>
      <c r="O30" s="615" t="s">
        <v>308</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313</v>
      </c>
      <c r="K31" s="639"/>
      <c r="L31" s="640"/>
      <c r="M31" s="254" t="str">
        <f>IF(Main!S49="","",Main!S49)</f>
        <v>N/A</v>
      </c>
      <c r="O31" s="505" t="s">
        <v>315</v>
      </c>
      <c r="P31" s="506"/>
      <c r="Q31" s="618"/>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9" t="s">
        <v>267</v>
      </c>
      <c r="K32" s="630"/>
      <c r="L32" s="631"/>
      <c r="M32" s="249"/>
      <c r="O32" s="629" t="s">
        <v>267</v>
      </c>
      <c r="P32" s="630"/>
      <c r="Q32" s="631"/>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6" t="s">
        <v>314</v>
      </c>
      <c r="K33" s="627"/>
      <c r="L33" s="628"/>
      <c r="M33" s="248" t="str">
        <f>IF(Main!S51="","",Main!S51)</f>
        <v/>
      </c>
      <c r="O33" s="626" t="s">
        <v>316</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32" t="s">
        <v>317</v>
      </c>
      <c r="K35" s="633"/>
      <c r="L35" s="634"/>
      <c r="M35" s="256" t="str">
        <f>IF(Main!S53="","",Main!S53)</f>
        <v/>
      </c>
      <c r="O35" s="632" t="s">
        <v>318</v>
      </c>
      <c r="P35" s="633"/>
      <c r="Q35" s="634"/>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xd3L1FtP0yGi1zyxrVTBEuingwoyQYJqOEN20E9qM/Z4JiFAICN9EjhayJnEfXeFeiynYz27UbkPhlxdPIfVWA==" saltValue="jj7fJ+/T7bilEc3w/1p8/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ExERzMZkfD6mFFVkttNOzIcPaJy4htrac14ZfAy4ByJQ/S64Nr7Td3GhRzIYsidOUz32OMuaPXPOE97dIARRhQ==" saltValue="uTk11/7NDwmOtM2a7Kxy6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ryfyu6NawfIkZ+D0nLRI0c4kjXFuAeByFa+5JRLd0/VmwVFtSHy3uBAaXpWQDLk/SJVT+DBsPvBVfI4OLes+zg==" saltValue="QO5nbBB5p5K8Vaq8VeuS9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2026-03-04T22:37:21Z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