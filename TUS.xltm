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2.xml" ContentType="application/vnd.openxmlformats-officedocument.spreadsheetml.queryTable+xml"/>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87984F0-87D9-44C3-83F9-CD9A762CF231}"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 Ranges" sheetId="67" state="hidden" r:id="rId4"/>
    <sheet name="User" sheetId="97" state="hidden" r:id="rId5"/>
    <sheet name="Survey" sheetId="90" state="hidden" r:id="rId6"/>
    <sheet name="AllDaqbookOffsets" sheetId="78" state="hidden" r:id="rId7"/>
    <sheet name="UncBudgets" sheetId="86" state="hidden" r:id="rId8"/>
    <sheet name="CMCs" sheetId="85" state="hidden" r:id="rId9"/>
    <sheet name="Header_Info" sheetId="77" state="hidden" r:id="rId10"/>
    <sheet name="UUTRangeTol" sheetId="95" state="hidden" r:id="rId11"/>
    <sheet name="SyncDataSync" sheetId="99" state="hidden" r:id="rId12"/>
    <sheet name="SBPOffsets" sheetId="100"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9" hidden="1">Header_Info!$A$1:$AK$408</definedName>
    <definedName name="ExternalData_1" localSheetId="12" hidden="1">SBPOffsets!$A$1:$D$64</definedName>
    <definedName name="ExternalData_1" localSheetId="5" hidden="1">Survey!$A$1:$D$2</definedName>
    <definedName name="ExternalData_1" localSheetId="11" hidden="1">SyncDataSync!$A$1:$C$2</definedName>
    <definedName name="ExternalData_1" localSheetId="7" hidden="1">UncBudgets!$A$1:$I$13</definedName>
    <definedName name="ExternalData_1" localSheetId="10" hidden="1">UUTRangeTol!$A$1:$H$420</definedName>
    <definedName name="ExternalData_1" localSheetId="2" hidden="1">WireOffsets!$A$1:$C$126</definedName>
    <definedName name="ExternalData_1" localSheetId="0" hidden="1">WireSets!$A$4:$I$29</definedName>
    <definedName name="ExternalData_1" localSheetId="1" hidden="1">WorkItemDetails!$A$1:$B$2</definedName>
    <definedName name="ExternalData_2" localSheetId="6" hidden="1">AllDaqbookOffsets!$A$1:$E$1705</definedName>
    <definedName name="ExternalData_2" localSheetId="4"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Table'!$A$1:$O$1700</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WireSets!$J$2</definedName>
    <definedName name="sns_ok">WireSets!$J$2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WireSets!$K$2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D47" i="8"/>
  <c r="AC2" i="78" a="1"/>
  <c r="AC2" i="7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K8" i="95" s="1"/>
  <c r="J9" i="95"/>
  <c r="K9" i="95" s="1"/>
  <c r="J10" i="95"/>
  <c r="J11" i="95"/>
  <c r="J12" i="95"/>
  <c r="J13" i="95"/>
  <c r="J14" i="95"/>
  <c r="K14" i="95" s="1"/>
  <c r="J15" i="95"/>
  <c r="K15" i="95" s="1"/>
  <c r="J16" i="95"/>
  <c r="J17" i="95"/>
  <c r="J18" i="95"/>
  <c r="K18" i="95" s="1"/>
  <c r="J19" i="95"/>
  <c r="K19" i="95" s="1"/>
  <c r="J20" i="95"/>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J39" i="95"/>
  <c r="K39" i="95" s="1"/>
  <c r="J40" i="95"/>
  <c r="K40" i="95" s="1"/>
  <c r="J41" i="95"/>
  <c r="K41" i="95" s="1"/>
  <c r="J42" i="95"/>
  <c r="J43" i="95"/>
  <c r="J44" i="95"/>
  <c r="K44" i="95" s="1"/>
  <c r="J45" i="95"/>
  <c r="K45" i="95" s="1"/>
  <c r="J46" i="95"/>
  <c r="K46" i="95" s="1"/>
  <c r="J47" i="95"/>
  <c r="K47" i="95" s="1"/>
  <c r="J48" i="95"/>
  <c r="K48" i="95" s="1"/>
  <c r="J49" i="95"/>
  <c r="J50" i="95"/>
  <c r="K50" i="95" s="1"/>
  <c r="J51" i="95"/>
  <c r="K51" i="95" s="1"/>
  <c r="J52" i="95"/>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K71" i="95" s="1"/>
  <c r="J72" i="95"/>
  <c r="K72" i="95" s="1"/>
  <c r="J73" i="95"/>
  <c r="K73" i="95" s="1"/>
  <c r="J74" i="95"/>
  <c r="K74" i="95" s="1"/>
  <c r="J75" i="95"/>
  <c r="J76" i="95"/>
  <c r="J77" i="95"/>
  <c r="J78" i="95"/>
  <c r="K78" i="95" s="1"/>
  <c r="J79" i="95"/>
  <c r="K79" i="95" s="1"/>
  <c r="J80" i="95"/>
  <c r="J81" i="95"/>
  <c r="J82" i="95"/>
  <c r="J83" i="95"/>
  <c r="J84" i="95"/>
  <c r="J85" i="95"/>
  <c r="J86" i="95"/>
  <c r="J87" i="95"/>
  <c r="K87" i="95" s="1"/>
  <c r="J88" i="95"/>
  <c r="K88" i="95" s="1"/>
  <c r="J89" i="95"/>
  <c r="K89" i="95" s="1"/>
  <c r="J90" i="95"/>
  <c r="K90" i="95" s="1"/>
  <c r="J91" i="95"/>
  <c r="K91" i="95" s="1"/>
  <c r="J92" i="95"/>
  <c r="K92" i="95" s="1"/>
  <c r="J93" i="95"/>
  <c r="K93" i="95" s="1"/>
  <c r="J94" i="95"/>
  <c r="K94" i="95" s="1"/>
  <c r="J95" i="95"/>
  <c r="J96" i="95"/>
  <c r="J97" i="95"/>
  <c r="J98" i="95"/>
  <c r="J99" i="95"/>
  <c r="K99" i="95" s="1"/>
  <c r="J100" i="95"/>
  <c r="J101" i="95"/>
  <c r="K101" i="95" s="1"/>
  <c r="J102" i="95"/>
  <c r="J103" i="95"/>
  <c r="K103" i="95" s="1"/>
  <c r="J104" i="95"/>
  <c r="K104" i="95" s="1"/>
  <c r="J105" i="95"/>
  <c r="K105" i="95" s="1"/>
  <c r="J106" i="95"/>
  <c r="K106" i="95" s="1"/>
  <c r="J107" i="95"/>
  <c r="J108" i="95"/>
  <c r="J109" i="95"/>
  <c r="J110" i="95"/>
  <c r="K110" i="95" s="1"/>
  <c r="J111" i="95"/>
  <c r="K111" i="95" s="1"/>
  <c r="J112" i="95"/>
  <c r="J113" i="95"/>
  <c r="K113" i="95" s="1"/>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K135" i="95" s="1"/>
  <c r="J136" i="95"/>
  <c r="K136" i="95" s="1"/>
  <c r="J137" i="95"/>
  <c r="K137" i="95" s="1"/>
  <c r="J138" i="95"/>
  <c r="J139" i="95"/>
  <c r="J140" i="95"/>
  <c r="J141" i="95"/>
  <c r="J142" i="95"/>
  <c r="K142" i="95" s="1"/>
  <c r="J143" i="95"/>
  <c r="K143" i="95" s="1"/>
  <c r="J144" i="95"/>
  <c r="J145" i="95"/>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K167" i="95" s="1"/>
  <c r="J168" i="95"/>
  <c r="K168" i="95" s="1"/>
  <c r="J169" i="95"/>
  <c r="K169" i="95" s="1"/>
  <c r="J170" i="95"/>
  <c r="J171" i="95"/>
  <c r="J172" i="95"/>
  <c r="K172" i="95" s="1"/>
  <c r="J173" i="95"/>
  <c r="K173" i="95" s="1"/>
  <c r="J174" i="95"/>
  <c r="K174" i="95" s="1"/>
  <c r="J175" i="95"/>
  <c r="K175" i="95" s="1"/>
  <c r="J176" i="95"/>
  <c r="J177" i="95"/>
  <c r="J178" i="95"/>
  <c r="J179" i="95"/>
  <c r="J180" i="95"/>
  <c r="J181" i="95"/>
  <c r="J182" i="95"/>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K197" i="95" s="1"/>
  <c r="J198" i="95"/>
  <c r="K198" i="95" s="1"/>
  <c r="J199" i="95"/>
  <c r="K199" i="95" s="1"/>
  <c r="J200" i="95"/>
  <c r="K200" i="95" s="1"/>
  <c r="J201" i="95"/>
  <c r="K201" i="95" s="1"/>
  <c r="J202" i="95"/>
  <c r="K202" i="95" s="1"/>
  <c r="J203" i="95"/>
  <c r="J204" i="95"/>
  <c r="K204" i="95" s="1"/>
  <c r="J205" i="95"/>
  <c r="K205" i="95" s="1"/>
  <c r="J206" i="95"/>
  <c r="K206" i="95" s="1"/>
  <c r="J207" i="95"/>
  <c r="K207" i="95" s="1"/>
  <c r="J208" i="95"/>
  <c r="J209" i="95"/>
  <c r="J210" i="95"/>
  <c r="J211" i="95"/>
  <c r="K211" i="95" s="1"/>
  <c r="J212" i="95"/>
  <c r="J213" i="95"/>
  <c r="K213" i="95" s="1"/>
  <c r="J214" i="95"/>
  <c r="K214" i="95" s="1"/>
  <c r="J215" i="95"/>
  <c r="K215" i="95" s="1"/>
  <c r="J216" i="95"/>
  <c r="K216" i="95" s="1"/>
  <c r="J217" i="95"/>
  <c r="K217" i="95" s="1"/>
  <c r="J218" i="95"/>
  <c r="K218" i="95" s="1"/>
  <c r="J219" i="95"/>
  <c r="J220" i="95"/>
  <c r="K220" i="95" s="1"/>
  <c r="J221" i="95"/>
  <c r="J222" i="95"/>
  <c r="J223" i="95"/>
  <c r="J224" i="95"/>
  <c r="J225" i="95"/>
  <c r="J226" i="95"/>
  <c r="J227" i="95"/>
  <c r="J228" i="95"/>
  <c r="J229" i="95"/>
  <c r="J230" i="95"/>
  <c r="J231" i="95"/>
  <c r="K231" i="95" s="1"/>
  <c r="J232" i="95"/>
  <c r="K232" i="95" s="1"/>
  <c r="J233" i="95"/>
  <c r="K233" i="95" s="1"/>
  <c r="J234" i="95"/>
  <c r="K234" i="95" s="1"/>
  <c r="J235" i="95"/>
  <c r="J236" i="95"/>
  <c r="J237" i="95"/>
  <c r="J238" i="95"/>
  <c r="K238" i="95" s="1"/>
  <c r="J239" i="95"/>
  <c r="K239" i="95" s="1"/>
  <c r="J240" i="95"/>
  <c r="J241" i="95"/>
  <c r="J242" i="95"/>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K263" i="95" s="1"/>
  <c r="J264" i="95"/>
  <c r="K264" i="95" s="1"/>
  <c r="J265" i="95"/>
  <c r="K265" i="95" s="1"/>
  <c r="J266" i="95"/>
  <c r="K266" i="95" s="1"/>
  <c r="J267" i="95"/>
  <c r="J268" i="95"/>
  <c r="J269" i="95"/>
  <c r="J270" i="95"/>
  <c r="K270" i="95" s="1"/>
  <c r="J271" i="95"/>
  <c r="K271" i="95" s="1"/>
  <c r="J272" i="95"/>
  <c r="J273" i="95"/>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J295" i="95"/>
  <c r="K295" i="95" s="1"/>
  <c r="J296" i="95"/>
  <c r="K296" i="95" s="1"/>
  <c r="J297" i="95"/>
  <c r="K297" i="95" s="1"/>
  <c r="J298" i="95"/>
  <c r="J299" i="95"/>
  <c r="J300" i="95"/>
  <c r="J301" i="95"/>
  <c r="J302" i="95"/>
  <c r="K302" i="95" s="1"/>
  <c r="J303" i="95"/>
  <c r="K303" i="95" s="1"/>
  <c r="J304" i="95"/>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K326" i="95" s="1"/>
  <c r="J327" i="95"/>
  <c r="K327" i="95" s="1"/>
  <c r="J328" i="95"/>
  <c r="K328" i="95" s="1"/>
  <c r="J329" i="95"/>
  <c r="K329" i="95" s="1"/>
  <c r="J330" i="95"/>
  <c r="K330" i="95" s="1"/>
  <c r="J331" i="95"/>
  <c r="J332" i="95"/>
  <c r="J333" i="95"/>
  <c r="J334" i="95"/>
  <c r="K334" i="95" s="1"/>
  <c r="J335" i="95"/>
  <c r="K335" i="95" s="1"/>
  <c r="J336" i="95"/>
  <c r="J337" i="95"/>
  <c r="J338" i="95"/>
  <c r="J339" i="95"/>
  <c r="J340" i="95"/>
  <c r="J341" i="95"/>
  <c r="J342" i="95"/>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J371" i="95"/>
  <c r="K371" i="95" s="1"/>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K391" i="95" s="1"/>
  <c r="J392" i="95"/>
  <c r="K392" i="95" s="1"/>
  <c r="J393" i="95"/>
  <c r="K393" i="95" s="1"/>
  <c r="J394" i="95"/>
  <c r="K394" i="95" s="1"/>
  <c r="J395" i="95"/>
  <c r="J396" i="95"/>
  <c r="J397" i="95"/>
  <c r="J398" i="95"/>
  <c r="K398" i="95" s="1"/>
  <c r="J399" i="95"/>
  <c r="K399" i="95" s="1"/>
  <c r="J400" i="95"/>
  <c r="J401" i="95"/>
  <c r="J402" i="95"/>
  <c r="J403" i="95"/>
  <c r="J404" i="95"/>
  <c r="J405" i="95"/>
  <c r="J406" i="95"/>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J419" i="95"/>
  <c r="K419" i="95" s="1"/>
  <c r="J420" i="95"/>
  <c r="K2" i="95"/>
  <c r="K3" i="95"/>
  <c r="K4" i="95"/>
  <c r="K5" i="95"/>
  <c r="K6" i="95"/>
  <c r="K10" i="95"/>
  <c r="K11" i="95"/>
  <c r="K12" i="95"/>
  <c r="K13" i="95"/>
  <c r="K16" i="95"/>
  <c r="K17" i="95"/>
  <c r="K20" i="95"/>
  <c r="K31" i="95"/>
  <c r="K32" i="95"/>
  <c r="K33" i="95"/>
  <c r="K34" i="95"/>
  <c r="K35" i="95"/>
  <c r="K36" i="95"/>
  <c r="K37" i="95"/>
  <c r="K38" i="95"/>
  <c r="K42" i="95"/>
  <c r="K43" i="95"/>
  <c r="K49" i="95"/>
  <c r="K52" i="95"/>
  <c r="K63" i="95"/>
  <c r="K64" i="95"/>
  <c r="K65" i="95"/>
  <c r="K66" i="95"/>
  <c r="K67" i="95"/>
  <c r="K68" i="95"/>
  <c r="K69" i="95"/>
  <c r="K70" i="95"/>
  <c r="K75" i="95"/>
  <c r="K76" i="95"/>
  <c r="K77" i="95"/>
  <c r="K80" i="95"/>
  <c r="K81" i="95"/>
  <c r="K82" i="95"/>
  <c r="K83" i="95"/>
  <c r="K84" i="95"/>
  <c r="K85" i="95"/>
  <c r="K86" i="95"/>
  <c r="K95" i="95"/>
  <c r="K96" i="95"/>
  <c r="K97" i="95"/>
  <c r="K98" i="95"/>
  <c r="K100" i="95"/>
  <c r="K102" i="95"/>
  <c r="K107" i="95"/>
  <c r="K108" i="95"/>
  <c r="K109" i="95"/>
  <c r="K112" i="95"/>
  <c r="K114" i="95"/>
  <c r="K115" i="95"/>
  <c r="K116" i="95"/>
  <c r="K117" i="95"/>
  <c r="K127" i="95"/>
  <c r="K128" i="95"/>
  <c r="K129" i="95"/>
  <c r="K130" i="95"/>
  <c r="K131" i="95"/>
  <c r="K132" i="95"/>
  <c r="K133" i="95"/>
  <c r="K134" i="95"/>
  <c r="K138" i="95"/>
  <c r="K139" i="95"/>
  <c r="K140" i="95"/>
  <c r="K141" i="95"/>
  <c r="K144" i="95"/>
  <c r="K145" i="95"/>
  <c r="K159" i="95"/>
  <c r="K160" i="95"/>
  <c r="K161" i="95"/>
  <c r="K162" i="95"/>
  <c r="K163" i="95"/>
  <c r="K164" i="95"/>
  <c r="K165" i="95"/>
  <c r="K166" i="95"/>
  <c r="K170" i="95"/>
  <c r="K171" i="95"/>
  <c r="K176" i="95"/>
  <c r="K177" i="95"/>
  <c r="K178" i="95"/>
  <c r="K179" i="95"/>
  <c r="K180" i="95"/>
  <c r="K181" i="95"/>
  <c r="K182" i="95"/>
  <c r="K191" i="95"/>
  <c r="K192" i="95"/>
  <c r="K193" i="95"/>
  <c r="K194" i="95"/>
  <c r="K195" i="95"/>
  <c r="K196" i="95"/>
  <c r="K203" i="95"/>
  <c r="K208" i="95"/>
  <c r="K212" i="95"/>
  <c r="K223" i="95"/>
  <c r="K224" i="95"/>
  <c r="K225" i="95"/>
  <c r="K226" i="95"/>
  <c r="K227" i="95"/>
  <c r="K228" i="95"/>
  <c r="K229" i="95"/>
  <c r="K230" i="95"/>
  <c r="K235" i="95"/>
  <c r="K236" i="95"/>
  <c r="K237" i="95"/>
  <c r="K240" i="95"/>
  <c r="K241" i="95"/>
  <c r="K242" i="95"/>
  <c r="K243" i="95"/>
  <c r="K244" i="95"/>
  <c r="K245" i="95"/>
  <c r="K246" i="95"/>
  <c r="K257" i="95"/>
  <c r="K258" i="95"/>
  <c r="K259" i="95"/>
  <c r="K260" i="95"/>
  <c r="K261" i="95"/>
  <c r="K262" i="95"/>
  <c r="K267" i="95"/>
  <c r="K268" i="95"/>
  <c r="K269" i="95"/>
  <c r="K272" i="95"/>
  <c r="K273" i="95"/>
  <c r="K274" i="95"/>
  <c r="K275" i="95"/>
  <c r="K276" i="95"/>
  <c r="K287" i="95"/>
  <c r="K288" i="95"/>
  <c r="K289" i="95"/>
  <c r="K290" i="95"/>
  <c r="K291" i="95"/>
  <c r="K292" i="95"/>
  <c r="K293" i="95"/>
  <c r="K294" i="95"/>
  <c r="K298" i="95"/>
  <c r="K299" i="95"/>
  <c r="K300" i="95"/>
  <c r="K301" i="95"/>
  <c r="K304" i="95"/>
  <c r="K322" i="95"/>
  <c r="K323" i="95"/>
  <c r="K324" i="95"/>
  <c r="K325" i="95"/>
  <c r="K331" i="95"/>
  <c r="K332" i="95"/>
  <c r="K333" i="95"/>
  <c r="K336" i="95"/>
  <c r="K337" i="95"/>
  <c r="K338" i="95"/>
  <c r="K339" i="95"/>
  <c r="K340" i="95"/>
  <c r="K341" i="95"/>
  <c r="K342" i="95"/>
  <c r="K351" i="95"/>
  <c r="K352" i="95"/>
  <c r="K353" i="95"/>
  <c r="K354" i="95"/>
  <c r="K355" i="95"/>
  <c r="K356" i="95"/>
  <c r="K357" i="95"/>
  <c r="K369" i="95"/>
  <c r="K370" i="95"/>
  <c r="K372" i="95"/>
  <c r="K383" i="95"/>
  <c r="K384" i="95"/>
  <c r="K385" i="95"/>
  <c r="K386" i="95"/>
  <c r="K387" i="95"/>
  <c r="K388" i="95"/>
  <c r="K389" i="95"/>
  <c r="K390" i="95"/>
  <c r="K395" i="95"/>
  <c r="K396" i="95"/>
  <c r="K397" i="95"/>
  <c r="K400" i="95"/>
  <c r="K401" i="95"/>
  <c r="K402" i="95"/>
  <c r="K403" i="95"/>
  <c r="K404" i="95"/>
  <c r="K405" i="95"/>
  <c r="K406" i="95"/>
  <c r="K416" i="95"/>
  <c r="K417" i="95"/>
  <c r="K418" i="95"/>
  <c r="K420" i="95"/>
  <c r="L2" i="95"/>
  <c r="M2" i="95" s="1"/>
  <c r="L3" i="95"/>
  <c r="M3" i="95" s="1"/>
  <c r="L4" i="95"/>
  <c r="L5" i="95"/>
  <c r="L6" i="95"/>
  <c r="M6" i="95" s="1"/>
  <c r="L7" i="95"/>
  <c r="L8" i="95"/>
  <c r="M8" i="95" s="1"/>
  <c r="L9" i="95"/>
  <c r="M9" i="95" s="1"/>
  <c r="L10" i="95"/>
  <c r="M10" i="95" s="1"/>
  <c r="L11" i="95"/>
  <c r="M11" i="95" s="1"/>
  <c r="L12" i="95"/>
  <c r="L13" i="95"/>
  <c r="M13" i="95" s="1"/>
  <c r="L14" i="95"/>
  <c r="M14" i="95" s="1"/>
  <c r="L15" i="95"/>
  <c r="M15" i="95" s="1"/>
  <c r="L16" i="95"/>
  <c r="L17" i="95"/>
  <c r="M17" i="95" s="1"/>
  <c r="L18" i="95"/>
  <c r="M18" i="95" s="1"/>
  <c r="L19" i="95"/>
  <c r="M19" i="95" s="1"/>
  <c r="L20" i="95"/>
  <c r="M20" i="95" s="1"/>
  <c r="L21" i="95"/>
  <c r="M21" i="95" s="1"/>
  <c r="L22" i="95"/>
  <c r="M22" i="95" s="1"/>
  <c r="L23" i="95"/>
  <c r="M23" i="95" s="1"/>
  <c r="L24" i="95"/>
  <c r="M24" i="95" s="1"/>
  <c r="L25" i="95"/>
  <c r="M25" i="95" s="1"/>
  <c r="L26" i="95"/>
  <c r="M26" i="95" s="1"/>
  <c r="L27" i="95"/>
  <c r="L28" i="95"/>
  <c r="L29" i="95"/>
  <c r="L30" i="95"/>
  <c r="L31" i="95"/>
  <c r="L32" i="95"/>
  <c r="L33" i="95"/>
  <c r="M33" i="95" s="1"/>
  <c r="L34" i="95"/>
  <c r="M34" i="95" s="1"/>
  <c r="L35" i="95"/>
  <c r="M35" i="95" s="1"/>
  <c r="L36" i="95"/>
  <c r="L37" i="95"/>
  <c r="L38" i="95"/>
  <c r="L39" i="95"/>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L60" i="95"/>
  <c r="L61" i="95"/>
  <c r="L62" i="95"/>
  <c r="L63" i="95"/>
  <c r="L64" i="95"/>
  <c r="L65" i="95"/>
  <c r="M65" i="95" s="1"/>
  <c r="L66" i="95"/>
  <c r="M66" i="95" s="1"/>
  <c r="L67" i="95"/>
  <c r="M67" i="95" s="1"/>
  <c r="L68" i="95"/>
  <c r="L69" i="95"/>
  <c r="M69" i="95" s="1"/>
  <c r="L70" i="95"/>
  <c r="M70" i="95" s="1"/>
  <c r="L71" i="95"/>
  <c r="L72" i="95"/>
  <c r="M72" i="95" s="1"/>
  <c r="L73" i="95"/>
  <c r="M73" i="95" s="1"/>
  <c r="L74" i="95"/>
  <c r="M74" i="95" s="1"/>
  <c r="L75" i="95"/>
  <c r="M75" i="95" s="1"/>
  <c r="L76" i="95"/>
  <c r="L77" i="95"/>
  <c r="L78" i="95"/>
  <c r="L79" i="95"/>
  <c r="L80" i="95"/>
  <c r="L81" i="95"/>
  <c r="M81" i="95" s="1"/>
  <c r="L82" i="95"/>
  <c r="M82" i="95" s="1"/>
  <c r="L83" i="95"/>
  <c r="M83" i="95" s="1"/>
  <c r="L84" i="95"/>
  <c r="M84" i="95" s="1"/>
  <c r="L85" i="95"/>
  <c r="L86" i="95"/>
  <c r="M86" i="95" s="1"/>
  <c r="L87" i="95"/>
  <c r="M87" i="95" s="1"/>
  <c r="L88" i="95"/>
  <c r="M88" i="95" s="1"/>
  <c r="L89" i="95"/>
  <c r="M89" i="95" s="1"/>
  <c r="L90" i="95"/>
  <c r="L91" i="95"/>
  <c r="L92" i="95"/>
  <c r="L93" i="95"/>
  <c r="L94" i="95"/>
  <c r="L95" i="95"/>
  <c r="M95" i="95" s="1"/>
  <c r="L96" i="95"/>
  <c r="L97" i="95"/>
  <c r="M97" i="95" s="1"/>
  <c r="L98" i="95"/>
  <c r="M98" i="95" s="1"/>
  <c r="L99" i="95"/>
  <c r="M99" i="95" s="1"/>
  <c r="L100" i="95"/>
  <c r="M100" i="95" s="1"/>
  <c r="L101" i="95"/>
  <c r="M101" i="95" s="1"/>
  <c r="L102" i="95"/>
  <c r="M102" i="95" s="1"/>
  <c r="L103" i="95"/>
  <c r="L104" i="95"/>
  <c r="M104" i="95" s="1"/>
  <c r="L105" i="95"/>
  <c r="M105" i="95" s="1"/>
  <c r="L106" i="95"/>
  <c r="M106" i="95" s="1"/>
  <c r="L107" i="95"/>
  <c r="M107" i="95" s="1"/>
  <c r="L108" i="95"/>
  <c r="L109" i="95"/>
  <c r="L110" i="95"/>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L124" i="95"/>
  <c r="L125" i="95"/>
  <c r="L126" i="95"/>
  <c r="L127" i="95"/>
  <c r="L128" i="95"/>
  <c r="L129" i="95"/>
  <c r="M129" i="95" s="1"/>
  <c r="L130" i="95"/>
  <c r="M130" i="95" s="1"/>
  <c r="L131" i="95"/>
  <c r="M131" i="95" s="1"/>
  <c r="L132" i="95"/>
  <c r="L133" i="95"/>
  <c r="L134" i="95"/>
  <c r="L135" i="95"/>
  <c r="L136" i="95"/>
  <c r="M136" i="95" s="1"/>
  <c r="L137" i="95"/>
  <c r="M137" i="95" s="1"/>
  <c r="L138" i="95"/>
  <c r="L139" i="95"/>
  <c r="L140" i="95"/>
  <c r="L141" i="95"/>
  <c r="L142" i="95"/>
  <c r="L143" i="95"/>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L157" i="95"/>
  <c r="L158" i="95"/>
  <c r="L159" i="95"/>
  <c r="L160" i="95"/>
  <c r="L161" i="95"/>
  <c r="M161" i="95" s="1"/>
  <c r="L162" i="95"/>
  <c r="M162" i="95" s="1"/>
  <c r="L163" i="95"/>
  <c r="M163" i="95" s="1"/>
  <c r="L164" i="95"/>
  <c r="L165" i="95"/>
  <c r="L166" i="95"/>
  <c r="L167" i="95"/>
  <c r="L168" i="95"/>
  <c r="M168" i="95" s="1"/>
  <c r="L169" i="95"/>
  <c r="M169" i="95" s="1"/>
  <c r="L170" i="95"/>
  <c r="M170" i="95" s="1"/>
  <c r="L171" i="95"/>
  <c r="M171" i="95" s="1"/>
  <c r="L172" i="95"/>
  <c r="L173" i="95"/>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L188" i="95"/>
  <c r="L189" i="95"/>
  <c r="L190" i="95"/>
  <c r="L191" i="95"/>
  <c r="L192" i="95"/>
  <c r="L193" i="95"/>
  <c r="M193" i="95" s="1"/>
  <c r="L194" i="95"/>
  <c r="M194" i="95" s="1"/>
  <c r="L195" i="95"/>
  <c r="M195" i="95" s="1"/>
  <c r="L196" i="95"/>
  <c r="L197" i="95"/>
  <c r="L198" i="95"/>
  <c r="L199" i="95"/>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L220" i="95"/>
  <c r="L221" i="95"/>
  <c r="L222" i="95"/>
  <c r="L223" i="95"/>
  <c r="L224" i="95"/>
  <c r="L225" i="95"/>
  <c r="M225" i="95" s="1"/>
  <c r="L226" i="95"/>
  <c r="M226" i="95" s="1"/>
  <c r="L227" i="95"/>
  <c r="M227" i="95" s="1"/>
  <c r="L228" i="95"/>
  <c r="L229" i="95"/>
  <c r="L230" i="95"/>
  <c r="M230" i="95" s="1"/>
  <c r="L231" i="95"/>
  <c r="L232" i="95"/>
  <c r="M232" i="95" s="1"/>
  <c r="L233" i="95"/>
  <c r="M233" i="95" s="1"/>
  <c r="L234" i="95"/>
  <c r="M234" i="95" s="1"/>
  <c r="L235" i="95"/>
  <c r="M235" i="95" s="1"/>
  <c r="L236" i="95"/>
  <c r="L237" i="95"/>
  <c r="L238" i="95"/>
  <c r="L239" i="95"/>
  <c r="L240" i="95"/>
  <c r="L241" i="95"/>
  <c r="M241" i="95" s="1"/>
  <c r="L242" i="95"/>
  <c r="M242" i="95" s="1"/>
  <c r="L243" i="95"/>
  <c r="M243" i="95" s="1"/>
  <c r="L244" i="95"/>
  <c r="M244" i="95" s="1"/>
  <c r="L245" i="95"/>
  <c r="L246" i="95"/>
  <c r="M246" i="95" s="1"/>
  <c r="L247" i="95"/>
  <c r="M247" i="95" s="1"/>
  <c r="L248" i="95"/>
  <c r="M248" i="95" s="1"/>
  <c r="L249" i="95"/>
  <c r="M249" i="95" s="1"/>
  <c r="L250" i="95"/>
  <c r="L251" i="95"/>
  <c r="L252" i="95"/>
  <c r="L253" i="95"/>
  <c r="L254" i="95"/>
  <c r="L255" i="95"/>
  <c r="L256" i="95"/>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L269" i="95"/>
  <c r="L270" i="95"/>
  <c r="L271" i="95"/>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L284" i="95"/>
  <c r="L285" i="95"/>
  <c r="L286" i="95"/>
  <c r="L287" i="95"/>
  <c r="L288" i="95"/>
  <c r="L289" i="95"/>
  <c r="M289" i="95" s="1"/>
  <c r="L290" i="95"/>
  <c r="M290" i="95" s="1"/>
  <c r="L291" i="95"/>
  <c r="M291" i="95" s="1"/>
  <c r="L292" i="95"/>
  <c r="L293" i="95"/>
  <c r="L294" i="95"/>
  <c r="L295" i="95"/>
  <c r="L296" i="95"/>
  <c r="M296" i="95" s="1"/>
  <c r="L297" i="95"/>
  <c r="M297" i="95" s="1"/>
  <c r="L298" i="95"/>
  <c r="L299" i="95"/>
  <c r="L300" i="95"/>
  <c r="L301" i="95"/>
  <c r="L302" i="95"/>
  <c r="L303" i="95"/>
  <c r="L304" i="95"/>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L317" i="95"/>
  <c r="L318" i="95"/>
  <c r="L319" i="95"/>
  <c r="L320" i="95"/>
  <c r="L321" i="95"/>
  <c r="M321" i="95" s="1"/>
  <c r="L322" i="95"/>
  <c r="M322" i="95" s="1"/>
  <c r="L323" i="95"/>
  <c r="M323" i="95" s="1"/>
  <c r="L324" i="95"/>
  <c r="L325" i="95"/>
  <c r="M325" i="95" s="1"/>
  <c r="L326" i="95"/>
  <c r="M326" i="95" s="1"/>
  <c r="L327" i="95"/>
  <c r="L328" i="95"/>
  <c r="M328" i="95" s="1"/>
  <c r="L329" i="95"/>
  <c r="M329" i="95" s="1"/>
  <c r="L330" i="95"/>
  <c r="M330" i="95" s="1"/>
  <c r="L331" i="95"/>
  <c r="M331" i="95" s="1"/>
  <c r="L332" i="95"/>
  <c r="L333" i="95"/>
  <c r="L334" i="95"/>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L348" i="95"/>
  <c r="L349" i="95"/>
  <c r="L350" i="95"/>
  <c r="L351" i="95"/>
  <c r="L352" i="95"/>
  <c r="L353" i="95"/>
  <c r="M353" i="95" s="1"/>
  <c r="L354" i="95"/>
  <c r="M354" i="95" s="1"/>
  <c r="L355" i="95"/>
  <c r="M355" i="95" s="1"/>
  <c r="L356" i="95"/>
  <c r="L357" i="95"/>
  <c r="L358" i="95"/>
  <c r="L359" i="95"/>
  <c r="L360" i="95"/>
  <c r="M360" i="95" s="1"/>
  <c r="L361" i="95"/>
  <c r="M361" i="95" s="1"/>
  <c r="L362" i="95"/>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L380" i="95"/>
  <c r="L381" i="95"/>
  <c r="L382" i="95"/>
  <c r="L383" i="95"/>
  <c r="L384" i="95"/>
  <c r="L385" i="95"/>
  <c r="M385" i="95" s="1"/>
  <c r="L386" i="95"/>
  <c r="M386" i="95" s="1"/>
  <c r="L387" i="95"/>
  <c r="M387" i="95" s="1"/>
  <c r="L388" i="95"/>
  <c r="L389" i="95"/>
  <c r="L390" i="95"/>
  <c r="L391" i="95"/>
  <c r="L392" i="95"/>
  <c r="M392" i="95" s="1"/>
  <c r="L393" i="95"/>
  <c r="M393" i="95" s="1"/>
  <c r="L394" i="95"/>
  <c r="M394" i="95" s="1"/>
  <c r="L395" i="95"/>
  <c r="M395" i="95" s="1"/>
  <c r="L396" i="95"/>
  <c r="L397" i="95"/>
  <c r="L398" i="95"/>
  <c r="L399" i="95"/>
  <c r="L400" i="95"/>
  <c r="L401" i="95"/>
  <c r="M401" i="95" s="1"/>
  <c r="L402" i="95"/>
  <c r="M402" i="95" s="1"/>
  <c r="L403" i="95"/>
  <c r="M403" i="95" s="1"/>
  <c r="L404" i="95"/>
  <c r="M404" i="95" s="1"/>
  <c r="L405" i="95"/>
  <c r="M405" i="95" s="1"/>
  <c r="L406" i="95"/>
  <c r="M406" i="95" s="1"/>
  <c r="L407" i="95"/>
  <c r="M407" i="95" s="1"/>
  <c r="L408" i="95"/>
  <c r="M408" i="95" s="1"/>
  <c r="L409" i="95"/>
  <c r="M409" i="95" s="1"/>
  <c r="L410" i="95"/>
  <c r="L411" i="95"/>
  <c r="L412" i="95"/>
  <c r="L413" i="95"/>
  <c r="L414" i="95"/>
  <c r="L415" i="95"/>
  <c r="L416" i="95"/>
  <c r="L417" i="95"/>
  <c r="M417" i="95" s="1"/>
  <c r="L418" i="95"/>
  <c r="M418" i="95" s="1"/>
  <c r="L419" i="95"/>
  <c r="M419" i="95" s="1"/>
  <c r="L420" i="95"/>
  <c r="M420" i="95" s="1"/>
  <c r="M4" i="95"/>
  <c r="M5" i="95"/>
  <c r="M7" i="95"/>
  <c r="M12" i="95"/>
  <c r="M16" i="95"/>
  <c r="M27" i="95"/>
  <c r="M28" i="95"/>
  <c r="M29" i="95"/>
  <c r="M30" i="95"/>
  <c r="M31" i="95"/>
  <c r="M32" i="95"/>
  <c r="M36" i="95"/>
  <c r="M37" i="95"/>
  <c r="M38" i="95"/>
  <c r="M39" i="95"/>
  <c r="M59" i="95"/>
  <c r="M60" i="95"/>
  <c r="M61" i="95"/>
  <c r="M62" i="95"/>
  <c r="M63" i="95"/>
  <c r="M64" i="95"/>
  <c r="M68" i="95"/>
  <c r="M71" i="95"/>
  <c r="M76" i="95"/>
  <c r="M77" i="95"/>
  <c r="M78" i="95"/>
  <c r="M79" i="95"/>
  <c r="M80" i="95"/>
  <c r="M85" i="95"/>
  <c r="M90" i="95"/>
  <c r="M91" i="95"/>
  <c r="M92" i="95"/>
  <c r="M93" i="95"/>
  <c r="M94" i="95"/>
  <c r="M96" i="95"/>
  <c r="M103" i="95"/>
  <c r="M108" i="95"/>
  <c r="M109" i="95"/>
  <c r="M110" i="95"/>
  <c r="M123" i="95"/>
  <c r="M124" i="95"/>
  <c r="M125" i="95"/>
  <c r="M126" i="95"/>
  <c r="M127" i="95"/>
  <c r="M128" i="95"/>
  <c r="M132" i="95"/>
  <c r="M133" i="95"/>
  <c r="M134" i="95"/>
  <c r="M135" i="95"/>
  <c r="M138" i="95"/>
  <c r="M139" i="95"/>
  <c r="M140" i="95"/>
  <c r="M141" i="95"/>
  <c r="M142" i="95"/>
  <c r="M143" i="95"/>
  <c r="M156" i="95"/>
  <c r="M157" i="95"/>
  <c r="M158" i="95"/>
  <c r="M159" i="95"/>
  <c r="M160" i="95"/>
  <c r="M164" i="95"/>
  <c r="M165" i="95"/>
  <c r="M166" i="95"/>
  <c r="M167" i="95"/>
  <c r="M172" i="95"/>
  <c r="M173" i="95"/>
  <c r="M187" i="95"/>
  <c r="M188" i="95"/>
  <c r="M189" i="95"/>
  <c r="M190" i="95"/>
  <c r="M191" i="95"/>
  <c r="M192" i="95"/>
  <c r="M196" i="95"/>
  <c r="M197" i="95"/>
  <c r="M198" i="95"/>
  <c r="M199" i="95"/>
  <c r="M219" i="95"/>
  <c r="M220" i="95"/>
  <c r="M221" i="95"/>
  <c r="M222" i="95"/>
  <c r="M223" i="95"/>
  <c r="M224" i="95"/>
  <c r="M228" i="95"/>
  <c r="M229" i="95"/>
  <c r="M231" i="95"/>
  <c r="M236" i="95"/>
  <c r="M237" i="95"/>
  <c r="M238" i="95"/>
  <c r="M239" i="95"/>
  <c r="M240" i="95"/>
  <c r="M245" i="95"/>
  <c r="M250" i="95"/>
  <c r="M251" i="95"/>
  <c r="M252" i="95"/>
  <c r="M253" i="95"/>
  <c r="M254" i="95"/>
  <c r="M255" i="95"/>
  <c r="M256" i="95"/>
  <c r="M268" i="95"/>
  <c r="M269" i="95"/>
  <c r="M270" i="95"/>
  <c r="M271" i="95"/>
  <c r="M283" i="95"/>
  <c r="M284" i="95"/>
  <c r="M285" i="95"/>
  <c r="M286" i="95"/>
  <c r="M287" i="95"/>
  <c r="M288" i="95"/>
  <c r="M292" i="95"/>
  <c r="M293" i="95"/>
  <c r="M294" i="95"/>
  <c r="M295" i="95"/>
  <c r="M298" i="95"/>
  <c r="M299" i="95"/>
  <c r="M300" i="95"/>
  <c r="M301" i="95"/>
  <c r="M302" i="95"/>
  <c r="M303" i="95"/>
  <c r="M304" i="95"/>
  <c r="M316" i="95"/>
  <c r="M317" i="95"/>
  <c r="M318" i="95"/>
  <c r="M319" i="95"/>
  <c r="M320" i="95"/>
  <c r="M324" i="95"/>
  <c r="M327" i="95"/>
  <c r="M332" i="95"/>
  <c r="M333" i="95"/>
  <c r="M334" i="95"/>
  <c r="M347" i="95"/>
  <c r="M348" i="95"/>
  <c r="M349" i="95"/>
  <c r="M350" i="95"/>
  <c r="M351" i="95"/>
  <c r="M352" i="95"/>
  <c r="M356" i="95"/>
  <c r="M357" i="95"/>
  <c r="M358" i="95"/>
  <c r="M359" i="95"/>
  <c r="M362" i="95"/>
  <c r="M379" i="95"/>
  <c r="M380" i="95"/>
  <c r="M381" i="95"/>
  <c r="M382" i="95"/>
  <c r="M383" i="95"/>
  <c r="M384" i="95"/>
  <c r="M388" i="95"/>
  <c r="M389" i="95"/>
  <c r="M390" i="95"/>
  <c r="M391" i="95"/>
  <c r="M396" i="95"/>
  <c r="M397" i="95"/>
  <c r="M398" i="95"/>
  <c r="M399" i="95"/>
  <c r="M400" i="95"/>
  <c r="M410" i="95"/>
  <c r="M411" i="95"/>
  <c r="M412" i="95"/>
  <c r="M413" i="95"/>
  <c r="M414" i="95"/>
  <c r="M415" i="95"/>
  <c r="M416"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J5" i="70" a="1"/>
  <c r="J5" i="70" s="1"/>
  <c r="J6" i="70" a="1"/>
  <c r="J6" i="70" s="1"/>
  <c r="J7" i="70" a="1"/>
  <c r="J7" i="70" s="1"/>
  <c r="J8" i="70" a="1"/>
  <c r="J8" i="70" s="1"/>
  <c r="J9" i="70" a="1"/>
  <c r="J9" i="70" s="1"/>
  <c r="J10" i="70" a="1"/>
  <c r="J10" i="70" s="1"/>
  <c r="J11" i="70" a="1"/>
  <c r="J11" i="70" s="1"/>
  <c r="J12" i="70" a="1"/>
  <c r="J12" i="70" s="1"/>
  <c r="J13" i="70" a="1"/>
  <c r="J13" i="70" s="1"/>
  <c r="J14" i="70" a="1"/>
  <c r="J14" i="70" s="1"/>
  <c r="J15" i="70" a="1"/>
  <c r="J15" i="70" s="1"/>
  <c r="J16" i="70" a="1"/>
  <c r="J16" i="70" s="1"/>
  <c r="J17" i="70" a="1"/>
  <c r="J17" i="70" s="1"/>
  <c r="J18" i="70" a="1"/>
  <c r="J18" i="70" s="1"/>
  <c r="J19" i="70" a="1"/>
  <c r="J19" i="70" s="1"/>
  <c r="J20" i="70" a="1"/>
  <c r="J20" i="70" s="1"/>
  <c r="J21" i="70" a="1"/>
  <c r="J21" i="70" s="1"/>
  <c r="J22" i="70" a="1"/>
  <c r="J22" i="70" s="1"/>
  <c r="J23" i="70" a="1"/>
  <c r="J23" i="70" s="1"/>
  <c r="J24" i="70" a="1"/>
  <c r="J24" i="70" s="1"/>
  <c r="J25" i="70" a="1"/>
  <c r="J25" i="70" s="1"/>
  <c r="J26" i="70" a="1"/>
  <c r="J26" i="70" s="1"/>
  <c r="J27" i="70" a="1"/>
  <c r="J27" i="70" s="1"/>
  <c r="J28" i="70" a="1"/>
  <c r="J28" i="70" s="1"/>
  <c r="J29" i="70" a="1"/>
  <c r="J29" i="70" s="1"/>
  <c r="I47" i="8"/>
  <c r="H47" i="8"/>
  <c r="G47" i="8"/>
  <c r="F47" i="8"/>
  <c r="E47" i="8"/>
  <c r="K12" i="70" s="1" a="1"/>
  <c r="K12" i="70" s="1"/>
  <c r="G1" i="8" a="1"/>
  <c r="K318" i="95" l="1"/>
  <c r="K222" i="95"/>
  <c r="K221" i="95"/>
  <c r="K219" i="95"/>
  <c r="K18" i="70" a="1"/>
  <c r="K18" i="70" s="1"/>
  <c r="K23" i="70" a="1"/>
  <c r="K23" i="70" s="1"/>
  <c r="K19" i="70" a="1"/>
  <c r="K19" i="70" s="1"/>
  <c r="K24" i="70" a="1"/>
  <c r="K24" i="70" s="1"/>
  <c r="K17" i="70" a="1"/>
  <c r="K17" i="70" s="1"/>
  <c r="K8" i="70" a="1"/>
  <c r="K8" i="70" s="1"/>
  <c r="K10" i="70" a="1"/>
  <c r="K10" i="70" s="1"/>
  <c r="K9" i="70" a="1"/>
  <c r="K9" i="70" s="1"/>
  <c r="K22" i="70" a="1"/>
  <c r="K22" i="70" s="1"/>
  <c r="K15" i="70" a="1"/>
  <c r="K15" i="70" s="1"/>
  <c r="K13" i="70" a="1"/>
  <c r="K13" i="70" s="1"/>
  <c r="K27" i="70" a="1"/>
  <c r="K27" i="70" s="1"/>
  <c r="K26" i="70" a="1"/>
  <c r="K26" i="70" s="1"/>
  <c r="K6" i="70" a="1"/>
  <c r="K6" i="70" s="1"/>
  <c r="K5" i="70" a="1"/>
  <c r="K5" i="70" s="1"/>
  <c r="K20" i="70" a="1"/>
  <c r="K20" i="70" s="1"/>
  <c r="K16" i="70" a="1"/>
  <c r="K16" i="70" s="1"/>
  <c r="K29" i="70" a="1"/>
  <c r="K29" i="70" s="1"/>
  <c r="K11" i="70" a="1"/>
  <c r="K11" i="70" s="1"/>
  <c r="K25" i="70" a="1"/>
  <c r="K25" i="70" s="1"/>
  <c r="K7" i="70" a="1"/>
  <c r="K7" i="70" s="1"/>
  <c r="K21" i="70" a="1"/>
  <c r="K21" i="70" s="1"/>
  <c r="K14" i="70" a="1"/>
  <c r="K14" i="70" s="1"/>
  <c r="K28" i="70" a="1"/>
  <c r="K28" i="70" s="1"/>
  <c r="G1" i="8"/>
  <c r="J2" i="70" a="1"/>
  <c r="J2" i="70" s="1"/>
  <c r="K2" i="70" l="1" a="1"/>
  <c r="K2" i="70" s="1"/>
  <c r="L21" i="70" s="1"/>
  <c r="L19" i="70" l="1"/>
  <c r="L23" i="70"/>
  <c r="L24" i="70"/>
  <c r="L8" i="70"/>
  <c r="L10" i="70"/>
  <c r="L9" i="70"/>
  <c r="L15" i="70"/>
  <c r="L13" i="70"/>
  <c r="L26" i="70"/>
  <c r="L5" i="70"/>
  <c r="L20" i="70"/>
  <c r="L29" i="70"/>
  <c r="L11" i="70"/>
  <c r="L25" i="70"/>
  <c r="L14" i="70"/>
  <c r="L28" i="70"/>
  <c r="L7" i="70"/>
  <c r="L12" i="70"/>
  <c r="L18" i="70"/>
  <c r="L17" i="70"/>
  <c r="L22" i="70"/>
  <c r="L27" i="70"/>
  <c r="L6" i="70"/>
  <c r="L16" i="70"/>
  <c r="G2" i="100" a="1"/>
  <c r="O5" i="70" l="1" a="1"/>
  <c r="O5" i="70" s="1"/>
  <c r="P5" i="70" a="1"/>
  <c r="P5" i="70" s="1"/>
  <c r="G2" i="100"/>
  <c r="I2" i="100" s="1" a="1"/>
  <c r="I2" i="100" s="1"/>
  <c r="Z2" i="78" l="1" a="1"/>
  <c r="Z2" i="78" l="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E1" i="13"/>
  <c r="C2" i="14"/>
  <c r="E2" i="15"/>
  <c r="C2" i="15"/>
  <c r="E2" i="13"/>
  <c r="E2" i="14"/>
  <c r="C2" i="13"/>
  <c r="K4" i="90" a="1"/>
  <c r="K4" i="90" s="1"/>
  <c r="K6" i="90" s="1"/>
  <c r="G14" i="8"/>
  <c r="G13" i="8"/>
  <c r="G12" i="8"/>
  <c r="B33" i="26"/>
  <c r="U56" i="8" l="1"/>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L10" i="4" l="1" a="1"/>
  <c r="L10" i="4" s="1"/>
  <c r="I10" i="4" a="1"/>
  <c r="I10" i="4" s="1"/>
  <c r="C10" i="4" a="1"/>
  <c r="C10" i="4" s="1"/>
  <c r="A10" i="4"/>
  <c r="F10" i="4" s="1" a="1"/>
  <c r="F10" i="4" s="1"/>
  <c r="A22" i="4" a="1"/>
  <c r="E6" i="26"/>
  <c r="K10" i="4" l="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T4" i="4" s="1" a="1"/>
  <c r="T4" i="4" s="1"/>
  <c r="L22" i="4" a="1"/>
  <c r="L22" i="4" s="1"/>
  <c r="N22" i="4" s="1"/>
  <c r="U4" i="4" s="1" a="1"/>
  <c r="U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<sst xmlns="http://schemas.openxmlformats.org/spreadsheetml/2006/main" count="1276" uniqueCount="749">
  <si>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</si>
  <si>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</si>
  <si>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</si>
  <si>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</si>
  <si>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</si>
  <si>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</si>
  <si>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</si>
  <si>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</si>
  <si>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</si>
  <si>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</si>
  <si>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</si>
  <si>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</si>
  <si>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</si>
  <si>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</si>
  <si>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</si>
  <si>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</si>
  <si>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</si>
  <si>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</si>
  <si>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</si>
  <si>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</si>
  <si>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</si>
  <si>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</si>
  <si>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</si>
  <si>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</si>
  <si>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</si>
  <si>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</si>
  <si>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</si>
  <si>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</si>
  <si>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</si>
  <si>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</si>
  <si>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</si>
  <si>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</si>
  <si>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</si>
  <si>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</si>
  <si>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</si>
  <si>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</si>
  <si>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</si>
  <si>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</si>
  <si>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</si>
  <si>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</si>
  <si>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</si>
  <si>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</si>
  <si>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</si>
  <si>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</si>
  <si>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</si>
  <si>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</si>
  <si>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</si>
  <si>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</si>
  <si>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</si>
  <si>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</si>
  <si>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</si>
  <si>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</si>
  <si>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</si>
  <si>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</si>
  <si>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</si>
  <si>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</si>
  <si>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</si>
  <si>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</si>
  <si>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</si>
  <si>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</si>
  <si>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</si>
  <si>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</si>
  <si>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</si>
  <si>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</si>
  <si>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</si>
  <si>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</si>
  <si>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</si>
  <si>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</si>
  <si>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</si>
  <si>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</si>
  <si>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</si>
  <si>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</si>
  <si>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</si>
  <si>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</si>
  <si>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</si>
  <si>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</si>
  <si>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</si>
  <si>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</si>
  <si>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</si>
  <si>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</si>
  <si>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</si>
  <si>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</si>
  <si>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</si>
  <si>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</si>
  <si>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</si>
  <si>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</si>
  <si>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</si>
  <si>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</si>
  <si>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</si>
  <si>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</si>
  <si>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</si>
  <si>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</si>
  <si>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</si>
  <si>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</si>
  <si>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</si>
  <si>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</si>
  <si>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</si>
  <si>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</si>
  <si>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</si>
  <si>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</si>
  <si>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</si>
  <si>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</si>
  <si>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</si>
  <si>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</si>
  <si>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</si>
  <si>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</si>
  <si>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</si>
  <si>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</si>
  <si>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</si>
  <si>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</si>
  <si>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</si>
  <si>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</si>
  <si>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</si>
  <si>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</si>
  <si>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</si>
  <si>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</si>
  <si>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</si>
  <si>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</si>
  <si>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</si>
  <si>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</si>
  <si>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</si>
  <si>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</si>
  <si>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</si>
  <si>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</si>
  <si>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</si>
  <si>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</si>
  <si>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</si>
  <si>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</si>
  <si>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</si>
  <si>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</si>
  <si>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</si>
  <si>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</si>
  <si>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</si>
  <si>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</si>
  <si>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</si>
  <si>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</si>
  <si>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</si>
  <si>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</si>
  <si>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</si>
  <si>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</si>
  <si>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</si>
  <si>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</si>
  <si>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</si>
  <si>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</si>
  <si>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</si>
  <si>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</si>
  <si>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</si>
  <si>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</si>
  <si>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</si>
  <si>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</si>
  <si>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</si>
  <si>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</si>
  <si>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</si>
  <si>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</si>
  <si>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</si>
  <si>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</si>
  <si>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</si>
  <si>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</si>
  <si>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</si>
  <si>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</si>
  <si>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</si>
  <si>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</si>
  <si>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</si>
  <si>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</si>
  <si>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</si>
  <si>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</si>
  <si>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</si>
  <si>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</si>
  <si>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</si>
  <si>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</si>
  <si>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</si>
  <si>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</si>
  <si>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</si>
  <si>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</si>
  <si>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</si>
  <si>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</si>
  <si>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</si>
  <si>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</si>
  <si>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</si>
  <si>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</si>
  <si>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</si>
  <si>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</si>
  <si>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</si>
  <si>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</si>
  <si>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</si>
  <si>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</si>
  <si>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</si>
  <si>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</si>
  <si>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</si>
  <si>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</si>
  <si>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</si>
  <si>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</si>
  <si>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</si>
  <si>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</si>
  <si>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</si>
  <si>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</si>
  <si>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</si>
  <si>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</si>
  <si>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</si>
  <si>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</si>
  <si>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</si>
  <si>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</si>
  <si>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</si>
  <si>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</si>
  <si>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</si>
  <si>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</si>
  <si>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</si>
  <si>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</si>
  <si>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</si>
  <si>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</si>
  <si>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</si>
  <si>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</si>
  <si>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</si>
  <si>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</si>
  <si>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</si>
  <si>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</si>
  <si>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</si>
  <si>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</si>
  <si>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</si>
  <si>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</si>
  <si>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</si>
  <si>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</si>
  <si>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</si>
  <si>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</si>
  <si>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</si>
  <si>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</si>
  <si>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</si>
  <si>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</si>
  <si>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</si>
  <si>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</si>
  <si>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</si>
  <si>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</si>
  <si>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</si>
  <si>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</si>
  <si>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</si>
  <si>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</si>
  <si>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</si>
  <si>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</si>
  <si>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</si>
  <si>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</si>
  <si>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</si>
  <si>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</si>
  <si>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</si>
  <si>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</si>
  <si>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</si>
  <si>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</si>
  <si>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</si>
  <si>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</si>
  <si>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</si>
  <si>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</si>
  <si>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</si>
  <si>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</si>
  <si>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</si>
  <si>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</si>
  <si>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</si>
  <si>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</si>
  <si>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</si>
  <si>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</si>
  <si>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</si>
  <si>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</si>
  <si>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</si>
  <si>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</si>
  <si>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</si>
  <si>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</si>
  <si>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</si>
  <si>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</si>
  <si>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</si>
  <si>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</si>
  <si>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</si>
  <si>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</si>
  <si>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</si>
  <si>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</si>
  <si>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</si>
  <si>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</si>
  <si>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</si>
  <si>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</si>
  <si>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</si>
  <si>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</si>
  <si>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</si>
  <si>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</si>
  <si>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</si>
  <si>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</si>
  <si>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</si>
  <si>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</si>
  <si>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</si>
  <si>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</si>
  <si>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</si>
  <si>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</si>
  <si>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</si>
  <si>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</si>
  <si>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</si>
  <si>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</si>
  <si>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</si>
  <si>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</si>
  <si>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</si>
  <si>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</si>
  <si>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</si>
  <si>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</si>
  <si>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</si>
  <si>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</si>
  <si>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</si>
  <si>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</si>
  <si>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</si>
  <si>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</si>
  <si>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</si>
  <si>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</si>
  <si>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</si>
  <si>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</si>
  <si>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</si>
  <si>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</si>
  <si>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</si>
  <si>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</si>
  <si>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</si>
  <si>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</si>
  <si>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</si>
  <si>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</si>
  <si>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</si>
  <si>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</si>
  <si>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</si>
  <si>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</si>
  <si>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</si>
  <si>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</si>
  <si>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</si>
  <si>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</si>
  <si>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</si>
  <si>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</si>
  <si>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</si>
  <si>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</si>
  <si>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</si>
  <si>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</si>
  <si>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</si>
  <si>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</si>
  <si>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N Ultra High</t>
  </si>
  <si>
    <t>J High</t>
  </si>
  <si>
    <t>K High</t>
  </si>
  <si>
    <t>K Ultra High</t>
  </si>
  <si>
    <t>ENV</t>
  </si>
  <si>
    <t>Min</t>
  </si>
  <si>
    <t>Max</t>
  </si>
  <si>
    <t>Type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</si>
  <si>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</si>
  <si>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</si>
  <si>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</si>
  <si>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</si>
  <si>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</si>
  <si>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</si>
  <si>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</si>
  <si>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</si>
  <si>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</si>
  <si>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</si>
  <si>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</si>
  <si>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</si>
  <si>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</si>
  <si>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</si>
  <si>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</si>
  <si>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</si>
  <si>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</si>
  <si>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</si>
  <si>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</si>
  <si>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</si>
  <si>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</si>
  <si>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</si>
  <si>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</si>
  <si>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</si>
  <si>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</si>
  <si>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</si>
  <si>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</si>
  <si>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</si>
  <si>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</si>
  <si>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</si>
  <si>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</si>
  <si>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</si>
  <si>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</si>
  <si>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</si>
  <si>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</si>
  <si>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</si>
  <si>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</si>
  <si>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</si>
  <si>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</si>
  <si>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</si>
  <si>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</si>
  <si>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</si>
  <si>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</si>
  <si>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</si>
  <si>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</si>
  <si>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</si>
  <si>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</si>
  <si>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</si>
  <si>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</si>
  <si>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</si>
  <si>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</si>
  <si>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</si>
  <si>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</si>
  <si>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</si>
  <si>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</si>
  <si>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</si>
  <si>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</si>
  <si>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</si>
  <si>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</si>
  <si>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</si>
  <si>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</si>
  <si>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</si>
  <si>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</si>
  <si>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</si>
  <si>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</si>
  <si>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</si>
  <si>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</si>
  <si>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</si>
  <si>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</si>
  <si>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</si>
  <si>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</si>
  <si>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</si>
  <si>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</si>
  <si>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</si>
  <si>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</si>
  <si>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</si>
  <si>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</si>
  <si>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</si>
  <si>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</si>
  <si>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</si>
  <si>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</si>
  <si>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</si>
  <si>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</si>
  <si>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</si>
  <si>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</si>
  <si>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</si>
  <si>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</si>
  <si>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</si>
  <si>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</si>
  <si>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</si>
  <si>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</si>
  <si>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</si>
  <si>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</si>
  <si>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</si>
  <si>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</si>
  <si>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</si>
  <si>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</si>
  <si>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</si>
  <si>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</si>
  <si>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</si>
  <si>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</si>
  <si>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</si>
  <si>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</si>
  <si>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</si>
  <si>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</si>
  <si>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</si>
  <si>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</si>
  <si>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</si>
  <si>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</si>
  <si>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</si>
  <si>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</si>
  <si>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</si>
  <si>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</si>
  <si>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</si>
  <si>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</si>
  <si>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</si>
  <si>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</si>
  <si>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</si>
  <si>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</si>
  <si>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</si>
  <si>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</si>
  <si>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</si>
  <si>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</si>
  <si>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</si>
  <si>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</si>
  <si>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</si>
  <si>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</si>
  <si>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</si>
  <si>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</si>
  <si>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</si>
  <si>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</si>
  <si>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</si>
  <si>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</si>
  <si>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</si>
  <si>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</si>
  <si>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</si>
  <si>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</si>
  <si>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</si>
  <si>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</si>
  <si>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</si>
  <si>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</si>
  <si>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</si>
  <si>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</si>
  <si>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</si>
  <si>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</si>
  <si>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</si>
  <si>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</si>
  <si>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</si>
  <si>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</si>
  <si>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</si>
  <si>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</si>
  <si>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</si>
  <si>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</si>
  <si>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</si>
  <si>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</si>
  <si>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</si>
  <si>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</si>
  <si>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</si>
  <si>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</si>
  <si>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</si>
  <si>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</si>
  <si>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</si>
  <si>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</si>
  <si>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</si>
  <si>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</si>
  <si>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</si>
  <si>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</si>
  <si>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</si>
  <si>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</si>
  <si>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</si>
  <si>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</si>
  <si>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</si>
  <si>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</si>
  <si>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</si>
  <si>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</si>
  <si>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</si>
  <si>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</si>
  <si>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</si>
  <si>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</si>
  <si>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</si>
  <si>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</si>
  <si>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</si>
  <si>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</si>
  <si>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</si>
  <si>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</si>
  <si>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</si>
  <si>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</si>
  <si>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</si>
  <si>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</si>
  <si>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</si>
  <si>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</si>
  <si>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</si>
  <si>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</si>
  <si>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</si>
  <si>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</si>
  <si>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</si>
  <si>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</si>
  <si>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</si>
  <si>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</si>
  <si>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</si>
  <si>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</si>
  <si>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</si>
  <si>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</si>
  <si>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</si>
  <si>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</si>
  <si>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</si>
  <si>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</si>
  <si>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</si>
  <si>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</si>
  <si>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</si>
  <si>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</si>
  <si>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</si>
  <si>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</si>
  <si>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</si>
  <si>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</si>
  <si>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</si>
  <si>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</si>
  <si>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</si>
  <si>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</si>
  <si>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</si>
  <si>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</si>
  <si>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</si>
  <si>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</si>
  <si>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</si>
  <si>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</si>
  <si>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</si>
  <si>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</si>
  <si>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</si>
  <si>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</si>
  <si>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</si>
  <si>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</si>
  <si>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</si>
  <si>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</si>
  <si>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</si>
  <si>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</si>
  <si>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</si>
  <si>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</si>
  <si>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</si>
  <si>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</si>
  <si>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</si>
  <si>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</si>
  <si>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</si>
  <si>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</si>
  <si>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</si>
  <si>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</si>
  <si>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</si>
  <si>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</si>
  <si>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</si>
  <si>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</si>
  <si>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</si>
  <si>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</si>
  <si>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</si>
  <si>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</si>
  <si>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</si>
  <si>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</si>
  <si>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</si>
  <si>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</si>
  <si>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</si>
  <si>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</si>
  <si>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</si>
  <si>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</si>
  <si>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</si>
  <si>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</si>
  <si>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</si>
  <si>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</si>
  <si>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</si>
  <si>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</si>
  <si>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</si>
  <si>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</si>
  <si>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</si>
  <si>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</si>
  <si>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</si>
  <si>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</si>
  <si>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</si>
  <si>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</si>
  <si>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</si>
  <si>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</si>
  <si>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</si>
  <si>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</si>
  <si>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</si>
  <si>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</si>
  <si>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</si>
  <si>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</si>
  <si>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</si>
  <si>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</si>
  <si>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</si>
  <si>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</si>
  <si>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</si>
  <si>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</si>
  <si>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</si>
  <si>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</si>
  <si>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</si>
  <si>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</si>
  <si>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</si>
  <si>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</si>
  <si>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</si>
  <si>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</si>
  <si>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</si>
  <si>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</si>
  <si>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</si>
  <si>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</si>
  <si>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</si>
  <si>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</si>
  <si>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</si>
  <si>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</si>
  <si>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</si>
  <si>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</si>
  <si>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</si>
  <si>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</si>
  <si>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</si>
  <si>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</si>
  <si>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</si>
  <si>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</si>
  <si>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</si>
  <si>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</si>
  <si>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</si>
  <si>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</si>
  <si>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</si>
  <si>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</si>
  <si>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</si>
  <si>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</si>
  <si>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</si>
  <si>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</si>
  <si>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</si>
  <si>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</si>
  <si>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</si>
  <si>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</si>
  <si>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</si>
  <si>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</si>
  <si>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</si>
  <si>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</si>
  <si>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</si>
  <si>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</si>
  <si>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</si>
  <si>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</si>
  <si>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</si>
  <si>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</si>
  <si>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</si>
  <si>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</si>
  <si>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</si>
  <si>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</si>
  <si>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</si>
  <si>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</si>
  <si>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</si>
  <si>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</si>
  <si>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</si>
  <si>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</si>
  <si>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</si>
  <si>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</si>
  <si>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</si>
  <si>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</si>
  <si>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</si>
  <si>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</si>
  <si>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</si>
  <si>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</si>
  <si>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</si>
  <si>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</si>
  <si>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</si>
  <si>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</si>
  <si>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</si>
  <si>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</si>
  <si>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</si>
  <si>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</si>
  <si>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</si>
  <si>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</si>
  <si>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</si>
  <si>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</si>
  <si>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</si>
  <si>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</si>
  <si>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</si>
  <si>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</si>
  <si>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</si>
  <si>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</si>
  <si>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</si>
  <si>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</si>
  <si>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</si>
  <si>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</si>
  <si>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</si>
  <si>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</si>
  <si>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</si>
  <si>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</si>
  <si>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</si>
  <si>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</si>
  <si>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</si>
  <si>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</si>
  <si>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</si>
  <si>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</si>
  <si>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</si>
  <si>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</si>
  <si>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</si>
  <si>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</si>
  <si>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</si>
  <si>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</si>
  <si>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</si>
  <si>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</si>
  <si>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</si>
  <si>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</si>
  <si>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</si>
  <si>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</si>
  <si>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</si>
  <si>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</si>
  <si>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</si>
  <si>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</si>
  <si>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</si>
  <si>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</si>
  <si>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</si>
  <si>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</si>
  <si>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</si>
  <si>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Ver. 02.13.26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</si>
</sst>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14" fontId="30" fillId="3" borderId="4" xfId="0" applyNumberFormat="1" applyFont="1" applyFill="1" applyBorder="1" applyAlignment="1" applyProtection="1">
      <alignment horizontal="left"/>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81" unboundColumnsRight="3">
    <queryTableFields count="12">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L29" tableType="queryTable" totalsRowShown="0" headerRowDxfId="201" dataDxfId="200">
  <autoFilter ref="A4:L29" xr:uid="{2F912760-816C-4002-B982-1183C623C4D4}"/>
  <tableColumns count="12">
    <tableColumn id="1" xr3:uid="{4CB1C976-73DA-4579-B7F8-9D891581EA5A}" uniqueName="1" name="asset_id" queryTableFieldId="1" dataDxfId="199"/>
    <tableColumn id="2" xr3:uid="{D07D770F-21F7-425E-8CCA-AA85FFD513A3}" uniqueName="2" name="serial_number" queryTableFieldId="2" dataDxfId="198"/>
    <tableColumn id="3" xr3:uid="{D963BD5C-EE98-4CDD-ABAE-5315BBDA1135}" uniqueName="3" name="asset_tag" queryTableFieldId="3" dataDxfId="197"/>
    <tableColumn id="4" xr3:uid="{44F03B5B-6C09-4D5C-B2E2-D809B4EDF2B0}" uniqueName="4" name="custom_order_number" queryTableFieldId="4" dataDxfId="196"/>
    <tableColumn id="5" xr3:uid="{412A70E1-7452-417E-A3A9-BD3499EBD33C}" uniqueName="5" name="service_date" queryTableFieldId="5" dataDxfId="2"/>
    <tableColumn id="7" xr3:uid="{297A4F29-F6E9-4BD3-A7A2-5F1039480BAE}" uniqueName="7" name="certificate_number" queryTableFieldId="7" dataDxfId="195"/>
    <tableColumn id="6" xr3:uid="{7231074C-78F5-4F41-8E96-7068B6555E6F}" uniqueName="6" name="traceability_number" queryTableFieldId="61" dataDxfId="194"/>
    <tableColumn id="8" xr3:uid="{7C740CB9-37DA-435E-A87E-AF050E31623C}" uniqueName="8" name="wire_roll_cert_number" queryTableFieldId="8" dataDxfId="193"/>
    <tableColumn id="9" xr3:uid="{5B17E9FC-0D68-4EA9-9145-B5DC8FAF5A93}" uniqueName="9" name="type" queryTableFieldId="9" dataDxfId="192"/>
    <tableColumn id="19" xr3:uid="{D7BFED31-BD3B-42D0-93A4-626A2F893B49}" uniqueName="19" name="sn_ok" queryTableFieldId="79" dataDxfId="191">
      <calculatedColumnFormula array="1">OR(WireSets[[#This Row],[serial_number]]=WireSetSNs)</calculatedColumnFormula>
    </tableColumn>
    <tableColumn id="20" xr3:uid="{705A1FB0-77C3-4452-9B89-35050DBC2A13}" uniqueName="20" name="type_ok" queryTableFieldId="80" dataDxfId="190">
      <calculatedColumnFormula array="1">OR(WireSets[[#This Row],[type]]=types)</calculatedColumnFormula>
    </tableColumn>
    <tableColumn id="18" xr3:uid="{18FA8DFB-3DBF-4BA4-B0A1-320CC710CE67}" uniqueName="18" name="FILTER" queryTableFieldId="78" dataDxfId="189">
      <calculatedColumnFormula>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6" tableType="queryTable" totalsRowShown="0">
  <autoFilter ref="A1:C126" xr:uid="{DD841DB9-A242-4050-A7E6-984852778526}"/>
  <tableColumns count="3">
    <tableColumn id="1" xr3:uid="{783036AE-6148-4673-A2B5-A0A0BAA87B07}" uniqueName="1" name="traceability_no" queryTableFieldId="9" dataDxfId="188"/>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7">
  <autoFilter ref="A1:C9" xr:uid="{8AF992F3-27EF-4265-960D-70EC6F74FAFA}"/>
  <sortState xmlns:xlrd2="http://schemas.microsoft.com/office/spreadsheetml/2017/richdata2" ref="A2:C9">
    <sortCondition ref="B1:B9"/>
  </sortState>
  <tableColumns count="3">
    <tableColumn id="1" xr3:uid="{1F7D0D09-7152-4679-B25C-65CF0E0AB2D4}" name="Type" dataDxfId="186"/>
    <tableColumn id="2" xr3:uid="{0C44A3AF-42D4-4CFD-AA0A-4FDA92350CF2}" name="Min"/>
    <tableColumn id="3" xr3:uid="{6E3C9F19-6B4D-4BD2-B67B-82606C8B35EC}"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5">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4">
      <calculatedColumnFormula>IF(Main!O3="","",Main!N3)</calculatedColumnFormula>
    </tableColumn>
    <tableColumn id="3" xr3:uid="{FCE5D856-7234-4CCA-97EE-22B74741E437}" name="Alert" dataDxfId="183">
      <calculatedColumnFormula array="1">_xlfn.TEXTJOIN("; ", TRUE, IF(Alerts[[#This Row],[Dropped]],"DROPPED",""),
    IF(Alerts[[#This Row],[High]:[Out Of Tolerance]] &lt;&gt; "",
        Alerts[[#Headers],[High]:[Out Of Tolerance]],
        "")
)</calculatedColumnFormula>
    </tableColumn>
    <tableColumn id="4" xr3:uid="{8AD94D64-1483-4168-80EC-0F5FF5FBFB54}" name="Temp" dataDxfId="182">
      <calculatedColumnFormula array="1">_xlfn.XLOOKUP(1,
  (Survey[TestPoint]=Alerts[[#This Row],[TestPoint]])*(Survey[Time]=--Alerts[[#This Row],[Time]]),
  Survey[RawTemp],
  "")</calculatedColumnFormula>
    </tableColumn>
    <tableColumn id="5" xr3:uid="{7F528BD7-7CA6-42E2-8288-BF3DEA461539}" name="Time" dataDxfId="181">
      <calculatedColumnFormula>IFERROR(IF(OR(Alerts[[#This Row],[High]],Alerts[[#This Row],[Low]]),VALUE(Alerts[[#This Row],[High]]&amp;Alerts[[#This Row],[Low]]),Alerts[[#This Row],[Out Of Tolerance]]),"")</calculatedColumnFormula>
    </tableColumn>
    <tableColumn id="6" xr3:uid="{C6C3F45B-0C03-4E9C-9412-DBABE4DA80B3}" name="Dropped" dataDxfId="180">
      <calculatedColumnFormula>IF(
  Main!O5 = "",
  FALSE,
  COUNTIF(Survey[TestPoint], Alerts[[#This Row],[TestPoint]]) = 0
)</calculatedColumnFormula>
    </tableColumn>
    <tableColumn id="8" xr3:uid="{96F3D492-9D35-4D95-988A-C7309D2CB11D}" name="High" dataDxfId="179">
      <calculatedColumnFormula array="1">_xlfn.XLOOKUP(1,
  (Survey[TestPoint]=Alerts[[#This Row],[TestPoint]])*Survey[High],
  Survey[Time],
  "")</calculatedColumnFormula>
    </tableColumn>
    <tableColumn id="9" xr3:uid="{FA598A09-68F3-4996-908B-720C01A5CB36}" name="Low" dataDxfId="178">
      <calculatedColumnFormula array="1">_xlfn.XLOOKUP(1,
  (Survey[TestPoint]=Alerts[[#This Row],[TestPoint]])*Survey[Low],
  Survey[Time],
  "")</calculatedColumnFormula>
    </tableColumn>
    <tableColumn id="10" xr3:uid="{8BF38346-ED30-41C4-A7C5-C5AD74EDAE4E}" name="Out Of Tolerance" dataDxfId="177">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6"/>
    <tableColumn id="2" xr3:uid="{80F1DE28-79AD-483F-A7F0-673E715EECBE}" uniqueName="2" name="reading" queryTableFieldId="2" dataDxfId="175"/>
    <tableColumn id="1" xr3:uid="{B4839395-B86E-4AA6-ADFB-57CDD2F7F61D}" uniqueName="1" name="point" queryTableFieldId="1"/>
    <tableColumn id="3" xr3:uid="{2724CA85-C781-4E38-A0DA-097BFEEFE8B1}" uniqueName="3" name="Temp" queryTableFieldId="3" dataDxfId="174"/>
    <tableColumn id="5" xr3:uid="{D8FBA668-C3CE-41DC-B112-B2663A4558F7}" uniqueName="5" name="Offset" queryTableFieldId="5" dataDxfId="173"/>
    <tableColumn id="4" xr3:uid="{3984E3BA-ECF9-4974-BA1B-4E1212BB2A83}" uniqueName="4" name="AssetTag" queryTableFieldId="8" dataDxfId="172">
      <calculatedColumnFormula>LEFT(AllDaqbookOffsets[[#This Row],[traceability_no]],2)</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1" headerRowBorderDxfId="170">
  <autoFilter ref="M1:T41" xr:uid="{26B6A9B0-C535-497C-80B0-B1E532DC9DFD}"/>
  <tableColumns count="8">
    <tableColumn id="2" xr3:uid="{AA763339-65AF-434D-A711-61DA35F163AD}" name="Point"/>
    <tableColumn id="3" xr3:uid="{3B356035-E587-4027-87A0-DE8E0B2FE7E1}" name="DaqbookInterp" dataDxfId="169">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8">
      <calculatedColumnFormula array="1">IF(DaqbookInterp[[#This Row],[Include]],QRound(N2),NA())</calculatedColumnFormula>
    </tableColumn>
    <tableColumn id="5" xr3:uid="{D54F6D03-3723-4E00-912E-150DF9F71E5B}" name="T/C Name" dataDxfId="167">
      <calculatedColumnFormula>IF(DaqbookInterp[[#This Row],[Include]],Main!O5, NA())</calculatedColumnFormula>
    </tableColumn>
    <tableColumn id="6" xr3:uid="{4A823077-65D9-48F8-825F-BAEBD9008EA4}" name="Include" dataDxfId="166">
      <calculatedColumnFormula>NOT(ISBLANK(Main!O5))</calculatedColumnFormula>
    </tableColumn>
    <tableColumn id="7" xr3:uid="{9B0EC045-52DF-4F3C-A037-09C5D494BF52}" name="WireSet" dataDxfId="165">
      <calculatedColumnFormula>LOOKUP(DaqbookInterp[[#This Row],[T/C Name]],_xlfn.ANCHORARRAY($Z$2))</calculatedColumnFormula>
    </tableColumn>
    <tableColumn id="8" xr3:uid="{FEFB3CF3-C3B5-4AEA-A75C-80F9610E9833}" name="Wire Lot #" dataDxfId="164">
      <calculatedColumnFormula>HLOOKUP(DaqbookInterp[[#This Row],[WireSet]],Main!$D$48:$I$55,8,0)</calculatedColumnFormula>
    </tableColumn>
    <tableColumn id="9" xr3:uid="{C4BC88F4-CA08-4EF4-9C53-A23F32164EA9}" name="TC CF" dataDxfId="163">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2"/>
    <tableColumn id="5" xr3:uid="{27363C9A-3D85-416E-8BCC-52B2C8D77A72}" uniqueName="5" name="Uncert Units" queryTableFieldId="5" dataDxfId="16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0">
  <autoFilter ref="A3:C8" xr:uid="{5AC13131-9A1C-4C12-B4F9-A393708ED370}"/>
  <tableColumns count="3">
    <tableColumn id="1" xr3:uid="{97181276-3609-45C8-AD82-B2880A7AEDE4}" name="Min" dataDxfId="159"/>
    <tableColumn id="2" xr3:uid="{FCA9B2A8-03BC-4152-9483-74D5E30011E8}" name="Max" dataDxfId="158"/>
    <tableColumn id="3" xr3:uid="{53EFB432-094F-4AB8-B706-DACB84CFAD58}" name="CMC" dataDxfId="15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6"/>
    <tableColumn id="40" xr3:uid="{1FD78DD8-6141-4BCC-8B64-71669B160E7A}" uniqueName="40" name="ClientCompanyId" queryTableFieldId="165" dataDxfId="155"/>
    <tableColumn id="41" xr3:uid="{5BCE0CCA-D40E-445A-B69F-BF9E8EC302E6}" uniqueName="41" name="Furnace" queryTableFieldId="166"/>
    <tableColumn id="42" xr3:uid="{FE44BF6E-7160-4F10-BB7C-5C6B8F55C8DB}" uniqueName="42" name="FormNumber" queryTableFieldId="167" dataDxfId="154"/>
    <tableColumn id="43" xr3:uid="{EC576AA5-7F07-4B99-BBD1-C006A3FF4861}" uniqueName="43" name="CalibrationMethod" queryTableFieldId="168" dataDxfId="153"/>
    <tableColumn id="44" xr3:uid="{11784700-CE79-4C3A-B181-67F89C94AC89}" uniqueName="44" name="ToleranceSource" queryTableFieldId="169" dataDxfId="152"/>
    <tableColumn id="45" xr3:uid="{F8D57A3B-9D48-4C00-8E7C-AC29615D88F6}" uniqueName="45" name="Item" queryTableFieldId="170" dataDxfId="151"/>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0"/>
    <tableColumn id="51" xr3:uid="{5B79DBE7-7CAB-41DA-AF62-362ADDE2AED9}" uniqueName="51" name="WorkingZoneSize" queryTableFieldId="176" dataDxfId="149"/>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8"/>
    <tableColumn id="63" xr3:uid="{478884C5-ACFA-42A0-A5A5-3FD7354DF395}" uniqueName="63" name="TestLocation" queryTableFieldId="188" dataDxfId="147"/>
    <tableColumn id="64" xr3:uid="{8742E83A-8953-4A6F-B342-02A544F42A3E}" uniqueName="64" name="OvenLocation" queryTableFieldId="189" dataDxfId="146"/>
    <tableColumn id="65" xr3:uid="{D2C69FD9-EF22-4D46-9BCA-A04DCD92EC4B}" uniqueName="65" name="Condition" queryTableFieldId="190" dataDxfId="145"/>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4"/>
    <tableColumn id="73" xr3:uid="{5C1EA854-4A8F-420A-8A21-EED95DA3A02D}" uniqueName="73" name="LagLimit" queryTableFieldId="198" dataDxfId="143"/>
    <tableColumn id="74" xr3:uid="{E0D578AE-61B1-4F16-BC5A-DF5388800162}" uniqueName="74" name="RecoveryLimit" queryTableFieldId="199" dataDxfId="142"/>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1"/>
    <tableColumn id="8" xr3:uid="{6A970319-4DB4-4470-AD18-810376DE6248}" uniqueName="8" name="Flags" queryTableFieldId="8" dataDxfId="140"/>
    <tableColumn id="10" xr3:uid="{C036645E-37FD-4D8C-A495-9B7CD74F1924}" uniqueName="10" name="TolMinText" queryTableFieldId="10" dataDxfId="139">
      <calculatedColumnFormula>TEXT(UUTRangeTol[[#This Row],[TolMin]],SUBSTITUTE(UUTRangeTol[[#This Row],[TolResolution]],"1","0"))&amp;UUTRangeTol[[#This Row],[Unit]]</calculatedColumnFormula>
    </tableColumn>
    <tableColumn id="11" xr3:uid="{7185F013-BA2C-4D79-99A0-8DCC297E6118}" uniqueName="11" name="TolMaxText" queryTableFieldId="11" dataDxfId="138">
      <calculatedColumnFormula>TEXT(UUTRangeTol[[#This Row],[TolMax]],SUBSTITUTE(UUTRangeTol[[#This Row],[TolResolution]],"1","0"))&amp;UUTRangeTol[[#This Row],[Unit]]</calculatedColumnFormula>
    </tableColumn>
    <tableColumn id="12" xr3:uid="{EE0701A7-578C-482F-B1ED-DBCB9E95A0C6}" uniqueName="12" name="TolText" queryTableFieldId="12" dataDxfId="137">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6">
      <calculatedColumnFormula>UUTRangeTol[[#This Row],[RangeMax]]&amp;UUTRangeTol[[#This Row],[Unit]]</calculatedColumnFormula>
    </tableColumn>
    <tableColumn id="14" xr3:uid="{EF348E52-D936-44CC-A058-66DD7A780488}" uniqueName="14" name="RangeText" queryTableFieldId="14" dataDxfId="135">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4"/>
    <tableColumn id="2" xr3:uid="{4984B315-F281-4FCE-B730-0C7B248AA955}" uniqueName="2" name="nominal_temp" queryTableFieldId="2" dataDxfId="133"/>
    <tableColumn id="3" xr3:uid="{53D53435-D3FD-453C-A000-9DEF29CF77CD}" uniqueName="3" name="offset" queryTableFieldId="3" dataDxfId="132"/>
    <tableColumn id="4" xr3:uid="{71EBF38C-C2D5-457A-8BC4-1C726B409693}" uniqueName="4" name="probe_serial_number" queryTableFieldId="4" dataDxfId="131"/>
    <tableColumn id="5" xr3:uid="{264E3CB0-FEA8-40F6-AC5D-D574DD8CF263}" uniqueName="5" name="SBP_Set" queryTableFieldId="5" dataDxfId="130">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6"/>
    <tableColumn id="2" xr3:uid="{18C84E6F-0395-44B7-82E8-3E3C3338D295}" name="TUS Tol" dataDxfId="205" totalsRowDxfId="204"/>
    <tableColumn id="5" xr3:uid="{DB50C328-B2A6-44C5-853C-318053CB9F8D}" name="SAT Multiplier" dataDxfId="203" totalsRowDxfId="20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29" dataDxfId="128" tableBorderDxfId="127">
  <autoFilter ref="AG2:AS3" xr:uid="{B114758F-16E1-4C54-AA0B-E7F64DE85242}"/>
  <tableColumns count="13">
    <tableColumn id="1" xr3:uid="{0D0312AF-C987-4CC8-97F8-A45434AD138A}" name="Time" dataDxfId="126" dataCellStyle="Normal 3"/>
    <tableColumn id="2" xr3:uid="{E5CD88A1-1988-41C9-8D07-30908E60C0B6}" name="29" dataDxfId="125" dataCellStyle="Normal 3"/>
    <tableColumn id="3" xr3:uid="{52334E52-C590-4A01-82BC-CCC9DA2C2817}" name="30" dataDxfId="124" dataCellStyle="Normal 3"/>
    <tableColumn id="4" xr3:uid="{145DAD22-055B-47E2-958D-C0E0B68ECCC8}" name="31" dataDxfId="123" dataCellStyle="Normal 3"/>
    <tableColumn id="5" xr3:uid="{09C3BF4E-C2AE-4497-AAA2-CF5A8A70B030}" name="32" dataDxfId="122" dataCellStyle="Normal 3"/>
    <tableColumn id="6" xr3:uid="{E9F444F5-7F75-4B80-BC2D-E9E92BB7C32D}" name="33" dataDxfId="121" dataCellStyle="Normal 3"/>
    <tableColumn id="7" xr3:uid="{C42F56B6-C38E-41DC-811A-50AF69D04B80}" name="34" dataDxfId="120" dataCellStyle="Normal 3"/>
    <tableColumn id="8" xr3:uid="{1930235F-D2C0-482D-8CC0-6B3AC765E7EA}" name="35" dataDxfId="119" dataCellStyle="Normal 3"/>
    <tableColumn id="9" xr3:uid="{6FCF613B-A86F-4DC6-9CC5-0A1E44E3DFE0}" name="36" dataDxfId="118" dataCellStyle="Normal 3"/>
    <tableColumn id="10" xr3:uid="{19EA3429-FD7E-4BA0-96B7-70F520D9FE0F}" name="37" dataDxfId="117" dataCellStyle="Normal 3"/>
    <tableColumn id="11" xr3:uid="{A5D0DAE1-1017-4DE3-AEA6-1BAF97E0FBDC}" name="38" dataDxfId="116" dataCellStyle="Normal 3"/>
    <tableColumn id="12" xr3:uid="{ABC8E507-1120-436F-9E9F-E3A8852E2E1A}" name="39" dataDxfId="115"/>
    <tableColumn id="13" xr3:uid="{C69AC669-10C2-4E64-9F60-B4AA135FB3DF}" name="40" dataDxfId="11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3" tableBorderDxfId="112">
  <autoFilter ref="Q2:AE3" xr:uid="{6D9D14EA-1966-4240-9028-DABDD72BB7BC}"/>
  <tableColumns count="15">
    <tableColumn id="1" xr3:uid="{F199066A-0899-4173-8784-FC618D5EFA3C}" name="Time" dataDxfId="111" dataCellStyle="Normal 3"/>
    <tableColumn id="2" xr3:uid="{DB040280-BEC7-49AA-A925-A050027B33E3}" name="15" dataDxfId="110" dataCellStyle="Normal 3"/>
    <tableColumn id="3" xr3:uid="{5D74EEBF-1FB4-4DF9-8EDD-C656F929ADA2}" name="16" dataDxfId="109" dataCellStyle="Normal 3"/>
    <tableColumn id="4" xr3:uid="{B1176DF8-22B4-4741-A534-22D0C72EF1F0}" name="17" dataDxfId="108" dataCellStyle="Normal 3"/>
    <tableColumn id="5" xr3:uid="{1E29EA65-5182-4B3E-817F-0D30B2884EC7}" name="18" dataDxfId="107" dataCellStyle="Normal 3"/>
    <tableColumn id="6" xr3:uid="{AF53AEFB-F310-4F08-91BC-82FB0F484ECA}" name="19" dataDxfId="106" dataCellStyle="Normal 3"/>
    <tableColumn id="7" xr3:uid="{EE472F61-D1B5-43CF-A661-FA1D47001C17}" name="20" dataDxfId="105" dataCellStyle="Normal 3"/>
    <tableColumn id="8" xr3:uid="{841D54C1-AB74-4CB1-8C7F-C38D11EFAD3F}" name="21" dataDxfId="104" dataCellStyle="Normal 3"/>
    <tableColumn id="9" xr3:uid="{F1FB485B-DEAA-4958-8C40-80934EA1437F}" name="22" dataDxfId="103" dataCellStyle="Normal 3"/>
    <tableColumn id="10" xr3:uid="{5C552A76-BD54-46C5-93AD-8F25289FA051}" name="23" dataDxfId="102" dataCellStyle="Normal 3"/>
    <tableColumn id="11" xr3:uid="{B20FA5F1-0522-49D0-9B5A-34570A8AE6EA}" name="24" dataDxfId="101" dataCellStyle="Normal 3"/>
    <tableColumn id="12" xr3:uid="{0BC87A98-B9AC-4CD6-9F9B-D04190073E2A}" name="25" dataDxfId="100"/>
    <tableColumn id="13" xr3:uid="{D62EA80B-BBE3-4A29-89AB-EE04C6E03547}" name="26" dataDxfId="99"/>
    <tableColumn id="14" xr3:uid="{6D7DE537-763F-40F1-AC16-33F228CBC8D1}" name="27" dataDxfId="98"/>
    <tableColumn id="15" xr3:uid="{F8FA9620-DB21-4BAE-8D97-FF38B70679C9}" name="28" dataDxfId="9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6" dataDxfId="95" tableBorderDxfId="94">
  <autoFilter ref="A2:O3" xr:uid="{73A9D9BA-FF58-4A3F-98F7-9A835492E25D}"/>
  <tableColumns count="15">
    <tableColumn id="1" xr3:uid="{73B888B4-4146-4E26-9B39-0FC537A113C8}" name="Time" dataDxfId="93" dataCellStyle="Normal 3"/>
    <tableColumn id="2" xr3:uid="{6F1EF879-7C87-4A56-A394-30C6E5BDB32A}" name="1" dataDxfId="92" dataCellStyle="Normal 3"/>
    <tableColumn id="3" xr3:uid="{B2FA8A6A-D50A-41E8-942A-379C757B6A2B}" name="2" dataDxfId="91" dataCellStyle="Normal 3"/>
    <tableColumn id="4" xr3:uid="{F92FE975-D84B-4B73-B49D-3B746FAA3D21}" name="3" dataDxfId="90" dataCellStyle="Normal 3"/>
    <tableColumn id="5" xr3:uid="{7820E0E9-F621-4361-A572-234B3CB7F864}" name="4" dataDxfId="89" dataCellStyle="Normal 3"/>
    <tableColumn id="6" xr3:uid="{A46C0BCA-2139-4CD3-B02F-C4D3F8E65309}" name="5" dataDxfId="88" dataCellStyle="Normal 3"/>
    <tableColumn id="7" xr3:uid="{334BDF50-1D79-41BC-BA09-7B69018332AE}" name="6" dataDxfId="87" dataCellStyle="Normal 3"/>
    <tableColumn id="8" xr3:uid="{6C11BC6A-3E21-4CDE-9CD4-C8EBCF50B6DB}" name="7" dataDxfId="86" dataCellStyle="Normal 3"/>
    <tableColumn id="9" xr3:uid="{1EEEA607-5177-4C19-A1BC-B12D19FF055B}" name="8" dataDxfId="85" dataCellStyle="Normal 3"/>
    <tableColumn id="10" xr3:uid="{ACF909CE-C221-4157-9298-18F2C140C147}" name="9" dataDxfId="84" dataCellStyle="Normal 3"/>
    <tableColumn id="11" xr3:uid="{182688D3-AD0D-4518-A7FE-0C281ABCDF76}" name="10" dataDxfId="83" dataCellStyle="Normal 3"/>
    <tableColumn id="12" xr3:uid="{54AFFA30-00C2-440A-92A2-139F62F751BE}" name="11" dataDxfId="82"/>
    <tableColumn id="13" xr3:uid="{DCF0B43C-F320-4031-91C6-8514285AF6CA}" name="12" dataDxfId="81"/>
    <tableColumn id="14" xr3:uid="{53A56FC8-0536-4D94-A335-FFCBCBEAF45E}" name="13" dataDxfId="80"/>
    <tableColumn id="15" xr3:uid="{F49FEB6E-05C2-4E90-A6CE-A0C9C694642A}" name="14" dataDxfId="7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0" tableType="queryTable" totalsRowShown="0" headerRowDxfId="78" dataDxfId="77">
  <autoFilter ref="A1:O1700" xr:uid="{7FFB3A25-33B3-41D4-A4EC-161ECACD71F3}"/>
  <tableColumns count="15">
    <tableColumn id="1" xr3:uid="{11D744F1-EDFB-47DE-B384-CF9869615081}" uniqueName="1" name="company_name" queryTableFieldId="80"/>
    <tableColumn id="2" xr3:uid="{39B8308C-AB2D-4935-AB6D-60659663F9DB}" uniqueName="2" name="Address1" queryTableFieldId="81" dataDxfId="76"/>
    <tableColumn id="3" xr3:uid="{5F5E8FED-27C7-498A-86F2-8DE1BF0A773A}" uniqueName="3" name="Address2" queryTableFieldId="82" dataDxfId="75"/>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4"/>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3" dataDxfId="72">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1"/>
    <tableColumn id="3" xr3:uid="{A4F2902A-51C9-47F2-ABB5-33476BF6B798}" uniqueName="3" name="login_email" queryTableFieldId="5"/>
    <tableColumn id="4" xr3:uid="{93F361AC-D356-4A7B-A6F2-34FB0F71E2F6}" uniqueName="4" name="IsPyro" queryTableFieldId="7" dataDxfId="7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 dataDxfId="5" headerRowCellStyle="Normal 2" dataCellStyle="Normal 2">
  <autoFilter ref="U11:V25" xr:uid="{DCCFF26E-EC5C-4962-98DB-A7DA1F3C8CE2}"/>
  <tableColumns count="2">
    <tableColumn id="1" xr3:uid="{DFC40837-B092-4826-9847-4A23BE22020F}" name="4" dataDxfId="4" dataCellStyle="Normal 2"/>
    <tableColumn id="2" xr3:uid="{0711DB07-19DA-4D5E-A417-C242A0304453}" name="10" dataDxfId="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2.bin"/><Relationship Id="rId4"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P29"/>
  <sheetViews>
    <sheetView workbookViewId="0">
      <selection activeCell="K5" sqref="K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8.42578125" bestFit="1" customWidth="1"/>
    <col min="11" max="11" width="10.28515625" bestFit="1" customWidth="1"/>
    <col min="12" max="12" width="9.7109375" bestFit="1" customWidth="1"/>
    <col min="13" max="15" width="7.140625" customWidth="1"/>
    <col min="16" max="18" width="12.28515625" bestFit="1" customWidth="1"/>
    <col min="19" max="19" width="6.5703125" bestFit="1" customWidth="1"/>
    <col min="20" max="20" width="7.140625" bestFit="1" customWidth="1"/>
    <col min="21" max="21" width="12.28515625" bestFit="1" customWidth="1"/>
    <col min="22" max="22" width="6.5703125" bestFit="1" customWidth="1"/>
    <col min="23" max="23" width="7.140625" customWidth="1"/>
  </cols>
  <sheetData>
    <row r="1" spans="1:16" x14ac:dyDescent="0.2">
      <c r="I1" s="52"/>
      <c r="J1" s="476" t="s">
        <v>744</v>
      </c>
      <c r="K1" s="477" t="s">
        <v>745</v>
      </c>
    </row>
    <row r="2" spans="1:16" x14ac:dyDescent="0.2">
      <c r="I2" s="52"/>
      <c r="J2" t="b" cm="1">
        <f t="array" ref="J2">AND(WireSetSNs="")</f>
        <v>1</v>
      </c>
      <c r="K2" t="b" cm="1">
        <f t="array" ref="K2">AND(types="")</f>
        <v>1</v>
      </c>
    </row>
    <row r="4" spans="1:16" x14ac:dyDescent="0.2">
      <c r="A4"/>
      <c r="B4"/>
      <c r="C4"/>
      <c r="D4"/>
      <c r="E4"/>
      <c r="F4"/>
      <c r="G4"/>
      <c r="H4"/>
      <c r="I4"/>
      <c r="J4" s="37" t="s">
        <v>746</v>
      </c>
      <c r="K4" s="37" t="s">
        <v>747</v>
      </c>
      <c r="L4" s="37" t="s">
        <v>743</v>
      </c>
    </row>
    <row r="5" spans="1:16" x14ac:dyDescent="0.2">
      <c r="A5"/>
      <c r="B5"/>
      <c r="C5"/>
      <c r="D5"/>
      <c r="E5" s="478"/>
      <c r="F5"/>
      <c r="G5"/>
      <c r="H5"/>
      <c r="I5"/>
      <c r="J5" t="b" cm="1">
        <f t="array" ref="J5">OR(WireSets[[#This Row],[serial_number]]=WireSetSNs)</f>
        <v>0</v>
      </c>
      <c r="K5" t="b" cm="1">
        <f t="array" ref="K5">OR(WireSets[[#This Row],[type]]=types)</f>
        <v>0</v>
      </c>
      <c r="L5" s="37" t="b">
        <f>OR(WireSets[[#This Row],[type_ok]], IF(sns_empty, types_empty, WireSets[[#This Row],[sn_ok]]))</f>
        <v>1</v>
      </c>
      <c r="O5" s="37" t="str" cm="1">
        <f t="array" ref="O5:O29">_xlfn._xlws.FILTER(WireSets[serial_number],WireSets[FILTER])</f>
        <v>ENV101</v>
      </c>
      <c r="P5" s="37" t="str" cm="1">
        <f t="array" ref="P5:P29">_xlfn._xlws.FILTER(WireSets[type],WireSets[FILTER])</f>
        <v>ENV</v>
      </c>
    </row>
    <row r="6" spans="1:16" x14ac:dyDescent="0.2">
      <c r="A6"/>
      <c r="B6"/>
      <c r="C6"/>
      <c r="D6"/>
      <c r="E6" s="478"/>
      <c r="F6"/>
      <c r="G6"/>
      <c r="H6"/>
      <c r="I6"/>
      <c r="J6" t="b" cm="1">
        <f t="array" ref="J6">OR(WireSets[[#This Row],[serial_number]]=WireSetSNs)</f>
        <v>0</v>
      </c>
      <c r="K6" t="b" cm="1">
        <f t="array" ref="K6">OR(WireSets[[#This Row],[type]]=types)</f>
        <v>0</v>
      </c>
      <c r="L6" t="b">
        <f>OR(WireSets[[#This Row],[type_ok]], IF(sns_empty, types_empty, WireSets[[#This Row],[sn_ok]]))</f>
        <v>1</v>
      </c>
      <c r="O6" t="str">
        <v>J01-J24</v>
      </c>
      <c r="P6" t="str">
        <v>J</v>
      </c>
    </row>
    <row r="7" spans="1:16" x14ac:dyDescent="0.2">
      <c r="A7"/>
      <c r="B7"/>
      <c r="C7"/>
      <c r="D7"/>
      <c r="E7" s="478"/>
      <c r="F7"/>
      <c r="G7"/>
      <c r="H7"/>
      <c r="I7"/>
      <c r="J7" t="b" cm="1">
        <f t="array" ref="J7">OR(WireSets[[#This Row],[serial_number]]=WireSetSNs)</f>
        <v>0</v>
      </c>
      <c r="K7" t="b" cm="1">
        <f t="array" ref="K7">OR(WireSets[[#This Row],[type]]=types)</f>
        <v>0</v>
      </c>
      <c r="L7" t="b">
        <f>OR(WireSets[[#This Row],[type_ok]], IF(sns_empty, types_empty, WireSets[[#This Row],[sn_ok]]))</f>
        <v>1</v>
      </c>
      <c r="O7" t="str">
        <v>J101-J110</v>
      </c>
      <c r="P7" t="str">
        <v>J</v>
      </c>
    </row>
    <row r="8" spans="1:16" x14ac:dyDescent="0.2">
      <c r="A8"/>
      <c r="B8"/>
      <c r="C8"/>
      <c r="D8"/>
      <c r="E8" s="478"/>
      <c r="F8"/>
      <c r="G8"/>
      <c r="H8"/>
      <c r="I8"/>
      <c r="J8" t="b" cm="1">
        <f t="array" ref="J8">OR(WireSets[[#This Row],[serial_number]]=WireSetSNs)</f>
        <v>0</v>
      </c>
      <c r="K8" t="b" cm="1">
        <f t="array" ref="K8">OR(WireSets[[#This Row],[type]]=types)</f>
        <v>0</v>
      </c>
      <c r="L8" t="b">
        <f>OR(WireSets[[#This Row],[type_ok]], IF(sns_empty, types_empty, WireSets[[#This Row],[sn_ok]]))</f>
        <v>1</v>
      </c>
      <c r="O8" t="str">
        <v>J111-J120</v>
      </c>
      <c r="P8" t="str">
        <v>J</v>
      </c>
    </row>
    <row r="9" spans="1:16" x14ac:dyDescent="0.2">
      <c r="A9"/>
      <c r="B9"/>
      <c r="C9"/>
      <c r="D9"/>
      <c r="E9" s="478"/>
      <c r="F9"/>
      <c r="G9"/>
      <c r="H9"/>
      <c r="I9"/>
      <c r="J9" t="b" cm="1">
        <f t="array" ref="J9">OR(WireSets[[#This Row],[serial_number]]=WireSetSNs)</f>
        <v>0</v>
      </c>
      <c r="K9" t="b" cm="1">
        <f t="array" ref="K9">OR(WireSets[[#This Row],[type]]=types)</f>
        <v>0</v>
      </c>
      <c r="L9" t="b">
        <f>OR(WireSets[[#This Row],[type_ok]], IF(sns_empty, types_empty, WireSets[[#This Row],[sn_ok]]))</f>
        <v>1</v>
      </c>
      <c r="O9" t="str">
        <v>J201-J214</v>
      </c>
      <c r="P9" t="str">
        <v>J</v>
      </c>
    </row>
    <row r="10" spans="1:16" x14ac:dyDescent="0.2">
      <c r="A10"/>
      <c r="B10"/>
      <c r="C10"/>
      <c r="D10"/>
      <c r="E10" s="478"/>
      <c r="F10"/>
      <c r="I10"/>
      <c r="J10" t="b" cm="1">
        <f t="array" ref="J10">OR(WireSets[[#This Row],[serial_number]]=WireSetSNs)</f>
        <v>0</v>
      </c>
      <c r="K10" t="b" cm="1">
        <f t="array" ref="K10">OR(WireSets[[#This Row],[type]]=types)</f>
        <v>0</v>
      </c>
      <c r="L10" t="b">
        <f>OR(WireSets[[#This Row],[type_ok]], IF(sns_empty, types_empty, WireSets[[#This Row],[sn_ok]]))</f>
        <v>1</v>
      </c>
      <c r="O10" t="str">
        <v>J301-J314</v>
      </c>
      <c r="P10" t="str">
        <v>J</v>
      </c>
    </row>
    <row r="11" spans="1:16" x14ac:dyDescent="0.2">
      <c r="A11"/>
      <c r="B11"/>
      <c r="C11"/>
      <c r="D11"/>
      <c r="E11" s="478"/>
      <c r="F11"/>
      <c r="G11"/>
      <c r="H11"/>
      <c r="I11"/>
      <c r="J11" t="b" cm="1">
        <f t="array" ref="J11">OR(WireSets[[#This Row],[serial_number]]=WireSetSNs)</f>
        <v>0</v>
      </c>
      <c r="K11" t="b" cm="1">
        <f t="array" ref="K11">OR(WireSets[[#This Row],[type]]=types)</f>
        <v>0</v>
      </c>
      <c r="L11" t="b">
        <f>OR(WireSets[[#This Row],[type_ok]], IF(sns_empty, types_empty, WireSets[[#This Row],[sn_ok]]))</f>
        <v>1</v>
      </c>
      <c r="O11" t="str">
        <v>J501-J514</v>
      </c>
      <c r="P11" t="str">
        <v>J</v>
      </c>
    </row>
    <row r="12" spans="1:16" x14ac:dyDescent="0.2">
      <c r="A12"/>
      <c r="B12"/>
      <c r="C12"/>
      <c r="D12"/>
      <c r="E12" s="478"/>
      <c r="F12"/>
      <c r="G12"/>
      <c r="H12"/>
      <c r="I12"/>
      <c r="J12" t="b" cm="1">
        <f t="array" ref="J12">OR(WireSets[[#This Row],[serial_number]]=WireSetSNs)</f>
        <v>0</v>
      </c>
      <c r="K12" t="b" cm="1">
        <f t="array" ref="K12">OR(WireSets[[#This Row],[type]]=types)</f>
        <v>0</v>
      </c>
      <c r="L12" t="b">
        <f>OR(WireSets[[#This Row],[type_ok]], IF(sns_empty, types_empty, WireSets[[#This Row],[sn_ok]]))</f>
        <v>1</v>
      </c>
      <c r="O12" t="str">
        <v>J601-J610</v>
      </c>
      <c r="P12" t="str">
        <v>J</v>
      </c>
    </row>
    <row r="13" spans="1:16" x14ac:dyDescent="0.2">
      <c r="A13"/>
      <c r="B13"/>
      <c r="C13"/>
      <c r="D13"/>
      <c r="E13" s="478"/>
      <c r="F13"/>
      <c r="G13"/>
      <c r="H13"/>
      <c r="I13"/>
      <c r="J13" t="b" cm="1">
        <f t="array" ref="J13">OR(WireSets[[#This Row],[serial_number]]=WireSetSNs)</f>
        <v>0</v>
      </c>
      <c r="K13" t="b" cm="1">
        <f t="array" ref="K13">OR(WireSets[[#This Row],[type]]=types)</f>
        <v>0</v>
      </c>
      <c r="L13" t="b">
        <f>OR(WireSets[[#This Row],[type_ok]], IF(sns_empty, types_empty, WireSets[[#This Row],[sn_ok]]))</f>
        <v>1</v>
      </c>
      <c r="O13" t="str">
        <v>J701-J710</v>
      </c>
      <c r="P13" t="str">
        <v>J</v>
      </c>
    </row>
    <row r="14" spans="1:16" x14ac:dyDescent="0.2">
      <c r="A14"/>
      <c r="B14"/>
      <c r="C14"/>
      <c r="D14"/>
      <c r="E14" s="478"/>
      <c r="F14"/>
      <c r="G14"/>
      <c r="H14"/>
      <c r="I14"/>
      <c r="J14" t="b" cm="1">
        <f t="array" ref="J14">OR(WireSets[[#This Row],[serial_number]]=WireSetSNs)</f>
        <v>0</v>
      </c>
      <c r="K14" t="b" cm="1">
        <f t="array" ref="K14">OR(WireSets[[#This Row],[type]]=types)</f>
        <v>0</v>
      </c>
      <c r="L14" t="b">
        <f>OR(WireSets[[#This Row],[type_ok]], IF(sns_empty, types_empty, WireSets[[#This Row],[sn_ok]]))</f>
        <v>1</v>
      </c>
      <c r="O14" t="str">
        <v>K01-K16</v>
      </c>
      <c r="P14" t="str">
        <v>K</v>
      </c>
    </row>
    <row r="15" spans="1:16" x14ac:dyDescent="0.2">
      <c r="A15"/>
      <c r="B15"/>
      <c r="C15"/>
      <c r="D15"/>
      <c r="E15" s="478"/>
      <c r="F15"/>
      <c r="G15"/>
      <c r="H15"/>
      <c r="I15"/>
      <c r="J15" t="b" cm="1">
        <f t="array" ref="J15">OR(WireSets[[#This Row],[serial_number]]=WireSetSNs)</f>
        <v>0</v>
      </c>
      <c r="K15" t="b" cm="1">
        <f t="array" ref="K15">OR(WireSets[[#This Row],[type]]=types)</f>
        <v>0</v>
      </c>
      <c r="L15" t="b">
        <f>OR(WireSets[[#This Row],[type_ok]], IF(sns_empty, types_empty, WireSets[[#This Row],[sn_ok]]))</f>
        <v>1</v>
      </c>
      <c r="O15" t="str">
        <v>K101 - K110</v>
      </c>
      <c r="P15" t="str">
        <v>K</v>
      </c>
    </row>
    <row r="16" spans="1:16" x14ac:dyDescent="0.2">
      <c r="A16"/>
      <c r="B16"/>
      <c r="C16"/>
      <c r="D16"/>
      <c r="E16" s="478"/>
      <c r="F16"/>
      <c r="G16"/>
      <c r="H16"/>
      <c r="I16"/>
      <c r="J16" t="b" cm="1">
        <f t="array" ref="J16">OR(WireSets[[#This Row],[serial_number]]=WireSetSNs)</f>
        <v>0</v>
      </c>
      <c r="K16" t="b" cm="1">
        <f t="array" ref="K16">OR(WireSets[[#This Row],[type]]=types)</f>
        <v>0</v>
      </c>
      <c r="L16" t="b">
        <f>OR(WireSets[[#This Row],[type_ok]], IF(sns_empty, types_empty, WireSets[[#This Row],[sn_ok]]))</f>
        <v>1</v>
      </c>
      <c r="O16" t="str">
        <v>K201-K214</v>
      </c>
      <c r="P16" t="str">
        <v>K</v>
      </c>
    </row>
    <row r="17" spans="1:16" x14ac:dyDescent="0.2">
      <c r="A17"/>
      <c r="B17"/>
      <c r="C17"/>
      <c r="D17"/>
      <c r="E17" s="478"/>
      <c r="F17"/>
      <c r="G17"/>
      <c r="H17"/>
      <c r="I17"/>
      <c r="J17" t="b" cm="1">
        <f t="array" ref="J17">OR(WireSets[[#This Row],[serial_number]]=WireSetSNs)</f>
        <v>0</v>
      </c>
      <c r="K17" t="b" cm="1">
        <f t="array" ref="K17">OR(WireSets[[#This Row],[type]]=types)</f>
        <v>0</v>
      </c>
      <c r="L17" t="b">
        <f>OR(WireSets[[#This Row],[type_ok]], IF(sns_empty, types_empty, WireSets[[#This Row],[sn_ok]]))</f>
        <v>1</v>
      </c>
      <c r="O17" t="str">
        <v>K301-K314</v>
      </c>
      <c r="P17" t="str">
        <v>K</v>
      </c>
    </row>
    <row r="18" spans="1:16" x14ac:dyDescent="0.2">
      <c r="A18"/>
      <c r="B18"/>
      <c r="C18"/>
      <c r="D18"/>
      <c r="E18" s="478"/>
      <c r="F18"/>
      <c r="G18"/>
      <c r="H18"/>
      <c r="I18"/>
      <c r="J18" t="b" cm="1">
        <f t="array" ref="J18">OR(WireSets[[#This Row],[serial_number]]=WireSetSNs)</f>
        <v>0</v>
      </c>
      <c r="K18" t="b" cm="1">
        <f t="array" ref="K18">OR(WireSets[[#This Row],[type]]=types)</f>
        <v>0</v>
      </c>
      <c r="L18" t="b">
        <f>OR(WireSets[[#This Row],[type_ok]], IF(sns_empty, types_empty, WireSets[[#This Row],[sn_ok]]))</f>
        <v>1</v>
      </c>
      <c r="O18" t="str">
        <v>K401-K416</v>
      </c>
      <c r="P18" t="str">
        <v>K</v>
      </c>
    </row>
    <row r="19" spans="1:16" x14ac:dyDescent="0.2">
      <c r="A19"/>
      <c r="B19"/>
      <c r="C19"/>
      <c r="D19"/>
      <c r="E19" s="478"/>
      <c r="F19"/>
      <c r="G19"/>
      <c r="H19"/>
      <c r="I19"/>
      <c r="J19" t="b" cm="1">
        <f t="array" ref="J19">OR(WireSets[[#This Row],[serial_number]]=WireSetSNs)</f>
        <v>0</v>
      </c>
      <c r="K19" t="b" cm="1">
        <f t="array" ref="K19">OR(WireSets[[#This Row],[type]]=types)</f>
        <v>0</v>
      </c>
      <c r="L19" t="b">
        <f>OR(WireSets[[#This Row],[type_ok]], IF(sns_empty, types_empty, WireSets[[#This Row],[sn_ok]]))</f>
        <v>1</v>
      </c>
      <c r="O19" t="str">
        <v>K521-K534</v>
      </c>
      <c r="P19" t="str">
        <v>K</v>
      </c>
    </row>
    <row r="20" spans="1:16" x14ac:dyDescent="0.2">
      <c r="A20"/>
      <c r="B20"/>
      <c r="C20"/>
      <c r="D20"/>
      <c r="E20" s="478"/>
      <c r="F20"/>
      <c r="G20"/>
      <c r="H20"/>
      <c r="I20"/>
      <c r="J20" t="b" cm="1">
        <f t="array" ref="J20">OR(WireSets[[#This Row],[serial_number]]=WireSetSNs)</f>
        <v>0</v>
      </c>
      <c r="K20" t="b" cm="1">
        <f t="array" ref="K20">OR(WireSets[[#This Row],[type]]=types)</f>
        <v>0</v>
      </c>
      <c r="L20" t="b">
        <f>OR(WireSets[[#This Row],[type_ok]], IF(sns_empty, types_empty, WireSets[[#This Row],[sn_ok]]))</f>
        <v>1</v>
      </c>
      <c r="O20" t="str">
        <v>K601-K610</v>
      </c>
      <c r="P20" t="str">
        <v>K</v>
      </c>
    </row>
    <row r="21" spans="1:16" x14ac:dyDescent="0.2">
      <c r="A21"/>
      <c r="B21"/>
      <c r="C21"/>
      <c r="D21"/>
      <c r="E21" s="478"/>
      <c r="F21"/>
      <c r="G21"/>
      <c r="H21"/>
      <c r="I21"/>
      <c r="J21" t="b" cm="1">
        <f t="array" ref="J21">OR(WireSets[[#This Row],[serial_number]]=WireSetSNs)</f>
        <v>0</v>
      </c>
      <c r="K21" t="b" cm="1">
        <f t="array" ref="K21">OR(WireSets[[#This Row],[type]]=types)</f>
        <v>0</v>
      </c>
      <c r="L21" t="b">
        <f>OR(WireSets[[#This Row],[type_ok]], IF(sns_empty, types_empty, WireSets[[#This Row],[sn_ok]]))</f>
        <v>1</v>
      </c>
      <c r="O21" t="str">
        <v>K701-K710</v>
      </c>
      <c r="P21" t="str">
        <v>K</v>
      </c>
    </row>
    <row r="22" spans="1:16" x14ac:dyDescent="0.2">
      <c r="A22"/>
      <c r="B22"/>
      <c r="C22"/>
      <c r="D22"/>
      <c r="E22" s="478"/>
      <c r="F22"/>
      <c r="G22"/>
      <c r="H22"/>
      <c r="I22"/>
      <c r="J22" t="b" cm="1">
        <f t="array" ref="J22">OR(WireSets[[#This Row],[serial_number]]=WireSetSNs)</f>
        <v>0</v>
      </c>
      <c r="K22" t="b" cm="1">
        <f t="array" ref="K22">OR(WireSets[[#This Row],[type]]=types)</f>
        <v>0</v>
      </c>
      <c r="L22" t="b">
        <f>OR(WireSets[[#This Row],[type_ok]], IF(sns_empty, types_empty, WireSets[[#This Row],[sn_ok]]))</f>
        <v>1</v>
      </c>
      <c r="O22" t="str">
        <v>K801-K816</v>
      </c>
      <c r="P22" t="str">
        <v>K</v>
      </c>
    </row>
    <row r="23" spans="1:16" x14ac:dyDescent="0.2">
      <c r="A23"/>
      <c r="B23"/>
      <c r="C23"/>
      <c r="D23"/>
      <c r="E23" s="478"/>
      <c r="F23"/>
      <c r="G23"/>
      <c r="H23"/>
      <c r="I23"/>
      <c r="J23" t="b" cm="1">
        <f t="array" ref="J23">OR(WireSets[[#This Row],[serial_number]]=WireSetSNs)</f>
        <v>0</v>
      </c>
      <c r="K23" t="b" cm="1">
        <f t="array" ref="K23">OR(WireSets[[#This Row],[type]]=types)</f>
        <v>0</v>
      </c>
      <c r="L23" t="b">
        <f>OR(WireSets[[#This Row],[type_ok]], IF(sns_empty, types_empty, WireSets[[#This Row],[sn_ok]]))</f>
        <v>1</v>
      </c>
      <c r="O23" t="str">
        <v>K901-K910</v>
      </c>
      <c r="P23" t="str">
        <v>K</v>
      </c>
    </row>
    <row r="24" spans="1:16" x14ac:dyDescent="0.2">
      <c r="A24"/>
      <c r="B24"/>
      <c r="C24"/>
      <c r="D24"/>
      <c r="E24" s="478"/>
      <c r="F24"/>
      <c r="G24"/>
      <c r="H24"/>
      <c r="I24"/>
      <c r="J24" t="b" cm="1">
        <f t="array" ref="J24">OR(WireSets[[#This Row],[serial_number]]=WireSetSNs)</f>
        <v>0</v>
      </c>
      <c r="K24" t="b" cm="1">
        <f t="array" ref="K24">OR(WireSets[[#This Row],[type]]=types)</f>
        <v>0</v>
      </c>
      <c r="L24" t="b">
        <f>OR(WireSets[[#This Row],[type_ok]], IF(sns_empty, types_empty, WireSets[[#This Row],[sn_ok]]))</f>
        <v>1</v>
      </c>
      <c r="O24" t="str">
        <v>N01-N16</v>
      </c>
      <c r="P24" t="str">
        <v>N</v>
      </c>
    </row>
    <row r="25" spans="1:16" x14ac:dyDescent="0.2">
      <c r="A25"/>
      <c r="B25"/>
      <c r="C25"/>
      <c r="D25"/>
      <c r="E25" s="478"/>
      <c r="F25"/>
      <c r="G25"/>
      <c r="H25"/>
      <c r="I25"/>
      <c r="J25" t="b" cm="1">
        <f t="array" ref="J25">OR(WireSets[[#This Row],[serial_number]]=WireSetSNs)</f>
        <v>0</v>
      </c>
      <c r="K25" t="b" cm="1">
        <f t="array" ref="K25">OR(WireSets[[#This Row],[type]]=types)</f>
        <v>0</v>
      </c>
      <c r="L25" t="b">
        <f>OR(WireSets[[#This Row],[type_ok]], IF(sns_empty, types_empty, WireSets[[#This Row],[sn_ok]]))</f>
        <v>1</v>
      </c>
      <c r="O25" t="str">
        <v>N101-N112</v>
      </c>
      <c r="P25" t="str">
        <v>N</v>
      </c>
    </row>
    <row r="26" spans="1:16" x14ac:dyDescent="0.2">
      <c r="A26"/>
      <c r="B26"/>
      <c r="C26"/>
      <c r="D26"/>
      <c r="E26" s="478"/>
      <c r="F26"/>
      <c r="G26"/>
      <c r="H26"/>
      <c r="I26"/>
      <c r="J26" t="b" cm="1">
        <f t="array" ref="J26">OR(WireSets[[#This Row],[serial_number]]=WireSetSNs)</f>
        <v>0</v>
      </c>
      <c r="K26" t="b" cm="1">
        <f t="array" ref="K26">OR(WireSets[[#This Row],[type]]=types)</f>
        <v>0</v>
      </c>
      <c r="L26" t="b">
        <f>OR(WireSets[[#This Row],[type_ok]], IF(sns_empty, types_empty, WireSets[[#This Row],[sn_ok]]))</f>
        <v>1</v>
      </c>
      <c r="O26" t="str">
        <v>N21-N34</v>
      </c>
      <c r="P26" t="str">
        <v>N</v>
      </c>
    </row>
    <row r="27" spans="1:16" x14ac:dyDescent="0.2">
      <c r="A27"/>
      <c r="B27"/>
      <c r="C27"/>
      <c r="D27"/>
      <c r="E27" s="478"/>
      <c r="F27"/>
      <c r="G27"/>
      <c r="H27"/>
      <c r="I27"/>
      <c r="J27" t="b" cm="1">
        <f t="array" ref="J27">OR(WireSets[[#This Row],[serial_number]]=WireSetSNs)</f>
        <v>0</v>
      </c>
      <c r="K27" t="b" cm="1">
        <f t="array" ref="K27">OR(WireSets[[#This Row],[type]]=types)</f>
        <v>0</v>
      </c>
      <c r="L27" t="b">
        <f>OR(WireSets[[#This Row],[type_ok]], IF(sns_empty, types_empty, WireSets[[#This Row],[sn_ok]]))</f>
        <v>1</v>
      </c>
      <c r="O27" t="str">
        <v>SBP Set 1</v>
      </c>
      <c r="P27" t="str">
        <v>SBP</v>
      </c>
    </row>
    <row r="28" spans="1:16" x14ac:dyDescent="0.2">
      <c r="A28"/>
      <c r="B28"/>
      <c r="C28"/>
      <c r="D28"/>
      <c r="E28" s="478"/>
      <c r="F28"/>
      <c r="G28"/>
      <c r="H28"/>
      <c r="I28"/>
      <c r="J28" t="b" cm="1">
        <f t="array" ref="J28">OR(WireSets[[#This Row],[serial_number]]=WireSetSNs)</f>
        <v>0</v>
      </c>
      <c r="K28" t="b" cm="1">
        <f t="array" ref="K28">OR(WireSets[[#This Row],[type]]=types)</f>
        <v>0</v>
      </c>
      <c r="L28" t="b">
        <f>OR(WireSets[[#This Row],[type_ok]], IF(sns_empty, types_empty, WireSets[[#This Row],[sn_ok]]))</f>
        <v>1</v>
      </c>
      <c r="O28" t="str">
        <v>SBP Set 2</v>
      </c>
      <c r="P28" t="str">
        <v>SBP</v>
      </c>
    </row>
    <row r="29" spans="1:16" x14ac:dyDescent="0.2">
      <c r="A29"/>
      <c r="B29"/>
      <c r="C29"/>
      <c r="D29"/>
      <c r="E29" s="478"/>
      <c r="F29"/>
      <c r="G29"/>
      <c r="H29"/>
      <c r="I29"/>
      <c r="J29" t="b" cm="1">
        <f t="array" ref="J29">OR(WireSets[[#This Row],[serial_number]]=WireSetSNs)</f>
        <v>0</v>
      </c>
      <c r="K29" t="b" cm="1">
        <f t="array" ref="K29">OR(WireSets[[#This Row],[type]]=types)</f>
        <v>0</v>
      </c>
      <c r="L29" t="b">
        <f>OR(WireSets[[#This Row],[type_ok]], IF(sns_empty, types_empty, WireSets[[#This Row],[sn_ok]]))</f>
        <v>1</v>
      </c>
      <c r="O29" t="str">
        <v>T101-T108</v>
      </c>
      <c r="P29" t="str">
        <v>T</v>
      </c>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386</v>
      </c>
      <c r="E1" s="35" t="s">
        <v>387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6"/>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445</v>
      </c>
    </row>
    <row r="2" spans="1:8" x14ac:dyDescent="0.2">
      <c r="A2"/>
      <c r="B2"/>
      <c r="C2"/>
      <c r="E2" t="str" cm="1">
        <f t="array" ref="E2:E26">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065908N</v>
      </c>
      <c r="G4" t="str">
        <v/>
      </c>
    </row>
    <row r="5" spans="1:8" x14ac:dyDescent="0.2">
      <c r="A5"/>
      <c r="B5"/>
      <c r="C5"/>
      <c r="E5" t="str">
        <v>065908O</v>
      </c>
      <c r="G5" t="str">
        <v/>
      </c>
    </row>
    <row r="6" spans="1:8" x14ac:dyDescent="0.2">
      <c r="A6"/>
      <c r="B6"/>
      <c r="C6"/>
      <c r="E6" t="str">
        <v>072513B</v>
      </c>
      <c r="G6" t="str">
        <v/>
      </c>
    </row>
    <row r="7" spans="1:8" x14ac:dyDescent="0.2">
      <c r="A7"/>
      <c r="B7"/>
      <c r="C7"/>
      <c r="E7" t="str">
        <v>072513C</v>
      </c>
      <c r="G7" t="str">
        <v/>
      </c>
    </row>
    <row r="8" spans="1:8" x14ac:dyDescent="0.2">
      <c r="A8"/>
      <c r="B8"/>
      <c r="C8"/>
      <c r="E8" t="str">
        <v>072513F</v>
      </c>
    </row>
    <row r="9" spans="1:8" x14ac:dyDescent="0.2">
      <c r="A9"/>
      <c r="B9"/>
      <c r="C9"/>
      <c r="E9" t="str">
        <v>072513G</v>
      </c>
    </row>
    <row r="10" spans="1:8" x14ac:dyDescent="0.2">
      <c r="A10"/>
      <c r="B10"/>
      <c r="C10"/>
      <c r="E10" t="str">
        <v>072513H</v>
      </c>
    </row>
    <row r="11" spans="1:8" x14ac:dyDescent="0.2">
      <c r="A11"/>
      <c r="B11"/>
      <c r="C11"/>
      <c r="E11" t="str">
        <v>072513I</v>
      </c>
    </row>
    <row r="12" spans="1:8" x14ac:dyDescent="0.2">
      <c r="A12"/>
      <c r="B12"/>
      <c r="C12"/>
      <c r="E12" t="str">
        <v>072513K</v>
      </c>
    </row>
    <row r="13" spans="1:8" x14ac:dyDescent="0.2">
      <c r="A13"/>
      <c r="B13"/>
      <c r="C13"/>
      <c r="E13" t="str">
        <v>072513L</v>
      </c>
    </row>
    <row r="14" spans="1:8" x14ac:dyDescent="0.2">
      <c r="A14"/>
      <c r="B14"/>
      <c r="C14"/>
      <c r="E14" t="str">
        <v>072513M</v>
      </c>
    </row>
    <row r="15" spans="1:8" x14ac:dyDescent="0.2">
      <c r="A15"/>
      <c r="B15"/>
      <c r="C15"/>
      <c r="E15" t="str">
        <v>072513N</v>
      </c>
    </row>
    <row r="16" spans="1:8" x14ac:dyDescent="0.2">
      <c r="A16"/>
      <c r="B16"/>
      <c r="C16"/>
      <c r="E16" t="str">
        <v>074618A</v>
      </c>
      <c r="G16" s="37"/>
    </row>
    <row r="17" spans="1:5" x14ac:dyDescent="0.2">
      <c r="A17"/>
      <c r="B17"/>
      <c r="C17"/>
      <c r="E17" t="str">
        <v>074618B</v>
      </c>
    </row>
    <row r="18" spans="1:5" x14ac:dyDescent="0.2">
      <c r="A18"/>
      <c r="B18"/>
      <c r="C18"/>
      <c r="E18" t="str">
        <v>081197C</v>
      </c>
    </row>
    <row r="19" spans="1:5" x14ac:dyDescent="0.2">
      <c r="A19"/>
      <c r="B19"/>
      <c r="C19"/>
      <c r="E19" t="str">
        <v>081197D</v>
      </c>
    </row>
    <row r="20" spans="1:5" x14ac:dyDescent="0.2">
      <c r="A20"/>
      <c r="B20"/>
      <c r="C20"/>
      <c r="E20" t="str">
        <v>081197E</v>
      </c>
    </row>
    <row r="21" spans="1:5" x14ac:dyDescent="0.2">
      <c r="A21"/>
      <c r="B21"/>
      <c r="C21"/>
      <c r="E21" t="str">
        <v>081197G</v>
      </c>
    </row>
    <row r="22" spans="1:5" x14ac:dyDescent="0.2">
      <c r="A22"/>
      <c r="B22"/>
      <c r="C22"/>
      <c r="E22" t="str">
        <v>081197I</v>
      </c>
    </row>
    <row r="23" spans="1:5" x14ac:dyDescent="0.2">
      <c r="A23"/>
      <c r="B23"/>
      <c r="C23"/>
      <c r="E23" t="str">
        <v>081197J</v>
      </c>
    </row>
    <row r="24" spans="1:5" x14ac:dyDescent="0.2">
      <c r="A24"/>
      <c r="B24"/>
      <c r="C24"/>
      <c r="E24" t="str">
        <v>081197K</v>
      </c>
    </row>
    <row r="25" spans="1:5" x14ac:dyDescent="0.2">
      <c r="A25"/>
      <c r="B25"/>
      <c r="C25"/>
      <c r="E25" t="str">
        <v>081197S</v>
      </c>
    </row>
    <row r="26" spans="1:5" x14ac:dyDescent="0.2">
      <c r="A26"/>
      <c r="B26"/>
      <c r="C26"/>
      <c r="E26" t="str">
        <v>081197T</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339</v>
      </c>
      <c r="B1" s="37" t="s">
        <v>337</v>
      </c>
      <c r="C1" s="37" t="s">
        <v>338</v>
      </c>
    </row>
    <row r="2" spans="1:3" x14ac:dyDescent="0.2">
      <c r="A2" s="37" t="s">
        <v>336</v>
      </c>
      <c r="B2">
        <v>-100</v>
      </c>
      <c r="C2">
        <v>450</v>
      </c>
    </row>
    <row r="3" spans="1:3" x14ac:dyDescent="0.2">
      <c r="A3" s="37" t="s">
        <v>330</v>
      </c>
      <c r="B3">
        <v>-50</v>
      </c>
      <c r="C3">
        <v>450</v>
      </c>
    </row>
    <row r="4" spans="1:3" x14ac:dyDescent="0.2">
      <c r="A4" s="37" t="s">
        <v>329</v>
      </c>
      <c r="B4">
        <v>70</v>
      </c>
      <c r="C4">
        <v>500</v>
      </c>
    </row>
    <row r="5" spans="1:3" x14ac:dyDescent="0.2">
      <c r="A5" s="37" t="s">
        <v>331</v>
      </c>
      <c r="B5">
        <v>70</v>
      </c>
      <c r="C5">
        <v>450</v>
      </c>
    </row>
    <row r="6" spans="1:3" x14ac:dyDescent="0.2">
      <c r="A6" s="37" t="s">
        <v>333</v>
      </c>
      <c r="B6">
        <v>70</v>
      </c>
      <c r="C6">
        <v>1000</v>
      </c>
    </row>
    <row r="7" spans="1:3" x14ac:dyDescent="0.2">
      <c r="A7" s="37" t="s">
        <v>334</v>
      </c>
      <c r="B7">
        <v>200</v>
      </c>
      <c r="C7">
        <v>1850</v>
      </c>
    </row>
    <row r="8" spans="1:3" x14ac:dyDescent="0.2">
      <c r="A8" s="37" t="s">
        <v>332</v>
      </c>
      <c r="B8">
        <v>700</v>
      </c>
      <c r="C8">
        <v>2200</v>
      </c>
    </row>
    <row r="9" spans="1:3" x14ac:dyDescent="0.2">
      <c r="A9" s="37" t="s">
        <v>335</v>
      </c>
      <c r="B9">
        <v>700</v>
      </c>
      <c r="C9">
        <v>2200</v>
      </c>
    </row>
  </sheetData>
  <sheetProtection algorithmName="SHA-512" hashValue="r4kJwSRfdBIn84tp4tC/IB80Rz39zkh1iSOk5MxzJDSdAxVsii8bWzm1ldP7TROQUXvrbsqTaBAQD1b1D6RNwg==" saltValue="XIHa6QYLBrIcyUFSrsEMf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397</v>
      </c>
      <c r="F1" s="37" t="s">
        <v>202</v>
      </c>
      <c r="G1" s="37" t="s">
        <v>203</v>
      </c>
      <c r="H1" s="37" t="s">
        <v>400</v>
      </c>
      <c r="J1" s="544" t="s">
        <v>395</v>
      </c>
      <c r="K1" s="545"/>
      <c r="M1" s="403" t="s">
        <v>390</v>
      </c>
      <c r="N1" s="404" t="s">
        <v>394</v>
      </c>
      <c r="O1" s="404" t="s">
        <v>385</v>
      </c>
      <c r="P1" s="404" t="s">
        <v>14</v>
      </c>
      <c r="Q1" s="457" t="s">
        <v>449</v>
      </c>
      <c r="R1" s="457" t="s">
        <v>202</v>
      </c>
      <c r="S1" s="457" t="s">
        <v>203</v>
      </c>
      <c r="T1" s="457" t="s">
        <v>450</v>
      </c>
    </row>
    <row r="2" spans="1:20" x14ac:dyDescent="0.2">
      <c r="A2" s="392"/>
      <c r="J2" s="406" t="s">
        <v>391</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398</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402</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403</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401</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392</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393</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399</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P1" workbookViewId="0">
      <selection activeCell="AC2" sqref="AC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6"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0"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326</v>
      </c>
      <c r="I1" s="465" t="s">
        <v>452</v>
      </c>
      <c r="J1" s="465" t="s">
        <v>385</v>
      </c>
      <c r="K1" s="465" t="s">
        <v>451</v>
      </c>
      <c r="M1" s="465" t="s">
        <v>452</v>
      </c>
      <c r="N1" s="465" t="s">
        <v>735</v>
      </c>
      <c r="O1" s="465" t="s">
        <v>736</v>
      </c>
      <c r="P1" s="465" t="s">
        <v>86</v>
      </c>
      <c r="Q1" s="465" t="s">
        <v>472</v>
      </c>
      <c r="R1" s="465" t="s">
        <v>732</v>
      </c>
      <c r="S1" s="465" t="s">
        <v>733</v>
      </c>
      <c r="T1" s="465" t="s">
        <v>734</v>
      </c>
      <c r="W1" s="37" t="s">
        <v>737</v>
      </c>
      <c r="X1" s="37" t="s">
        <v>742</v>
      </c>
      <c r="Z1" s="471" t="s">
        <v>737</v>
      </c>
      <c r="AA1" s="472" t="s">
        <v>741</v>
      </c>
      <c r="AB1" s="1"/>
      <c r="AC1" s="473" t="s">
        <v>740</v>
      </c>
    </row>
    <row r="2" spans="1:29" ht="13.5" thickTop="1" x14ac:dyDescent="0.2">
      <c r="A2"/>
      <c r="B2"/>
      <c r="C2"/>
      <c r="D2"/>
      <c r="E2"/>
      <c r="F2" t="str">
        <f>LEFT(AllDaqbookOffsets[[#This Row],[traceability_no]],2)</f>
        <v>J1</v>
      </c>
      <c r="I2" t="e" cm="1" vm="1">
        <f t="array" ref="I2">_xlfn._xlws.FILTER(AllDaqbookOffsets[[point]:[Offset]],AllDaqbookOffsets[AssetTag]=DaqbookAssetTag)</f>
        <v>#VALUE!</v>
      </c>
      <c r="M2">
        <v>1</v>
      </c>
      <c r="N2" s="46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453</v>
      </c>
      <c r="X2" t="s">
        <v>165</v>
      </c>
      <c r="Z2" s="470" t="str" cm="1">
        <f t="array" ref="Z2:AA300">_xlfn._xlws.SORT(_xlfn.VSTACK(WireSNs[],_xlfn.UNIQUE(SBPOffsets[[probe_serial_number]:[SBP_Set]])))</f>
        <v>06A</v>
      </c>
      <c r="AA2" s="195" t="str">
        <v>SBP Set 1</v>
      </c>
      <c r="AC2" s="70" t="str" cm="1">
        <f t="array" ref="AC2:AC300">IF(COUNTA(WireSetSNs)&gt;0,
 _xlfn.LET(
  _xlpm.data,_xlfn.ANCHORARRAY($Z$2),
  _xlpm.sn,INDEX(_xlpm.data,,1),
  _xlpm.grp, INDEX(_xlpm.data,,2),
  _xlpm.sets,  _xlfn.TOROW(WireSetSNs,1),
  _xlfn.TOCOL(IF(ISNUMBER(_xlfn.XMATCH(_xlpm.grp,_xlpm.sets)), _xlpm.sn, NA()), 3)
 ),
INDEX(_xlfn.ANCHORARRAY($Z$2),,1))</f>
        <v>06A</v>
      </c>
    </row>
    <row r="3" spans="1:29" x14ac:dyDescent="0.2">
      <c r="A3"/>
      <c r="B3"/>
      <c r="C3"/>
      <c r="D3"/>
      <c r="E3"/>
      <c r="F3" t="str">
        <f>LEFT(AllDaqbookOffsets[[#This Row],[traceability_no]],2)</f>
        <v>J1</v>
      </c>
      <c r="M3">
        <v>2</v>
      </c>
      <c r="N3" s="46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454</v>
      </c>
      <c r="X3" t="s">
        <v>165</v>
      </c>
      <c r="Z3" s="470" t="str">
        <v>06B</v>
      </c>
      <c r="AA3" s="195" t="str">
        <v>SBP Set 1</v>
      </c>
      <c r="AC3" s="70" t="str">
        <v>06B</v>
      </c>
    </row>
    <row r="4" spans="1:29" x14ac:dyDescent="0.2">
      <c r="A4"/>
      <c r="B4"/>
      <c r="C4"/>
      <c r="D4"/>
      <c r="E4"/>
      <c r="F4" t="str">
        <f>LEFT(AllDaqbookOffsets[[#This Row],[traceability_no]],2)</f>
        <v>J1</v>
      </c>
      <c r="M4">
        <v>3</v>
      </c>
      <c r="N4" s="46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455</v>
      </c>
      <c r="X4" t="s">
        <v>165</v>
      </c>
      <c r="Z4" s="470" t="str">
        <v>06C</v>
      </c>
      <c r="AA4" s="195" t="str">
        <v>SBP Set 1</v>
      </c>
      <c r="AC4" s="70" t="str">
        <v>06C</v>
      </c>
    </row>
    <row r="5" spans="1:29" x14ac:dyDescent="0.2">
      <c r="A5"/>
      <c r="B5"/>
      <c r="C5"/>
      <c r="D5"/>
      <c r="E5"/>
      <c r="F5" t="str">
        <f>LEFT(AllDaqbookOffsets[[#This Row],[traceability_no]],2)</f>
        <v>J1</v>
      </c>
      <c r="M5">
        <v>4</v>
      </c>
      <c r="N5" s="46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456</v>
      </c>
      <c r="X5" t="s">
        <v>165</v>
      </c>
      <c r="Z5" s="470" t="str">
        <v>06D</v>
      </c>
      <c r="AA5" s="195" t="str">
        <v>SBP Set 1</v>
      </c>
      <c r="AC5" s="70" t="str">
        <v>06D</v>
      </c>
    </row>
    <row r="6" spans="1:29" x14ac:dyDescent="0.2">
      <c r="A6"/>
      <c r="B6"/>
      <c r="C6"/>
      <c r="D6"/>
      <c r="E6"/>
      <c r="F6" t="str">
        <f>LEFT(AllDaqbookOffsets[[#This Row],[traceability_no]],2)</f>
        <v>J1</v>
      </c>
      <c r="M6">
        <v>5</v>
      </c>
      <c r="N6" s="46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457</v>
      </c>
      <c r="X6" t="s">
        <v>165</v>
      </c>
      <c r="Z6" s="470" t="str">
        <v>06E</v>
      </c>
      <c r="AA6" s="195" t="str">
        <v>SBP Set 1</v>
      </c>
      <c r="AC6" s="70" t="str">
        <v>06E</v>
      </c>
    </row>
    <row r="7" spans="1:29" x14ac:dyDescent="0.2">
      <c r="A7"/>
      <c r="B7"/>
      <c r="C7"/>
      <c r="D7"/>
      <c r="E7"/>
      <c r="F7" t="str">
        <f>LEFT(AllDaqbookOffsets[[#This Row],[traceability_no]],2)</f>
        <v>J1</v>
      </c>
      <c r="M7">
        <v>6</v>
      </c>
      <c r="N7" s="46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458</v>
      </c>
      <c r="X7" t="s">
        <v>165</v>
      </c>
      <c r="Z7" s="470" t="str">
        <v>06F</v>
      </c>
      <c r="AA7" s="195" t="str">
        <v>SBP Set 1</v>
      </c>
      <c r="AC7" s="70" t="str">
        <v>06F</v>
      </c>
    </row>
    <row r="8" spans="1:29" x14ac:dyDescent="0.2">
      <c r="A8"/>
      <c r="B8"/>
      <c r="C8"/>
      <c r="D8"/>
      <c r="E8"/>
      <c r="F8" t="str">
        <f>LEFT(AllDaqbookOffsets[[#This Row],[traceability_no]],2)</f>
        <v>J1</v>
      </c>
      <c r="M8">
        <v>7</v>
      </c>
      <c r="N8" s="46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6" t="e" cm="1">
        <f t="array" ref="O8">IF(DaqbookInterp[[#This Row],[Include]],QRound(N8),NA())</f>
        <v>#N/A</v>
      </c>
      <c r="P8" t="e">
        <f>IF(DaqbookInterp[[#This Row],[Include]],Main!O11, NA())</f>
        <v>#N/A</v>
      </c>
      <c r="Q8" s="46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459</v>
      </c>
      <c r="X8" t="s">
        <v>165</v>
      </c>
      <c r="Z8" s="470" t="str">
        <v>10A</v>
      </c>
      <c r="AA8" s="195" t="str">
        <v>SBP Set 1</v>
      </c>
      <c r="AC8" s="70" t="str">
        <v>10A</v>
      </c>
    </row>
    <row r="9" spans="1:29" x14ac:dyDescent="0.2">
      <c r="A9"/>
      <c r="B9"/>
      <c r="C9"/>
      <c r="D9"/>
      <c r="E9"/>
      <c r="F9" t="str">
        <f>LEFT(AllDaqbookOffsets[[#This Row],[traceability_no]],2)</f>
        <v>J1</v>
      </c>
      <c r="M9">
        <v>8</v>
      </c>
      <c r="N9" s="46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6" t="e" cm="1">
        <f t="array" ref="O9">IF(DaqbookInterp[[#This Row],[Include]],QRound(N9),NA())</f>
        <v>#N/A</v>
      </c>
      <c r="P9" s="46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460</v>
      </c>
      <c r="X9" t="s">
        <v>165</v>
      </c>
      <c r="Z9" s="470" t="str">
        <v>10B</v>
      </c>
      <c r="AA9" s="195" t="str">
        <v>SBP Set 1</v>
      </c>
      <c r="AC9" s="70" t="str">
        <v>10B</v>
      </c>
    </row>
    <row r="10" spans="1:29" x14ac:dyDescent="0.2">
      <c r="A10"/>
      <c r="B10"/>
      <c r="C10"/>
      <c r="D10"/>
      <c r="E10"/>
      <c r="F10" t="str">
        <f>LEFT(AllDaqbookOffsets[[#This Row],[traceability_no]],2)</f>
        <v>J1</v>
      </c>
      <c r="M10">
        <v>9</v>
      </c>
      <c r="N10" s="46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461</v>
      </c>
      <c r="X10" t="s">
        <v>165</v>
      </c>
      <c r="Z10" s="470" t="str">
        <v>10C</v>
      </c>
      <c r="AA10" s="195" t="str">
        <v>SBP Set 1</v>
      </c>
      <c r="AC10" s="70" t="str">
        <v>10C</v>
      </c>
    </row>
    <row r="11" spans="1:29" x14ac:dyDescent="0.2">
      <c r="A11"/>
      <c r="B11"/>
      <c r="C11"/>
      <c r="D11"/>
      <c r="E11"/>
      <c r="F11" t="str">
        <f>LEFT(AllDaqbookOffsets[[#This Row],[traceability_no]],2)</f>
        <v>J1</v>
      </c>
      <c r="M11">
        <v>10</v>
      </c>
      <c r="N11" s="46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6" t="e" cm="1">
        <f t="array" ref="O11">IF(DaqbookInterp[[#This Row],[Include]],QRound(N11),NA())</f>
        <v>#N/A</v>
      </c>
      <c r="P11" t="e">
        <f>IF(DaqbookInterp[[#This Row],[Include]],Main!O14, NA())</f>
        <v>#N/A</v>
      </c>
      <c r="Q11" s="46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462</v>
      </c>
      <c r="X11" t="s">
        <v>165</v>
      </c>
      <c r="Z11" s="470" t="str">
        <v>10D</v>
      </c>
      <c r="AA11" s="195" t="str">
        <v>SBP Set 1</v>
      </c>
      <c r="AC11" s="70" t="str">
        <v>10D</v>
      </c>
    </row>
    <row r="12" spans="1:29" x14ac:dyDescent="0.2">
      <c r="A12"/>
      <c r="B12"/>
      <c r="C12"/>
      <c r="D12"/>
      <c r="E12"/>
      <c r="F12" t="str">
        <f>LEFT(AllDaqbookOffsets[[#This Row],[traceability_no]],2)</f>
        <v>J1</v>
      </c>
      <c r="M12">
        <v>11</v>
      </c>
      <c r="N12" s="46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465</v>
      </c>
      <c r="X12" t="s">
        <v>166</v>
      </c>
      <c r="Z12" s="470" t="str">
        <v>10E</v>
      </c>
      <c r="AA12" s="195" t="str">
        <v>SBP Set 1</v>
      </c>
      <c r="AC12" s="70" t="str">
        <v>10E</v>
      </c>
    </row>
    <row r="13" spans="1:29" x14ac:dyDescent="0.2">
      <c r="A13"/>
      <c r="B13"/>
      <c r="C13"/>
      <c r="D13"/>
      <c r="E13"/>
      <c r="F13" t="str">
        <f>LEFT(AllDaqbookOffsets[[#This Row],[traceability_no]],2)</f>
        <v>J1</v>
      </c>
      <c r="M13">
        <v>12</v>
      </c>
      <c r="N13" s="46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466</v>
      </c>
      <c r="X13" t="s">
        <v>166</v>
      </c>
      <c r="Z13" s="470" t="str">
        <v>210A</v>
      </c>
      <c r="AA13" s="195" t="str">
        <v>SBP Set 2</v>
      </c>
      <c r="AC13" s="70" t="str">
        <v>210A</v>
      </c>
    </row>
    <row r="14" spans="1:29" x14ac:dyDescent="0.2">
      <c r="A14"/>
      <c r="B14"/>
      <c r="C14"/>
      <c r="D14"/>
      <c r="E14"/>
      <c r="F14" t="str">
        <f>LEFT(AllDaqbookOffsets[[#This Row],[traceability_no]],2)</f>
        <v>J1</v>
      </c>
      <c r="M14">
        <v>13</v>
      </c>
      <c r="N14" s="46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467</v>
      </c>
      <c r="X14" t="s">
        <v>166</v>
      </c>
      <c r="Z14" s="470" t="str">
        <v>210B</v>
      </c>
      <c r="AA14" s="195" t="str">
        <v>SBP Set 2</v>
      </c>
      <c r="AC14" s="70" t="str">
        <v>210B</v>
      </c>
    </row>
    <row r="15" spans="1:29" x14ac:dyDescent="0.2">
      <c r="A15"/>
      <c r="B15"/>
      <c r="C15"/>
      <c r="D15"/>
      <c r="E15"/>
      <c r="F15" t="str">
        <f>LEFT(AllDaqbookOffsets[[#This Row],[traceability_no]],2)</f>
        <v>J1</v>
      </c>
      <c r="M15">
        <v>14</v>
      </c>
      <c r="N15" s="46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468</v>
      </c>
      <c r="X15" t="s">
        <v>166</v>
      </c>
      <c r="Z15" s="470" t="str">
        <v>210C</v>
      </c>
      <c r="AA15" s="195" t="str">
        <v>SBP Set 2</v>
      </c>
      <c r="AC15" s="70" t="str">
        <v>210C</v>
      </c>
    </row>
    <row r="16" spans="1:29" x14ac:dyDescent="0.2">
      <c r="A16"/>
      <c r="B16"/>
      <c r="C16"/>
      <c r="D16"/>
      <c r="E16"/>
      <c r="F16" t="str">
        <f>LEFT(AllDaqbookOffsets[[#This Row],[traceability_no]],2)</f>
        <v>J1</v>
      </c>
      <c r="M16">
        <v>15</v>
      </c>
      <c r="N16" s="46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469</v>
      </c>
      <c r="X16" t="s">
        <v>166</v>
      </c>
      <c r="Z16" s="470" t="str">
        <v>210D</v>
      </c>
      <c r="AA16" s="195" t="str">
        <v>SBP Set 2</v>
      </c>
      <c r="AC16" s="70" t="str">
        <v>210D</v>
      </c>
    </row>
    <row r="17" spans="1:29" x14ac:dyDescent="0.2">
      <c r="A17"/>
      <c r="B17"/>
      <c r="C17"/>
      <c r="D17"/>
      <c r="E17"/>
      <c r="F17" t="str">
        <f>LEFT(AllDaqbookOffsets[[#This Row],[traceability_no]],2)</f>
        <v>J1</v>
      </c>
      <c r="M17">
        <v>16</v>
      </c>
      <c r="N17" s="46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470</v>
      </c>
      <c r="X17" t="s">
        <v>166</v>
      </c>
      <c r="Z17" s="470" t="str">
        <v>210E</v>
      </c>
      <c r="AA17" s="195" t="str">
        <v>SBP Set 2</v>
      </c>
      <c r="AC17" s="70" t="str">
        <v>210E</v>
      </c>
    </row>
    <row r="18" spans="1:29" x14ac:dyDescent="0.2">
      <c r="A18"/>
      <c r="B18"/>
      <c r="C18"/>
      <c r="D18"/>
      <c r="E18"/>
      <c r="F18" t="str">
        <f>LEFT(AllDaqbookOffsets[[#This Row],[traceability_no]],2)</f>
        <v>J1</v>
      </c>
      <c r="M18">
        <v>17</v>
      </c>
      <c r="N18" s="46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471</v>
      </c>
      <c r="X18" t="s">
        <v>166</v>
      </c>
      <c r="Z18" s="470" t="str">
        <v>26A</v>
      </c>
      <c r="AA18" s="195" t="str">
        <v>SBP Set 2</v>
      </c>
      <c r="AC18" s="70" t="str">
        <v>26A</v>
      </c>
    </row>
    <row r="19" spans="1:29" x14ac:dyDescent="0.2">
      <c r="A19"/>
      <c r="B19"/>
      <c r="C19"/>
      <c r="D19"/>
      <c r="E19"/>
      <c r="F19" t="str">
        <f>LEFT(AllDaqbookOffsets[[#This Row],[traceability_no]],2)</f>
        <v>J1</v>
      </c>
      <c r="M19">
        <v>18</v>
      </c>
      <c r="N19" s="46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485</v>
      </c>
      <c r="X19" t="s">
        <v>166</v>
      </c>
      <c r="Z19" s="470" t="str">
        <v>26B</v>
      </c>
      <c r="AA19" s="195" t="str">
        <v>SBP Set 2</v>
      </c>
      <c r="AC19" s="70" t="str">
        <v>26B</v>
      </c>
    </row>
    <row r="20" spans="1:29" x14ac:dyDescent="0.2">
      <c r="A20"/>
      <c r="B20"/>
      <c r="C20"/>
      <c r="D20"/>
      <c r="E20"/>
      <c r="F20" t="str">
        <f>LEFT(AllDaqbookOffsets[[#This Row],[traceability_no]],2)</f>
        <v>J1</v>
      </c>
      <c r="M20">
        <v>19</v>
      </c>
      <c r="N20" s="46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486</v>
      </c>
      <c r="X20" t="s">
        <v>166</v>
      </c>
      <c r="Z20" s="470" t="str">
        <v>26C</v>
      </c>
      <c r="AA20" s="195" t="str">
        <v>SBP Set 2</v>
      </c>
      <c r="AC20" s="70" t="str">
        <v>26C</v>
      </c>
    </row>
    <row r="21" spans="1:29" x14ac:dyDescent="0.2">
      <c r="A21"/>
      <c r="B21"/>
      <c r="C21"/>
      <c r="D21"/>
      <c r="E21"/>
      <c r="F21" t="str">
        <f>LEFT(AllDaqbookOffsets[[#This Row],[traceability_no]],2)</f>
        <v>J1</v>
      </c>
      <c r="M21">
        <v>20</v>
      </c>
      <c r="N21" s="46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6" t="e" cm="1">
        <f t="array" ref="O21">IF(DaqbookInterp[[#This Row],[Include]],QRound(N21),NA())</f>
        <v>#N/A</v>
      </c>
      <c r="P21" s="46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463</v>
      </c>
      <c r="X21" t="s">
        <v>165</v>
      </c>
      <c r="Z21" s="470" t="str">
        <v>26D</v>
      </c>
      <c r="AA21" s="195" t="str">
        <v>SBP Set 2</v>
      </c>
      <c r="AC21" s="70" t="str">
        <v>26D</v>
      </c>
    </row>
    <row r="22" spans="1:29" x14ac:dyDescent="0.2">
      <c r="A22"/>
      <c r="B22"/>
      <c r="C22"/>
      <c r="D22"/>
      <c r="E22"/>
      <c r="F22" t="str">
        <f>LEFT(AllDaqbookOffsets[[#This Row],[traceability_no]],2)</f>
        <v>J1</v>
      </c>
      <c r="M22">
        <v>21</v>
      </c>
      <c r="N22" s="46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487</v>
      </c>
      <c r="X22" t="s">
        <v>166</v>
      </c>
      <c r="Z22" s="470" t="str">
        <v>26E</v>
      </c>
      <c r="AA22" s="195" t="str">
        <v>SBP Set 2</v>
      </c>
      <c r="AC22" s="70" t="str">
        <v>26E</v>
      </c>
    </row>
    <row r="23" spans="1:29" x14ac:dyDescent="0.2">
      <c r="A23"/>
      <c r="B23"/>
      <c r="C23"/>
      <c r="D23"/>
      <c r="E23"/>
      <c r="F23" t="str">
        <f>LEFT(AllDaqbookOffsets[[#This Row],[traceability_no]],2)</f>
        <v>J1</v>
      </c>
      <c r="M23">
        <v>22</v>
      </c>
      <c r="N23" s="46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488</v>
      </c>
      <c r="X23" t="s">
        <v>167</v>
      </c>
      <c r="Z23" s="470" t="str">
        <v>J01</v>
      </c>
      <c r="AA23" s="195" t="str">
        <v>J01-J24</v>
      </c>
      <c r="AC23" s="70" t="str">
        <v>J01</v>
      </c>
    </row>
    <row r="24" spans="1:29" x14ac:dyDescent="0.2">
      <c r="A24"/>
      <c r="B24"/>
      <c r="C24"/>
      <c r="D24"/>
      <c r="E24"/>
      <c r="F24" t="str">
        <f>LEFT(AllDaqbookOffsets[[#This Row],[traceability_no]],2)</f>
        <v>J1</v>
      </c>
      <c r="M24">
        <v>23</v>
      </c>
      <c r="N24" s="46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489</v>
      </c>
      <c r="X24" t="s">
        <v>167</v>
      </c>
      <c r="Z24" s="470" t="str">
        <v>J02</v>
      </c>
      <c r="AA24" s="195" t="str">
        <v>J01-J24</v>
      </c>
      <c r="AC24" s="70" t="str">
        <v>J02</v>
      </c>
    </row>
    <row r="25" spans="1:29" x14ac:dyDescent="0.2">
      <c r="A25"/>
      <c r="B25"/>
      <c r="C25"/>
      <c r="D25"/>
      <c r="E25"/>
      <c r="F25" t="str">
        <f>LEFT(AllDaqbookOffsets[[#This Row],[traceability_no]],2)</f>
        <v>J1</v>
      </c>
      <c r="M25">
        <v>24</v>
      </c>
      <c r="N25" s="46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490</v>
      </c>
      <c r="X25" t="s">
        <v>167</v>
      </c>
      <c r="Z25" s="470" t="str">
        <v>J03</v>
      </c>
      <c r="AA25" s="195" t="str">
        <v>J01-J24</v>
      </c>
      <c r="AC25" s="70" t="str">
        <v>J03</v>
      </c>
    </row>
    <row r="26" spans="1:29" x14ac:dyDescent="0.2">
      <c r="A26"/>
      <c r="B26"/>
      <c r="C26"/>
      <c r="D26"/>
      <c r="E26"/>
      <c r="F26" t="str">
        <f>LEFT(AllDaqbookOffsets[[#This Row],[traceability_no]],2)</f>
        <v>J1</v>
      </c>
      <c r="M26">
        <v>25</v>
      </c>
      <c r="N26" s="46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491</v>
      </c>
      <c r="X26" t="s">
        <v>167</v>
      </c>
      <c r="Z26" s="470" t="str">
        <v>J04</v>
      </c>
      <c r="AA26" s="195" t="str">
        <v>J01-J24</v>
      </c>
      <c r="AC26" s="70" t="str">
        <v>J04</v>
      </c>
    </row>
    <row r="27" spans="1:29" x14ac:dyDescent="0.2">
      <c r="A27"/>
      <c r="B27"/>
      <c r="C27"/>
      <c r="D27"/>
      <c r="E27"/>
      <c r="F27" t="str">
        <f>LEFT(AllDaqbookOffsets[[#This Row],[traceability_no]],2)</f>
        <v>J1</v>
      </c>
      <c r="M27">
        <v>26</v>
      </c>
      <c r="N27" s="46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6" t="e" cm="1">
        <f t="array" ref="O27">IF(DaqbookInterp[[#This Row],[Include]],QRound(N27),NA())</f>
        <v>#N/A</v>
      </c>
      <c r="P27" s="46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492</v>
      </c>
      <c r="X27" t="s">
        <v>167</v>
      </c>
      <c r="Z27" s="470" t="str">
        <v>J05</v>
      </c>
      <c r="AA27" s="195" t="str">
        <v>J01-J24</v>
      </c>
      <c r="AC27" s="70" t="str">
        <v>J05</v>
      </c>
    </row>
    <row r="28" spans="1:29" x14ac:dyDescent="0.2">
      <c r="A28"/>
      <c r="B28"/>
      <c r="C28"/>
      <c r="D28"/>
      <c r="E28"/>
      <c r="F28" t="str">
        <f>LEFT(AllDaqbookOffsets[[#This Row],[traceability_no]],2)</f>
        <v>J1</v>
      </c>
      <c r="M28">
        <v>27</v>
      </c>
      <c r="N28" s="46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493</v>
      </c>
      <c r="X28" t="s">
        <v>167</v>
      </c>
      <c r="Z28" s="470" t="str">
        <v>J06</v>
      </c>
      <c r="AA28" s="195" t="str">
        <v>J01-J24</v>
      </c>
      <c r="AC28" s="70" t="str">
        <v>J06</v>
      </c>
    </row>
    <row r="29" spans="1:29" x14ac:dyDescent="0.2">
      <c r="A29"/>
      <c r="B29"/>
      <c r="C29"/>
      <c r="D29"/>
      <c r="E29"/>
      <c r="F29" t="str">
        <f>LEFT(AllDaqbookOffsets[[#This Row],[traceability_no]],2)</f>
        <v>J1</v>
      </c>
      <c r="M29">
        <v>28</v>
      </c>
      <c r="N29" s="46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494</v>
      </c>
      <c r="X29" t="s">
        <v>167</v>
      </c>
      <c r="Z29" s="470" t="str">
        <v>J07</v>
      </c>
      <c r="AA29" s="195" t="str">
        <v>J01-J24</v>
      </c>
      <c r="AC29" s="70" t="str">
        <v>J07</v>
      </c>
    </row>
    <row r="30" spans="1:29" x14ac:dyDescent="0.2">
      <c r="A30"/>
      <c r="B30"/>
      <c r="C30"/>
      <c r="D30"/>
      <c r="E30"/>
      <c r="F30" t="str">
        <f>LEFT(AllDaqbookOffsets[[#This Row],[traceability_no]],2)</f>
        <v>J1</v>
      </c>
      <c r="M30">
        <v>29</v>
      </c>
      <c r="N30" s="46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495</v>
      </c>
      <c r="X30" t="s">
        <v>167</v>
      </c>
      <c r="Z30" s="470" t="str">
        <v>J08</v>
      </c>
      <c r="AA30" s="195" t="str">
        <v>J01-J24</v>
      </c>
      <c r="AC30" s="70" t="str">
        <v>J08</v>
      </c>
    </row>
    <row r="31" spans="1:29" x14ac:dyDescent="0.2">
      <c r="A31"/>
      <c r="B31"/>
      <c r="C31"/>
      <c r="D31"/>
      <c r="E31"/>
      <c r="F31" t="str">
        <f>LEFT(AllDaqbookOffsets[[#This Row],[traceability_no]],2)</f>
        <v>J1</v>
      </c>
      <c r="M31">
        <v>30</v>
      </c>
      <c r="N31" s="46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496</v>
      </c>
      <c r="X31" t="s">
        <v>167</v>
      </c>
      <c r="Z31" s="470" t="str">
        <v>J09</v>
      </c>
      <c r="AA31" s="195" t="str">
        <v>J01-J24</v>
      </c>
      <c r="AC31" s="70" t="str">
        <v>J09</v>
      </c>
    </row>
    <row r="32" spans="1:29" x14ac:dyDescent="0.2">
      <c r="A32"/>
      <c r="B32"/>
      <c r="C32"/>
      <c r="D32"/>
      <c r="E32"/>
      <c r="F32" t="str">
        <f>LEFT(AllDaqbookOffsets[[#This Row],[traceability_no]],2)</f>
        <v>J1</v>
      </c>
      <c r="M32">
        <v>31</v>
      </c>
      <c r="N32" s="46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6" t="e" cm="1">
        <f t="array" ref="O32">IF(DaqbookInterp[[#This Row],[Include]],QRound(N32),NA())</f>
        <v>#N/A</v>
      </c>
      <c r="P32" s="46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464</v>
      </c>
      <c r="X32" t="s">
        <v>165</v>
      </c>
      <c r="Z32" s="470" t="str">
        <v>J10</v>
      </c>
      <c r="AA32" s="195" t="str">
        <v>J01-J24</v>
      </c>
      <c r="AC32" s="70" t="str">
        <v>J10</v>
      </c>
    </row>
    <row r="33" spans="1:29" x14ac:dyDescent="0.2">
      <c r="A33"/>
      <c r="B33"/>
      <c r="C33"/>
      <c r="D33"/>
      <c r="E33"/>
      <c r="F33" t="str">
        <f>LEFT(AllDaqbookOffsets[[#This Row],[traceability_no]],2)</f>
        <v>J1</v>
      </c>
      <c r="M33">
        <v>32</v>
      </c>
      <c r="N33" s="46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497</v>
      </c>
      <c r="X33" t="s">
        <v>167</v>
      </c>
      <c r="Z33" s="470" t="str">
        <v>J101</v>
      </c>
      <c r="AA33" s="195" t="str">
        <v>J101-J110</v>
      </c>
      <c r="AC33" s="70" t="str">
        <v>J101</v>
      </c>
    </row>
    <row r="34" spans="1:29" x14ac:dyDescent="0.2">
      <c r="A34"/>
      <c r="B34"/>
      <c r="C34"/>
      <c r="D34"/>
      <c r="E34"/>
      <c r="F34" t="str">
        <f>LEFT(AllDaqbookOffsets[[#This Row],[traceability_no]],2)</f>
        <v>J1</v>
      </c>
      <c r="M34">
        <v>33</v>
      </c>
      <c r="N34" s="46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473</v>
      </c>
      <c r="X34" t="s">
        <v>165</v>
      </c>
      <c r="Z34" s="470" t="str">
        <v>J102</v>
      </c>
      <c r="AA34" s="195" t="str">
        <v>J101-J110</v>
      </c>
      <c r="AC34" s="70" t="str">
        <v>J102</v>
      </c>
    </row>
    <row r="35" spans="1:29" x14ac:dyDescent="0.2">
      <c r="A35"/>
      <c r="B35"/>
      <c r="C35"/>
      <c r="D35"/>
      <c r="E35"/>
      <c r="F35" t="str">
        <f>LEFT(AllDaqbookOffsets[[#This Row],[traceability_no]],2)</f>
        <v>J1</v>
      </c>
      <c r="M35">
        <v>34</v>
      </c>
      <c r="N35" s="46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474</v>
      </c>
      <c r="X35" t="s">
        <v>165</v>
      </c>
      <c r="Z35" s="470" t="str">
        <v>J103</v>
      </c>
      <c r="AA35" s="195" t="str">
        <v>J101-J110</v>
      </c>
      <c r="AC35" s="70" t="str">
        <v>J103</v>
      </c>
    </row>
    <row r="36" spans="1:29" x14ac:dyDescent="0.2">
      <c r="A36"/>
      <c r="B36"/>
      <c r="C36"/>
      <c r="D36"/>
      <c r="E36"/>
      <c r="F36" t="str">
        <f>LEFT(AllDaqbookOffsets[[#This Row],[traceability_no]],2)</f>
        <v>J1</v>
      </c>
      <c r="M36">
        <v>35</v>
      </c>
      <c r="N36" s="46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475</v>
      </c>
      <c r="X36" t="s">
        <v>165</v>
      </c>
      <c r="Z36" s="470" t="str">
        <v>J104</v>
      </c>
      <c r="AA36" s="195" t="str">
        <v>J101-J110</v>
      </c>
      <c r="AC36" s="70" t="str">
        <v>J104</v>
      </c>
    </row>
    <row r="37" spans="1:29" x14ac:dyDescent="0.2">
      <c r="A37"/>
      <c r="B37"/>
      <c r="C37"/>
      <c r="D37"/>
      <c r="E37"/>
      <c r="F37" t="str">
        <f>LEFT(AllDaqbookOffsets[[#This Row],[traceability_no]],2)</f>
        <v>J1</v>
      </c>
      <c r="M37">
        <v>36</v>
      </c>
      <c r="N37" s="46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476</v>
      </c>
      <c r="X37" t="s">
        <v>165</v>
      </c>
      <c r="Z37" s="470" t="str">
        <v>J105</v>
      </c>
      <c r="AA37" s="195" t="str">
        <v>J101-J110</v>
      </c>
      <c r="AC37" s="70" t="str">
        <v>J105</v>
      </c>
    </row>
    <row r="38" spans="1:29" x14ac:dyDescent="0.2">
      <c r="A38"/>
      <c r="B38"/>
      <c r="C38"/>
      <c r="D38"/>
      <c r="E38"/>
      <c r="F38" t="str">
        <f>LEFT(AllDaqbookOffsets[[#This Row],[traceability_no]],2)</f>
        <v>J1</v>
      </c>
      <c r="M38">
        <v>37</v>
      </c>
      <c r="N38" s="46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477</v>
      </c>
      <c r="X38" t="s">
        <v>165</v>
      </c>
      <c r="Z38" s="470" t="str">
        <v>J106</v>
      </c>
      <c r="AA38" s="195" t="str">
        <v>J101-J110</v>
      </c>
      <c r="AC38" s="70" t="str">
        <v>J106</v>
      </c>
    </row>
    <row r="39" spans="1:29" x14ac:dyDescent="0.2">
      <c r="A39"/>
      <c r="B39"/>
      <c r="C39"/>
      <c r="D39"/>
      <c r="E39"/>
      <c r="F39" t="str">
        <f>LEFT(AllDaqbookOffsets[[#This Row],[traceability_no]],2)</f>
        <v>J1</v>
      </c>
      <c r="M39">
        <v>38</v>
      </c>
      <c r="N39" s="46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478</v>
      </c>
      <c r="X39" t="s">
        <v>165</v>
      </c>
      <c r="Z39" s="470" t="str">
        <v>J107</v>
      </c>
      <c r="AA39" s="195" t="str">
        <v>J101-J110</v>
      </c>
      <c r="AC39" s="70" t="str">
        <v>J107</v>
      </c>
    </row>
    <row r="40" spans="1:29" x14ac:dyDescent="0.2">
      <c r="A40"/>
      <c r="B40"/>
      <c r="C40"/>
      <c r="D40"/>
      <c r="E40"/>
      <c r="F40" t="str">
        <f>LEFT(AllDaqbookOffsets[[#This Row],[traceability_no]],2)</f>
        <v>J1</v>
      </c>
      <c r="M40">
        <v>39</v>
      </c>
      <c r="N40" s="46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479</v>
      </c>
      <c r="X40" t="s">
        <v>165</v>
      </c>
      <c r="Z40" s="470" t="str">
        <v>J108</v>
      </c>
      <c r="AA40" s="195" t="str">
        <v>J101-J110</v>
      </c>
      <c r="AC40" s="70" t="str">
        <v>J108</v>
      </c>
    </row>
    <row r="41" spans="1:29" x14ac:dyDescent="0.2">
      <c r="A41"/>
      <c r="B41"/>
      <c r="C41"/>
      <c r="D41"/>
      <c r="E41"/>
      <c r="F41" t="str">
        <f>LEFT(AllDaqbookOffsets[[#This Row],[traceability_no]],2)</f>
        <v>J1</v>
      </c>
      <c r="M41">
        <v>40</v>
      </c>
      <c r="N41" s="46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480</v>
      </c>
      <c r="X41" t="s">
        <v>165</v>
      </c>
      <c r="Z41" s="470" t="str">
        <v>J109</v>
      </c>
      <c r="AA41" s="195" t="str">
        <v>J101-J110</v>
      </c>
      <c r="AC41" s="70" t="str">
        <v>J109</v>
      </c>
    </row>
    <row r="42" spans="1:29" x14ac:dyDescent="0.2">
      <c r="A42"/>
      <c r="B42"/>
      <c r="C42"/>
      <c r="D42"/>
      <c r="E42"/>
      <c r="F42" t="str">
        <f>LEFT(AllDaqbookOffsets[[#This Row],[traceability_no]],2)</f>
        <v>J1</v>
      </c>
      <c r="W42" t="s">
        <v>498</v>
      </c>
      <c r="X42" t="s">
        <v>168</v>
      </c>
      <c r="Z42" s="470" t="str">
        <v>J11</v>
      </c>
      <c r="AA42" s="195" t="str">
        <v>J01-J24</v>
      </c>
      <c r="AC42" s="70" t="str">
        <v>J11</v>
      </c>
    </row>
    <row r="43" spans="1:29" x14ac:dyDescent="0.2">
      <c r="A43"/>
      <c r="B43"/>
      <c r="C43"/>
      <c r="D43"/>
      <c r="E43"/>
      <c r="F43" t="str">
        <f>LEFT(AllDaqbookOffsets[[#This Row],[traceability_no]],2)</f>
        <v>J1</v>
      </c>
      <c r="W43" t="s">
        <v>499</v>
      </c>
      <c r="X43" t="s">
        <v>168</v>
      </c>
      <c r="Z43" s="470" t="str">
        <v>J110</v>
      </c>
      <c r="AA43" s="195" t="str">
        <v>J101-J110</v>
      </c>
      <c r="AC43" s="70" t="str">
        <v>J110</v>
      </c>
    </row>
    <row r="44" spans="1:29" x14ac:dyDescent="0.2">
      <c r="A44"/>
      <c r="B44"/>
      <c r="C44"/>
      <c r="D44"/>
      <c r="E44"/>
      <c r="F44" t="str">
        <f>LEFT(AllDaqbookOffsets[[#This Row],[traceability_no]],2)</f>
        <v>J1</v>
      </c>
      <c r="W44" t="s">
        <v>500</v>
      </c>
      <c r="X44" t="s">
        <v>168</v>
      </c>
      <c r="Z44" s="470" t="str">
        <v>J111</v>
      </c>
      <c r="AA44" s="195" t="str">
        <v>J111-J120</v>
      </c>
      <c r="AC44" s="70" t="str">
        <v>J111</v>
      </c>
    </row>
    <row r="45" spans="1:29" x14ac:dyDescent="0.2">
      <c r="A45"/>
      <c r="B45"/>
      <c r="C45"/>
      <c r="D45"/>
      <c r="E45"/>
      <c r="F45" t="str">
        <f>LEFT(AllDaqbookOffsets[[#This Row],[traceability_no]],2)</f>
        <v>J1</v>
      </c>
      <c r="W45" t="s">
        <v>501</v>
      </c>
      <c r="X45" t="s">
        <v>168</v>
      </c>
      <c r="Z45" s="470" t="str">
        <v>J112</v>
      </c>
      <c r="AA45" s="195" t="str">
        <v>J111-J120</v>
      </c>
      <c r="AC45" s="70" t="str">
        <v>J112</v>
      </c>
    </row>
    <row r="46" spans="1:29" x14ac:dyDescent="0.2">
      <c r="A46"/>
      <c r="B46"/>
      <c r="C46"/>
      <c r="D46"/>
      <c r="E46"/>
      <c r="F46" t="str">
        <f>LEFT(AllDaqbookOffsets[[#This Row],[traceability_no]],2)</f>
        <v>J1</v>
      </c>
      <c r="W46" t="s">
        <v>502</v>
      </c>
      <c r="X46" t="s">
        <v>168</v>
      </c>
      <c r="Z46" s="470" t="str">
        <v>J113</v>
      </c>
      <c r="AA46" s="195" t="str">
        <v>J111-J120</v>
      </c>
      <c r="AC46" s="70" t="str">
        <v>J113</v>
      </c>
    </row>
    <row r="47" spans="1:29" x14ac:dyDescent="0.2">
      <c r="A47"/>
      <c r="B47"/>
      <c r="C47"/>
      <c r="D47"/>
      <c r="E47"/>
      <c r="F47" t="str">
        <f>LEFT(AllDaqbookOffsets[[#This Row],[traceability_no]],2)</f>
        <v>J1</v>
      </c>
      <c r="W47" t="s">
        <v>503</v>
      </c>
      <c r="X47" t="s">
        <v>168</v>
      </c>
      <c r="Z47" s="470" t="str">
        <v>J114</v>
      </c>
      <c r="AA47" s="195" t="str">
        <v>J111-J120</v>
      </c>
      <c r="AC47" s="70" t="str">
        <v>J114</v>
      </c>
    </row>
    <row r="48" spans="1:29" x14ac:dyDescent="0.2">
      <c r="A48"/>
      <c r="B48"/>
      <c r="C48"/>
      <c r="D48"/>
      <c r="E48"/>
      <c r="F48" t="str">
        <f>LEFT(AllDaqbookOffsets[[#This Row],[traceability_no]],2)</f>
        <v>J1</v>
      </c>
      <c r="W48" t="s">
        <v>504</v>
      </c>
      <c r="X48" t="s">
        <v>168</v>
      </c>
      <c r="Z48" s="470" t="str">
        <v>J115</v>
      </c>
      <c r="AA48" s="195" t="str">
        <v>J111-J120</v>
      </c>
      <c r="AC48" s="70" t="str">
        <v>J115</v>
      </c>
    </row>
    <row r="49" spans="1:29" x14ac:dyDescent="0.2">
      <c r="A49"/>
      <c r="B49"/>
      <c r="C49"/>
      <c r="D49"/>
      <c r="E49"/>
      <c r="F49" t="str">
        <f>LEFT(AllDaqbookOffsets[[#This Row],[traceability_no]],2)</f>
        <v>J1</v>
      </c>
      <c r="W49" t="s">
        <v>505</v>
      </c>
      <c r="X49" t="s">
        <v>168</v>
      </c>
      <c r="Z49" s="470" t="str">
        <v>J116</v>
      </c>
      <c r="AA49" s="195" t="str">
        <v>J111-J120</v>
      </c>
      <c r="AC49" s="70" t="str">
        <v>J116</v>
      </c>
    </row>
    <row r="50" spans="1:29" x14ac:dyDescent="0.2">
      <c r="A50"/>
      <c r="B50"/>
      <c r="C50"/>
      <c r="D50"/>
      <c r="E50"/>
      <c r="F50" t="str">
        <f>LEFT(AllDaqbookOffsets[[#This Row],[traceability_no]],2)</f>
        <v>J1</v>
      </c>
      <c r="W50" t="s">
        <v>506</v>
      </c>
      <c r="X50" t="s">
        <v>168</v>
      </c>
      <c r="Z50" s="470" t="str">
        <v>J117</v>
      </c>
      <c r="AA50" s="195" t="str">
        <v>J111-J120</v>
      </c>
      <c r="AC50" s="70" t="str">
        <v>J117</v>
      </c>
    </row>
    <row r="51" spans="1:29" x14ac:dyDescent="0.2">
      <c r="A51"/>
      <c r="B51"/>
      <c r="C51"/>
      <c r="D51"/>
      <c r="E51"/>
      <c r="F51" t="str">
        <f>LEFT(AllDaqbookOffsets[[#This Row],[traceability_no]],2)</f>
        <v>J1</v>
      </c>
      <c r="W51" t="s">
        <v>481</v>
      </c>
      <c r="X51" t="s">
        <v>165</v>
      </c>
      <c r="Z51" s="470" t="str">
        <v>J118</v>
      </c>
      <c r="AA51" s="195" t="str">
        <v>J111-J120</v>
      </c>
      <c r="AC51" s="70" t="str">
        <v>J118</v>
      </c>
    </row>
    <row r="52" spans="1:29" x14ac:dyDescent="0.2">
      <c r="A52"/>
      <c r="B52"/>
      <c r="C52"/>
      <c r="D52"/>
      <c r="E52"/>
      <c r="F52" t="str">
        <f>LEFT(AllDaqbookOffsets[[#This Row],[traceability_no]],2)</f>
        <v>J1</v>
      </c>
      <c r="W52" t="s">
        <v>507</v>
      </c>
      <c r="X52" t="s">
        <v>168</v>
      </c>
      <c r="Z52" s="470" t="str">
        <v>J119</v>
      </c>
      <c r="AA52" s="195" t="str">
        <v>J111-J120</v>
      </c>
      <c r="AC52" s="70" t="str">
        <v>J119</v>
      </c>
    </row>
    <row r="53" spans="1:29" x14ac:dyDescent="0.2">
      <c r="A53"/>
      <c r="B53"/>
      <c r="C53"/>
      <c r="D53"/>
      <c r="E53"/>
      <c r="F53" t="str">
        <f>LEFT(AllDaqbookOffsets[[#This Row],[traceability_no]],2)</f>
        <v>J1</v>
      </c>
      <c r="W53" t="s">
        <v>508</v>
      </c>
      <c r="X53" t="s">
        <v>168</v>
      </c>
      <c r="Z53" s="470" t="str">
        <v>J12</v>
      </c>
      <c r="AA53" s="195" t="str">
        <v>J01-J24</v>
      </c>
      <c r="AC53" s="70" t="str">
        <v>J12</v>
      </c>
    </row>
    <row r="54" spans="1:29" x14ac:dyDescent="0.2">
      <c r="A54"/>
      <c r="B54"/>
      <c r="C54"/>
      <c r="D54"/>
      <c r="E54"/>
      <c r="F54" t="str">
        <f>LEFT(AllDaqbookOffsets[[#This Row],[traceability_no]],2)</f>
        <v>J1</v>
      </c>
      <c r="W54" t="s">
        <v>509</v>
      </c>
      <c r="X54" t="s">
        <v>168</v>
      </c>
      <c r="Z54" s="470" t="str">
        <v>J120</v>
      </c>
      <c r="AA54" s="195" t="str">
        <v>J111-J120</v>
      </c>
      <c r="AC54" s="70" t="str">
        <v>J120</v>
      </c>
    </row>
    <row r="55" spans="1:29" x14ac:dyDescent="0.2">
      <c r="A55"/>
      <c r="B55"/>
      <c r="C55"/>
      <c r="D55"/>
      <c r="E55"/>
      <c r="F55" t="str">
        <f>LEFT(AllDaqbookOffsets[[#This Row],[traceability_no]],2)</f>
        <v>J1</v>
      </c>
      <c r="W55" t="s">
        <v>510</v>
      </c>
      <c r="X55" t="s">
        <v>168</v>
      </c>
      <c r="Z55" s="470" t="str">
        <v>J13</v>
      </c>
      <c r="AA55" s="195" t="str">
        <v>J01-J24</v>
      </c>
      <c r="AC55" s="70" t="str">
        <v>J13</v>
      </c>
    </row>
    <row r="56" spans="1:29" x14ac:dyDescent="0.2">
      <c r="A56"/>
      <c r="B56"/>
      <c r="C56"/>
      <c r="D56"/>
      <c r="E56"/>
      <c r="F56" t="str">
        <f>LEFT(AllDaqbookOffsets[[#This Row],[traceability_no]],2)</f>
        <v>J1</v>
      </c>
      <c r="W56" t="s">
        <v>511</v>
      </c>
      <c r="X56" t="s">
        <v>168</v>
      </c>
      <c r="Z56" s="470" t="str">
        <v>J14</v>
      </c>
      <c r="AA56" s="195" t="str">
        <v>J01-J24</v>
      </c>
      <c r="AC56" s="70" t="str">
        <v>J14</v>
      </c>
    </row>
    <row r="57" spans="1:29" x14ac:dyDescent="0.2">
      <c r="A57"/>
      <c r="B57"/>
      <c r="C57"/>
      <c r="D57"/>
      <c r="E57"/>
      <c r="F57" t="str">
        <f>LEFT(AllDaqbookOffsets[[#This Row],[traceability_no]],2)</f>
        <v>J1</v>
      </c>
      <c r="W57" t="s">
        <v>482</v>
      </c>
      <c r="X57" t="s">
        <v>165</v>
      </c>
      <c r="Z57" s="470" t="str">
        <v>J15</v>
      </c>
      <c r="AA57" s="195" t="str">
        <v>J01-J24</v>
      </c>
      <c r="AC57" s="70" t="str">
        <v>J15</v>
      </c>
    </row>
    <row r="58" spans="1:29" x14ac:dyDescent="0.2">
      <c r="A58"/>
      <c r="B58"/>
      <c r="C58"/>
      <c r="D58"/>
      <c r="E58"/>
      <c r="F58" t="str">
        <f>LEFT(AllDaqbookOffsets[[#This Row],[traceability_no]],2)</f>
        <v>J1</v>
      </c>
      <c r="W58" t="s">
        <v>483</v>
      </c>
      <c r="X58" t="s">
        <v>165</v>
      </c>
      <c r="Z58" s="470" t="str">
        <v>J16</v>
      </c>
      <c r="AA58" s="195" t="str">
        <v>J01-J24</v>
      </c>
      <c r="AC58" s="70" t="str">
        <v>J16</v>
      </c>
    </row>
    <row r="59" spans="1:29" x14ac:dyDescent="0.2">
      <c r="A59"/>
      <c r="B59"/>
      <c r="C59"/>
      <c r="D59"/>
      <c r="E59"/>
      <c r="F59" t="str">
        <f>LEFT(AllDaqbookOffsets[[#This Row],[traceability_no]],2)</f>
        <v>J1</v>
      </c>
      <c r="W59" t="s">
        <v>484</v>
      </c>
      <c r="X59" t="s">
        <v>165</v>
      </c>
      <c r="Z59" s="470" t="str">
        <v>J17</v>
      </c>
      <c r="AA59" s="195" t="str">
        <v>J01-J24</v>
      </c>
      <c r="AC59" s="70" t="str">
        <v>J17</v>
      </c>
    </row>
    <row r="60" spans="1:29" x14ac:dyDescent="0.2">
      <c r="A60"/>
      <c r="B60"/>
      <c r="C60"/>
      <c r="D60"/>
      <c r="E60"/>
      <c r="F60" t="str">
        <f>LEFT(AllDaqbookOffsets[[#This Row],[traceability_no]],2)</f>
        <v>J1</v>
      </c>
      <c r="W60" t="s">
        <v>512</v>
      </c>
      <c r="X60" t="s">
        <v>169</v>
      </c>
      <c r="Z60" s="470" t="str">
        <v>J18</v>
      </c>
      <c r="AA60" s="195" t="str">
        <v>J01-J24</v>
      </c>
      <c r="AC60" s="70" t="str">
        <v>J18</v>
      </c>
    </row>
    <row r="61" spans="1:29" x14ac:dyDescent="0.2">
      <c r="A61"/>
      <c r="B61"/>
      <c r="C61"/>
      <c r="D61"/>
      <c r="E61"/>
      <c r="F61" t="str">
        <f>LEFT(AllDaqbookOffsets[[#This Row],[traceability_no]],2)</f>
        <v>J1</v>
      </c>
      <c r="W61" t="s">
        <v>513</v>
      </c>
      <c r="X61" t="s">
        <v>169</v>
      </c>
      <c r="Z61" s="470" t="str">
        <v>J19</v>
      </c>
      <c r="AA61" s="195" t="str">
        <v>J01-J24</v>
      </c>
      <c r="AC61" s="70" t="str">
        <v>J19</v>
      </c>
    </row>
    <row r="62" spans="1:29" x14ac:dyDescent="0.2">
      <c r="A62"/>
      <c r="B62"/>
      <c r="C62"/>
      <c r="D62"/>
      <c r="E62"/>
      <c r="F62" t="str">
        <f>LEFT(AllDaqbookOffsets[[#This Row],[traceability_no]],2)</f>
        <v>J1</v>
      </c>
      <c r="W62" t="s">
        <v>514</v>
      </c>
      <c r="X62" t="s">
        <v>169</v>
      </c>
      <c r="Z62" s="470" t="str">
        <v>J20</v>
      </c>
      <c r="AA62" s="195" t="str">
        <v>J01-J24</v>
      </c>
      <c r="AC62" s="70" t="str">
        <v>J20</v>
      </c>
    </row>
    <row r="63" spans="1:29" x14ac:dyDescent="0.2">
      <c r="A63"/>
      <c r="B63"/>
      <c r="C63"/>
      <c r="D63"/>
      <c r="E63"/>
      <c r="F63" t="str">
        <f>LEFT(AllDaqbookOffsets[[#This Row],[traceability_no]],2)</f>
        <v>J1</v>
      </c>
      <c r="W63" t="s">
        <v>515</v>
      </c>
      <c r="X63" t="s">
        <v>169</v>
      </c>
      <c r="Z63" s="470" t="str">
        <v>J201</v>
      </c>
      <c r="AA63" s="195" t="str">
        <v>J201-J214</v>
      </c>
      <c r="AC63" s="70" t="str">
        <v>J201</v>
      </c>
    </row>
    <row r="64" spans="1:29" x14ac:dyDescent="0.2">
      <c r="A64"/>
      <c r="B64"/>
      <c r="C64"/>
      <c r="D64"/>
      <c r="E64"/>
      <c r="F64" t="str">
        <f>LEFT(AllDaqbookOffsets[[#This Row],[traceability_no]],2)</f>
        <v>J1</v>
      </c>
      <c r="W64" t="s">
        <v>516</v>
      </c>
      <c r="X64" t="s">
        <v>169</v>
      </c>
      <c r="Z64" s="470" t="str">
        <v>J202</v>
      </c>
      <c r="AA64" s="195" t="str">
        <v>J201-J214</v>
      </c>
      <c r="AC64" s="70" t="str">
        <v>J202</v>
      </c>
    </row>
    <row r="65" spans="1:29" x14ac:dyDescent="0.2">
      <c r="A65"/>
      <c r="B65"/>
      <c r="C65"/>
      <c r="D65"/>
      <c r="E65"/>
      <c r="F65" t="str">
        <f>LEFT(AllDaqbookOffsets[[#This Row],[traceability_no]],2)</f>
        <v>J1</v>
      </c>
      <c r="W65" t="s">
        <v>517</v>
      </c>
      <c r="X65" t="s">
        <v>169</v>
      </c>
      <c r="Z65" s="470" t="str">
        <v>J203</v>
      </c>
      <c r="AA65" s="195" t="str">
        <v>J201-J214</v>
      </c>
      <c r="AC65" s="70" t="str">
        <v>J203</v>
      </c>
    </row>
    <row r="66" spans="1:29" x14ac:dyDescent="0.2">
      <c r="A66"/>
      <c r="B66"/>
      <c r="C66"/>
      <c r="D66"/>
      <c r="E66"/>
      <c r="F66" t="str">
        <f>LEFT(AllDaqbookOffsets[[#This Row],[traceability_no]],2)</f>
        <v>J1</v>
      </c>
      <c r="W66" t="s">
        <v>518</v>
      </c>
      <c r="X66" t="s">
        <v>169</v>
      </c>
      <c r="Z66" s="470" t="str">
        <v>J204</v>
      </c>
      <c r="AA66" s="195" t="str">
        <v>J201-J214</v>
      </c>
      <c r="AC66" s="70" t="str">
        <v>J204</v>
      </c>
    </row>
    <row r="67" spans="1:29" x14ac:dyDescent="0.2">
      <c r="A67"/>
      <c r="B67"/>
      <c r="C67"/>
      <c r="D67"/>
      <c r="E67"/>
      <c r="F67" t="str">
        <f>LEFT(AllDaqbookOffsets[[#This Row],[traceability_no]],2)</f>
        <v>J1</v>
      </c>
      <c r="W67" t="s">
        <v>519</v>
      </c>
      <c r="X67" t="s">
        <v>169</v>
      </c>
      <c r="Z67" s="470" t="str">
        <v>J205</v>
      </c>
      <c r="AA67" s="195" t="str">
        <v>J201-J214</v>
      </c>
      <c r="AC67" s="70" t="str">
        <v>J205</v>
      </c>
    </row>
    <row r="68" spans="1:29" x14ac:dyDescent="0.2">
      <c r="A68"/>
      <c r="B68"/>
      <c r="C68"/>
      <c r="D68"/>
      <c r="E68"/>
      <c r="F68" t="str">
        <f>LEFT(AllDaqbookOffsets[[#This Row],[traceability_no]],2)</f>
        <v>J1</v>
      </c>
      <c r="W68" t="s">
        <v>520</v>
      </c>
      <c r="X68" t="s">
        <v>169</v>
      </c>
      <c r="Z68" s="470" t="str">
        <v>J206</v>
      </c>
      <c r="AA68" s="195" t="str">
        <v>J201-J214</v>
      </c>
      <c r="AC68" s="70" t="str">
        <v>J206</v>
      </c>
    </row>
    <row r="69" spans="1:29" x14ac:dyDescent="0.2">
      <c r="A69"/>
      <c r="B69"/>
      <c r="C69"/>
      <c r="D69"/>
      <c r="E69"/>
      <c r="F69" t="str">
        <f>LEFT(AllDaqbookOffsets[[#This Row],[traceability_no]],2)</f>
        <v>J1</v>
      </c>
      <c r="W69" t="s">
        <v>521</v>
      </c>
      <c r="X69" t="s">
        <v>169</v>
      </c>
      <c r="Z69" s="470" t="str">
        <v>J207</v>
      </c>
      <c r="AA69" s="195" t="str">
        <v>J201-J214</v>
      </c>
      <c r="AC69" s="70" t="str">
        <v>J207</v>
      </c>
    </row>
    <row r="70" spans="1:29" x14ac:dyDescent="0.2">
      <c r="A70"/>
      <c r="B70"/>
      <c r="C70"/>
      <c r="D70"/>
      <c r="E70"/>
      <c r="F70" t="str">
        <f>LEFT(AllDaqbookOffsets[[#This Row],[traceability_no]],2)</f>
        <v>J1</v>
      </c>
      <c r="W70" t="s">
        <v>522</v>
      </c>
      <c r="X70" t="s">
        <v>169</v>
      </c>
      <c r="Z70" s="470" t="str">
        <v>J208</v>
      </c>
      <c r="AA70" s="195" t="str">
        <v>J201-J214</v>
      </c>
      <c r="AC70" s="70" t="str">
        <v>J208</v>
      </c>
    </row>
    <row r="71" spans="1:29" x14ac:dyDescent="0.2">
      <c r="A71"/>
      <c r="B71"/>
      <c r="C71"/>
      <c r="D71"/>
      <c r="E71"/>
      <c r="F71" t="str">
        <f>LEFT(AllDaqbookOffsets[[#This Row],[traceability_no]],2)</f>
        <v>J1</v>
      </c>
      <c r="W71" t="s">
        <v>523</v>
      </c>
      <c r="X71" t="s">
        <v>169</v>
      </c>
      <c r="Z71" s="470" t="str">
        <v>J209</v>
      </c>
      <c r="AA71" s="195" t="str">
        <v>J201-J214</v>
      </c>
      <c r="AC71" s="70" t="str">
        <v>J209</v>
      </c>
    </row>
    <row r="72" spans="1:29" x14ac:dyDescent="0.2">
      <c r="A72"/>
      <c r="B72"/>
      <c r="C72"/>
      <c r="D72"/>
      <c r="E72"/>
      <c r="F72" t="str">
        <f>LEFT(AllDaqbookOffsets[[#This Row],[traceability_no]],2)</f>
        <v>J1</v>
      </c>
      <c r="W72" t="s">
        <v>524</v>
      </c>
      <c r="X72" t="s">
        <v>169</v>
      </c>
      <c r="Z72" s="470" t="str">
        <v>J21</v>
      </c>
      <c r="AA72" s="195" t="str">
        <v>J01-J24</v>
      </c>
      <c r="AC72" s="70" t="str">
        <v>J21</v>
      </c>
    </row>
    <row r="73" spans="1:29" x14ac:dyDescent="0.2">
      <c r="A73"/>
      <c r="B73"/>
      <c r="C73"/>
      <c r="D73"/>
      <c r="E73"/>
      <c r="F73" t="str">
        <f>LEFT(AllDaqbookOffsets[[#This Row],[traceability_no]],2)</f>
        <v>J1</v>
      </c>
      <c r="W73" t="s">
        <v>525</v>
      </c>
      <c r="X73" t="s">
        <v>169</v>
      </c>
      <c r="Z73" s="470" t="str">
        <v>J210</v>
      </c>
      <c r="AA73" s="195" t="str">
        <v>J201-J214</v>
      </c>
      <c r="AC73" s="70" t="str">
        <v>J210</v>
      </c>
    </row>
    <row r="74" spans="1:29" x14ac:dyDescent="0.2">
      <c r="A74"/>
      <c r="B74"/>
      <c r="C74"/>
      <c r="D74"/>
      <c r="E74"/>
      <c r="F74" t="str">
        <f>LEFT(AllDaqbookOffsets[[#This Row],[traceability_no]],2)</f>
        <v>J1</v>
      </c>
      <c r="W74" t="s">
        <v>526</v>
      </c>
      <c r="X74" t="s">
        <v>170</v>
      </c>
      <c r="Z74" s="470" t="str">
        <v>J211</v>
      </c>
      <c r="AA74" s="195" t="str">
        <v>J201-J214</v>
      </c>
      <c r="AC74" s="70" t="str">
        <v>J211</v>
      </c>
    </row>
    <row r="75" spans="1:29" x14ac:dyDescent="0.2">
      <c r="A75"/>
      <c r="B75"/>
      <c r="C75"/>
      <c r="D75"/>
      <c r="E75"/>
      <c r="F75" t="str">
        <f>LEFT(AllDaqbookOffsets[[#This Row],[traceability_no]],2)</f>
        <v>J1</v>
      </c>
      <c r="W75" t="s">
        <v>527</v>
      </c>
      <c r="X75" t="s">
        <v>170</v>
      </c>
      <c r="Z75" s="470" t="str">
        <v>J212</v>
      </c>
      <c r="AA75" s="195" t="str">
        <v>J201-J214</v>
      </c>
      <c r="AC75" s="70" t="str">
        <v>J212</v>
      </c>
    </row>
    <row r="76" spans="1:29" x14ac:dyDescent="0.2">
      <c r="A76"/>
      <c r="B76"/>
      <c r="C76"/>
      <c r="D76"/>
      <c r="E76"/>
      <c r="F76" t="str">
        <f>LEFT(AllDaqbookOffsets[[#This Row],[traceability_no]],2)</f>
        <v>J1</v>
      </c>
      <c r="W76" t="s">
        <v>528</v>
      </c>
      <c r="X76" t="s">
        <v>170</v>
      </c>
      <c r="Z76" s="470" t="str">
        <v>J213</v>
      </c>
      <c r="AA76" s="195" t="str">
        <v>J201-J214</v>
      </c>
      <c r="AC76" s="70" t="str">
        <v>J213</v>
      </c>
    </row>
    <row r="77" spans="1:29" x14ac:dyDescent="0.2">
      <c r="A77"/>
      <c r="B77"/>
      <c r="C77"/>
      <c r="D77"/>
      <c r="E77"/>
      <c r="F77" t="str">
        <f>LEFT(AllDaqbookOffsets[[#This Row],[traceability_no]],2)</f>
        <v>J1</v>
      </c>
      <c r="W77" t="s">
        <v>529</v>
      </c>
      <c r="X77" t="s">
        <v>170</v>
      </c>
      <c r="Z77" s="470" t="str">
        <v>J214</v>
      </c>
      <c r="AA77" s="195" t="str">
        <v>J201-J214</v>
      </c>
      <c r="AC77" s="70" t="str">
        <v>J214</v>
      </c>
    </row>
    <row r="78" spans="1:29" x14ac:dyDescent="0.2">
      <c r="A78"/>
      <c r="B78"/>
      <c r="C78"/>
      <c r="D78"/>
      <c r="E78"/>
      <c r="F78" t="str">
        <f>LEFT(AllDaqbookOffsets[[#This Row],[traceability_no]],2)</f>
        <v>J1</v>
      </c>
      <c r="W78" t="s">
        <v>530</v>
      </c>
      <c r="X78" t="s">
        <v>170</v>
      </c>
      <c r="Z78" s="470" t="str">
        <v>J22</v>
      </c>
      <c r="AA78" s="195" t="str">
        <v>J01-J24</v>
      </c>
      <c r="AC78" s="70" t="str">
        <v>J22</v>
      </c>
    </row>
    <row r="79" spans="1:29" x14ac:dyDescent="0.2">
      <c r="A79"/>
      <c r="B79"/>
      <c r="C79"/>
      <c r="D79"/>
      <c r="E79"/>
      <c r="F79" t="str">
        <f>LEFT(AllDaqbookOffsets[[#This Row],[traceability_no]],2)</f>
        <v>J1</v>
      </c>
      <c r="W79" t="s">
        <v>531</v>
      </c>
      <c r="X79" t="s">
        <v>170</v>
      </c>
      <c r="Z79" s="470" t="str">
        <v>J23</v>
      </c>
      <c r="AA79" s="195" t="str">
        <v>J01-J24</v>
      </c>
      <c r="AC79" s="70" t="str">
        <v>J23</v>
      </c>
    </row>
    <row r="80" spans="1:29" x14ac:dyDescent="0.2">
      <c r="A80"/>
      <c r="B80"/>
      <c r="C80"/>
      <c r="D80"/>
      <c r="E80"/>
      <c r="F80" t="str">
        <f>LEFT(AllDaqbookOffsets[[#This Row],[traceability_no]],2)</f>
        <v>J1</v>
      </c>
      <c r="W80" t="s">
        <v>532</v>
      </c>
      <c r="X80" t="s">
        <v>170</v>
      </c>
      <c r="Z80" s="470" t="str">
        <v>J24</v>
      </c>
      <c r="AA80" s="195" t="str">
        <v>J01-J24</v>
      </c>
      <c r="AC80" s="70" t="str">
        <v>J24</v>
      </c>
    </row>
    <row r="81" spans="1:29" x14ac:dyDescent="0.2">
      <c r="A81"/>
      <c r="B81"/>
      <c r="C81"/>
      <c r="D81"/>
      <c r="E81"/>
      <c r="F81" t="str">
        <f>LEFT(AllDaqbookOffsets[[#This Row],[traceability_no]],2)</f>
        <v>J1</v>
      </c>
      <c r="W81" t="s">
        <v>533</v>
      </c>
      <c r="X81" t="s">
        <v>170</v>
      </c>
      <c r="Z81" s="470" t="str">
        <v>J301</v>
      </c>
      <c r="AA81" s="195" t="str">
        <v>J301-J314</v>
      </c>
      <c r="AC81" s="70" t="str">
        <v>J301</v>
      </c>
    </row>
    <row r="82" spans="1:29" x14ac:dyDescent="0.2">
      <c r="A82"/>
      <c r="B82"/>
      <c r="C82"/>
      <c r="D82"/>
      <c r="E82"/>
      <c r="F82" t="str">
        <f>LEFT(AllDaqbookOffsets[[#This Row],[traceability_no]],2)</f>
        <v>J1</v>
      </c>
      <c r="W82" t="s">
        <v>534</v>
      </c>
      <c r="X82" t="s">
        <v>170</v>
      </c>
      <c r="Z82" s="470" t="str">
        <v>J302</v>
      </c>
      <c r="AA82" s="195" t="str">
        <v>J301-J314</v>
      </c>
      <c r="AC82" s="70" t="str">
        <v>J302</v>
      </c>
    </row>
    <row r="83" spans="1:29" x14ac:dyDescent="0.2">
      <c r="A83"/>
      <c r="B83"/>
      <c r="C83"/>
      <c r="D83"/>
      <c r="E83"/>
      <c r="F83" t="str">
        <f>LEFT(AllDaqbookOffsets[[#This Row],[traceability_no]],2)</f>
        <v>J1</v>
      </c>
      <c r="W83" t="s">
        <v>535</v>
      </c>
      <c r="X83" t="s">
        <v>170</v>
      </c>
      <c r="Z83" s="470" t="str">
        <v>J303</v>
      </c>
      <c r="AA83" s="195" t="str">
        <v>J301-J314</v>
      </c>
      <c r="AC83" s="70" t="str">
        <v>J303</v>
      </c>
    </row>
    <row r="84" spans="1:29" x14ac:dyDescent="0.2">
      <c r="A84"/>
      <c r="B84"/>
      <c r="C84"/>
      <c r="D84"/>
      <c r="E84"/>
      <c r="F84" t="str">
        <f>LEFT(AllDaqbookOffsets[[#This Row],[traceability_no]],2)</f>
        <v>J1</v>
      </c>
      <c r="W84" t="s">
        <v>536</v>
      </c>
      <c r="X84" t="s">
        <v>170</v>
      </c>
      <c r="Z84" s="470" t="str">
        <v>J304</v>
      </c>
      <c r="AA84" s="195" t="str">
        <v>J301-J314</v>
      </c>
      <c r="AC84" s="70" t="str">
        <v>J304</v>
      </c>
    </row>
    <row r="85" spans="1:29" x14ac:dyDescent="0.2">
      <c r="A85"/>
      <c r="B85"/>
      <c r="C85"/>
      <c r="D85"/>
      <c r="E85"/>
      <c r="F85" t="str">
        <f>LEFT(AllDaqbookOffsets[[#This Row],[traceability_no]],2)</f>
        <v>J1</v>
      </c>
      <c r="W85" t="s">
        <v>537</v>
      </c>
      <c r="X85" t="s">
        <v>170</v>
      </c>
      <c r="Z85" s="470" t="str">
        <v>J305</v>
      </c>
      <c r="AA85" s="195" t="str">
        <v>J301-J314</v>
      </c>
      <c r="AC85" s="70" t="str">
        <v>J305</v>
      </c>
    </row>
    <row r="86" spans="1:29" x14ac:dyDescent="0.2">
      <c r="A86"/>
      <c r="B86"/>
      <c r="C86"/>
      <c r="D86"/>
      <c r="E86"/>
      <c r="F86" t="str">
        <f>LEFT(AllDaqbookOffsets[[#This Row],[traceability_no]],2)</f>
        <v>J1</v>
      </c>
      <c r="W86" t="s">
        <v>538</v>
      </c>
      <c r="X86" t="s">
        <v>170</v>
      </c>
      <c r="Z86" s="470" t="str">
        <v>J306</v>
      </c>
      <c r="AA86" s="195" t="str">
        <v>J301-J314</v>
      </c>
      <c r="AC86" s="70" t="str">
        <v>J306</v>
      </c>
    </row>
    <row r="87" spans="1:29" x14ac:dyDescent="0.2">
      <c r="A87"/>
      <c r="B87"/>
      <c r="C87"/>
      <c r="D87"/>
      <c r="E87"/>
      <c r="F87" t="str">
        <f>LEFT(AllDaqbookOffsets[[#This Row],[traceability_no]],2)</f>
        <v>J1</v>
      </c>
      <c r="W87" t="s">
        <v>539</v>
      </c>
      <c r="X87" t="s">
        <v>170</v>
      </c>
      <c r="Z87" s="470" t="str">
        <v>J307</v>
      </c>
      <c r="AA87" s="195" t="str">
        <v>J301-J314</v>
      </c>
      <c r="AC87" s="70" t="str">
        <v>J307</v>
      </c>
    </row>
    <row r="88" spans="1:29" x14ac:dyDescent="0.2">
      <c r="A88"/>
      <c r="B88"/>
      <c r="C88"/>
      <c r="D88"/>
      <c r="E88"/>
      <c r="F88" t="str">
        <f>LEFT(AllDaqbookOffsets[[#This Row],[traceability_no]],2)</f>
        <v>J1</v>
      </c>
      <c r="W88" t="s">
        <v>540</v>
      </c>
      <c r="X88" t="s">
        <v>171</v>
      </c>
      <c r="Z88" s="470" t="str">
        <v>J308</v>
      </c>
      <c r="AA88" s="195" t="str">
        <v>J301-J314</v>
      </c>
      <c r="AC88" s="70" t="str">
        <v>J308</v>
      </c>
    </row>
    <row r="89" spans="1:29" x14ac:dyDescent="0.2">
      <c r="A89"/>
      <c r="B89"/>
      <c r="C89"/>
      <c r="D89"/>
      <c r="E89"/>
      <c r="F89" t="str">
        <f>LEFT(AllDaqbookOffsets[[#This Row],[traceability_no]],2)</f>
        <v>J1</v>
      </c>
      <c r="W89" t="s">
        <v>541</v>
      </c>
      <c r="X89" t="s">
        <v>171</v>
      </c>
      <c r="Z89" s="470" t="str">
        <v>J309</v>
      </c>
      <c r="AA89" s="195" t="str">
        <v>J301-J314</v>
      </c>
      <c r="AC89" s="70" t="str">
        <v>J309</v>
      </c>
    </row>
    <row r="90" spans="1:29" x14ac:dyDescent="0.2">
      <c r="A90"/>
      <c r="B90"/>
      <c r="C90"/>
      <c r="D90"/>
      <c r="E90"/>
      <c r="F90" t="str">
        <f>LEFT(AllDaqbookOffsets[[#This Row],[traceability_no]],2)</f>
        <v>J1</v>
      </c>
      <c r="W90" t="s">
        <v>542</v>
      </c>
      <c r="X90" t="s">
        <v>171</v>
      </c>
      <c r="Z90" s="470" t="str">
        <v>J310</v>
      </c>
      <c r="AA90" s="195" t="str">
        <v>J301-J314</v>
      </c>
      <c r="AC90" s="70" t="str">
        <v>J310</v>
      </c>
    </row>
    <row r="91" spans="1:29" x14ac:dyDescent="0.2">
      <c r="A91"/>
      <c r="B91"/>
      <c r="C91"/>
      <c r="D91"/>
      <c r="E91"/>
      <c r="F91" t="str">
        <f>LEFT(AllDaqbookOffsets[[#This Row],[traceability_no]],2)</f>
        <v>J1</v>
      </c>
      <c r="W91" t="s">
        <v>543</v>
      </c>
      <c r="X91" t="s">
        <v>171</v>
      </c>
      <c r="Z91" s="470" t="str">
        <v>J311</v>
      </c>
      <c r="AA91" s="195" t="str">
        <v>J301-J314</v>
      </c>
      <c r="AC91" s="70" t="str">
        <v>J311</v>
      </c>
    </row>
    <row r="92" spans="1:29" x14ac:dyDescent="0.2">
      <c r="A92"/>
      <c r="B92"/>
      <c r="C92"/>
      <c r="D92"/>
      <c r="E92"/>
      <c r="F92" t="str">
        <f>LEFT(AllDaqbookOffsets[[#This Row],[traceability_no]],2)</f>
        <v>J1</v>
      </c>
      <c r="W92" t="s">
        <v>544</v>
      </c>
      <c r="X92" t="s">
        <v>171</v>
      </c>
      <c r="Z92" s="470" t="str">
        <v>J312</v>
      </c>
      <c r="AA92" s="195" t="str">
        <v>J301-J314</v>
      </c>
      <c r="AC92" s="70" t="str">
        <v>J312</v>
      </c>
    </row>
    <row r="93" spans="1:29" x14ac:dyDescent="0.2">
      <c r="A93"/>
      <c r="B93"/>
      <c r="C93"/>
      <c r="D93"/>
      <c r="E93"/>
      <c r="F93" t="str">
        <f>LEFT(AllDaqbookOffsets[[#This Row],[traceability_no]],2)</f>
        <v>J1</v>
      </c>
      <c r="W93" t="s">
        <v>545</v>
      </c>
      <c r="X93" t="s">
        <v>171</v>
      </c>
      <c r="Z93" s="470" t="str">
        <v>J313</v>
      </c>
      <c r="AA93" s="195" t="str">
        <v>J301-J314</v>
      </c>
      <c r="AC93" s="70" t="str">
        <v>J313</v>
      </c>
    </row>
    <row r="94" spans="1:29" x14ac:dyDescent="0.2">
      <c r="A94"/>
      <c r="B94"/>
      <c r="C94"/>
      <c r="D94"/>
      <c r="E94"/>
      <c r="F94" t="str">
        <f>LEFT(AllDaqbookOffsets[[#This Row],[traceability_no]],2)</f>
        <v>J1</v>
      </c>
      <c r="W94" t="s">
        <v>546</v>
      </c>
      <c r="X94" t="s">
        <v>171</v>
      </c>
      <c r="Z94" s="470" t="str">
        <v>J314</v>
      </c>
      <c r="AA94" s="195" t="str">
        <v>J301-J314</v>
      </c>
      <c r="AC94" s="70" t="str">
        <v>J314</v>
      </c>
    </row>
    <row r="95" spans="1:29" x14ac:dyDescent="0.2">
      <c r="A95"/>
      <c r="B95"/>
      <c r="C95"/>
      <c r="D95"/>
      <c r="E95"/>
      <c r="F95" t="str">
        <f>LEFT(AllDaqbookOffsets[[#This Row],[traceability_no]],2)</f>
        <v>J1</v>
      </c>
      <c r="W95" t="s">
        <v>547</v>
      </c>
      <c r="X95" t="s">
        <v>171</v>
      </c>
      <c r="Z95" s="470" t="str">
        <v>J501</v>
      </c>
      <c r="AA95" s="195" t="str">
        <v>J501-J514</v>
      </c>
      <c r="AC95" s="70" t="str">
        <v>J501</v>
      </c>
    </row>
    <row r="96" spans="1:29" x14ac:dyDescent="0.2">
      <c r="A96"/>
      <c r="B96"/>
      <c r="C96"/>
      <c r="D96"/>
      <c r="E96"/>
      <c r="F96" t="str">
        <f>LEFT(AllDaqbookOffsets[[#This Row],[traceability_no]],2)</f>
        <v>J1</v>
      </c>
      <c r="W96" t="s">
        <v>548</v>
      </c>
      <c r="X96" t="s">
        <v>171</v>
      </c>
      <c r="Z96" s="470" t="str">
        <v>J502</v>
      </c>
      <c r="AA96" s="195" t="str">
        <v>J501-J514</v>
      </c>
      <c r="AC96" s="70" t="str">
        <v>J502</v>
      </c>
    </row>
    <row r="97" spans="1:29" x14ac:dyDescent="0.2">
      <c r="A97"/>
      <c r="B97"/>
      <c r="C97"/>
      <c r="D97"/>
      <c r="E97"/>
      <c r="F97" t="str">
        <f>LEFT(AllDaqbookOffsets[[#This Row],[traceability_no]],2)</f>
        <v>J1</v>
      </c>
      <c r="W97" t="s">
        <v>549</v>
      </c>
      <c r="X97" t="s">
        <v>171</v>
      </c>
      <c r="Z97" s="470" t="str">
        <v>J503</v>
      </c>
      <c r="AA97" s="195" t="str">
        <v>J501-J514</v>
      </c>
      <c r="AC97" s="70" t="str">
        <v>J503</v>
      </c>
    </row>
    <row r="98" spans="1:29" x14ac:dyDescent="0.2">
      <c r="A98"/>
      <c r="B98"/>
      <c r="C98"/>
      <c r="D98"/>
      <c r="E98"/>
      <c r="F98" t="str">
        <f>LEFT(AllDaqbookOffsets[[#This Row],[traceability_no]],2)</f>
        <v>J1</v>
      </c>
      <c r="W98" t="s">
        <v>550</v>
      </c>
      <c r="X98" t="s">
        <v>172</v>
      </c>
      <c r="Z98" s="470" t="str">
        <v>J504</v>
      </c>
      <c r="AA98" s="195" t="str">
        <v>J501-J514</v>
      </c>
      <c r="AC98" s="70" t="str">
        <v>J504</v>
      </c>
    </row>
    <row r="99" spans="1:29" x14ac:dyDescent="0.2">
      <c r="A99"/>
      <c r="B99"/>
      <c r="C99"/>
      <c r="D99"/>
      <c r="E99"/>
      <c r="F99" t="str">
        <f>LEFT(AllDaqbookOffsets[[#This Row],[traceability_no]],2)</f>
        <v>J1</v>
      </c>
      <c r="W99" t="s">
        <v>551</v>
      </c>
      <c r="X99" t="s">
        <v>172</v>
      </c>
      <c r="Z99" s="470" t="str">
        <v>J505</v>
      </c>
      <c r="AA99" s="195" t="str">
        <v>J501-J514</v>
      </c>
      <c r="AC99" s="70" t="str">
        <v>J505</v>
      </c>
    </row>
    <row r="100" spans="1:29" x14ac:dyDescent="0.2">
      <c r="A100"/>
      <c r="B100"/>
      <c r="C100"/>
      <c r="D100"/>
      <c r="E100"/>
      <c r="F100" t="str">
        <f>LEFT(AllDaqbookOffsets[[#This Row],[traceability_no]],2)</f>
        <v>J1</v>
      </c>
      <c r="W100" t="s">
        <v>552</v>
      </c>
      <c r="X100" t="s">
        <v>172</v>
      </c>
      <c r="Z100" s="470" t="str">
        <v>J506</v>
      </c>
      <c r="AA100" s="195" t="str">
        <v>J501-J514</v>
      </c>
      <c r="AC100" s="70" t="str">
        <v>J506</v>
      </c>
    </row>
    <row r="101" spans="1:29" x14ac:dyDescent="0.2">
      <c r="A101"/>
      <c r="B101"/>
      <c r="C101"/>
      <c r="D101"/>
      <c r="E101"/>
      <c r="F101" t="str">
        <f>LEFT(AllDaqbookOffsets[[#This Row],[traceability_no]],2)</f>
        <v>J1</v>
      </c>
      <c r="W101" t="s">
        <v>553</v>
      </c>
      <c r="X101" t="s">
        <v>172</v>
      </c>
      <c r="Z101" s="470" t="str">
        <v>J507</v>
      </c>
      <c r="AA101" s="195" t="str">
        <v>J501-J514</v>
      </c>
      <c r="AC101" s="70" t="str">
        <v>J507</v>
      </c>
    </row>
    <row r="102" spans="1:29" x14ac:dyDescent="0.2">
      <c r="A102"/>
      <c r="B102"/>
      <c r="C102"/>
      <c r="D102"/>
      <c r="E102"/>
      <c r="F102" t="str">
        <f>LEFT(AllDaqbookOffsets[[#This Row],[traceability_no]],2)</f>
        <v>J1</v>
      </c>
      <c r="W102" t="s">
        <v>554</v>
      </c>
      <c r="X102" t="s">
        <v>172</v>
      </c>
      <c r="Z102" s="470" t="str">
        <v>J508</v>
      </c>
      <c r="AA102" s="195" t="str">
        <v>J501-J514</v>
      </c>
      <c r="AC102" s="70" t="str">
        <v>J508</v>
      </c>
    </row>
    <row r="103" spans="1:29" x14ac:dyDescent="0.2">
      <c r="A103"/>
      <c r="B103"/>
      <c r="C103"/>
      <c r="D103"/>
      <c r="E103"/>
      <c r="F103" t="str">
        <f>LEFT(AllDaqbookOffsets[[#This Row],[traceability_no]],2)</f>
        <v>J1</v>
      </c>
      <c r="W103" t="s">
        <v>555</v>
      </c>
      <c r="X103" t="s">
        <v>172</v>
      </c>
      <c r="Z103" s="470" t="str">
        <v>J509</v>
      </c>
      <c r="AA103" s="195" t="str">
        <v>J501-J514</v>
      </c>
      <c r="AC103" s="70" t="str">
        <v>J509</v>
      </c>
    </row>
    <row r="104" spans="1:29" x14ac:dyDescent="0.2">
      <c r="A104"/>
      <c r="B104"/>
      <c r="C104"/>
      <c r="D104"/>
      <c r="E104"/>
      <c r="F104" t="str">
        <f>LEFT(AllDaqbookOffsets[[#This Row],[traceability_no]],2)</f>
        <v>J1</v>
      </c>
      <c r="W104" t="s">
        <v>556</v>
      </c>
      <c r="X104" t="s">
        <v>172</v>
      </c>
      <c r="Z104" s="470" t="str">
        <v>J510</v>
      </c>
      <c r="AA104" s="195" t="str">
        <v>J501-J514</v>
      </c>
      <c r="AC104" s="70" t="str">
        <v>J510</v>
      </c>
    </row>
    <row r="105" spans="1:29" x14ac:dyDescent="0.2">
      <c r="A105"/>
      <c r="B105"/>
      <c r="C105"/>
      <c r="D105"/>
      <c r="E105"/>
      <c r="F105" t="str">
        <f>LEFT(AllDaqbookOffsets[[#This Row],[traceability_no]],2)</f>
        <v>J1</v>
      </c>
      <c r="W105" t="s">
        <v>557</v>
      </c>
      <c r="X105" t="s">
        <v>172</v>
      </c>
      <c r="Z105" s="470" t="str">
        <v>J511</v>
      </c>
      <c r="AA105" s="195" t="str">
        <v>J501-J514</v>
      </c>
      <c r="AC105" s="70" t="str">
        <v>J511</v>
      </c>
    </row>
    <row r="106" spans="1:29" x14ac:dyDescent="0.2">
      <c r="A106"/>
      <c r="B106"/>
      <c r="C106"/>
      <c r="D106"/>
      <c r="E106"/>
      <c r="F106" t="str">
        <f>LEFT(AllDaqbookOffsets[[#This Row],[traceability_no]],2)</f>
        <v>J1</v>
      </c>
      <c r="W106" t="s">
        <v>558</v>
      </c>
      <c r="X106" t="s">
        <v>172</v>
      </c>
      <c r="Z106" s="470" t="str">
        <v>J512</v>
      </c>
      <c r="AA106" s="195" t="str">
        <v>J501-J514</v>
      </c>
      <c r="AC106" s="70" t="str">
        <v>J512</v>
      </c>
    </row>
    <row r="107" spans="1:29" x14ac:dyDescent="0.2">
      <c r="A107"/>
      <c r="B107"/>
      <c r="C107"/>
      <c r="D107"/>
      <c r="E107"/>
      <c r="F107" t="str">
        <f>LEFT(AllDaqbookOffsets[[#This Row],[traceability_no]],2)</f>
        <v>J1</v>
      </c>
      <c r="W107" t="s">
        <v>559</v>
      </c>
      <c r="X107" t="s">
        <v>172</v>
      </c>
      <c r="Z107" s="470" t="str">
        <v>J513</v>
      </c>
      <c r="AA107" s="195" t="str">
        <v>J501-J514</v>
      </c>
      <c r="AC107" s="70" t="str">
        <v>J513</v>
      </c>
    </row>
    <row r="108" spans="1:29" x14ac:dyDescent="0.2">
      <c r="A108"/>
      <c r="B108"/>
      <c r="C108"/>
      <c r="D108"/>
      <c r="E108"/>
      <c r="F108" t="str">
        <f>LEFT(AllDaqbookOffsets[[#This Row],[traceability_no]],2)</f>
        <v>J1</v>
      </c>
      <c r="W108" t="s">
        <v>560</v>
      </c>
      <c r="X108" t="s">
        <v>300</v>
      </c>
      <c r="Z108" s="470" t="str">
        <v>J514</v>
      </c>
      <c r="AA108" s="195" t="str">
        <v>J501-J514</v>
      </c>
      <c r="AC108" s="70" t="str">
        <v>J514</v>
      </c>
    </row>
    <row r="109" spans="1:29" x14ac:dyDescent="0.2">
      <c r="A109"/>
      <c r="B109"/>
      <c r="C109"/>
      <c r="D109"/>
      <c r="E109"/>
      <c r="F109" t="str">
        <f>LEFT(AllDaqbookOffsets[[#This Row],[traceability_no]],2)</f>
        <v>J1</v>
      </c>
      <c r="W109" t="s">
        <v>561</v>
      </c>
      <c r="X109" t="s">
        <v>300</v>
      </c>
      <c r="Z109" s="470" t="str">
        <v>J601</v>
      </c>
      <c r="AA109" s="195" t="str">
        <v>J601-J610</v>
      </c>
      <c r="AC109" s="70" t="str">
        <v>J601</v>
      </c>
    </row>
    <row r="110" spans="1:29" x14ac:dyDescent="0.2">
      <c r="A110"/>
      <c r="B110"/>
      <c r="C110"/>
      <c r="D110"/>
      <c r="E110"/>
      <c r="F110" t="str">
        <f>LEFT(AllDaqbookOffsets[[#This Row],[traceability_no]],2)</f>
        <v>J1</v>
      </c>
      <c r="W110" t="s">
        <v>562</v>
      </c>
      <c r="X110" t="s">
        <v>300</v>
      </c>
      <c r="Z110" s="470" t="str">
        <v>J602</v>
      </c>
      <c r="AA110" s="195" t="str">
        <v>J601-J610</v>
      </c>
      <c r="AC110" s="70" t="str">
        <v>J602</v>
      </c>
    </row>
    <row r="111" spans="1:29" x14ac:dyDescent="0.2">
      <c r="A111"/>
      <c r="B111"/>
      <c r="C111"/>
      <c r="D111"/>
      <c r="E111"/>
      <c r="F111" t="str">
        <f>LEFT(AllDaqbookOffsets[[#This Row],[traceability_no]],2)</f>
        <v>J1</v>
      </c>
      <c r="W111" t="s">
        <v>563</v>
      </c>
      <c r="X111" t="s">
        <v>300</v>
      </c>
      <c r="Z111" s="470" t="str">
        <v>J603</v>
      </c>
      <c r="AA111" s="195" t="str">
        <v>J601-J610</v>
      </c>
      <c r="AC111" s="70" t="str">
        <v>J603</v>
      </c>
    </row>
    <row r="112" spans="1:29" x14ac:dyDescent="0.2">
      <c r="A112"/>
      <c r="B112"/>
      <c r="C112"/>
      <c r="D112"/>
      <c r="E112"/>
      <c r="F112" t="str">
        <f>LEFT(AllDaqbookOffsets[[#This Row],[traceability_no]],2)</f>
        <v>J1</v>
      </c>
      <c r="W112" t="s">
        <v>564</v>
      </c>
      <c r="X112" t="s">
        <v>300</v>
      </c>
      <c r="Z112" s="470" t="str">
        <v>J604</v>
      </c>
      <c r="AA112" s="195" t="str">
        <v>J601-J610</v>
      </c>
      <c r="AC112" s="70" t="str">
        <v>J604</v>
      </c>
    </row>
    <row r="113" spans="1:29" x14ac:dyDescent="0.2">
      <c r="A113"/>
      <c r="B113"/>
      <c r="C113"/>
      <c r="D113"/>
      <c r="E113"/>
      <c r="F113" t="str">
        <f>LEFT(AllDaqbookOffsets[[#This Row],[traceability_no]],2)</f>
        <v>J1</v>
      </c>
      <c r="W113" t="s">
        <v>565</v>
      </c>
      <c r="X113" t="s">
        <v>300</v>
      </c>
      <c r="Z113" s="470" t="str">
        <v>J605</v>
      </c>
      <c r="AA113" s="195" t="str">
        <v>J601-J610</v>
      </c>
      <c r="AC113" s="70" t="str">
        <v>J605</v>
      </c>
    </row>
    <row r="114" spans="1:29" x14ac:dyDescent="0.2">
      <c r="A114"/>
      <c r="B114"/>
      <c r="C114"/>
      <c r="D114"/>
      <c r="E114"/>
      <c r="F114" t="str">
        <f>LEFT(AllDaqbookOffsets[[#This Row],[traceability_no]],2)</f>
        <v>J1</v>
      </c>
      <c r="W114" t="s">
        <v>566</v>
      </c>
      <c r="X114" t="s">
        <v>300</v>
      </c>
      <c r="Z114" s="470" t="str">
        <v>J606</v>
      </c>
      <c r="AA114" s="195" t="str">
        <v>J601-J610</v>
      </c>
      <c r="AC114" s="70" t="str">
        <v>J606</v>
      </c>
    </row>
    <row r="115" spans="1:29" x14ac:dyDescent="0.2">
      <c r="A115"/>
      <c r="B115"/>
      <c r="C115"/>
      <c r="D115"/>
      <c r="E115"/>
      <c r="F115" t="str">
        <f>LEFT(AllDaqbookOffsets[[#This Row],[traceability_no]],2)</f>
        <v>J1</v>
      </c>
      <c r="W115" t="s">
        <v>567</v>
      </c>
      <c r="X115" t="s">
        <v>300</v>
      </c>
      <c r="Z115" s="470" t="str">
        <v>J607</v>
      </c>
      <c r="AA115" s="195" t="str">
        <v>J601-J610</v>
      </c>
      <c r="AC115" s="70" t="str">
        <v>J607</v>
      </c>
    </row>
    <row r="116" spans="1:29" x14ac:dyDescent="0.2">
      <c r="A116"/>
      <c r="B116"/>
      <c r="C116"/>
      <c r="D116"/>
      <c r="E116"/>
      <c r="F116" t="str">
        <f>LEFT(AllDaqbookOffsets[[#This Row],[traceability_no]],2)</f>
        <v>J1</v>
      </c>
      <c r="W116" t="s">
        <v>568</v>
      </c>
      <c r="X116" t="s">
        <v>300</v>
      </c>
      <c r="Z116" s="470" t="str">
        <v>J608</v>
      </c>
      <c r="AA116" s="195" t="str">
        <v>J601-J610</v>
      </c>
      <c r="AC116" s="70" t="str">
        <v>J608</v>
      </c>
    </row>
    <row r="117" spans="1:29" x14ac:dyDescent="0.2">
      <c r="A117"/>
      <c r="B117"/>
      <c r="C117"/>
      <c r="D117"/>
      <c r="E117"/>
      <c r="F117" t="str">
        <f>LEFT(AllDaqbookOffsets[[#This Row],[traceability_no]],2)</f>
        <v>J1</v>
      </c>
      <c r="W117" t="s">
        <v>569</v>
      </c>
      <c r="X117" t="s">
        <v>300</v>
      </c>
      <c r="Z117" s="470" t="str">
        <v>J609</v>
      </c>
      <c r="AA117" s="195" t="str">
        <v>J601-J610</v>
      </c>
      <c r="AC117" s="70" t="str">
        <v>J609</v>
      </c>
    </row>
    <row r="118" spans="1:29" x14ac:dyDescent="0.2">
      <c r="A118"/>
      <c r="B118"/>
      <c r="C118"/>
      <c r="D118"/>
      <c r="E118"/>
      <c r="F118" t="str">
        <f>LEFT(AllDaqbookOffsets[[#This Row],[traceability_no]],2)</f>
        <v>J1</v>
      </c>
      <c r="W118" t="s">
        <v>576</v>
      </c>
      <c r="X118" t="s">
        <v>174</v>
      </c>
      <c r="Z118" s="470" t="str">
        <v>J610</v>
      </c>
      <c r="AA118" s="195" t="str">
        <v>J601-J610</v>
      </c>
      <c r="AC118" s="70" t="str">
        <v>J610</v>
      </c>
    </row>
    <row r="119" spans="1:29" x14ac:dyDescent="0.2">
      <c r="A119"/>
      <c r="B119"/>
      <c r="C119"/>
      <c r="D119"/>
      <c r="E119"/>
      <c r="F119" t="str">
        <f>LEFT(AllDaqbookOffsets[[#This Row],[traceability_no]],2)</f>
        <v>J1</v>
      </c>
      <c r="W119" t="s">
        <v>577</v>
      </c>
      <c r="X119" t="s">
        <v>174</v>
      </c>
      <c r="Z119" s="470" t="str">
        <v>J701</v>
      </c>
      <c r="AA119" s="195" t="str">
        <v>J701-J710</v>
      </c>
      <c r="AC119" s="70" t="str">
        <v>J701</v>
      </c>
    </row>
    <row r="120" spans="1:29" x14ac:dyDescent="0.2">
      <c r="A120"/>
      <c r="B120"/>
      <c r="C120"/>
      <c r="D120"/>
      <c r="E120"/>
      <c r="F120" t="str">
        <f>LEFT(AllDaqbookOffsets[[#This Row],[traceability_no]],2)</f>
        <v>J1</v>
      </c>
      <c r="W120" t="s">
        <v>578</v>
      </c>
      <c r="X120" t="s">
        <v>174</v>
      </c>
      <c r="Z120" s="470" t="str">
        <v>J702</v>
      </c>
      <c r="AA120" s="195" t="str">
        <v>J701-J710</v>
      </c>
      <c r="AC120" s="70" t="str">
        <v>J702</v>
      </c>
    </row>
    <row r="121" spans="1:29" x14ac:dyDescent="0.2">
      <c r="A121"/>
      <c r="B121"/>
      <c r="C121"/>
      <c r="D121"/>
      <c r="E121"/>
      <c r="F121" t="str">
        <f>LEFT(AllDaqbookOffsets[[#This Row],[traceability_no]],2)</f>
        <v>J1</v>
      </c>
      <c r="W121" t="s">
        <v>579</v>
      </c>
      <c r="X121" t="s">
        <v>174</v>
      </c>
      <c r="Z121" s="470" t="str">
        <v>J703</v>
      </c>
      <c r="AA121" s="195" t="str">
        <v>J701-J710</v>
      </c>
      <c r="AC121" s="70" t="str">
        <v>J703</v>
      </c>
    </row>
    <row r="122" spans="1:29" x14ac:dyDescent="0.2">
      <c r="A122"/>
      <c r="B122"/>
      <c r="C122"/>
      <c r="D122"/>
      <c r="E122"/>
      <c r="F122" t="str">
        <f>LEFT(AllDaqbookOffsets[[#This Row],[traceability_no]],2)</f>
        <v>J1</v>
      </c>
      <c r="W122" t="s">
        <v>580</v>
      </c>
      <c r="X122" t="s">
        <v>174</v>
      </c>
      <c r="Z122" s="470" t="str">
        <v>J704</v>
      </c>
      <c r="AA122" s="195" t="str">
        <v>J701-J710</v>
      </c>
      <c r="AC122" s="70" t="str">
        <v>J704</v>
      </c>
    </row>
    <row r="123" spans="1:29" x14ac:dyDescent="0.2">
      <c r="A123"/>
      <c r="B123"/>
      <c r="C123"/>
      <c r="D123"/>
      <c r="E123"/>
      <c r="F123" t="str">
        <f>LEFT(AllDaqbookOffsets[[#This Row],[traceability_no]],2)</f>
        <v>J1</v>
      </c>
      <c r="W123" t="s">
        <v>581</v>
      </c>
      <c r="X123" t="s">
        <v>174</v>
      </c>
      <c r="Z123" s="470" t="str">
        <v>J705</v>
      </c>
      <c r="AA123" s="195" t="str">
        <v>J701-J710</v>
      </c>
      <c r="AC123" s="70" t="str">
        <v>J705</v>
      </c>
    </row>
    <row r="124" spans="1:29" x14ac:dyDescent="0.2">
      <c r="A124"/>
      <c r="B124"/>
      <c r="C124"/>
      <c r="D124"/>
      <c r="E124"/>
      <c r="F124" t="str">
        <f>LEFT(AllDaqbookOffsets[[#This Row],[traceability_no]],2)</f>
        <v>J1</v>
      </c>
      <c r="W124" t="s">
        <v>582</v>
      </c>
      <c r="X124" t="s">
        <v>174</v>
      </c>
      <c r="Z124" s="470" t="str">
        <v>J706</v>
      </c>
      <c r="AA124" s="195" t="str">
        <v>J701-J710</v>
      </c>
      <c r="AC124" s="70" t="str">
        <v>J706</v>
      </c>
    </row>
    <row r="125" spans="1:29" x14ac:dyDescent="0.2">
      <c r="A125"/>
      <c r="B125"/>
      <c r="C125"/>
      <c r="D125"/>
      <c r="E125"/>
      <c r="F125" t="str">
        <f>LEFT(AllDaqbookOffsets[[#This Row],[traceability_no]],2)</f>
        <v>J1</v>
      </c>
      <c r="W125" t="s">
        <v>583</v>
      </c>
      <c r="X125" t="s">
        <v>174</v>
      </c>
      <c r="Z125" s="470" t="str">
        <v>J707</v>
      </c>
      <c r="AA125" s="195" t="str">
        <v>J701-J710</v>
      </c>
      <c r="AC125" s="70" t="str">
        <v>J707</v>
      </c>
    </row>
    <row r="126" spans="1:29" x14ac:dyDescent="0.2">
      <c r="A126"/>
      <c r="B126"/>
      <c r="C126"/>
      <c r="D126"/>
      <c r="E126"/>
      <c r="F126" t="str">
        <f>LEFT(AllDaqbookOffsets[[#This Row],[traceability_no]],2)</f>
        <v>J1</v>
      </c>
      <c r="W126" t="s">
        <v>584</v>
      </c>
      <c r="X126" t="s">
        <v>174</v>
      </c>
      <c r="Z126" s="470" t="str">
        <v>J708</v>
      </c>
      <c r="AA126" s="195" t="str">
        <v>J701-J710</v>
      </c>
      <c r="AC126" s="70" t="str">
        <v>J708</v>
      </c>
    </row>
    <row r="127" spans="1:29" x14ac:dyDescent="0.2">
      <c r="A127"/>
      <c r="B127"/>
      <c r="C127"/>
      <c r="D127"/>
      <c r="E127"/>
      <c r="F127" t="str">
        <f>LEFT(AllDaqbookOffsets[[#This Row],[traceability_no]],2)</f>
        <v>J1</v>
      </c>
      <c r="W127" t="s">
        <v>570</v>
      </c>
      <c r="X127" t="s">
        <v>300</v>
      </c>
      <c r="Z127" s="470" t="str">
        <v>J709</v>
      </c>
      <c r="AA127" s="195" t="str">
        <v>J701-J710</v>
      </c>
      <c r="AC127" s="70" t="str">
        <v>J709</v>
      </c>
    </row>
    <row r="128" spans="1:29" x14ac:dyDescent="0.2">
      <c r="A128"/>
      <c r="B128"/>
      <c r="C128"/>
      <c r="D128"/>
      <c r="E128"/>
      <c r="F128" t="str">
        <f>LEFT(AllDaqbookOffsets[[#This Row],[traceability_no]],2)</f>
        <v>J1</v>
      </c>
      <c r="W128" t="s">
        <v>585</v>
      </c>
      <c r="X128" t="s">
        <v>174</v>
      </c>
      <c r="Z128" s="470" t="str">
        <v>J710</v>
      </c>
      <c r="AA128" s="195" t="str">
        <v>J701-J710</v>
      </c>
      <c r="AC128" s="70" t="str">
        <v>J710</v>
      </c>
    </row>
    <row r="129" spans="1:29" x14ac:dyDescent="0.2">
      <c r="A129"/>
      <c r="B129"/>
      <c r="C129"/>
      <c r="D129"/>
      <c r="E129"/>
      <c r="F129" t="str">
        <f>LEFT(AllDaqbookOffsets[[#This Row],[traceability_no]],2)</f>
        <v>J1</v>
      </c>
      <c r="W129" t="s">
        <v>571</v>
      </c>
      <c r="X129" t="s">
        <v>300</v>
      </c>
      <c r="Z129" s="470" t="str">
        <v>K01</v>
      </c>
      <c r="AA129" s="195" t="str">
        <v>K01-K16</v>
      </c>
      <c r="AC129" s="70" t="str">
        <v>K01</v>
      </c>
    </row>
    <row r="130" spans="1:29" x14ac:dyDescent="0.2">
      <c r="A130"/>
      <c r="B130"/>
      <c r="C130"/>
      <c r="D130"/>
      <c r="E130"/>
      <c r="F130" t="str">
        <f>LEFT(AllDaqbookOffsets[[#This Row],[traceability_no]],2)</f>
        <v>J1</v>
      </c>
      <c r="W130" t="s">
        <v>572</v>
      </c>
      <c r="X130" t="s">
        <v>300</v>
      </c>
      <c r="Z130" s="470" t="str">
        <v>K02</v>
      </c>
      <c r="AA130" s="195" t="str">
        <v>K01-K16</v>
      </c>
      <c r="AC130" s="70" t="str">
        <v>K02</v>
      </c>
    </row>
    <row r="131" spans="1:29" x14ac:dyDescent="0.2">
      <c r="A131"/>
      <c r="B131"/>
      <c r="C131"/>
      <c r="D131"/>
      <c r="E131"/>
      <c r="F131" t="str">
        <f>LEFT(AllDaqbookOffsets[[#This Row],[traceability_no]],2)</f>
        <v>J1</v>
      </c>
      <c r="W131" t="s">
        <v>573</v>
      </c>
      <c r="X131" t="s">
        <v>300</v>
      </c>
      <c r="Z131" s="470" t="str">
        <v>K03</v>
      </c>
      <c r="AA131" s="195" t="str">
        <v>K01-K16</v>
      </c>
      <c r="AC131" s="70" t="str">
        <v>K03</v>
      </c>
    </row>
    <row r="132" spans="1:29" x14ac:dyDescent="0.2">
      <c r="A132"/>
      <c r="B132"/>
      <c r="C132"/>
      <c r="D132"/>
      <c r="E132"/>
      <c r="F132" t="str">
        <f>LEFT(AllDaqbookOffsets[[#This Row],[traceability_no]],2)</f>
        <v>J1</v>
      </c>
      <c r="W132" t="s">
        <v>574</v>
      </c>
      <c r="X132" t="s">
        <v>300</v>
      </c>
      <c r="Z132" s="470" t="str">
        <v>K04</v>
      </c>
      <c r="AA132" s="195" t="str">
        <v>K01-K16</v>
      </c>
      <c r="AC132" s="70" t="str">
        <v>K04</v>
      </c>
    </row>
    <row r="133" spans="1:29" x14ac:dyDescent="0.2">
      <c r="A133"/>
      <c r="B133"/>
      <c r="C133"/>
      <c r="D133"/>
      <c r="E133"/>
      <c r="F133" t="str">
        <f>LEFT(AllDaqbookOffsets[[#This Row],[traceability_no]],2)</f>
        <v>J1</v>
      </c>
      <c r="W133" t="s">
        <v>575</v>
      </c>
      <c r="X133" t="s">
        <v>300</v>
      </c>
      <c r="Z133" s="470" t="str">
        <v>K05</v>
      </c>
      <c r="AA133" s="195" t="str">
        <v>K01-K16</v>
      </c>
      <c r="AC133" s="70" t="str">
        <v>K05</v>
      </c>
    </row>
    <row r="134" spans="1:29" x14ac:dyDescent="0.2">
      <c r="A134"/>
      <c r="B134"/>
      <c r="C134"/>
      <c r="D134"/>
      <c r="E134"/>
      <c r="F134" t="str">
        <f>LEFT(AllDaqbookOffsets[[#This Row],[traceability_no]],2)</f>
        <v>J1</v>
      </c>
      <c r="W134" t="s">
        <v>586</v>
      </c>
      <c r="X134" t="s">
        <v>175</v>
      </c>
      <c r="Z134" s="470" t="str">
        <v>K06</v>
      </c>
      <c r="AA134" s="195" t="str">
        <v>K01-K16</v>
      </c>
      <c r="AC134" s="70" t="str">
        <v>K06</v>
      </c>
    </row>
    <row r="135" spans="1:29" x14ac:dyDescent="0.2">
      <c r="A135"/>
      <c r="B135"/>
      <c r="C135"/>
      <c r="D135"/>
      <c r="E135"/>
      <c r="F135" t="str">
        <f>LEFT(AllDaqbookOffsets[[#This Row],[traceability_no]],2)</f>
        <v>J1</v>
      </c>
      <c r="W135" t="s">
        <v>587</v>
      </c>
      <c r="X135" t="s">
        <v>175</v>
      </c>
      <c r="Z135" s="470" t="str">
        <v>K07</v>
      </c>
      <c r="AA135" s="195" t="str">
        <v>K01-K16</v>
      </c>
      <c r="AC135" s="70" t="str">
        <v>K07</v>
      </c>
    </row>
    <row r="136" spans="1:29" x14ac:dyDescent="0.2">
      <c r="A136"/>
      <c r="B136"/>
      <c r="C136"/>
      <c r="D136"/>
      <c r="E136"/>
      <c r="F136" t="str">
        <f>LEFT(AllDaqbookOffsets[[#This Row],[traceability_no]],2)</f>
        <v>J1</v>
      </c>
      <c r="W136" t="s">
        <v>588</v>
      </c>
      <c r="X136" t="s">
        <v>175</v>
      </c>
      <c r="Z136" s="470" t="str">
        <v>K08</v>
      </c>
      <c r="AA136" s="195" t="str">
        <v>K01-K16</v>
      </c>
      <c r="AC136" s="70" t="str">
        <v>K08</v>
      </c>
    </row>
    <row r="137" spans="1:29" x14ac:dyDescent="0.2">
      <c r="A137"/>
      <c r="B137"/>
      <c r="C137"/>
      <c r="D137"/>
      <c r="E137"/>
      <c r="F137" t="str">
        <f>LEFT(AllDaqbookOffsets[[#This Row],[traceability_no]],2)</f>
        <v>J1</v>
      </c>
      <c r="W137" t="s">
        <v>589</v>
      </c>
      <c r="X137" t="s">
        <v>175</v>
      </c>
      <c r="Z137" s="470" t="str">
        <v>K09</v>
      </c>
      <c r="AA137" s="195" t="str">
        <v>K01-K16</v>
      </c>
      <c r="AC137" s="70" t="str">
        <v>K09</v>
      </c>
    </row>
    <row r="138" spans="1:29" x14ac:dyDescent="0.2">
      <c r="A138"/>
      <c r="B138"/>
      <c r="C138"/>
      <c r="D138"/>
      <c r="E138"/>
      <c r="F138" t="str">
        <f>LEFT(AllDaqbookOffsets[[#This Row],[traceability_no]],2)</f>
        <v>J1</v>
      </c>
      <c r="W138" t="s">
        <v>590</v>
      </c>
      <c r="X138" t="s">
        <v>175</v>
      </c>
      <c r="Z138" s="470" t="str">
        <v>K10</v>
      </c>
      <c r="AA138" s="195" t="str">
        <v>K01-K16</v>
      </c>
      <c r="AC138" s="70" t="str">
        <v>K10</v>
      </c>
    </row>
    <row r="139" spans="1:29" x14ac:dyDescent="0.2">
      <c r="A139"/>
      <c r="B139"/>
      <c r="C139"/>
      <c r="D139"/>
      <c r="E139"/>
      <c r="F139" t="str">
        <f>LEFT(AllDaqbookOffsets[[#This Row],[traceability_no]],2)</f>
        <v>J1</v>
      </c>
      <c r="W139" t="s">
        <v>591</v>
      </c>
      <c r="X139" t="s">
        <v>175</v>
      </c>
      <c r="Z139" s="470" t="str">
        <v>K101</v>
      </c>
      <c r="AA139" s="195" t="str">
        <v>K101 - K110</v>
      </c>
      <c r="AC139" s="70" t="str">
        <v>K101</v>
      </c>
    </row>
    <row r="140" spans="1:29" x14ac:dyDescent="0.2">
      <c r="A140"/>
      <c r="B140"/>
      <c r="C140"/>
      <c r="D140"/>
      <c r="E140"/>
      <c r="F140" t="str">
        <f>LEFT(AllDaqbookOffsets[[#This Row],[traceability_no]],2)</f>
        <v>J1</v>
      </c>
      <c r="W140" t="s">
        <v>592</v>
      </c>
      <c r="X140" t="s">
        <v>175</v>
      </c>
      <c r="Z140" s="470" t="str">
        <v>K102</v>
      </c>
      <c r="AA140" s="195" t="str">
        <v>K101 - K110</v>
      </c>
      <c r="AC140" s="70" t="str">
        <v>K102</v>
      </c>
    </row>
    <row r="141" spans="1:29" x14ac:dyDescent="0.2">
      <c r="A141"/>
      <c r="B141"/>
      <c r="C141"/>
      <c r="D141"/>
      <c r="E141"/>
      <c r="F141" t="str">
        <f>LEFT(AllDaqbookOffsets[[#This Row],[traceability_no]],2)</f>
        <v>J1</v>
      </c>
      <c r="W141" t="s">
        <v>593</v>
      </c>
      <c r="X141" t="s">
        <v>175</v>
      </c>
      <c r="Z141" s="470" t="str">
        <v>K103</v>
      </c>
      <c r="AA141" s="195" t="str">
        <v>K101 - K110</v>
      </c>
      <c r="AC141" s="70" t="str">
        <v>K103</v>
      </c>
    </row>
    <row r="142" spans="1:29" x14ac:dyDescent="0.2">
      <c r="A142"/>
      <c r="B142"/>
      <c r="C142"/>
      <c r="D142"/>
      <c r="E142"/>
      <c r="F142" t="str">
        <f>LEFT(AllDaqbookOffsets[[#This Row],[traceability_no]],2)</f>
        <v>J1</v>
      </c>
      <c r="W142" t="s">
        <v>594</v>
      </c>
      <c r="X142" t="s">
        <v>175</v>
      </c>
      <c r="Z142" s="470" t="str">
        <v>K104</v>
      </c>
      <c r="AA142" s="195" t="str">
        <v>K101 - K110</v>
      </c>
      <c r="AC142" s="70" t="str">
        <v>K104</v>
      </c>
    </row>
    <row r="143" spans="1:29" x14ac:dyDescent="0.2">
      <c r="A143"/>
      <c r="B143"/>
      <c r="C143"/>
      <c r="D143"/>
      <c r="E143"/>
      <c r="F143" t="str">
        <f>LEFT(AllDaqbookOffsets[[#This Row],[traceability_no]],2)</f>
        <v>J1</v>
      </c>
      <c r="W143" t="s">
        <v>595</v>
      </c>
      <c r="X143" t="s">
        <v>175</v>
      </c>
      <c r="Z143" s="470" t="str">
        <v>K105</v>
      </c>
      <c r="AA143" s="195" t="str">
        <v>K101 - K110</v>
      </c>
      <c r="AC143" s="70" t="str">
        <v>K105</v>
      </c>
    </row>
    <row r="144" spans="1:29" x14ac:dyDescent="0.2">
      <c r="A144"/>
      <c r="B144"/>
      <c r="C144"/>
      <c r="D144"/>
      <c r="E144"/>
      <c r="F144" t="str">
        <f>LEFT(AllDaqbookOffsets[[#This Row],[traceability_no]],2)</f>
        <v>J1</v>
      </c>
      <c r="W144" t="s">
        <v>596</v>
      </c>
      <c r="X144" t="s">
        <v>175</v>
      </c>
      <c r="Z144" s="470" t="str">
        <v>K106</v>
      </c>
      <c r="AA144" s="195" t="str">
        <v>K101 - K110</v>
      </c>
      <c r="AC144" s="70" t="str">
        <v>K106</v>
      </c>
    </row>
    <row r="145" spans="1:29" x14ac:dyDescent="0.2">
      <c r="A145"/>
      <c r="B145"/>
      <c r="C145"/>
      <c r="D145"/>
      <c r="E145"/>
      <c r="F145" t="str">
        <f>LEFT(AllDaqbookOffsets[[#This Row],[traceability_no]],2)</f>
        <v>J1</v>
      </c>
      <c r="W145" t="s">
        <v>597</v>
      </c>
      <c r="X145" t="s">
        <v>175</v>
      </c>
      <c r="Z145" s="470" t="str">
        <v>K107</v>
      </c>
      <c r="AA145" s="195" t="str">
        <v>K101 - K110</v>
      </c>
      <c r="AC145" s="70" t="str">
        <v>K107</v>
      </c>
    </row>
    <row r="146" spans="1:29" x14ac:dyDescent="0.2">
      <c r="A146"/>
      <c r="B146"/>
      <c r="C146"/>
      <c r="D146"/>
      <c r="E146"/>
      <c r="F146" t="str">
        <f>LEFT(AllDaqbookOffsets[[#This Row],[traceability_no]],2)</f>
        <v>J1</v>
      </c>
      <c r="W146" t="s">
        <v>598</v>
      </c>
      <c r="X146" t="s">
        <v>175</v>
      </c>
      <c r="Z146" s="470" t="str">
        <v>K108</v>
      </c>
      <c r="AA146" s="195" t="str">
        <v>K101 - K110</v>
      </c>
      <c r="AC146" s="70" t="str">
        <v>K108</v>
      </c>
    </row>
    <row r="147" spans="1:29" x14ac:dyDescent="0.2">
      <c r="A147"/>
      <c r="B147"/>
      <c r="C147"/>
      <c r="D147"/>
      <c r="E147"/>
      <c r="F147" t="str">
        <f>LEFT(AllDaqbookOffsets[[#This Row],[traceability_no]],2)</f>
        <v>J1</v>
      </c>
      <c r="W147" t="s">
        <v>599</v>
      </c>
      <c r="X147" t="s">
        <v>175</v>
      </c>
      <c r="Z147" s="470" t="str">
        <v>K109</v>
      </c>
      <c r="AA147" s="195" t="str">
        <v>K101 - K110</v>
      </c>
      <c r="AC147" s="70" t="str">
        <v>K109</v>
      </c>
    </row>
    <row r="148" spans="1:29" x14ac:dyDescent="0.2">
      <c r="A148"/>
      <c r="B148"/>
      <c r="C148"/>
      <c r="D148"/>
      <c r="E148"/>
      <c r="F148" t="str">
        <f>LEFT(AllDaqbookOffsets[[#This Row],[traceability_no]],2)</f>
        <v>J1</v>
      </c>
      <c r="W148" t="s">
        <v>600</v>
      </c>
      <c r="X148" t="s">
        <v>176</v>
      </c>
      <c r="Z148" s="470" t="str">
        <v>K11</v>
      </c>
      <c r="AA148" s="195" t="str">
        <v>K01-K16</v>
      </c>
      <c r="AC148" s="70" t="str">
        <v>K11</v>
      </c>
    </row>
    <row r="149" spans="1:29" x14ac:dyDescent="0.2">
      <c r="A149"/>
      <c r="B149"/>
      <c r="C149"/>
      <c r="D149"/>
      <c r="E149"/>
      <c r="F149" t="str">
        <f>LEFT(AllDaqbookOffsets[[#This Row],[traceability_no]],2)</f>
        <v>J1</v>
      </c>
      <c r="W149" t="s">
        <v>601</v>
      </c>
      <c r="X149" t="s">
        <v>176</v>
      </c>
      <c r="Z149" s="470" t="str">
        <v>K110</v>
      </c>
      <c r="AA149" s="195" t="str">
        <v>K101 - K110</v>
      </c>
      <c r="AC149" s="70" t="str">
        <v>K110</v>
      </c>
    </row>
    <row r="150" spans="1:29" x14ac:dyDescent="0.2">
      <c r="A150"/>
      <c r="B150"/>
      <c r="C150"/>
      <c r="D150"/>
      <c r="E150"/>
      <c r="F150" t="str">
        <f>LEFT(AllDaqbookOffsets[[#This Row],[traceability_no]],2)</f>
        <v>J1</v>
      </c>
      <c r="W150" t="s">
        <v>602</v>
      </c>
      <c r="X150" t="s">
        <v>176</v>
      </c>
      <c r="Z150" s="470" t="str">
        <v>K12</v>
      </c>
      <c r="AA150" s="195" t="str">
        <v>K01-K16</v>
      </c>
      <c r="AC150" s="70" t="str">
        <v>K12</v>
      </c>
    </row>
    <row r="151" spans="1:29" x14ac:dyDescent="0.2">
      <c r="A151"/>
      <c r="B151"/>
      <c r="C151"/>
      <c r="D151"/>
      <c r="E151"/>
      <c r="F151" t="str">
        <f>LEFT(AllDaqbookOffsets[[#This Row],[traceability_no]],2)</f>
        <v>J1</v>
      </c>
      <c r="W151" t="s">
        <v>603</v>
      </c>
      <c r="X151" t="s">
        <v>176</v>
      </c>
      <c r="Z151" s="470" t="str">
        <v>K13</v>
      </c>
      <c r="AA151" s="195" t="str">
        <v>K01-K16</v>
      </c>
      <c r="AC151" s="70" t="str">
        <v>K13</v>
      </c>
    </row>
    <row r="152" spans="1:29" x14ac:dyDescent="0.2">
      <c r="A152"/>
      <c r="B152"/>
      <c r="C152"/>
      <c r="D152"/>
      <c r="E152"/>
      <c r="F152" t="str">
        <f>LEFT(AllDaqbookOffsets[[#This Row],[traceability_no]],2)</f>
        <v>J1</v>
      </c>
      <c r="W152" t="s">
        <v>604</v>
      </c>
      <c r="X152" t="s">
        <v>176</v>
      </c>
      <c r="Z152" s="470" t="str">
        <v>K14</v>
      </c>
      <c r="AA152" s="195" t="str">
        <v>K01-K16</v>
      </c>
      <c r="AC152" s="70" t="str">
        <v>K14</v>
      </c>
    </row>
    <row r="153" spans="1:29" x14ac:dyDescent="0.2">
      <c r="A153"/>
      <c r="B153"/>
      <c r="C153"/>
      <c r="D153"/>
      <c r="E153"/>
      <c r="F153" t="str">
        <f>LEFT(AllDaqbookOffsets[[#This Row],[traceability_no]],2)</f>
        <v>J1</v>
      </c>
      <c r="W153" t="s">
        <v>605</v>
      </c>
      <c r="X153" t="s">
        <v>176</v>
      </c>
      <c r="Z153" s="470" t="str">
        <v>K15</v>
      </c>
      <c r="AA153" s="195" t="str">
        <v>K01-K16</v>
      </c>
      <c r="AC153" s="70" t="str">
        <v>K15</v>
      </c>
    </row>
    <row r="154" spans="1:29" x14ac:dyDescent="0.2">
      <c r="A154"/>
      <c r="B154"/>
      <c r="C154"/>
      <c r="D154"/>
      <c r="E154"/>
      <c r="F154" t="str">
        <f>LEFT(AllDaqbookOffsets[[#This Row],[traceability_no]],2)</f>
        <v>J1</v>
      </c>
      <c r="W154" t="s">
        <v>606</v>
      </c>
      <c r="X154" t="s">
        <v>176</v>
      </c>
      <c r="Z154" s="470" t="str">
        <v>K16</v>
      </c>
      <c r="AA154" s="195" t="str">
        <v>K01-K16</v>
      </c>
      <c r="AC154" s="70" t="str">
        <v>K16</v>
      </c>
    </row>
    <row r="155" spans="1:29" x14ac:dyDescent="0.2">
      <c r="A155"/>
      <c r="B155"/>
      <c r="C155"/>
      <c r="D155"/>
      <c r="E155"/>
      <c r="F155" t="str">
        <f>LEFT(AllDaqbookOffsets[[#This Row],[traceability_no]],2)</f>
        <v>J1</v>
      </c>
      <c r="W155" t="s">
        <v>607</v>
      </c>
      <c r="X155" t="s">
        <v>176</v>
      </c>
      <c r="Z155" s="470" t="str">
        <v>K201</v>
      </c>
      <c r="AA155" s="195" t="str">
        <v>K201-K214</v>
      </c>
      <c r="AC155" s="70" t="str">
        <v>K201</v>
      </c>
    </row>
    <row r="156" spans="1:29" x14ac:dyDescent="0.2">
      <c r="A156"/>
      <c r="B156"/>
      <c r="C156"/>
      <c r="D156"/>
      <c r="E156"/>
      <c r="F156" t="str">
        <f>LEFT(AllDaqbookOffsets[[#This Row],[traceability_no]],2)</f>
        <v>J1</v>
      </c>
      <c r="W156" t="s">
        <v>608</v>
      </c>
      <c r="X156" t="s">
        <v>176</v>
      </c>
      <c r="Z156" s="470" t="str">
        <v>K202</v>
      </c>
      <c r="AA156" s="195" t="str">
        <v>K201-K214</v>
      </c>
      <c r="AC156" s="70" t="str">
        <v>K202</v>
      </c>
    </row>
    <row r="157" spans="1:29" x14ac:dyDescent="0.2">
      <c r="A157"/>
      <c r="B157"/>
      <c r="C157"/>
      <c r="D157"/>
      <c r="E157"/>
      <c r="F157" t="str">
        <f>LEFT(AllDaqbookOffsets[[#This Row],[traceability_no]],2)</f>
        <v>J1</v>
      </c>
      <c r="W157" t="s">
        <v>609</v>
      </c>
      <c r="X157" t="s">
        <v>176</v>
      </c>
      <c r="Z157" s="470" t="str">
        <v>K203</v>
      </c>
      <c r="AA157" s="195" t="str">
        <v>K201-K214</v>
      </c>
      <c r="AC157" s="70" t="str">
        <v>K203</v>
      </c>
    </row>
    <row r="158" spans="1:29" x14ac:dyDescent="0.2">
      <c r="A158"/>
      <c r="B158"/>
      <c r="C158"/>
      <c r="D158"/>
      <c r="E158"/>
      <c r="F158" t="str">
        <f>LEFT(AllDaqbookOffsets[[#This Row],[traceability_no]],2)</f>
        <v>J1</v>
      </c>
      <c r="W158" t="s">
        <v>610</v>
      </c>
      <c r="X158" t="s">
        <v>176</v>
      </c>
      <c r="Z158" s="470" t="str">
        <v>K204</v>
      </c>
      <c r="AA158" s="195" t="str">
        <v>K201-K214</v>
      </c>
      <c r="AC158" s="70" t="str">
        <v>K204</v>
      </c>
    </row>
    <row r="159" spans="1:29" x14ac:dyDescent="0.2">
      <c r="A159"/>
      <c r="B159"/>
      <c r="C159"/>
      <c r="D159"/>
      <c r="E159"/>
      <c r="F159" t="str">
        <f>LEFT(AllDaqbookOffsets[[#This Row],[traceability_no]],2)</f>
        <v>J1</v>
      </c>
      <c r="W159" t="s">
        <v>611</v>
      </c>
      <c r="X159" t="s">
        <v>176</v>
      </c>
      <c r="Z159" s="470" t="str">
        <v>K205</v>
      </c>
      <c r="AA159" s="195" t="str">
        <v>K201-K214</v>
      </c>
      <c r="AC159" s="70" t="str">
        <v>K205</v>
      </c>
    </row>
    <row r="160" spans="1:29" x14ac:dyDescent="0.2">
      <c r="A160"/>
      <c r="B160"/>
      <c r="C160"/>
      <c r="D160"/>
      <c r="E160"/>
      <c r="F160" t="str">
        <f>LEFT(AllDaqbookOffsets[[#This Row],[traceability_no]],2)</f>
        <v>J1</v>
      </c>
      <c r="W160" t="s">
        <v>612</v>
      </c>
      <c r="X160" t="s">
        <v>176</v>
      </c>
      <c r="Z160" s="470" t="str">
        <v>K206</v>
      </c>
      <c r="AA160" s="195" t="str">
        <v>K201-K214</v>
      </c>
      <c r="AC160" s="70" t="str">
        <v>K206</v>
      </c>
    </row>
    <row r="161" spans="1:29" x14ac:dyDescent="0.2">
      <c r="A161"/>
      <c r="B161"/>
      <c r="C161"/>
      <c r="D161"/>
      <c r="E161"/>
      <c r="F161" t="str">
        <f>LEFT(AllDaqbookOffsets[[#This Row],[traceability_no]],2)</f>
        <v>J1</v>
      </c>
      <c r="W161" t="s">
        <v>613</v>
      </c>
      <c r="X161" t="s">
        <v>176</v>
      </c>
      <c r="Z161" s="470" t="str">
        <v>K207</v>
      </c>
      <c r="AA161" s="195" t="str">
        <v>K201-K214</v>
      </c>
      <c r="AC161" s="70" t="str">
        <v>K207</v>
      </c>
    </row>
    <row r="162" spans="1:29" x14ac:dyDescent="0.2">
      <c r="A162"/>
      <c r="B162"/>
      <c r="C162"/>
      <c r="D162"/>
      <c r="E162"/>
      <c r="F162" t="str">
        <f>LEFT(AllDaqbookOffsets[[#This Row],[traceability_no]],2)</f>
        <v>J1</v>
      </c>
      <c r="W162" t="s">
        <v>614</v>
      </c>
      <c r="X162" t="s">
        <v>177</v>
      </c>
      <c r="Z162" s="470" t="str">
        <v>K208</v>
      </c>
      <c r="AA162" s="195" t="str">
        <v>K201-K214</v>
      </c>
      <c r="AC162" s="70" t="str">
        <v>K208</v>
      </c>
    </row>
    <row r="163" spans="1:29" x14ac:dyDescent="0.2">
      <c r="A163"/>
      <c r="B163"/>
      <c r="C163"/>
      <c r="D163"/>
      <c r="E163"/>
      <c r="F163" t="str">
        <f>LEFT(AllDaqbookOffsets[[#This Row],[traceability_no]],2)</f>
        <v>J1</v>
      </c>
      <c r="W163" t="s">
        <v>615</v>
      </c>
      <c r="X163" t="s">
        <v>177</v>
      </c>
      <c r="Z163" s="470" t="str">
        <v>K209</v>
      </c>
      <c r="AA163" s="195" t="str">
        <v>K201-K214</v>
      </c>
      <c r="AC163" s="70" t="str">
        <v>K209</v>
      </c>
    </row>
    <row r="164" spans="1:29" x14ac:dyDescent="0.2">
      <c r="A164"/>
      <c r="B164"/>
      <c r="C164"/>
      <c r="D164"/>
      <c r="E164"/>
      <c r="F164" t="str">
        <f>LEFT(AllDaqbookOffsets[[#This Row],[traceability_no]],2)</f>
        <v>J1</v>
      </c>
      <c r="W164" t="s">
        <v>616</v>
      </c>
      <c r="X164" t="s">
        <v>177</v>
      </c>
      <c r="Z164" s="470" t="str">
        <v>K210</v>
      </c>
      <c r="AA164" s="195" t="str">
        <v>K201-K214</v>
      </c>
      <c r="AC164" s="70" t="str">
        <v>K210</v>
      </c>
    </row>
    <row r="165" spans="1:29" x14ac:dyDescent="0.2">
      <c r="A165"/>
      <c r="B165"/>
      <c r="C165"/>
      <c r="D165"/>
      <c r="E165"/>
      <c r="F165" t="str">
        <f>LEFT(AllDaqbookOffsets[[#This Row],[traceability_no]],2)</f>
        <v>J1</v>
      </c>
      <c r="W165" t="s">
        <v>617</v>
      </c>
      <c r="X165" t="s">
        <v>177</v>
      </c>
      <c r="Z165" s="470" t="str">
        <v>K211</v>
      </c>
      <c r="AA165" s="195" t="str">
        <v>K201-K214</v>
      </c>
      <c r="AC165" s="70" t="str">
        <v>K211</v>
      </c>
    </row>
    <row r="166" spans="1:29" x14ac:dyDescent="0.2">
      <c r="A166"/>
      <c r="B166"/>
      <c r="C166"/>
      <c r="D166"/>
      <c r="E166"/>
      <c r="F166" t="str">
        <f>LEFT(AllDaqbookOffsets[[#This Row],[traceability_no]],2)</f>
        <v>J1</v>
      </c>
      <c r="W166" t="s">
        <v>618</v>
      </c>
      <c r="X166" t="s">
        <v>177</v>
      </c>
      <c r="Z166" s="470" t="str">
        <v>K212</v>
      </c>
      <c r="AA166" s="195" t="str">
        <v>K201-K214</v>
      </c>
      <c r="AC166" s="70" t="str">
        <v>K212</v>
      </c>
    </row>
    <row r="167" spans="1:29" x14ac:dyDescent="0.2">
      <c r="A167"/>
      <c r="B167"/>
      <c r="C167"/>
      <c r="D167"/>
      <c r="E167"/>
      <c r="F167" t="str">
        <f>LEFT(AllDaqbookOffsets[[#This Row],[traceability_no]],2)</f>
        <v>J1</v>
      </c>
      <c r="W167" t="s">
        <v>619</v>
      </c>
      <c r="X167" t="s">
        <v>177</v>
      </c>
      <c r="Z167" s="470" t="str">
        <v>K213</v>
      </c>
      <c r="AA167" s="195" t="str">
        <v>K201-K214</v>
      </c>
      <c r="AC167" s="70" t="str">
        <v>K213</v>
      </c>
    </row>
    <row r="168" spans="1:29" x14ac:dyDescent="0.2">
      <c r="A168"/>
      <c r="B168"/>
      <c r="C168"/>
      <c r="D168"/>
      <c r="E168"/>
      <c r="F168" t="str">
        <f>LEFT(AllDaqbookOffsets[[#This Row],[traceability_no]],2)</f>
        <v>J1</v>
      </c>
      <c r="W168" t="s">
        <v>620</v>
      </c>
      <c r="X168" t="s">
        <v>177</v>
      </c>
      <c r="Z168" s="470" t="str">
        <v>K214</v>
      </c>
      <c r="AA168" s="195" t="str">
        <v>K201-K214</v>
      </c>
      <c r="AC168" s="70" t="str">
        <v>K214</v>
      </c>
    </row>
    <row r="169" spans="1:29" x14ac:dyDescent="0.2">
      <c r="A169"/>
      <c r="B169"/>
      <c r="C169"/>
      <c r="D169"/>
      <c r="E169"/>
      <c r="F169" t="str">
        <f>LEFT(AllDaqbookOffsets[[#This Row],[traceability_no]],2)</f>
        <v>J1</v>
      </c>
      <c r="W169" t="s">
        <v>621</v>
      </c>
      <c r="X169" t="s">
        <v>177</v>
      </c>
      <c r="Z169" s="470" t="str">
        <v>K301</v>
      </c>
      <c r="AA169" s="195" t="str">
        <v>K301-K314</v>
      </c>
      <c r="AC169" s="70" t="str">
        <v>K301</v>
      </c>
    </row>
    <row r="170" spans="1:29" x14ac:dyDescent="0.2">
      <c r="A170"/>
      <c r="B170"/>
      <c r="C170"/>
      <c r="D170"/>
      <c r="E170"/>
      <c r="F170" t="str">
        <f>LEFT(AllDaqbookOffsets[[#This Row],[traceability_no]],2)</f>
        <v>J1</v>
      </c>
      <c r="W170" t="s">
        <v>622</v>
      </c>
      <c r="X170" t="s">
        <v>177</v>
      </c>
      <c r="Z170" s="470" t="str">
        <v>K302</v>
      </c>
      <c r="AA170" s="195" t="str">
        <v>K301-K314</v>
      </c>
      <c r="AC170" s="70" t="str">
        <v>K302</v>
      </c>
    </row>
    <row r="171" spans="1:29" x14ac:dyDescent="0.2">
      <c r="A171"/>
      <c r="B171"/>
      <c r="C171"/>
      <c r="D171"/>
      <c r="E171"/>
      <c r="F171" t="str">
        <f>LEFT(AllDaqbookOffsets[[#This Row],[traceability_no]],2)</f>
        <v>J1</v>
      </c>
      <c r="W171" t="s">
        <v>623</v>
      </c>
      <c r="X171" t="s">
        <v>177</v>
      </c>
      <c r="Z171" s="470" t="str">
        <v>K303</v>
      </c>
      <c r="AA171" s="195" t="str">
        <v>K301-K314</v>
      </c>
      <c r="AC171" s="70" t="str">
        <v>K303</v>
      </c>
    </row>
    <row r="172" spans="1:29" x14ac:dyDescent="0.2">
      <c r="A172"/>
      <c r="B172"/>
      <c r="C172"/>
      <c r="D172"/>
      <c r="E172"/>
      <c r="F172" t="str">
        <f>LEFT(AllDaqbookOffsets[[#This Row],[traceability_no]],2)</f>
        <v>J1</v>
      </c>
      <c r="W172" t="s">
        <v>624</v>
      </c>
      <c r="X172" t="s">
        <v>177</v>
      </c>
      <c r="Z172" s="470" t="str">
        <v>K304</v>
      </c>
      <c r="AA172" s="195" t="str">
        <v>K301-K314</v>
      </c>
      <c r="AC172" s="70" t="str">
        <v>K304</v>
      </c>
    </row>
    <row r="173" spans="1:29" x14ac:dyDescent="0.2">
      <c r="A173"/>
      <c r="B173"/>
      <c r="C173"/>
      <c r="D173"/>
      <c r="E173"/>
      <c r="F173" t="str">
        <f>LEFT(AllDaqbookOffsets[[#This Row],[traceability_no]],2)</f>
        <v>J1</v>
      </c>
      <c r="W173" t="s">
        <v>625</v>
      </c>
      <c r="X173" t="s">
        <v>177</v>
      </c>
      <c r="Z173" s="470" t="str">
        <v>K305</v>
      </c>
      <c r="AA173" s="195" t="str">
        <v>K301-K314</v>
      </c>
      <c r="AC173" s="70" t="str">
        <v>K305</v>
      </c>
    </row>
    <row r="174" spans="1:29" x14ac:dyDescent="0.2">
      <c r="A174"/>
      <c r="B174"/>
      <c r="C174"/>
      <c r="D174"/>
      <c r="E174"/>
      <c r="F174" t="str">
        <f>LEFT(AllDaqbookOffsets[[#This Row],[traceability_no]],2)</f>
        <v>J1</v>
      </c>
      <c r="W174" t="s">
        <v>626</v>
      </c>
      <c r="X174" t="s">
        <v>177</v>
      </c>
      <c r="Z174" s="470" t="str">
        <v>K306</v>
      </c>
      <c r="AA174" s="195" t="str">
        <v>K301-K314</v>
      </c>
      <c r="AC174" s="70" t="str">
        <v>K306</v>
      </c>
    </row>
    <row r="175" spans="1:29" x14ac:dyDescent="0.2">
      <c r="A175"/>
      <c r="B175"/>
      <c r="C175"/>
      <c r="D175"/>
      <c r="E175"/>
      <c r="F175" t="str">
        <f>LEFT(AllDaqbookOffsets[[#This Row],[traceability_no]],2)</f>
        <v>J1</v>
      </c>
      <c r="W175" t="s">
        <v>627</v>
      </c>
      <c r="X175" t="s">
        <v>177</v>
      </c>
      <c r="Z175" s="470" t="str">
        <v>K307</v>
      </c>
      <c r="AA175" s="195" t="str">
        <v>K301-K314</v>
      </c>
      <c r="AC175" s="70" t="str">
        <v>K307</v>
      </c>
    </row>
    <row r="176" spans="1:29" x14ac:dyDescent="0.2">
      <c r="A176"/>
      <c r="B176"/>
      <c r="C176"/>
      <c r="D176"/>
      <c r="E176"/>
      <c r="F176" t="str">
        <f>LEFT(AllDaqbookOffsets[[#This Row],[traceability_no]],2)</f>
        <v>J1</v>
      </c>
      <c r="W176" t="s">
        <v>628</v>
      </c>
      <c r="X176" t="s">
        <v>177</v>
      </c>
      <c r="Z176" s="470" t="str">
        <v>K308</v>
      </c>
      <c r="AA176" s="195" t="str">
        <v>K301-K314</v>
      </c>
      <c r="AC176" s="70" t="str">
        <v>K308</v>
      </c>
    </row>
    <row r="177" spans="1:29" x14ac:dyDescent="0.2">
      <c r="A177"/>
      <c r="B177"/>
      <c r="C177"/>
      <c r="D177"/>
      <c r="E177"/>
      <c r="F177" t="str">
        <f>LEFT(AllDaqbookOffsets[[#This Row],[traceability_no]],2)</f>
        <v>J1</v>
      </c>
      <c r="W177" t="s">
        <v>629</v>
      </c>
      <c r="X177" t="s">
        <v>177</v>
      </c>
      <c r="Z177" s="470" t="str">
        <v>K309</v>
      </c>
      <c r="AA177" s="195" t="str">
        <v>K301-K314</v>
      </c>
      <c r="AC177" s="70" t="str">
        <v>K309</v>
      </c>
    </row>
    <row r="178" spans="1:29" x14ac:dyDescent="0.2">
      <c r="A178"/>
      <c r="B178"/>
      <c r="C178"/>
      <c r="D178"/>
      <c r="E178"/>
      <c r="F178" t="str">
        <f>LEFT(AllDaqbookOffsets[[#This Row],[traceability_no]],2)</f>
        <v>J1</v>
      </c>
      <c r="W178" t="s">
        <v>630</v>
      </c>
      <c r="X178" t="s">
        <v>178</v>
      </c>
      <c r="Z178" s="470" t="str">
        <v>K310</v>
      </c>
      <c r="AA178" s="195" t="str">
        <v>K301-K314</v>
      </c>
      <c r="AC178" s="70" t="str">
        <v>K310</v>
      </c>
    </row>
    <row r="179" spans="1:29" x14ac:dyDescent="0.2">
      <c r="A179"/>
      <c r="B179"/>
      <c r="C179"/>
      <c r="D179"/>
      <c r="E179"/>
      <c r="F179" t="str">
        <f>LEFT(AllDaqbookOffsets[[#This Row],[traceability_no]],2)</f>
        <v>J1</v>
      </c>
      <c r="W179" t="s">
        <v>631</v>
      </c>
      <c r="X179" t="s">
        <v>178</v>
      </c>
      <c r="Z179" s="470" t="str">
        <v>K311</v>
      </c>
      <c r="AA179" s="195" t="str">
        <v>K301-K314</v>
      </c>
      <c r="AC179" s="70" t="str">
        <v>K311</v>
      </c>
    </row>
    <row r="180" spans="1:29" x14ac:dyDescent="0.2">
      <c r="A180"/>
      <c r="B180"/>
      <c r="C180"/>
      <c r="D180"/>
      <c r="E180"/>
      <c r="F180" t="str">
        <f>LEFT(AllDaqbookOffsets[[#This Row],[traceability_no]],2)</f>
        <v>J1</v>
      </c>
      <c r="W180" t="s">
        <v>632</v>
      </c>
      <c r="X180" t="s">
        <v>178</v>
      </c>
      <c r="Z180" s="470" t="str">
        <v>K312</v>
      </c>
      <c r="AA180" s="195" t="str">
        <v>K301-K314</v>
      </c>
      <c r="AC180" s="70" t="str">
        <v>K312</v>
      </c>
    </row>
    <row r="181" spans="1:29" x14ac:dyDescent="0.2">
      <c r="A181"/>
      <c r="B181"/>
      <c r="C181"/>
      <c r="D181"/>
      <c r="E181"/>
      <c r="F181" t="str">
        <f>LEFT(AllDaqbookOffsets[[#This Row],[traceability_no]],2)</f>
        <v>J1</v>
      </c>
      <c r="W181" t="s">
        <v>633</v>
      </c>
      <c r="X181" t="s">
        <v>178</v>
      </c>
      <c r="Z181" s="470" t="str">
        <v>K313</v>
      </c>
      <c r="AA181" s="195" t="str">
        <v>K301-K314</v>
      </c>
      <c r="AC181" s="70" t="str">
        <v>K313</v>
      </c>
    </row>
    <row r="182" spans="1:29" x14ac:dyDescent="0.2">
      <c r="A182"/>
      <c r="B182"/>
      <c r="C182"/>
      <c r="D182"/>
      <c r="E182"/>
      <c r="F182" t="str">
        <f>LEFT(AllDaqbookOffsets[[#This Row],[traceability_no]],2)</f>
        <v>J1</v>
      </c>
      <c r="W182" t="s">
        <v>634</v>
      </c>
      <c r="X182" t="s">
        <v>178</v>
      </c>
      <c r="Z182" s="470" t="str">
        <v>K314</v>
      </c>
      <c r="AA182" s="195" t="str">
        <v>K301-K314</v>
      </c>
      <c r="AC182" s="70" t="str">
        <v>K314</v>
      </c>
    </row>
    <row r="183" spans="1:29" x14ac:dyDescent="0.2">
      <c r="A183"/>
      <c r="B183"/>
      <c r="C183"/>
      <c r="D183"/>
      <c r="E183"/>
      <c r="F183" t="str">
        <f>LEFT(AllDaqbookOffsets[[#This Row],[traceability_no]],2)</f>
        <v>J1</v>
      </c>
      <c r="W183" t="s">
        <v>635</v>
      </c>
      <c r="X183" t="s">
        <v>178</v>
      </c>
      <c r="Z183" s="470" t="str">
        <v>K401</v>
      </c>
      <c r="AA183" s="195" t="str">
        <v>K401-K416</v>
      </c>
      <c r="AC183" s="70" t="str">
        <v>K401</v>
      </c>
    </row>
    <row r="184" spans="1:29" x14ac:dyDescent="0.2">
      <c r="A184"/>
      <c r="B184"/>
      <c r="C184"/>
      <c r="D184"/>
      <c r="E184"/>
      <c r="F184" t="str">
        <f>LEFT(AllDaqbookOffsets[[#This Row],[traceability_no]],2)</f>
        <v>J1</v>
      </c>
      <c r="W184" t="s">
        <v>636</v>
      </c>
      <c r="X184" t="s">
        <v>178</v>
      </c>
      <c r="Z184" s="470" t="str">
        <v>K402</v>
      </c>
      <c r="AA184" s="195" t="str">
        <v>K401-K416</v>
      </c>
      <c r="AC184" s="70" t="str">
        <v>K402</v>
      </c>
    </row>
    <row r="185" spans="1:29" x14ac:dyDescent="0.2">
      <c r="A185"/>
      <c r="B185"/>
      <c r="C185"/>
      <c r="D185"/>
      <c r="E185"/>
      <c r="F185" t="str">
        <f>LEFT(AllDaqbookOffsets[[#This Row],[traceability_no]],2)</f>
        <v>J1</v>
      </c>
      <c r="W185" t="s">
        <v>637</v>
      </c>
      <c r="X185" t="s">
        <v>178</v>
      </c>
      <c r="Z185" s="470" t="str">
        <v>K403</v>
      </c>
      <c r="AA185" s="195" t="str">
        <v>K401-K416</v>
      </c>
      <c r="AC185" s="70" t="str">
        <v>K403</v>
      </c>
    </row>
    <row r="186" spans="1:29" x14ac:dyDescent="0.2">
      <c r="A186"/>
      <c r="B186"/>
      <c r="C186"/>
      <c r="D186"/>
      <c r="E186"/>
      <c r="F186" t="str">
        <f>LEFT(AllDaqbookOffsets[[#This Row],[traceability_no]],2)</f>
        <v>J1</v>
      </c>
      <c r="W186" t="s">
        <v>638</v>
      </c>
      <c r="X186" t="s">
        <v>178</v>
      </c>
      <c r="Z186" s="470" t="str">
        <v>K404</v>
      </c>
      <c r="AA186" s="195" t="str">
        <v>K401-K416</v>
      </c>
      <c r="AC186" s="70" t="str">
        <v>K404</v>
      </c>
    </row>
    <row r="187" spans="1:29" x14ac:dyDescent="0.2">
      <c r="A187"/>
      <c r="B187"/>
      <c r="C187"/>
      <c r="D187"/>
      <c r="E187"/>
      <c r="F187" t="str">
        <f>LEFT(AllDaqbookOffsets[[#This Row],[traceability_no]],2)</f>
        <v>J1</v>
      </c>
      <c r="W187" t="s">
        <v>639</v>
      </c>
      <c r="X187" t="s">
        <v>178</v>
      </c>
      <c r="Z187" s="470" t="str">
        <v>K405</v>
      </c>
      <c r="AA187" s="195" t="str">
        <v>K401-K416</v>
      </c>
      <c r="AC187" s="70" t="str">
        <v>K405</v>
      </c>
    </row>
    <row r="188" spans="1:29" x14ac:dyDescent="0.2">
      <c r="A188"/>
      <c r="B188"/>
      <c r="C188"/>
      <c r="D188"/>
      <c r="E188"/>
      <c r="F188" t="str">
        <f>LEFT(AllDaqbookOffsets[[#This Row],[traceability_no]],2)</f>
        <v>J1</v>
      </c>
      <c r="W188" t="s">
        <v>640</v>
      </c>
      <c r="X188" t="s">
        <v>178</v>
      </c>
      <c r="Z188" s="470" t="str">
        <v>K406</v>
      </c>
      <c r="AA188" s="195" t="str">
        <v>K401-K416</v>
      </c>
      <c r="AC188" s="70" t="str">
        <v>K406</v>
      </c>
    </row>
    <row r="189" spans="1:29" x14ac:dyDescent="0.2">
      <c r="A189"/>
      <c r="B189"/>
      <c r="C189"/>
      <c r="D189"/>
      <c r="E189"/>
      <c r="F189" t="str">
        <f>LEFT(AllDaqbookOffsets[[#This Row],[traceability_no]],2)</f>
        <v>J1</v>
      </c>
      <c r="W189" t="s">
        <v>641</v>
      </c>
      <c r="X189" t="s">
        <v>178</v>
      </c>
      <c r="Z189" s="470" t="str">
        <v>K407</v>
      </c>
      <c r="AA189" s="195" t="str">
        <v>K401-K416</v>
      </c>
      <c r="AC189" s="70" t="str">
        <v>K407</v>
      </c>
    </row>
    <row r="190" spans="1:29" x14ac:dyDescent="0.2">
      <c r="A190"/>
      <c r="B190"/>
      <c r="C190"/>
      <c r="D190"/>
      <c r="E190"/>
      <c r="F190" t="str">
        <f>LEFT(AllDaqbookOffsets[[#This Row],[traceability_no]],2)</f>
        <v>J1</v>
      </c>
      <c r="W190" t="s">
        <v>642</v>
      </c>
      <c r="X190" t="s">
        <v>178</v>
      </c>
      <c r="Z190" s="470" t="str">
        <v>K408</v>
      </c>
      <c r="AA190" s="195" t="str">
        <v>K401-K416</v>
      </c>
      <c r="AC190" s="70" t="str">
        <v>K408</v>
      </c>
    </row>
    <row r="191" spans="1:29" x14ac:dyDescent="0.2">
      <c r="A191"/>
      <c r="B191"/>
      <c r="C191"/>
      <c r="D191"/>
      <c r="E191"/>
      <c r="F191" t="str">
        <f>LEFT(AllDaqbookOffsets[[#This Row],[traceability_no]],2)</f>
        <v>J1</v>
      </c>
      <c r="W191" t="s">
        <v>643</v>
      </c>
      <c r="X191" t="s">
        <v>178</v>
      </c>
      <c r="Z191" s="470" t="str">
        <v>K409</v>
      </c>
      <c r="AA191" s="195" t="str">
        <v>K401-K416</v>
      </c>
      <c r="AC191" s="70" t="str">
        <v>K409</v>
      </c>
    </row>
    <row r="192" spans="1:29" x14ac:dyDescent="0.2">
      <c r="A192"/>
      <c r="B192"/>
      <c r="C192"/>
      <c r="D192"/>
      <c r="E192"/>
      <c r="F192" t="str">
        <f>LEFT(AllDaqbookOffsets[[#This Row],[traceability_no]],2)</f>
        <v>J1</v>
      </c>
      <c r="W192" t="s">
        <v>644</v>
      </c>
      <c r="X192" t="s">
        <v>179</v>
      </c>
      <c r="Z192" s="470" t="str">
        <v>K410</v>
      </c>
      <c r="AA192" s="195" t="str">
        <v>K401-K416</v>
      </c>
      <c r="AC192" s="70" t="str">
        <v>K410</v>
      </c>
    </row>
    <row r="193" spans="1:29" x14ac:dyDescent="0.2">
      <c r="A193"/>
      <c r="B193"/>
      <c r="C193"/>
      <c r="D193"/>
      <c r="E193"/>
      <c r="F193" t="str">
        <f>LEFT(AllDaqbookOffsets[[#This Row],[traceability_no]],2)</f>
        <v>J1</v>
      </c>
      <c r="W193" t="s">
        <v>645</v>
      </c>
      <c r="X193" t="s">
        <v>179</v>
      </c>
      <c r="Z193" s="470" t="str">
        <v>K411</v>
      </c>
      <c r="AA193" s="195" t="str">
        <v>K401-K416</v>
      </c>
      <c r="AC193" s="70" t="str">
        <v>K411</v>
      </c>
    </row>
    <row r="194" spans="1:29" x14ac:dyDescent="0.2">
      <c r="A194"/>
      <c r="B194"/>
      <c r="C194"/>
      <c r="D194"/>
      <c r="E194"/>
      <c r="F194" t="str">
        <f>LEFT(AllDaqbookOffsets[[#This Row],[traceability_no]],2)</f>
        <v>J1</v>
      </c>
      <c r="W194" t="s">
        <v>646</v>
      </c>
      <c r="X194" t="s">
        <v>179</v>
      </c>
      <c r="Z194" s="470" t="str">
        <v>K412</v>
      </c>
      <c r="AA194" s="195" t="str">
        <v>K401-K416</v>
      </c>
      <c r="AC194" s="70" t="str">
        <v>K412</v>
      </c>
    </row>
    <row r="195" spans="1:29" x14ac:dyDescent="0.2">
      <c r="A195"/>
      <c r="B195"/>
      <c r="C195"/>
      <c r="D195"/>
      <c r="E195"/>
      <c r="F195" t="str">
        <f>LEFT(AllDaqbookOffsets[[#This Row],[traceability_no]],2)</f>
        <v>J1</v>
      </c>
      <c r="W195" t="s">
        <v>647</v>
      </c>
      <c r="X195" t="s">
        <v>179</v>
      </c>
      <c r="Z195" s="470" t="str">
        <v>K413</v>
      </c>
      <c r="AA195" s="195" t="str">
        <v>K401-K416</v>
      </c>
      <c r="AC195" s="70" t="str">
        <v>K413</v>
      </c>
    </row>
    <row r="196" spans="1:29" x14ac:dyDescent="0.2">
      <c r="A196"/>
      <c r="B196"/>
      <c r="C196"/>
      <c r="D196"/>
      <c r="E196"/>
      <c r="F196" t="str">
        <f>LEFT(AllDaqbookOffsets[[#This Row],[traceability_no]],2)</f>
        <v>J1</v>
      </c>
      <c r="W196" t="s">
        <v>648</v>
      </c>
      <c r="X196" t="s">
        <v>179</v>
      </c>
      <c r="Z196" s="470" t="str">
        <v>K414</v>
      </c>
      <c r="AA196" s="195" t="str">
        <v>K401-K416</v>
      </c>
      <c r="AC196" s="70" t="str">
        <v>K414</v>
      </c>
    </row>
    <row r="197" spans="1:29" x14ac:dyDescent="0.2">
      <c r="A197"/>
      <c r="B197"/>
      <c r="C197"/>
      <c r="D197"/>
      <c r="E197"/>
      <c r="F197" t="str">
        <f>LEFT(AllDaqbookOffsets[[#This Row],[traceability_no]],2)</f>
        <v>J1</v>
      </c>
      <c r="W197" t="s">
        <v>649</v>
      </c>
      <c r="X197" t="s">
        <v>179</v>
      </c>
      <c r="Z197" s="470" t="str">
        <v>K415</v>
      </c>
      <c r="AA197" s="195" t="str">
        <v>K401-K416</v>
      </c>
      <c r="AC197" s="70" t="str">
        <v>K415</v>
      </c>
    </row>
    <row r="198" spans="1:29" x14ac:dyDescent="0.2">
      <c r="A198"/>
      <c r="B198"/>
      <c r="C198"/>
      <c r="D198"/>
      <c r="E198"/>
      <c r="F198" t="str">
        <f>LEFT(AllDaqbookOffsets[[#This Row],[traceability_no]],2)</f>
        <v>J1</v>
      </c>
      <c r="W198" t="s">
        <v>650</v>
      </c>
      <c r="X198" t="s">
        <v>179</v>
      </c>
      <c r="Z198" s="470" t="str">
        <v>K416</v>
      </c>
      <c r="AA198" s="195" t="str">
        <v>K401-K416</v>
      </c>
      <c r="AC198" s="70" t="str">
        <v>K416</v>
      </c>
    </row>
    <row r="199" spans="1:29" x14ac:dyDescent="0.2">
      <c r="A199"/>
      <c r="B199"/>
      <c r="C199"/>
      <c r="D199"/>
      <c r="E199"/>
      <c r="F199" t="str">
        <f>LEFT(AllDaqbookOffsets[[#This Row],[traceability_no]],2)</f>
        <v>J1</v>
      </c>
      <c r="W199" t="s">
        <v>651</v>
      </c>
      <c r="X199" t="s">
        <v>179</v>
      </c>
      <c r="Z199" s="470" t="str">
        <v>K521</v>
      </c>
      <c r="AA199" s="195" t="str">
        <v>K521-K534</v>
      </c>
      <c r="AC199" s="70" t="str">
        <v>K521</v>
      </c>
    </row>
    <row r="200" spans="1:29" x14ac:dyDescent="0.2">
      <c r="A200"/>
      <c r="B200"/>
      <c r="C200"/>
      <c r="D200"/>
      <c r="E200"/>
      <c r="F200" t="str">
        <f>LEFT(AllDaqbookOffsets[[#This Row],[traceability_no]],2)</f>
        <v>J1</v>
      </c>
      <c r="W200" t="s">
        <v>652</v>
      </c>
      <c r="X200" t="s">
        <v>179</v>
      </c>
      <c r="Z200" s="470" t="str">
        <v>K522</v>
      </c>
      <c r="AA200" s="195" t="str">
        <v>K521-K534</v>
      </c>
      <c r="AC200" s="70" t="str">
        <v>K522</v>
      </c>
    </row>
    <row r="201" spans="1:29" x14ac:dyDescent="0.2">
      <c r="A201"/>
      <c r="B201"/>
      <c r="C201"/>
      <c r="D201"/>
      <c r="E201"/>
      <c r="F201" t="str">
        <f>LEFT(AllDaqbookOffsets[[#This Row],[traceability_no]],2)</f>
        <v>J1</v>
      </c>
      <c r="W201" t="s">
        <v>653</v>
      </c>
      <c r="X201" t="s">
        <v>179</v>
      </c>
      <c r="Z201" s="470" t="str">
        <v>K523</v>
      </c>
      <c r="AA201" s="195" t="str">
        <v>K521-K534</v>
      </c>
      <c r="AC201" s="70" t="str">
        <v>K523</v>
      </c>
    </row>
    <row r="202" spans="1:29" x14ac:dyDescent="0.2">
      <c r="A202"/>
      <c r="B202"/>
      <c r="C202"/>
      <c r="D202"/>
      <c r="E202"/>
      <c r="F202" t="str">
        <f>LEFT(AllDaqbookOffsets[[#This Row],[traceability_no]],2)</f>
        <v>J1</v>
      </c>
      <c r="W202" t="s">
        <v>654</v>
      </c>
      <c r="X202" t="s">
        <v>180</v>
      </c>
      <c r="Z202" s="470" t="str">
        <v>K524</v>
      </c>
      <c r="AA202" s="195" t="str">
        <v>K521-K534</v>
      </c>
      <c r="AC202" s="70" t="str">
        <v>K524</v>
      </c>
    </row>
    <row r="203" spans="1:29" x14ac:dyDescent="0.2">
      <c r="A203"/>
      <c r="B203"/>
      <c r="C203"/>
      <c r="D203"/>
      <c r="E203"/>
      <c r="F203" t="str">
        <f>LEFT(AllDaqbookOffsets[[#This Row],[traceability_no]],2)</f>
        <v>J1</v>
      </c>
      <c r="W203" t="s">
        <v>655</v>
      </c>
      <c r="X203" t="s">
        <v>180</v>
      </c>
      <c r="Z203" s="470" t="str">
        <v>K525</v>
      </c>
      <c r="AA203" s="195" t="str">
        <v>K521-K534</v>
      </c>
      <c r="AC203" s="70" t="str">
        <v>K525</v>
      </c>
    </row>
    <row r="204" spans="1:29" x14ac:dyDescent="0.2">
      <c r="A204"/>
      <c r="B204"/>
      <c r="C204"/>
      <c r="D204"/>
      <c r="E204"/>
      <c r="F204" t="str">
        <f>LEFT(AllDaqbookOffsets[[#This Row],[traceability_no]],2)</f>
        <v>J1</v>
      </c>
      <c r="W204" t="s">
        <v>656</v>
      </c>
      <c r="X204" t="s">
        <v>180</v>
      </c>
      <c r="Z204" s="470" t="str">
        <v>K526</v>
      </c>
      <c r="AA204" s="195" t="str">
        <v>K521-K534</v>
      </c>
      <c r="AC204" s="70" t="str">
        <v>K526</v>
      </c>
    </row>
    <row r="205" spans="1:29" x14ac:dyDescent="0.2">
      <c r="A205"/>
      <c r="B205"/>
      <c r="C205"/>
      <c r="D205"/>
      <c r="E205"/>
      <c r="F205" t="str">
        <f>LEFT(AllDaqbookOffsets[[#This Row],[traceability_no]],2)</f>
        <v>J1</v>
      </c>
      <c r="W205" t="s">
        <v>657</v>
      </c>
      <c r="X205" t="s">
        <v>180</v>
      </c>
      <c r="Z205" s="470" t="str">
        <v>K527</v>
      </c>
      <c r="AA205" s="195" t="str">
        <v>K521-K534</v>
      </c>
      <c r="AC205" s="70" t="str">
        <v>K527</v>
      </c>
    </row>
    <row r="206" spans="1:29" x14ac:dyDescent="0.2">
      <c r="A206"/>
      <c r="B206"/>
      <c r="C206"/>
      <c r="D206"/>
      <c r="E206"/>
      <c r="F206" t="str">
        <f>LEFT(AllDaqbookOffsets[[#This Row],[traceability_no]],2)</f>
        <v>J1</v>
      </c>
      <c r="W206" t="s">
        <v>658</v>
      </c>
      <c r="X206" t="s">
        <v>180</v>
      </c>
      <c r="Z206" s="470" t="str">
        <v>K528</v>
      </c>
      <c r="AA206" s="195" t="str">
        <v>K521-K534</v>
      </c>
      <c r="AC206" s="70" t="str">
        <v>K528</v>
      </c>
    </row>
    <row r="207" spans="1:29" x14ac:dyDescent="0.2">
      <c r="A207"/>
      <c r="B207"/>
      <c r="C207"/>
      <c r="D207"/>
      <c r="E207"/>
      <c r="F207" t="str">
        <f>LEFT(AllDaqbookOffsets[[#This Row],[traceability_no]],2)</f>
        <v>J1</v>
      </c>
      <c r="W207" t="s">
        <v>659</v>
      </c>
      <c r="X207" t="s">
        <v>180</v>
      </c>
      <c r="Z207" s="470" t="str">
        <v>K529</v>
      </c>
      <c r="AA207" s="195" t="str">
        <v>K521-K534</v>
      </c>
      <c r="AC207" s="70" t="str">
        <v>K529</v>
      </c>
    </row>
    <row r="208" spans="1:29" x14ac:dyDescent="0.2">
      <c r="A208"/>
      <c r="B208"/>
      <c r="C208"/>
      <c r="D208"/>
      <c r="E208"/>
      <c r="F208" t="str">
        <f>LEFT(AllDaqbookOffsets[[#This Row],[traceability_no]],2)</f>
        <v>J1</v>
      </c>
      <c r="W208" t="s">
        <v>660</v>
      </c>
      <c r="X208" t="s">
        <v>180</v>
      </c>
      <c r="Z208" s="470" t="str">
        <v>K530</v>
      </c>
      <c r="AA208" s="195" t="str">
        <v>K521-K534</v>
      </c>
      <c r="AC208" s="70" t="str">
        <v>K530</v>
      </c>
    </row>
    <row r="209" spans="1:29" x14ac:dyDescent="0.2">
      <c r="A209"/>
      <c r="B209"/>
      <c r="C209"/>
      <c r="D209"/>
      <c r="E209"/>
      <c r="F209" t="str">
        <f>LEFT(AllDaqbookOffsets[[#This Row],[traceability_no]],2)</f>
        <v>J1</v>
      </c>
      <c r="W209" t="s">
        <v>661</v>
      </c>
      <c r="X209" t="s">
        <v>180</v>
      </c>
      <c r="Z209" s="470" t="str">
        <v>K531</v>
      </c>
      <c r="AA209" s="195" t="str">
        <v>K521-K534</v>
      </c>
      <c r="AC209" s="70" t="str">
        <v>K531</v>
      </c>
    </row>
    <row r="210" spans="1:29" x14ac:dyDescent="0.2">
      <c r="A210"/>
      <c r="B210"/>
      <c r="C210"/>
      <c r="D210"/>
      <c r="E210"/>
      <c r="F210" t="str">
        <f>LEFT(AllDaqbookOffsets[[#This Row],[traceability_no]],2)</f>
        <v>J1</v>
      </c>
      <c r="W210" t="s">
        <v>662</v>
      </c>
      <c r="X210" t="s">
        <v>180</v>
      </c>
      <c r="Z210" s="470" t="str">
        <v>K532</v>
      </c>
      <c r="AA210" s="195" t="str">
        <v>K521-K534</v>
      </c>
      <c r="AC210" s="70" t="str">
        <v>K532</v>
      </c>
    </row>
    <row r="211" spans="1:29" x14ac:dyDescent="0.2">
      <c r="A211"/>
      <c r="B211"/>
      <c r="C211"/>
      <c r="D211"/>
      <c r="E211"/>
      <c r="F211" t="str">
        <f>LEFT(AllDaqbookOffsets[[#This Row],[traceability_no]],2)</f>
        <v>J1</v>
      </c>
      <c r="W211" t="s">
        <v>663</v>
      </c>
      <c r="X211" t="s">
        <v>180</v>
      </c>
      <c r="Z211" s="470" t="str">
        <v>K533</v>
      </c>
      <c r="AA211" s="195" t="str">
        <v>K521-K534</v>
      </c>
      <c r="AC211" s="70" t="str">
        <v>K533</v>
      </c>
    </row>
    <row r="212" spans="1:29" x14ac:dyDescent="0.2">
      <c r="A212"/>
      <c r="B212"/>
      <c r="C212"/>
      <c r="D212"/>
      <c r="E212"/>
      <c r="F212" t="str">
        <f>LEFT(AllDaqbookOffsets[[#This Row],[traceability_no]],2)</f>
        <v>J1</v>
      </c>
      <c r="W212" t="s">
        <v>664</v>
      </c>
      <c r="X212" t="s">
        <v>181</v>
      </c>
      <c r="Z212" s="470" t="str">
        <v>K534</v>
      </c>
      <c r="AA212" s="195" t="str">
        <v>K521-K534</v>
      </c>
      <c r="AC212" s="70" t="str">
        <v>K534</v>
      </c>
    </row>
    <row r="213" spans="1:29" x14ac:dyDescent="0.2">
      <c r="A213"/>
      <c r="B213"/>
      <c r="C213"/>
      <c r="D213"/>
      <c r="E213"/>
      <c r="F213" t="str">
        <f>LEFT(AllDaqbookOffsets[[#This Row],[traceability_no]],2)</f>
        <v>J1</v>
      </c>
      <c r="W213" t="s">
        <v>665</v>
      </c>
      <c r="X213" t="s">
        <v>181</v>
      </c>
      <c r="Z213" s="470" t="str">
        <v>K601</v>
      </c>
      <c r="AA213" s="195" t="str">
        <v>K601-K610</v>
      </c>
      <c r="AC213" s="70" t="str">
        <v>K601</v>
      </c>
    </row>
    <row r="214" spans="1:29" x14ac:dyDescent="0.2">
      <c r="A214"/>
      <c r="B214"/>
      <c r="C214"/>
      <c r="D214"/>
      <c r="E214"/>
      <c r="F214" t="str">
        <f>LEFT(AllDaqbookOffsets[[#This Row],[traceability_no]],2)</f>
        <v>J1</v>
      </c>
      <c r="W214" t="s">
        <v>666</v>
      </c>
      <c r="X214" t="s">
        <v>181</v>
      </c>
      <c r="Z214" s="470" t="str">
        <v>K602</v>
      </c>
      <c r="AA214" s="195" t="str">
        <v>K601-K610</v>
      </c>
      <c r="AC214" s="70" t="str">
        <v>K602</v>
      </c>
    </row>
    <row r="215" spans="1:29" x14ac:dyDescent="0.2">
      <c r="A215"/>
      <c r="B215"/>
      <c r="C215"/>
      <c r="D215"/>
      <c r="E215"/>
      <c r="F215" t="str">
        <f>LEFT(AllDaqbookOffsets[[#This Row],[traceability_no]],2)</f>
        <v>J1</v>
      </c>
      <c r="W215" t="s">
        <v>667</v>
      </c>
      <c r="X215" t="s">
        <v>181</v>
      </c>
      <c r="Z215" s="470" t="str">
        <v>K603</v>
      </c>
      <c r="AA215" s="195" t="str">
        <v>K601-K610</v>
      </c>
      <c r="AC215" s="70" t="str">
        <v>K603</v>
      </c>
    </row>
    <row r="216" spans="1:29" x14ac:dyDescent="0.2">
      <c r="A216"/>
      <c r="B216"/>
      <c r="C216"/>
      <c r="D216"/>
      <c r="E216"/>
      <c r="F216" t="str">
        <f>LEFT(AllDaqbookOffsets[[#This Row],[traceability_no]],2)</f>
        <v>J1</v>
      </c>
      <c r="W216" t="s">
        <v>668</v>
      </c>
      <c r="X216" t="s">
        <v>181</v>
      </c>
      <c r="Z216" s="470" t="str">
        <v>K604</v>
      </c>
      <c r="AA216" s="195" t="str">
        <v>K601-K610</v>
      </c>
      <c r="AC216" s="70" t="str">
        <v>K604</v>
      </c>
    </row>
    <row r="217" spans="1:29" x14ac:dyDescent="0.2">
      <c r="A217"/>
      <c r="B217"/>
      <c r="C217"/>
      <c r="D217"/>
      <c r="E217"/>
      <c r="F217" t="str">
        <f>LEFT(AllDaqbookOffsets[[#This Row],[traceability_no]],2)</f>
        <v>J1</v>
      </c>
      <c r="W217" t="s">
        <v>669</v>
      </c>
      <c r="X217" t="s">
        <v>181</v>
      </c>
      <c r="Z217" s="470" t="str">
        <v>K605</v>
      </c>
      <c r="AA217" s="195" t="str">
        <v>K601-K610</v>
      </c>
      <c r="AC217" s="70" t="str">
        <v>K605</v>
      </c>
    </row>
    <row r="218" spans="1:29" x14ac:dyDescent="0.2">
      <c r="A218"/>
      <c r="B218"/>
      <c r="C218"/>
      <c r="D218"/>
      <c r="E218"/>
      <c r="F218" t="str">
        <f>LEFT(AllDaqbookOffsets[[#This Row],[traceability_no]],2)</f>
        <v>J1</v>
      </c>
      <c r="W218" t="s">
        <v>670</v>
      </c>
      <c r="X218" t="s">
        <v>181</v>
      </c>
      <c r="Z218" s="470" t="str">
        <v>K606</v>
      </c>
      <c r="AA218" s="195" t="str">
        <v>K601-K610</v>
      </c>
      <c r="AC218" s="70" t="str">
        <v>K606</v>
      </c>
    </row>
    <row r="219" spans="1:29" x14ac:dyDescent="0.2">
      <c r="A219"/>
      <c r="B219"/>
      <c r="C219"/>
      <c r="D219"/>
      <c r="E219"/>
      <c r="F219" t="str">
        <f>LEFT(AllDaqbookOffsets[[#This Row],[traceability_no]],2)</f>
        <v>J1</v>
      </c>
      <c r="W219" t="s">
        <v>671</v>
      </c>
      <c r="X219" t="s">
        <v>181</v>
      </c>
      <c r="Z219" s="470" t="str">
        <v>K607</v>
      </c>
      <c r="AA219" s="195" t="str">
        <v>K601-K610</v>
      </c>
      <c r="AC219" s="70" t="str">
        <v>K607</v>
      </c>
    </row>
    <row r="220" spans="1:29" x14ac:dyDescent="0.2">
      <c r="A220"/>
      <c r="B220"/>
      <c r="C220"/>
      <c r="D220"/>
      <c r="E220"/>
      <c r="F220" t="str">
        <f>LEFT(AllDaqbookOffsets[[#This Row],[traceability_no]],2)</f>
        <v>J1</v>
      </c>
      <c r="W220" t="s">
        <v>672</v>
      </c>
      <c r="X220" t="s">
        <v>181</v>
      </c>
      <c r="Z220" s="470" t="str">
        <v>K608</v>
      </c>
      <c r="AA220" s="195" t="str">
        <v>K601-K610</v>
      </c>
      <c r="AC220" s="70" t="str">
        <v>K608</v>
      </c>
    </row>
    <row r="221" spans="1:29" x14ac:dyDescent="0.2">
      <c r="A221"/>
      <c r="B221"/>
      <c r="C221"/>
      <c r="D221"/>
      <c r="E221"/>
      <c r="F221" t="str">
        <f>LEFT(AllDaqbookOffsets[[#This Row],[traceability_no]],2)</f>
        <v>J1</v>
      </c>
      <c r="W221" t="s">
        <v>673</v>
      </c>
      <c r="X221" t="s">
        <v>181</v>
      </c>
      <c r="Z221" s="470" t="str">
        <v>K609</v>
      </c>
      <c r="AA221" s="195" t="str">
        <v>K601-K610</v>
      </c>
      <c r="AC221" s="70" t="str">
        <v>K609</v>
      </c>
    </row>
    <row r="222" spans="1:29" x14ac:dyDescent="0.2">
      <c r="A222"/>
      <c r="B222"/>
      <c r="C222"/>
      <c r="D222"/>
      <c r="E222"/>
      <c r="F222" t="str">
        <f>LEFT(AllDaqbookOffsets[[#This Row],[traceability_no]],2)</f>
        <v>J1</v>
      </c>
      <c r="W222" t="s">
        <v>674</v>
      </c>
      <c r="X222" t="s">
        <v>181</v>
      </c>
      <c r="Z222" s="470" t="str">
        <v>K610</v>
      </c>
      <c r="AA222" s="195" t="str">
        <v>K601-K610</v>
      </c>
      <c r="AC222" s="70" t="str">
        <v>K610</v>
      </c>
    </row>
    <row r="223" spans="1:29" x14ac:dyDescent="0.2">
      <c r="A223"/>
      <c r="B223"/>
      <c r="C223"/>
      <c r="D223"/>
      <c r="E223"/>
      <c r="F223" t="str">
        <f>LEFT(AllDaqbookOffsets[[#This Row],[traceability_no]],2)</f>
        <v>J1</v>
      </c>
      <c r="W223" t="s">
        <v>675</v>
      </c>
      <c r="X223" t="s">
        <v>181</v>
      </c>
      <c r="Z223" s="470" t="str">
        <v>K701</v>
      </c>
      <c r="AA223" s="195" t="str">
        <v>K701-K710</v>
      </c>
      <c r="AC223" s="70" t="str">
        <v>K701</v>
      </c>
    </row>
    <row r="224" spans="1:29" x14ac:dyDescent="0.2">
      <c r="A224"/>
      <c r="B224"/>
      <c r="C224"/>
      <c r="D224"/>
      <c r="E224"/>
      <c r="F224" t="str">
        <f>LEFT(AllDaqbookOffsets[[#This Row],[traceability_no]],2)</f>
        <v>J1</v>
      </c>
      <c r="W224" t="s">
        <v>676</v>
      </c>
      <c r="X224" t="s">
        <v>181</v>
      </c>
      <c r="Z224" s="470" t="str">
        <v>K702</v>
      </c>
      <c r="AA224" s="195" t="str">
        <v>K701-K710</v>
      </c>
      <c r="AC224" s="70" t="str">
        <v>K702</v>
      </c>
    </row>
    <row r="225" spans="1:29" x14ac:dyDescent="0.2">
      <c r="A225"/>
      <c r="B225"/>
      <c r="C225"/>
      <c r="D225"/>
      <c r="E225"/>
      <c r="F225" t="str">
        <f>LEFT(AllDaqbookOffsets[[#This Row],[traceability_no]],2)</f>
        <v>J1</v>
      </c>
      <c r="W225" t="s">
        <v>677</v>
      </c>
      <c r="X225" t="s">
        <v>181</v>
      </c>
      <c r="Z225" s="470" t="str">
        <v>K703</v>
      </c>
      <c r="AA225" s="195" t="str">
        <v>K701-K710</v>
      </c>
      <c r="AC225" s="70" t="str">
        <v>K703</v>
      </c>
    </row>
    <row r="226" spans="1:29" x14ac:dyDescent="0.2">
      <c r="A226"/>
      <c r="B226"/>
      <c r="C226"/>
      <c r="D226"/>
      <c r="E226"/>
      <c r="F226" t="str">
        <f>LEFT(AllDaqbookOffsets[[#This Row],[traceability_no]],2)</f>
        <v>J1</v>
      </c>
      <c r="W226" t="s">
        <v>678</v>
      </c>
      <c r="X226" t="s">
        <v>181</v>
      </c>
      <c r="Z226" s="470" t="str">
        <v>K704</v>
      </c>
      <c r="AA226" s="195" t="str">
        <v>K701-K710</v>
      </c>
      <c r="AC226" s="70" t="str">
        <v>K704</v>
      </c>
    </row>
    <row r="227" spans="1:29" x14ac:dyDescent="0.2">
      <c r="A227"/>
      <c r="B227"/>
      <c r="C227"/>
      <c r="D227"/>
      <c r="E227"/>
      <c r="F227" t="str">
        <f>LEFT(AllDaqbookOffsets[[#This Row],[traceability_no]],2)</f>
        <v>J1</v>
      </c>
      <c r="W227" t="s">
        <v>679</v>
      </c>
      <c r="X227" t="s">
        <v>181</v>
      </c>
      <c r="Z227" s="470" t="str">
        <v>K705</v>
      </c>
      <c r="AA227" s="195" t="str">
        <v>K701-K710</v>
      </c>
      <c r="AC227" s="70" t="str">
        <v>K705</v>
      </c>
    </row>
    <row r="228" spans="1:29" x14ac:dyDescent="0.2">
      <c r="A228"/>
      <c r="B228"/>
      <c r="C228"/>
      <c r="D228"/>
      <c r="E228"/>
      <c r="F228" t="str">
        <f>LEFT(AllDaqbookOffsets[[#This Row],[traceability_no]],2)</f>
        <v>J1</v>
      </c>
      <c r="W228" t="s">
        <v>680</v>
      </c>
      <c r="X228" t="s">
        <v>182</v>
      </c>
      <c r="Z228" s="470" t="str">
        <v>K706</v>
      </c>
      <c r="AA228" s="195" t="str">
        <v>K701-K710</v>
      </c>
      <c r="AC228" s="70" t="str">
        <v>K706</v>
      </c>
    </row>
    <row r="229" spans="1:29" x14ac:dyDescent="0.2">
      <c r="A229"/>
      <c r="B229"/>
      <c r="C229"/>
      <c r="D229"/>
      <c r="E229"/>
      <c r="F229" t="str">
        <f>LEFT(AllDaqbookOffsets[[#This Row],[traceability_no]],2)</f>
        <v>J1</v>
      </c>
      <c r="W229" t="s">
        <v>681</v>
      </c>
      <c r="X229" t="s">
        <v>182</v>
      </c>
      <c r="Z229" s="470" t="str">
        <v>K707</v>
      </c>
      <c r="AA229" s="195" t="str">
        <v>K701-K710</v>
      </c>
      <c r="AC229" s="70" t="str">
        <v>K707</v>
      </c>
    </row>
    <row r="230" spans="1:29" x14ac:dyDescent="0.2">
      <c r="A230"/>
      <c r="B230"/>
      <c r="C230"/>
      <c r="D230"/>
      <c r="E230"/>
      <c r="F230" t="str">
        <f>LEFT(AllDaqbookOffsets[[#This Row],[traceability_no]],2)</f>
        <v>J1</v>
      </c>
      <c r="W230" t="s">
        <v>682</v>
      </c>
      <c r="X230" t="s">
        <v>182</v>
      </c>
      <c r="Z230" s="470" t="str">
        <v>K708</v>
      </c>
      <c r="AA230" s="195" t="str">
        <v>K701-K710</v>
      </c>
      <c r="AC230" s="70" t="str">
        <v>K708</v>
      </c>
    </row>
    <row r="231" spans="1:29" x14ac:dyDescent="0.2">
      <c r="A231"/>
      <c r="B231"/>
      <c r="C231"/>
      <c r="D231"/>
      <c r="E231"/>
      <c r="F231" t="str">
        <f>LEFT(AllDaqbookOffsets[[#This Row],[traceability_no]],2)</f>
        <v>J1</v>
      </c>
      <c r="W231" t="s">
        <v>683</v>
      </c>
      <c r="X231" t="s">
        <v>182</v>
      </c>
      <c r="Z231" s="470" t="str">
        <v>K709</v>
      </c>
      <c r="AA231" s="195" t="str">
        <v>K701-K710</v>
      </c>
      <c r="AC231" s="70" t="str">
        <v>K709</v>
      </c>
    </row>
    <row r="232" spans="1:29" x14ac:dyDescent="0.2">
      <c r="A232"/>
      <c r="B232"/>
      <c r="C232"/>
      <c r="D232"/>
      <c r="E232"/>
      <c r="F232" t="str">
        <f>LEFT(AllDaqbookOffsets[[#This Row],[traceability_no]],2)</f>
        <v>J1</v>
      </c>
      <c r="W232" t="s">
        <v>684</v>
      </c>
      <c r="X232" t="s">
        <v>182</v>
      </c>
      <c r="Z232" s="470" t="str">
        <v>K710</v>
      </c>
      <c r="AA232" s="195" t="str">
        <v>K701-K710</v>
      </c>
      <c r="AC232" s="70" t="str">
        <v>K710</v>
      </c>
    </row>
    <row r="233" spans="1:29" x14ac:dyDescent="0.2">
      <c r="A233"/>
      <c r="B233"/>
      <c r="C233"/>
      <c r="D233"/>
      <c r="E233"/>
      <c r="F233" t="str">
        <f>LEFT(AllDaqbookOffsets[[#This Row],[traceability_no]],2)</f>
        <v>J1</v>
      </c>
      <c r="W233" t="s">
        <v>685</v>
      </c>
      <c r="X233" t="s">
        <v>182</v>
      </c>
      <c r="Z233" s="470" t="str">
        <v>K801</v>
      </c>
      <c r="AA233" s="195" t="str">
        <v>K801-K816</v>
      </c>
      <c r="AC233" s="70" t="str">
        <v>K801</v>
      </c>
    </row>
    <row r="234" spans="1:29" x14ac:dyDescent="0.2">
      <c r="A234"/>
      <c r="B234"/>
      <c r="C234"/>
      <c r="D234"/>
      <c r="E234"/>
      <c r="F234" t="str">
        <f>LEFT(AllDaqbookOffsets[[#This Row],[traceability_no]],2)</f>
        <v>J1</v>
      </c>
      <c r="W234" t="s">
        <v>686</v>
      </c>
      <c r="X234" t="s">
        <v>182</v>
      </c>
      <c r="Z234" s="470" t="str">
        <v>K802</v>
      </c>
      <c r="AA234" s="195" t="str">
        <v>K801-K816</v>
      </c>
      <c r="AC234" s="70" t="str">
        <v>K802</v>
      </c>
    </row>
    <row r="235" spans="1:29" x14ac:dyDescent="0.2">
      <c r="A235"/>
      <c r="B235"/>
      <c r="C235"/>
      <c r="D235"/>
      <c r="E235"/>
      <c r="F235" t="str">
        <f>LEFT(AllDaqbookOffsets[[#This Row],[traceability_no]],2)</f>
        <v>J1</v>
      </c>
      <c r="W235" t="s">
        <v>687</v>
      </c>
      <c r="X235" t="s">
        <v>182</v>
      </c>
      <c r="Z235" s="470" t="str">
        <v>K803</v>
      </c>
      <c r="AA235" s="195" t="str">
        <v>K801-K816</v>
      </c>
      <c r="AC235" s="70" t="str">
        <v>K803</v>
      </c>
    </row>
    <row r="236" spans="1:29" x14ac:dyDescent="0.2">
      <c r="A236"/>
      <c r="B236"/>
      <c r="C236"/>
      <c r="D236"/>
      <c r="E236"/>
      <c r="F236" t="str">
        <f>LEFT(AllDaqbookOffsets[[#This Row],[traceability_no]],2)</f>
        <v>J1</v>
      </c>
      <c r="W236" t="s">
        <v>688</v>
      </c>
      <c r="X236" t="s">
        <v>182</v>
      </c>
      <c r="Z236" s="470" t="str">
        <v>K804</v>
      </c>
      <c r="AA236" s="195" t="str">
        <v>K801-K816</v>
      </c>
      <c r="AC236" s="70" t="str">
        <v>K804</v>
      </c>
    </row>
    <row r="237" spans="1:29" x14ac:dyDescent="0.2">
      <c r="A237"/>
      <c r="B237"/>
      <c r="C237"/>
      <c r="D237"/>
      <c r="E237"/>
      <c r="F237" t="str">
        <f>LEFT(AllDaqbookOffsets[[#This Row],[traceability_no]],2)</f>
        <v>J1</v>
      </c>
      <c r="W237" t="s">
        <v>689</v>
      </c>
      <c r="X237" t="s">
        <v>182</v>
      </c>
      <c r="Z237" s="470" t="str">
        <v>K805</v>
      </c>
      <c r="AA237" s="195" t="str">
        <v>K801-K816</v>
      </c>
      <c r="AC237" s="70" t="str">
        <v>K805</v>
      </c>
    </row>
    <row r="238" spans="1:29" x14ac:dyDescent="0.2">
      <c r="A238"/>
      <c r="B238"/>
      <c r="C238"/>
      <c r="D238"/>
      <c r="E238"/>
      <c r="F238" t="str">
        <f>LEFT(AllDaqbookOffsets[[#This Row],[traceability_no]],2)</f>
        <v>J1</v>
      </c>
      <c r="W238" t="s">
        <v>690</v>
      </c>
      <c r="X238" t="s">
        <v>258</v>
      </c>
      <c r="Z238" s="470" t="str">
        <v>K806</v>
      </c>
      <c r="AA238" s="195" t="str">
        <v>K801-K816</v>
      </c>
      <c r="AC238" s="70" t="str">
        <v>K806</v>
      </c>
    </row>
    <row r="239" spans="1:29" x14ac:dyDescent="0.2">
      <c r="A239"/>
      <c r="B239"/>
      <c r="C239"/>
      <c r="D239"/>
      <c r="E239"/>
      <c r="F239" t="str">
        <f>LEFT(AllDaqbookOffsets[[#This Row],[traceability_no]],2)</f>
        <v>J1</v>
      </c>
      <c r="W239" t="s">
        <v>691</v>
      </c>
      <c r="X239" t="s">
        <v>258</v>
      </c>
      <c r="Z239" s="470" t="str">
        <v>K807</v>
      </c>
      <c r="AA239" s="195" t="str">
        <v>K801-K816</v>
      </c>
      <c r="AC239" s="70" t="str">
        <v>K807</v>
      </c>
    </row>
    <row r="240" spans="1:29" x14ac:dyDescent="0.2">
      <c r="A240"/>
      <c r="B240"/>
      <c r="C240"/>
      <c r="D240"/>
      <c r="E240"/>
      <c r="F240" t="str">
        <f>LEFT(AllDaqbookOffsets[[#This Row],[traceability_no]],2)</f>
        <v>J1</v>
      </c>
      <c r="W240" t="s">
        <v>692</v>
      </c>
      <c r="X240" t="s">
        <v>258</v>
      </c>
      <c r="Z240" s="470" t="str">
        <v>K808</v>
      </c>
      <c r="AA240" s="195" t="str">
        <v>K801-K816</v>
      </c>
      <c r="AC240" s="70" t="str">
        <v>K808</v>
      </c>
    </row>
    <row r="241" spans="1:29" x14ac:dyDescent="0.2">
      <c r="A241"/>
      <c r="B241"/>
      <c r="C241"/>
      <c r="D241"/>
      <c r="E241"/>
      <c r="F241" t="str">
        <f>LEFT(AllDaqbookOffsets[[#This Row],[traceability_no]],2)</f>
        <v>J1</v>
      </c>
      <c r="W241" t="s">
        <v>693</v>
      </c>
      <c r="X241" t="s">
        <v>258</v>
      </c>
      <c r="Z241" s="470" t="str">
        <v>K809</v>
      </c>
      <c r="AA241" s="195" t="str">
        <v>K801-K816</v>
      </c>
      <c r="AC241" s="70" t="str">
        <v>K809</v>
      </c>
    </row>
    <row r="242" spans="1:29" x14ac:dyDescent="0.2">
      <c r="A242"/>
      <c r="B242"/>
      <c r="C242"/>
      <c r="D242"/>
      <c r="E242"/>
      <c r="F242" t="str">
        <f>LEFT(AllDaqbookOffsets[[#This Row],[traceability_no]],2)</f>
        <v>J2</v>
      </c>
      <c r="W242" t="s">
        <v>694</v>
      </c>
      <c r="X242" t="s">
        <v>258</v>
      </c>
      <c r="Z242" s="470" t="str">
        <v>K810</v>
      </c>
      <c r="AA242" s="195" t="str">
        <v>K801-K816</v>
      </c>
      <c r="AC242" s="70" t="str">
        <v>K810</v>
      </c>
    </row>
    <row r="243" spans="1:29" x14ac:dyDescent="0.2">
      <c r="A243"/>
      <c r="B243"/>
      <c r="C243"/>
      <c r="D243"/>
      <c r="E243"/>
      <c r="F243" t="str">
        <f>LEFT(AllDaqbookOffsets[[#This Row],[traceability_no]],2)</f>
        <v>J2</v>
      </c>
      <c r="W243" t="s">
        <v>695</v>
      </c>
      <c r="X243" t="s">
        <v>258</v>
      </c>
      <c r="Z243" s="470" t="str">
        <v>K811</v>
      </c>
      <c r="AA243" s="195" t="str">
        <v>K801-K816</v>
      </c>
      <c r="AC243" s="70" t="str">
        <v>K811</v>
      </c>
    </row>
    <row r="244" spans="1:29" x14ac:dyDescent="0.2">
      <c r="A244"/>
      <c r="B244"/>
      <c r="C244"/>
      <c r="D244"/>
      <c r="E244"/>
      <c r="F244" t="str">
        <f>LEFT(AllDaqbookOffsets[[#This Row],[traceability_no]],2)</f>
        <v>J2</v>
      </c>
      <c r="W244" t="s">
        <v>696</v>
      </c>
      <c r="X244" t="s">
        <v>258</v>
      </c>
      <c r="Z244" s="470" t="str">
        <v>K812</v>
      </c>
      <c r="AA244" s="195" t="str">
        <v>K801-K816</v>
      </c>
      <c r="AC244" s="70" t="str">
        <v>K812</v>
      </c>
    </row>
    <row r="245" spans="1:29" x14ac:dyDescent="0.2">
      <c r="A245"/>
      <c r="B245"/>
      <c r="C245"/>
      <c r="D245"/>
      <c r="E245"/>
      <c r="F245" t="str">
        <f>LEFT(AllDaqbookOffsets[[#This Row],[traceability_no]],2)</f>
        <v>J2</v>
      </c>
      <c r="W245" t="s">
        <v>697</v>
      </c>
      <c r="X245" t="s">
        <v>258</v>
      </c>
      <c r="Z245" s="470" t="str">
        <v>K813</v>
      </c>
      <c r="AA245" s="195" t="str">
        <v>K801-K816</v>
      </c>
      <c r="AC245" s="70" t="str">
        <v>K813</v>
      </c>
    </row>
    <row r="246" spans="1:29" x14ac:dyDescent="0.2">
      <c r="A246"/>
      <c r="B246"/>
      <c r="C246"/>
      <c r="D246"/>
      <c r="E246"/>
      <c r="F246" t="str">
        <f>LEFT(AllDaqbookOffsets[[#This Row],[traceability_no]],2)</f>
        <v>J2</v>
      </c>
      <c r="W246" t="s">
        <v>698</v>
      </c>
      <c r="X246" t="s">
        <v>258</v>
      </c>
      <c r="Z246" s="470" t="str">
        <v>K814</v>
      </c>
      <c r="AA246" s="195" t="str">
        <v>K801-K816</v>
      </c>
      <c r="AC246" s="70" t="str">
        <v>K814</v>
      </c>
    </row>
    <row r="247" spans="1:29" x14ac:dyDescent="0.2">
      <c r="A247"/>
      <c r="B247"/>
      <c r="C247"/>
      <c r="D247"/>
      <c r="E247"/>
      <c r="F247" t="str">
        <f>LEFT(AllDaqbookOffsets[[#This Row],[traceability_no]],2)</f>
        <v>J2</v>
      </c>
      <c r="W247" t="s">
        <v>699</v>
      </c>
      <c r="X247" t="s">
        <v>258</v>
      </c>
      <c r="Z247" s="470" t="str">
        <v>K815</v>
      </c>
      <c r="AA247" s="195" t="str">
        <v>K801-K816</v>
      </c>
      <c r="AC247" s="70" t="str">
        <v>K815</v>
      </c>
    </row>
    <row r="248" spans="1:29" x14ac:dyDescent="0.2">
      <c r="A248"/>
      <c r="B248"/>
      <c r="C248"/>
      <c r="D248"/>
      <c r="E248"/>
      <c r="F248" t="str">
        <f>LEFT(AllDaqbookOffsets[[#This Row],[traceability_no]],2)</f>
        <v>J2</v>
      </c>
      <c r="W248" t="s">
        <v>706</v>
      </c>
      <c r="X248" t="s">
        <v>183</v>
      </c>
      <c r="Z248" s="470" t="str">
        <v>K816</v>
      </c>
      <c r="AA248" s="195" t="str">
        <v>K801-K816</v>
      </c>
      <c r="AC248" s="70" t="str">
        <v>K816</v>
      </c>
    </row>
    <row r="249" spans="1:29" x14ac:dyDescent="0.2">
      <c r="A249"/>
      <c r="B249"/>
      <c r="C249"/>
      <c r="D249"/>
      <c r="E249"/>
      <c r="F249" t="str">
        <f>LEFT(AllDaqbookOffsets[[#This Row],[traceability_no]],2)</f>
        <v>J2</v>
      </c>
      <c r="W249" t="s">
        <v>707</v>
      </c>
      <c r="X249" t="s">
        <v>183</v>
      </c>
      <c r="Z249" s="470" t="str">
        <v>K901</v>
      </c>
      <c r="AA249" s="195" t="str">
        <v>K901-K910</v>
      </c>
      <c r="AC249" s="70" t="str">
        <v>K901</v>
      </c>
    </row>
    <row r="250" spans="1:29" x14ac:dyDescent="0.2">
      <c r="A250"/>
      <c r="B250"/>
      <c r="C250"/>
      <c r="D250"/>
      <c r="E250"/>
      <c r="F250" t="str">
        <f>LEFT(AllDaqbookOffsets[[#This Row],[traceability_no]],2)</f>
        <v>J2</v>
      </c>
      <c r="W250" t="s">
        <v>708</v>
      </c>
      <c r="X250" t="s">
        <v>183</v>
      </c>
      <c r="Z250" s="470" t="str">
        <v>K902</v>
      </c>
      <c r="AA250" s="195" t="str">
        <v>K901-K910</v>
      </c>
      <c r="AC250" s="70" t="str">
        <v>K902</v>
      </c>
    </row>
    <row r="251" spans="1:29" x14ac:dyDescent="0.2">
      <c r="A251"/>
      <c r="B251"/>
      <c r="C251"/>
      <c r="D251"/>
      <c r="E251"/>
      <c r="F251" t="str">
        <f>LEFT(AllDaqbookOffsets[[#This Row],[traceability_no]],2)</f>
        <v>J2</v>
      </c>
      <c r="W251" t="s">
        <v>709</v>
      </c>
      <c r="X251" t="s">
        <v>183</v>
      </c>
      <c r="Z251" s="470" t="str">
        <v>K903</v>
      </c>
      <c r="AA251" s="195" t="str">
        <v>K901-K910</v>
      </c>
      <c r="AC251" s="70" t="str">
        <v>K903</v>
      </c>
    </row>
    <row r="252" spans="1:29" x14ac:dyDescent="0.2">
      <c r="A252"/>
      <c r="B252"/>
      <c r="C252"/>
      <c r="D252"/>
      <c r="E252"/>
      <c r="F252" t="str">
        <f>LEFT(AllDaqbookOffsets[[#This Row],[traceability_no]],2)</f>
        <v>J2</v>
      </c>
      <c r="W252" t="s">
        <v>710</v>
      </c>
      <c r="X252" t="s">
        <v>183</v>
      </c>
      <c r="Z252" s="470" t="str">
        <v>K904</v>
      </c>
      <c r="AA252" s="195" t="str">
        <v>K901-K910</v>
      </c>
      <c r="AC252" s="70" t="str">
        <v>K904</v>
      </c>
    </row>
    <row r="253" spans="1:29" x14ac:dyDescent="0.2">
      <c r="A253"/>
      <c r="B253"/>
      <c r="C253"/>
      <c r="D253"/>
      <c r="E253"/>
      <c r="F253" t="str">
        <f>LEFT(AllDaqbookOffsets[[#This Row],[traceability_no]],2)</f>
        <v>J2</v>
      </c>
      <c r="W253" t="s">
        <v>711</v>
      </c>
      <c r="X253" t="s">
        <v>183</v>
      </c>
      <c r="Z253" s="470" t="str">
        <v>K905</v>
      </c>
      <c r="AA253" s="195" t="str">
        <v>K901-K910</v>
      </c>
      <c r="AC253" s="70" t="str">
        <v>K905</v>
      </c>
    </row>
    <row r="254" spans="1:29" x14ac:dyDescent="0.2">
      <c r="A254"/>
      <c r="B254"/>
      <c r="C254"/>
      <c r="D254"/>
      <c r="E254"/>
      <c r="F254" t="str">
        <f>LEFT(AllDaqbookOffsets[[#This Row],[traceability_no]],2)</f>
        <v>J2</v>
      </c>
      <c r="W254" t="s">
        <v>712</v>
      </c>
      <c r="X254" t="s">
        <v>183</v>
      </c>
      <c r="Z254" s="470" t="str">
        <v>K906</v>
      </c>
      <c r="AA254" s="195" t="str">
        <v>K901-K910</v>
      </c>
      <c r="AC254" s="70" t="str">
        <v>K906</v>
      </c>
    </row>
    <row r="255" spans="1:29" x14ac:dyDescent="0.2">
      <c r="A255"/>
      <c r="B255"/>
      <c r="C255"/>
      <c r="D255"/>
      <c r="E255"/>
      <c r="F255" t="str">
        <f>LEFT(AllDaqbookOffsets[[#This Row],[traceability_no]],2)</f>
        <v>J2</v>
      </c>
      <c r="W255" t="s">
        <v>713</v>
      </c>
      <c r="X255" t="s">
        <v>183</v>
      </c>
      <c r="Z255" s="470" t="str">
        <v>K907</v>
      </c>
      <c r="AA255" s="195" t="str">
        <v>K901-K910</v>
      </c>
      <c r="AC255" s="70" t="str">
        <v>K907</v>
      </c>
    </row>
    <row r="256" spans="1:29" x14ac:dyDescent="0.2">
      <c r="A256"/>
      <c r="B256"/>
      <c r="C256"/>
      <c r="D256"/>
      <c r="E256"/>
      <c r="F256" t="str">
        <f>LEFT(AllDaqbookOffsets[[#This Row],[traceability_no]],2)</f>
        <v>J2</v>
      </c>
      <c r="W256" t="s">
        <v>714</v>
      </c>
      <c r="X256" t="s">
        <v>183</v>
      </c>
      <c r="Z256" s="470" t="str">
        <v>K908</v>
      </c>
      <c r="AA256" s="195" t="str">
        <v>K901-K910</v>
      </c>
      <c r="AC256" s="70" t="str">
        <v>K908</v>
      </c>
    </row>
    <row r="257" spans="1:29" x14ac:dyDescent="0.2">
      <c r="A257"/>
      <c r="B257"/>
      <c r="C257"/>
      <c r="D257"/>
      <c r="E257"/>
      <c r="F257" t="str">
        <f>LEFT(AllDaqbookOffsets[[#This Row],[traceability_no]],2)</f>
        <v>J2</v>
      </c>
      <c r="W257" t="s">
        <v>700</v>
      </c>
      <c r="X257" t="s">
        <v>258</v>
      </c>
      <c r="Z257" s="470" t="str">
        <v>K909</v>
      </c>
      <c r="AA257" s="195" t="str">
        <v>K901-K910</v>
      </c>
      <c r="AC257" s="70" t="str">
        <v>K909</v>
      </c>
    </row>
    <row r="258" spans="1:29" x14ac:dyDescent="0.2">
      <c r="A258"/>
      <c r="B258"/>
      <c r="C258"/>
      <c r="D258"/>
      <c r="E258"/>
      <c r="F258" t="str">
        <f>LEFT(AllDaqbookOffsets[[#This Row],[traceability_no]],2)</f>
        <v>J2</v>
      </c>
      <c r="W258" t="s">
        <v>715</v>
      </c>
      <c r="X258" t="s">
        <v>183</v>
      </c>
      <c r="Z258" s="470" t="str">
        <v>K910</v>
      </c>
      <c r="AA258" s="195" t="str">
        <v>K901-K910</v>
      </c>
      <c r="AC258" s="70" t="str">
        <v>K910</v>
      </c>
    </row>
    <row r="259" spans="1:29" x14ac:dyDescent="0.2">
      <c r="A259"/>
      <c r="B259"/>
      <c r="C259"/>
      <c r="D259"/>
      <c r="E259"/>
      <c r="F259" t="str">
        <f>LEFT(AllDaqbookOffsets[[#This Row],[traceability_no]],2)</f>
        <v>J2</v>
      </c>
      <c r="W259" t="s">
        <v>716</v>
      </c>
      <c r="X259" t="s">
        <v>183</v>
      </c>
      <c r="Z259" s="470" t="str">
        <v>N01</v>
      </c>
      <c r="AA259" s="195" t="str">
        <v>N01-N16</v>
      </c>
      <c r="AC259" s="70" t="str">
        <v>N01</v>
      </c>
    </row>
    <row r="260" spans="1:29" x14ac:dyDescent="0.2">
      <c r="A260"/>
      <c r="B260"/>
      <c r="C260"/>
      <c r="D260"/>
      <c r="E260"/>
      <c r="F260" t="str">
        <f>LEFT(AllDaqbookOffsets[[#This Row],[traceability_no]],2)</f>
        <v>J2</v>
      </c>
      <c r="W260" t="s">
        <v>717</v>
      </c>
      <c r="X260" t="s">
        <v>183</v>
      </c>
      <c r="Z260" s="470" t="str">
        <v>N02</v>
      </c>
      <c r="AA260" s="195" t="str">
        <v>N01-N16</v>
      </c>
      <c r="AC260" s="70" t="str">
        <v>N02</v>
      </c>
    </row>
    <row r="261" spans="1:29" x14ac:dyDescent="0.2">
      <c r="A261"/>
      <c r="B261"/>
      <c r="C261"/>
      <c r="D261"/>
      <c r="E261"/>
      <c r="F261" t="str">
        <f>LEFT(AllDaqbookOffsets[[#This Row],[traceability_no]],2)</f>
        <v>J2</v>
      </c>
      <c r="W261" t="s">
        <v>701</v>
      </c>
      <c r="X261" t="s">
        <v>258</v>
      </c>
      <c r="Z261" s="470" t="str">
        <v>N03</v>
      </c>
      <c r="AA261" s="195" t="str">
        <v>N01-N16</v>
      </c>
      <c r="AC261" s="70" t="str">
        <v>N03</v>
      </c>
    </row>
    <row r="262" spans="1:29" x14ac:dyDescent="0.2">
      <c r="A262"/>
      <c r="B262"/>
      <c r="C262"/>
      <c r="D262"/>
      <c r="E262"/>
      <c r="F262" t="str">
        <f>LEFT(AllDaqbookOffsets[[#This Row],[traceability_no]],2)</f>
        <v>J2</v>
      </c>
      <c r="W262" t="s">
        <v>702</v>
      </c>
      <c r="X262" t="s">
        <v>258</v>
      </c>
      <c r="Z262" s="470" t="str">
        <v>N04</v>
      </c>
      <c r="AA262" s="195" t="str">
        <v>N01-N16</v>
      </c>
      <c r="AC262" s="70" t="str">
        <v>N04</v>
      </c>
    </row>
    <row r="263" spans="1:29" x14ac:dyDescent="0.2">
      <c r="A263"/>
      <c r="B263"/>
      <c r="C263"/>
      <c r="D263"/>
      <c r="E263"/>
      <c r="F263" t="str">
        <f>LEFT(AllDaqbookOffsets[[#This Row],[traceability_no]],2)</f>
        <v>J2</v>
      </c>
      <c r="W263" t="s">
        <v>703</v>
      </c>
      <c r="X263" t="s">
        <v>258</v>
      </c>
      <c r="Z263" s="470" t="str">
        <v>N05</v>
      </c>
      <c r="AA263" s="195" t="str">
        <v>N01-N16</v>
      </c>
      <c r="AC263" s="70" t="str">
        <v>N05</v>
      </c>
    </row>
    <row r="264" spans="1:29" x14ac:dyDescent="0.2">
      <c r="A264"/>
      <c r="B264"/>
      <c r="C264"/>
      <c r="D264"/>
      <c r="E264"/>
      <c r="F264" t="str">
        <f>LEFT(AllDaqbookOffsets[[#This Row],[traceability_no]],2)</f>
        <v>J2</v>
      </c>
      <c r="W264" t="s">
        <v>704</v>
      </c>
      <c r="X264" t="s">
        <v>258</v>
      </c>
      <c r="Z264" s="470" t="str">
        <v>N06</v>
      </c>
      <c r="AA264" s="195" t="str">
        <v>N01-N16</v>
      </c>
      <c r="AC264" s="70" t="str">
        <v>N06</v>
      </c>
    </row>
    <row r="265" spans="1:29" x14ac:dyDescent="0.2">
      <c r="A265"/>
      <c r="B265"/>
      <c r="C265"/>
      <c r="D265"/>
      <c r="E265"/>
      <c r="F265" t="str">
        <f>LEFT(AllDaqbookOffsets[[#This Row],[traceability_no]],2)</f>
        <v>J2</v>
      </c>
      <c r="W265" t="s">
        <v>705</v>
      </c>
      <c r="X265" t="s">
        <v>258</v>
      </c>
      <c r="Z265" s="470" t="str">
        <v>N07</v>
      </c>
      <c r="AA265" s="195" t="str">
        <v>N01-N16</v>
      </c>
      <c r="AC265" s="70" t="str">
        <v>N07</v>
      </c>
    </row>
    <row r="266" spans="1:29" x14ac:dyDescent="0.2">
      <c r="A266"/>
      <c r="B266"/>
      <c r="C266"/>
      <c r="D266"/>
      <c r="E266"/>
      <c r="F266" t="str">
        <f>LEFT(AllDaqbookOffsets[[#This Row],[traceability_no]],2)</f>
        <v>J2</v>
      </c>
      <c r="W266" t="s">
        <v>718</v>
      </c>
      <c r="X266" t="s">
        <v>184</v>
      </c>
      <c r="Z266" s="470" t="str">
        <v>N08</v>
      </c>
      <c r="AA266" s="195" t="str">
        <v>N01-N16</v>
      </c>
      <c r="AC266" s="70" t="str">
        <v>N08</v>
      </c>
    </row>
    <row r="267" spans="1:29" x14ac:dyDescent="0.2">
      <c r="A267"/>
      <c r="B267"/>
      <c r="C267"/>
      <c r="D267"/>
      <c r="E267"/>
      <c r="F267" t="str">
        <f>LEFT(AllDaqbookOffsets[[#This Row],[traceability_no]],2)</f>
        <v>J2</v>
      </c>
      <c r="W267" t="s">
        <v>719</v>
      </c>
      <c r="X267" t="s">
        <v>184</v>
      </c>
      <c r="Z267" s="470" t="str">
        <v>N09</v>
      </c>
      <c r="AA267" s="195" t="str">
        <v>N01-N16</v>
      </c>
      <c r="AC267" s="70" t="str">
        <v>N09</v>
      </c>
    </row>
    <row r="268" spans="1:29" x14ac:dyDescent="0.2">
      <c r="A268"/>
      <c r="B268"/>
      <c r="C268"/>
      <c r="D268"/>
      <c r="E268"/>
      <c r="F268" t="str">
        <f>LEFT(AllDaqbookOffsets[[#This Row],[traceability_no]],2)</f>
        <v>J2</v>
      </c>
      <c r="W268" t="s">
        <v>720</v>
      </c>
      <c r="X268" t="s">
        <v>184</v>
      </c>
      <c r="Z268" s="470" t="str">
        <v>N10</v>
      </c>
      <c r="AA268" s="195" t="str">
        <v>N01-N16</v>
      </c>
      <c r="AC268" s="70" t="str">
        <v>N10</v>
      </c>
    </row>
    <row r="269" spans="1:29" x14ac:dyDescent="0.2">
      <c r="A269"/>
      <c r="B269"/>
      <c r="C269"/>
      <c r="D269"/>
      <c r="E269"/>
      <c r="F269" t="str">
        <f>LEFT(AllDaqbookOffsets[[#This Row],[traceability_no]],2)</f>
        <v>J2</v>
      </c>
      <c r="W269" t="s">
        <v>721</v>
      </c>
      <c r="X269" t="s">
        <v>184</v>
      </c>
      <c r="Z269" s="470" t="str">
        <v>N101</v>
      </c>
      <c r="AA269" s="195" t="str">
        <v>N101-N112</v>
      </c>
      <c r="AC269" s="70" t="str">
        <v>N101</v>
      </c>
    </row>
    <row r="270" spans="1:29" x14ac:dyDescent="0.2">
      <c r="A270"/>
      <c r="B270"/>
      <c r="C270"/>
      <c r="D270"/>
      <c r="E270"/>
      <c r="F270" t="str">
        <f>LEFT(AllDaqbookOffsets[[#This Row],[traceability_no]],2)</f>
        <v>J2</v>
      </c>
      <c r="W270" t="s">
        <v>722</v>
      </c>
      <c r="X270" t="s">
        <v>184</v>
      </c>
      <c r="Z270" s="470" t="str">
        <v>N102</v>
      </c>
      <c r="AA270" s="195" t="str">
        <v>N101-N112</v>
      </c>
      <c r="AC270" s="70" t="str">
        <v>N102</v>
      </c>
    </row>
    <row r="271" spans="1:29" x14ac:dyDescent="0.2">
      <c r="A271"/>
      <c r="B271"/>
      <c r="C271"/>
      <c r="D271"/>
      <c r="E271"/>
      <c r="F271" t="str">
        <f>LEFT(AllDaqbookOffsets[[#This Row],[traceability_no]],2)</f>
        <v>J2</v>
      </c>
      <c r="W271" t="s">
        <v>723</v>
      </c>
      <c r="X271" t="s">
        <v>184</v>
      </c>
      <c r="Z271" s="470" t="str">
        <v>N103</v>
      </c>
      <c r="AA271" s="195" t="str">
        <v>N101-N112</v>
      </c>
      <c r="AC271" s="70" t="str">
        <v>N103</v>
      </c>
    </row>
    <row r="272" spans="1:29" x14ac:dyDescent="0.2">
      <c r="A272"/>
      <c r="B272"/>
      <c r="C272"/>
      <c r="D272"/>
      <c r="E272"/>
      <c r="F272" t="str">
        <f>LEFT(AllDaqbookOffsets[[#This Row],[traceability_no]],2)</f>
        <v>J2</v>
      </c>
      <c r="W272" t="s">
        <v>724</v>
      </c>
      <c r="X272" t="s">
        <v>184</v>
      </c>
      <c r="Z272" s="470" t="str">
        <v>N104</v>
      </c>
      <c r="AA272" s="195" t="str">
        <v>N101-N112</v>
      </c>
      <c r="AC272" s="70" t="str">
        <v>N104</v>
      </c>
    </row>
    <row r="273" spans="1:29" x14ac:dyDescent="0.2">
      <c r="A273"/>
      <c r="B273"/>
      <c r="C273"/>
      <c r="D273"/>
      <c r="E273"/>
      <c r="F273" t="str">
        <f>LEFT(AllDaqbookOffsets[[#This Row],[traceability_no]],2)</f>
        <v>J2</v>
      </c>
      <c r="W273" t="s">
        <v>725</v>
      </c>
      <c r="X273" t="s">
        <v>184</v>
      </c>
      <c r="Z273" s="470" t="str">
        <v>N105</v>
      </c>
      <c r="AA273" s="195" t="str">
        <v>N101-N112</v>
      </c>
      <c r="AC273" s="70" t="str">
        <v>N105</v>
      </c>
    </row>
    <row r="274" spans="1:29" x14ac:dyDescent="0.2">
      <c r="A274"/>
      <c r="B274"/>
      <c r="C274"/>
      <c r="D274"/>
      <c r="E274"/>
      <c r="F274" t="str">
        <f>LEFT(AllDaqbookOffsets[[#This Row],[traceability_no]],2)</f>
        <v>J2</v>
      </c>
      <c r="W274" t="s">
        <v>726</v>
      </c>
      <c r="X274" t="s">
        <v>184</v>
      </c>
      <c r="Z274" s="470" t="str">
        <v>N106</v>
      </c>
      <c r="AA274" s="195" t="str">
        <v>N101-N112</v>
      </c>
      <c r="AC274" s="70" t="str">
        <v>N106</v>
      </c>
    </row>
    <row r="275" spans="1:29" x14ac:dyDescent="0.2">
      <c r="A275"/>
      <c r="B275"/>
      <c r="C275"/>
      <c r="D275"/>
      <c r="E275"/>
      <c r="F275" t="str">
        <f>LEFT(AllDaqbookOffsets[[#This Row],[traceability_no]],2)</f>
        <v>J2</v>
      </c>
      <c r="W275" t="s">
        <v>727</v>
      </c>
      <c r="X275" t="s">
        <v>184</v>
      </c>
      <c r="Z275" s="470" t="str">
        <v>N107</v>
      </c>
      <c r="AA275" s="195" t="str">
        <v>N101-N112</v>
      </c>
      <c r="AC275" s="70" t="str">
        <v>N107</v>
      </c>
    </row>
    <row r="276" spans="1:29" x14ac:dyDescent="0.2">
      <c r="A276"/>
      <c r="B276"/>
      <c r="C276"/>
      <c r="D276"/>
      <c r="E276"/>
      <c r="F276" t="str">
        <f>LEFT(AllDaqbookOffsets[[#This Row],[traceability_no]],2)</f>
        <v>J2</v>
      </c>
      <c r="W276" t="s">
        <v>728</v>
      </c>
      <c r="X276" t="s">
        <v>184</v>
      </c>
      <c r="Z276" s="470" t="str">
        <v>N108</v>
      </c>
      <c r="AA276" s="195" t="str">
        <v>N101-N112</v>
      </c>
      <c r="AC276" s="70" t="str">
        <v>N108</v>
      </c>
    </row>
    <row r="277" spans="1:29" x14ac:dyDescent="0.2">
      <c r="A277"/>
      <c r="B277"/>
      <c r="C277"/>
      <c r="D277"/>
      <c r="E277"/>
      <c r="F277" t="str">
        <f>LEFT(AllDaqbookOffsets[[#This Row],[traceability_no]],2)</f>
        <v>J2</v>
      </c>
      <c r="W277" t="s">
        <v>729</v>
      </c>
      <c r="X277" t="s">
        <v>184</v>
      </c>
      <c r="Z277" s="470" t="str">
        <v>N109</v>
      </c>
      <c r="AA277" s="195" t="str">
        <v>N101-N112</v>
      </c>
      <c r="AC277" s="70" t="str">
        <v>N109</v>
      </c>
    </row>
    <row r="278" spans="1:29" x14ac:dyDescent="0.2">
      <c r="A278"/>
      <c r="B278"/>
      <c r="C278"/>
      <c r="D278"/>
      <c r="E278"/>
      <c r="F278" t="str">
        <f>LEFT(AllDaqbookOffsets[[#This Row],[traceability_no]],2)</f>
        <v>J2</v>
      </c>
      <c r="W278" t="s">
        <v>730</v>
      </c>
      <c r="X278" t="s">
        <v>184</v>
      </c>
      <c r="Z278" s="470" t="str">
        <v>N11</v>
      </c>
      <c r="AA278" s="195" t="str">
        <v>N01-N16</v>
      </c>
      <c r="AC278" s="70" t="str">
        <v>N11</v>
      </c>
    </row>
    <row r="279" spans="1:29" x14ac:dyDescent="0.2">
      <c r="A279"/>
      <c r="B279"/>
      <c r="C279"/>
      <c r="D279"/>
      <c r="E279"/>
      <c r="F279" t="str">
        <f>LEFT(AllDaqbookOffsets[[#This Row],[traceability_no]],2)</f>
        <v>J2</v>
      </c>
      <c r="W279" t="s">
        <v>731</v>
      </c>
      <c r="X279" t="s">
        <v>184</v>
      </c>
      <c r="Z279" s="470" t="str">
        <v>N110</v>
      </c>
      <c r="AA279" s="195" t="str">
        <v>N101-N112</v>
      </c>
      <c r="AC279" s="70" t="str">
        <v>N110</v>
      </c>
    </row>
    <row r="280" spans="1:29" x14ac:dyDescent="0.2">
      <c r="A280"/>
      <c r="B280"/>
      <c r="C280"/>
      <c r="D280"/>
      <c r="E280"/>
      <c r="F280" t="str">
        <f>LEFT(AllDaqbookOffsets[[#This Row],[traceability_no]],2)</f>
        <v>J2</v>
      </c>
      <c r="Z280" s="470" t="str">
        <v>N111</v>
      </c>
      <c r="AA280" s="195" t="str">
        <v>N101-N112</v>
      </c>
      <c r="AC280" s="70" t="str">
        <v>N111</v>
      </c>
    </row>
    <row r="281" spans="1:29" x14ac:dyDescent="0.2">
      <c r="A281"/>
      <c r="B281"/>
      <c r="C281"/>
      <c r="D281"/>
      <c r="E281"/>
      <c r="F281" t="str">
        <f>LEFT(AllDaqbookOffsets[[#This Row],[traceability_no]],2)</f>
        <v>J2</v>
      </c>
      <c r="Z281" s="470" t="str">
        <v>N112</v>
      </c>
      <c r="AA281" s="195" t="str">
        <v>N101-N112</v>
      </c>
      <c r="AC281" s="70" t="str">
        <v>N112</v>
      </c>
    </row>
    <row r="282" spans="1:29" x14ac:dyDescent="0.2">
      <c r="A282"/>
      <c r="B282"/>
      <c r="C282"/>
      <c r="D282"/>
      <c r="E282"/>
      <c r="F282" t="str">
        <f>LEFT(AllDaqbookOffsets[[#This Row],[traceability_no]],2)</f>
        <v>J2</v>
      </c>
      <c r="Z282" s="470" t="str">
        <v>N12</v>
      </c>
      <c r="AA282" s="195" t="str">
        <v>N01-N16</v>
      </c>
      <c r="AC282" s="70" t="str">
        <v>N12</v>
      </c>
    </row>
    <row r="283" spans="1:29" x14ac:dyDescent="0.2">
      <c r="A283"/>
      <c r="B283"/>
      <c r="C283"/>
      <c r="D283"/>
      <c r="E283"/>
      <c r="F283" t="str">
        <f>LEFT(AllDaqbookOffsets[[#This Row],[traceability_no]],2)</f>
        <v>J2</v>
      </c>
      <c r="Z283" s="470" t="str">
        <v>N13</v>
      </c>
      <c r="AA283" s="195" t="str">
        <v>N01-N16</v>
      </c>
      <c r="AC283" s="70" t="str">
        <v>N13</v>
      </c>
    </row>
    <row r="284" spans="1:29" x14ac:dyDescent="0.2">
      <c r="A284"/>
      <c r="B284"/>
      <c r="C284"/>
      <c r="D284"/>
      <c r="E284"/>
      <c r="F284" t="str">
        <f>LEFT(AllDaqbookOffsets[[#This Row],[traceability_no]],2)</f>
        <v>J2</v>
      </c>
      <c r="Z284" s="470" t="str">
        <v>N14</v>
      </c>
      <c r="AA284" s="195" t="str">
        <v>N01-N16</v>
      </c>
      <c r="AC284" s="70" t="str">
        <v>N14</v>
      </c>
    </row>
    <row r="285" spans="1:29" x14ac:dyDescent="0.2">
      <c r="A285"/>
      <c r="B285"/>
      <c r="C285"/>
      <c r="D285"/>
      <c r="E285"/>
      <c r="F285" t="str">
        <f>LEFT(AllDaqbookOffsets[[#This Row],[traceability_no]],2)</f>
        <v>J2</v>
      </c>
      <c r="Z285" s="470" t="str">
        <v>N15</v>
      </c>
      <c r="AA285" s="195" t="str">
        <v>N01-N16</v>
      </c>
      <c r="AC285" s="70" t="str">
        <v>N15</v>
      </c>
    </row>
    <row r="286" spans="1:29" x14ac:dyDescent="0.2">
      <c r="A286"/>
      <c r="B286"/>
      <c r="C286"/>
      <c r="D286"/>
      <c r="E286"/>
      <c r="F286" t="str">
        <f>LEFT(AllDaqbookOffsets[[#This Row],[traceability_no]],2)</f>
        <v>J2</v>
      </c>
      <c r="Z286" s="470" t="str">
        <v>N16</v>
      </c>
      <c r="AA286" s="195" t="str">
        <v>N01-N16</v>
      </c>
      <c r="AC286" s="70" t="str">
        <v>N16</v>
      </c>
    </row>
    <row r="287" spans="1:29" x14ac:dyDescent="0.2">
      <c r="A287"/>
      <c r="B287"/>
      <c r="C287"/>
      <c r="D287"/>
      <c r="E287"/>
      <c r="F287" t="str">
        <f>LEFT(AllDaqbookOffsets[[#This Row],[traceability_no]],2)</f>
        <v>J2</v>
      </c>
      <c r="Z287" s="470" t="str">
        <v>N21</v>
      </c>
      <c r="AA287" s="195" t="str">
        <v>N21-N34</v>
      </c>
      <c r="AC287" s="70" t="str">
        <v>N21</v>
      </c>
    </row>
    <row r="288" spans="1:29" x14ac:dyDescent="0.2">
      <c r="A288"/>
      <c r="B288"/>
      <c r="C288"/>
      <c r="D288"/>
      <c r="E288"/>
      <c r="F288" t="str">
        <f>LEFT(AllDaqbookOffsets[[#This Row],[traceability_no]],2)</f>
        <v>J2</v>
      </c>
      <c r="Z288" s="470" t="str">
        <v>N22</v>
      </c>
      <c r="AA288" s="195" t="str">
        <v>N21-N34</v>
      </c>
      <c r="AC288" s="70" t="str">
        <v>N22</v>
      </c>
    </row>
    <row r="289" spans="1:29" x14ac:dyDescent="0.2">
      <c r="A289"/>
      <c r="B289"/>
      <c r="C289"/>
      <c r="D289"/>
      <c r="E289"/>
      <c r="F289" t="str">
        <f>LEFT(AllDaqbookOffsets[[#This Row],[traceability_no]],2)</f>
        <v>J2</v>
      </c>
      <c r="Z289" s="470" t="str">
        <v>N23</v>
      </c>
      <c r="AA289" s="195" t="str">
        <v>N21-N34</v>
      </c>
      <c r="AC289" s="70" t="str">
        <v>N23</v>
      </c>
    </row>
    <row r="290" spans="1:29" x14ac:dyDescent="0.2">
      <c r="A290"/>
      <c r="B290"/>
      <c r="C290"/>
      <c r="D290"/>
      <c r="E290"/>
      <c r="F290" t="str">
        <f>LEFT(AllDaqbookOffsets[[#This Row],[traceability_no]],2)</f>
        <v>J2</v>
      </c>
      <c r="Z290" s="470" t="str">
        <v>N24</v>
      </c>
      <c r="AA290" s="195" t="str">
        <v>N21-N34</v>
      </c>
      <c r="AC290" s="70" t="str">
        <v>N24</v>
      </c>
    </row>
    <row r="291" spans="1:29" x14ac:dyDescent="0.2">
      <c r="A291"/>
      <c r="B291"/>
      <c r="C291"/>
      <c r="D291"/>
      <c r="E291"/>
      <c r="F291" t="str">
        <f>LEFT(AllDaqbookOffsets[[#This Row],[traceability_no]],2)</f>
        <v>J2</v>
      </c>
      <c r="Z291" s="470" t="str">
        <v>N25</v>
      </c>
      <c r="AA291" s="195" t="str">
        <v>N21-N34</v>
      </c>
      <c r="AC291" s="70" t="str">
        <v>N25</v>
      </c>
    </row>
    <row r="292" spans="1:29" x14ac:dyDescent="0.2">
      <c r="A292"/>
      <c r="B292"/>
      <c r="C292"/>
      <c r="D292"/>
      <c r="E292"/>
      <c r="F292" t="str">
        <f>LEFT(AllDaqbookOffsets[[#This Row],[traceability_no]],2)</f>
        <v>J2</v>
      </c>
      <c r="Z292" s="470" t="str">
        <v>N26</v>
      </c>
      <c r="AA292" s="195" t="str">
        <v>N21-N34</v>
      </c>
      <c r="AC292" s="70" t="str">
        <v>N26</v>
      </c>
    </row>
    <row r="293" spans="1:29" x14ac:dyDescent="0.2">
      <c r="A293"/>
      <c r="B293"/>
      <c r="C293"/>
      <c r="D293"/>
      <c r="E293"/>
      <c r="F293" t="str">
        <f>LEFT(AllDaqbookOffsets[[#This Row],[traceability_no]],2)</f>
        <v>J2</v>
      </c>
      <c r="Z293" s="470" t="str">
        <v>N27</v>
      </c>
      <c r="AA293" s="195" t="str">
        <v>N21-N34</v>
      </c>
      <c r="AC293" s="70" t="str">
        <v>N27</v>
      </c>
    </row>
    <row r="294" spans="1:29" x14ac:dyDescent="0.2">
      <c r="A294"/>
      <c r="B294"/>
      <c r="C294"/>
      <c r="D294"/>
      <c r="E294"/>
      <c r="F294" t="str">
        <f>LEFT(AllDaqbookOffsets[[#This Row],[traceability_no]],2)</f>
        <v>J2</v>
      </c>
      <c r="Z294" s="470" t="str">
        <v>N28</v>
      </c>
      <c r="AA294" s="195" t="str">
        <v>N21-N34</v>
      </c>
      <c r="AC294" s="70" t="str">
        <v>N28</v>
      </c>
    </row>
    <row r="295" spans="1:29" x14ac:dyDescent="0.2">
      <c r="A295"/>
      <c r="B295"/>
      <c r="C295"/>
      <c r="D295"/>
      <c r="E295"/>
      <c r="F295" t="str">
        <f>LEFT(AllDaqbookOffsets[[#This Row],[traceability_no]],2)</f>
        <v>J2</v>
      </c>
      <c r="Z295" s="470" t="str">
        <v>N29</v>
      </c>
      <c r="AA295" s="195" t="str">
        <v>N21-N34</v>
      </c>
      <c r="AC295" s="70" t="str">
        <v>N29</v>
      </c>
    </row>
    <row r="296" spans="1:29" x14ac:dyDescent="0.2">
      <c r="A296"/>
      <c r="B296"/>
      <c r="C296"/>
      <c r="D296"/>
      <c r="E296"/>
      <c r="F296" t="str">
        <f>LEFT(AllDaqbookOffsets[[#This Row],[traceability_no]],2)</f>
        <v>J2</v>
      </c>
      <c r="Z296" s="470" t="str">
        <v>N30</v>
      </c>
      <c r="AA296" s="195" t="str">
        <v>N21-N34</v>
      </c>
      <c r="AC296" s="70" t="str">
        <v>N30</v>
      </c>
    </row>
    <row r="297" spans="1:29" x14ac:dyDescent="0.2">
      <c r="A297"/>
      <c r="B297"/>
      <c r="C297"/>
      <c r="D297"/>
      <c r="E297"/>
      <c r="F297" t="str">
        <f>LEFT(AllDaqbookOffsets[[#This Row],[traceability_no]],2)</f>
        <v>J2</v>
      </c>
      <c r="Z297" s="470" t="str">
        <v>N31</v>
      </c>
      <c r="AA297" s="195" t="str">
        <v>N21-N34</v>
      </c>
      <c r="AC297" s="70" t="str">
        <v>N31</v>
      </c>
    </row>
    <row r="298" spans="1:29" x14ac:dyDescent="0.2">
      <c r="A298"/>
      <c r="B298"/>
      <c r="C298"/>
      <c r="D298"/>
      <c r="E298"/>
      <c r="F298" t="str">
        <f>LEFT(AllDaqbookOffsets[[#This Row],[traceability_no]],2)</f>
        <v>J2</v>
      </c>
      <c r="Z298" s="470" t="str">
        <v>N32</v>
      </c>
      <c r="AA298" s="195" t="str">
        <v>N21-N34</v>
      </c>
      <c r="AC298" s="70" t="str">
        <v>N32</v>
      </c>
    </row>
    <row r="299" spans="1:29" x14ac:dyDescent="0.2">
      <c r="A299"/>
      <c r="B299"/>
      <c r="C299"/>
      <c r="D299"/>
      <c r="E299"/>
      <c r="F299" t="str">
        <f>LEFT(AllDaqbookOffsets[[#This Row],[traceability_no]],2)</f>
        <v>J2</v>
      </c>
      <c r="Z299" s="470" t="str">
        <v>N33</v>
      </c>
      <c r="AA299" s="195" t="str">
        <v>N21-N34</v>
      </c>
      <c r="AC299" s="70" t="str">
        <v>N33</v>
      </c>
    </row>
    <row r="300" spans="1:29" x14ac:dyDescent="0.2">
      <c r="A300"/>
      <c r="B300"/>
      <c r="C300"/>
      <c r="D300"/>
      <c r="E300"/>
      <c r="F300" t="str">
        <f>LEFT(AllDaqbookOffsets[[#This Row],[traceability_no]],2)</f>
        <v>J2</v>
      </c>
      <c r="Z300" s="470" t="str">
        <v>N34</v>
      </c>
      <c r="AA300" s="195" t="str">
        <v>N21-N34</v>
      </c>
      <c r="AC300" s="70" t="str">
        <v>N34</v>
      </c>
    </row>
    <row r="301" spans="1:29" x14ac:dyDescent="0.2">
      <c r="A301"/>
      <c r="B301"/>
      <c r="C301"/>
      <c r="D301"/>
      <c r="E301"/>
      <c r="F301" t="str">
        <f>LEFT(AllDaqbookOffsets[[#This Row],[traceability_no]],2)</f>
        <v>J2</v>
      </c>
    </row>
    <row r="302" spans="1:29" x14ac:dyDescent="0.2">
      <c r="A302"/>
      <c r="B302"/>
      <c r="C302"/>
      <c r="D302"/>
      <c r="E302"/>
      <c r="F302" t="str">
        <f>LEFT(AllDaqbookOffsets[[#This Row],[traceability_no]],2)</f>
        <v>J2</v>
      </c>
    </row>
    <row r="303" spans="1:29" x14ac:dyDescent="0.2">
      <c r="A303"/>
      <c r="B303"/>
      <c r="C303"/>
      <c r="D303"/>
      <c r="E303"/>
      <c r="F303" t="str">
        <f>LEFT(AllDaqbookOffsets[[#This Row],[traceability_no]],2)</f>
        <v>J2</v>
      </c>
    </row>
    <row r="304" spans="1:29"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343</v>
      </c>
      <c r="B1" s="365" t="s">
        <v>344</v>
      </c>
    </row>
    <row r="2" spans="1:3" x14ac:dyDescent="0.2">
      <c r="A2" s="37"/>
      <c r="B2" s="37"/>
    </row>
    <row r="3" spans="1:3" x14ac:dyDescent="0.2">
      <c r="A3" s="37" t="s">
        <v>337</v>
      </c>
      <c r="B3" s="37" t="s">
        <v>338</v>
      </c>
      <c r="C3" s="37" t="s">
        <v>345</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M83WFOKMNzj2kVaF4JtCwlGTvcjk6gZJUOPU9LOydQSPI0zh5gui9Q1b9ec/5vZ0IJyckrB3HArx5g0WJesEHg==" saltValue="w7WI2nHWUQX4jJyi7CCHq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435</v>
      </c>
      <c r="J1" t="s">
        <v>436</v>
      </c>
      <c r="K1" t="s">
        <v>437</v>
      </c>
      <c r="L1" t="s">
        <v>438</v>
      </c>
      <c r="M1" t="s">
        <v>439</v>
      </c>
      <c r="O1" s="37" t="s">
        <v>327</v>
      </c>
      <c r="P1" t="s">
        <v>429</v>
      </c>
      <c r="Q1" t="s">
        <v>430</v>
      </c>
      <c r="R1" t="s">
        <v>431</v>
      </c>
      <c r="S1" t="s">
        <v>432</v>
      </c>
      <c r="T1" t="s">
        <v>433</v>
      </c>
      <c r="U1" t="s">
        <v>434</v>
      </c>
      <c r="X1" t="s">
        <v>434</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441</v>
      </c>
      <c r="Q5" s="37" t="s">
        <v>442</v>
      </c>
      <c r="S5" s="37" t="s">
        <v>443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337</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338</v>
      </c>
      <c r="P7" s="440">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739</v>
      </c>
      <c r="G1" s="35" t="s">
        <v>737</v>
      </c>
      <c r="H1" s="35" t="s">
        <v>738</v>
      </c>
      <c r="I1" s="35" t="s">
        <v>106</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6" t="s">
        <v>748</v>
      </c>
      <c r="B1" s="318"/>
      <c r="C1" s="509" t="s">
        <v>49</v>
      </c>
      <c r="D1" s="510"/>
      <c r="E1" s="510"/>
      <c r="F1" s="51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1" t="s">
        <v>99</v>
      </c>
      <c r="K3" s="512"/>
      <c r="L3" s="513"/>
      <c r="M3" s="301"/>
      <c r="N3" s="527" t="s">
        <v>88</v>
      </c>
      <c r="O3" s="527"/>
      <c r="P3" s="527"/>
      <c r="Q3" s="527"/>
      <c r="R3" s="527"/>
      <c r="S3" s="527"/>
    </row>
    <row r="4" spans="1:19" s="278" customFormat="1" x14ac:dyDescent="0.2">
      <c r="A4" s="319"/>
      <c r="B4" s="141"/>
      <c r="C4" s="142" t="s">
        <v>188</v>
      </c>
      <c r="D4" s="285" t="str">
        <f>IF(Condition="","",Condition)</f>
        <v/>
      </c>
      <c r="E4" s="301"/>
      <c r="F4" s="301"/>
      <c r="G4" s="301"/>
      <c r="H4" s="301"/>
      <c r="I4" s="301"/>
      <c r="J4" s="516" t="s">
        <v>1</v>
      </c>
      <c r="K4" s="517"/>
      <c r="L4" s="143">
        <f>MAX(Survey[Deviations])</f>
        <v>0</v>
      </c>
      <c r="M4" s="301"/>
      <c r="N4" s="144" t="s">
        <v>87</v>
      </c>
      <c r="O4" s="145" t="s">
        <v>86</v>
      </c>
      <c r="P4" s="514" t="s">
        <v>97</v>
      </c>
      <c r="Q4" s="515"/>
      <c r="R4" s="144" t="s">
        <v>129</v>
      </c>
      <c r="S4" s="144" t="s">
        <v>133</v>
      </c>
    </row>
    <row r="5" spans="1:19" s="278" customFormat="1" x14ac:dyDescent="0.2">
      <c r="A5" s="319"/>
      <c r="B5" s="141"/>
      <c r="C5" s="142" t="s">
        <v>41</v>
      </c>
      <c r="D5" s="531" t="e">
        <f>companyName</f>
        <v>#N/A</v>
      </c>
      <c r="E5" s="532"/>
      <c r="F5" s="532"/>
      <c r="G5" s="532"/>
      <c r="H5" s="533"/>
      <c r="I5" s="286"/>
      <c r="J5" s="516" t="s">
        <v>2</v>
      </c>
      <c r="K5" s="517"/>
      <c r="L5" s="143">
        <f>MIN(Survey[Deviations])</f>
        <v>0</v>
      </c>
      <c r="M5" s="301"/>
      <c r="N5" s="405">
        <v>1</v>
      </c>
      <c r="O5" s="146"/>
      <c r="P5" s="459" t="str" cm="1">
        <f t="array" ref="P5:P44">Alerts[Alert]</f>
        <v/>
      </c>
      <c r="Q5" s="460"/>
      <c r="R5" s="458" t="e" cm="1">
        <f t="array" ref="R5:R44">Alerts[Temp]</f>
        <v>#VALUE!</v>
      </c>
      <c r="S5" s="147" t="str" cm="1">
        <f t="array" ref="S5:S44">Alerts[Time]</f>
        <v/>
      </c>
    </row>
    <row r="6" spans="1:19" s="278" customFormat="1" x14ac:dyDescent="0.2">
      <c r="A6" s="319"/>
      <c r="B6" s="141"/>
      <c r="C6" s="142" t="s">
        <v>40</v>
      </c>
      <c r="D6" s="528" t="e">
        <f>VLOOKUP("assetName",WorkItemDetails[],2,FALSE)</f>
        <v>#N/A</v>
      </c>
      <c r="E6" s="529"/>
      <c r="F6" s="529"/>
      <c r="G6" s="529"/>
      <c r="H6" s="530"/>
      <c r="J6" s="516" t="s">
        <v>98</v>
      </c>
      <c r="K6" s="517"/>
      <c r="L6" s="143">
        <f>L4-L5</f>
        <v>0</v>
      </c>
      <c r="M6" s="301"/>
      <c r="N6" s="405">
        <v>2</v>
      </c>
      <c r="O6" s="146"/>
      <c r="P6" s="459" t="str">
        <v/>
      </c>
      <c r="Q6" s="460"/>
      <c r="R6" s="458"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9" t="str">
        <v/>
      </c>
      <c r="Q7" s="460"/>
      <c r="R7" s="458"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9" t="str">
        <v/>
      </c>
      <c r="Q8" s="460"/>
      <c r="R8" s="458"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9" t="str">
        <v/>
      </c>
      <c r="Q9" s="460"/>
      <c r="R9" s="458"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9" t="str">
        <v/>
      </c>
      <c r="Q10" s="460"/>
      <c r="R10" s="458" t="e">
        <v>#VALUE!</v>
      </c>
      <c r="S10" s="147" t="str">
        <v/>
      </c>
    </row>
    <row r="11" spans="1:19" s="278" customFormat="1" x14ac:dyDescent="0.2">
      <c r="A11" s="319"/>
      <c r="B11" s="141"/>
      <c r="C11" s="150" t="s">
        <v>52</v>
      </c>
      <c r="D11" s="431" t="e">
        <f>VLOOKUP("serial_number",DaqbookServiceRecord[], 2, FALSE)</f>
        <v>#N/A</v>
      </c>
      <c r="E11" s="301"/>
      <c r="F11" s="301"/>
      <c r="G11" s="302" t="str">
        <f>IF(OR(ISBLANK(D3),ISBLANK(D13)),"",IF(D13&lt;D3,"!!!!! DAQBOOK IS OUT OF CERTIFICATION !!!!!",""))</f>
        <v/>
      </c>
      <c r="H11" s="301"/>
      <c r="I11" s="301"/>
      <c r="J11" s="301"/>
      <c r="K11" s="301"/>
      <c r="L11" s="301"/>
      <c r="M11" s="301"/>
      <c r="N11" s="405">
        <v>7</v>
      </c>
      <c r="O11" s="146"/>
      <c r="P11" s="459" t="str">
        <v/>
      </c>
      <c r="Q11" s="460"/>
      <c r="R11" s="458" t="e">
        <v>#VALUE!</v>
      </c>
      <c r="S11" s="147" t="str">
        <v/>
      </c>
    </row>
    <row r="12" spans="1:19" s="278" customFormat="1" x14ac:dyDescent="0.2">
      <c r="A12" s="319"/>
      <c r="B12" s="141"/>
      <c r="C12" s="150" t="s">
        <v>84</v>
      </c>
      <c r="D12" s="279" t="e">
        <f>VLOOKUP("service_date",DaqbookServiceRecord[], 2, FALSE)</f>
        <v>#N/A</v>
      </c>
      <c r="E12" s="301"/>
      <c r="F12" s="301"/>
      <c r="G12" s="302" t="str">
        <f>IF(IF(COUNTIFS(DataForChannels1to14[],"&gt;"&amp;B2,DataForChannels1to14[],"&lt;"&amp;(B2+200))&gt;0,1,0)=1,"!!!!! OVEN OVERSHOT IN POINTS 1-14 !!!!!","")</f>
        <v/>
      </c>
      <c r="H12" s="301"/>
      <c r="I12" s="301"/>
      <c r="J12" s="322"/>
      <c r="K12" s="305"/>
      <c r="L12" s="322"/>
      <c r="M12" s="305"/>
      <c r="N12" s="405">
        <v>8</v>
      </c>
      <c r="O12" s="146"/>
      <c r="P12" s="459" t="str">
        <v/>
      </c>
      <c r="Q12" s="460"/>
      <c r="R12" s="458" t="e">
        <v>#VALUE!</v>
      </c>
      <c r="S12" s="147" t="str">
        <v/>
      </c>
    </row>
    <row r="13" spans="1:19" s="278" customFormat="1" x14ac:dyDescent="0.2">
      <c r="A13" s="319"/>
      <c r="B13" s="151"/>
      <c r="C13" s="152" t="s">
        <v>83</v>
      </c>
      <c r="D13" s="279" t="e">
        <f>VLOOKUP("next_service_date",DaqbookServiceRecord[], 2, FALSE)</f>
        <v>#N/A</v>
      </c>
      <c r="E13" s="301"/>
      <c r="F13" s="326"/>
      <c r="G13" s="317" t="str">
        <f>IF(IF(COUNTIFS(DataForChannels15to28[],"&gt;"&amp;B2,DataForChannels15to28[],"&lt;"&amp;(B2+200))&gt;0,1,0)=1,"!!!!! OVEN OVERSHOT IN POINTS 15-28 !!!!!","")</f>
        <v/>
      </c>
      <c r="H13" s="301"/>
      <c r="I13" s="301"/>
      <c r="J13" s="240" t="s">
        <v>257</v>
      </c>
      <c r="K13" s="525" t="str">
        <f>IFERROR(VLOOKUP("PoNumber",WorkItemDetails[],2,FALSE),"")</f>
        <v/>
      </c>
      <c r="L13" s="526"/>
      <c r="M13" s="301"/>
      <c r="N13" s="405">
        <v>9</v>
      </c>
      <c r="O13" s="146"/>
      <c r="P13" s="459" t="str">
        <v/>
      </c>
      <c r="Q13" s="460"/>
      <c r="R13" s="458" t="e">
        <v>#VALUE!</v>
      </c>
      <c r="S13" s="147" t="str">
        <v/>
      </c>
    </row>
    <row r="14" spans="1:19" s="278" customFormat="1" x14ac:dyDescent="0.2">
      <c r="A14" s="319"/>
      <c r="B14" s="141"/>
      <c r="C14" s="150" t="s">
        <v>85</v>
      </c>
      <c r="D14" s="431" t="e">
        <f>VLOOKUP("certificate_number",DaqbookServiceRecord[], 2, FALSE)</f>
        <v>#N/A</v>
      </c>
      <c r="E14" s="301"/>
      <c r="F14" s="301"/>
      <c r="G14" s="302" t="str">
        <f>IF(IF(COUNTIFS(DataForChannels29to40[],"&gt;"&amp;B2,DataForChannels29to40[],"&lt;"&amp;(B2+200))&gt;0,1,0)=1,"!!!!! OVEN OVERSHOT IN POINTS 29-40 !!!!!","")</f>
        <v/>
      </c>
      <c r="H14" s="301"/>
      <c r="I14" s="301"/>
      <c r="J14" s="153" t="s">
        <v>128</v>
      </c>
      <c r="K14" s="534"/>
      <c r="L14" s="535"/>
      <c r="M14" s="301"/>
      <c r="N14" s="405">
        <v>10</v>
      </c>
      <c r="O14" s="146"/>
      <c r="P14" s="459" t="str">
        <v/>
      </c>
      <c r="Q14" s="460"/>
      <c r="R14" s="458" t="e">
        <v>#VALUE!</v>
      </c>
      <c r="S14" s="147" t="str">
        <v/>
      </c>
    </row>
    <row r="15" spans="1:19" s="278" customFormat="1" x14ac:dyDescent="0.2">
      <c r="A15" s="319"/>
      <c r="B15" s="188"/>
      <c r="C15" s="186" t="s">
        <v>62</v>
      </c>
      <c r="D15" s="294"/>
      <c r="E15" s="301"/>
      <c r="F15" s="301"/>
      <c r="G15" s="301"/>
      <c r="H15" s="420" t="b">
        <v>1</v>
      </c>
      <c r="I15" s="301"/>
      <c r="J15" s="154" t="s">
        <v>123</v>
      </c>
      <c r="K15" s="520"/>
      <c r="L15" s="521"/>
      <c r="M15" s="301"/>
      <c r="N15" s="405">
        <v>11</v>
      </c>
      <c r="O15" s="146"/>
      <c r="P15" s="459" t="str">
        <v/>
      </c>
      <c r="Q15" s="460"/>
      <c r="R15" s="458" t="e">
        <v>#VALUE!</v>
      </c>
      <c r="S15" s="147" t="str">
        <v/>
      </c>
    </row>
    <row r="16" spans="1:19" s="278" customFormat="1" x14ac:dyDescent="0.2">
      <c r="A16" s="319"/>
      <c r="B16" s="155"/>
      <c r="C16" s="187" t="s">
        <v>199</v>
      </c>
      <c r="D16" s="294"/>
      <c r="E16" s="301"/>
      <c r="F16" s="153" t="s">
        <v>74</v>
      </c>
      <c r="G16" s="393" t="s">
        <v>201</v>
      </c>
      <c r="H16" s="394"/>
      <c r="I16" s="301"/>
      <c r="J16" s="482" t="s">
        <v>151</v>
      </c>
      <c r="K16" s="483"/>
      <c r="L16" s="284"/>
      <c r="M16" s="301"/>
      <c r="N16" s="405">
        <v>12</v>
      </c>
      <c r="O16" s="146"/>
      <c r="P16" s="459" t="str">
        <v/>
      </c>
      <c r="Q16" s="460"/>
      <c r="R16" s="458" t="e">
        <v>#VALUE!</v>
      </c>
      <c r="S16" s="147" t="str">
        <v/>
      </c>
    </row>
    <row r="17" spans="2:22" s="278" customFormat="1" x14ac:dyDescent="0.2">
      <c r="B17" s="141"/>
      <c r="C17" s="142" t="s">
        <v>61</v>
      </c>
      <c r="D17" s="295"/>
      <c r="E17" s="301"/>
      <c r="F17" s="154" t="s">
        <v>93</v>
      </c>
      <c r="G17" s="368" t="str">
        <f>IF(ISBLANK(Load),"",Load)</f>
        <v/>
      </c>
      <c r="H17" s="301"/>
      <c r="I17" s="302"/>
      <c r="J17" s="482" t="s">
        <v>152</v>
      </c>
      <c r="K17" s="483"/>
      <c r="L17" s="157" t="str">
        <f>IF(K15="SIM Load Hot",TEXT(D26,"hh:mm"),"")</f>
        <v/>
      </c>
      <c r="M17" s="301"/>
      <c r="N17" s="405">
        <v>13</v>
      </c>
      <c r="O17" s="146"/>
      <c r="P17" s="459" t="str">
        <v/>
      </c>
      <c r="Q17" s="460"/>
      <c r="R17" s="458" t="e">
        <v>#VALUE!</v>
      </c>
      <c r="S17" s="147" t="str">
        <v/>
      </c>
      <c r="T17" s="432"/>
    </row>
    <row r="18" spans="2:22" s="278" customFormat="1" x14ac:dyDescent="0.2">
      <c r="B18" s="151"/>
      <c r="C18" s="158" t="s">
        <v>64</v>
      </c>
      <c r="D18" s="282"/>
      <c r="E18" s="301"/>
      <c r="F18" s="159" t="s">
        <v>75</v>
      </c>
      <c r="G18" s="536" t="s">
        <v>19</v>
      </c>
      <c r="H18" s="537"/>
      <c r="I18" s="302"/>
      <c r="J18" s="327"/>
      <c r="K18" s="301"/>
      <c r="L18" s="302"/>
      <c r="M18" s="301"/>
      <c r="N18" s="405">
        <v>14</v>
      </c>
      <c r="O18" s="146"/>
      <c r="P18" s="459" t="str">
        <v/>
      </c>
      <c r="Q18" s="460"/>
      <c r="R18" s="458" t="e">
        <v>#VALUE!</v>
      </c>
      <c r="S18" s="147" t="str">
        <v/>
      </c>
      <c r="T18" s="432"/>
    </row>
    <row r="19" spans="2:22" s="278" customFormat="1" x14ac:dyDescent="0.2">
      <c r="B19" s="141"/>
      <c r="C19" s="142" t="s">
        <v>10</v>
      </c>
      <c r="D19" s="439"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18" t="str">
        <f>IF(K15="Salt",0, IF(OR(K15="Hot",K15="SIM Load Hot"),IF(OR(D26="",D28=""),"N/A",IF(ISBLANK(D26),"N/A",D28-D26)),"N/A"))</f>
        <v>N/A</v>
      </c>
      <c r="H19" s="519"/>
      <c r="I19" s="328" t="str">
        <f>IF(G19="N/A","N/A",IF(G19=0,"&lt;2",ROUND(IF(LEN(G19)&gt;3,G19*1440,RIGHT(TEXT(G19,"hh:mm"),2)),0))&amp;" MINUTES")</f>
        <v>N/A</v>
      </c>
      <c r="J19" s="434">
        <f>V21</f>
        <v>40</v>
      </c>
      <c r="K19" s="301"/>
      <c r="L19" s="302"/>
      <c r="M19" s="301"/>
      <c r="N19" s="405">
        <v>15</v>
      </c>
      <c r="O19" s="146"/>
      <c r="P19" s="459" t="str">
        <v/>
      </c>
      <c r="Q19" s="460"/>
      <c r="R19" s="458" t="e">
        <v>#VALUE!</v>
      </c>
      <c r="S19" s="147" t="str">
        <v/>
      </c>
      <c r="T19" s="432"/>
      <c r="U19" s="286" t="s">
        <v>428</v>
      </c>
      <c r="V19" s="286">
        <f>L20</f>
        <v>1</v>
      </c>
    </row>
    <row r="20" spans="2:22" s="278" customFormat="1" ht="13.7" customHeight="1" x14ac:dyDescent="0.2">
      <c r="B20" s="522" t="s">
        <v>446</v>
      </c>
      <c r="C20" s="523"/>
      <c r="D20" s="366">
        <f>G74*MAX(NominalTemp/1000,1)</f>
        <v>0</v>
      </c>
      <c r="E20" s="418"/>
      <c r="F20" s="301"/>
      <c r="G20" s="301"/>
      <c r="H20" s="301"/>
      <c r="I20" s="302"/>
      <c r="J20" s="301"/>
      <c r="K20" s="301"/>
      <c r="L20" s="419">
        <v>1</v>
      </c>
      <c r="M20" s="301"/>
      <c r="N20" s="405">
        <v>16</v>
      </c>
      <c r="O20" s="146"/>
      <c r="P20" s="459" t="str">
        <v/>
      </c>
      <c r="Q20" s="460"/>
      <c r="R20" s="458" t="e">
        <v>#VALUE!</v>
      </c>
      <c r="S20" s="147" t="str">
        <v/>
      </c>
      <c r="T20" s="432"/>
      <c r="U20" s="286" t="s">
        <v>427</v>
      </c>
      <c r="V20" s="286">
        <f>(V19-1)*14</f>
        <v>0</v>
      </c>
    </row>
    <row r="21" spans="2:22" s="278" customFormat="1" x14ac:dyDescent="0.2">
      <c r="B21" s="316"/>
      <c r="C21" s="329"/>
      <c r="D21" s="324"/>
      <c r="E21" s="301"/>
      <c r="F21" s="301"/>
      <c r="G21" s="301"/>
      <c r="H21" s="301"/>
      <c r="I21" s="302"/>
      <c r="J21" s="301"/>
      <c r="K21" s="301"/>
      <c r="L21" s="302"/>
      <c r="M21" s="301"/>
      <c r="N21" s="405">
        <v>17</v>
      </c>
      <c r="O21" s="146"/>
      <c r="P21" s="459" t="str">
        <v/>
      </c>
      <c r="Q21" s="460"/>
      <c r="R21" s="458" t="e">
        <v>#VALUE!</v>
      </c>
      <c r="S21" s="147" t="str">
        <v/>
      </c>
      <c r="T21" s="432"/>
      <c r="U21" s="286" t="s">
        <v>426</v>
      </c>
      <c r="V21" s="435">
        <f>IF(D17=0,40,D17)</f>
        <v>40</v>
      </c>
    </row>
    <row r="22" spans="2:22" s="278" customFormat="1" x14ac:dyDescent="0.2">
      <c r="B22" s="155"/>
      <c r="C22" s="156" t="s">
        <v>42</v>
      </c>
      <c r="D22" s="281"/>
      <c r="E22" s="301"/>
      <c r="F22" s="330"/>
      <c r="G22" s="301"/>
      <c r="H22" s="301"/>
      <c r="I22" s="302"/>
      <c r="J22" s="301"/>
      <c r="K22" s="301"/>
      <c r="L22" s="302"/>
      <c r="M22" s="301"/>
      <c r="N22" s="405">
        <v>18</v>
      </c>
      <c r="O22" s="146"/>
      <c r="P22" s="459" t="str">
        <v/>
      </c>
      <c r="Q22" s="460"/>
      <c r="R22" s="458" t="e">
        <v>#VALUE!</v>
      </c>
      <c r="S22" s="147" t="str">
        <v/>
      </c>
      <c r="T22" s="432"/>
      <c r="U22" s="286" t="s">
        <v>425</v>
      </c>
      <c r="V22" s="286">
        <f>V20+1</f>
        <v>1</v>
      </c>
    </row>
    <row r="23" spans="2:22" s="278" customFormat="1" x14ac:dyDescent="0.2">
      <c r="B23" s="141"/>
      <c r="C23" s="396" t="s">
        <v>396</v>
      </c>
      <c r="D23" s="282"/>
      <c r="E23" s="301"/>
      <c r="F23" s="160" t="s">
        <v>94</v>
      </c>
      <c r="G23" s="499" t="s">
        <v>301</v>
      </c>
      <c r="H23" s="500"/>
      <c r="I23" s="500"/>
      <c r="J23" s="500"/>
      <c r="K23" s="501"/>
      <c r="L23" s="302"/>
      <c r="M23" s="301"/>
      <c r="N23" s="405">
        <v>19</v>
      </c>
      <c r="O23" s="146"/>
      <c r="P23" s="459" t="str">
        <v/>
      </c>
      <c r="Q23" s="460"/>
      <c r="R23" s="458" t="e">
        <v>#VALUE!</v>
      </c>
      <c r="S23" s="147" t="str">
        <v/>
      </c>
      <c r="T23" s="432"/>
      <c r="U23" s="286" t="s">
        <v>424</v>
      </c>
      <c r="V23" s="286">
        <f>V20+V21</f>
        <v>40</v>
      </c>
    </row>
    <row r="24" spans="2:22" s="278" customFormat="1" x14ac:dyDescent="0.2">
      <c r="B24" s="522" t="s">
        <v>328</v>
      </c>
      <c r="C24" s="524"/>
      <c r="D24" s="282">
        <v>1</v>
      </c>
      <c r="E24" s="301"/>
      <c r="F24" s="160" t="s">
        <v>95</v>
      </c>
      <c r="G24" s="502"/>
      <c r="H24" s="503"/>
      <c r="I24" s="503"/>
      <c r="J24" s="503"/>
      <c r="K24" s="504"/>
      <c r="L24" s="302"/>
      <c r="M24" s="301"/>
      <c r="N24" s="405">
        <v>20</v>
      </c>
      <c r="O24" s="146"/>
      <c r="P24" s="459" t="str">
        <v/>
      </c>
      <c r="Q24" s="460"/>
      <c r="R24" s="458" t="e">
        <v>#VALUE!</v>
      </c>
      <c r="S24" s="147" t="str">
        <v/>
      </c>
      <c r="T24" s="432"/>
      <c r="U24" s="286" t="s">
        <v>423</v>
      </c>
      <c r="V24" s="286" t="str">
        <f>IF(V19=1,"","DaqBook points "&amp;V22&amp;"-"&amp;V23&amp;" used.")</f>
        <v/>
      </c>
    </row>
    <row r="25" spans="2:22" s="278" customFormat="1" x14ac:dyDescent="0.2">
      <c r="B25" s="316"/>
      <c r="C25" s="317"/>
      <c r="D25" s="324"/>
      <c r="E25" s="301"/>
      <c r="F25" s="160" t="s">
        <v>96</v>
      </c>
      <c r="G25" s="502"/>
      <c r="H25" s="503"/>
      <c r="I25" s="503"/>
      <c r="J25" s="503"/>
      <c r="K25" s="504"/>
      <c r="L25" s="302"/>
      <c r="M25" s="301"/>
      <c r="N25" s="405">
        <v>21</v>
      </c>
      <c r="O25" s="146"/>
      <c r="P25" s="459" t="str">
        <v/>
      </c>
      <c r="Q25" s="460"/>
      <c r="R25" s="458" t="e">
        <v>#VALUE!</v>
      </c>
      <c r="S25" s="147" t="str">
        <v/>
      </c>
      <c r="T25" s="432"/>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9" t="str">
        <v/>
      </c>
      <c r="Q26" s="460"/>
      <c r="R26" s="458" t="e">
        <v>#VALUE!</v>
      </c>
      <c r="S26" s="147" t="str">
        <v/>
      </c>
      <c r="T26" s="432"/>
    </row>
    <row r="27" spans="2:22" s="278" customFormat="1" x14ac:dyDescent="0.2">
      <c r="B27" s="161">
        <v>10</v>
      </c>
      <c r="C27" s="142" t="s">
        <v>58</v>
      </c>
      <c r="D27" s="290"/>
      <c r="E27" s="303"/>
      <c r="F27" s="240" t="s">
        <v>204</v>
      </c>
      <c r="G27" s="239" t="str">
        <f>G28</f>
        <v/>
      </c>
      <c r="H27" s="497" t="str">
        <f>IF(ISBLANK(D6),"",IF(CheckRec="x","CHECK INSTRUMENT CAL DATES!!!!             CHECK INSTRUMENT CAL DATES!!!!",""))</f>
        <v/>
      </c>
      <c r="I27" s="498"/>
      <c r="J27" s="498"/>
      <c r="K27" s="498"/>
      <c r="L27" s="302"/>
      <c r="M27" s="301"/>
      <c r="N27" s="405">
        <v>23</v>
      </c>
      <c r="O27" s="146"/>
      <c r="P27" s="459" t="str">
        <v/>
      </c>
      <c r="Q27" s="460"/>
      <c r="R27" s="458" t="e">
        <v>#VALUE!</v>
      </c>
      <c r="S27" s="147" t="str">
        <v/>
      </c>
      <c r="T27" s="432"/>
    </row>
    <row r="28" spans="2:22" s="278" customFormat="1" x14ac:dyDescent="0.2">
      <c r="B28" s="162">
        <v>30</v>
      </c>
      <c r="C28" s="158" t="s">
        <v>59</v>
      </c>
      <c r="D28" s="290"/>
      <c r="E28" s="303"/>
      <c r="F28" s="240" t="s">
        <v>205</v>
      </c>
      <c r="G28" s="239" t="str">
        <f>IF(CheckRec="y","Cal by Customer",IF(D$3,D$3,""))</f>
        <v/>
      </c>
      <c r="H28" s="497"/>
      <c r="I28" s="498"/>
      <c r="J28" s="498"/>
      <c r="K28" s="498"/>
      <c r="L28" s="302"/>
      <c r="M28" s="301"/>
      <c r="N28" s="405">
        <v>24</v>
      </c>
      <c r="O28" s="146"/>
      <c r="P28" s="459" t="str">
        <v/>
      </c>
      <c r="Q28" s="460"/>
      <c r="R28" s="458" t="e">
        <v>#VALUE!</v>
      </c>
      <c r="S28" s="147" t="str">
        <v/>
      </c>
      <c r="T28" s="432"/>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9" t="str">
        <v/>
      </c>
      <c r="Q29" s="460"/>
      <c r="R29" s="458" t="e">
        <v>#VALUE!</v>
      </c>
      <c r="S29" s="147" t="str">
        <v/>
      </c>
      <c r="T29" s="432"/>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9" t="str">
        <v/>
      </c>
      <c r="Q30" s="460"/>
      <c r="R30" s="458" t="e">
        <v>#VALUE!</v>
      </c>
      <c r="S30" s="147" t="str">
        <v/>
      </c>
      <c r="T30" s="432"/>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9" t="str">
        <v/>
      </c>
      <c r="Q31" s="460"/>
      <c r="R31" s="458" t="e">
        <v>#VALUE!</v>
      </c>
      <c r="S31" s="147" t="str">
        <v/>
      </c>
      <c r="T31" s="432"/>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9" t="str">
        <v/>
      </c>
      <c r="Q32" s="460"/>
      <c r="R32" s="458" t="e">
        <v>#VALUE!</v>
      </c>
      <c r="S32" s="147" t="str">
        <v/>
      </c>
      <c r="T32" s="432"/>
    </row>
    <row r="33" spans="1:24" s="278" customFormat="1" x14ac:dyDescent="0.2">
      <c r="A33" s="319"/>
      <c r="B33" s="316"/>
      <c r="C33" s="338"/>
      <c r="D33" s="140"/>
      <c r="E33" s="140"/>
      <c r="F33" s="140"/>
      <c r="G33" s="140"/>
      <c r="H33" s="140"/>
      <c r="I33" s="140"/>
      <c r="J33" s="140"/>
      <c r="K33" s="140"/>
      <c r="L33" s="140"/>
      <c r="M33" s="301"/>
      <c r="N33" s="405">
        <v>29</v>
      </c>
      <c r="O33" s="146"/>
      <c r="P33" s="459" t="str">
        <v/>
      </c>
      <c r="Q33" s="460"/>
      <c r="R33" s="458" t="e">
        <v>#VALUE!</v>
      </c>
      <c r="S33" s="147" t="str">
        <v/>
      </c>
      <c r="T33" s="432"/>
    </row>
    <row r="34" spans="1:24" s="278" customFormat="1" ht="12.75" customHeight="1" x14ac:dyDescent="0.2">
      <c r="A34" s="319"/>
      <c r="B34" s="511" t="s">
        <v>48</v>
      </c>
      <c r="C34" s="512"/>
      <c r="D34" s="512"/>
      <c r="E34" s="512"/>
      <c r="F34" s="512"/>
      <c r="G34" s="512"/>
      <c r="H34" s="512"/>
      <c r="I34" s="512"/>
      <c r="J34" s="512"/>
      <c r="K34" s="512"/>
      <c r="L34" s="513"/>
      <c r="M34" s="301"/>
      <c r="N34" s="405">
        <v>30</v>
      </c>
      <c r="O34" s="146"/>
      <c r="P34" s="459" t="str">
        <v/>
      </c>
      <c r="Q34" s="460"/>
      <c r="R34" s="458" t="e">
        <v>#VALUE!</v>
      </c>
      <c r="S34" s="147" t="str">
        <v/>
      </c>
      <c r="T34" s="433"/>
    </row>
    <row r="35" spans="1:24" s="278" customFormat="1" ht="12.75" customHeight="1" thickBot="1" x14ac:dyDescent="0.25">
      <c r="A35" s="437"/>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9" t="str">
        <v/>
      </c>
      <c r="Q35" s="460"/>
      <c r="R35" s="458" t="e">
        <v>#VALUE!</v>
      </c>
      <c r="S35" s="147" t="str">
        <v/>
      </c>
      <c r="T35" s="433"/>
    </row>
    <row r="36" spans="1:24" s="278" customFormat="1" ht="13.5" thickBot="1" x14ac:dyDescent="0.25">
      <c r="A36" s="438" t="s">
        <v>404</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9" t="str">
        <v/>
      </c>
      <c r="Q36" s="460"/>
      <c r="R36" s="458" t="e">
        <v>#VALUE!</v>
      </c>
      <c r="S36" s="147" t="str">
        <v/>
      </c>
      <c r="T36" s="433"/>
    </row>
    <row r="37" spans="1:24" s="278" customFormat="1" x14ac:dyDescent="0.2">
      <c r="A37" s="461" t="str">
        <f t="shared" ref="A37:A44" si="0">IF(B37,1,"")</f>
        <v/>
      </c>
      <c r="B37" s="462"/>
      <c r="C37" s="443"/>
      <c r="D37" s="444"/>
      <c r="E37" s="444"/>
      <c r="F37" s="444"/>
      <c r="G37" s="444"/>
      <c r="H37" s="444"/>
      <c r="I37" s="445"/>
      <c r="J37" s="445"/>
      <c r="K37" s="445"/>
      <c r="L37" s="445"/>
      <c r="M37" s="301"/>
      <c r="N37" s="405">
        <v>33</v>
      </c>
      <c r="O37" s="146"/>
      <c r="P37" s="459" t="str">
        <v/>
      </c>
      <c r="Q37" s="460"/>
      <c r="R37" s="458" t="e">
        <v>#VALUE!</v>
      </c>
      <c r="S37" s="147" t="str">
        <v/>
      </c>
      <c r="T37" s="433"/>
    </row>
    <row r="38" spans="1:24" s="278" customFormat="1" x14ac:dyDescent="0.2">
      <c r="A38" s="461" t="str">
        <f t="shared" si="0"/>
        <v/>
      </c>
      <c r="B38" s="463"/>
      <c r="C38" s="446"/>
      <c r="D38" s="444"/>
      <c r="E38" s="444"/>
      <c r="F38" s="444"/>
      <c r="G38" s="444"/>
      <c r="H38" s="444"/>
      <c r="I38" s="445"/>
      <c r="J38" s="445"/>
      <c r="K38" s="445"/>
      <c r="L38" s="445"/>
      <c r="M38" s="301"/>
      <c r="N38" s="405">
        <v>34</v>
      </c>
      <c r="O38" s="146"/>
      <c r="P38" s="459" t="str">
        <v/>
      </c>
      <c r="Q38" s="460"/>
      <c r="R38" s="458" t="e">
        <v>#VALUE!</v>
      </c>
      <c r="S38" s="147" t="str">
        <v/>
      </c>
      <c r="T38" s="433"/>
    </row>
    <row r="39" spans="1:24" s="278" customFormat="1" x14ac:dyDescent="0.2">
      <c r="A39" s="461" t="str">
        <f t="shared" si="0"/>
        <v/>
      </c>
      <c r="B39" s="463"/>
      <c r="C39" s="446"/>
      <c r="D39" s="444"/>
      <c r="E39" s="444"/>
      <c r="F39" s="444"/>
      <c r="G39" s="444"/>
      <c r="H39" s="445"/>
      <c r="I39" s="445"/>
      <c r="J39" s="445"/>
      <c r="K39" s="445"/>
      <c r="L39" s="445"/>
      <c r="M39" s="301"/>
      <c r="N39" s="405">
        <v>35</v>
      </c>
      <c r="O39" s="146"/>
      <c r="P39" s="459" t="str">
        <v/>
      </c>
      <c r="Q39" s="460"/>
      <c r="R39" s="458" t="e">
        <v>#VALUE!</v>
      </c>
      <c r="S39" s="147" t="str">
        <v/>
      </c>
      <c r="T39" s="433"/>
    </row>
    <row r="40" spans="1:24" s="278" customFormat="1" x14ac:dyDescent="0.2">
      <c r="A40" s="461" t="str">
        <f t="shared" si="0"/>
        <v/>
      </c>
      <c r="B40" s="463"/>
      <c r="C40" s="446"/>
      <c r="D40" s="444"/>
      <c r="E40" s="444"/>
      <c r="F40" s="444"/>
      <c r="G40" s="444"/>
      <c r="H40" s="445"/>
      <c r="I40" s="445"/>
      <c r="J40" s="445"/>
      <c r="K40" s="445"/>
      <c r="L40" s="445"/>
      <c r="M40" s="301"/>
      <c r="N40" s="405">
        <v>36</v>
      </c>
      <c r="O40" s="146"/>
      <c r="P40" s="459" t="str">
        <v/>
      </c>
      <c r="Q40" s="460"/>
      <c r="R40" s="458" t="e">
        <v>#VALUE!</v>
      </c>
      <c r="S40" s="147" t="str">
        <v/>
      </c>
      <c r="T40" s="433"/>
    </row>
    <row r="41" spans="1:24" s="278" customFormat="1" x14ac:dyDescent="0.2">
      <c r="A41" s="461" t="str">
        <f t="shared" si="0"/>
        <v/>
      </c>
      <c r="B41" s="464"/>
      <c r="C41" s="447"/>
      <c r="D41" s="448"/>
      <c r="E41" s="448"/>
      <c r="F41" s="448"/>
      <c r="G41" s="448"/>
      <c r="H41" s="448"/>
      <c r="I41" s="448"/>
      <c r="J41" s="448"/>
      <c r="K41" s="448"/>
      <c r="L41" s="448"/>
      <c r="M41" s="301"/>
      <c r="N41" s="405">
        <v>37</v>
      </c>
      <c r="O41" s="146"/>
      <c r="P41" s="459" t="str">
        <v/>
      </c>
      <c r="Q41" s="460"/>
      <c r="R41" s="458" t="e">
        <v>#VALUE!</v>
      </c>
      <c r="S41" s="147" t="str">
        <v/>
      </c>
      <c r="T41" s="433"/>
    </row>
    <row r="42" spans="1:24" s="278" customFormat="1" x14ac:dyDescent="0.2">
      <c r="A42" s="461" t="str">
        <f t="shared" si="0"/>
        <v/>
      </c>
      <c r="B42" s="464"/>
      <c r="C42" s="447"/>
      <c r="D42" s="448"/>
      <c r="E42" s="448"/>
      <c r="F42" s="448"/>
      <c r="G42" s="448"/>
      <c r="H42" s="448"/>
      <c r="I42" s="448"/>
      <c r="J42" s="448"/>
      <c r="K42" s="448"/>
      <c r="L42" s="448"/>
      <c r="M42" s="301"/>
      <c r="N42" s="405">
        <v>38</v>
      </c>
      <c r="O42" s="146"/>
      <c r="P42" s="459" t="str">
        <v/>
      </c>
      <c r="Q42" s="460"/>
      <c r="R42" s="458" t="e">
        <v>#VALUE!</v>
      </c>
      <c r="S42" s="147" t="str">
        <v/>
      </c>
      <c r="T42" s="433"/>
    </row>
    <row r="43" spans="1:24" s="278" customFormat="1" x14ac:dyDescent="0.2">
      <c r="A43" s="461" t="str">
        <f t="shared" si="0"/>
        <v/>
      </c>
      <c r="B43" s="464"/>
      <c r="C43" s="447"/>
      <c r="D43" s="448"/>
      <c r="E43" s="448"/>
      <c r="F43" s="448"/>
      <c r="G43" s="448"/>
      <c r="H43" s="448"/>
      <c r="I43" s="448"/>
      <c r="J43" s="448"/>
      <c r="K43" s="448"/>
      <c r="L43" s="448"/>
      <c r="M43" s="301"/>
      <c r="N43" s="405">
        <v>39</v>
      </c>
      <c r="O43" s="146"/>
      <c r="P43" s="459" t="str">
        <v/>
      </c>
      <c r="Q43" s="460"/>
      <c r="R43" s="458" t="e">
        <v>#VALUE!</v>
      </c>
      <c r="S43" s="147" t="str">
        <v/>
      </c>
      <c r="T43" s="433"/>
    </row>
    <row r="44" spans="1:24" s="278" customFormat="1" x14ac:dyDescent="0.2">
      <c r="A44" s="461" t="str">
        <f t="shared" si="0"/>
        <v/>
      </c>
      <c r="B44" s="464"/>
      <c r="C44" s="447"/>
      <c r="D44" s="448"/>
      <c r="E44" s="448"/>
      <c r="F44" s="448"/>
      <c r="G44" s="448"/>
      <c r="H44" s="448"/>
      <c r="I44" s="448"/>
      <c r="J44" s="448"/>
      <c r="K44" s="448"/>
      <c r="L44" s="448"/>
      <c r="M44" s="301"/>
      <c r="N44" s="405">
        <v>40</v>
      </c>
      <c r="O44" s="146"/>
      <c r="P44" s="459" t="str">
        <v/>
      </c>
      <c r="Q44" s="460"/>
      <c r="R44" s="458" t="e">
        <v>#VALUE!</v>
      </c>
      <c r="S44" s="147" t="str">
        <v/>
      </c>
      <c r="T44" s="433"/>
    </row>
    <row r="45" spans="1:24" s="305" customFormat="1" x14ac:dyDescent="0.2">
      <c r="A45" s="319"/>
      <c r="B45" s="340"/>
      <c r="C45" s="341"/>
      <c r="D45" s="301"/>
      <c r="E45" s="301"/>
      <c r="F45" s="301"/>
      <c r="G45" s="301"/>
      <c r="H45" s="301"/>
      <c r="I45" s="301"/>
      <c r="J45" s="301"/>
      <c r="K45" s="342"/>
      <c r="L45" s="301"/>
      <c r="M45" s="301"/>
      <c r="N45" s="303"/>
      <c r="P45" s="303"/>
      <c r="Q45" s="303"/>
      <c r="R45" s="303"/>
      <c r="S45" s="453"/>
      <c r="T45" s="303"/>
      <c r="X45" s="453"/>
    </row>
    <row r="46" spans="1:24" x14ac:dyDescent="0.2">
      <c r="A46" s="323"/>
      <c r="B46" s="343"/>
      <c r="C46" s="344"/>
      <c r="D46" s="479" t="s">
        <v>33</v>
      </c>
      <c r="E46" s="480"/>
      <c r="F46" s="480"/>
      <c r="G46" s="480"/>
      <c r="H46" s="480"/>
      <c r="I46" s="481"/>
      <c r="J46" s="345"/>
      <c r="K46" s="345"/>
      <c r="L46" s="345"/>
      <c r="M46" s="505" t="s">
        <v>259</v>
      </c>
      <c r="N46" s="506"/>
      <c r="O46" s="507"/>
      <c r="P46" s="508"/>
      <c r="Q46" s="305"/>
      <c r="S46" s="305"/>
      <c r="T46" s="305"/>
      <c r="U46" s="305"/>
    </row>
    <row r="47" spans="1:24" x14ac:dyDescent="0.2">
      <c r="A47" s="323"/>
      <c r="B47" s="343"/>
      <c r="C47" s="382" t="s">
        <v>56</v>
      </c>
      <c r="D47" s="475" t="str">
        <f>IF(K15="Salt", "SBP", IF(D$48="","",_xlfn.XLOOKUP(D$48,WireSets[serial_number],WireSets[type],"",0)))</f>
        <v/>
      </c>
      <c r="E47" s="475" t="str">
        <f>IF(E$48="","",_xlfn.XLOOKUP(E$48,WireSets[serial_number],WireSets[type],"",0))</f>
        <v/>
      </c>
      <c r="F47" s="475" t="str">
        <f>IF(F$48="","",_xlfn.XLOOKUP(F$48,WireSets[serial_number],WireSets[type],"",0))</f>
        <v/>
      </c>
      <c r="G47" s="475" t="str">
        <f>IF(G$48="","",_xlfn.XLOOKUP(G$48,WireSets[serial_number],WireSets[type],"",0))</f>
        <v/>
      </c>
      <c r="H47" s="475" t="str">
        <f>IF(H$48="","",_xlfn.XLOOKUP(H$48,WireSets[serial_number],WireSets[type],"",0))</f>
        <v/>
      </c>
      <c r="I47" s="475" t="str">
        <f>IF(I$48="","",_xlfn.XLOOKUP(I$48,WireSets[serial_number],WireSets[type],"",0))</f>
        <v/>
      </c>
      <c r="J47" s="345"/>
      <c r="K47" s="345"/>
      <c r="L47" s="301"/>
      <c r="M47" s="240" t="s">
        <v>260</v>
      </c>
      <c r="N47" s="299" t="s">
        <v>261</v>
      </c>
      <c r="O47" s="346"/>
      <c r="P47" s="486" t="s">
        <v>262</v>
      </c>
      <c r="Q47" s="486"/>
      <c r="R47" s="385" t="s">
        <v>263</v>
      </c>
      <c r="T47" s="305"/>
      <c r="U47" s="305"/>
    </row>
    <row r="48" spans="1:24" x14ac:dyDescent="0.2">
      <c r="A48" s="319"/>
      <c r="B48" s="343"/>
      <c r="C48" s="383" t="s">
        <v>34</v>
      </c>
      <c r="D48" s="288"/>
      <c r="E48" s="288"/>
      <c r="F48" s="288"/>
      <c r="G48" s="288"/>
      <c r="H48" s="288"/>
      <c r="I48" s="288"/>
      <c r="J48" s="345"/>
      <c r="K48" s="345"/>
      <c r="L48" s="345"/>
      <c r="M48" s="487" t="s">
        <v>264</v>
      </c>
      <c r="N48" s="487"/>
      <c r="O48" s="347"/>
      <c r="P48" s="488" t="s">
        <v>309</v>
      </c>
      <c r="Q48" s="489"/>
      <c r="R48" s="490"/>
      <c r="S48" s="469" t="b">
        <f>_xlfn.REGEXTEST(TRIM(Class),"^[0-9][AC]",1)</f>
        <v>0</v>
      </c>
      <c r="T48" s="306"/>
      <c r="U48" s="488" t="s">
        <v>312</v>
      </c>
      <c r="V48" s="489"/>
      <c r="W48" s="490"/>
      <c r="X48" s="452"/>
    </row>
    <row r="49" spans="3:24" x14ac:dyDescent="0.2">
      <c r="C49" s="382" t="s">
        <v>35</v>
      </c>
      <c r="D49" s="642" t="str">
        <f>_xlfn.XLOOKUP(D$48,WireSets[serial_number],WireSets[service_date],"",0)</f>
        <v/>
      </c>
      <c r="E49" s="642" t="str">
        <f>_xlfn.XLOOKUP(E$48,WireSets[serial_number],WireSets[service_date],"",0)</f>
        <v/>
      </c>
      <c r="F49" s="642" t="str">
        <f>_xlfn.XLOOKUP(F$48,WireSets[serial_number],WireSets[service_date],"",0)</f>
        <v/>
      </c>
      <c r="G49" s="642" t="str">
        <f>_xlfn.XLOOKUP(G$48,WireSets[serial_number],WireSets[service_date],"",0)</f>
        <v/>
      </c>
      <c r="H49" s="642" t="str">
        <f>_xlfn.XLOOKUP(H$48,WireSets[serial_number],WireSets[service_date],"",0)</f>
        <v/>
      </c>
      <c r="I49" s="642" t="str">
        <f>_xlfn.XLOOKUP(I$48,WireSets[serial_number],WireSets[service_date],"",0)</f>
        <v/>
      </c>
      <c r="J49" s="345"/>
      <c r="K49" s="345" t="s">
        <v>342</v>
      </c>
      <c r="L49" s="345"/>
      <c r="M49" s="240" t="s">
        <v>265</v>
      </c>
      <c r="N49" s="298" t="str">
        <f>IF(PB="","",PB)</f>
        <v/>
      </c>
      <c r="O49" s="315"/>
      <c r="P49" s="491" t="s">
        <v>314</v>
      </c>
      <c r="Q49" s="492"/>
      <c r="R49" s="493"/>
      <c r="S49" s="386" t="str">
        <f>IF($S$48, IF(MAX(Survey[RawTemp])&lt;=HalfTolMax,"Yes","No"), "N/A")</f>
        <v>N/A</v>
      </c>
      <c r="T49" s="307"/>
      <c r="U49" s="491" t="s">
        <v>313</v>
      </c>
      <c r="V49" s="492"/>
      <c r="W49" s="493"/>
      <c r="X49" s="386" t="str">
        <f>IF($S$48, IF(MIN(Survey[RawTemp])&gt;=HalfTolMin,"Yes","No"), "N/A")</f>
        <v>N/A</v>
      </c>
    </row>
    <row r="50" spans="3:24" x14ac:dyDescent="0.2">
      <c r="C50" s="382" t="s">
        <v>36</v>
      </c>
      <c r="D50" s="642" t="str">
        <f>IF(D49="","",EDATE(D49,3))</f>
        <v/>
      </c>
      <c r="E50" s="642" t="str">
        <f t="shared" ref="E50:I50" si="1">IF(E49="","",EDATE(E49,3))</f>
        <v/>
      </c>
      <c r="F50" s="642" t="str">
        <f t="shared" si="1"/>
        <v/>
      </c>
      <c r="G50" s="642" t="str">
        <f t="shared" si="1"/>
        <v/>
      </c>
      <c r="H50" s="642" t="str">
        <f t="shared" si="1"/>
        <v/>
      </c>
      <c r="I50" s="642" t="str">
        <f t="shared" si="1"/>
        <v/>
      </c>
      <c r="J50" s="345"/>
      <c r="K50" s="345"/>
      <c r="L50" s="345"/>
      <c r="M50" s="240" t="s">
        <v>266</v>
      </c>
      <c r="N50" s="298" t="str">
        <f>IF(Integral="","",Integral)</f>
        <v/>
      </c>
      <c r="O50" s="315"/>
      <c r="P50" s="494" t="s">
        <v>267</v>
      </c>
      <c r="Q50" s="495"/>
      <c r="R50" s="496"/>
      <c r="S50" s="348"/>
      <c r="T50" s="308"/>
      <c r="U50" s="494" t="s">
        <v>267</v>
      </c>
      <c r="V50" s="495"/>
      <c r="W50" s="496"/>
      <c r="X50" s="305"/>
    </row>
    <row r="51" spans="3:24" x14ac:dyDescent="0.2">
      <c r="C51" s="382" t="s">
        <v>54</v>
      </c>
      <c r="D51" s="288"/>
      <c r="E51" s="288"/>
      <c r="F51" s="288"/>
      <c r="G51" s="288"/>
      <c r="H51" s="288"/>
      <c r="I51" s="288"/>
      <c r="J51" s="345"/>
      <c r="K51" s="349"/>
      <c r="L51" s="345"/>
      <c r="M51" s="369" t="s">
        <v>268</v>
      </c>
      <c r="N51" s="298" t="str">
        <f>IF(Derivative="","",Derivative)</f>
        <v/>
      </c>
      <c r="O51" s="301"/>
      <c r="P51" s="491" t="s">
        <v>310</v>
      </c>
      <c r="Q51" s="492"/>
      <c r="R51" s="493"/>
      <c r="S51" s="386"/>
      <c r="T51" s="309"/>
      <c r="U51" s="491" t="s">
        <v>315</v>
      </c>
      <c r="V51" s="492"/>
      <c r="W51" s="493"/>
      <c r="X51" s="386"/>
    </row>
    <row r="52" spans="3:24" x14ac:dyDescent="0.2">
      <c r="C52" s="382" t="s">
        <v>274</v>
      </c>
      <c r="D52" s="288"/>
      <c r="E52" s="288"/>
      <c r="F52" s="288"/>
      <c r="G52" s="288"/>
      <c r="H52" s="288"/>
      <c r="I52" s="288"/>
      <c r="J52" s="345"/>
      <c r="K52" s="349"/>
      <c r="L52" s="345"/>
      <c r="M52" s="369" t="s">
        <v>269</v>
      </c>
      <c r="N52" s="298" t="str">
        <f>IF(Other1="","",Other1)</f>
        <v/>
      </c>
      <c r="O52" s="315"/>
      <c r="P52" s="494" t="s">
        <v>267</v>
      </c>
      <c r="Q52" s="495"/>
      <c r="R52" s="496"/>
      <c r="S52" s="348"/>
      <c r="T52" s="310"/>
      <c r="U52" s="494" t="s">
        <v>267</v>
      </c>
      <c r="V52" s="495"/>
      <c r="W52" s="49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38" t="s">
        <v>311</v>
      </c>
      <c r="Q53" s="539"/>
      <c r="R53" s="540"/>
      <c r="S53" s="386"/>
      <c r="T53" s="311"/>
      <c r="U53" s="538" t="s">
        <v>316</v>
      </c>
      <c r="V53" s="539"/>
      <c r="W53" s="540"/>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1"/>
      <c r="Q54" s="542"/>
      <c r="R54" s="543"/>
      <c r="S54" s="352"/>
      <c r="T54" s="312"/>
      <c r="U54" s="541"/>
      <c r="V54" s="542"/>
      <c r="W54" s="543"/>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4" t="b">
        <f>AND(S49="No",S51="No",S53="No")</f>
        <v>0</v>
      </c>
      <c r="T56" s="314"/>
      <c r="U56" s="390" t="str">
        <f>IF($X$56, MIN(Survey[RawTemp]), "")</f>
        <v/>
      </c>
      <c r="V56" s="388" t="str" cm="1">
        <f t="array" ref="V56">IF($X$56, _xlfn.TEXTJOIN(", ",TRUE, _xlfn.UNIQUE(TEXT(Alerts[Low],"h:mm am/pm"))), "")</f>
        <v/>
      </c>
      <c r="W56" s="387"/>
      <c r="X56" s="474" t="b">
        <f>AND(X49="No",X51="No",X53="No")</f>
        <v>0</v>
      </c>
    </row>
    <row r="57" spans="3:24" x14ac:dyDescent="0.2">
      <c r="C57" s="240" t="s">
        <v>275</v>
      </c>
      <c r="D57" s="289"/>
      <c r="E57" s="289"/>
      <c r="F57" s="289"/>
      <c r="G57" s="289"/>
      <c r="H57" s="289"/>
      <c r="I57" s="289"/>
      <c r="J57" s="301"/>
      <c r="K57" s="379"/>
      <c r="L57" s="380"/>
      <c r="M57" s="381" t="s">
        <v>299</v>
      </c>
      <c r="N57" s="297">
        <v>0</v>
      </c>
      <c r="O57" s="303"/>
      <c r="P57" s="301"/>
      <c r="Q57" s="454"/>
      <c r="S57" s="301"/>
      <c r="V57" s="454"/>
    </row>
    <row r="58" spans="3:24" x14ac:dyDescent="0.2">
      <c r="C58" s="479" t="s">
        <v>146</v>
      </c>
      <c r="D58" s="480"/>
      <c r="E58" s="480"/>
      <c r="F58" s="480"/>
      <c r="G58" s="480"/>
      <c r="H58" s="480"/>
      <c r="I58" s="480"/>
      <c r="J58" s="480"/>
      <c r="K58" s="484"/>
      <c r="L58" s="485"/>
      <c r="M58" s="305"/>
      <c r="N58" s="305"/>
      <c r="O58" s="305"/>
      <c r="P58" s="301"/>
      <c r="Q58" s="456"/>
      <c r="S58" s="305"/>
      <c r="T58" s="305"/>
      <c r="U58" s="305"/>
      <c r="V58" s="454"/>
    </row>
    <row r="59" spans="3:24" x14ac:dyDescent="0.2">
      <c r="C59" s="479" t="s">
        <v>149</v>
      </c>
      <c r="D59" s="480"/>
      <c r="E59" s="480"/>
      <c r="F59" s="480"/>
      <c r="G59" s="480"/>
      <c r="H59" s="480"/>
      <c r="I59" s="480"/>
      <c r="J59" s="480"/>
      <c r="K59" s="480"/>
      <c r="L59" s="481"/>
      <c r="M59" s="305"/>
      <c r="N59" s="315" t="str">
        <f>"DOORS OPENED FOR " &amp;L16&amp; " SECONDS TO SIMULATE LOAD ENTRY AT " &amp;L17&amp; "."</f>
        <v>DOORS OPENED FOR  SECONDS TO SIMULATE LOAD ENTRY AT .</v>
      </c>
      <c r="O59" s="315"/>
      <c r="P59" s="315"/>
      <c r="Q59" s="455"/>
      <c r="R59" s="315"/>
      <c r="S59" s="315"/>
      <c r="T59" s="315"/>
      <c r="U59" s="315"/>
      <c r="V59" s="455"/>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5"/>
      <c r="R60" s="315"/>
      <c r="S60" s="315"/>
      <c r="T60" s="315"/>
      <c r="U60" s="315"/>
      <c r="V60" s="455"/>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5"/>
      <c r="R61" s="315"/>
      <c r="S61" s="315"/>
      <c r="T61" s="315"/>
      <c r="U61" s="315"/>
      <c r="V61" s="455"/>
    </row>
    <row r="62" spans="3:24" x14ac:dyDescent="0.2">
      <c r="C62" s="317"/>
      <c r="D62" s="301"/>
      <c r="E62" s="301"/>
      <c r="F62" s="305" t="s">
        <v>294</v>
      </c>
      <c r="G62" s="339"/>
      <c r="H62" s="339"/>
      <c r="I62" s="339"/>
      <c r="J62" s="301"/>
      <c r="K62" s="301"/>
      <c r="L62" s="301"/>
      <c r="M62" s="358"/>
      <c r="N62" s="357"/>
      <c r="O62" s="357"/>
      <c r="P62" s="315"/>
      <c r="Q62" s="455"/>
      <c r="R62" s="315"/>
      <c r="S62" s="315"/>
      <c r="T62" s="315"/>
      <c r="U62" s="315"/>
      <c r="V62" s="455"/>
    </row>
    <row r="65" spans="5:7" x14ac:dyDescent="0.2">
      <c r="E65" s="68" t="s">
        <v>388</v>
      </c>
      <c r="F65" t="s">
        <v>140</v>
      </c>
      <c r="G65" s="37" t="s">
        <v>389</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447</v>
      </c>
      <c r="G73" s="442" t="b">
        <f>AND(UUTRangeTol!R2+UUTRangeTol!S2=0,UUTRangeTol!S2&gt;0)</f>
        <v>0</v>
      </c>
    </row>
    <row r="74" spans="5:7" x14ac:dyDescent="0.2">
      <c r="E74" s="360"/>
      <c r="F74" s="382" t="s">
        <v>448</v>
      </c>
      <c r="G74" s="441">
        <f>IF(Symmetric_Tol,VLOOKUP(UUTRangeTol!S2,SAT_Tolerance_Lookup[[TUS Tol]:[SAT Multiplier]],2,FALSE),SAT_Tol)</f>
        <v>0</v>
      </c>
    </row>
    <row r="75" spans="5:7" x14ac:dyDescent="0.2">
      <c r="E75" s="359"/>
    </row>
  </sheetData>
  <sheetProtection algorithmName="SHA-512" hashValue="6j0P82beIUzoWSzCDxd0mwJAKvNJOt0IxDhWQwVytNBW6qAb5vf3tXhqn0jJlJMqemjpXgpZmX4CIX90kdokRg==" saltValue="OZhGCGeIAajaHicXYng+kQ=="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1:D14" evalError="1"/>
    <ignoredError sqref="G27:G28 G74 D54:I55 D49:I50 K13 D47:I47 F48:I4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_xlfn.ANCHORARRAY(WireSets!$O$5)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xr:uid="{BC53407B-8E88-48FD-85CD-B9FCD6D71357}">
          <x14:formula1>
            <xm:f>WireSets!$P:$P</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421</v>
      </c>
      <c r="B1" s="1" t="s">
        <v>420</v>
      </c>
    </row>
    <row r="2" spans="1:2" x14ac:dyDescent="0.2">
      <c r="A2" t="s">
        <v>422</v>
      </c>
      <c r="B2" t="b">
        <v>1</v>
      </c>
    </row>
  </sheetData>
  <sheetProtection algorithmName="SHA-512" hashValue="iwHCMfRcf+PF0Il90ca8ZpBX5ydDJT6f6bjcSZaIBDx/Ok67K96JAItv+Hwl0CLngUysT9hMRdv6NIUq4kDMVQ==" saltValue="N4aPem0n4PfbMXfPC4M/PQ=="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373</v>
      </c>
      <c r="C2" s="46" t="s">
        <v>374</v>
      </c>
      <c r="D2" s="46" t="s">
        <v>375</v>
      </c>
      <c r="E2" s="46" t="s">
        <v>324</v>
      </c>
      <c r="F2" s="46" t="s">
        <v>376</v>
      </c>
      <c r="G2" s="46" t="s">
        <v>377</v>
      </c>
      <c r="H2" s="46" t="s">
        <v>378</v>
      </c>
      <c r="I2" s="46" t="s">
        <v>379</v>
      </c>
      <c r="J2" s="46" t="s">
        <v>380</v>
      </c>
      <c r="K2" s="46" t="s">
        <v>325</v>
      </c>
      <c r="L2" s="46" t="s">
        <v>381</v>
      </c>
      <c r="M2" s="46" t="s">
        <v>382</v>
      </c>
      <c r="N2" s="46" t="s">
        <v>383</v>
      </c>
      <c r="O2" s="46" t="s">
        <v>384</v>
      </c>
      <c r="P2" s="50"/>
      <c r="Q2" s="395" t="s">
        <v>14</v>
      </c>
      <c r="R2" s="46" t="s">
        <v>359</v>
      </c>
      <c r="S2" s="46" t="s">
        <v>360</v>
      </c>
      <c r="T2" s="46" t="s">
        <v>361</v>
      </c>
      <c r="U2" s="46" t="s">
        <v>362</v>
      </c>
      <c r="V2" s="46" t="s">
        <v>363</v>
      </c>
      <c r="W2" s="46" t="s">
        <v>364</v>
      </c>
      <c r="X2" s="46" t="s">
        <v>365</v>
      </c>
      <c r="Y2" s="46" t="s">
        <v>366</v>
      </c>
      <c r="Z2" s="46" t="s">
        <v>367</v>
      </c>
      <c r="AA2" s="46" t="s">
        <v>368</v>
      </c>
      <c r="AB2" s="46" t="s">
        <v>369</v>
      </c>
      <c r="AC2" s="46" t="s">
        <v>370</v>
      </c>
      <c r="AD2" s="46" t="s">
        <v>371</v>
      </c>
      <c r="AE2" s="46" t="s">
        <v>372</v>
      </c>
      <c r="AF2" s="50"/>
      <c r="AG2" s="395" t="s">
        <v>14</v>
      </c>
      <c r="AH2" s="84" t="s">
        <v>347</v>
      </c>
      <c r="AI2" s="84" t="s">
        <v>348</v>
      </c>
      <c r="AJ2" s="84" t="s">
        <v>349</v>
      </c>
      <c r="AK2" s="84" t="s">
        <v>350</v>
      </c>
      <c r="AL2" s="84" t="s">
        <v>351</v>
      </c>
      <c r="AM2" s="84" t="s">
        <v>352</v>
      </c>
      <c r="AN2" s="84" t="s">
        <v>353</v>
      </c>
      <c r="AO2" s="84" t="s">
        <v>354</v>
      </c>
      <c r="AP2" s="84" t="s">
        <v>355</v>
      </c>
      <c r="AQ2" s="84" t="s">
        <v>356</v>
      </c>
      <c r="AR2" s="84" t="s">
        <v>357</v>
      </c>
      <c r="AS2" s="84" t="s">
        <v>358</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MyEXQq9hI2HqhFFxmWkUTeHb1X1onTy36Dnz0i21U71PglY61Q1sivCf9XqIgkDzAk1lk0D64UeRm1ghbGP9Hg==" saltValue="59ovD0Udyse6x3BnnT8at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8">
        <f>Main!D3</f>
        <v>0</v>
      </c>
      <c r="E10" s="548"/>
      <c r="F10" s="548"/>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7" t="s">
        <v>303</v>
      </c>
      <c r="F15" s="547"/>
      <c r="G15" s="547"/>
      <c r="H15" s="547"/>
    </row>
    <row r="16" spans="3:8" ht="15" x14ac:dyDescent="0.2">
      <c r="C16" s="130"/>
      <c r="D16" s="73"/>
      <c r="E16" s="287" t="s">
        <v>116</v>
      </c>
      <c r="F16" s="287"/>
      <c r="G16" s="287"/>
      <c r="H16" s="287"/>
    </row>
    <row r="17" spans="3:8" ht="15" x14ac:dyDescent="0.2">
      <c r="C17" s="130"/>
      <c r="D17" s="73"/>
      <c r="E17" s="546" t="s">
        <v>117</v>
      </c>
      <c r="F17" s="546"/>
      <c r="G17" s="546"/>
      <c r="H17" s="546"/>
    </row>
    <row r="18" spans="3:8" ht="15" x14ac:dyDescent="0.2">
      <c r="C18" s="130"/>
      <c r="D18" s="73"/>
      <c r="E18" s="546" t="s">
        <v>6</v>
      </c>
      <c r="F18" s="546"/>
      <c r="G18" s="546"/>
      <c r="H18" s="546"/>
    </row>
    <row r="19" spans="3:8" ht="15" x14ac:dyDescent="0.2">
      <c r="C19" s="130"/>
      <c r="D19" s="73"/>
      <c r="E19" s="546" t="s">
        <v>122</v>
      </c>
      <c r="F19" s="546"/>
      <c r="G19" s="546"/>
      <c r="H19" s="546"/>
    </row>
    <row r="20" spans="3:8" ht="15" x14ac:dyDescent="0.2">
      <c r="C20" s="130"/>
      <c r="D20" s="73"/>
      <c r="E20" s="546" t="s">
        <v>119</v>
      </c>
      <c r="F20" s="546"/>
      <c r="G20" s="546"/>
      <c r="H20" s="546"/>
    </row>
    <row r="21" spans="3:8" ht="15" x14ac:dyDescent="0.2">
      <c r="C21" s="130"/>
      <c r="D21" s="73"/>
      <c r="E21" s="546" t="s">
        <v>120</v>
      </c>
      <c r="F21" s="546"/>
      <c r="G21" s="546"/>
      <c r="H21" s="546"/>
    </row>
    <row r="22" spans="3:8" ht="15" x14ac:dyDescent="0.2">
      <c r="C22" s="130"/>
      <c r="D22" s="73"/>
      <c r="E22" s="546" t="s">
        <v>103</v>
      </c>
      <c r="F22" s="546"/>
      <c r="G22" s="546"/>
      <c r="H22" s="546"/>
    </row>
    <row r="23" spans="3:8" ht="15" x14ac:dyDescent="0.2">
      <c r="C23" s="130"/>
      <c r="D23" s="73"/>
      <c r="E23" s="546" t="s">
        <v>121</v>
      </c>
      <c r="F23" s="546"/>
      <c r="G23" s="546"/>
      <c r="H23" s="546"/>
    </row>
    <row r="24" spans="3:8" ht="15" x14ac:dyDescent="0.2">
      <c r="C24" s="82"/>
      <c r="D24" s="73"/>
      <c r="E24" s="546" t="s">
        <v>139</v>
      </c>
      <c r="F24" s="546"/>
      <c r="G24" s="546"/>
      <c r="H24" s="546"/>
    </row>
    <row r="25" spans="3:8" ht="15" x14ac:dyDescent="0.2">
      <c r="C25" s="82"/>
      <c r="D25" s="73"/>
      <c r="E25" s="546"/>
      <c r="F25" s="546"/>
      <c r="G25" s="546"/>
      <c r="H25" s="546"/>
    </row>
    <row r="26" spans="3:8" ht="15" x14ac:dyDescent="0.2">
      <c r="C26" s="82"/>
      <c r="D26" s="73"/>
      <c r="E26" s="546"/>
      <c r="F26" s="546"/>
      <c r="G26" s="546"/>
      <c r="H26" s="546"/>
    </row>
    <row r="27" spans="3:8" ht="15" x14ac:dyDescent="0.2">
      <c r="C27" s="82"/>
      <c r="D27" s="73"/>
      <c r="E27" s="546"/>
      <c r="F27" s="546"/>
      <c r="G27" s="546"/>
      <c r="H27" s="546"/>
    </row>
    <row r="28" spans="3:8" ht="15" x14ac:dyDescent="0.2">
      <c r="C28" s="82"/>
      <c r="D28" s="73"/>
      <c r="E28" s="546"/>
      <c r="F28" s="546"/>
      <c r="G28" s="546"/>
      <c r="H28" s="546"/>
    </row>
    <row r="29" spans="3:8" ht="15" x14ac:dyDescent="0.2">
      <c r="C29" s="82"/>
      <c r="D29" s="73"/>
      <c r="E29" s="546"/>
      <c r="F29" s="546"/>
      <c r="G29" s="546"/>
      <c r="H29" s="546"/>
    </row>
    <row r="30" spans="3:8" ht="15" x14ac:dyDescent="0.2">
      <c r="C30" s="82"/>
      <c r="D30" s="73"/>
      <c r="E30" s="546"/>
      <c r="F30" s="546"/>
      <c r="G30" s="546"/>
      <c r="H30" s="546"/>
    </row>
    <row r="31" spans="3:8" ht="15" x14ac:dyDescent="0.2">
      <c r="C31" s="248" t="s">
        <v>304</v>
      </c>
      <c r="E31" s="546"/>
      <c r="F31" s="546"/>
      <c r="G31" s="546"/>
      <c r="H31" s="546"/>
    </row>
    <row r="32" spans="3:8" ht="15" x14ac:dyDescent="0.2">
      <c r="C32" s="82"/>
      <c r="D32" s="73"/>
      <c r="E32" s="546"/>
      <c r="F32" s="546"/>
      <c r="G32" s="546"/>
      <c r="H32" s="546"/>
    </row>
    <row r="33" spans="3:8" ht="15" x14ac:dyDescent="0.2">
      <c r="C33" s="82"/>
      <c r="D33" s="73"/>
      <c r="E33" s="546"/>
      <c r="F33" s="546"/>
      <c r="G33" s="546"/>
      <c r="H33" s="546"/>
    </row>
    <row r="34" spans="3:8" ht="15" x14ac:dyDescent="0.2">
      <c r="C34" s="82"/>
      <c r="D34" s="73"/>
      <c r="E34" s="546"/>
      <c r="F34" s="546"/>
      <c r="G34" s="546"/>
      <c r="H34" s="546"/>
    </row>
    <row r="35" spans="3:8" ht="15" x14ac:dyDescent="0.2">
      <c r="C35" s="82"/>
      <c r="D35" s="73"/>
      <c r="E35" s="546"/>
      <c r="F35" s="546"/>
      <c r="G35" s="546"/>
      <c r="H35" s="546"/>
    </row>
    <row r="36" spans="3:8" ht="15" x14ac:dyDescent="0.2">
      <c r="C36" s="73"/>
      <c r="D36" s="73"/>
      <c r="E36" s="546"/>
      <c r="F36" s="546"/>
      <c r="G36" s="546"/>
      <c r="H36" s="546"/>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tQmQOR57raL/QrkjN//ZoMUakFjo2kKXEvny3j/CnGYszT+g0HBDeKgWV2tRvX8jIJp10Iiaym3ITTc3HeyCXA==" saltValue="lKYAESOplSq2CHknVhUBS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8" t="s">
        <v>108</v>
      </c>
      <c r="E1" s="568"/>
      <c r="F1" s="568"/>
      <c r="G1" s="568"/>
      <c r="H1" s="568"/>
      <c r="I1" s="568"/>
      <c r="J1" s="568"/>
      <c r="K1" s="568"/>
      <c r="L1" s="568"/>
      <c r="M1" s="568"/>
    </row>
    <row r="2" spans="1:18" ht="23.25" customHeight="1" x14ac:dyDescent="0.3">
      <c r="C2" s="230"/>
      <c r="D2" s="230" t="s">
        <v>255</v>
      </c>
      <c r="E2" s="230"/>
      <c r="F2" s="230"/>
      <c r="G2" s="230"/>
      <c r="H2" s="230"/>
      <c r="I2" s="230"/>
      <c r="J2" s="230"/>
      <c r="K2" s="230"/>
      <c r="L2" s="230"/>
      <c r="M2" s="230"/>
    </row>
    <row r="3" spans="1:18" ht="23.25" x14ac:dyDescent="0.35">
      <c r="C3" s="569"/>
      <c r="D3" s="569"/>
      <c r="E3" s="569"/>
      <c r="F3" s="569"/>
      <c r="G3" s="569"/>
      <c r="H3" s="569"/>
      <c r="I3" s="569"/>
      <c r="J3" s="569"/>
      <c r="K3" s="569"/>
      <c r="L3" s="569"/>
      <c r="M3" s="569"/>
    </row>
    <row r="4" spans="1:18" ht="23.25" x14ac:dyDescent="0.35">
      <c r="C4" s="214"/>
      <c r="D4" s="214"/>
      <c r="E4" s="214"/>
      <c r="F4" s="214"/>
      <c r="G4" s="214"/>
      <c r="H4" s="214"/>
      <c r="I4" s="214"/>
      <c r="J4" s="214"/>
      <c r="K4" s="214"/>
      <c r="L4" s="214"/>
      <c r="M4" s="214"/>
    </row>
    <row r="5" spans="1:18" ht="23.25" x14ac:dyDescent="0.35">
      <c r="C5" s="565" t="s">
        <v>6</v>
      </c>
      <c r="D5" s="565"/>
      <c r="E5" s="565"/>
      <c r="F5" s="565"/>
      <c r="G5" s="565"/>
      <c r="H5" s="565"/>
      <c r="I5" s="565"/>
      <c r="J5" s="565"/>
      <c r="K5" s="565"/>
      <c r="L5" s="565"/>
      <c r="M5" s="565"/>
    </row>
    <row r="6" spans="1:18" ht="23.25" x14ac:dyDescent="0.35">
      <c r="C6" s="215"/>
      <c r="D6" s="215"/>
      <c r="E6" s="585" t="str">
        <f>IFERROR(CONCATENATE("Report Number: ", WorkItemNumber),"")</f>
        <v/>
      </c>
      <c r="F6" s="585"/>
      <c r="G6" s="585"/>
      <c r="H6" s="585"/>
      <c r="I6" s="585"/>
      <c r="J6" s="585"/>
      <c r="K6" s="585"/>
      <c r="L6" s="215"/>
      <c r="M6" s="215"/>
    </row>
    <row r="7" spans="1:18" ht="18.75" customHeight="1" x14ac:dyDescent="0.3">
      <c r="G7" s="566"/>
      <c r="H7" s="566"/>
      <c r="I7" s="192"/>
      <c r="R7" t="str">
        <f>CONCATENATE("Page ",Main!L9," of ",Main!L10)</f>
        <v xml:space="preserve">Page  of </v>
      </c>
    </row>
    <row r="8" spans="1:18" ht="18" customHeight="1" x14ac:dyDescent="0.25">
      <c r="G8" s="578"/>
      <c r="H8" s="578"/>
      <c r="J8" s="79"/>
      <c r="K8" s="216" t="s">
        <v>252</v>
      </c>
      <c r="L8" s="589">
        <f>FormNumber</f>
        <v>0</v>
      </c>
      <c r="M8" s="589"/>
      <c r="N8" s="589"/>
      <c r="O8" s="589"/>
    </row>
    <row r="9" spans="1:18" ht="18" customHeight="1" x14ac:dyDescent="0.25">
      <c r="A9" s="216" t="s">
        <v>209</v>
      </c>
      <c r="B9" s="33" t="e">
        <f>Main!D5</f>
        <v>#N/A</v>
      </c>
      <c r="J9" s="79"/>
      <c r="K9" s="216" t="s">
        <v>253</v>
      </c>
      <c r="L9" s="580" t="str">
        <f>"JGI WP4100, "&amp;CalMethod</f>
        <v xml:space="preserve">JGI WP4100, </v>
      </c>
      <c r="M9" s="580"/>
      <c r="N9" s="580"/>
      <c r="O9" s="580"/>
    </row>
    <row r="10" spans="1:18" ht="18" customHeight="1" x14ac:dyDescent="0.25">
      <c r="A10" s="87"/>
      <c r="B10" s="211" t="str" cm="1">
        <f t="array" ref="B10">IFZERO('Customer Table'!R2,"")</f>
        <v/>
      </c>
      <c r="J10" s="79"/>
      <c r="K10" s="216"/>
      <c r="L10" s="580"/>
      <c r="M10" s="580"/>
      <c r="N10" s="580"/>
      <c r="O10" s="580"/>
    </row>
    <row r="11" spans="1:18" ht="18" customHeight="1" x14ac:dyDescent="0.25">
      <c r="A11" s="87"/>
      <c r="B11" s="211" t="str" cm="1">
        <f t="array" ref="B11">IFZERO('Customer Table'!S2,"")</f>
        <v/>
      </c>
      <c r="J11" s="79"/>
      <c r="K11" s="216" t="s">
        <v>254</v>
      </c>
      <c r="L11" s="589">
        <f>TolSource</f>
        <v>0</v>
      </c>
      <c r="M11" s="589"/>
      <c r="N11" s="589"/>
      <c r="O11" s="589"/>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1">
        <f>SerialNumber</f>
        <v>0</v>
      </c>
      <c r="C16" s="581"/>
      <c r="D16" s="581"/>
      <c r="E16" s="581"/>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2">
        <f>Class</f>
        <v>0</v>
      </c>
      <c r="C18" s="572"/>
      <c r="D18" s="572"/>
      <c r="E18" s="572"/>
      <c r="G18" s="216" t="s">
        <v>219</v>
      </c>
      <c r="H18" s="220">
        <f>CubicFeet</f>
        <v>0</v>
      </c>
      <c r="M18" s="216" t="s">
        <v>223</v>
      </c>
      <c r="N18" s="220" t="str">
        <f>Main!G18</f>
        <v>ACCEPTED</v>
      </c>
      <c r="O18" s="195"/>
    </row>
    <row r="19" spans="1:19" ht="18" customHeight="1" x14ac:dyDescent="0.25">
      <c r="A19" s="206"/>
      <c r="B19" s="573"/>
      <c r="C19" s="573"/>
      <c r="D19" s="573"/>
      <c r="E19" s="573"/>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2">
        <f>Controller</f>
        <v>0</v>
      </c>
      <c r="C21" s="582"/>
      <c r="D21" s="582"/>
      <c r="E21" s="582"/>
      <c r="F21" s="207" t="s">
        <v>226</v>
      </c>
      <c r="G21" s="582">
        <f>ContSN</f>
        <v>0</v>
      </c>
      <c r="H21" s="582"/>
      <c r="I21" s="582"/>
      <c r="J21" s="207" t="s">
        <v>227</v>
      </c>
      <c r="K21" s="219">
        <f>ContTol</f>
        <v>0</v>
      </c>
      <c r="L21" s="193"/>
      <c r="M21" s="207" t="s">
        <v>228</v>
      </c>
      <c r="N21" s="232" t="str">
        <f>Main!G27</f>
        <v/>
      </c>
      <c r="O21" s="194"/>
    </row>
    <row r="22" spans="1:19" ht="18" customHeight="1" x14ac:dyDescent="0.25">
      <c r="A22" s="225" t="s">
        <v>225</v>
      </c>
      <c r="B22" s="583">
        <f>_xlnm.Recorder</f>
        <v>0</v>
      </c>
      <c r="C22" s="583"/>
      <c r="D22" s="583"/>
      <c r="E22" s="583"/>
      <c r="F22" s="208" t="s">
        <v>226</v>
      </c>
      <c r="G22" s="583">
        <f>RecSN</f>
        <v>0</v>
      </c>
      <c r="H22" s="583"/>
      <c r="I22" s="583"/>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9" t="s">
        <v>237</v>
      </c>
      <c r="D27" s="579"/>
      <c r="E27" s="579"/>
      <c r="F27" s="579"/>
      <c r="G27" s="579"/>
      <c r="H27" s="579"/>
      <c r="I27" s="579"/>
      <c r="J27" s="579"/>
      <c r="K27" s="579"/>
      <c r="L27" s="579"/>
      <c r="M27" s="579"/>
      <c r="N27" s="196"/>
      <c r="O27" s="197"/>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2"/>
      <c r="B30" s="202" t="s">
        <v>440</v>
      </c>
      <c r="C30" s="213"/>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5" t="s">
        <v>239</v>
      </c>
      <c r="B32" s="567" t="s">
        <v>240</v>
      </c>
      <c r="C32" s="567"/>
      <c r="D32" s="235" t="s">
        <v>203</v>
      </c>
      <c r="E32" s="235" t="s">
        <v>202</v>
      </c>
      <c r="F32" s="235" t="s">
        <v>241</v>
      </c>
      <c r="G32" s="79"/>
      <c r="H32" s="79"/>
      <c r="I32" s="235" t="s">
        <v>239</v>
      </c>
      <c r="J32" s="567" t="s">
        <v>240</v>
      </c>
      <c r="K32" s="567"/>
      <c r="L32" s="235" t="s">
        <v>203</v>
      </c>
      <c r="M32" s="235" t="s">
        <v>202</v>
      </c>
      <c r="N32" s="235" t="s">
        <v>241</v>
      </c>
    </row>
    <row r="33" spans="1:14" ht="18" customHeight="1" x14ac:dyDescent="0.2">
      <c r="A33" s="236" t="str">
        <f>IF(B33="","",1)</f>
        <v/>
      </c>
      <c r="B33" s="566" t="str">
        <f>IF(Main!O5="","",Main!O5)</f>
        <v/>
      </c>
      <c r="C33" s="566"/>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6" t="str">
        <f>IF(Main!O25="","",Main!O25)</f>
        <v/>
      </c>
      <c r="K33" s="566"/>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6" t="str">
        <f>IF(Main!O6="","",Main!O6)</f>
        <v/>
      </c>
      <c r="C34" s="566"/>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6" t="str">
        <f>IF(Main!O26="","",Main!O26)</f>
        <v/>
      </c>
      <c r="K34" s="566"/>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6" t="str">
        <f>IF(Main!O7="","",Main!O7)</f>
        <v/>
      </c>
      <c r="C35" s="566"/>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6" t="str">
        <f>IF(Main!O27="","",Main!O27)</f>
        <v/>
      </c>
      <c r="K35" s="566"/>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6" t="str">
        <f>IF(Main!O8="","",Main!O8)</f>
        <v/>
      </c>
      <c r="C36" s="566"/>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6" t="str">
        <f>IF(Main!O28="","",Main!O28)</f>
        <v/>
      </c>
      <c r="K36" s="566"/>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6" t="str">
        <f>IF(Main!O9="","",Main!O9)</f>
        <v/>
      </c>
      <c r="C37" s="566"/>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6" t="str">
        <f>IF(Main!O29="","",Main!O29)</f>
        <v/>
      </c>
      <c r="K37" s="566"/>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6" t="str">
        <f>IF(Main!O10="","",Main!O10)</f>
        <v/>
      </c>
      <c r="C38" s="566"/>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6" t="str">
        <f>IF(Main!O30="","",Main!O30)</f>
        <v/>
      </c>
      <c r="K38" s="566"/>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6" t="str">
        <f>IF(Main!O11="","",Main!O11)</f>
        <v/>
      </c>
      <c r="C39" s="566"/>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6" t="str">
        <f>IF(Main!O31="","",Main!O31)</f>
        <v/>
      </c>
      <c r="K39" s="566"/>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6" t="str">
        <f>IF(Main!O12="","",Main!O12)</f>
        <v/>
      </c>
      <c r="C40" s="566"/>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6" t="str">
        <f>IF(Main!O32="","",Main!O32)</f>
        <v/>
      </c>
      <c r="K40" s="566"/>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6" t="str">
        <f>IF(Main!O13="","",Main!O13)</f>
        <v/>
      </c>
      <c r="C41" s="566"/>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6" t="str">
        <f>IF(Main!O33="","",Main!O33)</f>
        <v/>
      </c>
      <c r="K41" s="566"/>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6" t="str">
        <f>IF(Main!O14="","",Main!O14)</f>
        <v/>
      </c>
      <c r="C42" s="566"/>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6" t="str">
        <f>IF(Main!O34="","",Main!O34)</f>
        <v/>
      </c>
      <c r="K42" s="566"/>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6" t="str">
        <f>IF(Main!O15="","",Main!O15)</f>
        <v/>
      </c>
      <c r="C43" s="566"/>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6" t="str">
        <f>IF(Main!O35="","",Main!O35)</f>
        <v/>
      </c>
      <c r="K43" s="566"/>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6" t="str">
        <f>IF(Main!O16="","",Main!O16)</f>
        <v/>
      </c>
      <c r="C44" s="566"/>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6" t="str">
        <f>IF(Main!O36="","",Main!O36)</f>
        <v/>
      </c>
      <c r="K44" s="566"/>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6" t="str">
        <f>IF(Main!O17="","",Main!O17)</f>
        <v/>
      </c>
      <c r="C45" s="566"/>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6" t="str">
        <f>IF(Main!O37="","",Main!O37)</f>
        <v/>
      </c>
      <c r="K45" s="566"/>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6" t="str">
        <f>IF(Main!O18="","",Main!O18)</f>
        <v/>
      </c>
      <c r="C46" s="566"/>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6" t="str">
        <f>IF(Main!O38="","",Main!O38)</f>
        <v/>
      </c>
      <c r="K46" s="566"/>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6" t="str">
        <f>IF(Main!O19="","",Main!O19)</f>
        <v/>
      </c>
      <c r="C47" s="566"/>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6" t="str">
        <f>IF(Main!O39="","",Main!O39)</f>
        <v/>
      </c>
      <c r="K47" s="566"/>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6" t="str">
        <f>IF(Main!O20="","",Main!O20)</f>
        <v/>
      </c>
      <c r="C48" s="566"/>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6" t="str">
        <f>IF(Main!O40="","",Main!O40)</f>
        <v/>
      </c>
      <c r="K48" s="566"/>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6" t="str">
        <f>IF(Main!O21="","",Main!O21)</f>
        <v/>
      </c>
      <c r="C49" s="566"/>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6" t="str">
        <f>IF(Main!O41="","",Main!O41)</f>
        <v/>
      </c>
      <c r="K49" s="566"/>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6" t="str">
        <f>IF(Main!O22="","",Main!O22)</f>
        <v/>
      </c>
      <c r="C50" s="566"/>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6" t="str">
        <f>IF(Main!O42="","",Main!O42)</f>
        <v/>
      </c>
      <c r="K50" s="566"/>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6" t="str">
        <f>IF(Main!O23="","",Main!O23)</f>
        <v/>
      </c>
      <c r="C51" s="566"/>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6" t="str">
        <f>IF(Main!O43="","",Main!O43)</f>
        <v/>
      </c>
      <c r="K51" s="566"/>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6" t="str">
        <f>IF(Main!O24="","",Main!O24)</f>
        <v/>
      </c>
      <c r="C52" s="566"/>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6" t="str">
        <f>IF(Main!O44="","",Main!O44)</f>
        <v/>
      </c>
      <c r="K52" s="566"/>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8"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6"/>
      <c r="B55" s="580"/>
      <c r="C55" s="580"/>
      <c r="D55" s="580"/>
      <c r="E55" s="580"/>
      <c r="F55" s="580"/>
      <c r="G55" s="580"/>
      <c r="H55" s="580"/>
      <c r="I55" s="580"/>
      <c r="J55" s="580"/>
      <c r="K55" s="580"/>
      <c r="L55" s="580"/>
      <c r="M55" s="580"/>
      <c r="N55" s="580"/>
      <c r="O55" s="580"/>
    </row>
    <row r="56" spans="1:21" ht="18" customHeight="1" x14ac:dyDescent="0.25">
      <c r="A56" s="76"/>
      <c r="B56" s="580"/>
      <c r="C56" s="580"/>
      <c r="D56" s="580"/>
      <c r="E56" s="580"/>
      <c r="F56" s="580"/>
      <c r="G56" s="580"/>
      <c r="H56" s="580"/>
      <c r="I56" s="580"/>
      <c r="J56" s="580"/>
      <c r="K56" s="580"/>
      <c r="L56" s="580"/>
      <c r="M56" s="580"/>
      <c r="N56" s="580"/>
      <c r="O56" s="580"/>
    </row>
    <row r="57" spans="1:21" ht="18" customHeight="1" x14ac:dyDescent="0.25">
      <c r="A57" s="76"/>
      <c r="B57" s="580"/>
      <c r="C57" s="580"/>
      <c r="D57" s="580"/>
      <c r="E57" s="580"/>
      <c r="F57" s="580"/>
      <c r="G57" s="580"/>
      <c r="H57" s="580"/>
      <c r="I57" s="580"/>
      <c r="J57" s="580"/>
      <c r="K57" s="580"/>
      <c r="L57" s="580"/>
      <c r="M57" s="580"/>
      <c r="N57" s="580"/>
      <c r="O57" s="580"/>
    </row>
    <row r="58" spans="1:21" ht="18" customHeight="1" x14ac:dyDescent="0.25">
      <c r="A58" s="76"/>
      <c r="B58" s="580"/>
      <c r="C58" s="580"/>
      <c r="D58" s="580"/>
      <c r="E58" s="580"/>
      <c r="F58" s="580"/>
      <c r="G58" s="580"/>
      <c r="H58" s="580"/>
      <c r="I58" s="580"/>
      <c r="J58" s="580"/>
      <c r="K58" s="580"/>
      <c r="L58" s="580"/>
      <c r="M58" s="580"/>
      <c r="N58" s="580"/>
      <c r="O58" s="580"/>
    </row>
    <row r="59" spans="1:21" ht="18" customHeight="1" x14ac:dyDescent="0.25">
      <c r="A59" s="76"/>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7" t="s">
        <v>340</v>
      </c>
      <c r="T61" s="37" t="s">
        <v>341</v>
      </c>
      <c r="U61" s="37"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4" t="s">
        <v>444</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9IN+YqAtGHO6KJZAYWS6wNU0zPrTxR8Bpp/Opoi3F4/vjbFOaVNCjVL8gs/GZECblg1l0kFALPFlHPoQKOJjpw==" saltValue="dZVSPzaVRXFVmqT86IW1w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0"/>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405</v>
      </c>
      <c r="R1" t="s">
        <v>406</v>
      </c>
      <c r="S1" t="s">
        <v>407</v>
      </c>
      <c r="T1" t="s">
        <v>408</v>
      </c>
      <c r="U1" t="s">
        <v>409</v>
      </c>
      <c r="V1" t="s">
        <v>410</v>
      </c>
      <c r="W1" t="s">
        <v>411</v>
      </c>
      <c r="X1" t="s">
        <v>412</v>
      </c>
      <c r="Y1" t="s">
        <v>413</v>
      </c>
      <c r="Z1" t="s">
        <v>414</v>
      </c>
      <c r="AA1" t="s">
        <v>415</v>
      </c>
      <c r="AB1" t="s">
        <v>416</v>
      </c>
      <c r="AC1" t="s">
        <v>417</v>
      </c>
      <c r="AD1" t="s">
        <v>418</v>
      </c>
      <c r="AE1" t="s">
        <v>419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M467"/>
      <c r="N467"/>
      <c r="O467"/>
    </row>
    <row r="468" spans="1:15" x14ac:dyDescent="0.2">
      <c r="A468"/>
      <c r="B468"/>
      <c r="C468"/>
      <c r="F468"/>
      <c r="G468"/>
      <c r="I468"/>
      <c r="L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J1039"/>
      <c r="K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I1056"/>
      <c r="J1056"/>
      <c r="K1056"/>
      <c r="L1056"/>
      <c r="M1056"/>
      <c r="N1056"/>
      <c r="O1056"/>
    </row>
    <row r="1057" spans="1:15" x14ac:dyDescent="0.2">
      <c r="A1057"/>
      <c r="B1057"/>
      <c r="C1057"/>
      <c r="F1057"/>
      <c r="G1057"/>
      <c r="I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H1186"/>
      <c r="I1186"/>
      <c r="L1186"/>
      <c r="M1186"/>
      <c r="N1186"/>
      <c r="O1186"/>
    </row>
    <row r="1187" spans="1:15" x14ac:dyDescent="0.2">
      <c r="A1187"/>
      <c r="B1187"/>
      <c r="C1187"/>
      <c r="F1187"/>
      <c r="G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H1347"/>
      <c r="I1347"/>
      <c r="J1347"/>
      <c r="K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N1645"/>
      <c r="O1645"/>
    </row>
    <row r="1646" spans="1:15" x14ac:dyDescent="0.2">
      <c r="A1646"/>
      <c r="B1646"/>
      <c r="C1646"/>
      <c r="F1646"/>
      <c r="G1646"/>
      <c r="H1646"/>
      <c r="I1646"/>
      <c r="L1646"/>
      <c r="M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L1700"/>
      <c r="M1700"/>
      <c r="N1700"/>
      <c r="O1700"/>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3" t="s">
        <v>100</v>
      </c>
      <c r="N2" s="593"/>
      <c r="O2" s="593"/>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4" t="s">
        <v>101</v>
      </c>
      <c r="N3" s="595"/>
      <c r="O3" s="596"/>
      <c r="P3" s="103"/>
      <c r="Q3" s="103"/>
    </row>
    <row r="4" spans="1:18" ht="15" x14ac:dyDescent="0.25">
      <c r="B4" s="113" t="s">
        <v>25</v>
      </c>
      <c r="C4" s="60"/>
      <c r="D4" s="37"/>
      <c r="E4" s="37"/>
      <c r="F4" s="37"/>
      <c r="G4" s="37"/>
      <c r="H4" s="37"/>
      <c r="I4" s="37"/>
      <c r="J4" s="37"/>
      <c r="K4" s="37"/>
      <c r="L4" s="37"/>
      <c r="M4" s="597" t="s">
        <v>136</v>
      </c>
      <c r="N4" s="598"/>
      <c r="O4" s="599"/>
      <c r="P4" s="85"/>
    </row>
    <row r="5" spans="1:18" x14ac:dyDescent="0.2">
      <c r="B5" s="114" t="s">
        <v>26</v>
      </c>
      <c r="C5" s="54">
        <f>Main!D3</f>
        <v>0</v>
      </c>
      <c r="D5" s="37"/>
      <c r="E5" s="37"/>
      <c r="F5" s="37"/>
      <c r="G5" s="37"/>
      <c r="H5" s="37"/>
      <c r="I5" s="52" t="s">
        <v>4</v>
      </c>
      <c r="J5" s="37" t="e">
        <f>Main!D5</f>
        <v>#N/A</v>
      </c>
      <c r="L5" s="37"/>
      <c r="M5" s="600" t="s">
        <v>135</v>
      </c>
      <c r="N5" s="601"/>
      <c r="O5" s="602"/>
      <c r="P5" s="129"/>
    </row>
    <row r="6" spans="1:18" ht="13.5" thickBot="1" x14ac:dyDescent="0.25">
      <c r="B6" s="114" t="s">
        <v>3</v>
      </c>
      <c r="C6" s="55" t="e">
        <f>Main!D6</f>
        <v>#N/A</v>
      </c>
      <c r="D6" s="37"/>
      <c r="E6" s="37"/>
      <c r="F6" s="37"/>
      <c r="G6" s="37"/>
      <c r="H6" s="37"/>
      <c r="I6" s="52" t="s">
        <v>5</v>
      </c>
      <c r="J6" s="51">
        <f>Main!D16</f>
        <v>0</v>
      </c>
      <c r="L6" s="37"/>
      <c r="M6" s="603" t="str">
        <f>IF(MaxMode,"","In 1/2 Tolerance")</f>
        <v>In 1/2 Tolerance</v>
      </c>
      <c r="N6" s="604"/>
      <c r="O6" s="605"/>
      <c r="P6" s="86"/>
    </row>
    <row r="7" spans="1:18" ht="13.5" thickBot="1" x14ac:dyDescent="0.25">
      <c r="B7" s="114" t="s">
        <v>27</v>
      </c>
      <c r="C7" s="55" t="str">
        <f>Main!D7</f>
        <v>Jeff Hall</v>
      </c>
      <c r="D7" s="37"/>
      <c r="E7" s="37"/>
      <c r="F7" s="37"/>
      <c r="G7" s="37"/>
      <c r="H7" s="37"/>
      <c r="I7" s="57" t="s">
        <v>154</v>
      </c>
      <c r="J7" s="591">
        <f>Main!$D$30</f>
        <v>0</v>
      </c>
      <c r="K7" s="592"/>
      <c r="L7" s="100"/>
      <c r="M7" s="590" t="s">
        <v>134</v>
      </c>
      <c r="N7" s="590"/>
      <c r="O7" s="590"/>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p+AYEKP9B66d+tBq+zfGROqkRME6xSYlIfqNk547s6N65qodpw57GAmOV6EByk7ZF8U8efM3nzccnCIeIiE8YQ==" saltValue="eIAYLI9JtzTElxCCfEENm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6" t="s">
        <v>100</v>
      </c>
      <c r="N2" s="606"/>
      <c r="O2" s="606"/>
      <c r="P2" s="291" t="str">
        <f>IF(Main!$E$30="","A10",ADDRESS(13+Standards_Info!W2+(MATCH(Main!$E$30,Data_Sheet!$A$14:$A$903,0)),1,4))</f>
        <v>A10</v>
      </c>
      <c r="Q2" s="291">
        <f>VALUE(MID(P2, 2, LEN(P2)-1))</f>
        <v>10</v>
      </c>
    </row>
    <row r="3" spans="1:17" ht="15" x14ac:dyDescent="0.25">
      <c r="B3" s="126" t="s">
        <v>0</v>
      </c>
      <c r="C3" s="3"/>
      <c r="M3" s="594" t="s">
        <v>101</v>
      </c>
      <c r="N3" s="595"/>
      <c r="O3" s="596"/>
      <c r="P3" s="40"/>
    </row>
    <row r="4" spans="1:17" ht="15" x14ac:dyDescent="0.25">
      <c r="B4" s="113" t="s">
        <v>25</v>
      </c>
      <c r="C4" s="4"/>
      <c r="M4" s="597" t="s">
        <v>136</v>
      </c>
      <c r="N4" s="598"/>
      <c r="O4" s="599"/>
    </row>
    <row r="5" spans="1:17" x14ac:dyDescent="0.2">
      <c r="B5" s="114" t="s">
        <v>26</v>
      </c>
      <c r="C5" s="54">
        <f>Main!D3</f>
        <v>0</v>
      </c>
      <c r="D5" s="37"/>
      <c r="E5" s="37"/>
      <c r="F5" s="37"/>
      <c r="G5" s="37"/>
      <c r="H5" s="37"/>
      <c r="I5" s="52" t="s">
        <v>4</v>
      </c>
      <c r="J5" t="e">
        <f>Main!D5</f>
        <v>#N/A</v>
      </c>
      <c r="M5" s="607" t="s">
        <v>135</v>
      </c>
      <c r="N5" s="608"/>
      <c r="O5" s="609"/>
    </row>
    <row r="6" spans="1:17" ht="13.5" thickBot="1" x14ac:dyDescent="0.25">
      <c r="B6" s="114" t="s">
        <v>3</v>
      </c>
      <c r="C6" s="55" t="e">
        <f>Main!D6</f>
        <v>#N/A</v>
      </c>
      <c r="D6" s="37"/>
      <c r="E6" s="37"/>
      <c r="F6" s="37"/>
      <c r="G6" s="37"/>
      <c r="H6" s="37"/>
      <c r="I6" s="52" t="s">
        <v>5</v>
      </c>
      <c r="J6" s="39">
        <f>Main!D16</f>
        <v>0</v>
      </c>
      <c r="M6" s="603" t="str">
        <f>IF(MaxMode,"","In 1/2 Tolerance")</f>
        <v>In 1/2 Tolerance</v>
      </c>
      <c r="N6" s="604"/>
      <c r="O6" s="605"/>
    </row>
    <row r="7" spans="1:17" ht="13.5" thickBot="1" x14ac:dyDescent="0.25">
      <c r="B7" s="114" t="s">
        <v>27</v>
      </c>
      <c r="C7" s="55" t="str">
        <f>Main!D7</f>
        <v>Jeff Hall</v>
      </c>
      <c r="D7" s="37"/>
      <c r="E7" s="37"/>
      <c r="F7" s="37"/>
      <c r="G7" s="37"/>
      <c r="H7" s="37"/>
      <c r="I7" s="57" t="s">
        <v>154</v>
      </c>
      <c r="J7" s="591">
        <f>Main!$D$30</f>
        <v>0</v>
      </c>
      <c r="K7" s="592"/>
      <c r="L7" s="100"/>
      <c r="M7" s="590" t="s">
        <v>134</v>
      </c>
      <c r="N7" s="590"/>
      <c r="O7" s="590"/>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QkLDSoCWEm1XamEDu8ZqJuauhrKlITXUwTGHz5UMQq/4x0ohVJ+TUGbHeyGabRm6zbsSTT1gAVoH/oVs+HVmTw==" saltValue="8Hq83U8FundkzxT49hbhK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6" t="s">
        <v>100</v>
      </c>
      <c r="N2" s="606"/>
      <c r="O2" s="606"/>
      <c r="P2" s="291" t="str">
        <f>IF(Main!$E$30="","A10",ADDRESS(13+Standards_Info!W2+(MATCH(Main!$E$30,Data_Sheet!$A$14:$A$903,0)),1,4))</f>
        <v>A10</v>
      </c>
      <c r="Q2" s="291">
        <f>VALUE(MID(P2, 2, LEN(P2)-1))</f>
        <v>10</v>
      </c>
    </row>
    <row r="3" spans="1:17" ht="15" x14ac:dyDescent="0.25">
      <c r="B3" s="126" t="s">
        <v>0</v>
      </c>
      <c r="C3" s="3"/>
      <c r="M3" s="594" t="s">
        <v>101</v>
      </c>
      <c r="N3" s="595"/>
      <c r="O3" s="596"/>
      <c r="P3" s="40"/>
    </row>
    <row r="4" spans="1:17" ht="15" x14ac:dyDescent="0.25">
      <c r="B4" s="113" t="s">
        <v>25</v>
      </c>
      <c r="C4" s="4"/>
      <c r="M4" s="597" t="s">
        <v>136</v>
      </c>
      <c r="N4" s="598"/>
      <c r="O4" s="599"/>
    </row>
    <row r="5" spans="1:17" x14ac:dyDescent="0.2">
      <c r="B5" s="114" t="s">
        <v>26</v>
      </c>
      <c r="C5" s="54">
        <f>Main!D3</f>
        <v>0</v>
      </c>
      <c r="D5" s="37"/>
      <c r="E5" s="37"/>
      <c r="F5" s="37"/>
      <c r="G5" s="37"/>
      <c r="H5" s="37"/>
      <c r="I5" s="52" t="s">
        <v>4</v>
      </c>
      <c r="J5" s="37" t="e">
        <f>Main!D5</f>
        <v>#N/A</v>
      </c>
      <c r="L5" s="37"/>
      <c r="M5" s="600" t="s">
        <v>135</v>
      </c>
      <c r="N5" s="601"/>
      <c r="O5" s="602"/>
    </row>
    <row r="6" spans="1:17" ht="13.5" thickBot="1" x14ac:dyDescent="0.25">
      <c r="B6" s="114" t="s">
        <v>3</v>
      </c>
      <c r="C6" s="55" t="e">
        <f>Main!D6</f>
        <v>#N/A</v>
      </c>
      <c r="D6" s="37"/>
      <c r="E6" s="37"/>
      <c r="F6" s="37"/>
      <c r="G6" s="37"/>
      <c r="H6" s="37"/>
      <c r="I6" s="52" t="s">
        <v>5</v>
      </c>
      <c r="J6" s="51">
        <f>Main!D16</f>
        <v>0</v>
      </c>
      <c r="L6" s="37"/>
      <c r="M6" s="603" t="str">
        <f>IF(MaxMode,"","In 1/2 Tolerance")</f>
        <v>In 1/2 Tolerance</v>
      </c>
      <c r="N6" s="604"/>
      <c r="O6" s="605"/>
    </row>
    <row r="7" spans="1:17" ht="13.5" thickBot="1" x14ac:dyDescent="0.25">
      <c r="B7" s="114" t="s">
        <v>27</v>
      </c>
      <c r="C7" s="55" t="str">
        <f>Main!D7</f>
        <v>Jeff Hall</v>
      </c>
      <c r="D7" s="37"/>
      <c r="E7" s="37"/>
      <c r="F7" s="37"/>
      <c r="G7" s="37"/>
      <c r="H7" s="37"/>
      <c r="I7" s="57" t="s">
        <v>154</v>
      </c>
      <c r="J7" s="591">
        <f>Main!$D$30</f>
        <v>0</v>
      </c>
      <c r="K7" s="592"/>
      <c r="L7" s="100"/>
      <c r="M7" s="590" t="s">
        <v>134</v>
      </c>
      <c r="N7" s="590"/>
      <c r="O7" s="590"/>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5YsoDOxsVbkVI+Mw6GK4rx4AxQEcawyVwUErqypfgYdSO6nCmYGh8CL5rDCpTctC74iinSG+NETf1q3ouFN/Og==" saltValue="ji490jNiK57zHUke2mrBq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3" zoomScale="90" zoomScaleNormal="90" workbookViewId="0">
      <selection activeCell="U12" sqref="U1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0" t="s">
        <v>14</v>
      </c>
      <c r="B9" s="16"/>
      <c r="C9" s="451" t="str" cm="1">
        <f t="array" ref="C9">IFERROR(_xlfn._TRO_TRAILING(Main!$B37:$C37),"")</f>
        <v/>
      </c>
      <c r="D9" s="17"/>
      <c r="E9" s="17" t="s">
        <v>15</v>
      </c>
      <c r="F9" s="451" t="str" cm="1">
        <f t="array" ref="F9">IFERROR(_xlfn._TRO_TRAILING(Main!B38:C38),"")</f>
        <v/>
      </c>
      <c r="G9" s="17"/>
      <c r="H9" s="17" t="s">
        <v>15</v>
      </c>
      <c r="I9" s="451" t="str" cm="1">
        <f t="array" ref="I9">IFERROR(_xlfn._TRO_TRAILING(Main!$B39:$C39),"")</f>
        <v/>
      </c>
      <c r="J9" s="17"/>
      <c r="K9" s="17" t="s">
        <v>15</v>
      </c>
      <c r="L9" s="451"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(TEXT(Survey[Time],"hh:mm")=TEXT(MOD(IF(ISNUMBER(_xlpm.t),_xlpm.t,TIMEVALUE(_xlpm.t)),1),"hh:mm")) *
        (--Survey[TestPoint]=--C9),
        Survey[RawTemp],
        "",
        0
      )
    )
  )
)</f>
        <v/>
      </c>
      <c r="D10" s="19" t="str" cm="1">
        <f t="array" ref="D10">TRANSPOSE(IFERROR(_xlfn._TRO_TRAILING(Main!$D37:$L37),""))</f>
        <v/>
      </c>
      <c r="E10" s="27" t="str">
        <f>IF(C10="","",D10-C10)</f>
        <v/>
      </c>
      <c r="F10" s="19" t="str" cm="1">
        <f t="array" ref="F10:F18">_xlfn.MAP(_xlfn.ANCHORARRAY($A10),
  _xlfn.LAMBDA(_xlpm.t,
    IF(OR(F9="",_xlpm.t=""),"",
      _xlfn.XLOOKUP(
        1,
        (TEXT(Survey[Time],"hh:mm")=TEXT(MOD(IF(ISNUMBER(_xlpm.t),_xlpm.t,TIMEVALUE(_xlpm.t)),1),"hh:mm"))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(TEXT(Survey[Time],"hh:mm")=TEXT(MOD(IF(ISNUMBER(_xlpm.t),_xlpm.t,TIMEVALUE(_xlpm.t)),1),"hh:mm"))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(TEXT(Survey[Time],"hh:mm")=TEXT(MOD(IF(ISNUMBER(_xlpm.t),_xlpm.t,TIMEVALUE(_xlpm.t)),1),"hh:mm")) *
        (--Survey[TestPoint]=--L9),
        Survey[RawTemp],
        "",
        0
      )
    )
  )
)</f>
        <v/>
      </c>
      <c r="M10" s="38" t="str" cm="1">
        <f t="array" ref="M10">TRANSPOSE(IFERROR(_xlfn._TRO_TRAILING(Main!$D40:$L40),""))</f>
        <v/>
      </c>
      <c r="N10" s="27" t="str">
        <f t="shared" ref="N10:N17" si="2">IF(L10="","",M10-L10)</f>
        <v/>
      </c>
      <c r="O10" s="189" t="str">
        <f>IF(R1,D9 &amp; " IS OOT!!!","")</f>
        <v/>
      </c>
      <c r="Q10" s="449"/>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9"/>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9"/>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0" t="s">
        <v>14</v>
      </c>
      <c r="B21" s="16"/>
      <c r="C21" s="451" t="str" cm="1">
        <f t="array" ref="C21">IFERROR(_xlfn._TRO_TRAILING(Main!$B41:$C41),"")</f>
        <v/>
      </c>
      <c r="D21" s="17"/>
      <c r="E21" s="17" t="s">
        <v>15</v>
      </c>
      <c r="F21" s="451" t="str" cm="1">
        <f t="array" ref="F21">IFERROR(_xlfn._TRO_TRAILING(Main!$B42:$C42),"")</f>
        <v/>
      </c>
      <c r="G21" s="17"/>
      <c r="H21" s="17" t="s">
        <v>15</v>
      </c>
      <c r="I21" s="451" t="str" cm="1">
        <f t="array" ref="I21">IFERROR(_xlfn._TRO_TRAILING(Main!$B43:$C43),"")</f>
        <v/>
      </c>
      <c r="J21" s="17"/>
      <c r="K21" s="17" t="s">
        <v>15</v>
      </c>
      <c r="L21" s="451"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(TEXT(Survey[Time],"hh:mm")=TEXT(MOD(IF(ISNUMBER(_xlpm.t),_xlpm.t,TIMEVALUE(_xlpm.t)),1),"hh:mm")) *
        (--Survey[TestPoint]=--C21),
        Survey[RawTemp],
        "",
        0
      )
    )
  )
)</f>
        <v/>
      </c>
      <c r="D22" s="38" t="str" cm="1">
        <f t="array" ref="D22">TRANSPOSE(IFERROR(_xlfn._TRO_TRAILING(Main!$D41:$L41),""))</f>
        <v/>
      </c>
      <c r="E22" s="27" t="str">
        <f t="shared" si="3"/>
        <v/>
      </c>
      <c r="F22" s="19" t="str" cm="1">
        <f t="array" ref="F22:F30">_xlfn.MAP(_xlfn.ANCHORARRAY($A22),
  _xlfn.LAMBDA(_xlpm.t,
    IF(OR(F21="",_xlpm.t=""),"",
      _xlfn.XLOOKUP(
        1,
        (TEXT(Survey[Time],"hh:mm")=TEXT(MOD(IF(ISNUMBER(_xlpm.t),_xlpm.t,TIMEVALUE(_xlpm.t)),1),"hh:mm"))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(TEXT(Survey[Time],"hh:mm")=TEXT(MOD(IF(ISNUMBER(_xlpm.t),_xlpm.t,TIMEVALUE(_xlpm.t)),1),"hh:mm"))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(TEXT(Survey[Time],"hh:mm")=TEXT(MOD(IF(ISNUMBER(_xlpm.t),_xlpm.t,TIMEVALUE(_xlpm.t)),1),"hh:mm"))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3"/>
    </row>
    <row r="34" spans="1:14" x14ac:dyDescent="0.25">
      <c r="A34" s="18"/>
      <c r="B34" s="18"/>
      <c r="D34" s="611"/>
      <c r="E34" s="611"/>
      <c r="F34" s="611"/>
      <c r="G34" s="611"/>
      <c r="H34" s="611"/>
      <c r="I34" s="611"/>
      <c r="J34" s="611"/>
      <c r="K34" s="611"/>
      <c r="L34" s="611"/>
      <c r="M34" s="611"/>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2" t="s">
        <v>20</v>
      </c>
      <c r="D37" s="612"/>
      <c r="E37" s="612"/>
      <c r="F37" s="612"/>
      <c r="G37" s="612"/>
      <c r="H37" s="612"/>
      <c r="I37" s="612"/>
      <c r="J37" s="612"/>
      <c r="K37" s="612"/>
      <c r="L37" s="612"/>
      <c r="M37" s="612"/>
    </row>
    <row r="38" spans="1:14" x14ac:dyDescent="0.25">
      <c r="A38" s="18"/>
      <c r="B38" s="18"/>
      <c r="C38" s="612"/>
      <c r="D38" s="612"/>
      <c r="E38" s="612"/>
      <c r="F38" s="612"/>
      <c r="G38" s="612"/>
      <c r="H38" s="612"/>
      <c r="I38" s="612"/>
      <c r="J38" s="612"/>
      <c r="K38" s="612"/>
      <c r="L38" s="612"/>
      <c r="M38" s="612"/>
    </row>
    <row r="39" spans="1:14" x14ac:dyDescent="0.25">
      <c r="A39" s="18"/>
      <c r="B39" s="18"/>
      <c r="C39" s="612"/>
      <c r="D39" s="612"/>
      <c r="E39" s="612"/>
      <c r="F39" s="612"/>
      <c r="G39" s="612"/>
      <c r="H39" s="612"/>
      <c r="I39" s="612"/>
      <c r="J39" s="612"/>
      <c r="K39" s="612"/>
      <c r="L39" s="612"/>
      <c r="M39" s="612"/>
    </row>
    <row r="40" spans="1:14" x14ac:dyDescent="0.25">
      <c r="A40" s="18"/>
      <c r="B40" s="18"/>
      <c r="C40" s="612"/>
      <c r="D40" s="612"/>
      <c r="E40" s="612"/>
      <c r="F40" s="612"/>
      <c r="G40" s="612"/>
      <c r="H40" s="612"/>
      <c r="I40" s="612"/>
      <c r="J40" s="612"/>
      <c r="K40" s="612"/>
      <c r="L40" s="612"/>
      <c r="M40" s="612"/>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nnRzKdHDHfzp8wECsE4g911+g/IR3JBivX09EUhtkb0Klj/hefyVyZgsiJks267GidI+SbbitfTbvhvOZsxDgA==" saltValue="hyP3FWlT21yUNXtKSvxWqA=="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7">
    <cfRule type="expression" dxfId="50" priority="61">
      <formula>ISERROR(SEARCH(1,$G$19))</formula>
    </cfRule>
    <cfRule type="expression" dxfId="49" priority="62">
      <formula>ISNUMBER(SEARCH(1,$G$19))</formula>
    </cfRule>
  </conditionalFormatting>
  <conditionalFormatting sqref="J14:J17">
    <cfRule type="expression" dxfId="48" priority="57">
      <formula>ISERROR(SEARCH(1,$J$19))</formula>
    </cfRule>
    <cfRule type="expression" dxfId="47" priority="58">
      <formula>ISNUMBER(SEARCH(1,$J$19))</formula>
    </cfRule>
  </conditionalFormatting>
  <conditionalFormatting sqref="M14:M17">
    <cfRule type="expression" dxfId="46" priority="53">
      <formula>ISERROR(SEARCH(1,$M$19))</formula>
    </cfRule>
    <cfRule type="expression" dxfId="45" priority="54">
      <formula>ISNUMBER(SEARCH(1,$M$19))</formula>
    </cfRule>
  </conditionalFormatting>
  <conditionalFormatting sqref="G26:G29">
    <cfRule type="expression" dxfId="44" priority="45">
      <formula>ISERROR(SEARCH(1,$G$31))</formula>
    </cfRule>
    <cfRule type="expression" dxfId="43" priority="46">
      <formula>ISNUMBER(SEARCH(1,$G$31))</formula>
    </cfRule>
  </conditionalFormatting>
  <conditionalFormatting sqref="J26:J29">
    <cfRule type="expression" dxfId="42" priority="41">
      <formula>ISERROR(SEARCH(1,$J$31))</formula>
    </cfRule>
    <cfRule type="expression" dxfId="41" priority="42">
      <formula>ISNUMBER(SEARCH(1,$J$31))</formula>
    </cfRule>
  </conditionalFormatting>
  <conditionalFormatting sqref="M26:M29">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G11:G13">
    <cfRule type="expression" dxfId="34" priority="27">
      <formula>ISERROR(SEARCH(1,$G$19))</formula>
    </cfRule>
    <cfRule type="expression" dxfId="33" priority="28">
      <formula>ISNUMBER(SEARCH(1,$G$19))</formula>
    </cfRule>
  </conditionalFormatting>
  <conditionalFormatting sqref="G10">
    <cfRule type="expression" dxfId="32" priority="25">
      <formula>ISERROR(SEARCH(1,$G$19))</formula>
    </cfRule>
    <cfRule type="expression" dxfId="31" priority="26">
      <formula>ISNUMBER(SEARCH(1,$G$19))</formula>
    </cfRule>
  </conditionalFormatting>
  <conditionalFormatting sqref="J11:J13">
    <cfRule type="expression" dxfId="30" priority="23">
      <formula>ISERROR(SEARCH(1,$G$19))</formula>
    </cfRule>
    <cfRule type="expression" dxfId="29" priority="24">
      <formula>ISNUMBER(SEARCH(1,$G$19))</formula>
    </cfRule>
  </conditionalFormatting>
  <conditionalFormatting sqref="J10">
    <cfRule type="expression" dxfId="28" priority="21">
      <formula>ISERROR(SEARCH(1,$G$19))</formula>
    </cfRule>
    <cfRule type="expression" dxfId="27" priority="22">
      <formula>ISNUMBER(SEARCH(1,$G$19))</formula>
    </cfRule>
  </conditionalFormatting>
  <conditionalFormatting sqref="M11:M13">
    <cfRule type="expression" dxfId="26" priority="19">
      <formula>ISERROR(SEARCH(1,$G$19))</formula>
    </cfRule>
    <cfRule type="expression" dxfId="25" priority="20">
      <formula>ISNUMBER(SEARCH(1,$G$19))</formula>
    </cfRule>
  </conditionalFormatting>
  <conditionalFormatting sqref="M10">
    <cfRule type="expression" dxfId="24" priority="17">
      <formula>ISERROR(SEARCH(1,$G$19))</formula>
    </cfRule>
    <cfRule type="expression" dxfId="23" priority="18">
      <formula>ISNUMBER(SEARCH(1,$G$19))</formula>
    </cfRule>
  </conditionalFormatting>
  <conditionalFormatting sqref="D23:D25">
    <cfRule type="expression" dxfId="22" priority="15">
      <formula>ISERROR(SEARCH(1,$G$19))</formula>
    </cfRule>
    <cfRule type="expression" dxfId="21" priority="16">
      <formula>ISNUMBER(SEARCH(1,$G$19))</formula>
    </cfRule>
  </conditionalFormatting>
  <conditionalFormatting sqref="D22">
    <cfRule type="expression" dxfId="20" priority="13">
      <formula>ISERROR(SEARCH(1,$G$19))</formula>
    </cfRule>
    <cfRule type="expression" dxfId="19" priority="14">
      <formula>ISNUMBER(SEARCH(1,$G$19))</formula>
    </cfRule>
  </conditionalFormatting>
  <conditionalFormatting sqref="G23:G25">
    <cfRule type="expression" dxfId="18" priority="11">
      <formula>ISERROR(SEARCH(1,$G$19))</formula>
    </cfRule>
    <cfRule type="expression" dxfId="17" priority="12">
      <formula>ISNUMBER(SEARCH(1,$G$19))</formula>
    </cfRule>
  </conditionalFormatting>
  <conditionalFormatting sqref="G22">
    <cfRule type="expression" dxfId="16" priority="9">
      <formula>ISERROR(SEARCH(1,$G$19))</formula>
    </cfRule>
    <cfRule type="expression" dxfId="15" priority="10">
      <formula>ISNUMBER(SEARCH(1,$G$19))</formula>
    </cfRule>
  </conditionalFormatting>
  <conditionalFormatting sqref="J23:J25">
    <cfRule type="expression" dxfId="14" priority="7">
      <formula>ISERROR(SEARCH(1,$G$19))</formula>
    </cfRule>
    <cfRule type="expression" dxfId="13" priority="8">
      <formula>ISNUMBER(SEARCH(1,$G$19))</formula>
    </cfRule>
  </conditionalFormatting>
  <conditionalFormatting sqref="J22">
    <cfRule type="expression" dxfId="12" priority="5">
      <formula>ISERROR(SEARCH(1,$G$19))</formula>
    </cfRule>
    <cfRule type="expression" dxfId="11" priority="6">
      <formula>ISNUMBER(SEARCH(1,$G$19))</formula>
    </cfRule>
  </conditionalFormatting>
  <conditionalFormatting sqref="M23:M25">
    <cfRule type="expression" dxfId="10" priority="3">
      <formula>ISERROR(SEARCH(1,$G$19))</formula>
    </cfRule>
    <cfRule type="expression" dxfId="9" priority="4">
      <formula>ISNUMBER(SEARCH(1,$G$19))</formula>
    </cfRule>
  </conditionalFormatting>
  <conditionalFormatting sqref="M22">
    <cfRule type="expression" dxfId="8" priority="1">
      <formula>ISERROR(SEARCH(1,$G$19))</formula>
    </cfRule>
    <cfRule type="expression" dxfId="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346</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3" t="s">
        <v>276</v>
      </c>
      <c r="I28" s="613"/>
      <c r="J28" s="613"/>
      <c r="K28" s="613"/>
      <c r="L28" s="613"/>
      <c r="M28" s="613"/>
      <c r="N28" s="613"/>
      <c r="O28" s="613"/>
      <c r="P28" s="613"/>
      <c r="Q28" s="613"/>
      <c r="R28" s="613"/>
    </row>
    <row r="29" spans="1:20" x14ac:dyDescent="0.2">
      <c r="A29" s="619" t="s">
        <v>34</v>
      </c>
      <c r="B29" s="620"/>
      <c r="C29" s="47" t="str">
        <f>IF(Main!D48="","",Main!D48)</f>
        <v/>
      </c>
      <c r="D29" s="47" t="str">
        <f>IF(Main!E48="","",Main!E48)</f>
        <v/>
      </c>
      <c r="E29" s="47" t="str">
        <f>IF(Main!F48="","",Main!F48)</f>
        <v/>
      </c>
      <c r="F29" s="47" t="str">
        <f>IF(Main!G48="","",Main!G48)</f>
        <v/>
      </c>
      <c r="G29" s="259"/>
      <c r="H29" s="256" t="s">
        <v>277</v>
      </c>
      <c r="I29" s="112" t="str">
        <f>IF(Main!N47="","",Main!N47)</f>
        <v>Periodic</v>
      </c>
      <c r="J29" s="621" t="s">
        <v>278</v>
      </c>
      <c r="K29" s="622"/>
      <c r="L29" s="112" t="str">
        <f>IF(Main!R47="","",Main!R47)</f>
        <v>Air</v>
      </c>
    </row>
    <row r="30" spans="1:20" x14ac:dyDescent="0.2">
      <c r="A30" s="619" t="s">
        <v>35</v>
      </c>
      <c r="B30" s="620"/>
      <c r="C30" s="48" t="str">
        <f>IF(Main!D49="","",Main!D49)</f>
        <v/>
      </c>
      <c r="D30" s="48" t="str">
        <f>IF(Main!E49="","",Main!E49)</f>
        <v/>
      </c>
      <c r="E30" s="48" t="str">
        <f>IF(Main!F49="","",Main!F49)</f>
        <v/>
      </c>
      <c r="F30" s="48" t="str">
        <f>IF(Main!G49="","",Main!G49)</f>
        <v/>
      </c>
      <c r="G30" s="261"/>
      <c r="H30" s="614" t="s">
        <v>264</v>
      </c>
      <c r="I30" s="614"/>
      <c r="J30" s="623" t="s">
        <v>309</v>
      </c>
      <c r="K30" s="624"/>
      <c r="L30" s="625"/>
      <c r="M30" s="254"/>
      <c r="O30" s="615" t="s">
        <v>312</v>
      </c>
      <c r="P30" s="616"/>
      <c r="Q30" s="617"/>
      <c r="T30" s="37"/>
    </row>
    <row r="31" spans="1:20" x14ac:dyDescent="0.2">
      <c r="A31" s="619" t="s">
        <v>36</v>
      </c>
      <c r="B31" s="620"/>
      <c r="C31" s="48" t="str">
        <f>IF(Main!D50="","",Main!D50)</f>
        <v/>
      </c>
      <c r="D31" s="48" t="str">
        <f>IF(Main!E50="","",Main!E50)</f>
        <v/>
      </c>
      <c r="E31" s="48" t="str">
        <f>IF(Main!F50="","",Main!F50)</f>
        <v/>
      </c>
      <c r="F31" s="48" t="str">
        <f>IF(Main!G50="","",Main!G50)</f>
        <v/>
      </c>
      <c r="G31" s="261"/>
      <c r="H31" s="242" t="s">
        <v>279</v>
      </c>
      <c r="I31" s="244" t="str">
        <f>IF(Main!N49="","",Main!N49)</f>
        <v/>
      </c>
      <c r="J31" s="638" t="s">
        <v>317</v>
      </c>
      <c r="K31" s="639"/>
      <c r="L31" s="640"/>
      <c r="M31" s="255" t="str">
        <f>IF(Main!S49="","",Main!S49)</f>
        <v>N/A</v>
      </c>
      <c r="O31" s="505" t="s">
        <v>319</v>
      </c>
      <c r="P31" s="506"/>
      <c r="Q31" s="618"/>
      <c r="R31" s="56" t="str">
        <f>IF(Main!X49="","",Main!X49)</f>
        <v>N/A</v>
      </c>
      <c r="T31" s="37"/>
    </row>
    <row r="32" spans="1:20" ht="12.75" customHeight="1" x14ac:dyDescent="0.2">
      <c r="A32" s="619" t="s">
        <v>37</v>
      </c>
      <c r="B32" s="620"/>
      <c r="C32" s="47" t="str">
        <f>IF(Main!D51="","",Main!D51)</f>
        <v/>
      </c>
      <c r="D32" s="47" t="str">
        <f>IF(Main!E51="","",Main!E51)</f>
        <v/>
      </c>
      <c r="E32" s="47" t="str">
        <f>IF(Main!F51="","",Main!F51)</f>
        <v/>
      </c>
      <c r="F32" s="47" t="str">
        <f>IF(Main!G51="","",Main!G51)</f>
        <v/>
      </c>
      <c r="G32" s="259"/>
      <c r="H32" s="242" t="s">
        <v>295</v>
      </c>
      <c r="I32" s="244" t="str">
        <f>IF(Main!N50="","",Main!N50)</f>
        <v/>
      </c>
      <c r="J32" s="629" t="s">
        <v>267</v>
      </c>
      <c r="K32" s="630"/>
      <c r="L32" s="631"/>
      <c r="M32" s="250"/>
      <c r="O32" s="629" t="s">
        <v>267</v>
      </c>
      <c r="P32" s="630"/>
      <c r="Q32" s="631"/>
      <c r="T32" s="37"/>
    </row>
    <row r="33" spans="1:20" ht="12.75" customHeight="1" x14ac:dyDescent="0.2">
      <c r="A33" s="619" t="s">
        <v>280</v>
      </c>
      <c r="B33" s="620"/>
      <c r="C33" s="47" t="str">
        <f>IF(Main!D52="","",Main!D52)</f>
        <v/>
      </c>
      <c r="D33" s="47" t="str">
        <f>IF(Main!E52="","",Main!E52)</f>
        <v/>
      </c>
      <c r="E33" s="47" t="str">
        <f>IF(Main!F52="","",Main!F52)</f>
        <v/>
      </c>
      <c r="F33" s="47" t="str">
        <f>IF(Main!G52="","",Main!G52)</f>
        <v/>
      </c>
      <c r="G33" s="259"/>
      <c r="H33" s="242" t="s">
        <v>281</v>
      </c>
      <c r="I33" s="244" t="str">
        <f>IF(Main!N51="","",Main!N51)</f>
        <v/>
      </c>
      <c r="J33" s="626" t="s">
        <v>318</v>
      </c>
      <c r="K33" s="627"/>
      <c r="L33" s="628"/>
      <c r="M33" s="249" t="str">
        <f>IF(Main!S51="","",Main!S51)</f>
        <v/>
      </c>
      <c r="O33" s="626" t="s">
        <v>320</v>
      </c>
      <c r="P33" s="627"/>
      <c r="Q33" s="628"/>
      <c r="R33" s="56" t="str">
        <f>IF(Main!X51="","",Main!X51)</f>
        <v/>
      </c>
      <c r="T33" s="37"/>
    </row>
    <row r="34" spans="1:20" ht="12.75" customHeight="1" x14ac:dyDescent="0.2">
      <c r="A34" s="619" t="s">
        <v>38</v>
      </c>
      <c r="B34" s="620"/>
      <c r="C34" s="49" t="str">
        <f>IF(Main!D53="","",Main!D53)</f>
        <v/>
      </c>
      <c r="D34" s="49" t="str">
        <f>IF(Main!E53="","",Main!E53)</f>
        <v/>
      </c>
      <c r="E34" s="49" t="str">
        <f>IF(Main!F53="","",Main!F53)</f>
        <v/>
      </c>
      <c r="F34" s="49" t="str">
        <f>IF(Main!G53="","",Main!G53)</f>
        <v/>
      </c>
      <c r="G34" s="262"/>
      <c r="H34" s="242" t="s">
        <v>282</v>
      </c>
      <c r="I34" s="241" t="str">
        <f>IF(Main!N52="","",Main!N52)</f>
        <v/>
      </c>
      <c r="J34" s="629" t="s">
        <v>267</v>
      </c>
      <c r="K34" s="630"/>
      <c r="L34" s="631"/>
      <c r="O34" s="629" t="s">
        <v>267</v>
      </c>
      <c r="P34" s="630"/>
      <c r="Q34" s="631"/>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2" t="s">
        <v>321</v>
      </c>
      <c r="K35" s="633"/>
      <c r="L35" s="634"/>
      <c r="M35" s="257" t="str">
        <f>IF(Main!S53="","",Main!S53)</f>
        <v/>
      </c>
      <c r="O35" s="632" t="s">
        <v>322</v>
      </c>
      <c r="P35" s="633"/>
      <c r="Q35" s="634"/>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5"/>
      <c r="K36" s="636"/>
      <c r="L36" s="637"/>
      <c r="M36" s="253"/>
      <c r="O36" s="635"/>
      <c r="P36" s="636"/>
      <c r="Q36" s="637"/>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i4hsu7/VCTQDnuOpFg0Gv7aQoGl9V0HqnUfpRQzGVKQ7nyBW92UOQJsf8yAw9qCOBd+rqKlqVyQ14smdp8Vj/Q==" saltValue="XO0AHNlGXoAq7AyyeHjOA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6"/>
    </row>
    <row r="13" spans="1:14" x14ac:dyDescent="0.2">
      <c r="B13" t="str">
        <v/>
      </c>
      <c r="D13" s="46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7"/>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6EQ0FZex4Qa151iqsGcLB5wHCyroRhFF5EB8b6DBkn1XGGYRUlyFTdgSBVGVw/x5Zb4+ys8rgN20smhvqTYRwQ==" saltValue="Ybf3Cjqx/xIR/U3AwwnOe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K21" sqref="K2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4" t="s">
        <v>145</v>
      </c>
      <c r="G1" s="578" t="s">
        <v>65</v>
      </c>
      <c r="H1" s="578"/>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REAEUB8I8DD9dPkyiaBvjD5/FrW0F1uDAP0c+TR+sr8KeH6GMnqfGLiI6hZAOZOHa/bQZYlWstBj4ZCPlZrNNQ==" saltValue="7QxJIPdbQ67zomHcYMR+w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90</vt:i4>
      </vt:variant>
    </vt:vector>
  </HeadingPairs>
  <TitlesOfParts>
    <vt:vector size="118" baseType="lpstr">
      <vt:lpstr>WireSets</vt:lpstr>
      <vt:lpstr>WorkItemDetails</vt:lpstr>
      <vt:lpstr>WireOffsets</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2026-02-14T02:13:24Z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