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D768114-E61A-4B3C-8511-BD73DFAE90A5}"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Header_Info!$A$1:$AK$411</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UUTRangeTol!$A$1:$H$423</definedName>
    <definedName name="ExternalData_1" localSheetId="2" hidden="1">WireOffsets!$A$1:$D$123</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Table'!$A$1:$O$1705</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X49" i="8"/>
  <c r="S49" i="8"/>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J2" i="95"/>
  <c r="J3" i="95"/>
  <c r="J4" i="95"/>
  <c r="J5" i="95"/>
  <c r="J6" i="95"/>
  <c r="J7" i="95"/>
  <c r="J8" i="95"/>
  <c r="J9" i="95"/>
  <c r="J10" i="95"/>
  <c r="J11" i="95"/>
  <c r="J12" i="95"/>
  <c r="J13" i="95"/>
  <c r="J14" i="95"/>
  <c r="J15" i="95"/>
  <c r="J16" i="95"/>
  <c r="J17" i="95"/>
  <c r="J18" i="95"/>
  <c r="J19" i="95"/>
  <c r="K19" i="95" s="1"/>
  <c r="J20" i="95"/>
  <c r="K20" i="95" s="1"/>
  <c r="J21" i="95"/>
  <c r="K21" i="95" s="1"/>
  <c r="J22" i="95"/>
  <c r="K22" i="95" s="1"/>
  <c r="J23" i="95"/>
  <c r="K23" i="95" s="1"/>
  <c r="J24" i="95"/>
  <c r="K24" i="95" s="1"/>
  <c r="J25" i="95"/>
  <c r="K25" i="95" s="1"/>
  <c r="J26" i="95"/>
  <c r="K26" i="95" s="1"/>
  <c r="J27" i="95"/>
  <c r="K27" i="95" s="1"/>
  <c r="J28" i="95"/>
  <c r="J29" i="95"/>
  <c r="J30" i="95"/>
  <c r="J31" i="95"/>
  <c r="J32" i="95"/>
  <c r="J33" i="95"/>
  <c r="J34" i="95"/>
  <c r="J35" i="95"/>
  <c r="J36" i="95"/>
  <c r="J37" i="95"/>
  <c r="J38" i="95"/>
  <c r="J39" i="95"/>
  <c r="J40" i="95"/>
  <c r="J41" i="95"/>
  <c r="J42" i="95"/>
  <c r="J43" i="95"/>
  <c r="K43" i="95" s="1"/>
  <c r="J44" i="95"/>
  <c r="J45" i="95"/>
  <c r="J46" i="95"/>
  <c r="J47" i="95"/>
  <c r="K47" i="95" s="1"/>
  <c r="J48" i="95"/>
  <c r="K48" i="95" s="1"/>
  <c r="J49" i="95"/>
  <c r="J50" i="95"/>
  <c r="K50" i="95" s="1"/>
  <c r="J51" i="95"/>
  <c r="K51" i="95" s="1"/>
  <c r="J52" i="95"/>
  <c r="J53" i="95"/>
  <c r="J54" i="95"/>
  <c r="K54" i="95" s="1"/>
  <c r="J55" i="95"/>
  <c r="K55" i="95" s="1"/>
  <c r="J56" i="95"/>
  <c r="K56" i="95" s="1"/>
  <c r="J57" i="95"/>
  <c r="K57" i="95" s="1"/>
  <c r="J58" i="95"/>
  <c r="K58" i="95" s="1"/>
  <c r="J59" i="95"/>
  <c r="K59" i="95" s="1"/>
  <c r="J60" i="95"/>
  <c r="J61" i="95"/>
  <c r="J62" i="95"/>
  <c r="J63" i="95"/>
  <c r="J64" i="95"/>
  <c r="J65" i="95"/>
  <c r="J66" i="95"/>
  <c r="J67" i="95"/>
  <c r="J68" i="95"/>
  <c r="K68" i="95" s="1"/>
  <c r="J69" i="95"/>
  <c r="K69" i="95" s="1"/>
  <c r="J70" i="95"/>
  <c r="K70" i="95" s="1"/>
  <c r="J71" i="95"/>
  <c r="J72" i="95"/>
  <c r="J73" i="95"/>
  <c r="K73" i="95" s="1"/>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J93" i="95"/>
  <c r="J94" i="95"/>
  <c r="J95" i="95"/>
  <c r="J96" i="95"/>
  <c r="J97" i="95"/>
  <c r="J98" i="95"/>
  <c r="J99" i="95"/>
  <c r="J100" i="95"/>
  <c r="J101" i="95"/>
  <c r="J102" i="95"/>
  <c r="J103" i="95"/>
  <c r="J104" i="95"/>
  <c r="J105" i="95"/>
  <c r="K105" i="95" s="1"/>
  <c r="J106" i="95"/>
  <c r="K106" i="95" s="1"/>
  <c r="J107" i="95"/>
  <c r="K107" i="95" s="1"/>
  <c r="J108" i="95"/>
  <c r="K108" i="95" s="1"/>
  <c r="J109" i="95"/>
  <c r="K109" i="95" s="1"/>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J125" i="95"/>
  <c r="J126" i="95"/>
  <c r="J127" i="95"/>
  <c r="J128" i="95"/>
  <c r="J129" i="95"/>
  <c r="J130" i="95"/>
  <c r="J131" i="95"/>
  <c r="J132" i="95"/>
  <c r="J133" i="95"/>
  <c r="J134" i="95"/>
  <c r="J135" i="95"/>
  <c r="J136" i="95"/>
  <c r="J137" i="95"/>
  <c r="J138" i="95"/>
  <c r="J139" i="95"/>
  <c r="J140" i="95"/>
  <c r="J141" i="95"/>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J157" i="95"/>
  <c r="J158" i="95"/>
  <c r="J159" i="95"/>
  <c r="J160" i="95"/>
  <c r="J161" i="95"/>
  <c r="J162" i="95"/>
  <c r="J163" i="95"/>
  <c r="J164" i="95"/>
  <c r="J165" i="95"/>
  <c r="J166" i="95"/>
  <c r="J167" i="95"/>
  <c r="J168" i="95"/>
  <c r="J169" i="95"/>
  <c r="J170" i="95"/>
  <c r="J171" i="95"/>
  <c r="J172" i="95"/>
  <c r="J173" i="95"/>
  <c r="J174" i="95"/>
  <c r="J175" i="95"/>
  <c r="J176" i="95"/>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J189" i="95"/>
  <c r="J190" i="95"/>
  <c r="J191" i="95"/>
  <c r="J192" i="95"/>
  <c r="J193" i="95"/>
  <c r="J194" i="95"/>
  <c r="J195" i="95"/>
  <c r="J196" i="95"/>
  <c r="J197" i="95"/>
  <c r="J198" i="95"/>
  <c r="J199" i="95"/>
  <c r="J200" i="95"/>
  <c r="J201" i="95"/>
  <c r="J202" i="95"/>
  <c r="J203" i="95"/>
  <c r="K203" i="95" s="1"/>
  <c r="J204" i="95"/>
  <c r="J205" i="95"/>
  <c r="J206" i="95"/>
  <c r="J207" i="95"/>
  <c r="J208" i="95"/>
  <c r="J209" i="95"/>
  <c r="J210" i="95"/>
  <c r="J211" i="95"/>
  <c r="J212" i="95"/>
  <c r="J213" i="95"/>
  <c r="J214" i="95"/>
  <c r="K214" i="95" s="1"/>
  <c r="J215" i="95"/>
  <c r="K215" i="95" s="1"/>
  <c r="J216" i="95"/>
  <c r="K216" i="95" s="1"/>
  <c r="J217" i="95"/>
  <c r="K217" i="95" s="1"/>
  <c r="J218" i="95"/>
  <c r="K218" i="95" s="1"/>
  <c r="J219" i="95"/>
  <c r="J220" i="95"/>
  <c r="J221" i="95"/>
  <c r="J222" i="95"/>
  <c r="J223" i="95"/>
  <c r="J224" i="95"/>
  <c r="J225" i="95"/>
  <c r="J226" i="95"/>
  <c r="J227" i="95"/>
  <c r="J228" i="95"/>
  <c r="K228" i="95" s="1"/>
  <c r="J229" i="95"/>
  <c r="K229" i="95" s="1"/>
  <c r="J230" i="95"/>
  <c r="K230" i="95" s="1"/>
  <c r="J231" i="95"/>
  <c r="K231" i="95" s="1"/>
  <c r="J232" i="95"/>
  <c r="K232" i="95" s="1"/>
  <c r="J233" i="95"/>
  <c r="K233" i="95" s="1"/>
  <c r="J234" i="95"/>
  <c r="K234" i="95" s="1"/>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J253" i="95"/>
  <c r="J254" i="95"/>
  <c r="J255" i="95"/>
  <c r="J256" i="95"/>
  <c r="J257" i="95"/>
  <c r="J258" i="95"/>
  <c r="J259" i="95"/>
  <c r="J260" i="95"/>
  <c r="J261" i="95"/>
  <c r="J262" i="95"/>
  <c r="J263" i="95"/>
  <c r="J264" i="95"/>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J285" i="95"/>
  <c r="J286" i="95"/>
  <c r="J287" i="95"/>
  <c r="J288" i="95"/>
  <c r="J289" i="95"/>
  <c r="J290" i="95"/>
  <c r="J291" i="95"/>
  <c r="J292" i="95"/>
  <c r="J293" i="95"/>
  <c r="J294" i="95"/>
  <c r="J295" i="95"/>
  <c r="J296" i="95"/>
  <c r="J297" i="95"/>
  <c r="J298" i="95"/>
  <c r="J299" i="95"/>
  <c r="J300" i="95"/>
  <c r="J301" i="95"/>
  <c r="J302" i="95"/>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J317" i="95"/>
  <c r="J318" i="95"/>
  <c r="J319" i="95"/>
  <c r="J320" i="95"/>
  <c r="J321" i="95"/>
  <c r="J322" i="95"/>
  <c r="J323" i="95"/>
  <c r="J324" i="95"/>
  <c r="J325" i="95"/>
  <c r="J326" i="95"/>
  <c r="J327" i="95"/>
  <c r="J328" i="95"/>
  <c r="J329" i="95"/>
  <c r="J330" i="95"/>
  <c r="J331" i="95"/>
  <c r="J332" i="95"/>
  <c r="J333" i="95"/>
  <c r="J334" i="95"/>
  <c r="J335" i="95"/>
  <c r="J336" i="95"/>
  <c r="J337" i="95"/>
  <c r="J338" i="95"/>
  <c r="J339" i="95"/>
  <c r="J340" i="95"/>
  <c r="J341" i="95"/>
  <c r="J342" i="95"/>
  <c r="K342" i="95" s="1"/>
  <c r="J343" i="95"/>
  <c r="K343" i="95" s="1"/>
  <c r="J344" i="95"/>
  <c r="K344" i="95" s="1"/>
  <c r="J345" i="95"/>
  <c r="K345" i="95" s="1"/>
  <c r="J346" i="95"/>
  <c r="K346" i="95" s="1"/>
  <c r="J347" i="95"/>
  <c r="K347" i="95" s="1"/>
  <c r="J348" i="95"/>
  <c r="J349" i="95"/>
  <c r="J350" i="95"/>
  <c r="J351" i="95"/>
  <c r="J352" i="95"/>
  <c r="J353" i="95"/>
  <c r="J354" i="95"/>
  <c r="J355" i="95"/>
  <c r="J356" i="95"/>
  <c r="K356" i="95" s="1"/>
  <c r="J357" i="95"/>
  <c r="K357" i="95" s="1"/>
  <c r="J358" i="95"/>
  <c r="K358" i="95" s="1"/>
  <c r="J359" i="95"/>
  <c r="J360" i="95"/>
  <c r="J361" i="95"/>
  <c r="K361" i="95" s="1"/>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J381" i="95"/>
  <c r="J382" i="95"/>
  <c r="J383" i="95"/>
  <c r="J384" i="95"/>
  <c r="J385" i="95"/>
  <c r="J386" i="95"/>
  <c r="J387" i="95"/>
  <c r="J388" i="95"/>
  <c r="J389" i="95"/>
  <c r="K389" i="95" s="1"/>
  <c r="J390" i="95"/>
  <c r="K390" i="95" s="1"/>
  <c r="J391" i="95"/>
  <c r="K391" i="95" s="1"/>
  <c r="J392" i="95"/>
  <c r="K392" i="95" s="1"/>
  <c r="J393" i="95"/>
  <c r="K393" i="95" s="1"/>
  <c r="J394" i="95"/>
  <c r="K394" i="95" s="1"/>
  <c r="J395" i="95"/>
  <c r="K395" i="95" s="1"/>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J413" i="95"/>
  <c r="J414" i="95"/>
  <c r="J415" i="95"/>
  <c r="J416" i="95"/>
  <c r="J417" i="95"/>
  <c r="J418" i="95"/>
  <c r="J419" i="95"/>
  <c r="J420" i="95"/>
  <c r="J421" i="95"/>
  <c r="J422" i="95"/>
  <c r="J423" i="95"/>
  <c r="K2" i="95"/>
  <c r="K3" i="95"/>
  <c r="K4" i="95"/>
  <c r="K5" i="95"/>
  <c r="K6" i="95"/>
  <c r="K7" i="95"/>
  <c r="K8" i="95"/>
  <c r="K9" i="95"/>
  <c r="K10" i="95"/>
  <c r="K11" i="95"/>
  <c r="K12" i="95"/>
  <c r="K13" i="95"/>
  <c r="K14" i="95"/>
  <c r="K15" i="95"/>
  <c r="K16" i="95"/>
  <c r="K17" i="95"/>
  <c r="K18" i="95"/>
  <c r="K28" i="95"/>
  <c r="K29" i="95"/>
  <c r="K30" i="95"/>
  <c r="K31" i="95"/>
  <c r="K32" i="95"/>
  <c r="K33" i="95"/>
  <c r="K34" i="95"/>
  <c r="K35" i="95"/>
  <c r="K36" i="95"/>
  <c r="K37" i="95"/>
  <c r="K38" i="95"/>
  <c r="K39" i="95"/>
  <c r="K40" i="95"/>
  <c r="K41" i="95"/>
  <c r="K42" i="95"/>
  <c r="K44" i="95"/>
  <c r="K45" i="95"/>
  <c r="K46" i="95"/>
  <c r="K49" i="95"/>
  <c r="K52" i="95"/>
  <c r="K53" i="95"/>
  <c r="K60" i="95"/>
  <c r="K61" i="95"/>
  <c r="K62" i="95"/>
  <c r="K63" i="95"/>
  <c r="K64" i="95"/>
  <c r="K65" i="95"/>
  <c r="K66" i="95"/>
  <c r="K67" i="95"/>
  <c r="K71" i="95"/>
  <c r="K72" i="95"/>
  <c r="K92" i="95"/>
  <c r="K93" i="95"/>
  <c r="K94" i="95"/>
  <c r="K95" i="95"/>
  <c r="K96" i="95"/>
  <c r="K97" i="95"/>
  <c r="K98" i="95"/>
  <c r="K99" i="95"/>
  <c r="K100" i="95"/>
  <c r="K101" i="95"/>
  <c r="K102" i="95"/>
  <c r="K103" i="95"/>
  <c r="K104" i="95"/>
  <c r="K124" i="95"/>
  <c r="K125" i="95"/>
  <c r="K126" i="95"/>
  <c r="K127" i="95"/>
  <c r="K128" i="95"/>
  <c r="K129" i="95"/>
  <c r="K130" i="95"/>
  <c r="K131" i="95"/>
  <c r="K132" i="95"/>
  <c r="K133" i="95"/>
  <c r="K134" i="95"/>
  <c r="K135" i="95"/>
  <c r="K136" i="95"/>
  <c r="K137" i="95"/>
  <c r="K138" i="95"/>
  <c r="K139" i="95"/>
  <c r="K140" i="95"/>
  <c r="K141" i="95"/>
  <c r="K156" i="95"/>
  <c r="K157" i="95"/>
  <c r="K158" i="95"/>
  <c r="K159" i="95"/>
  <c r="K160" i="95"/>
  <c r="K161" i="95"/>
  <c r="K162" i="95"/>
  <c r="K163" i="95"/>
  <c r="K164" i="95"/>
  <c r="K165" i="95"/>
  <c r="K166" i="95"/>
  <c r="K167" i="95"/>
  <c r="K168" i="95"/>
  <c r="K169" i="95"/>
  <c r="K170" i="95"/>
  <c r="K171" i="95"/>
  <c r="K172" i="95"/>
  <c r="K173" i="95"/>
  <c r="K174" i="95"/>
  <c r="K175" i="95"/>
  <c r="K176" i="95"/>
  <c r="K188" i="95"/>
  <c r="K189" i="95"/>
  <c r="K190" i="95"/>
  <c r="K191" i="95"/>
  <c r="K192" i="95"/>
  <c r="K193" i="95"/>
  <c r="K194" i="95"/>
  <c r="K195" i="95"/>
  <c r="K196" i="95"/>
  <c r="K197" i="95"/>
  <c r="K198" i="95"/>
  <c r="K199" i="95"/>
  <c r="K200" i="95"/>
  <c r="K201" i="95"/>
  <c r="K202" i="95"/>
  <c r="K204" i="95"/>
  <c r="K205" i="95"/>
  <c r="K206" i="95"/>
  <c r="K207" i="95"/>
  <c r="K208" i="95"/>
  <c r="K209" i="95"/>
  <c r="K210" i="95"/>
  <c r="K211" i="95"/>
  <c r="K212" i="95"/>
  <c r="K213" i="95"/>
  <c r="K220" i="95"/>
  <c r="K223" i="95"/>
  <c r="K224" i="95"/>
  <c r="K225" i="95"/>
  <c r="K226" i="95"/>
  <c r="K227" i="95"/>
  <c r="K252" i="95"/>
  <c r="K253" i="95"/>
  <c r="K254" i="95"/>
  <c r="K255" i="95"/>
  <c r="K257" i="95"/>
  <c r="K258" i="95"/>
  <c r="K259" i="95"/>
  <c r="K260" i="95"/>
  <c r="K261" i="95"/>
  <c r="K262" i="95"/>
  <c r="K263" i="95"/>
  <c r="K264" i="95"/>
  <c r="K284" i="95"/>
  <c r="K285" i="95"/>
  <c r="K286" i="95"/>
  <c r="K287" i="95"/>
  <c r="K288" i="95"/>
  <c r="K289" i="95"/>
  <c r="K290" i="95"/>
  <c r="K291" i="95"/>
  <c r="K292" i="95"/>
  <c r="K293" i="95"/>
  <c r="K294" i="95"/>
  <c r="K295" i="95"/>
  <c r="K296" i="95"/>
  <c r="K297" i="95"/>
  <c r="K298" i="95"/>
  <c r="K299" i="95"/>
  <c r="K300" i="95"/>
  <c r="K301" i="95"/>
  <c r="K302" i="95"/>
  <c r="K316" i="95"/>
  <c r="K317" i="95"/>
  <c r="K322" i="95"/>
  <c r="K323" i="95"/>
  <c r="K324" i="95"/>
  <c r="K325" i="95"/>
  <c r="K326" i="95"/>
  <c r="K327" i="95"/>
  <c r="K328" i="95"/>
  <c r="K329" i="95"/>
  <c r="K330" i="95"/>
  <c r="K331" i="95"/>
  <c r="K332" i="95"/>
  <c r="K333" i="95"/>
  <c r="K334" i="95"/>
  <c r="K335" i="95"/>
  <c r="K336" i="95"/>
  <c r="K337" i="95"/>
  <c r="K338" i="95"/>
  <c r="K339" i="95"/>
  <c r="K340" i="95"/>
  <c r="K341" i="95"/>
  <c r="K348" i="95"/>
  <c r="K349" i="95"/>
  <c r="K350" i="95"/>
  <c r="K351" i="95"/>
  <c r="K352" i="95"/>
  <c r="K353" i="95"/>
  <c r="K354" i="95"/>
  <c r="K355" i="95"/>
  <c r="K359" i="95"/>
  <c r="K360" i="95"/>
  <c r="K380" i="95"/>
  <c r="K381" i="95"/>
  <c r="K382" i="95"/>
  <c r="K383" i="95"/>
  <c r="K384" i="95"/>
  <c r="K385" i="95"/>
  <c r="K386" i="95"/>
  <c r="K387" i="95"/>
  <c r="K388" i="95"/>
  <c r="K412" i="95"/>
  <c r="K413" i="95"/>
  <c r="K414" i="95"/>
  <c r="K415" i="95"/>
  <c r="K416" i="95"/>
  <c r="K417" i="95"/>
  <c r="K418" i="95"/>
  <c r="K419" i="95"/>
  <c r="K420" i="95"/>
  <c r="K421" i="95"/>
  <c r="K422" i="95"/>
  <c r="K423" i="95"/>
  <c r="L2" i="95"/>
  <c r="M2" i="95" s="1"/>
  <c r="L3" i="95"/>
  <c r="M3" i="95" s="1"/>
  <c r="L4" i="95"/>
  <c r="M4" i="95" s="1"/>
  <c r="L5" i="95"/>
  <c r="L6" i="95"/>
  <c r="L7" i="95"/>
  <c r="L8" i="95"/>
  <c r="L9" i="95"/>
  <c r="L10" i="95"/>
  <c r="M10" i="95" s="1"/>
  <c r="L11" i="95"/>
  <c r="M11" i="95" s="1"/>
  <c r="L12" i="95"/>
  <c r="M12" i="95" s="1"/>
  <c r="L13" i="95"/>
  <c r="M13" i="95" s="1"/>
  <c r="L14" i="95"/>
  <c r="M14" i="95" s="1"/>
  <c r="L15" i="95"/>
  <c r="M15" i="95" s="1"/>
  <c r="L16" i="95"/>
  <c r="L17" i="95"/>
  <c r="L18" i="95"/>
  <c r="L19" i="95"/>
  <c r="M19" i="95" s="1"/>
  <c r="L20" i="95"/>
  <c r="L21" i="95"/>
  <c r="L22" i="95"/>
  <c r="L23" i="95"/>
  <c r="L24" i="95"/>
  <c r="L25" i="95"/>
  <c r="L26" i="95"/>
  <c r="L27" i="95"/>
  <c r="L28" i="95"/>
  <c r="L29" i="95"/>
  <c r="L30" i="95"/>
  <c r="L31" i="95"/>
  <c r="L32" i="95"/>
  <c r="L33" i="95"/>
  <c r="L34" i="95"/>
  <c r="L35" i="95"/>
  <c r="L36" i="95"/>
  <c r="L37" i="95"/>
  <c r="L38" i="95"/>
  <c r="L39" i="95"/>
  <c r="L40" i="95"/>
  <c r="L41" i="95"/>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L67" i="95"/>
  <c r="L68" i="95"/>
  <c r="L69" i="95"/>
  <c r="L70" i="95"/>
  <c r="L71" i="95"/>
  <c r="L72" i="95"/>
  <c r="L73" i="95"/>
  <c r="L74" i="95"/>
  <c r="M74" i="95" s="1"/>
  <c r="L75" i="95"/>
  <c r="M75" i="95" s="1"/>
  <c r="L76" i="95"/>
  <c r="M76" i="95" s="1"/>
  <c r="L77" i="95"/>
  <c r="M77" i="95" s="1"/>
  <c r="L78" i="95"/>
  <c r="M78" i="95" s="1"/>
  <c r="L79" i="95"/>
  <c r="M79" i="95" s="1"/>
  <c r="L80" i="95"/>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L102" i="95"/>
  <c r="L103" i="95"/>
  <c r="L104" i="95"/>
  <c r="L105" i="95"/>
  <c r="L106" i="95"/>
  <c r="M106" i="95" s="1"/>
  <c r="L107" i="95"/>
  <c r="M107" i="95" s="1"/>
  <c r="L108" i="95"/>
  <c r="M108" i="95" s="1"/>
  <c r="L109" i="95"/>
  <c r="M109" i="95" s="1"/>
  <c r="L110" i="95"/>
  <c r="M110" i="95" s="1"/>
  <c r="L111" i="95"/>
  <c r="M111" i="95" s="1"/>
  <c r="L112" i="95"/>
  <c r="L113" i="95"/>
  <c r="L114" i="95"/>
  <c r="L115" i="95"/>
  <c r="L116" i="95"/>
  <c r="L117" i="95"/>
  <c r="L118" i="95"/>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L134" i="95"/>
  <c r="L135" i="95"/>
  <c r="L136" i="95"/>
  <c r="L137" i="95"/>
  <c r="L138" i="95"/>
  <c r="M138" i="95" s="1"/>
  <c r="L139" i="95"/>
  <c r="M139" i="95" s="1"/>
  <c r="L140" i="95"/>
  <c r="M140" i="95" s="1"/>
  <c r="L141" i="95"/>
  <c r="M141" i="95" s="1"/>
  <c r="L142" i="95"/>
  <c r="M142" i="95" s="1"/>
  <c r="L143" i="95"/>
  <c r="M143" i="95" s="1"/>
  <c r="L144" i="95"/>
  <c r="L145" i="95"/>
  <c r="L146" i="95"/>
  <c r="L147" i="95"/>
  <c r="L148" i="95"/>
  <c r="L149" i="95"/>
  <c r="L150" i="95"/>
  <c r="L151" i="95"/>
  <c r="L152" i="95"/>
  <c r="L153" i="95"/>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M164" i="95" s="1"/>
  <c r="L165" i="95"/>
  <c r="L166" i="95"/>
  <c r="L167" i="95"/>
  <c r="L168" i="95"/>
  <c r="L169" i="95"/>
  <c r="L170" i="95"/>
  <c r="M170" i="95" s="1"/>
  <c r="L171" i="95"/>
  <c r="M171" i="95" s="1"/>
  <c r="L172" i="95"/>
  <c r="M172" i="95" s="1"/>
  <c r="L173" i="95"/>
  <c r="M173" i="95" s="1"/>
  <c r="L174" i="95"/>
  <c r="M174" i="95" s="1"/>
  <c r="L175" i="95"/>
  <c r="M175" i="95" s="1"/>
  <c r="L176" i="95"/>
  <c r="L177" i="95"/>
  <c r="L178" i="95"/>
  <c r="L179" i="95"/>
  <c r="L180" i="95"/>
  <c r="L181" i="95"/>
  <c r="L182" i="95"/>
  <c r="L183" i="95"/>
  <c r="L184" i="95"/>
  <c r="L185" i="95"/>
  <c r="L186" i="95"/>
  <c r="L187" i="95"/>
  <c r="L188" i="95"/>
  <c r="L189" i="95"/>
  <c r="L190" i="95"/>
  <c r="L191" i="95"/>
  <c r="L192" i="95"/>
  <c r="M192" i="95" s="1"/>
  <c r="L193" i="95"/>
  <c r="M193" i="95" s="1"/>
  <c r="L194" i="95"/>
  <c r="L195" i="95"/>
  <c r="M195" i="95" s="1"/>
  <c r="L196" i="95"/>
  <c r="M196" i="95" s="1"/>
  <c r="L197" i="95"/>
  <c r="M197" i="95" s="1"/>
  <c r="L198" i="95"/>
  <c r="L199" i="95"/>
  <c r="L200" i="95"/>
  <c r="L201" i="95"/>
  <c r="L202" i="95"/>
  <c r="M202" i="95" s="1"/>
  <c r="L203" i="95"/>
  <c r="M203" i="95" s="1"/>
  <c r="L204" i="95"/>
  <c r="M204" i="95" s="1"/>
  <c r="L205" i="95"/>
  <c r="M205" i="95" s="1"/>
  <c r="L206" i="95"/>
  <c r="M206" i="95" s="1"/>
  <c r="L207" i="95"/>
  <c r="M207" i="95" s="1"/>
  <c r="L208" i="95"/>
  <c r="M208" i="95" s="1"/>
  <c r="L209" i="95"/>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L227" i="95"/>
  <c r="L228" i="95"/>
  <c r="L229" i="95"/>
  <c r="L230" i="95"/>
  <c r="L231" i="95"/>
  <c r="L232" i="95"/>
  <c r="L233" i="95"/>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L261" i="95"/>
  <c r="L262" i="95"/>
  <c r="L263" i="95"/>
  <c r="L264" i="95"/>
  <c r="L265" i="95"/>
  <c r="L266" i="95"/>
  <c r="M266" i="95" s="1"/>
  <c r="L267" i="95"/>
  <c r="M267" i="95" s="1"/>
  <c r="L268" i="95"/>
  <c r="M268" i="95" s="1"/>
  <c r="L269" i="95"/>
  <c r="M269" i="95" s="1"/>
  <c r="L270" i="95"/>
  <c r="M270" i="95" s="1"/>
  <c r="L271" i="95"/>
  <c r="M271" i="95" s="1"/>
  <c r="L272" i="95"/>
  <c r="L273" i="95"/>
  <c r="L274" i="95"/>
  <c r="L275" i="95"/>
  <c r="L276" i="95"/>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L294" i="95"/>
  <c r="L295" i="95"/>
  <c r="L296" i="95"/>
  <c r="L297" i="95"/>
  <c r="L298" i="95"/>
  <c r="M298" i="95" s="1"/>
  <c r="L299" i="95"/>
  <c r="M299" i="95" s="1"/>
  <c r="L300" i="95"/>
  <c r="M300" i="95" s="1"/>
  <c r="L301" i="95"/>
  <c r="M301" i="95" s="1"/>
  <c r="L302" i="95"/>
  <c r="M302" i="95" s="1"/>
  <c r="L303" i="95"/>
  <c r="M303" i="95" s="1"/>
  <c r="L304" i="95"/>
  <c r="L305" i="95"/>
  <c r="L306" i="95"/>
  <c r="L307" i="95"/>
  <c r="L308" i="95"/>
  <c r="L309" i="95"/>
  <c r="L310" i="95"/>
  <c r="L311" i="95"/>
  <c r="L312" i="95"/>
  <c r="L313" i="95"/>
  <c r="L314" i="95"/>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L326" i="95"/>
  <c r="L327" i="95"/>
  <c r="L328" i="95"/>
  <c r="L329" i="95"/>
  <c r="L330" i="95"/>
  <c r="M330" i="95" s="1"/>
  <c r="L331" i="95"/>
  <c r="M331" i="95" s="1"/>
  <c r="L332" i="95"/>
  <c r="M332" i="95" s="1"/>
  <c r="L333" i="95"/>
  <c r="M333" i="95" s="1"/>
  <c r="L334" i="95"/>
  <c r="M334" i="95" s="1"/>
  <c r="L335" i="95"/>
  <c r="M335" i="95" s="1"/>
  <c r="L336" i="95"/>
  <c r="L337" i="95"/>
  <c r="L338" i="95"/>
  <c r="L339" i="95"/>
  <c r="L340" i="95"/>
  <c r="L341" i="95"/>
  <c r="L342" i="95"/>
  <c r="L343" i="95"/>
  <c r="L344" i="95"/>
  <c r="L345" i="95"/>
  <c r="L346" i="95"/>
  <c r="L347" i="95"/>
  <c r="L348" i="95"/>
  <c r="L349" i="95"/>
  <c r="L350" i="95"/>
  <c r="M350" i="95" s="1"/>
  <c r="L351" i="95"/>
  <c r="M351" i="95" s="1"/>
  <c r="L352" i="95"/>
  <c r="M352" i="95" s="1"/>
  <c r="L353" i="95"/>
  <c r="M353" i="95" s="1"/>
  <c r="L354" i="95"/>
  <c r="M354" i="95" s="1"/>
  <c r="L355" i="95"/>
  <c r="M355" i="95" s="1"/>
  <c r="L356" i="95"/>
  <c r="M356" i="95" s="1"/>
  <c r="L357" i="95"/>
  <c r="M357" i="95" s="1"/>
  <c r="L358" i="95"/>
  <c r="L359" i="95"/>
  <c r="L360" i="95"/>
  <c r="L361" i="95"/>
  <c r="L362" i="95"/>
  <c r="M362" i="95" s="1"/>
  <c r="L363" i="95"/>
  <c r="M363" i="95" s="1"/>
  <c r="L364" i="95"/>
  <c r="M364" i="95" s="1"/>
  <c r="L365" i="95"/>
  <c r="M365" i="95" s="1"/>
  <c r="L366" i="95"/>
  <c r="M366" i="95" s="1"/>
  <c r="L367" i="95"/>
  <c r="M367" i="95" s="1"/>
  <c r="L368" i="95"/>
  <c r="L369" i="95"/>
  <c r="L370" i="95"/>
  <c r="M370" i="95" s="1"/>
  <c r="L371" i="95"/>
  <c r="M371" i="95" s="1"/>
  <c r="L372" i="95"/>
  <c r="M372" i="95" s="1"/>
  <c r="L373" i="95"/>
  <c r="M373" i="95" s="1"/>
  <c r="L374" i="95"/>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L387" i="95"/>
  <c r="L388" i="95"/>
  <c r="L389" i="95"/>
  <c r="L390" i="95"/>
  <c r="L391" i="95"/>
  <c r="L392" i="95"/>
  <c r="L393" i="95"/>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M416" i="95" s="1"/>
  <c r="L417" i="95"/>
  <c r="M417" i="95" s="1"/>
  <c r="L418" i="95"/>
  <c r="L419" i="95"/>
  <c r="L420" i="95"/>
  <c r="L421" i="95"/>
  <c r="L422" i="95"/>
  <c r="L423" i="95"/>
  <c r="M5" i="95"/>
  <c r="M6" i="95"/>
  <c r="M7" i="95"/>
  <c r="M8" i="95"/>
  <c r="M9" i="95"/>
  <c r="M16" i="95"/>
  <c r="M17" i="95"/>
  <c r="M18" i="95"/>
  <c r="M20" i="95"/>
  <c r="M21" i="95"/>
  <c r="M22" i="95"/>
  <c r="M23" i="95"/>
  <c r="M24" i="95"/>
  <c r="M25" i="95"/>
  <c r="M26" i="95"/>
  <c r="M27" i="95"/>
  <c r="M28" i="95"/>
  <c r="M29" i="95"/>
  <c r="M30" i="95"/>
  <c r="M31" i="95"/>
  <c r="M32" i="95"/>
  <c r="M33" i="95"/>
  <c r="M34" i="95"/>
  <c r="M35" i="95"/>
  <c r="M36" i="95"/>
  <c r="M37" i="95"/>
  <c r="M38" i="95"/>
  <c r="M39" i="95"/>
  <c r="M40" i="95"/>
  <c r="M41" i="95"/>
  <c r="M66" i="95"/>
  <c r="M67" i="95"/>
  <c r="M68" i="95"/>
  <c r="M69" i="95"/>
  <c r="M70" i="95"/>
  <c r="M71" i="95"/>
  <c r="M72" i="95"/>
  <c r="M73" i="95"/>
  <c r="M80" i="95"/>
  <c r="M101" i="95"/>
  <c r="M102" i="95"/>
  <c r="M103" i="95"/>
  <c r="M104" i="95"/>
  <c r="M105" i="95"/>
  <c r="M112" i="95"/>
  <c r="M113" i="95"/>
  <c r="M114" i="95"/>
  <c r="M115" i="95"/>
  <c r="M116" i="95"/>
  <c r="M117" i="95"/>
  <c r="M118" i="95"/>
  <c r="M133" i="95"/>
  <c r="M134" i="95"/>
  <c r="M135" i="95"/>
  <c r="M136" i="95"/>
  <c r="M137" i="95"/>
  <c r="M144" i="95"/>
  <c r="M145" i="95"/>
  <c r="M146" i="95"/>
  <c r="M147" i="95"/>
  <c r="M148" i="95"/>
  <c r="M149" i="95"/>
  <c r="M150" i="95"/>
  <c r="M151" i="95"/>
  <c r="M152" i="95"/>
  <c r="M153" i="95"/>
  <c r="M165" i="95"/>
  <c r="M166" i="95"/>
  <c r="M167" i="95"/>
  <c r="M168" i="95"/>
  <c r="M169" i="95"/>
  <c r="M176" i="95"/>
  <c r="M177" i="95"/>
  <c r="M178" i="95"/>
  <c r="M179" i="95"/>
  <c r="M180" i="95"/>
  <c r="M181" i="95"/>
  <c r="M182" i="95"/>
  <c r="M183" i="95"/>
  <c r="M184" i="95"/>
  <c r="M185" i="95"/>
  <c r="M186" i="95"/>
  <c r="M187" i="95"/>
  <c r="M188" i="95"/>
  <c r="M189" i="95"/>
  <c r="M190" i="95"/>
  <c r="M191" i="95"/>
  <c r="M194" i="95"/>
  <c r="M198" i="95"/>
  <c r="M199" i="95"/>
  <c r="M200" i="95"/>
  <c r="M201" i="95"/>
  <c r="M209" i="95"/>
  <c r="M226" i="95"/>
  <c r="M227" i="95"/>
  <c r="M228" i="95"/>
  <c r="M229" i="95"/>
  <c r="M230" i="95"/>
  <c r="M231" i="95"/>
  <c r="M232" i="95"/>
  <c r="M233" i="95"/>
  <c r="M260" i="95"/>
  <c r="M261" i="95"/>
  <c r="M262" i="95"/>
  <c r="M263" i="95"/>
  <c r="M264" i="95"/>
  <c r="M265" i="95"/>
  <c r="M272" i="95"/>
  <c r="M273" i="95"/>
  <c r="M274" i="95"/>
  <c r="M275" i="95"/>
  <c r="M276" i="95"/>
  <c r="M293" i="95"/>
  <c r="M294" i="95"/>
  <c r="M295" i="95"/>
  <c r="M296" i="95"/>
  <c r="M297" i="95"/>
  <c r="M304" i="95"/>
  <c r="M305" i="95"/>
  <c r="M306" i="95"/>
  <c r="M307" i="95"/>
  <c r="M308" i="95"/>
  <c r="M309" i="95"/>
  <c r="M310" i="95"/>
  <c r="M311" i="95"/>
  <c r="M312" i="95"/>
  <c r="M313" i="95"/>
  <c r="M314" i="95"/>
  <c r="M325" i="95"/>
  <c r="M326" i="95"/>
  <c r="M327" i="95"/>
  <c r="M328" i="95"/>
  <c r="M329" i="95"/>
  <c r="M336" i="95"/>
  <c r="M337" i="95"/>
  <c r="M338" i="95"/>
  <c r="M339" i="95"/>
  <c r="M340" i="95"/>
  <c r="M341" i="95"/>
  <c r="M342" i="95"/>
  <c r="M343" i="95"/>
  <c r="M344" i="95"/>
  <c r="M345" i="95"/>
  <c r="M346" i="95"/>
  <c r="M347" i="95"/>
  <c r="M348" i="95"/>
  <c r="M349" i="95"/>
  <c r="M358" i="95"/>
  <c r="M359" i="95"/>
  <c r="M360" i="95"/>
  <c r="M361" i="95"/>
  <c r="M368" i="95"/>
  <c r="M369" i="95"/>
  <c r="M374" i="95"/>
  <c r="M386" i="95"/>
  <c r="M387" i="95"/>
  <c r="M388" i="95"/>
  <c r="M389" i="95"/>
  <c r="M390" i="95"/>
  <c r="M391" i="95"/>
  <c r="M392" i="95"/>
  <c r="M393" i="95"/>
  <c r="M418" i="95"/>
  <c r="M419" i="95"/>
  <c r="M420" i="95"/>
  <c r="M421" i="95"/>
  <c r="M422" i="95"/>
  <c r="M423"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2" i="74"/>
  <c r="O23" i="74"/>
  <c r="O24" i="74"/>
  <c r="O25" i="74"/>
  <c r="O13" i="74"/>
  <c r="O14" i="74"/>
  <c r="O15" i="74"/>
  <c r="O16" i="74"/>
  <c r="O17" i="74"/>
  <c r="P17" i="74" s="1"/>
  <c r="O18" i="74"/>
  <c r="P18" i="74" s="1"/>
  <c r="O19" i="74"/>
  <c r="P19" i="74" s="1"/>
  <c r="O20" i="74"/>
  <c r="P20" i="74" s="1"/>
  <c r="O21" i="74"/>
  <c r="P21" i="74" s="1"/>
  <c r="O11" i="74"/>
  <c r="P11" i="74" s="1"/>
  <c r="O12" i="74"/>
  <c r="P12" i="74" s="1"/>
  <c r="O2" i="74"/>
  <c r="P2" i="74" s="1"/>
  <c r="O3" i="74"/>
  <c r="P3" i="74" s="1"/>
  <c r="O4" i="74"/>
  <c r="P4" i="74" s="1"/>
  <c r="O5" i="74"/>
  <c r="P5" i="74" s="1"/>
  <c r="O6" i="74"/>
  <c r="P6" i="74" s="1"/>
  <c r="O7" i="74"/>
  <c r="P7" i="74" s="1"/>
  <c r="O8" i="74"/>
  <c r="P8" i="74" s="1"/>
  <c r="O9" i="74"/>
  <c r="P9" i="74" s="1"/>
  <c r="O10" i="74"/>
  <c r="P10" i="74" s="1"/>
  <c r="P22" i="74"/>
  <c r="P23" i="74"/>
  <c r="P24" i="74"/>
  <c r="P25" i="74"/>
  <c r="P13" i="74"/>
  <c r="P14" i="74"/>
  <c r="P15" i="74"/>
  <c r="P16"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c r="L12" i="70" a="1"/>
  <c r="L12" i="70"/>
  <c r="L13" i="70" a="1"/>
  <c r="L13" i="70" s="1"/>
  <c r="L14" i="70" a="1"/>
  <c r="L14" i="70" s="1"/>
  <c r="L15" i="70" a="1"/>
  <c r="L15" i="70" s="1"/>
  <c r="L16" i="70" a="1"/>
  <c r="L16" i="70"/>
  <c r="L17" i="70" a="1"/>
  <c r="L17" i="70" s="1"/>
  <c r="L18" i="70" a="1"/>
  <c r="L18" i="70" s="1"/>
  <c r="L19" i="70" a="1"/>
  <c r="L19" i="70" s="1"/>
  <c r="L20" i="70" a="1"/>
  <c r="L20" i="70"/>
  <c r="L21" i="70" a="1"/>
  <c r="L21" i="70"/>
  <c r="L22" i="70" a="1"/>
  <c r="L22" i="70"/>
  <c r="L23" i="70" a="1"/>
  <c r="L23" i="70"/>
  <c r="L24" i="70" a="1"/>
  <c r="L24" i="70"/>
  <c r="L25" i="70" a="1"/>
  <c r="L25" i="70"/>
  <c r="L26" i="70" a="1"/>
  <c r="L26" i="70"/>
  <c r="L27" i="70" a="1"/>
  <c r="L27" i="70"/>
  <c r="L28" i="70" a="1"/>
  <c r="L28" i="70"/>
  <c r="K219" i="95" l="1"/>
  <c r="E3" i="4"/>
  <c r="D47" i="8"/>
  <c r="R2" i="74"/>
  <c r="F2" i="74" s="1" a="1"/>
  <c r="F2" i="74" s="1"/>
  <c r="D14" i="8"/>
  <c r="D13" i="8"/>
  <c r="D12" i="8"/>
  <c r="D11" i="8" a="1"/>
  <c r="D11" i="8" s="1"/>
  <c r="K2" i="70"/>
  <c r="I47" i="8"/>
  <c r="H47" i="8"/>
  <c r="G47" i="8"/>
  <c r="F47" i="8"/>
  <c r="E47" i="8"/>
  <c r="G1" i="8" a="1"/>
  <c r="M5" i="70" l="1" a="1"/>
  <c r="M5" i="70" s="1"/>
  <c r="M21" i="70" a="1"/>
  <c r="M21" i="70" s="1"/>
  <c r="M11" i="70" a="1"/>
  <c r="M11" i="70" s="1"/>
  <c r="M14" i="70" a="1"/>
  <c r="M14" i="70" s="1"/>
  <c r="M18" i="70" a="1"/>
  <c r="M18" i="70" s="1"/>
  <c r="M19" i="70" a="1"/>
  <c r="M19" i="70" s="1"/>
  <c r="M6" i="70" a="1"/>
  <c r="M6" i="70" s="1"/>
  <c r="M22" i="70" a="1"/>
  <c r="M22" i="70" s="1"/>
  <c r="M15" i="70" a="1"/>
  <c r="M15" i="70" s="1"/>
  <c r="M7" i="70" a="1"/>
  <c r="M7" i="70" s="1"/>
  <c r="M23" i="70" a="1"/>
  <c r="M23" i="70" s="1"/>
  <c r="M24" i="70" a="1"/>
  <c r="M24" i="70" s="1"/>
  <c r="M17" i="70" a="1"/>
  <c r="M17" i="70" s="1"/>
  <c r="M8" i="70" a="1"/>
  <c r="M8" i="70" s="1"/>
  <c r="M26" i="70" a="1"/>
  <c r="M26" i="70" s="1"/>
  <c r="M9" i="70" a="1"/>
  <c r="M9" i="70" s="1"/>
  <c r="M25" i="70" a="1"/>
  <c r="M25" i="70" s="1"/>
  <c r="M27" i="70" a="1"/>
  <c r="M27" i="70" s="1"/>
  <c r="M13" i="70" a="1"/>
  <c r="M13" i="70" s="1"/>
  <c r="M16" i="70" a="1"/>
  <c r="M16" i="70" s="1"/>
  <c r="M20" i="70" a="1"/>
  <c r="M20" i="70" s="1"/>
  <c r="M10" i="70" a="1"/>
  <c r="M10" i="70" s="1"/>
  <c r="M12" i="70" a="1"/>
  <c r="M12" i="70" s="1"/>
  <c r="M28" i="70" a="1"/>
  <c r="M28" i="70" s="1"/>
  <c r="G2" i="100" a="1"/>
  <c r="G2" i="100" s="1"/>
  <c r="G1" i="8"/>
  <c r="L2" i="70" a="1"/>
  <c r="L2" i="70" s="1"/>
  <c r="M2" i="70" l="1" a="1"/>
  <c r="M2" i="70" s="1"/>
  <c r="N12" i="70" s="1"/>
  <c r="N18" i="70" l="1"/>
  <c r="N14" i="70"/>
  <c r="N5" i="70"/>
  <c r="N15" i="70"/>
  <c r="N7" i="70"/>
  <c r="N17" i="70"/>
  <c r="N20" i="70"/>
  <c r="N28" i="70"/>
  <c r="N16" i="70"/>
  <c r="N9" i="70"/>
  <c r="N6" i="70"/>
  <c r="N25" i="70"/>
  <c r="N27" i="70"/>
  <c r="N22" i="70"/>
  <c r="N23" i="70"/>
  <c r="N21" i="70"/>
  <c r="N11" i="70"/>
  <c r="N19" i="70"/>
  <c r="N8" i="70"/>
  <c r="N13" i="70"/>
  <c r="N10" i="70"/>
  <c r="N24" i="70"/>
  <c r="N26"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13" i="78" a="1"/>
  <c r="O15" i="78" a="1"/>
  <c r="O12" i="78" a="1"/>
  <c r="O6" i="78" a="1"/>
  <c r="O7" i="78" a="1"/>
  <c r="O10" i="78" a="1"/>
  <c r="O9" i="78" a="1"/>
  <c r="O4" i="78" a="1"/>
  <c r="O8" i="78" a="1"/>
  <c r="O3" i="78" a="1"/>
  <c r="O11"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1" i="26" a="1"/>
  <c r="B10" i="26" a="1"/>
  <c r="O2" i="95" l="1" a="1"/>
  <c r="O2" i="95" s="1"/>
  <c r="D19" i="8" a="1"/>
  <c r="D19" i="8" s="1"/>
  <c r="H15" i="26" s="1"/>
  <c r="H14" i="26" a="1"/>
  <c r="H14" i="26" s="1"/>
  <c r="AM2" i="77" a="1"/>
  <c r="B10" i="26"/>
  <c r="B11" i="26"/>
  <c r="Q2" i="29"/>
  <c r="D5" i="8" s="1"/>
  <c r="G81" i="8" l="1"/>
  <c r="G82" i="8" s="1" a="1"/>
  <c r="G82" i="8" s="1"/>
  <c r="F7" i="8"/>
  <c r="V9" i="95"/>
  <c r="S48" i="8"/>
  <c r="S6" i="95"/>
  <c r="M6" i="15" s="1"/>
  <c r="AM2" i="77"/>
  <c r="L9" i="26"/>
  <c r="B54" i="26"/>
  <c r="D36" i="8"/>
  <c r="K2" i="90"/>
  <c r="K3" i="90" s="1"/>
  <c r="M26" i="26" s="1"/>
  <c r="B39" i="5" l="1"/>
  <c r="A33" i="5"/>
  <c r="V2" i="95"/>
  <c r="D20" i="8" s="1"/>
  <c r="E6" i="4" s="1"/>
  <c r="C57" i="8"/>
  <c r="K5" i="90" a="1"/>
  <c r="K5" i="90" s="1"/>
  <c r="E6" i="85"/>
  <c r="E4" i="85"/>
  <c r="E5" i="85"/>
  <c r="E7" i="85"/>
  <c r="E8" i="85"/>
  <c r="E9" i="85"/>
  <c r="E10" i="85"/>
  <c r="E11" i="85"/>
  <c r="E12" i="85"/>
  <c r="E13" i="85"/>
  <c r="H82" i="8"/>
  <c r="J66" i="8" a="1"/>
  <c r="J66" i="8" s="1"/>
  <c r="K4" i="4"/>
  <c r="C52" i="8"/>
  <c r="N61" i="8"/>
  <c r="N60" i="8"/>
  <c r="S56" i="8"/>
  <c r="X56"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D11" i="21" s="1" a="1"/>
  <c r="I10" i="15"/>
  <c r="D14" i="21" a="1"/>
  <c r="D15" i="21" a="1"/>
  <c r="D16"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<sst xmlns="http://schemas.openxmlformats.org/spreadsheetml/2006/main" count="1303" uniqueCount="750">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</sst>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4">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7" fillId="0" borderId="0" xfId="0" applyNumberFormat="1"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82" formatCode="[$-F400]h:mm:ss\ AM/PM"/>
    </dxf>
    <dxf>
      <numFmt numFmtId="19" formatCode="m/d/yyyy"/>
    </dxf>
    <dxf>
      <numFmt numFmtId="19" formatCode="m/d/yyyy"/>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92"/>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3" tableType="queryTable" totalsRowShown="0">
  <autoFilter ref="A1:D123"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5" tableType="queryTable" totalsRowShown="0">
  <autoFilter ref="K1:P25" xr:uid="{BE31C0C9-5FD4-4A84-8E69-97A9DB721FB3}"/>
  <sortState xmlns:xlrd2="http://schemas.microsoft.com/office/spreadsheetml/2017/richdata2" ref="K2:P25">
    <sortCondition descending="1" ref="O2:O25"/>
    <sortCondition ref="P2:P2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9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1" tableType="queryTable" totalsRowShown="0">
  <autoFilter ref="A1:AK411" xr:uid="{8A28E51F-224F-4F5E-9D3E-A91A5A4DEDFC}"/>
  <tableColumns count="37">
    <tableColumn id="39" xr3:uid="{7AAACA38-72D4-4F11-8664-EC16A2DA6293}" uniqueName="39" name="AssetId" queryTableFieldId="164" dataDxfId="90"/>
    <tableColumn id="40" xr3:uid="{1FD78DD8-6141-4BCC-8B64-71669B160E7A}" uniqueName="40" name="ClientCompanyId" queryTableFieldId="165" dataDxfId="89"/>
    <tableColumn id="41" xr3:uid="{5BCE0CCA-D40E-445A-B69F-BF9E8EC302E6}" uniqueName="41" name="Furnace" queryTableFieldId="166"/>
    <tableColumn id="42" xr3:uid="{FE44BF6E-7160-4F10-BB7C-5C6B8F55C8DB}" uniqueName="42" name="FormNumber" queryTableFieldId="167" dataDxfId="88"/>
    <tableColumn id="43" xr3:uid="{EC576AA5-7F07-4B99-BBD1-C006A3FF4861}" uniqueName="43" name="CalibrationMethod" queryTableFieldId="168" dataDxfId="87"/>
    <tableColumn id="44" xr3:uid="{11784700-CE79-4C3A-B181-67F89C94AC89}" uniqueName="44" name="ToleranceSource" queryTableFieldId="169" dataDxfId="86"/>
    <tableColumn id="45" xr3:uid="{F8D57A3B-9D48-4C00-8E7C-AC29615D88F6}" uniqueName="45" name="Item" queryTableFieldId="170" dataDxfId="8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84"/>
    <tableColumn id="51" xr3:uid="{5B79DBE7-7CAB-41DA-AF62-362ADDE2AED9}" uniqueName="51" name="WorkingZoneSize" queryTableFieldId="176" dataDxfId="8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82"/>
    <tableColumn id="63" xr3:uid="{478884C5-ACFA-42A0-A5A5-3FD7354DF395}" uniqueName="63" name="TestLocation" queryTableFieldId="188" dataDxfId="81"/>
    <tableColumn id="64" xr3:uid="{8742E83A-8953-4A6F-B342-02A544F42A3E}" uniqueName="64" name="OvenLocation" queryTableFieldId="189" dataDxfId="80"/>
    <tableColumn id="65" xr3:uid="{D2C69FD9-EF22-4D46-9BCA-A04DCD92EC4B}" uniqueName="65" name="Condition" queryTableFieldId="190" dataDxfId="7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78"/>
    <tableColumn id="73" xr3:uid="{5C1EA854-4A8F-420A-8A21-EED95DA3A02D}" uniqueName="73" name="LagLimit" queryTableFieldId="198" dataDxfId="77"/>
    <tableColumn id="74" xr3:uid="{E0D578AE-61B1-4F16-BC5A-DF5388800162}" uniqueName="74" name="RecoveryLimit" queryTableFieldId="199" dataDxfId="7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3" tableType="queryTable" totalsRowShown="0">
  <autoFilter ref="A1:M423"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75"/>
    <tableColumn id="8" xr3:uid="{6A970319-4DB4-4470-AD18-810376DE6248}" uniqueName="8" name="Flags" queryTableFieldId="8" dataDxfId="74"/>
    <tableColumn id="10" xr3:uid="{C036645E-37FD-4D8C-A495-9B7CD74F1924}" uniqueName="10" name="TolMinText" queryTableFieldId="10" dataDxfId="73">
      <calculatedColumnFormula>TEXT(UUTRangeTol[[#This Row],[TolMin]],SUBSTITUTE(UUTRangeTol[[#This Row],[TolResolution]],"1","0"))&amp;UUTRangeTol[[#This Row],[Unit]]</calculatedColumnFormula>
    </tableColumn>
    <tableColumn id="11" xr3:uid="{7185F013-BA2C-4D79-99A0-8DCC297E6118}" uniqueName="11" name="TolMaxText" queryTableFieldId="11" dataDxfId="72">
      <calculatedColumnFormula>TEXT(UUTRangeTol[[#This Row],[TolMax]],SUBSTITUTE(UUTRangeTol[[#This Row],[TolResolution]],"1","0"))&amp;UUTRangeTol[[#This Row],[Unit]]</calculatedColumnFormula>
    </tableColumn>
    <tableColumn id="12" xr3:uid="{EE0701A7-578C-482F-B1ED-DBCB9E95A0C6}" uniqueName="12" name="TolText" queryTableFieldId="12" dataDxfId="7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70">
      <calculatedColumnFormula>UUTRangeTol[[#This Row],[RangeMax]]&amp;UUTRangeTol[[#This Row],[Unit]]</calculatedColumnFormula>
    </tableColumn>
    <tableColumn id="14" xr3:uid="{EF348E52-D936-44CC-A058-66DD7A780488}" uniqueName="14" name="RangeText" queryTableFieldId="14" dataDxfId="6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60"/>
    <tableColumn id="2" xr3:uid="{4984B315-F281-4FCE-B730-0C7B248AA955}" uniqueName="2" name="nominal_temp" queryTableFieldId="2" dataDxfId="159"/>
    <tableColumn id="3" xr3:uid="{53D53435-D3FD-453C-A000-9DEF29CF77CD}" uniqueName="3" name="offset" queryTableFieldId="3" dataDxfId="158"/>
    <tableColumn id="4" xr3:uid="{71EBF38C-C2D5-457A-8BC4-1C726B409693}" uniqueName="4" name="probe_serial_number" queryTableFieldId="4" dataDxfId="157"/>
    <tableColumn id="5" xr3:uid="{264E3CB0-FEA8-40F6-AC5D-D574DD8CF263}" uniqueName="5" name="SBP_Set" queryTableFieldId="5" dataDxfId="15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5" dataDxfId="154" tableBorderDxfId="153">
  <autoFilter ref="AG2:AS3" xr:uid="{B114758F-16E1-4C54-AA0B-E7F64DE85242}"/>
  <tableColumns count="13">
    <tableColumn id="1" xr3:uid="{0D0312AF-C987-4CC8-97F8-A45434AD138A}" name="Time" dataDxfId="152" dataCellStyle="Normal 3"/>
    <tableColumn id="2" xr3:uid="{E5CD88A1-1988-41C9-8D07-30908E60C0B6}" name="29" dataDxfId="151" dataCellStyle="Normal 3"/>
    <tableColumn id="3" xr3:uid="{52334E52-C590-4A01-82BC-CCC9DA2C2817}" name="30" dataDxfId="150" dataCellStyle="Normal 3"/>
    <tableColumn id="4" xr3:uid="{145DAD22-055B-47E2-958D-C0E0B68ECCC8}" name="31" dataDxfId="149" dataCellStyle="Normal 3"/>
    <tableColumn id="5" xr3:uid="{09C3BF4E-C2AE-4497-AAA2-CF5A8A70B030}" name="32" dataDxfId="148" dataCellStyle="Normal 3"/>
    <tableColumn id="6" xr3:uid="{E9F444F5-7F75-4B80-BC2D-E9E92BB7C32D}" name="33" dataDxfId="147" dataCellStyle="Normal 3"/>
    <tableColumn id="7" xr3:uid="{C42F56B6-C38E-41DC-811A-50AF69D04B80}" name="34" dataDxfId="146" dataCellStyle="Normal 3"/>
    <tableColumn id="8" xr3:uid="{1930235F-D2C0-482D-8CC0-6B3AC765E7EA}" name="35" dataDxfId="145" dataCellStyle="Normal 3"/>
    <tableColumn id="9" xr3:uid="{6FCF613B-A86F-4DC6-9CC5-0A1E44E3DFE0}" name="36" dataDxfId="144" dataCellStyle="Normal 3"/>
    <tableColumn id="10" xr3:uid="{19EA3429-FD7E-4BA0-96B7-70F520D9FE0F}" name="37" dataDxfId="143" dataCellStyle="Normal 3"/>
    <tableColumn id="11" xr3:uid="{A5D0DAE1-1017-4DE3-AEA6-1BAF97E0FBDC}" name="38" dataDxfId="142" dataCellStyle="Normal 3"/>
    <tableColumn id="12" xr3:uid="{ABC8E507-1120-436F-9E9F-E3A8852E2E1A}" name="39" dataDxfId="141"/>
    <tableColumn id="13" xr3:uid="{C69AC669-10C2-4E64-9F60-B4AA135FB3DF}" name="40" dataDxfId="14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9" tableBorderDxfId="138">
  <autoFilter ref="Q2:AE3" xr:uid="{6D9D14EA-1966-4240-9028-DABDD72BB7BC}"/>
  <tableColumns count="15">
    <tableColumn id="1" xr3:uid="{F199066A-0899-4173-8784-FC618D5EFA3C}" name="Time" dataDxfId="137" dataCellStyle="Normal 3"/>
    <tableColumn id="2" xr3:uid="{DB040280-BEC7-49AA-A925-A050027B33E3}" name="15" dataDxfId="136" dataCellStyle="Normal 3"/>
    <tableColumn id="3" xr3:uid="{5D74EEBF-1FB4-4DF9-8EDD-C656F929ADA2}" name="16" dataDxfId="135" dataCellStyle="Normal 3"/>
    <tableColumn id="4" xr3:uid="{B1176DF8-22B4-4741-A534-22D0C72EF1F0}" name="17" dataDxfId="134" dataCellStyle="Normal 3"/>
    <tableColumn id="5" xr3:uid="{1E29EA65-5182-4B3E-817F-0D30B2884EC7}" name="18" dataDxfId="133" dataCellStyle="Normal 3"/>
    <tableColumn id="6" xr3:uid="{AF53AEFB-F310-4F08-91BC-82FB0F484ECA}" name="19" dataDxfId="132" dataCellStyle="Normal 3"/>
    <tableColumn id="7" xr3:uid="{EE472F61-D1B5-43CF-A661-FA1D47001C17}" name="20" dataDxfId="131" dataCellStyle="Normal 3"/>
    <tableColumn id="8" xr3:uid="{841D54C1-AB74-4CB1-8C7F-C38D11EFAD3F}" name="21" dataDxfId="130" dataCellStyle="Normal 3"/>
    <tableColumn id="9" xr3:uid="{F1FB485B-DEAA-4958-8C40-80934EA1437F}" name="22" dataDxfId="129" dataCellStyle="Normal 3"/>
    <tableColumn id="10" xr3:uid="{5C552A76-BD54-46C5-93AD-8F25289FA051}" name="23" dataDxfId="128" dataCellStyle="Normal 3"/>
    <tableColumn id="11" xr3:uid="{B20FA5F1-0522-49D0-9B5A-34570A8AE6EA}" name="24" dataDxfId="127" dataCellStyle="Normal 3"/>
    <tableColumn id="12" xr3:uid="{0BC87A98-B9AC-4CD6-9F9B-D04190073E2A}" name="25" dataDxfId="126"/>
    <tableColumn id="13" xr3:uid="{D62EA80B-BBE3-4A29-89AB-EE04C6E03547}" name="26" dataDxfId="125"/>
    <tableColumn id="14" xr3:uid="{6D7DE537-763F-40F1-AC16-33F228CBC8D1}" name="27" dataDxfId="124"/>
    <tableColumn id="15" xr3:uid="{F8FA9620-DB21-4BAE-8D97-FF38B70679C9}" name="28" dataDxfId="12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2" dataDxfId="121" tableBorderDxfId="120">
  <autoFilter ref="A2:O3" xr:uid="{73A9D9BA-FF58-4A3F-98F7-9A835492E25D}"/>
  <tableColumns count="15">
    <tableColumn id="1" xr3:uid="{73B888B4-4146-4E26-9B39-0FC537A113C8}" name="Time" dataDxfId="119" dataCellStyle="Normal 3"/>
    <tableColumn id="2" xr3:uid="{6F1EF879-7C87-4A56-A394-30C6E5BDB32A}" name="1" dataDxfId="118" dataCellStyle="Normal 3"/>
    <tableColumn id="3" xr3:uid="{B2FA8A6A-D50A-41E8-942A-379C757B6A2B}" name="2" dataDxfId="117" dataCellStyle="Normal 3"/>
    <tableColumn id="4" xr3:uid="{F92FE975-D84B-4B73-B49D-3B746FAA3D21}" name="3" dataDxfId="116" dataCellStyle="Normal 3"/>
    <tableColumn id="5" xr3:uid="{7820E0E9-F621-4361-A572-234B3CB7F864}" name="4" dataDxfId="115" dataCellStyle="Normal 3"/>
    <tableColumn id="6" xr3:uid="{A46C0BCA-2139-4CD3-B02F-C4D3F8E65309}" name="5" dataDxfId="114" dataCellStyle="Normal 3"/>
    <tableColumn id="7" xr3:uid="{334BDF50-1D79-41BC-BA09-7B69018332AE}" name="6" dataDxfId="113" dataCellStyle="Normal 3"/>
    <tableColumn id="8" xr3:uid="{6C11BC6A-3E21-4CDE-9CD4-C8EBCF50B6DB}" name="7" dataDxfId="112" dataCellStyle="Normal 3"/>
    <tableColumn id="9" xr3:uid="{1EEEA607-5177-4C19-A1BC-B12D19FF055B}" name="8" dataDxfId="111" dataCellStyle="Normal 3"/>
    <tableColumn id="10" xr3:uid="{ACF909CE-C221-4157-9298-18F2C140C147}" name="9" dataDxfId="110" dataCellStyle="Normal 3"/>
    <tableColumn id="11" xr3:uid="{182688D3-AD0D-4518-A7FE-0C281ABCDF76}" name="10" dataDxfId="109" dataCellStyle="Normal 3"/>
    <tableColumn id="12" xr3:uid="{54AFFA30-00C2-440A-92A2-139F62F751BE}" name="11" dataDxfId="108"/>
    <tableColumn id="13" xr3:uid="{DCF0B43C-F320-4031-91C6-8514285AF6CA}" name="12" dataDxfId="107"/>
    <tableColumn id="14" xr3:uid="{53A56FC8-0536-4D94-A335-FFCBCBEAF45E}" name="13" dataDxfId="106"/>
    <tableColumn id="15" xr3:uid="{F49FEB6E-05C2-4E90-A6CE-A0C9C694642A}" name="14" dataDxfId="10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5" tableType="queryTable" totalsRowShown="0" headerRowDxfId="104" dataDxfId="103">
  <autoFilter ref="A1:O1705" xr:uid="{7FFB3A25-33B3-41D4-A4EC-161ECACD71F3}"/>
  <tableColumns count="15">
    <tableColumn id="1" xr3:uid="{11D744F1-EDFB-47DE-B384-CF9869615081}" uniqueName="1" name="company_name" queryTableFieldId="80"/>
    <tableColumn id="2" xr3:uid="{39B8308C-AB2D-4935-AB6D-60659663F9DB}" uniqueName="2" name="Address1" queryTableFieldId="81" dataDxfId="5"/>
    <tableColumn id="3" xr3:uid="{5F5E8FED-27C7-498A-86F2-8DE1BF0A773A}" uniqueName="3" name="Address2" queryTableFieldId="82" dataDxfId="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3"/>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102" dataDxfId="101">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100"/>
    <tableColumn id="1" xr3:uid="{5057086F-523D-4F8B-9A42-41FE3C8BBE96}" uniqueName="1" name="asset_id" queryTableFieldId="1"/>
    <tableColumn id="2" xr3:uid="{3726BB7E-1692-4770-A35E-9A744D09DBEF}" uniqueName="2" name="certificate_tn" queryTableFieldId="2" dataDxfId="99"/>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98"/>
    <tableColumn id="3" xr3:uid="{A4F2902A-51C9-47F2-ABB5-33476BF6B798}" uniqueName="3" name="login_email" queryTableFieldId="5"/>
    <tableColumn id="4" xr3:uid="{93F361AC-D356-4A7B-A6F2-34FB0F71E2F6}" uniqueName="4" name="IsPyro" queryTableFieldId="7" dataDxfId="9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6" dataDxfId="95" headerRowCellStyle="Normal 2" dataCellStyle="Normal 2">
  <autoFilter ref="U11:V25" xr:uid="{DCCFF26E-EC5C-4962-98DB-A7DA1F3C8CE2}"/>
  <tableColumns count="2">
    <tableColumn id="1" xr3:uid="{DFC40837-B092-4826-9847-4A23BE22020F}" name="4" dataDxfId="94" dataCellStyle="Normal 2"/>
    <tableColumn id="2" xr3:uid="{0711DB07-19DA-4D5E-A417-C242A0304453}" name="10" dataDxfId="9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738</v>
      </c>
      <c r="L1" s="468" t="s">
        <v>733</v>
      </c>
      <c r="M1" s="469"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3"/>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8"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G</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H</v>
      </c>
    </row>
    <row r="17" spans="1:16" x14ac:dyDescent="0.2">
      <c r="A17"/>
      <c r="B17"/>
      <c r="C17"/>
      <c r="D17"/>
      <c r="K17"/>
      <c r="L17"/>
      <c r="M17"/>
      <c r="N17"/>
      <c r="O17" t="str">
        <f>IFERROR(LEFT(AllWireRollCerts[[#This Row],[traceability_no]],6),"")</f>
        <v>072513</v>
      </c>
      <c r="P17" t="str">
        <f>IFERROR(SUBSTITUTE(AllWireRollCerts[[#This Row],[traceability_no]],AllWireRollCerts[[#This Row],[sort1]],""),"")</f>
        <v>I</v>
      </c>
    </row>
    <row r="18" spans="1:16" x14ac:dyDescent="0.2">
      <c r="A18"/>
      <c r="B18"/>
      <c r="C18"/>
      <c r="D18"/>
      <c r="K18"/>
      <c r="L18"/>
      <c r="M18"/>
      <c r="N18"/>
      <c r="O18" t="str">
        <f>IFERROR(LEFT(AllWireRollCerts[[#This Row],[traceability_no]],6),"")</f>
        <v>072513</v>
      </c>
      <c r="P18" t="str">
        <f>IFERROR(SUBSTITUTE(AllWireRollCerts[[#This Row],[traceability_no]],AllWireRollCerts[[#This Row],[sort1]],""),"")</f>
        <v>K</v>
      </c>
    </row>
    <row r="19" spans="1:16" x14ac:dyDescent="0.2">
      <c r="A19"/>
      <c r="B19"/>
      <c r="C19"/>
      <c r="D19"/>
      <c r="K19"/>
      <c r="L19"/>
      <c r="M19"/>
      <c r="N19"/>
      <c r="O19" t="str">
        <f>IFERROR(LEFT(AllWireRollCerts[[#This Row],[traceability_no]],6),"")</f>
        <v>072513</v>
      </c>
      <c r="P19" t="str">
        <f>IFERROR(SUBSTITUTE(AllWireRollCerts[[#This Row],[traceability_no]],AllWireRollCerts[[#This Row],[sort1]],""),"")</f>
        <v>L</v>
      </c>
    </row>
    <row r="20" spans="1:16" x14ac:dyDescent="0.2">
      <c r="A20"/>
      <c r="B20"/>
      <c r="C20"/>
      <c r="D20"/>
      <c r="K20"/>
      <c r="L20"/>
      <c r="M20"/>
      <c r="N20"/>
      <c r="O20" t="str">
        <f>IFERROR(LEFT(AllWireRollCerts[[#This Row],[traceability_no]],6),"")</f>
        <v>072513</v>
      </c>
      <c r="P20" t="str">
        <f>IFERROR(SUBSTITUTE(AllWireRollCerts[[#This Row],[traceability_no]],AllWireRollCerts[[#This Row],[sort1]],""),"")</f>
        <v>M</v>
      </c>
    </row>
    <row r="21" spans="1:16" x14ac:dyDescent="0.2">
      <c r="A21"/>
      <c r="B21"/>
      <c r="C21"/>
      <c r="D21"/>
      <c r="K21"/>
      <c r="L21"/>
      <c r="M21"/>
      <c r="N21"/>
      <c r="O21" t="str">
        <f>IFERROR(LEFT(AllWireRollCerts[[#This Row],[traceability_no]],6),"")</f>
        <v>072513</v>
      </c>
      <c r="P21" t="str">
        <f>IFERROR(SUBSTITUTE(AllWireRollCerts[[#This Row],[traceability_no]],AllWireRollCerts[[#This Row],[sort1]],""),"")</f>
        <v>N</v>
      </c>
    </row>
    <row r="22" spans="1:16" x14ac:dyDescent="0.2">
      <c r="A22"/>
      <c r="B22"/>
      <c r="C22"/>
      <c r="D22"/>
      <c r="K22"/>
      <c r="L22"/>
      <c r="M22"/>
      <c r="N22"/>
      <c r="O22" t="str">
        <f>IFERROR(LEFT(AllWireRollCerts[[#This Row],[traceability_no]],6),"")</f>
        <v>065908</v>
      </c>
      <c r="P22" t="str">
        <f>IFERROR(SUBSTITUTE(AllWireRollCerts[[#This Row],[traceability_no]],AllWireRollCerts[[#This Row],[sort1]],""),"")</f>
        <v>I</v>
      </c>
    </row>
    <row r="23" spans="1:16" x14ac:dyDescent="0.2">
      <c r="A23"/>
      <c r="B23"/>
      <c r="C23"/>
      <c r="D23"/>
      <c r="K23"/>
      <c r="L23"/>
      <c r="M23"/>
      <c r="N23"/>
      <c r="O23" t="str">
        <f>IFERROR(LEFT(AllWireRollCerts[[#This Row],[traceability_no]],6),"")</f>
        <v>065908</v>
      </c>
      <c r="P23" t="str">
        <f>IFERROR(SUBSTITUTE(AllWireRollCerts[[#This Row],[traceability_no]],AllWireRollCerts[[#This Row],[sort1]],""),"")</f>
        <v>M</v>
      </c>
    </row>
    <row r="24" spans="1:16" x14ac:dyDescent="0.2">
      <c r="A24"/>
      <c r="B24"/>
      <c r="C24"/>
      <c r="D24"/>
      <c r="K24"/>
      <c r="L24"/>
      <c r="M24"/>
      <c r="N24"/>
      <c r="O24" t="str">
        <f>IFERROR(LEFT(AllWireRollCerts[[#This Row],[traceability_no]],6),"")</f>
        <v>065908</v>
      </c>
      <c r="P24" t="str">
        <f>IFERROR(SUBSTITUTE(AllWireRollCerts[[#This Row],[traceability_no]],AllWireRollCerts[[#This Row],[sort1]],""),"")</f>
        <v>N</v>
      </c>
    </row>
    <row r="25" spans="1:16" x14ac:dyDescent="0.2">
      <c r="A25"/>
      <c r="B25"/>
      <c r="C25"/>
      <c r="D25"/>
      <c r="K25"/>
      <c r="L25"/>
      <c r="M25"/>
      <c r="N25"/>
      <c r="O25" t="str">
        <f>IFERROR(LEFT(AllWireRollCerts[[#This Row],[traceability_no]],6),"")</f>
        <v>065908</v>
      </c>
      <c r="P25" t="str">
        <f>IFERROR(SUBSTITUTE(AllWireRollCerts[[#This Row],[traceability_no]],AllWireRollCerts[[#This Row],[sort1]],""),"")</f>
        <v>O</v>
      </c>
    </row>
    <row r="26" spans="1:16" x14ac:dyDescent="0.2">
      <c r="A26"/>
      <c r="B26"/>
      <c r="C26"/>
      <c r="D26"/>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438</v>
      </c>
      <c r="R1" s="449" t="s">
        <v>202</v>
      </c>
      <c r="S1" s="449" t="s">
        <v>203</v>
      </c>
      <c r="T1" s="449" t="s">
        <v>439</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441</v>
      </c>
      <c r="J1" s="457" t="s">
        <v>376</v>
      </c>
      <c r="K1" s="457" t="s">
        <v>440</v>
      </c>
      <c r="M1" s="457" t="s">
        <v>441</v>
      </c>
      <c r="N1" s="457" t="s">
        <v>724</v>
      </c>
      <c r="O1" s="457" t="s">
        <v>725</v>
      </c>
      <c r="P1" s="457" t="s">
        <v>86</v>
      </c>
      <c r="Q1" s="457" t="s">
        <v>461</v>
      </c>
      <c r="R1" s="457" t="s">
        <v>721</v>
      </c>
      <c r="S1" s="457" t="s">
        <v>722</v>
      </c>
      <c r="T1" s="457" t="s">
        <v>723</v>
      </c>
      <c r="W1" s="36" t="s">
        <v>726</v>
      </c>
      <c r="X1" s="36" t="s">
        <v>731</v>
      </c>
      <c r="Z1" s="463" t="s">
        <v>726</v>
      </c>
      <c r="AA1" s="464" t="s">
        <v>730</v>
      </c>
      <c r="AB1" s="473"/>
      <c r="AC1" s="473"/>
      <c r="AD1" s="473"/>
      <c r="AE1" s="473"/>
      <c r="AF1" s="1"/>
      <c r="AG1" s="465"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2" t="str">
        <v>J109</v>
      </c>
      <c r="AA41" s="194" t="str">
        <v>J101-J110</v>
      </c>
      <c r="AG41" s="69" t="str">
        <v>J109</v>
      </c>
    </row>
    <row r="42" spans="1:33" x14ac:dyDescent="0.2">
      <c r="A42"/>
      <c r="B42"/>
      <c r="C42"/>
      <c r="D42"/>
      <c r="E42"/>
      <c r="F42" t="str">
        <f>LEFT(AllDaqbookOffsets[[#This Row],[traceability_no]],2)</f>
        <v>J1</v>
      </c>
      <c r="W42" t="s">
        <v>487</v>
      </c>
      <c r="X42" t="s">
        <v>168</v>
      </c>
      <c r="Z42" s="462" t="str">
        <v>J11</v>
      </c>
      <c r="AA42" s="194" t="str">
        <v>J01-J24</v>
      </c>
      <c r="AG42" s="69" t="str">
        <v>J11</v>
      </c>
    </row>
    <row r="43" spans="1:33" x14ac:dyDescent="0.2">
      <c r="A43"/>
      <c r="B43"/>
      <c r="C43"/>
      <c r="D43"/>
      <c r="E43"/>
      <c r="F43" t="str">
        <f>LEFT(AllDaqbookOffsets[[#This Row],[traceability_no]],2)</f>
        <v>J1</v>
      </c>
      <c r="W43" t="s">
        <v>488</v>
      </c>
      <c r="X43" t="s">
        <v>168</v>
      </c>
      <c r="Z43" s="462" t="str">
        <v>J110</v>
      </c>
      <c r="AA43" s="194" t="str">
        <v>J101-J110</v>
      </c>
      <c r="AG43" s="69" t="str">
        <v>J110</v>
      </c>
    </row>
    <row r="44" spans="1:33" x14ac:dyDescent="0.2">
      <c r="A44"/>
      <c r="B44"/>
      <c r="C44"/>
      <c r="D44"/>
      <c r="E44"/>
      <c r="F44" t="str">
        <f>LEFT(AllDaqbookOffsets[[#This Row],[traceability_no]],2)</f>
        <v>J1</v>
      </c>
      <c r="W44" t="s">
        <v>489</v>
      </c>
      <c r="X44" t="s">
        <v>168</v>
      </c>
      <c r="Z44" s="462" t="str">
        <v>J111</v>
      </c>
      <c r="AA44" s="194" t="str">
        <v>J111-J120</v>
      </c>
      <c r="AG44" s="69" t="str">
        <v>J111</v>
      </c>
    </row>
    <row r="45" spans="1:33" x14ac:dyDescent="0.2">
      <c r="A45"/>
      <c r="B45"/>
      <c r="C45"/>
      <c r="D45"/>
      <c r="E45"/>
      <c r="F45" t="str">
        <f>LEFT(AllDaqbookOffsets[[#This Row],[traceability_no]],2)</f>
        <v>J1</v>
      </c>
      <c r="W45" t="s">
        <v>490</v>
      </c>
      <c r="X45" t="s">
        <v>168</v>
      </c>
      <c r="Z45" s="462" t="str">
        <v>J112</v>
      </c>
      <c r="AA45" s="194" t="str">
        <v>J111-J120</v>
      </c>
      <c r="AG45" s="69" t="str">
        <v>J112</v>
      </c>
    </row>
    <row r="46" spans="1:33" x14ac:dyDescent="0.2">
      <c r="A46"/>
      <c r="B46"/>
      <c r="C46"/>
      <c r="D46"/>
      <c r="E46"/>
      <c r="F46" t="str">
        <f>LEFT(AllDaqbookOffsets[[#This Row],[traceability_no]],2)</f>
        <v>J1</v>
      </c>
      <c r="W46" t="s">
        <v>491</v>
      </c>
      <c r="X46" t="s">
        <v>168</v>
      </c>
      <c r="Z46" s="462" t="str">
        <v>J113</v>
      </c>
      <c r="AA46" s="194" t="str">
        <v>J111-J120</v>
      </c>
      <c r="AG46" s="69" t="str">
        <v>J113</v>
      </c>
    </row>
    <row r="47" spans="1:33" x14ac:dyDescent="0.2">
      <c r="A47"/>
      <c r="B47"/>
      <c r="C47"/>
      <c r="D47"/>
      <c r="E47"/>
      <c r="F47" t="str">
        <f>LEFT(AllDaqbookOffsets[[#This Row],[traceability_no]],2)</f>
        <v>J1</v>
      </c>
      <c r="W47" t="s">
        <v>492</v>
      </c>
      <c r="X47" t="s">
        <v>168</v>
      </c>
      <c r="Z47" s="462" t="str">
        <v>J114</v>
      </c>
      <c r="AA47" s="194" t="str">
        <v>J111-J120</v>
      </c>
      <c r="AG47" s="69" t="str">
        <v>J114</v>
      </c>
    </row>
    <row r="48" spans="1:33" x14ac:dyDescent="0.2">
      <c r="A48"/>
      <c r="B48"/>
      <c r="C48"/>
      <c r="D48"/>
      <c r="E48"/>
      <c r="F48" t="str">
        <f>LEFT(AllDaqbookOffsets[[#This Row],[traceability_no]],2)</f>
        <v>J1</v>
      </c>
      <c r="W48" t="s">
        <v>493</v>
      </c>
      <c r="X48" t="s">
        <v>168</v>
      </c>
      <c r="Z48" s="462" t="str">
        <v>J115</v>
      </c>
      <c r="AA48" s="194" t="str">
        <v>J111-J120</v>
      </c>
      <c r="AG48" s="69" t="str">
        <v>J115</v>
      </c>
    </row>
    <row r="49" spans="1:33" x14ac:dyDescent="0.2">
      <c r="A49"/>
      <c r="B49"/>
      <c r="C49"/>
      <c r="D49"/>
      <c r="E49"/>
      <c r="F49" t="str">
        <f>LEFT(AllDaqbookOffsets[[#This Row],[traceability_no]],2)</f>
        <v>J1</v>
      </c>
      <c r="W49" t="s">
        <v>494</v>
      </c>
      <c r="X49" t="s">
        <v>168</v>
      </c>
      <c r="Z49" s="462" t="str">
        <v>J116</v>
      </c>
      <c r="AA49" s="194" t="str">
        <v>J111-J120</v>
      </c>
      <c r="AG49" s="69" t="str">
        <v>J116</v>
      </c>
    </row>
    <row r="50" spans="1:33" x14ac:dyDescent="0.2">
      <c r="A50"/>
      <c r="B50"/>
      <c r="C50"/>
      <c r="D50"/>
      <c r="E50"/>
      <c r="F50" t="str">
        <f>LEFT(AllDaqbookOffsets[[#This Row],[traceability_no]],2)</f>
        <v>J1</v>
      </c>
      <c r="W50" t="s">
        <v>495</v>
      </c>
      <c r="X50" t="s">
        <v>168</v>
      </c>
      <c r="Z50" s="462" t="str">
        <v>J117</v>
      </c>
      <c r="AA50" s="194" t="str">
        <v>J111-J120</v>
      </c>
      <c r="AG50" s="69" t="str">
        <v>J117</v>
      </c>
    </row>
    <row r="51" spans="1:33" x14ac:dyDescent="0.2">
      <c r="A51"/>
      <c r="B51"/>
      <c r="C51"/>
      <c r="D51"/>
      <c r="E51"/>
      <c r="F51" t="str">
        <f>LEFT(AllDaqbookOffsets[[#This Row],[traceability_no]],2)</f>
        <v>J1</v>
      </c>
      <c r="W51" t="s">
        <v>470</v>
      </c>
      <c r="X51" t="s">
        <v>165</v>
      </c>
      <c r="Z51" s="462" t="str">
        <v>J118</v>
      </c>
      <c r="AA51" s="194" t="str">
        <v>J111-J120</v>
      </c>
      <c r="AG51" s="69" t="str">
        <v>J118</v>
      </c>
    </row>
    <row r="52" spans="1:33" x14ac:dyDescent="0.2">
      <c r="A52"/>
      <c r="B52"/>
      <c r="C52"/>
      <c r="D52"/>
      <c r="E52"/>
      <c r="F52" t="str">
        <f>LEFT(AllDaqbookOffsets[[#This Row],[traceability_no]],2)</f>
        <v>J1</v>
      </c>
      <c r="W52" t="s">
        <v>496</v>
      </c>
      <c r="X52" t="s">
        <v>168</v>
      </c>
      <c r="Z52" s="462" t="str">
        <v>J119</v>
      </c>
      <c r="AA52" s="194" t="str">
        <v>J111-J120</v>
      </c>
      <c r="AG52" s="69" t="str">
        <v>J119</v>
      </c>
    </row>
    <row r="53" spans="1:33" x14ac:dyDescent="0.2">
      <c r="A53"/>
      <c r="B53"/>
      <c r="C53"/>
      <c r="D53"/>
      <c r="E53"/>
      <c r="F53" t="str">
        <f>LEFT(AllDaqbookOffsets[[#This Row],[traceability_no]],2)</f>
        <v>J1</v>
      </c>
      <c r="W53" t="s">
        <v>497</v>
      </c>
      <c r="X53" t="s">
        <v>168</v>
      </c>
      <c r="Z53" s="462" t="str">
        <v>J12</v>
      </c>
      <c r="AA53" s="194" t="str">
        <v>J01-J24</v>
      </c>
      <c r="AG53" s="69" t="str">
        <v>J12</v>
      </c>
    </row>
    <row r="54" spans="1:33" x14ac:dyDescent="0.2">
      <c r="A54"/>
      <c r="B54"/>
      <c r="C54"/>
      <c r="D54"/>
      <c r="E54"/>
      <c r="F54" t="str">
        <f>LEFT(AllDaqbookOffsets[[#This Row],[traceability_no]],2)</f>
        <v>J1</v>
      </c>
      <c r="W54" t="s">
        <v>498</v>
      </c>
      <c r="X54" t="s">
        <v>168</v>
      </c>
      <c r="Z54" s="462" t="str">
        <v>J120</v>
      </c>
      <c r="AA54" s="194" t="str">
        <v>J111-J120</v>
      </c>
      <c r="AG54" s="69" t="str">
        <v>J120</v>
      </c>
    </row>
    <row r="55" spans="1:33" x14ac:dyDescent="0.2">
      <c r="A55"/>
      <c r="B55"/>
      <c r="C55"/>
      <c r="D55"/>
      <c r="E55"/>
      <c r="F55" t="str">
        <f>LEFT(AllDaqbookOffsets[[#This Row],[traceability_no]],2)</f>
        <v>J1</v>
      </c>
      <c r="W55" t="s">
        <v>499</v>
      </c>
      <c r="X55" t="s">
        <v>168</v>
      </c>
      <c r="Z55" s="462" t="str">
        <v>J13</v>
      </c>
      <c r="AA55" s="194" t="str">
        <v>J01-J24</v>
      </c>
      <c r="AG55" s="69" t="str">
        <v>J13</v>
      </c>
    </row>
    <row r="56" spans="1:33" x14ac:dyDescent="0.2">
      <c r="A56"/>
      <c r="B56"/>
      <c r="C56"/>
      <c r="D56"/>
      <c r="E56"/>
      <c r="F56" t="str">
        <f>LEFT(AllDaqbookOffsets[[#This Row],[traceability_no]],2)</f>
        <v>J1</v>
      </c>
      <c r="W56" t="s">
        <v>500</v>
      </c>
      <c r="X56" t="s">
        <v>168</v>
      </c>
      <c r="Z56" s="462" t="str">
        <v>J14</v>
      </c>
      <c r="AA56" s="194" t="str">
        <v>J01-J24</v>
      </c>
      <c r="AG56" s="69" t="str">
        <v>J14</v>
      </c>
    </row>
    <row r="57" spans="1:33" x14ac:dyDescent="0.2">
      <c r="A57"/>
      <c r="B57"/>
      <c r="C57"/>
      <c r="D57"/>
      <c r="E57"/>
      <c r="F57" t="str">
        <f>LEFT(AllDaqbookOffsets[[#This Row],[traceability_no]],2)</f>
        <v>J1</v>
      </c>
      <c r="W57" t="s">
        <v>471</v>
      </c>
      <c r="X57" t="s">
        <v>165</v>
      </c>
      <c r="Z57" s="462" t="str">
        <v>J15</v>
      </c>
      <c r="AA57" s="194" t="str">
        <v>J01-J24</v>
      </c>
      <c r="AG57" s="69" t="str">
        <v>J15</v>
      </c>
    </row>
    <row r="58" spans="1:33" x14ac:dyDescent="0.2">
      <c r="A58"/>
      <c r="B58"/>
      <c r="C58"/>
      <c r="D58"/>
      <c r="E58"/>
      <c r="F58" t="str">
        <f>LEFT(AllDaqbookOffsets[[#This Row],[traceability_no]],2)</f>
        <v>J1</v>
      </c>
      <c r="W58" t="s">
        <v>472</v>
      </c>
      <c r="X58" t="s">
        <v>165</v>
      </c>
      <c r="Z58" s="462" t="str">
        <v>J16</v>
      </c>
      <c r="AA58" s="194" t="str">
        <v>J01-J24</v>
      </c>
      <c r="AG58" s="69" t="str">
        <v>J16</v>
      </c>
    </row>
    <row r="59" spans="1:33" x14ac:dyDescent="0.2">
      <c r="A59"/>
      <c r="B59"/>
      <c r="C59"/>
      <c r="D59"/>
      <c r="E59"/>
      <c r="F59" t="str">
        <f>LEFT(AllDaqbookOffsets[[#This Row],[traceability_no]],2)</f>
        <v>J1</v>
      </c>
      <c r="W59" t="s">
        <v>473</v>
      </c>
      <c r="X59" t="s">
        <v>165</v>
      </c>
      <c r="Z59" s="462" t="str">
        <v>J17</v>
      </c>
      <c r="AA59" s="194" t="str">
        <v>J01-J24</v>
      </c>
      <c r="AG59" s="69" t="str">
        <v>J17</v>
      </c>
    </row>
    <row r="60" spans="1:33" x14ac:dyDescent="0.2">
      <c r="A60"/>
      <c r="B60"/>
      <c r="C60"/>
      <c r="D60"/>
      <c r="E60"/>
      <c r="F60" t="str">
        <f>LEFT(AllDaqbookOffsets[[#This Row],[traceability_no]],2)</f>
        <v>J1</v>
      </c>
      <c r="W60" t="s">
        <v>501</v>
      </c>
      <c r="X60" t="s">
        <v>169</v>
      </c>
      <c r="Z60" s="462" t="str">
        <v>J18</v>
      </c>
      <c r="AA60" s="194" t="str">
        <v>J01-J24</v>
      </c>
      <c r="AG60" s="69" t="str">
        <v>J18</v>
      </c>
    </row>
    <row r="61" spans="1:33" x14ac:dyDescent="0.2">
      <c r="A61"/>
      <c r="B61"/>
      <c r="C61"/>
      <c r="D61"/>
      <c r="E61"/>
      <c r="F61" t="str">
        <f>LEFT(AllDaqbookOffsets[[#This Row],[traceability_no]],2)</f>
        <v>J1</v>
      </c>
      <c r="W61" t="s">
        <v>502</v>
      </c>
      <c r="X61" t="s">
        <v>169</v>
      </c>
      <c r="Z61" s="462" t="str">
        <v>J19</v>
      </c>
      <c r="AA61" s="194" t="str">
        <v>J01-J24</v>
      </c>
      <c r="AG61" s="69" t="str">
        <v>J19</v>
      </c>
    </row>
    <row r="62" spans="1:33" x14ac:dyDescent="0.2">
      <c r="A62"/>
      <c r="B62"/>
      <c r="C62"/>
      <c r="D62"/>
      <c r="E62"/>
      <c r="F62" t="str">
        <f>LEFT(AllDaqbookOffsets[[#This Row],[traceability_no]],2)</f>
        <v>J1</v>
      </c>
      <c r="W62" t="s">
        <v>503</v>
      </c>
      <c r="X62" t="s">
        <v>169</v>
      </c>
      <c r="Z62" s="462" t="str">
        <v>J20</v>
      </c>
      <c r="AA62" s="194" t="str">
        <v>J01-J24</v>
      </c>
      <c r="AG62" s="69" t="str">
        <v>J20</v>
      </c>
    </row>
    <row r="63" spans="1:33" x14ac:dyDescent="0.2">
      <c r="A63"/>
      <c r="B63"/>
      <c r="C63"/>
      <c r="D63"/>
      <c r="E63"/>
      <c r="F63" t="str">
        <f>LEFT(AllDaqbookOffsets[[#This Row],[traceability_no]],2)</f>
        <v>J1</v>
      </c>
      <c r="W63" t="s">
        <v>504</v>
      </c>
      <c r="X63" t="s">
        <v>169</v>
      </c>
      <c r="Z63" s="462" t="str">
        <v>J201</v>
      </c>
      <c r="AA63" s="194" t="str">
        <v>J201-J214</v>
      </c>
      <c r="AG63" s="69" t="str">
        <v>J201</v>
      </c>
    </row>
    <row r="64" spans="1:33" x14ac:dyDescent="0.2">
      <c r="A64"/>
      <c r="B64"/>
      <c r="C64"/>
      <c r="D64"/>
      <c r="E64"/>
      <c r="F64" t="str">
        <f>LEFT(AllDaqbookOffsets[[#This Row],[traceability_no]],2)</f>
        <v>J1</v>
      </c>
      <c r="W64" t="s">
        <v>505</v>
      </c>
      <c r="X64" t="s">
        <v>169</v>
      </c>
      <c r="Z64" s="462" t="str">
        <v>J202</v>
      </c>
      <c r="AA64" s="194" t="str">
        <v>J201-J214</v>
      </c>
      <c r="AG64" s="69" t="str">
        <v>J202</v>
      </c>
    </row>
    <row r="65" spans="1:33" x14ac:dyDescent="0.2">
      <c r="A65"/>
      <c r="B65"/>
      <c r="C65"/>
      <c r="D65"/>
      <c r="E65"/>
      <c r="F65" t="str">
        <f>LEFT(AllDaqbookOffsets[[#This Row],[traceability_no]],2)</f>
        <v>J1</v>
      </c>
      <c r="W65" t="s">
        <v>506</v>
      </c>
      <c r="X65" t="s">
        <v>169</v>
      </c>
      <c r="Z65" s="462" t="str">
        <v>J203</v>
      </c>
      <c r="AA65" s="194" t="str">
        <v>J201-J214</v>
      </c>
      <c r="AG65" s="69" t="str">
        <v>J203</v>
      </c>
    </row>
    <row r="66" spans="1:33" x14ac:dyDescent="0.2">
      <c r="A66"/>
      <c r="B66"/>
      <c r="C66"/>
      <c r="D66"/>
      <c r="E66"/>
      <c r="F66" t="str">
        <f>LEFT(AllDaqbookOffsets[[#This Row],[traceability_no]],2)</f>
        <v>J1</v>
      </c>
      <c r="W66" t="s">
        <v>507</v>
      </c>
      <c r="X66" t="s">
        <v>169</v>
      </c>
      <c r="Z66" s="462" t="str">
        <v>J204</v>
      </c>
      <c r="AA66" s="194" t="str">
        <v>J201-J214</v>
      </c>
      <c r="AG66" s="69" t="str">
        <v>J204</v>
      </c>
    </row>
    <row r="67" spans="1:33" x14ac:dyDescent="0.2">
      <c r="A67"/>
      <c r="B67"/>
      <c r="C67"/>
      <c r="D67"/>
      <c r="E67"/>
      <c r="F67" t="str">
        <f>LEFT(AllDaqbookOffsets[[#This Row],[traceability_no]],2)</f>
        <v>J1</v>
      </c>
      <c r="W67" t="s">
        <v>508</v>
      </c>
      <c r="X67" t="s">
        <v>169</v>
      </c>
      <c r="Z67" s="462" t="str">
        <v>J205</v>
      </c>
      <c r="AA67" s="194" t="str">
        <v>J201-J214</v>
      </c>
      <c r="AG67" s="69" t="str">
        <v>J205</v>
      </c>
    </row>
    <row r="68" spans="1:33" x14ac:dyDescent="0.2">
      <c r="A68"/>
      <c r="B68"/>
      <c r="C68"/>
      <c r="D68"/>
      <c r="E68"/>
      <c r="F68" t="str">
        <f>LEFT(AllDaqbookOffsets[[#This Row],[traceability_no]],2)</f>
        <v>J1</v>
      </c>
      <c r="W68" t="s">
        <v>509</v>
      </c>
      <c r="X68" t="s">
        <v>169</v>
      </c>
      <c r="Z68" s="462" t="str">
        <v>J206</v>
      </c>
      <c r="AA68" s="194" t="str">
        <v>J201-J214</v>
      </c>
      <c r="AG68" s="69" t="str">
        <v>J206</v>
      </c>
    </row>
    <row r="69" spans="1:33" x14ac:dyDescent="0.2">
      <c r="A69"/>
      <c r="B69"/>
      <c r="C69"/>
      <c r="D69"/>
      <c r="E69"/>
      <c r="F69" t="str">
        <f>LEFT(AllDaqbookOffsets[[#This Row],[traceability_no]],2)</f>
        <v>J1</v>
      </c>
      <c r="W69" t="s">
        <v>510</v>
      </c>
      <c r="X69" t="s">
        <v>169</v>
      </c>
      <c r="Z69" s="462" t="str">
        <v>J207</v>
      </c>
      <c r="AA69" s="194" t="str">
        <v>J201-J214</v>
      </c>
      <c r="AG69" s="69" t="str">
        <v>J207</v>
      </c>
    </row>
    <row r="70" spans="1:33" x14ac:dyDescent="0.2">
      <c r="A70"/>
      <c r="B70"/>
      <c r="C70"/>
      <c r="D70"/>
      <c r="E70"/>
      <c r="F70" t="str">
        <f>LEFT(AllDaqbookOffsets[[#This Row],[traceability_no]],2)</f>
        <v>J1</v>
      </c>
      <c r="W70" t="s">
        <v>511</v>
      </c>
      <c r="X70" t="s">
        <v>169</v>
      </c>
      <c r="Z70" s="462" t="str">
        <v>J208</v>
      </c>
      <c r="AA70" s="194" t="str">
        <v>J201-J214</v>
      </c>
      <c r="AG70" s="69" t="str">
        <v>J208</v>
      </c>
    </row>
    <row r="71" spans="1:33" x14ac:dyDescent="0.2">
      <c r="A71"/>
      <c r="B71"/>
      <c r="C71"/>
      <c r="D71"/>
      <c r="E71"/>
      <c r="F71" t="str">
        <f>LEFT(AllDaqbookOffsets[[#This Row],[traceability_no]],2)</f>
        <v>J1</v>
      </c>
      <c r="W71" t="s">
        <v>512</v>
      </c>
      <c r="X71" t="s">
        <v>169</v>
      </c>
      <c r="Z71" s="462" t="str">
        <v>J209</v>
      </c>
      <c r="AA71" s="194" t="str">
        <v>J201-J214</v>
      </c>
      <c r="AG71" s="69" t="str">
        <v>J209</v>
      </c>
    </row>
    <row r="72" spans="1:33" x14ac:dyDescent="0.2">
      <c r="A72"/>
      <c r="B72"/>
      <c r="C72"/>
      <c r="D72"/>
      <c r="E72"/>
      <c r="F72" t="str">
        <f>LEFT(AllDaqbookOffsets[[#This Row],[traceability_no]],2)</f>
        <v>J1</v>
      </c>
      <c r="W72" t="s">
        <v>513</v>
      </c>
      <c r="X72" t="s">
        <v>169</v>
      </c>
      <c r="Z72" s="462" t="str">
        <v>J21</v>
      </c>
      <c r="AA72" s="194" t="str">
        <v>J01-J24</v>
      </c>
      <c r="AG72" s="69" t="str">
        <v>J21</v>
      </c>
    </row>
    <row r="73" spans="1:33" x14ac:dyDescent="0.2">
      <c r="A73"/>
      <c r="B73"/>
      <c r="C73"/>
      <c r="D73"/>
      <c r="E73"/>
      <c r="F73" t="str">
        <f>LEFT(AllDaqbookOffsets[[#This Row],[traceability_no]],2)</f>
        <v>J1</v>
      </c>
      <c r="W73" t="s">
        <v>514</v>
      </c>
      <c r="X73" t="s">
        <v>169</v>
      </c>
      <c r="Z73" s="462" t="str">
        <v>J210</v>
      </c>
      <c r="AA73" s="194" t="str">
        <v>J201-J214</v>
      </c>
      <c r="AG73" s="69" t="str">
        <v>J210</v>
      </c>
    </row>
    <row r="74" spans="1:33" x14ac:dyDescent="0.2">
      <c r="A74"/>
      <c r="B74"/>
      <c r="C74"/>
      <c r="D74"/>
      <c r="E74"/>
      <c r="F74" t="str">
        <f>LEFT(AllDaqbookOffsets[[#This Row],[traceability_no]],2)</f>
        <v>J1</v>
      </c>
      <c r="W74" t="s">
        <v>515</v>
      </c>
      <c r="X74" t="s">
        <v>170</v>
      </c>
      <c r="Z74" s="462" t="str">
        <v>J211</v>
      </c>
      <c r="AA74" s="194" t="str">
        <v>J201-J214</v>
      </c>
      <c r="AG74" s="69" t="str">
        <v>J211</v>
      </c>
    </row>
    <row r="75" spans="1:33" x14ac:dyDescent="0.2">
      <c r="A75"/>
      <c r="B75"/>
      <c r="C75"/>
      <c r="D75"/>
      <c r="E75"/>
      <c r="F75" t="str">
        <f>LEFT(AllDaqbookOffsets[[#This Row],[traceability_no]],2)</f>
        <v>J1</v>
      </c>
      <c r="W75" t="s">
        <v>516</v>
      </c>
      <c r="X75" t="s">
        <v>170</v>
      </c>
      <c r="Z75" s="462" t="str">
        <v>J212</v>
      </c>
      <c r="AA75" s="194" t="str">
        <v>J201-J214</v>
      </c>
      <c r="AG75" s="69" t="str">
        <v>J212</v>
      </c>
    </row>
    <row r="76" spans="1:33" x14ac:dyDescent="0.2">
      <c r="A76"/>
      <c r="B76"/>
      <c r="C76"/>
      <c r="D76"/>
      <c r="E76"/>
      <c r="F76" t="str">
        <f>LEFT(AllDaqbookOffsets[[#This Row],[traceability_no]],2)</f>
        <v>J1</v>
      </c>
      <c r="W76" t="s">
        <v>517</v>
      </c>
      <c r="X76" t="s">
        <v>170</v>
      </c>
      <c r="Z76" s="462" t="str">
        <v>J213</v>
      </c>
      <c r="AA76" s="194" t="str">
        <v>J201-J214</v>
      </c>
      <c r="AG76" s="69" t="str">
        <v>J213</v>
      </c>
    </row>
    <row r="77" spans="1:33" x14ac:dyDescent="0.2">
      <c r="A77"/>
      <c r="B77"/>
      <c r="C77"/>
      <c r="D77"/>
      <c r="E77"/>
      <c r="F77" t="str">
        <f>LEFT(AllDaqbookOffsets[[#This Row],[traceability_no]],2)</f>
        <v>J1</v>
      </c>
      <c r="W77" t="s">
        <v>518</v>
      </c>
      <c r="X77" t="s">
        <v>170</v>
      </c>
      <c r="Z77" s="462" t="str">
        <v>J214</v>
      </c>
      <c r="AA77" s="194" t="str">
        <v>J201-J214</v>
      </c>
      <c r="AG77" s="69" t="str">
        <v>J214</v>
      </c>
    </row>
    <row r="78" spans="1:33" x14ac:dyDescent="0.2">
      <c r="A78"/>
      <c r="B78"/>
      <c r="C78"/>
      <c r="D78"/>
      <c r="E78"/>
      <c r="F78" t="str">
        <f>LEFT(AllDaqbookOffsets[[#This Row],[traceability_no]],2)</f>
        <v>J1</v>
      </c>
      <c r="W78" t="s">
        <v>519</v>
      </c>
      <c r="X78" t="s">
        <v>170</v>
      </c>
      <c r="Z78" s="462" t="str">
        <v>J22</v>
      </c>
      <c r="AA78" s="194" t="str">
        <v>J01-J24</v>
      </c>
      <c r="AG78" s="69" t="str">
        <v>J22</v>
      </c>
    </row>
    <row r="79" spans="1:33" x14ac:dyDescent="0.2">
      <c r="A79"/>
      <c r="B79"/>
      <c r="C79"/>
      <c r="D79"/>
      <c r="E79"/>
      <c r="F79" t="str">
        <f>LEFT(AllDaqbookOffsets[[#This Row],[traceability_no]],2)</f>
        <v>J1</v>
      </c>
      <c r="W79" t="s">
        <v>520</v>
      </c>
      <c r="X79" t="s">
        <v>170</v>
      </c>
      <c r="Z79" s="462" t="str">
        <v>J23</v>
      </c>
      <c r="AA79" s="194" t="str">
        <v>J01-J24</v>
      </c>
      <c r="AG79" s="69" t="str">
        <v>J23</v>
      </c>
    </row>
    <row r="80" spans="1:33" x14ac:dyDescent="0.2">
      <c r="A80"/>
      <c r="B80"/>
      <c r="C80"/>
      <c r="D80"/>
      <c r="E80"/>
      <c r="F80" t="str">
        <f>LEFT(AllDaqbookOffsets[[#This Row],[traceability_no]],2)</f>
        <v>J1</v>
      </c>
      <c r="W80" t="s">
        <v>521</v>
      </c>
      <c r="X80" t="s">
        <v>170</v>
      </c>
      <c r="Z80" s="462" t="str">
        <v>J24</v>
      </c>
      <c r="AA80" s="194" t="str">
        <v>J01-J24</v>
      </c>
      <c r="AG80" s="69" t="str">
        <v>J24</v>
      </c>
    </row>
    <row r="81" spans="1:33" x14ac:dyDescent="0.2">
      <c r="A81"/>
      <c r="B81"/>
      <c r="C81"/>
      <c r="D81"/>
      <c r="E81"/>
      <c r="F81" t="str">
        <f>LEFT(AllDaqbookOffsets[[#This Row],[traceability_no]],2)</f>
        <v>J1</v>
      </c>
      <c r="W81" t="s">
        <v>522</v>
      </c>
      <c r="X81" t="s">
        <v>170</v>
      </c>
      <c r="Z81" s="462" t="str">
        <v>J301</v>
      </c>
      <c r="AA81" s="194" t="str">
        <v>J301-J314</v>
      </c>
      <c r="AG81" s="69" t="str">
        <v>J301</v>
      </c>
    </row>
    <row r="82" spans="1:33" x14ac:dyDescent="0.2">
      <c r="A82"/>
      <c r="B82"/>
      <c r="C82"/>
      <c r="D82"/>
      <c r="E82"/>
      <c r="F82" t="str">
        <f>LEFT(AllDaqbookOffsets[[#This Row],[traceability_no]],2)</f>
        <v>J1</v>
      </c>
      <c r="W82" t="s">
        <v>523</v>
      </c>
      <c r="X82" t="s">
        <v>170</v>
      </c>
      <c r="Z82" s="462" t="str">
        <v>J302</v>
      </c>
      <c r="AA82" s="194" t="str">
        <v>J301-J314</v>
      </c>
      <c r="AG82" s="69" t="str">
        <v>J302</v>
      </c>
    </row>
    <row r="83" spans="1:33" x14ac:dyDescent="0.2">
      <c r="A83"/>
      <c r="B83"/>
      <c r="C83"/>
      <c r="D83"/>
      <c r="E83"/>
      <c r="F83" t="str">
        <f>LEFT(AllDaqbookOffsets[[#This Row],[traceability_no]],2)</f>
        <v>J1</v>
      </c>
      <c r="W83" t="s">
        <v>524</v>
      </c>
      <c r="X83" t="s">
        <v>170</v>
      </c>
      <c r="Z83" s="462" t="str">
        <v>J303</v>
      </c>
      <c r="AA83" s="194" t="str">
        <v>J301-J314</v>
      </c>
      <c r="AG83" s="69" t="str">
        <v>J303</v>
      </c>
    </row>
    <row r="84" spans="1:33" x14ac:dyDescent="0.2">
      <c r="A84"/>
      <c r="B84"/>
      <c r="C84"/>
      <c r="D84"/>
      <c r="E84"/>
      <c r="F84" t="str">
        <f>LEFT(AllDaqbookOffsets[[#This Row],[traceability_no]],2)</f>
        <v>J1</v>
      </c>
      <c r="W84" t="s">
        <v>525</v>
      </c>
      <c r="X84" t="s">
        <v>170</v>
      </c>
      <c r="Z84" s="462" t="str">
        <v>J304</v>
      </c>
      <c r="AA84" s="194" t="str">
        <v>J301-J314</v>
      </c>
      <c r="AG84" s="69" t="str">
        <v>J304</v>
      </c>
    </row>
    <row r="85" spans="1:33" x14ac:dyDescent="0.2">
      <c r="A85"/>
      <c r="B85"/>
      <c r="C85"/>
      <c r="D85"/>
      <c r="E85"/>
      <c r="F85" t="str">
        <f>LEFT(AllDaqbookOffsets[[#This Row],[traceability_no]],2)</f>
        <v>J1</v>
      </c>
      <c r="W85" t="s">
        <v>526</v>
      </c>
      <c r="X85" t="s">
        <v>170</v>
      </c>
      <c r="Z85" s="462" t="str">
        <v>J305</v>
      </c>
      <c r="AA85" s="194" t="str">
        <v>J301-J314</v>
      </c>
      <c r="AG85" s="69" t="str">
        <v>J305</v>
      </c>
    </row>
    <row r="86" spans="1:33" x14ac:dyDescent="0.2">
      <c r="A86"/>
      <c r="B86"/>
      <c r="C86"/>
      <c r="D86"/>
      <c r="E86"/>
      <c r="F86" t="str">
        <f>LEFT(AllDaqbookOffsets[[#This Row],[traceability_no]],2)</f>
        <v>J1</v>
      </c>
      <c r="W86" t="s">
        <v>527</v>
      </c>
      <c r="X86" t="s">
        <v>170</v>
      </c>
      <c r="Z86" s="462" t="str">
        <v>J306</v>
      </c>
      <c r="AA86" s="194" t="str">
        <v>J301-J314</v>
      </c>
      <c r="AG86" s="69" t="str">
        <v>J306</v>
      </c>
    </row>
    <row r="87" spans="1:33" x14ac:dyDescent="0.2">
      <c r="A87"/>
      <c r="B87"/>
      <c r="C87"/>
      <c r="D87"/>
      <c r="E87"/>
      <c r="F87" t="str">
        <f>LEFT(AllDaqbookOffsets[[#This Row],[traceability_no]],2)</f>
        <v>J1</v>
      </c>
      <c r="W87" t="s">
        <v>528</v>
      </c>
      <c r="X87" t="s">
        <v>170</v>
      </c>
      <c r="Z87" s="462" t="str">
        <v>J307</v>
      </c>
      <c r="AA87" s="194" t="str">
        <v>J301-J314</v>
      </c>
      <c r="AG87" s="69" t="str">
        <v>J307</v>
      </c>
    </row>
    <row r="88" spans="1:33" x14ac:dyDescent="0.2">
      <c r="A88"/>
      <c r="B88"/>
      <c r="C88"/>
      <c r="D88"/>
      <c r="E88"/>
      <c r="F88" t="str">
        <f>LEFT(AllDaqbookOffsets[[#This Row],[traceability_no]],2)</f>
        <v>J1</v>
      </c>
      <c r="W88" t="s">
        <v>529</v>
      </c>
      <c r="X88" t="s">
        <v>171</v>
      </c>
      <c r="Z88" s="462" t="str">
        <v>J308</v>
      </c>
      <c r="AA88" s="194" t="str">
        <v>J301-J314</v>
      </c>
      <c r="AG88" s="69" t="str">
        <v>J308</v>
      </c>
    </row>
    <row r="89" spans="1:33" x14ac:dyDescent="0.2">
      <c r="A89"/>
      <c r="B89"/>
      <c r="C89"/>
      <c r="D89"/>
      <c r="E89"/>
      <c r="F89" t="str">
        <f>LEFT(AllDaqbookOffsets[[#This Row],[traceability_no]],2)</f>
        <v>J1</v>
      </c>
      <c r="W89" t="s">
        <v>530</v>
      </c>
      <c r="X89" t="s">
        <v>171</v>
      </c>
      <c r="Z89" s="462" t="str">
        <v>J309</v>
      </c>
      <c r="AA89" s="194" t="str">
        <v>J301-J314</v>
      </c>
      <c r="AG89" s="69" t="str">
        <v>J309</v>
      </c>
    </row>
    <row r="90" spans="1:33" x14ac:dyDescent="0.2">
      <c r="A90"/>
      <c r="B90"/>
      <c r="C90"/>
      <c r="D90"/>
      <c r="E90"/>
      <c r="F90" t="str">
        <f>LEFT(AllDaqbookOffsets[[#This Row],[traceability_no]],2)</f>
        <v>J1</v>
      </c>
      <c r="W90" t="s">
        <v>531</v>
      </c>
      <c r="X90" t="s">
        <v>171</v>
      </c>
      <c r="Z90" s="462" t="str">
        <v>J310</v>
      </c>
      <c r="AA90" s="194" t="str">
        <v>J301-J314</v>
      </c>
      <c r="AG90" s="69" t="str">
        <v>J310</v>
      </c>
    </row>
    <row r="91" spans="1:33" x14ac:dyDescent="0.2">
      <c r="A91"/>
      <c r="B91"/>
      <c r="C91"/>
      <c r="D91"/>
      <c r="E91"/>
      <c r="F91" t="str">
        <f>LEFT(AllDaqbookOffsets[[#This Row],[traceability_no]],2)</f>
        <v>J1</v>
      </c>
      <c r="W91" t="s">
        <v>532</v>
      </c>
      <c r="X91" t="s">
        <v>171</v>
      </c>
      <c r="Z91" s="462" t="str">
        <v>J311</v>
      </c>
      <c r="AA91" s="194" t="str">
        <v>J301-J314</v>
      </c>
      <c r="AG91" s="69" t="str">
        <v>J311</v>
      </c>
    </row>
    <row r="92" spans="1:33" x14ac:dyDescent="0.2">
      <c r="A92"/>
      <c r="B92"/>
      <c r="C92"/>
      <c r="D92"/>
      <c r="E92"/>
      <c r="F92" t="str">
        <f>LEFT(AllDaqbookOffsets[[#This Row],[traceability_no]],2)</f>
        <v>J1</v>
      </c>
      <c r="W92" t="s">
        <v>533</v>
      </c>
      <c r="X92" t="s">
        <v>171</v>
      </c>
      <c r="Z92" s="462" t="str">
        <v>J312</v>
      </c>
      <c r="AA92" s="194" t="str">
        <v>J301-J314</v>
      </c>
      <c r="AG92" s="69" t="str">
        <v>J312</v>
      </c>
    </row>
    <row r="93" spans="1:33" x14ac:dyDescent="0.2">
      <c r="A93"/>
      <c r="B93"/>
      <c r="C93"/>
      <c r="D93"/>
      <c r="E93"/>
      <c r="F93" t="str">
        <f>LEFT(AllDaqbookOffsets[[#This Row],[traceability_no]],2)</f>
        <v>J1</v>
      </c>
      <c r="W93" t="s">
        <v>534</v>
      </c>
      <c r="X93" t="s">
        <v>171</v>
      </c>
      <c r="Z93" s="462" t="str">
        <v>J313</v>
      </c>
      <c r="AA93" s="194" t="str">
        <v>J301-J314</v>
      </c>
      <c r="AG93" s="69" t="str">
        <v>J313</v>
      </c>
    </row>
    <row r="94" spans="1:33" x14ac:dyDescent="0.2">
      <c r="A94"/>
      <c r="B94"/>
      <c r="C94"/>
      <c r="D94"/>
      <c r="E94"/>
      <c r="F94" t="str">
        <f>LEFT(AllDaqbookOffsets[[#This Row],[traceability_no]],2)</f>
        <v>J1</v>
      </c>
      <c r="W94" t="s">
        <v>535</v>
      </c>
      <c r="X94" t="s">
        <v>171</v>
      </c>
      <c r="Z94" s="462" t="str">
        <v>J314</v>
      </c>
      <c r="AA94" s="194" t="str">
        <v>J301-J314</v>
      </c>
      <c r="AG94" s="69" t="str">
        <v>J314</v>
      </c>
    </row>
    <row r="95" spans="1:33" x14ac:dyDescent="0.2">
      <c r="A95"/>
      <c r="B95"/>
      <c r="C95"/>
      <c r="D95"/>
      <c r="E95"/>
      <c r="F95" t="str">
        <f>LEFT(AllDaqbookOffsets[[#This Row],[traceability_no]],2)</f>
        <v>J1</v>
      </c>
      <c r="W95" t="s">
        <v>536</v>
      </c>
      <c r="X95" t="s">
        <v>171</v>
      </c>
      <c r="Z95" s="462" t="str">
        <v>J501</v>
      </c>
      <c r="AA95" s="194" t="str">
        <v>J501-J514</v>
      </c>
      <c r="AG95" s="69" t="str">
        <v>J501</v>
      </c>
    </row>
    <row r="96" spans="1:33" x14ac:dyDescent="0.2">
      <c r="A96"/>
      <c r="B96"/>
      <c r="C96"/>
      <c r="D96"/>
      <c r="E96"/>
      <c r="F96" t="str">
        <f>LEFT(AllDaqbookOffsets[[#This Row],[traceability_no]],2)</f>
        <v>J1</v>
      </c>
      <c r="W96" t="s">
        <v>537</v>
      </c>
      <c r="X96" t="s">
        <v>171</v>
      </c>
      <c r="Z96" s="462" t="str">
        <v>J502</v>
      </c>
      <c r="AA96" s="194" t="str">
        <v>J501-J514</v>
      </c>
      <c r="AG96" s="69" t="str">
        <v>J502</v>
      </c>
    </row>
    <row r="97" spans="1:33" x14ac:dyDescent="0.2">
      <c r="A97"/>
      <c r="B97"/>
      <c r="C97"/>
      <c r="D97"/>
      <c r="E97"/>
      <c r="F97" t="str">
        <f>LEFT(AllDaqbookOffsets[[#This Row],[traceability_no]],2)</f>
        <v>J1</v>
      </c>
      <c r="W97" t="s">
        <v>538</v>
      </c>
      <c r="X97" t="s">
        <v>171</v>
      </c>
      <c r="Z97" s="462" t="str">
        <v>J503</v>
      </c>
      <c r="AA97" s="194" t="str">
        <v>J501-J514</v>
      </c>
      <c r="AG97" s="69" t="str">
        <v>J503</v>
      </c>
    </row>
    <row r="98" spans="1:33" x14ac:dyDescent="0.2">
      <c r="A98"/>
      <c r="B98"/>
      <c r="C98"/>
      <c r="D98"/>
      <c r="E98"/>
      <c r="F98" t="str">
        <f>LEFT(AllDaqbookOffsets[[#This Row],[traceability_no]],2)</f>
        <v>J1</v>
      </c>
      <c r="W98" t="s">
        <v>539</v>
      </c>
      <c r="X98" t="s">
        <v>172</v>
      </c>
      <c r="Z98" s="462" t="str">
        <v>J504</v>
      </c>
      <c r="AA98" s="194" t="str">
        <v>J501-J514</v>
      </c>
      <c r="AG98" s="69" t="str">
        <v>J504</v>
      </c>
    </row>
    <row r="99" spans="1:33" x14ac:dyDescent="0.2">
      <c r="A99"/>
      <c r="B99"/>
      <c r="C99"/>
      <c r="D99"/>
      <c r="E99"/>
      <c r="F99" t="str">
        <f>LEFT(AllDaqbookOffsets[[#This Row],[traceability_no]],2)</f>
        <v>J1</v>
      </c>
      <c r="W99" t="s">
        <v>540</v>
      </c>
      <c r="X99" t="s">
        <v>172</v>
      </c>
      <c r="Z99" s="462" t="str">
        <v>J505</v>
      </c>
      <c r="AA99" s="194" t="str">
        <v>J501-J514</v>
      </c>
      <c r="AG99" s="69" t="str">
        <v>J505</v>
      </c>
    </row>
    <row r="100" spans="1:33" x14ac:dyDescent="0.2">
      <c r="A100"/>
      <c r="B100"/>
      <c r="C100"/>
      <c r="D100"/>
      <c r="E100"/>
      <c r="F100" t="str">
        <f>LEFT(AllDaqbookOffsets[[#This Row],[traceability_no]],2)</f>
        <v>J1</v>
      </c>
      <c r="W100" t="s">
        <v>541</v>
      </c>
      <c r="X100" t="s">
        <v>172</v>
      </c>
      <c r="Z100" s="462" t="str">
        <v>J506</v>
      </c>
      <c r="AA100" s="194" t="str">
        <v>J501-J514</v>
      </c>
      <c r="AG100" s="69" t="str">
        <v>J506</v>
      </c>
    </row>
    <row r="101" spans="1:33" x14ac:dyDescent="0.2">
      <c r="A101"/>
      <c r="B101"/>
      <c r="C101"/>
      <c r="D101"/>
      <c r="E101"/>
      <c r="F101" t="str">
        <f>LEFT(AllDaqbookOffsets[[#This Row],[traceability_no]],2)</f>
        <v>J1</v>
      </c>
      <c r="W101" t="s">
        <v>542</v>
      </c>
      <c r="X101" t="s">
        <v>172</v>
      </c>
      <c r="Z101" s="462" t="str">
        <v>J507</v>
      </c>
      <c r="AA101" s="194" t="str">
        <v>J501-J514</v>
      </c>
      <c r="AG101" s="69" t="str">
        <v>J507</v>
      </c>
    </row>
    <row r="102" spans="1:33" x14ac:dyDescent="0.2">
      <c r="A102"/>
      <c r="B102"/>
      <c r="C102"/>
      <c r="D102"/>
      <c r="E102"/>
      <c r="F102" t="str">
        <f>LEFT(AllDaqbookOffsets[[#This Row],[traceability_no]],2)</f>
        <v>J1</v>
      </c>
      <c r="W102" t="s">
        <v>543</v>
      </c>
      <c r="X102" t="s">
        <v>172</v>
      </c>
      <c r="Z102" s="462" t="str">
        <v>J508</v>
      </c>
      <c r="AA102" s="194" t="str">
        <v>J501-J514</v>
      </c>
      <c r="AG102" s="69" t="str">
        <v>J508</v>
      </c>
    </row>
    <row r="103" spans="1:33" x14ac:dyDescent="0.2">
      <c r="A103"/>
      <c r="B103"/>
      <c r="C103"/>
      <c r="D103"/>
      <c r="E103"/>
      <c r="F103" t="str">
        <f>LEFT(AllDaqbookOffsets[[#This Row],[traceability_no]],2)</f>
        <v>J1</v>
      </c>
      <c r="W103" t="s">
        <v>544</v>
      </c>
      <c r="X103" t="s">
        <v>172</v>
      </c>
      <c r="Z103" s="462" t="str">
        <v>J509</v>
      </c>
      <c r="AA103" s="194" t="str">
        <v>J501-J514</v>
      </c>
      <c r="AG103" s="69" t="str">
        <v>J509</v>
      </c>
    </row>
    <row r="104" spans="1:33" x14ac:dyDescent="0.2">
      <c r="A104"/>
      <c r="B104"/>
      <c r="C104"/>
      <c r="D104"/>
      <c r="E104"/>
      <c r="F104" t="str">
        <f>LEFT(AllDaqbookOffsets[[#This Row],[traceability_no]],2)</f>
        <v>J1</v>
      </c>
      <c r="W104" t="s">
        <v>545</v>
      </c>
      <c r="X104" t="s">
        <v>172</v>
      </c>
      <c r="Z104" s="462" t="str">
        <v>J510</v>
      </c>
      <c r="AA104" s="194" t="str">
        <v>J501-J514</v>
      </c>
      <c r="AG104" s="69" t="str">
        <v>J510</v>
      </c>
    </row>
    <row r="105" spans="1:33" x14ac:dyDescent="0.2">
      <c r="A105"/>
      <c r="B105"/>
      <c r="C105"/>
      <c r="D105"/>
      <c r="E105"/>
      <c r="F105" t="str">
        <f>LEFT(AllDaqbookOffsets[[#This Row],[traceability_no]],2)</f>
        <v>J1</v>
      </c>
      <c r="W105" t="s">
        <v>546</v>
      </c>
      <c r="X105" t="s">
        <v>172</v>
      </c>
      <c r="Z105" s="462" t="str">
        <v>J511</v>
      </c>
      <c r="AA105" s="194" t="str">
        <v>J501-J514</v>
      </c>
      <c r="AG105" s="69" t="str">
        <v>J511</v>
      </c>
    </row>
    <row r="106" spans="1:33" x14ac:dyDescent="0.2">
      <c r="A106"/>
      <c r="B106"/>
      <c r="C106"/>
      <c r="D106"/>
      <c r="E106"/>
      <c r="F106" t="str">
        <f>LEFT(AllDaqbookOffsets[[#This Row],[traceability_no]],2)</f>
        <v>J1</v>
      </c>
      <c r="W106" t="s">
        <v>547</v>
      </c>
      <c r="X106" t="s">
        <v>172</v>
      </c>
      <c r="Z106" s="462" t="str">
        <v>J512</v>
      </c>
      <c r="AA106" s="194" t="str">
        <v>J501-J514</v>
      </c>
      <c r="AG106" s="69" t="str">
        <v>J512</v>
      </c>
    </row>
    <row r="107" spans="1:33" x14ac:dyDescent="0.2">
      <c r="A107"/>
      <c r="B107"/>
      <c r="C107"/>
      <c r="D107"/>
      <c r="E107"/>
      <c r="F107" t="str">
        <f>LEFT(AllDaqbookOffsets[[#This Row],[traceability_no]],2)</f>
        <v>J1</v>
      </c>
      <c r="W107" t="s">
        <v>548</v>
      </c>
      <c r="X107" t="s">
        <v>172</v>
      </c>
      <c r="Z107" s="462" t="str">
        <v>J513</v>
      </c>
      <c r="AA107" s="194" t="str">
        <v>J501-J514</v>
      </c>
      <c r="AG107" s="69" t="str">
        <v>J513</v>
      </c>
    </row>
    <row r="108" spans="1:33" x14ac:dyDescent="0.2">
      <c r="A108"/>
      <c r="B108"/>
      <c r="C108"/>
      <c r="D108"/>
      <c r="E108"/>
      <c r="F108" t="str">
        <f>LEFT(AllDaqbookOffsets[[#This Row],[traceability_no]],2)</f>
        <v>J1</v>
      </c>
      <c r="W108" t="s">
        <v>549</v>
      </c>
      <c r="X108" t="s">
        <v>296</v>
      </c>
      <c r="Z108" s="462" t="str">
        <v>J514</v>
      </c>
      <c r="AA108" s="194" t="str">
        <v>J501-J514</v>
      </c>
      <c r="AG108" s="69" t="str">
        <v>J514</v>
      </c>
    </row>
    <row r="109" spans="1:33" x14ac:dyDescent="0.2">
      <c r="A109"/>
      <c r="B109"/>
      <c r="C109"/>
      <c r="D109"/>
      <c r="E109"/>
      <c r="F109" t="str">
        <f>LEFT(AllDaqbookOffsets[[#This Row],[traceability_no]],2)</f>
        <v>J1</v>
      </c>
      <c r="W109" t="s">
        <v>550</v>
      </c>
      <c r="X109" t="s">
        <v>296</v>
      </c>
      <c r="Z109" s="462" t="str">
        <v>J601</v>
      </c>
      <c r="AA109" s="194" t="str">
        <v>J601-J610</v>
      </c>
      <c r="AG109" s="69" t="str">
        <v>J601</v>
      </c>
    </row>
    <row r="110" spans="1:33" x14ac:dyDescent="0.2">
      <c r="A110"/>
      <c r="B110"/>
      <c r="C110"/>
      <c r="D110"/>
      <c r="E110"/>
      <c r="F110" t="str">
        <f>LEFT(AllDaqbookOffsets[[#This Row],[traceability_no]],2)</f>
        <v>J1</v>
      </c>
      <c r="W110" t="s">
        <v>551</v>
      </c>
      <c r="X110" t="s">
        <v>296</v>
      </c>
      <c r="Z110" s="462" t="str">
        <v>J602</v>
      </c>
      <c r="AA110" s="194" t="str">
        <v>J601-J610</v>
      </c>
      <c r="AG110" s="69" t="str">
        <v>J602</v>
      </c>
    </row>
    <row r="111" spans="1:33" x14ac:dyDescent="0.2">
      <c r="A111"/>
      <c r="B111"/>
      <c r="C111"/>
      <c r="D111"/>
      <c r="E111"/>
      <c r="F111" t="str">
        <f>LEFT(AllDaqbookOffsets[[#This Row],[traceability_no]],2)</f>
        <v>J1</v>
      </c>
      <c r="W111" t="s">
        <v>552</v>
      </c>
      <c r="X111" t="s">
        <v>296</v>
      </c>
      <c r="Z111" s="462" t="str">
        <v>J603</v>
      </c>
      <c r="AA111" s="194" t="str">
        <v>J601-J610</v>
      </c>
      <c r="AG111" s="69" t="str">
        <v>J603</v>
      </c>
    </row>
    <row r="112" spans="1:33" x14ac:dyDescent="0.2">
      <c r="A112"/>
      <c r="B112"/>
      <c r="C112"/>
      <c r="D112"/>
      <c r="E112"/>
      <c r="F112" t="str">
        <f>LEFT(AllDaqbookOffsets[[#This Row],[traceability_no]],2)</f>
        <v>J1</v>
      </c>
      <c r="W112" t="s">
        <v>553</v>
      </c>
      <c r="X112" t="s">
        <v>296</v>
      </c>
      <c r="Z112" s="462" t="str">
        <v>J604</v>
      </c>
      <c r="AA112" s="194" t="str">
        <v>J601-J610</v>
      </c>
      <c r="AG112" s="69" t="str">
        <v>J604</v>
      </c>
    </row>
    <row r="113" spans="1:33" x14ac:dyDescent="0.2">
      <c r="A113"/>
      <c r="B113"/>
      <c r="C113"/>
      <c r="D113"/>
      <c r="E113"/>
      <c r="F113" t="str">
        <f>LEFT(AllDaqbookOffsets[[#This Row],[traceability_no]],2)</f>
        <v>J1</v>
      </c>
      <c r="W113" t="s">
        <v>554</v>
      </c>
      <c r="X113" t="s">
        <v>296</v>
      </c>
      <c r="Z113" s="462" t="str">
        <v>J605</v>
      </c>
      <c r="AA113" s="194" t="str">
        <v>J601-J610</v>
      </c>
      <c r="AG113" s="69" t="str">
        <v>J605</v>
      </c>
    </row>
    <row r="114" spans="1:33" x14ac:dyDescent="0.2">
      <c r="A114"/>
      <c r="B114"/>
      <c r="C114"/>
      <c r="D114"/>
      <c r="E114"/>
      <c r="F114" t="str">
        <f>LEFT(AllDaqbookOffsets[[#This Row],[traceability_no]],2)</f>
        <v>J1</v>
      </c>
      <c r="W114" t="s">
        <v>555</v>
      </c>
      <c r="X114" t="s">
        <v>296</v>
      </c>
      <c r="Z114" s="462" t="str">
        <v>J606</v>
      </c>
      <c r="AA114" s="194" t="str">
        <v>J601-J610</v>
      </c>
      <c r="AG114" s="69" t="str">
        <v>J606</v>
      </c>
    </row>
    <row r="115" spans="1:33" x14ac:dyDescent="0.2">
      <c r="A115"/>
      <c r="B115"/>
      <c r="C115"/>
      <c r="D115"/>
      <c r="E115"/>
      <c r="F115" t="str">
        <f>LEFT(AllDaqbookOffsets[[#This Row],[traceability_no]],2)</f>
        <v>J1</v>
      </c>
      <c r="W115" t="s">
        <v>556</v>
      </c>
      <c r="X115" t="s">
        <v>296</v>
      </c>
      <c r="Z115" s="462" t="str">
        <v>J607</v>
      </c>
      <c r="AA115" s="194" t="str">
        <v>J601-J610</v>
      </c>
      <c r="AG115" s="69" t="str">
        <v>J607</v>
      </c>
    </row>
    <row r="116" spans="1:33" x14ac:dyDescent="0.2">
      <c r="A116"/>
      <c r="B116"/>
      <c r="C116"/>
      <c r="D116"/>
      <c r="E116"/>
      <c r="F116" t="str">
        <f>LEFT(AllDaqbookOffsets[[#This Row],[traceability_no]],2)</f>
        <v>J1</v>
      </c>
      <c r="W116" t="s">
        <v>557</v>
      </c>
      <c r="X116" t="s">
        <v>296</v>
      </c>
      <c r="Z116" s="462" t="str">
        <v>J608</v>
      </c>
      <c r="AA116" s="194" t="str">
        <v>J601-J610</v>
      </c>
      <c r="AG116" s="69" t="str">
        <v>J608</v>
      </c>
    </row>
    <row r="117" spans="1:33" x14ac:dyDescent="0.2">
      <c r="A117"/>
      <c r="B117"/>
      <c r="C117"/>
      <c r="D117"/>
      <c r="E117"/>
      <c r="F117" t="str">
        <f>LEFT(AllDaqbookOffsets[[#This Row],[traceability_no]],2)</f>
        <v>J1</v>
      </c>
      <c r="W117" t="s">
        <v>558</v>
      </c>
      <c r="X117" t="s">
        <v>296</v>
      </c>
      <c r="Z117" s="462" t="str">
        <v>J609</v>
      </c>
      <c r="AA117" s="194" t="str">
        <v>J601-J610</v>
      </c>
      <c r="AG117" s="69" t="str">
        <v>J609</v>
      </c>
    </row>
    <row r="118" spans="1:33" x14ac:dyDescent="0.2">
      <c r="A118"/>
      <c r="B118"/>
      <c r="C118"/>
      <c r="D118"/>
      <c r="E118"/>
      <c r="F118" t="str">
        <f>LEFT(AllDaqbookOffsets[[#This Row],[traceability_no]],2)</f>
        <v>J1</v>
      </c>
      <c r="W118" t="s">
        <v>565</v>
      </c>
      <c r="X118" t="s">
        <v>174</v>
      </c>
      <c r="Z118" s="462" t="str">
        <v>J610</v>
      </c>
      <c r="AA118" s="194" t="str">
        <v>J601-J610</v>
      </c>
      <c r="AG118" s="69" t="str">
        <v>J610</v>
      </c>
    </row>
    <row r="119" spans="1:33" x14ac:dyDescent="0.2">
      <c r="A119"/>
      <c r="B119"/>
      <c r="C119"/>
      <c r="D119"/>
      <c r="E119"/>
      <c r="F119" t="str">
        <f>LEFT(AllDaqbookOffsets[[#This Row],[traceability_no]],2)</f>
        <v>J1</v>
      </c>
      <c r="W119" t="s">
        <v>566</v>
      </c>
      <c r="X119" t="s">
        <v>174</v>
      </c>
      <c r="Z119" s="462" t="str">
        <v>J701</v>
      </c>
      <c r="AA119" s="194" t="str">
        <v>J701-J710</v>
      </c>
      <c r="AG119" s="69" t="str">
        <v>J701</v>
      </c>
    </row>
    <row r="120" spans="1:33" x14ac:dyDescent="0.2">
      <c r="A120"/>
      <c r="B120"/>
      <c r="C120"/>
      <c r="D120"/>
      <c r="E120"/>
      <c r="F120" t="str">
        <f>LEFT(AllDaqbookOffsets[[#This Row],[traceability_no]],2)</f>
        <v>J1</v>
      </c>
      <c r="W120" t="s">
        <v>567</v>
      </c>
      <c r="X120" t="s">
        <v>174</v>
      </c>
      <c r="Z120" s="462" t="str">
        <v>J702</v>
      </c>
      <c r="AA120" s="194" t="str">
        <v>J701-J710</v>
      </c>
      <c r="AG120" s="69" t="str">
        <v>J702</v>
      </c>
    </row>
    <row r="121" spans="1:33" x14ac:dyDescent="0.2">
      <c r="A121"/>
      <c r="B121"/>
      <c r="C121"/>
      <c r="D121"/>
      <c r="E121"/>
      <c r="F121" t="str">
        <f>LEFT(AllDaqbookOffsets[[#This Row],[traceability_no]],2)</f>
        <v>J1</v>
      </c>
      <c r="W121" t="s">
        <v>568</v>
      </c>
      <c r="X121" t="s">
        <v>174</v>
      </c>
      <c r="Z121" s="462" t="str">
        <v>J703</v>
      </c>
      <c r="AA121" s="194" t="str">
        <v>J701-J710</v>
      </c>
      <c r="AG121" s="69" t="str">
        <v>J703</v>
      </c>
    </row>
    <row r="122" spans="1:33" x14ac:dyDescent="0.2">
      <c r="A122"/>
      <c r="B122"/>
      <c r="C122"/>
      <c r="D122"/>
      <c r="E122"/>
      <c r="F122" t="str">
        <f>LEFT(AllDaqbookOffsets[[#This Row],[traceability_no]],2)</f>
        <v>J1</v>
      </c>
      <c r="W122" t="s">
        <v>569</v>
      </c>
      <c r="X122" t="s">
        <v>174</v>
      </c>
      <c r="Z122" s="462" t="str">
        <v>J704</v>
      </c>
      <c r="AA122" s="194" t="str">
        <v>J701-J710</v>
      </c>
      <c r="AG122" s="69" t="str">
        <v>J704</v>
      </c>
    </row>
    <row r="123" spans="1:33" x14ac:dyDescent="0.2">
      <c r="A123"/>
      <c r="B123"/>
      <c r="C123"/>
      <c r="D123"/>
      <c r="E123"/>
      <c r="F123" t="str">
        <f>LEFT(AllDaqbookOffsets[[#This Row],[traceability_no]],2)</f>
        <v>J1</v>
      </c>
      <c r="W123" t="s">
        <v>570</v>
      </c>
      <c r="X123" t="s">
        <v>174</v>
      </c>
      <c r="Z123" s="462" t="str">
        <v>J705</v>
      </c>
      <c r="AA123" s="194" t="str">
        <v>J701-J710</v>
      </c>
      <c r="AG123" s="69" t="str">
        <v>J705</v>
      </c>
    </row>
    <row r="124" spans="1:33" x14ac:dyDescent="0.2">
      <c r="A124"/>
      <c r="B124"/>
      <c r="C124"/>
      <c r="D124"/>
      <c r="E124"/>
      <c r="F124" t="str">
        <f>LEFT(AllDaqbookOffsets[[#This Row],[traceability_no]],2)</f>
        <v>J1</v>
      </c>
      <c r="W124" t="s">
        <v>571</v>
      </c>
      <c r="X124" t="s">
        <v>174</v>
      </c>
      <c r="Z124" s="462" t="str">
        <v>J706</v>
      </c>
      <c r="AA124" s="194" t="str">
        <v>J701-J710</v>
      </c>
      <c r="AG124" s="69" t="str">
        <v>J706</v>
      </c>
    </row>
    <row r="125" spans="1:33" x14ac:dyDescent="0.2">
      <c r="A125"/>
      <c r="B125"/>
      <c r="C125"/>
      <c r="D125"/>
      <c r="E125"/>
      <c r="F125" t="str">
        <f>LEFT(AllDaqbookOffsets[[#This Row],[traceability_no]],2)</f>
        <v>J1</v>
      </c>
      <c r="W125" t="s">
        <v>572</v>
      </c>
      <c r="X125" t="s">
        <v>174</v>
      </c>
      <c r="Z125" s="462" t="str">
        <v>J707</v>
      </c>
      <c r="AA125" s="194" t="str">
        <v>J701-J710</v>
      </c>
      <c r="AG125" s="69" t="str">
        <v>J707</v>
      </c>
    </row>
    <row r="126" spans="1:33" x14ac:dyDescent="0.2">
      <c r="A126"/>
      <c r="B126"/>
      <c r="C126"/>
      <c r="D126"/>
      <c r="E126"/>
      <c r="F126" t="str">
        <f>LEFT(AllDaqbookOffsets[[#This Row],[traceability_no]],2)</f>
        <v>J1</v>
      </c>
      <c r="W126" t="s">
        <v>573</v>
      </c>
      <c r="X126" t="s">
        <v>174</v>
      </c>
      <c r="Z126" s="462" t="str">
        <v>J708</v>
      </c>
      <c r="AA126" s="194" t="str">
        <v>J701-J710</v>
      </c>
      <c r="AG126" s="69" t="str">
        <v>J708</v>
      </c>
    </row>
    <row r="127" spans="1:33" x14ac:dyDescent="0.2">
      <c r="A127"/>
      <c r="B127"/>
      <c r="C127"/>
      <c r="D127"/>
      <c r="E127"/>
      <c r="F127" t="str">
        <f>LEFT(AllDaqbookOffsets[[#This Row],[traceability_no]],2)</f>
        <v>J1</v>
      </c>
      <c r="W127" t="s">
        <v>559</v>
      </c>
      <c r="X127" t="s">
        <v>296</v>
      </c>
      <c r="Z127" s="462" t="str">
        <v>J709</v>
      </c>
      <c r="AA127" s="194" t="str">
        <v>J701-J710</v>
      </c>
      <c r="AG127" s="69" t="str">
        <v>J709</v>
      </c>
    </row>
    <row r="128" spans="1:33" x14ac:dyDescent="0.2">
      <c r="A128"/>
      <c r="B128"/>
      <c r="C128"/>
      <c r="D128"/>
      <c r="E128"/>
      <c r="F128" t="str">
        <f>LEFT(AllDaqbookOffsets[[#This Row],[traceability_no]],2)</f>
        <v>J1</v>
      </c>
      <c r="W128" t="s">
        <v>574</v>
      </c>
      <c r="X128" t="s">
        <v>174</v>
      </c>
      <c r="Z128" s="462" t="str">
        <v>J710</v>
      </c>
      <c r="AA128" s="194" t="str">
        <v>J701-J710</v>
      </c>
      <c r="AG128" s="69" t="str">
        <v>J710</v>
      </c>
    </row>
    <row r="129" spans="1:33" x14ac:dyDescent="0.2">
      <c r="A129"/>
      <c r="B129"/>
      <c r="C129"/>
      <c r="D129"/>
      <c r="E129"/>
      <c r="F129" t="str">
        <f>LEFT(AllDaqbookOffsets[[#This Row],[traceability_no]],2)</f>
        <v>J1</v>
      </c>
      <c r="W129" t="s">
        <v>560</v>
      </c>
      <c r="X129" t="s">
        <v>296</v>
      </c>
      <c r="Z129" s="462" t="str">
        <v>K01</v>
      </c>
      <c r="AA129" s="194" t="str">
        <v>K01-K16</v>
      </c>
      <c r="AG129" s="69" t="str">
        <v>K01</v>
      </c>
    </row>
    <row r="130" spans="1:33" x14ac:dyDescent="0.2">
      <c r="A130"/>
      <c r="B130"/>
      <c r="C130"/>
      <c r="D130"/>
      <c r="E130"/>
      <c r="F130" t="str">
        <f>LEFT(AllDaqbookOffsets[[#This Row],[traceability_no]],2)</f>
        <v>J1</v>
      </c>
      <c r="W130" t="s">
        <v>561</v>
      </c>
      <c r="X130" t="s">
        <v>296</v>
      </c>
      <c r="Z130" s="462" t="str">
        <v>K02</v>
      </c>
      <c r="AA130" s="194" t="str">
        <v>K01-K16</v>
      </c>
      <c r="AG130" s="69" t="str">
        <v>K02</v>
      </c>
    </row>
    <row r="131" spans="1:33" x14ac:dyDescent="0.2">
      <c r="A131"/>
      <c r="B131"/>
      <c r="C131"/>
      <c r="D131"/>
      <c r="E131"/>
      <c r="F131" t="str">
        <f>LEFT(AllDaqbookOffsets[[#This Row],[traceability_no]],2)</f>
        <v>J1</v>
      </c>
      <c r="W131" t="s">
        <v>562</v>
      </c>
      <c r="X131" t="s">
        <v>296</v>
      </c>
      <c r="Z131" s="462" t="str">
        <v>K03</v>
      </c>
      <c r="AA131" s="194" t="str">
        <v>K01-K16</v>
      </c>
      <c r="AG131" s="69" t="str">
        <v>K03</v>
      </c>
    </row>
    <row r="132" spans="1:33" x14ac:dyDescent="0.2">
      <c r="A132"/>
      <c r="B132"/>
      <c r="C132"/>
      <c r="D132"/>
      <c r="E132"/>
      <c r="F132" t="str">
        <f>LEFT(AllDaqbookOffsets[[#This Row],[traceability_no]],2)</f>
        <v>J1</v>
      </c>
      <c r="W132" t="s">
        <v>563</v>
      </c>
      <c r="X132" t="s">
        <v>296</v>
      </c>
      <c r="Z132" s="462" t="str">
        <v>K04</v>
      </c>
      <c r="AA132" s="194" t="str">
        <v>K01-K16</v>
      </c>
      <c r="AG132" s="69" t="str">
        <v>K04</v>
      </c>
    </row>
    <row r="133" spans="1:33" x14ac:dyDescent="0.2">
      <c r="A133"/>
      <c r="B133"/>
      <c r="C133"/>
      <c r="D133"/>
      <c r="E133"/>
      <c r="F133" t="str">
        <f>LEFT(AllDaqbookOffsets[[#This Row],[traceability_no]],2)</f>
        <v>J1</v>
      </c>
      <c r="W133" t="s">
        <v>564</v>
      </c>
      <c r="X133" t="s">
        <v>296</v>
      </c>
      <c r="Z133" s="462" t="str">
        <v>K05</v>
      </c>
      <c r="AA133" s="194" t="str">
        <v>K01-K16</v>
      </c>
      <c r="AG133" s="69" t="str">
        <v>K05</v>
      </c>
    </row>
    <row r="134" spans="1:33" x14ac:dyDescent="0.2">
      <c r="A134"/>
      <c r="B134"/>
      <c r="C134"/>
      <c r="D134"/>
      <c r="E134"/>
      <c r="F134" t="str">
        <f>LEFT(AllDaqbookOffsets[[#This Row],[traceability_no]],2)</f>
        <v>J1</v>
      </c>
      <c r="W134" t="s">
        <v>575</v>
      </c>
      <c r="X134" t="s">
        <v>175</v>
      </c>
      <c r="Z134" s="462" t="str">
        <v>K06</v>
      </c>
      <c r="AA134" s="194" t="str">
        <v>K01-K16</v>
      </c>
      <c r="AG134" s="69" t="str">
        <v>K06</v>
      </c>
    </row>
    <row r="135" spans="1:33" x14ac:dyDescent="0.2">
      <c r="A135"/>
      <c r="B135"/>
      <c r="C135"/>
      <c r="D135"/>
      <c r="E135"/>
      <c r="F135" t="str">
        <f>LEFT(AllDaqbookOffsets[[#This Row],[traceability_no]],2)</f>
        <v>J1</v>
      </c>
      <c r="W135" t="s">
        <v>576</v>
      </c>
      <c r="X135" t="s">
        <v>175</v>
      </c>
      <c r="Z135" s="462" t="str">
        <v>K07</v>
      </c>
      <c r="AA135" s="194" t="str">
        <v>K01-K16</v>
      </c>
      <c r="AG135" s="69" t="str">
        <v>K07</v>
      </c>
    </row>
    <row r="136" spans="1:33" x14ac:dyDescent="0.2">
      <c r="A136"/>
      <c r="B136"/>
      <c r="C136"/>
      <c r="D136"/>
      <c r="E136"/>
      <c r="F136" t="str">
        <f>LEFT(AllDaqbookOffsets[[#This Row],[traceability_no]],2)</f>
        <v>J1</v>
      </c>
      <c r="W136" t="s">
        <v>577</v>
      </c>
      <c r="X136" t="s">
        <v>175</v>
      </c>
      <c r="Z136" s="462" t="str">
        <v>K08</v>
      </c>
      <c r="AA136" s="194" t="str">
        <v>K01-K16</v>
      </c>
      <c r="AG136" s="69" t="str">
        <v>K08</v>
      </c>
    </row>
    <row r="137" spans="1:33" x14ac:dyDescent="0.2">
      <c r="A137"/>
      <c r="B137"/>
      <c r="C137"/>
      <c r="D137"/>
      <c r="E137"/>
      <c r="F137" t="str">
        <f>LEFT(AllDaqbookOffsets[[#This Row],[traceability_no]],2)</f>
        <v>J1</v>
      </c>
      <c r="W137" t="s">
        <v>578</v>
      </c>
      <c r="X137" t="s">
        <v>175</v>
      </c>
      <c r="Z137" s="462" t="str">
        <v>K09</v>
      </c>
      <c r="AA137" s="194" t="str">
        <v>K01-K16</v>
      </c>
      <c r="AG137" s="69" t="str">
        <v>K09</v>
      </c>
    </row>
    <row r="138" spans="1:33" x14ac:dyDescent="0.2">
      <c r="A138"/>
      <c r="B138"/>
      <c r="C138"/>
      <c r="D138"/>
      <c r="E138"/>
      <c r="F138" t="str">
        <f>LEFT(AllDaqbookOffsets[[#This Row],[traceability_no]],2)</f>
        <v>J1</v>
      </c>
      <c r="W138" t="s">
        <v>579</v>
      </c>
      <c r="X138" t="s">
        <v>175</v>
      </c>
      <c r="Z138" s="462" t="str">
        <v>K10</v>
      </c>
      <c r="AA138" s="194" t="str">
        <v>K01-K16</v>
      </c>
      <c r="AG138" s="69" t="str">
        <v>K10</v>
      </c>
    </row>
    <row r="139" spans="1:33" x14ac:dyDescent="0.2">
      <c r="A139"/>
      <c r="B139"/>
      <c r="C139"/>
      <c r="D139"/>
      <c r="E139"/>
      <c r="F139" t="str">
        <f>LEFT(AllDaqbookOffsets[[#This Row],[traceability_no]],2)</f>
        <v>J1</v>
      </c>
      <c r="W139" t="s">
        <v>580</v>
      </c>
      <c r="X139" t="s">
        <v>175</v>
      </c>
      <c r="Z139" s="462" t="str">
        <v>K101</v>
      </c>
      <c r="AA139" s="194" t="str">
        <v>K101 - K110</v>
      </c>
      <c r="AG139" s="69" t="str">
        <v>K101</v>
      </c>
    </row>
    <row r="140" spans="1:33" x14ac:dyDescent="0.2">
      <c r="A140"/>
      <c r="B140"/>
      <c r="C140"/>
      <c r="D140"/>
      <c r="E140"/>
      <c r="F140" t="str">
        <f>LEFT(AllDaqbookOffsets[[#This Row],[traceability_no]],2)</f>
        <v>J1</v>
      </c>
      <c r="W140" t="s">
        <v>581</v>
      </c>
      <c r="X140" t="s">
        <v>175</v>
      </c>
      <c r="Z140" s="462" t="str">
        <v>K102</v>
      </c>
      <c r="AA140" s="194" t="str">
        <v>K101 - K110</v>
      </c>
      <c r="AG140" s="69" t="str">
        <v>K102</v>
      </c>
    </row>
    <row r="141" spans="1:33" x14ac:dyDescent="0.2">
      <c r="A141"/>
      <c r="B141"/>
      <c r="C141"/>
      <c r="D141"/>
      <c r="E141"/>
      <c r="F141" t="str">
        <f>LEFT(AllDaqbookOffsets[[#This Row],[traceability_no]],2)</f>
        <v>J1</v>
      </c>
      <c r="W141" t="s">
        <v>582</v>
      </c>
      <c r="X141" t="s">
        <v>175</v>
      </c>
      <c r="Z141" s="462" t="str">
        <v>K103</v>
      </c>
      <c r="AA141" s="194" t="str">
        <v>K101 - K110</v>
      </c>
      <c r="AG141" s="69" t="str">
        <v>K103</v>
      </c>
    </row>
    <row r="142" spans="1:33" x14ac:dyDescent="0.2">
      <c r="A142"/>
      <c r="B142"/>
      <c r="C142"/>
      <c r="D142"/>
      <c r="E142"/>
      <c r="F142" t="str">
        <f>LEFT(AllDaqbookOffsets[[#This Row],[traceability_no]],2)</f>
        <v>J1</v>
      </c>
      <c r="W142" t="s">
        <v>583</v>
      </c>
      <c r="X142" t="s">
        <v>175</v>
      </c>
      <c r="Z142" s="462" t="str">
        <v>K104</v>
      </c>
      <c r="AA142" s="194" t="str">
        <v>K101 - K110</v>
      </c>
      <c r="AG142" s="69" t="str">
        <v>K104</v>
      </c>
    </row>
    <row r="143" spans="1:33" x14ac:dyDescent="0.2">
      <c r="A143"/>
      <c r="B143"/>
      <c r="C143"/>
      <c r="D143"/>
      <c r="E143"/>
      <c r="F143" t="str">
        <f>LEFT(AllDaqbookOffsets[[#This Row],[traceability_no]],2)</f>
        <v>J1</v>
      </c>
      <c r="W143" t="s">
        <v>584</v>
      </c>
      <c r="X143" t="s">
        <v>175</v>
      </c>
      <c r="Z143" s="462" t="str">
        <v>K105</v>
      </c>
      <c r="AA143" s="194" t="str">
        <v>K101 - K110</v>
      </c>
      <c r="AG143" s="69" t="str">
        <v>K105</v>
      </c>
    </row>
    <row r="144" spans="1:33" x14ac:dyDescent="0.2">
      <c r="A144"/>
      <c r="B144"/>
      <c r="C144"/>
      <c r="D144"/>
      <c r="E144"/>
      <c r="F144" t="str">
        <f>LEFT(AllDaqbookOffsets[[#This Row],[traceability_no]],2)</f>
        <v>J1</v>
      </c>
      <c r="W144" t="s">
        <v>585</v>
      </c>
      <c r="X144" t="s">
        <v>175</v>
      </c>
      <c r="Z144" s="462" t="str">
        <v>K106</v>
      </c>
      <c r="AA144" s="194" t="str">
        <v>K101 - K110</v>
      </c>
      <c r="AG144" s="69" t="str">
        <v>K106</v>
      </c>
    </row>
    <row r="145" spans="1:33" x14ac:dyDescent="0.2">
      <c r="A145"/>
      <c r="B145"/>
      <c r="C145"/>
      <c r="D145"/>
      <c r="E145"/>
      <c r="F145" t="str">
        <f>LEFT(AllDaqbookOffsets[[#This Row],[traceability_no]],2)</f>
        <v>J1</v>
      </c>
      <c r="W145" t="s">
        <v>586</v>
      </c>
      <c r="X145" t="s">
        <v>175</v>
      </c>
      <c r="Z145" s="462" t="str">
        <v>K107</v>
      </c>
      <c r="AA145" s="194" t="str">
        <v>K101 - K110</v>
      </c>
      <c r="AG145" s="69" t="str">
        <v>K107</v>
      </c>
    </row>
    <row r="146" spans="1:33" x14ac:dyDescent="0.2">
      <c r="A146"/>
      <c r="B146"/>
      <c r="C146"/>
      <c r="D146"/>
      <c r="E146"/>
      <c r="F146" t="str">
        <f>LEFT(AllDaqbookOffsets[[#This Row],[traceability_no]],2)</f>
        <v>J1</v>
      </c>
      <c r="W146" t="s">
        <v>587</v>
      </c>
      <c r="X146" t="s">
        <v>175</v>
      </c>
      <c r="Z146" s="462" t="str">
        <v>K108</v>
      </c>
      <c r="AA146" s="194" t="str">
        <v>K101 - K110</v>
      </c>
      <c r="AG146" s="69" t="str">
        <v>K108</v>
      </c>
    </row>
    <row r="147" spans="1:33" x14ac:dyDescent="0.2">
      <c r="A147"/>
      <c r="B147"/>
      <c r="C147"/>
      <c r="D147"/>
      <c r="E147"/>
      <c r="F147" t="str">
        <f>LEFT(AllDaqbookOffsets[[#This Row],[traceability_no]],2)</f>
        <v>J1</v>
      </c>
      <c r="W147" t="s">
        <v>588</v>
      </c>
      <c r="X147" t="s">
        <v>175</v>
      </c>
      <c r="Z147" s="462" t="str">
        <v>K109</v>
      </c>
      <c r="AA147" s="194" t="str">
        <v>K101 - K110</v>
      </c>
      <c r="AG147" s="69" t="str">
        <v>K109</v>
      </c>
    </row>
    <row r="148" spans="1:33" x14ac:dyDescent="0.2">
      <c r="A148"/>
      <c r="B148"/>
      <c r="C148"/>
      <c r="D148"/>
      <c r="E148"/>
      <c r="F148" t="str">
        <f>LEFT(AllDaqbookOffsets[[#This Row],[traceability_no]],2)</f>
        <v>J1</v>
      </c>
      <c r="W148" t="s">
        <v>589</v>
      </c>
      <c r="X148" t="s">
        <v>176</v>
      </c>
      <c r="Z148" s="462" t="str">
        <v>K11</v>
      </c>
      <c r="AA148" s="194" t="str">
        <v>K01-K16</v>
      </c>
      <c r="AG148" s="69" t="str">
        <v>K11</v>
      </c>
    </row>
    <row r="149" spans="1:33" x14ac:dyDescent="0.2">
      <c r="A149"/>
      <c r="B149"/>
      <c r="C149"/>
      <c r="D149"/>
      <c r="E149"/>
      <c r="F149" t="str">
        <f>LEFT(AllDaqbookOffsets[[#This Row],[traceability_no]],2)</f>
        <v>J1</v>
      </c>
      <c r="W149" t="s">
        <v>590</v>
      </c>
      <c r="X149" t="s">
        <v>176</v>
      </c>
      <c r="Z149" s="462" t="str">
        <v>K110</v>
      </c>
      <c r="AA149" s="194" t="str">
        <v>K101 - K110</v>
      </c>
      <c r="AG149" s="69" t="str">
        <v>K110</v>
      </c>
    </row>
    <row r="150" spans="1:33" x14ac:dyDescent="0.2">
      <c r="A150"/>
      <c r="B150"/>
      <c r="C150"/>
      <c r="D150"/>
      <c r="E150"/>
      <c r="F150" t="str">
        <f>LEFT(AllDaqbookOffsets[[#This Row],[traceability_no]],2)</f>
        <v>J1</v>
      </c>
      <c r="W150" t="s">
        <v>591</v>
      </c>
      <c r="X150" t="s">
        <v>176</v>
      </c>
      <c r="Z150" s="462" t="str">
        <v>K12</v>
      </c>
      <c r="AA150" s="194" t="str">
        <v>K01-K16</v>
      </c>
      <c r="AG150" s="69" t="str">
        <v>K12</v>
      </c>
    </row>
    <row r="151" spans="1:33" x14ac:dyDescent="0.2">
      <c r="A151"/>
      <c r="B151"/>
      <c r="C151"/>
      <c r="D151"/>
      <c r="E151"/>
      <c r="F151" t="str">
        <f>LEFT(AllDaqbookOffsets[[#This Row],[traceability_no]],2)</f>
        <v>J1</v>
      </c>
      <c r="W151" t="s">
        <v>592</v>
      </c>
      <c r="X151" t="s">
        <v>176</v>
      </c>
      <c r="Z151" s="462" t="str">
        <v>K13</v>
      </c>
      <c r="AA151" s="194" t="str">
        <v>K01-K16</v>
      </c>
      <c r="AG151" s="69" t="str">
        <v>K13</v>
      </c>
    </row>
    <row r="152" spans="1:33" x14ac:dyDescent="0.2">
      <c r="A152"/>
      <c r="B152"/>
      <c r="C152"/>
      <c r="D152"/>
      <c r="E152"/>
      <c r="F152" t="str">
        <f>LEFT(AllDaqbookOffsets[[#This Row],[traceability_no]],2)</f>
        <v>J1</v>
      </c>
      <c r="W152" t="s">
        <v>593</v>
      </c>
      <c r="X152" t="s">
        <v>176</v>
      </c>
      <c r="Z152" s="462" t="str">
        <v>K14</v>
      </c>
      <c r="AA152" s="194" t="str">
        <v>K01-K16</v>
      </c>
      <c r="AG152" s="69" t="str">
        <v>K14</v>
      </c>
    </row>
    <row r="153" spans="1:33" x14ac:dyDescent="0.2">
      <c r="A153"/>
      <c r="B153"/>
      <c r="C153"/>
      <c r="D153"/>
      <c r="E153"/>
      <c r="F153" t="str">
        <f>LEFT(AllDaqbookOffsets[[#This Row],[traceability_no]],2)</f>
        <v>J1</v>
      </c>
      <c r="W153" t="s">
        <v>594</v>
      </c>
      <c r="X153" t="s">
        <v>176</v>
      </c>
      <c r="Z153" s="462" t="str">
        <v>K15</v>
      </c>
      <c r="AA153" s="194" t="str">
        <v>K01-K16</v>
      </c>
      <c r="AG153" s="69" t="str">
        <v>K15</v>
      </c>
    </row>
    <row r="154" spans="1:33" x14ac:dyDescent="0.2">
      <c r="A154"/>
      <c r="B154"/>
      <c r="C154"/>
      <c r="D154"/>
      <c r="E154"/>
      <c r="F154" t="str">
        <f>LEFT(AllDaqbookOffsets[[#This Row],[traceability_no]],2)</f>
        <v>J1</v>
      </c>
      <c r="W154" t="s">
        <v>595</v>
      </c>
      <c r="X154" t="s">
        <v>176</v>
      </c>
      <c r="Z154" s="462" t="str">
        <v>K16</v>
      </c>
      <c r="AA154" s="194" t="str">
        <v>K01-K16</v>
      </c>
      <c r="AG154" s="69" t="str">
        <v>K16</v>
      </c>
    </row>
    <row r="155" spans="1:33" x14ac:dyDescent="0.2">
      <c r="A155"/>
      <c r="B155"/>
      <c r="C155"/>
      <c r="D155"/>
      <c r="E155"/>
      <c r="F155" t="str">
        <f>LEFT(AllDaqbookOffsets[[#This Row],[traceability_no]],2)</f>
        <v>J1</v>
      </c>
      <c r="W155" t="s">
        <v>596</v>
      </c>
      <c r="X155" t="s">
        <v>176</v>
      </c>
      <c r="Z155" s="462" t="str">
        <v>K201</v>
      </c>
      <c r="AA155" s="194" t="str">
        <v>K201-K214</v>
      </c>
      <c r="AG155" s="69" t="str">
        <v>K201</v>
      </c>
    </row>
    <row r="156" spans="1:33" x14ac:dyDescent="0.2">
      <c r="A156"/>
      <c r="B156"/>
      <c r="C156"/>
      <c r="D156"/>
      <c r="E156"/>
      <c r="F156" t="str">
        <f>LEFT(AllDaqbookOffsets[[#This Row],[traceability_no]],2)</f>
        <v>J1</v>
      </c>
      <c r="W156" t="s">
        <v>597</v>
      </c>
      <c r="X156" t="s">
        <v>176</v>
      </c>
      <c r="Z156" s="462" t="str">
        <v>K202</v>
      </c>
      <c r="AA156" s="194" t="str">
        <v>K201-K214</v>
      </c>
      <c r="AG156" s="69" t="str">
        <v>K202</v>
      </c>
    </row>
    <row r="157" spans="1:33" x14ac:dyDescent="0.2">
      <c r="A157"/>
      <c r="B157"/>
      <c r="C157"/>
      <c r="D157"/>
      <c r="E157"/>
      <c r="F157" t="str">
        <f>LEFT(AllDaqbookOffsets[[#This Row],[traceability_no]],2)</f>
        <v>J1</v>
      </c>
      <c r="W157" t="s">
        <v>598</v>
      </c>
      <c r="X157" t="s">
        <v>176</v>
      </c>
      <c r="Z157" s="462" t="str">
        <v>K203</v>
      </c>
      <c r="AA157" s="194" t="str">
        <v>K201-K214</v>
      </c>
      <c r="AG157" s="69" t="str">
        <v>K203</v>
      </c>
    </row>
    <row r="158" spans="1:33" x14ac:dyDescent="0.2">
      <c r="A158"/>
      <c r="B158"/>
      <c r="C158"/>
      <c r="D158"/>
      <c r="E158"/>
      <c r="F158" t="str">
        <f>LEFT(AllDaqbookOffsets[[#This Row],[traceability_no]],2)</f>
        <v>J1</v>
      </c>
      <c r="W158" t="s">
        <v>599</v>
      </c>
      <c r="X158" t="s">
        <v>176</v>
      </c>
      <c r="Z158" s="462" t="str">
        <v>K204</v>
      </c>
      <c r="AA158" s="194" t="str">
        <v>K201-K214</v>
      </c>
      <c r="AG158" s="69" t="str">
        <v>K204</v>
      </c>
    </row>
    <row r="159" spans="1:33" x14ac:dyDescent="0.2">
      <c r="A159"/>
      <c r="B159"/>
      <c r="C159"/>
      <c r="D159"/>
      <c r="E159"/>
      <c r="F159" t="str">
        <f>LEFT(AllDaqbookOffsets[[#This Row],[traceability_no]],2)</f>
        <v>J1</v>
      </c>
      <c r="W159" t="s">
        <v>600</v>
      </c>
      <c r="X159" t="s">
        <v>176</v>
      </c>
      <c r="Z159" s="462" t="str">
        <v>K205</v>
      </c>
      <c r="AA159" s="194" t="str">
        <v>K201-K214</v>
      </c>
      <c r="AG159" s="69" t="str">
        <v>K205</v>
      </c>
    </row>
    <row r="160" spans="1:33" x14ac:dyDescent="0.2">
      <c r="A160"/>
      <c r="B160"/>
      <c r="C160"/>
      <c r="D160"/>
      <c r="E160"/>
      <c r="F160" t="str">
        <f>LEFT(AllDaqbookOffsets[[#This Row],[traceability_no]],2)</f>
        <v>J1</v>
      </c>
      <c r="W160" t="s">
        <v>601</v>
      </c>
      <c r="X160" t="s">
        <v>176</v>
      </c>
      <c r="Z160" s="462" t="str">
        <v>K206</v>
      </c>
      <c r="AA160" s="194" t="str">
        <v>K201-K214</v>
      </c>
      <c r="AG160" s="69" t="str">
        <v>K206</v>
      </c>
    </row>
    <row r="161" spans="1:33" x14ac:dyDescent="0.2">
      <c r="A161"/>
      <c r="B161"/>
      <c r="C161"/>
      <c r="D161"/>
      <c r="E161"/>
      <c r="F161" t="str">
        <f>LEFT(AllDaqbookOffsets[[#This Row],[traceability_no]],2)</f>
        <v>J1</v>
      </c>
      <c r="W161" t="s">
        <v>602</v>
      </c>
      <c r="X161" t="s">
        <v>176</v>
      </c>
      <c r="Z161" s="462" t="str">
        <v>K207</v>
      </c>
      <c r="AA161" s="194" t="str">
        <v>K201-K214</v>
      </c>
      <c r="AG161" s="69" t="str">
        <v>K207</v>
      </c>
    </row>
    <row r="162" spans="1:33" x14ac:dyDescent="0.2">
      <c r="A162"/>
      <c r="B162"/>
      <c r="C162"/>
      <c r="D162"/>
      <c r="E162"/>
      <c r="F162" t="str">
        <f>LEFT(AllDaqbookOffsets[[#This Row],[traceability_no]],2)</f>
        <v>J1</v>
      </c>
      <c r="W162" t="s">
        <v>603</v>
      </c>
      <c r="X162" t="s">
        <v>177</v>
      </c>
      <c r="Z162" s="462" t="str">
        <v>K208</v>
      </c>
      <c r="AA162" s="194" t="str">
        <v>K201-K214</v>
      </c>
      <c r="AG162" s="69" t="str">
        <v>K208</v>
      </c>
    </row>
    <row r="163" spans="1:33" x14ac:dyDescent="0.2">
      <c r="A163"/>
      <c r="B163"/>
      <c r="C163"/>
      <c r="D163"/>
      <c r="E163"/>
      <c r="F163" t="str">
        <f>LEFT(AllDaqbookOffsets[[#This Row],[traceability_no]],2)</f>
        <v>J1</v>
      </c>
      <c r="W163" t="s">
        <v>604</v>
      </c>
      <c r="X163" t="s">
        <v>177</v>
      </c>
      <c r="Z163" s="462" t="str">
        <v>K209</v>
      </c>
      <c r="AA163" s="194" t="str">
        <v>K201-K214</v>
      </c>
      <c r="AG163" s="69" t="str">
        <v>K209</v>
      </c>
    </row>
    <row r="164" spans="1:33" x14ac:dyDescent="0.2">
      <c r="A164"/>
      <c r="B164"/>
      <c r="C164"/>
      <c r="D164"/>
      <c r="E164"/>
      <c r="F164" t="str">
        <f>LEFT(AllDaqbookOffsets[[#This Row],[traceability_no]],2)</f>
        <v>J1</v>
      </c>
      <c r="W164" t="s">
        <v>605</v>
      </c>
      <c r="X164" t="s">
        <v>177</v>
      </c>
      <c r="Z164" s="462" t="str">
        <v>K210</v>
      </c>
      <c r="AA164" s="194" t="str">
        <v>K201-K214</v>
      </c>
      <c r="AG164" s="69" t="str">
        <v>K210</v>
      </c>
    </row>
    <row r="165" spans="1:33" x14ac:dyDescent="0.2">
      <c r="A165"/>
      <c r="B165"/>
      <c r="C165"/>
      <c r="D165"/>
      <c r="E165"/>
      <c r="F165" t="str">
        <f>LEFT(AllDaqbookOffsets[[#This Row],[traceability_no]],2)</f>
        <v>J1</v>
      </c>
      <c r="W165" t="s">
        <v>606</v>
      </c>
      <c r="X165" t="s">
        <v>177</v>
      </c>
      <c r="Z165" s="462" t="str">
        <v>K211</v>
      </c>
      <c r="AA165" s="194" t="str">
        <v>K201-K214</v>
      </c>
      <c r="AG165" s="69" t="str">
        <v>K211</v>
      </c>
    </row>
    <row r="166" spans="1:33" x14ac:dyDescent="0.2">
      <c r="A166"/>
      <c r="B166"/>
      <c r="C166"/>
      <c r="D166"/>
      <c r="E166"/>
      <c r="F166" t="str">
        <f>LEFT(AllDaqbookOffsets[[#This Row],[traceability_no]],2)</f>
        <v>J1</v>
      </c>
      <c r="W166" t="s">
        <v>607</v>
      </c>
      <c r="X166" t="s">
        <v>177</v>
      </c>
      <c r="Z166" s="462" t="str">
        <v>K212</v>
      </c>
      <c r="AA166" s="194" t="str">
        <v>K201-K214</v>
      </c>
      <c r="AG166" s="69" t="str">
        <v>K212</v>
      </c>
    </row>
    <row r="167" spans="1:33" x14ac:dyDescent="0.2">
      <c r="A167"/>
      <c r="B167"/>
      <c r="C167"/>
      <c r="D167"/>
      <c r="E167"/>
      <c r="F167" t="str">
        <f>LEFT(AllDaqbookOffsets[[#This Row],[traceability_no]],2)</f>
        <v>J1</v>
      </c>
      <c r="W167" t="s">
        <v>608</v>
      </c>
      <c r="X167" t="s">
        <v>177</v>
      </c>
      <c r="Z167" s="462" t="str">
        <v>K213</v>
      </c>
      <c r="AA167" s="194" t="str">
        <v>K201-K214</v>
      </c>
      <c r="AG167" s="69" t="str">
        <v>K213</v>
      </c>
    </row>
    <row r="168" spans="1:33" x14ac:dyDescent="0.2">
      <c r="A168"/>
      <c r="B168"/>
      <c r="C168"/>
      <c r="D168"/>
      <c r="E168"/>
      <c r="F168" t="str">
        <f>LEFT(AllDaqbookOffsets[[#This Row],[traceability_no]],2)</f>
        <v>J1</v>
      </c>
      <c r="W168" t="s">
        <v>609</v>
      </c>
      <c r="X168" t="s">
        <v>177</v>
      </c>
      <c r="Z168" s="462" t="str">
        <v>K214</v>
      </c>
      <c r="AA168" s="194" t="str">
        <v>K201-K214</v>
      </c>
      <c r="AG168" s="69" t="str">
        <v>K214</v>
      </c>
    </row>
    <row r="169" spans="1:33" x14ac:dyDescent="0.2">
      <c r="A169"/>
      <c r="B169"/>
      <c r="C169"/>
      <c r="D169"/>
      <c r="E169"/>
      <c r="F169" t="str">
        <f>LEFT(AllDaqbookOffsets[[#This Row],[traceability_no]],2)</f>
        <v>J1</v>
      </c>
      <c r="W169" t="s">
        <v>610</v>
      </c>
      <c r="X169" t="s">
        <v>177</v>
      </c>
      <c r="Z169" s="462" t="str">
        <v>K301</v>
      </c>
      <c r="AA169" s="194" t="str">
        <v>K301-K314</v>
      </c>
      <c r="AG169" s="69" t="str">
        <v>K301</v>
      </c>
    </row>
    <row r="170" spans="1:33" x14ac:dyDescent="0.2">
      <c r="A170"/>
      <c r="B170"/>
      <c r="C170"/>
      <c r="D170"/>
      <c r="E170"/>
      <c r="F170" t="str">
        <f>LEFT(AllDaqbookOffsets[[#This Row],[traceability_no]],2)</f>
        <v>J1</v>
      </c>
      <c r="W170" t="s">
        <v>611</v>
      </c>
      <c r="X170" t="s">
        <v>177</v>
      </c>
      <c r="Z170" s="462" t="str">
        <v>K302</v>
      </c>
      <c r="AA170" s="194" t="str">
        <v>K301-K314</v>
      </c>
      <c r="AG170" s="69" t="str">
        <v>K302</v>
      </c>
    </row>
    <row r="171" spans="1:33" x14ac:dyDescent="0.2">
      <c r="A171"/>
      <c r="B171"/>
      <c r="C171"/>
      <c r="D171"/>
      <c r="E171"/>
      <c r="F171" t="str">
        <f>LEFT(AllDaqbookOffsets[[#This Row],[traceability_no]],2)</f>
        <v>J1</v>
      </c>
      <c r="W171" t="s">
        <v>612</v>
      </c>
      <c r="X171" t="s">
        <v>177</v>
      </c>
      <c r="Z171" s="462" t="str">
        <v>K303</v>
      </c>
      <c r="AA171" s="194" t="str">
        <v>K301-K314</v>
      </c>
      <c r="AG171" s="69" t="str">
        <v>K303</v>
      </c>
    </row>
    <row r="172" spans="1:33" x14ac:dyDescent="0.2">
      <c r="A172"/>
      <c r="B172"/>
      <c r="C172"/>
      <c r="D172"/>
      <c r="E172"/>
      <c r="F172" t="str">
        <f>LEFT(AllDaqbookOffsets[[#This Row],[traceability_no]],2)</f>
        <v>J1</v>
      </c>
      <c r="W172" t="s">
        <v>613</v>
      </c>
      <c r="X172" t="s">
        <v>177</v>
      </c>
      <c r="Z172" s="462" t="str">
        <v>K304</v>
      </c>
      <c r="AA172" s="194" t="str">
        <v>K301-K314</v>
      </c>
      <c r="AG172" s="69" t="str">
        <v>K304</v>
      </c>
    </row>
    <row r="173" spans="1:33" x14ac:dyDescent="0.2">
      <c r="A173"/>
      <c r="B173"/>
      <c r="C173"/>
      <c r="D173"/>
      <c r="E173"/>
      <c r="F173" t="str">
        <f>LEFT(AllDaqbookOffsets[[#This Row],[traceability_no]],2)</f>
        <v>J1</v>
      </c>
      <c r="W173" t="s">
        <v>614</v>
      </c>
      <c r="X173" t="s">
        <v>177</v>
      </c>
      <c r="Z173" s="462" t="str">
        <v>K305</v>
      </c>
      <c r="AA173" s="194" t="str">
        <v>K301-K314</v>
      </c>
      <c r="AG173" s="69" t="str">
        <v>K305</v>
      </c>
    </row>
    <row r="174" spans="1:33" x14ac:dyDescent="0.2">
      <c r="A174"/>
      <c r="B174"/>
      <c r="C174"/>
      <c r="D174"/>
      <c r="E174"/>
      <c r="F174" t="str">
        <f>LEFT(AllDaqbookOffsets[[#This Row],[traceability_no]],2)</f>
        <v>J1</v>
      </c>
      <c r="W174" t="s">
        <v>615</v>
      </c>
      <c r="X174" t="s">
        <v>177</v>
      </c>
      <c r="Z174" s="462" t="str">
        <v>K306</v>
      </c>
      <c r="AA174" s="194" t="str">
        <v>K301-K314</v>
      </c>
      <c r="AG174" s="69" t="str">
        <v>K306</v>
      </c>
    </row>
    <row r="175" spans="1:33" x14ac:dyDescent="0.2">
      <c r="A175"/>
      <c r="B175"/>
      <c r="C175"/>
      <c r="D175"/>
      <c r="E175"/>
      <c r="F175" t="str">
        <f>LEFT(AllDaqbookOffsets[[#This Row],[traceability_no]],2)</f>
        <v>J1</v>
      </c>
      <c r="W175" t="s">
        <v>616</v>
      </c>
      <c r="X175" t="s">
        <v>177</v>
      </c>
      <c r="Z175" s="462" t="str">
        <v>K307</v>
      </c>
      <c r="AA175" s="194" t="str">
        <v>K301-K314</v>
      </c>
      <c r="AG175" s="69" t="str">
        <v>K307</v>
      </c>
    </row>
    <row r="176" spans="1:33" x14ac:dyDescent="0.2">
      <c r="A176"/>
      <c r="B176"/>
      <c r="C176"/>
      <c r="D176"/>
      <c r="E176"/>
      <c r="F176" t="str">
        <f>LEFT(AllDaqbookOffsets[[#This Row],[traceability_no]],2)</f>
        <v>J1</v>
      </c>
      <c r="W176" t="s">
        <v>617</v>
      </c>
      <c r="X176" t="s">
        <v>177</v>
      </c>
      <c r="Z176" s="462" t="str">
        <v>K308</v>
      </c>
      <c r="AA176" s="194" t="str">
        <v>K301-K314</v>
      </c>
      <c r="AG176" s="69" t="str">
        <v>K308</v>
      </c>
    </row>
    <row r="177" spans="1:33" x14ac:dyDescent="0.2">
      <c r="A177"/>
      <c r="B177"/>
      <c r="C177"/>
      <c r="D177"/>
      <c r="E177"/>
      <c r="F177" t="str">
        <f>LEFT(AllDaqbookOffsets[[#This Row],[traceability_no]],2)</f>
        <v>J1</v>
      </c>
      <c r="W177" t="s">
        <v>618</v>
      </c>
      <c r="X177" t="s">
        <v>177</v>
      </c>
      <c r="Z177" s="462" t="str">
        <v>K309</v>
      </c>
      <c r="AA177" s="194" t="str">
        <v>K301-K314</v>
      </c>
      <c r="AG177" s="69" t="str">
        <v>K309</v>
      </c>
    </row>
    <row r="178" spans="1:33" x14ac:dyDescent="0.2">
      <c r="A178"/>
      <c r="B178"/>
      <c r="C178"/>
      <c r="D178"/>
      <c r="E178"/>
      <c r="F178" t="str">
        <f>LEFT(AllDaqbookOffsets[[#This Row],[traceability_no]],2)</f>
        <v>J1</v>
      </c>
      <c r="W178" t="s">
        <v>619</v>
      </c>
      <c r="X178" t="s">
        <v>178</v>
      </c>
      <c r="Z178" s="462" t="str">
        <v>K310</v>
      </c>
      <c r="AA178" s="194" t="str">
        <v>K301-K314</v>
      </c>
      <c r="AG178" s="69" t="str">
        <v>K310</v>
      </c>
    </row>
    <row r="179" spans="1:33" x14ac:dyDescent="0.2">
      <c r="A179"/>
      <c r="B179"/>
      <c r="C179"/>
      <c r="D179"/>
      <c r="E179"/>
      <c r="F179" t="str">
        <f>LEFT(AllDaqbookOffsets[[#This Row],[traceability_no]],2)</f>
        <v>J1</v>
      </c>
      <c r="W179" t="s">
        <v>620</v>
      </c>
      <c r="X179" t="s">
        <v>178</v>
      </c>
      <c r="Z179" s="462" t="str">
        <v>K311</v>
      </c>
      <c r="AA179" s="194" t="str">
        <v>K301-K314</v>
      </c>
      <c r="AG179" s="69" t="str">
        <v>K311</v>
      </c>
    </row>
    <row r="180" spans="1:33" x14ac:dyDescent="0.2">
      <c r="A180"/>
      <c r="B180"/>
      <c r="C180"/>
      <c r="D180"/>
      <c r="E180"/>
      <c r="F180" t="str">
        <f>LEFT(AllDaqbookOffsets[[#This Row],[traceability_no]],2)</f>
        <v>J1</v>
      </c>
      <c r="W180" t="s">
        <v>621</v>
      </c>
      <c r="X180" t="s">
        <v>178</v>
      </c>
      <c r="Z180" s="462" t="str">
        <v>K312</v>
      </c>
      <c r="AA180" s="194" t="str">
        <v>K301-K314</v>
      </c>
      <c r="AG180" s="69" t="str">
        <v>K312</v>
      </c>
    </row>
    <row r="181" spans="1:33" x14ac:dyDescent="0.2">
      <c r="A181"/>
      <c r="B181"/>
      <c r="C181"/>
      <c r="D181"/>
      <c r="E181"/>
      <c r="F181" t="str">
        <f>LEFT(AllDaqbookOffsets[[#This Row],[traceability_no]],2)</f>
        <v>J1</v>
      </c>
      <c r="W181" t="s">
        <v>622</v>
      </c>
      <c r="X181" t="s">
        <v>178</v>
      </c>
      <c r="Z181" s="462" t="str">
        <v>K313</v>
      </c>
      <c r="AA181" s="194" t="str">
        <v>K301-K314</v>
      </c>
      <c r="AG181" s="69" t="str">
        <v>K313</v>
      </c>
    </row>
    <row r="182" spans="1:33" x14ac:dyDescent="0.2">
      <c r="A182"/>
      <c r="B182"/>
      <c r="C182"/>
      <c r="D182"/>
      <c r="E182"/>
      <c r="F182" t="str">
        <f>LEFT(AllDaqbookOffsets[[#This Row],[traceability_no]],2)</f>
        <v>J1</v>
      </c>
      <c r="W182" t="s">
        <v>623</v>
      </c>
      <c r="X182" t="s">
        <v>178</v>
      </c>
      <c r="Z182" s="462" t="str">
        <v>K314</v>
      </c>
      <c r="AA182" s="194" t="str">
        <v>K301-K314</v>
      </c>
      <c r="AG182" s="69" t="str">
        <v>K314</v>
      </c>
    </row>
    <row r="183" spans="1:33" x14ac:dyDescent="0.2">
      <c r="A183"/>
      <c r="B183"/>
      <c r="C183"/>
      <c r="D183"/>
      <c r="E183"/>
      <c r="F183" t="str">
        <f>LEFT(AllDaqbookOffsets[[#This Row],[traceability_no]],2)</f>
        <v>J1</v>
      </c>
      <c r="W183" t="s">
        <v>624</v>
      </c>
      <c r="X183" t="s">
        <v>178</v>
      </c>
      <c r="Z183" s="462" t="str">
        <v>K401</v>
      </c>
      <c r="AA183" s="194" t="str">
        <v>K401-K416</v>
      </c>
      <c r="AG183" s="69" t="str">
        <v>K401</v>
      </c>
    </row>
    <row r="184" spans="1:33" x14ac:dyDescent="0.2">
      <c r="A184"/>
      <c r="B184"/>
      <c r="C184"/>
      <c r="D184"/>
      <c r="E184"/>
      <c r="F184" t="str">
        <f>LEFT(AllDaqbookOffsets[[#This Row],[traceability_no]],2)</f>
        <v>J1</v>
      </c>
      <c r="W184" t="s">
        <v>625</v>
      </c>
      <c r="X184" t="s">
        <v>178</v>
      </c>
      <c r="Z184" s="462" t="str">
        <v>K402</v>
      </c>
      <c r="AA184" s="194" t="str">
        <v>K401-K416</v>
      </c>
      <c r="AG184" s="69" t="str">
        <v>K402</v>
      </c>
    </row>
    <row r="185" spans="1:33" x14ac:dyDescent="0.2">
      <c r="A185"/>
      <c r="B185"/>
      <c r="C185"/>
      <c r="D185"/>
      <c r="E185"/>
      <c r="F185" t="str">
        <f>LEFT(AllDaqbookOffsets[[#This Row],[traceability_no]],2)</f>
        <v>J1</v>
      </c>
      <c r="W185" t="s">
        <v>626</v>
      </c>
      <c r="X185" t="s">
        <v>178</v>
      </c>
      <c r="Z185" s="462" t="str">
        <v>K403</v>
      </c>
      <c r="AA185" s="194" t="str">
        <v>K401-K416</v>
      </c>
      <c r="AG185" s="69" t="str">
        <v>K403</v>
      </c>
    </row>
    <row r="186" spans="1:33" x14ac:dyDescent="0.2">
      <c r="A186"/>
      <c r="B186"/>
      <c r="C186"/>
      <c r="D186"/>
      <c r="E186"/>
      <c r="F186" t="str">
        <f>LEFT(AllDaqbookOffsets[[#This Row],[traceability_no]],2)</f>
        <v>J1</v>
      </c>
      <c r="W186" t="s">
        <v>627</v>
      </c>
      <c r="X186" t="s">
        <v>178</v>
      </c>
      <c r="Z186" s="462" t="str">
        <v>K404</v>
      </c>
      <c r="AA186" s="194" t="str">
        <v>K401-K416</v>
      </c>
      <c r="AG186" s="69" t="str">
        <v>K404</v>
      </c>
    </row>
    <row r="187" spans="1:33" x14ac:dyDescent="0.2">
      <c r="A187"/>
      <c r="B187"/>
      <c r="C187"/>
      <c r="D187"/>
      <c r="E187"/>
      <c r="F187" t="str">
        <f>LEFT(AllDaqbookOffsets[[#This Row],[traceability_no]],2)</f>
        <v>J1</v>
      </c>
      <c r="W187" t="s">
        <v>628</v>
      </c>
      <c r="X187" t="s">
        <v>178</v>
      </c>
      <c r="Z187" s="462" t="str">
        <v>K405</v>
      </c>
      <c r="AA187" s="194" t="str">
        <v>K401-K416</v>
      </c>
      <c r="AG187" s="69" t="str">
        <v>K405</v>
      </c>
    </row>
    <row r="188" spans="1:33" x14ac:dyDescent="0.2">
      <c r="A188"/>
      <c r="B188"/>
      <c r="C188"/>
      <c r="D188"/>
      <c r="E188"/>
      <c r="F188" t="str">
        <f>LEFT(AllDaqbookOffsets[[#This Row],[traceability_no]],2)</f>
        <v>J1</v>
      </c>
      <c r="W188" t="s">
        <v>629</v>
      </c>
      <c r="X188" t="s">
        <v>178</v>
      </c>
      <c r="Z188" s="462" t="str">
        <v>K406</v>
      </c>
      <c r="AA188" s="194" t="str">
        <v>K401-K416</v>
      </c>
      <c r="AG188" s="69" t="str">
        <v>K406</v>
      </c>
    </row>
    <row r="189" spans="1:33" x14ac:dyDescent="0.2">
      <c r="A189"/>
      <c r="B189"/>
      <c r="C189"/>
      <c r="D189"/>
      <c r="E189"/>
      <c r="F189" t="str">
        <f>LEFT(AllDaqbookOffsets[[#This Row],[traceability_no]],2)</f>
        <v>J1</v>
      </c>
      <c r="W189" t="s">
        <v>630</v>
      </c>
      <c r="X189" t="s">
        <v>178</v>
      </c>
      <c r="Z189" s="462" t="str">
        <v>K407</v>
      </c>
      <c r="AA189" s="194" t="str">
        <v>K401-K416</v>
      </c>
      <c r="AG189" s="69" t="str">
        <v>K407</v>
      </c>
    </row>
    <row r="190" spans="1:33" x14ac:dyDescent="0.2">
      <c r="A190"/>
      <c r="B190"/>
      <c r="C190"/>
      <c r="D190"/>
      <c r="E190"/>
      <c r="F190" t="str">
        <f>LEFT(AllDaqbookOffsets[[#This Row],[traceability_no]],2)</f>
        <v>J1</v>
      </c>
      <c r="W190" t="s">
        <v>631</v>
      </c>
      <c r="X190" t="s">
        <v>178</v>
      </c>
      <c r="Z190" s="462" t="str">
        <v>K408</v>
      </c>
      <c r="AA190" s="194" t="str">
        <v>K401-K416</v>
      </c>
      <c r="AG190" s="69" t="str">
        <v>K408</v>
      </c>
    </row>
    <row r="191" spans="1:33" x14ac:dyDescent="0.2">
      <c r="A191"/>
      <c r="B191"/>
      <c r="C191"/>
      <c r="D191"/>
      <c r="E191"/>
      <c r="F191" t="str">
        <f>LEFT(AllDaqbookOffsets[[#This Row],[traceability_no]],2)</f>
        <v>J1</v>
      </c>
      <c r="W191" t="s">
        <v>632</v>
      </c>
      <c r="X191" t="s">
        <v>178</v>
      </c>
      <c r="Z191" s="462" t="str">
        <v>K409</v>
      </c>
      <c r="AA191" s="194" t="str">
        <v>K401-K416</v>
      </c>
      <c r="AG191" s="69" t="str">
        <v>K409</v>
      </c>
    </row>
    <row r="192" spans="1:33" x14ac:dyDescent="0.2">
      <c r="A192"/>
      <c r="B192"/>
      <c r="C192"/>
      <c r="D192"/>
      <c r="E192"/>
      <c r="F192" t="str">
        <f>LEFT(AllDaqbookOffsets[[#This Row],[traceability_no]],2)</f>
        <v>J1</v>
      </c>
      <c r="W192" t="s">
        <v>633</v>
      </c>
      <c r="X192" t="s">
        <v>179</v>
      </c>
      <c r="Z192" s="462" t="str">
        <v>K410</v>
      </c>
      <c r="AA192" s="194" t="str">
        <v>K401-K416</v>
      </c>
      <c r="AG192" s="69" t="str">
        <v>K410</v>
      </c>
    </row>
    <row r="193" spans="1:33" x14ac:dyDescent="0.2">
      <c r="A193"/>
      <c r="B193"/>
      <c r="C193"/>
      <c r="D193"/>
      <c r="E193"/>
      <c r="F193" t="str">
        <f>LEFT(AllDaqbookOffsets[[#This Row],[traceability_no]],2)</f>
        <v>J1</v>
      </c>
      <c r="W193" t="s">
        <v>634</v>
      </c>
      <c r="X193" t="s">
        <v>179</v>
      </c>
      <c r="Z193" s="462" t="str">
        <v>K411</v>
      </c>
      <c r="AA193" s="194" t="str">
        <v>K401-K416</v>
      </c>
      <c r="AG193" s="69" t="str">
        <v>K411</v>
      </c>
    </row>
    <row r="194" spans="1:33" x14ac:dyDescent="0.2">
      <c r="A194"/>
      <c r="B194"/>
      <c r="C194"/>
      <c r="D194"/>
      <c r="E194"/>
      <c r="F194" t="str">
        <f>LEFT(AllDaqbookOffsets[[#This Row],[traceability_no]],2)</f>
        <v>J1</v>
      </c>
      <c r="W194" t="s">
        <v>635</v>
      </c>
      <c r="X194" t="s">
        <v>179</v>
      </c>
      <c r="Z194" s="462" t="str">
        <v>K412</v>
      </c>
      <c r="AA194" s="194" t="str">
        <v>K401-K416</v>
      </c>
      <c r="AG194" s="69" t="str">
        <v>K412</v>
      </c>
    </row>
    <row r="195" spans="1:33" x14ac:dyDescent="0.2">
      <c r="A195"/>
      <c r="B195"/>
      <c r="C195"/>
      <c r="D195"/>
      <c r="E195"/>
      <c r="F195" t="str">
        <f>LEFT(AllDaqbookOffsets[[#This Row],[traceability_no]],2)</f>
        <v>J1</v>
      </c>
      <c r="W195" t="s">
        <v>636</v>
      </c>
      <c r="X195" t="s">
        <v>179</v>
      </c>
      <c r="Z195" s="462" t="str">
        <v>K413</v>
      </c>
      <c r="AA195" s="194" t="str">
        <v>K401-K416</v>
      </c>
      <c r="AG195" s="69" t="str">
        <v>K413</v>
      </c>
    </row>
    <row r="196" spans="1:33" x14ac:dyDescent="0.2">
      <c r="A196"/>
      <c r="B196"/>
      <c r="C196"/>
      <c r="D196"/>
      <c r="E196"/>
      <c r="F196" t="str">
        <f>LEFT(AllDaqbookOffsets[[#This Row],[traceability_no]],2)</f>
        <v>J1</v>
      </c>
      <c r="W196" t="s">
        <v>637</v>
      </c>
      <c r="X196" t="s">
        <v>179</v>
      </c>
      <c r="Z196" s="462" t="str">
        <v>K414</v>
      </c>
      <c r="AA196" s="194" t="str">
        <v>K401-K416</v>
      </c>
      <c r="AG196" s="69" t="str">
        <v>K414</v>
      </c>
    </row>
    <row r="197" spans="1:33" x14ac:dyDescent="0.2">
      <c r="A197"/>
      <c r="B197"/>
      <c r="C197"/>
      <c r="D197"/>
      <c r="E197"/>
      <c r="F197" t="str">
        <f>LEFT(AllDaqbookOffsets[[#This Row],[traceability_no]],2)</f>
        <v>J1</v>
      </c>
      <c r="W197" t="s">
        <v>638</v>
      </c>
      <c r="X197" t="s">
        <v>179</v>
      </c>
      <c r="Z197" s="462" t="str">
        <v>K415</v>
      </c>
      <c r="AA197" s="194" t="str">
        <v>K401-K416</v>
      </c>
      <c r="AG197" s="69" t="str">
        <v>K415</v>
      </c>
    </row>
    <row r="198" spans="1:33" x14ac:dyDescent="0.2">
      <c r="A198"/>
      <c r="B198"/>
      <c r="C198"/>
      <c r="D198"/>
      <c r="E198"/>
      <c r="F198" t="str">
        <f>LEFT(AllDaqbookOffsets[[#This Row],[traceability_no]],2)</f>
        <v>J1</v>
      </c>
      <c r="W198" t="s">
        <v>639</v>
      </c>
      <c r="X198" t="s">
        <v>179</v>
      </c>
      <c r="Z198" s="462" t="str">
        <v>K416</v>
      </c>
      <c r="AA198" s="194" t="str">
        <v>K401-K416</v>
      </c>
      <c r="AG198" s="69" t="str">
        <v>K416</v>
      </c>
    </row>
    <row r="199" spans="1:33" x14ac:dyDescent="0.2">
      <c r="A199"/>
      <c r="B199"/>
      <c r="C199"/>
      <c r="D199"/>
      <c r="E199"/>
      <c r="F199" t="str">
        <f>LEFT(AllDaqbookOffsets[[#This Row],[traceability_no]],2)</f>
        <v>J1</v>
      </c>
      <c r="W199" t="s">
        <v>640</v>
      </c>
      <c r="X199" t="s">
        <v>179</v>
      </c>
      <c r="Z199" s="462" t="str">
        <v>K521</v>
      </c>
      <c r="AA199" s="194" t="str">
        <v>K521-K534</v>
      </c>
      <c r="AG199" s="69" t="str">
        <v>K521</v>
      </c>
    </row>
    <row r="200" spans="1:33" x14ac:dyDescent="0.2">
      <c r="A200"/>
      <c r="B200"/>
      <c r="C200"/>
      <c r="D200"/>
      <c r="E200"/>
      <c r="F200" t="str">
        <f>LEFT(AllDaqbookOffsets[[#This Row],[traceability_no]],2)</f>
        <v>J1</v>
      </c>
      <c r="W200" t="s">
        <v>641</v>
      </c>
      <c r="X200" t="s">
        <v>179</v>
      </c>
      <c r="Z200" s="462" t="str">
        <v>K522</v>
      </c>
      <c r="AA200" s="194" t="str">
        <v>K521-K534</v>
      </c>
      <c r="AG200" s="69" t="str">
        <v>K522</v>
      </c>
    </row>
    <row r="201" spans="1:33" x14ac:dyDescent="0.2">
      <c r="A201"/>
      <c r="B201"/>
      <c r="C201"/>
      <c r="D201"/>
      <c r="E201"/>
      <c r="F201" t="str">
        <f>LEFT(AllDaqbookOffsets[[#This Row],[traceability_no]],2)</f>
        <v>J1</v>
      </c>
      <c r="W201" t="s">
        <v>642</v>
      </c>
      <c r="X201" t="s">
        <v>179</v>
      </c>
      <c r="Z201" s="462" t="str">
        <v>K523</v>
      </c>
      <c r="AA201" s="194" t="str">
        <v>K521-K534</v>
      </c>
      <c r="AG201" s="69" t="str">
        <v>K523</v>
      </c>
    </row>
    <row r="202" spans="1:33" x14ac:dyDescent="0.2">
      <c r="A202"/>
      <c r="B202"/>
      <c r="C202"/>
      <c r="D202"/>
      <c r="E202"/>
      <c r="F202" t="str">
        <f>LEFT(AllDaqbookOffsets[[#This Row],[traceability_no]],2)</f>
        <v>J1</v>
      </c>
      <c r="W202" t="s">
        <v>643</v>
      </c>
      <c r="X202" t="s">
        <v>180</v>
      </c>
      <c r="Z202" s="462" t="str">
        <v>K524</v>
      </c>
      <c r="AA202" s="194" t="str">
        <v>K521-K534</v>
      </c>
      <c r="AG202" s="69" t="str">
        <v>K524</v>
      </c>
    </row>
    <row r="203" spans="1:33" x14ac:dyDescent="0.2">
      <c r="A203"/>
      <c r="B203"/>
      <c r="C203"/>
      <c r="D203"/>
      <c r="E203"/>
      <c r="F203" t="str">
        <f>LEFT(AllDaqbookOffsets[[#This Row],[traceability_no]],2)</f>
        <v>J1</v>
      </c>
      <c r="W203" t="s">
        <v>644</v>
      </c>
      <c r="X203" t="s">
        <v>180</v>
      </c>
      <c r="Z203" s="462" t="str">
        <v>K525</v>
      </c>
      <c r="AA203" s="194" t="str">
        <v>K521-K534</v>
      </c>
      <c r="AG203" s="69" t="str">
        <v>K525</v>
      </c>
    </row>
    <row r="204" spans="1:33" x14ac:dyDescent="0.2">
      <c r="A204"/>
      <c r="B204"/>
      <c r="C204"/>
      <c r="D204"/>
      <c r="E204"/>
      <c r="F204" t="str">
        <f>LEFT(AllDaqbookOffsets[[#This Row],[traceability_no]],2)</f>
        <v>J1</v>
      </c>
      <c r="W204" t="s">
        <v>645</v>
      </c>
      <c r="X204" t="s">
        <v>180</v>
      </c>
      <c r="Z204" s="462" t="str">
        <v>K526</v>
      </c>
      <c r="AA204" s="194" t="str">
        <v>K521-K534</v>
      </c>
      <c r="AG204" s="69" t="str">
        <v>K526</v>
      </c>
    </row>
    <row r="205" spans="1:33" x14ac:dyDescent="0.2">
      <c r="A205"/>
      <c r="B205"/>
      <c r="C205"/>
      <c r="D205"/>
      <c r="E205"/>
      <c r="F205" t="str">
        <f>LEFT(AllDaqbookOffsets[[#This Row],[traceability_no]],2)</f>
        <v>J1</v>
      </c>
      <c r="W205" t="s">
        <v>646</v>
      </c>
      <c r="X205" t="s">
        <v>180</v>
      </c>
      <c r="Z205" s="462" t="str">
        <v>K527</v>
      </c>
      <c r="AA205" s="194" t="str">
        <v>K521-K534</v>
      </c>
      <c r="AG205" s="69" t="str">
        <v>K527</v>
      </c>
    </row>
    <row r="206" spans="1:33" x14ac:dyDescent="0.2">
      <c r="A206"/>
      <c r="B206"/>
      <c r="C206"/>
      <c r="D206"/>
      <c r="E206"/>
      <c r="F206" t="str">
        <f>LEFT(AllDaqbookOffsets[[#This Row],[traceability_no]],2)</f>
        <v>J1</v>
      </c>
      <c r="W206" t="s">
        <v>647</v>
      </c>
      <c r="X206" t="s">
        <v>180</v>
      </c>
      <c r="Z206" s="462" t="str">
        <v>K528</v>
      </c>
      <c r="AA206" s="194" t="str">
        <v>K521-K534</v>
      </c>
      <c r="AG206" s="69" t="str">
        <v>K528</v>
      </c>
    </row>
    <row r="207" spans="1:33" x14ac:dyDescent="0.2">
      <c r="A207"/>
      <c r="B207"/>
      <c r="C207"/>
      <c r="D207"/>
      <c r="E207"/>
      <c r="F207" t="str">
        <f>LEFT(AllDaqbookOffsets[[#This Row],[traceability_no]],2)</f>
        <v>J1</v>
      </c>
      <c r="W207" t="s">
        <v>648</v>
      </c>
      <c r="X207" t="s">
        <v>180</v>
      </c>
      <c r="Z207" s="462" t="str">
        <v>K529</v>
      </c>
      <c r="AA207" s="194" t="str">
        <v>K521-K534</v>
      </c>
      <c r="AG207" s="69" t="str">
        <v>K529</v>
      </c>
    </row>
    <row r="208" spans="1:33" x14ac:dyDescent="0.2">
      <c r="A208"/>
      <c r="B208"/>
      <c r="C208"/>
      <c r="D208"/>
      <c r="E208"/>
      <c r="F208" t="str">
        <f>LEFT(AllDaqbookOffsets[[#This Row],[traceability_no]],2)</f>
        <v>J1</v>
      </c>
      <c r="W208" t="s">
        <v>649</v>
      </c>
      <c r="X208" t="s">
        <v>180</v>
      </c>
      <c r="Z208" s="462" t="str">
        <v>K530</v>
      </c>
      <c r="AA208" s="194" t="str">
        <v>K521-K534</v>
      </c>
      <c r="AG208" s="69" t="str">
        <v>K530</v>
      </c>
    </row>
    <row r="209" spans="1:33" x14ac:dyDescent="0.2">
      <c r="A209"/>
      <c r="B209"/>
      <c r="C209"/>
      <c r="D209"/>
      <c r="E209"/>
      <c r="F209" t="str">
        <f>LEFT(AllDaqbookOffsets[[#This Row],[traceability_no]],2)</f>
        <v>J1</v>
      </c>
      <c r="W209" t="s">
        <v>650</v>
      </c>
      <c r="X209" t="s">
        <v>180</v>
      </c>
      <c r="Z209" s="462" t="str">
        <v>K531</v>
      </c>
      <c r="AA209" s="194" t="str">
        <v>K521-K534</v>
      </c>
      <c r="AG209" s="69" t="str">
        <v>K531</v>
      </c>
    </row>
    <row r="210" spans="1:33" x14ac:dyDescent="0.2">
      <c r="A210"/>
      <c r="B210"/>
      <c r="C210"/>
      <c r="D210"/>
      <c r="E210"/>
      <c r="F210" t="str">
        <f>LEFT(AllDaqbookOffsets[[#This Row],[traceability_no]],2)</f>
        <v>J1</v>
      </c>
      <c r="W210" t="s">
        <v>651</v>
      </c>
      <c r="X210" t="s">
        <v>180</v>
      </c>
      <c r="Z210" s="462" t="str">
        <v>K532</v>
      </c>
      <c r="AA210" s="194" t="str">
        <v>K521-K534</v>
      </c>
      <c r="AG210" s="69" t="str">
        <v>K532</v>
      </c>
    </row>
    <row r="211" spans="1:33" x14ac:dyDescent="0.2">
      <c r="A211"/>
      <c r="B211"/>
      <c r="C211"/>
      <c r="D211"/>
      <c r="E211"/>
      <c r="F211" t="str">
        <f>LEFT(AllDaqbookOffsets[[#This Row],[traceability_no]],2)</f>
        <v>J1</v>
      </c>
      <c r="W211" t="s">
        <v>652</v>
      </c>
      <c r="X211" t="s">
        <v>180</v>
      </c>
      <c r="Z211" s="462" t="str">
        <v>K533</v>
      </c>
      <c r="AA211" s="194" t="str">
        <v>K521-K534</v>
      </c>
      <c r="AG211" s="69" t="str">
        <v>K533</v>
      </c>
    </row>
    <row r="212" spans="1:33" x14ac:dyDescent="0.2">
      <c r="A212"/>
      <c r="B212"/>
      <c r="C212"/>
      <c r="D212"/>
      <c r="E212"/>
      <c r="F212" t="str">
        <f>LEFT(AllDaqbookOffsets[[#This Row],[traceability_no]],2)</f>
        <v>J1</v>
      </c>
      <c r="W212" t="s">
        <v>653</v>
      </c>
      <c r="X212" t="s">
        <v>181</v>
      </c>
      <c r="Z212" s="462" t="str">
        <v>K534</v>
      </c>
      <c r="AA212" s="194" t="str">
        <v>K521-K534</v>
      </c>
      <c r="AG212" s="69" t="str">
        <v>K534</v>
      </c>
    </row>
    <row r="213" spans="1:33" x14ac:dyDescent="0.2">
      <c r="A213"/>
      <c r="B213"/>
      <c r="C213"/>
      <c r="D213"/>
      <c r="E213"/>
      <c r="F213" t="str">
        <f>LEFT(AllDaqbookOffsets[[#This Row],[traceability_no]],2)</f>
        <v>J1</v>
      </c>
      <c r="W213" t="s">
        <v>654</v>
      </c>
      <c r="X213" t="s">
        <v>181</v>
      </c>
      <c r="Z213" s="462" t="str">
        <v>K601</v>
      </c>
      <c r="AA213" s="194" t="str">
        <v>K601-K610</v>
      </c>
      <c r="AG213" s="69" t="str">
        <v>K601</v>
      </c>
    </row>
    <row r="214" spans="1:33" x14ac:dyDescent="0.2">
      <c r="A214"/>
      <c r="B214"/>
      <c r="C214"/>
      <c r="D214"/>
      <c r="E214"/>
      <c r="F214" t="str">
        <f>LEFT(AllDaqbookOffsets[[#This Row],[traceability_no]],2)</f>
        <v>J1</v>
      </c>
      <c r="W214" t="s">
        <v>655</v>
      </c>
      <c r="X214" t="s">
        <v>181</v>
      </c>
      <c r="Z214" s="462" t="str">
        <v>K602</v>
      </c>
      <c r="AA214" s="194" t="str">
        <v>K601-K610</v>
      </c>
      <c r="AG214" s="69" t="str">
        <v>K602</v>
      </c>
    </row>
    <row r="215" spans="1:33" x14ac:dyDescent="0.2">
      <c r="A215"/>
      <c r="B215"/>
      <c r="C215"/>
      <c r="D215"/>
      <c r="E215"/>
      <c r="F215" t="str">
        <f>LEFT(AllDaqbookOffsets[[#This Row],[traceability_no]],2)</f>
        <v>J1</v>
      </c>
      <c r="W215" t="s">
        <v>656</v>
      </c>
      <c r="X215" t="s">
        <v>181</v>
      </c>
      <c r="Z215" s="462" t="str">
        <v>K603</v>
      </c>
      <c r="AA215" s="194" t="str">
        <v>K601-K610</v>
      </c>
      <c r="AG215" s="69" t="str">
        <v>K603</v>
      </c>
    </row>
    <row r="216" spans="1:33" x14ac:dyDescent="0.2">
      <c r="A216"/>
      <c r="B216"/>
      <c r="C216"/>
      <c r="D216"/>
      <c r="E216"/>
      <c r="F216" t="str">
        <f>LEFT(AllDaqbookOffsets[[#This Row],[traceability_no]],2)</f>
        <v>J1</v>
      </c>
      <c r="W216" t="s">
        <v>657</v>
      </c>
      <c r="X216" t="s">
        <v>181</v>
      </c>
      <c r="Z216" s="462" t="str">
        <v>K604</v>
      </c>
      <c r="AA216" s="194" t="str">
        <v>K601-K610</v>
      </c>
      <c r="AG216" s="69" t="str">
        <v>K604</v>
      </c>
    </row>
    <row r="217" spans="1:33" x14ac:dyDescent="0.2">
      <c r="A217"/>
      <c r="B217"/>
      <c r="C217"/>
      <c r="D217"/>
      <c r="E217"/>
      <c r="F217" t="str">
        <f>LEFT(AllDaqbookOffsets[[#This Row],[traceability_no]],2)</f>
        <v>J1</v>
      </c>
      <c r="W217" t="s">
        <v>658</v>
      </c>
      <c r="X217" t="s">
        <v>181</v>
      </c>
      <c r="Z217" s="462" t="str">
        <v>K605</v>
      </c>
      <c r="AA217" s="194" t="str">
        <v>K601-K610</v>
      </c>
      <c r="AG217" s="69" t="str">
        <v>K605</v>
      </c>
    </row>
    <row r="218" spans="1:33" x14ac:dyDescent="0.2">
      <c r="A218"/>
      <c r="B218"/>
      <c r="C218"/>
      <c r="D218"/>
      <c r="E218"/>
      <c r="F218" t="str">
        <f>LEFT(AllDaqbookOffsets[[#This Row],[traceability_no]],2)</f>
        <v>J1</v>
      </c>
      <c r="W218" t="s">
        <v>659</v>
      </c>
      <c r="X218" t="s">
        <v>181</v>
      </c>
      <c r="Z218" s="462" t="str">
        <v>K606</v>
      </c>
      <c r="AA218" s="194" t="str">
        <v>K601-K610</v>
      </c>
      <c r="AG218" s="69" t="str">
        <v>K606</v>
      </c>
    </row>
    <row r="219" spans="1:33" x14ac:dyDescent="0.2">
      <c r="A219"/>
      <c r="B219"/>
      <c r="C219"/>
      <c r="D219"/>
      <c r="E219"/>
      <c r="F219" t="str">
        <f>LEFT(AllDaqbookOffsets[[#This Row],[traceability_no]],2)</f>
        <v>J1</v>
      </c>
      <c r="W219" t="s">
        <v>660</v>
      </c>
      <c r="X219" t="s">
        <v>181</v>
      </c>
      <c r="Z219" s="462" t="str">
        <v>K607</v>
      </c>
      <c r="AA219" s="194" t="str">
        <v>K601-K610</v>
      </c>
      <c r="AG219" s="69" t="str">
        <v>K607</v>
      </c>
    </row>
    <row r="220" spans="1:33" x14ac:dyDescent="0.2">
      <c r="A220"/>
      <c r="B220"/>
      <c r="C220"/>
      <c r="D220"/>
      <c r="E220"/>
      <c r="F220" t="str">
        <f>LEFT(AllDaqbookOffsets[[#This Row],[traceability_no]],2)</f>
        <v>J1</v>
      </c>
      <c r="W220" t="s">
        <v>661</v>
      </c>
      <c r="X220" t="s">
        <v>181</v>
      </c>
      <c r="Z220" s="462" t="str">
        <v>K608</v>
      </c>
      <c r="AA220" s="194" t="str">
        <v>K601-K610</v>
      </c>
      <c r="AG220" s="69" t="str">
        <v>K608</v>
      </c>
    </row>
    <row r="221" spans="1:33" x14ac:dyDescent="0.2">
      <c r="A221"/>
      <c r="B221"/>
      <c r="C221"/>
      <c r="D221"/>
      <c r="E221"/>
      <c r="F221" t="str">
        <f>LEFT(AllDaqbookOffsets[[#This Row],[traceability_no]],2)</f>
        <v>J1</v>
      </c>
      <c r="W221" t="s">
        <v>662</v>
      </c>
      <c r="X221" t="s">
        <v>181</v>
      </c>
      <c r="Z221" s="462" t="str">
        <v>K609</v>
      </c>
      <c r="AA221" s="194" t="str">
        <v>K601-K610</v>
      </c>
      <c r="AG221" s="69" t="str">
        <v>K609</v>
      </c>
    </row>
    <row r="222" spans="1:33" x14ac:dyDescent="0.2">
      <c r="A222"/>
      <c r="B222"/>
      <c r="C222"/>
      <c r="D222"/>
      <c r="E222"/>
      <c r="F222" t="str">
        <f>LEFT(AllDaqbookOffsets[[#This Row],[traceability_no]],2)</f>
        <v>J1</v>
      </c>
      <c r="W222" t="s">
        <v>663</v>
      </c>
      <c r="X222" t="s">
        <v>181</v>
      </c>
      <c r="Z222" s="462" t="str">
        <v>K610</v>
      </c>
      <c r="AA222" s="194" t="str">
        <v>K601-K610</v>
      </c>
      <c r="AG222" s="69" t="str">
        <v>K610</v>
      </c>
    </row>
    <row r="223" spans="1:33" x14ac:dyDescent="0.2">
      <c r="A223"/>
      <c r="B223"/>
      <c r="C223"/>
      <c r="D223"/>
      <c r="E223"/>
      <c r="F223" t="str">
        <f>LEFT(AllDaqbookOffsets[[#This Row],[traceability_no]],2)</f>
        <v>J1</v>
      </c>
      <c r="W223" t="s">
        <v>664</v>
      </c>
      <c r="X223" t="s">
        <v>181</v>
      </c>
      <c r="Z223" s="462" t="str">
        <v>K701</v>
      </c>
      <c r="AA223" s="194" t="str">
        <v>K701-K710</v>
      </c>
      <c r="AG223" s="69" t="str">
        <v>K701</v>
      </c>
    </row>
    <row r="224" spans="1:33" x14ac:dyDescent="0.2">
      <c r="A224"/>
      <c r="B224"/>
      <c r="C224"/>
      <c r="D224"/>
      <c r="E224"/>
      <c r="F224" t="str">
        <f>LEFT(AllDaqbookOffsets[[#This Row],[traceability_no]],2)</f>
        <v>J1</v>
      </c>
      <c r="W224" t="s">
        <v>665</v>
      </c>
      <c r="X224" t="s">
        <v>181</v>
      </c>
      <c r="Z224" s="462" t="str">
        <v>K702</v>
      </c>
      <c r="AA224" s="194" t="str">
        <v>K701-K710</v>
      </c>
      <c r="AG224" s="69" t="str">
        <v>K702</v>
      </c>
    </row>
    <row r="225" spans="1:33" x14ac:dyDescent="0.2">
      <c r="A225"/>
      <c r="B225"/>
      <c r="C225"/>
      <c r="D225"/>
      <c r="E225"/>
      <c r="F225" t="str">
        <f>LEFT(AllDaqbookOffsets[[#This Row],[traceability_no]],2)</f>
        <v>J1</v>
      </c>
      <c r="W225" t="s">
        <v>666</v>
      </c>
      <c r="X225" t="s">
        <v>181</v>
      </c>
      <c r="Z225" s="462" t="str">
        <v>K703</v>
      </c>
      <c r="AA225" s="194" t="str">
        <v>K701-K710</v>
      </c>
      <c r="AG225" s="69" t="str">
        <v>K703</v>
      </c>
    </row>
    <row r="226" spans="1:33" x14ac:dyDescent="0.2">
      <c r="A226"/>
      <c r="B226"/>
      <c r="C226"/>
      <c r="D226"/>
      <c r="E226"/>
      <c r="F226" t="str">
        <f>LEFT(AllDaqbookOffsets[[#This Row],[traceability_no]],2)</f>
        <v>J1</v>
      </c>
      <c r="W226" t="s">
        <v>667</v>
      </c>
      <c r="X226" t="s">
        <v>181</v>
      </c>
      <c r="Z226" s="462" t="str">
        <v>K704</v>
      </c>
      <c r="AA226" s="194" t="str">
        <v>K701-K710</v>
      </c>
      <c r="AG226" s="69" t="str">
        <v>K704</v>
      </c>
    </row>
    <row r="227" spans="1:33" x14ac:dyDescent="0.2">
      <c r="A227"/>
      <c r="B227"/>
      <c r="C227"/>
      <c r="D227"/>
      <c r="E227"/>
      <c r="F227" t="str">
        <f>LEFT(AllDaqbookOffsets[[#This Row],[traceability_no]],2)</f>
        <v>J1</v>
      </c>
      <c r="W227" t="s">
        <v>668</v>
      </c>
      <c r="X227" t="s">
        <v>181</v>
      </c>
      <c r="Z227" s="462" t="str">
        <v>K705</v>
      </c>
      <c r="AA227" s="194" t="str">
        <v>K701-K710</v>
      </c>
      <c r="AG227" s="69" t="str">
        <v>K705</v>
      </c>
    </row>
    <row r="228" spans="1:33" x14ac:dyDescent="0.2">
      <c r="A228"/>
      <c r="B228"/>
      <c r="C228"/>
      <c r="D228"/>
      <c r="E228"/>
      <c r="F228" t="str">
        <f>LEFT(AllDaqbookOffsets[[#This Row],[traceability_no]],2)</f>
        <v>J1</v>
      </c>
      <c r="W228" t="s">
        <v>669</v>
      </c>
      <c r="X228" t="s">
        <v>182</v>
      </c>
      <c r="Z228" s="462" t="str">
        <v>K706</v>
      </c>
      <c r="AA228" s="194" t="str">
        <v>K701-K710</v>
      </c>
      <c r="AG228" s="69" t="str">
        <v>K706</v>
      </c>
    </row>
    <row r="229" spans="1:33" x14ac:dyDescent="0.2">
      <c r="A229"/>
      <c r="B229"/>
      <c r="C229"/>
      <c r="D229"/>
      <c r="E229"/>
      <c r="F229" t="str">
        <f>LEFT(AllDaqbookOffsets[[#This Row],[traceability_no]],2)</f>
        <v>J1</v>
      </c>
      <c r="W229" t="s">
        <v>670</v>
      </c>
      <c r="X229" t="s">
        <v>182</v>
      </c>
      <c r="Z229" s="462" t="str">
        <v>K707</v>
      </c>
      <c r="AA229" s="194" t="str">
        <v>K701-K710</v>
      </c>
      <c r="AG229" s="69" t="str">
        <v>K707</v>
      </c>
    </row>
    <row r="230" spans="1:33" x14ac:dyDescent="0.2">
      <c r="A230"/>
      <c r="B230"/>
      <c r="C230"/>
      <c r="D230"/>
      <c r="E230"/>
      <c r="F230" t="str">
        <f>LEFT(AllDaqbookOffsets[[#This Row],[traceability_no]],2)</f>
        <v>J1</v>
      </c>
      <c r="W230" t="s">
        <v>671</v>
      </c>
      <c r="X230" t="s">
        <v>182</v>
      </c>
      <c r="Z230" s="462" t="str">
        <v>K708</v>
      </c>
      <c r="AA230" s="194" t="str">
        <v>K701-K710</v>
      </c>
      <c r="AG230" s="69" t="str">
        <v>K708</v>
      </c>
    </row>
    <row r="231" spans="1:33" x14ac:dyDescent="0.2">
      <c r="A231"/>
      <c r="B231"/>
      <c r="C231"/>
      <c r="D231"/>
      <c r="E231"/>
      <c r="F231" t="str">
        <f>LEFT(AllDaqbookOffsets[[#This Row],[traceability_no]],2)</f>
        <v>J1</v>
      </c>
      <c r="W231" t="s">
        <v>672</v>
      </c>
      <c r="X231" t="s">
        <v>182</v>
      </c>
      <c r="Z231" s="462" t="str">
        <v>K709</v>
      </c>
      <c r="AA231" s="194" t="str">
        <v>K701-K710</v>
      </c>
      <c r="AG231" s="69" t="str">
        <v>K709</v>
      </c>
    </row>
    <row r="232" spans="1:33" x14ac:dyDescent="0.2">
      <c r="A232"/>
      <c r="B232"/>
      <c r="C232"/>
      <c r="D232"/>
      <c r="E232"/>
      <c r="F232" t="str">
        <f>LEFT(AllDaqbookOffsets[[#This Row],[traceability_no]],2)</f>
        <v>J1</v>
      </c>
      <c r="W232" t="s">
        <v>673</v>
      </c>
      <c r="X232" t="s">
        <v>182</v>
      </c>
      <c r="Z232" s="462" t="str">
        <v>K710</v>
      </c>
      <c r="AA232" s="194" t="str">
        <v>K701-K710</v>
      </c>
      <c r="AG232" s="69" t="str">
        <v>K710</v>
      </c>
    </row>
    <row r="233" spans="1:33" x14ac:dyDescent="0.2">
      <c r="A233"/>
      <c r="B233"/>
      <c r="C233"/>
      <c r="D233"/>
      <c r="E233"/>
      <c r="F233" t="str">
        <f>LEFT(AllDaqbookOffsets[[#This Row],[traceability_no]],2)</f>
        <v>J1</v>
      </c>
      <c r="W233" t="s">
        <v>674</v>
      </c>
      <c r="X233" t="s">
        <v>182</v>
      </c>
      <c r="Z233" s="462" t="str">
        <v>K801</v>
      </c>
      <c r="AA233" s="194" t="str">
        <v>K801-K816</v>
      </c>
      <c r="AG233" s="69" t="str">
        <v>K801</v>
      </c>
    </row>
    <row r="234" spans="1:33" x14ac:dyDescent="0.2">
      <c r="A234"/>
      <c r="B234"/>
      <c r="C234"/>
      <c r="D234"/>
      <c r="E234"/>
      <c r="F234" t="str">
        <f>LEFT(AllDaqbookOffsets[[#This Row],[traceability_no]],2)</f>
        <v>J1</v>
      </c>
      <c r="W234" t="s">
        <v>675</v>
      </c>
      <c r="X234" t="s">
        <v>182</v>
      </c>
      <c r="Z234" s="462" t="str">
        <v>K802</v>
      </c>
      <c r="AA234" s="194" t="str">
        <v>K801-K816</v>
      </c>
      <c r="AG234" s="69" t="str">
        <v>K802</v>
      </c>
    </row>
    <row r="235" spans="1:33" x14ac:dyDescent="0.2">
      <c r="A235"/>
      <c r="B235"/>
      <c r="C235"/>
      <c r="D235"/>
      <c r="E235"/>
      <c r="F235" t="str">
        <f>LEFT(AllDaqbookOffsets[[#This Row],[traceability_no]],2)</f>
        <v>J1</v>
      </c>
      <c r="W235" t="s">
        <v>676</v>
      </c>
      <c r="X235" t="s">
        <v>182</v>
      </c>
      <c r="Z235" s="462" t="str">
        <v>K803</v>
      </c>
      <c r="AA235" s="194" t="str">
        <v>K801-K816</v>
      </c>
      <c r="AG235" s="69" t="str">
        <v>K803</v>
      </c>
    </row>
    <row r="236" spans="1:33" x14ac:dyDescent="0.2">
      <c r="A236"/>
      <c r="B236"/>
      <c r="C236"/>
      <c r="D236"/>
      <c r="E236"/>
      <c r="F236" t="str">
        <f>LEFT(AllDaqbookOffsets[[#This Row],[traceability_no]],2)</f>
        <v>J1</v>
      </c>
      <c r="W236" t="s">
        <v>677</v>
      </c>
      <c r="X236" t="s">
        <v>182</v>
      </c>
      <c r="Z236" s="462" t="str">
        <v>K804</v>
      </c>
      <c r="AA236" s="194" t="str">
        <v>K801-K816</v>
      </c>
      <c r="AG236" s="69" t="str">
        <v>K804</v>
      </c>
    </row>
    <row r="237" spans="1:33" x14ac:dyDescent="0.2">
      <c r="A237"/>
      <c r="B237"/>
      <c r="C237"/>
      <c r="D237"/>
      <c r="E237"/>
      <c r="F237" t="str">
        <f>LEFT(AllDaqbookOffsets[[#This Row],[traceability_no]],2)</f>
        <v>J1</v>
      </c>
      <c r="W237" t="s">
        <v>678</v>
      </c>
      <c r="X237" t="s">
        <v>182</v>
      </c>
      <c r="Z237" s="462" t="str">
        <v>K805</v>
      </c>
      <c r="AA237" s="194" t="str">
        <v>K801-K816</v>
      </c>
      <c r="AG237" s="69" t="str">
        <v>K805</v>
      </c>
    </row>
    <row r="238" spans="1:33" x14ac:dyDescent="0.2">
      <c r="A238"/>
      <c r="B238"/>
      <c r="C238"/>
      <c r="D238"/>
      <c r="E238"/>
      <c r="F238" t="str">
        <f>LEFT(AllDaqbookOffsets[[#This Row],[traceability_no]],2)</f>
        <v>J1</v>
      </c>
      <c r="W238" t="s">
        <v>679</v>
      </c>
      <c r="X238" t="s">
        <v>258</v>
      </c>
      <c r="Z238" s="462" t="str">
        <v>K806</v>
      </c>
      <c r="AA238" s="194" t="str">
        <v>K801-K816</v>
      </c>
      <c r="AG238" s="69" t="str">
        <v>K806</v>
      </c>
    </row>
    <row r="239" spans="1:33" x14ac:dyDescent="0.2">
      <c r="A239"/>
      <c r="B239"/>
      <c r="C239"/>
      <c r="D239"/>
      <c r="E239"/>
      <c r="F239" t="str">
        <f>LEFT(AllDaqbookOffsets[[#This Row],[traceability_no]],2)</f>
        <v>J1</v>
      </c>
      <c r="W239" t="s">
        <v>680</v>
      </c>
      <c r="X239" t="s">
        <v>258</v>
      </c>
      <c r="Z239" s="462" t="str">
        <v>K807</v>
      </c>
      <c r="AA239" s="194" t="str">
        <v>K801-K816</v>
      </c>
      <c r="AG239" s="69" t="str">
        <v>K807</v>
      </c>
    </row>
    <row r="240" spans="1:33" x14ac:dyDescent="0.2">
      <c r="A240"/>
      <c r="B240"/>
      <c r="C240"/>
      <c r="D240"/>
      <c r="E240"/>
      <c r="F240" t="str">
        <f>LEFT(AllDaqbookOffsets[[#This Row],[traceability_no]],2)</f>
        <v>J1</v>
      </c>
      <c r="W240" t="s">
        <v>681</v>
      </c>
      <c r="X240" t="s">
        <v>258</v>
      </c>
      <c r="Z240" s="462" t="str">
        <v>K808</v>
      </c>
      <c r="AA240" s="194" t="str">
        <v>K801-K816</v>
      </c>
      <c r="AG240" s="69" t="str">
        <v>K808</v>
      </c>
    </row>
    <row r="241" spans="1:33" x14ac:dyDescent="0.2">
      <c r="A241"/>
      <c r="B241"/>
      <c r="C241"/>
      <c r="D241"/>
      <c r="E241"/>
      <c r="F241" t="str">
        <f>LEFT(AllDaqbookOffsets[[#This Row],[traceability_no]],2)</f>
        <v>J1</v>
      </c>
      <c r="W241" t="s">
        <v>682</v>
      </c>
      <c r="X241" t="s">
        <v>258</v>
      </c>
      <c r="Z241" s="462" t="str">
        <v>K809</v>
      </c>
      <c r="AA241" s="194" t="str">
        <v>K801-K816</v>
      </c>
      <c r="AG241" s="69" t="str">
        <v>K809</v>
      </c>
    </row>
    <row r="242" spans="1:33" x14ac:dyDescent="0.2">
      <c r="A242"/>
      <c r="B242"/>
      <c r="C242"/>
      <c r="D242"/>
      <c r="E242"/>
      <c r="F242" t="str">
        <f>LEFT(AllDaqbookOffsets[[#This Row],[traceability_no]],2)</f>
        <v>J2</v>
      </c>
      <c r="W242" t="s">
        <v>683</v>
      </c>
      <c r="X242" t="s">
        <v>258</v>
      </c>
      <c r="Z242" s="462" t="str">
        <v>K810</v>
      </c>
      <c r="AA242" s="194" t="str">
        <v>K801-K816</v>
      </c>
      <c r="AG242" s="69" t="str">
        <v>K810</v>
      </c>
    </row>
    <row r="243" spans="1:33" x14ac:dyDescent="0.2">
      <c r="A243"/>
      <c r="B243"/>
      <c r="C243"/>
      <c r="D243"/>
      <c r="E243"/>
      <c r="F243" t="str">
        <f>LEFT(AllDaqbookOffsets[[#This Row],[traceability_no]],2)</f>
        <v>J2</v>
      </c>
      <c r="W243" t="s">
        <v>684</v>
      </c>
      <c r="X243" t="s">
        <v>258</v>
      </c>
      <c r="Z243" s="462" t="str">
        <v>K811</v>
      </c>
      <c r="AA243" s="194" t="str">
        <v>K801-K816</v>
      </c>
      <c r="AG243" s="69" t="str">
        <v>K811</v>
      </c>
    </row>
    <row r="244" spans="1:33" x14ac:dyDescent="0.2">
      <c r="A244"/>
      <c r="B244"/>
      <c r="C244"/>
      <c r="D244"/>
      <c r="E244"/>
      <c r="F244" t="str">
        <f>LEFT(AllDaqbookOffsets[[#This Row],[traceability_no]],2)</f>
        <v>J2</v>
      </c>
      <c r="W244" t="s">
        <v>685</v>
      </c>
      <c r="X244" t="s">
        <v>258</v>
      </c>
      <c r="Z244" s="462" t="str">
        <v>K812</v>
      </c>
      <c r="AA244" s="194" t="str">
        <v>K801-K816</v>
      </c>
      <c r="AG244" s="69" t="str">
        <v>K812</v>
      </c>
    </row>
    <row r="245" spans="1:33" x14ac:dyDescent="0.2">
      <c r="A245"/>
      <c r="B245"/>
      <c r="C245"/>
      <c r="D245"/>
      <c r="E245"/>
      <c r="F245" t="str">
        <f>LEFT(AllDaqbookOffsets[[#This Row],[traceability_no]],2)</f>
        <v>J2</v>
      </c>
      <c r="W245" t="s">
        <v>686</v>
      </c>
      <c r="X245" t="s">
        <v>258</v>
      </c>
      <c r="Z245" s="462" t="str">
        <v>K813</v>
      </c>
      <c r="AA245" s="194" t="str">
        <v>K801-K816</v>
      </c>
      <c r="AG245" s="69" t="str">
        <v>K813</v>
      </c>
    </row>
    <row r="246" spans="1:33" x14ac:dyDescent="0.2">
      <c r="A246"/>
      <c r="B246"/>
      <c r="C246"/>
      <c r="D246"/>
      <c r="E246"/>
      <c r="F246" t="str">
        <f>LEFT(AllDaqbookOffsets[[#This Row],[traceability_no]],2)</f>
        <v>J2</v>
      </c>
      <c r="W246" t="s">
        <v>687</v>
      </c>
      <c r="X246" t="s">
        <v>258</v>
      </c>
      <c r="Z246" s="462" t="str">
        <v>K814</v>
      </c>
      <c r="AA246" s="194" t="str">
        <v>K801-K816</v>
      </c>
      <c r="AG246" s="69" t="str">
        <v>K814</v>
      </c>
    </row>
    <row r="247" spans="1:33" x14ac:dyDescent="0.2">
      <c r="A247"/>
      <c r="B247"/>
      <c r="C247"/>
      <c r="D247"/>
      <c r="E247"/>
      <c r="F247" t="str">
        <f>LEFT(AllDaqbookOffsets[[#This Row],[traceability_no]],2)</f>
        <v>J2</v>
      </c>
      <c r="W247" t="s">
        <v>688</v>
      </c>
      <c r="X247" t="s">
        <v>258</v>
      </c>
      <c r="Z247" s="462" t="str">
        <v>K815</v>
      </c>
      <c r="AA247" s="194" t="str">
        <v>K801-K816</v>
      </c>
      <c r="AG247" s="69" t="str">
        <v>K815</v>
      </c>
    </row>
    <row r="248" spans="1:33" x14ac:dyDescent="0.2">
      <c r="A248"/>
      <c r="B248"/>
      <c r="C248"/>
      <c r="D248"/>
      <c r="E248"/>
      <c r="F248" t="str">
        <f>LEFT(AllDaqbookOffsets[[#This Row],[traceability_no]],2)</f>
        <v>J2</v>
      </c>
      <c r="W248" t="s">
        <v>695</v>
      </c>
      <c r="X248" t="s">
        <v>183</v>
      </c>
      <c r="Z248" s="462" t="str">
        <v>K816</v>
      </c>
      <c r="AA248" s="194" t="str">
        <v>K801-K816</v>
      </c>
      <c r="AG248" s="69" t="str">
        <v>K816</v>
      </c>
    </row>
    <row r="249" spans="1:33" x14ac:dyDescent="0.2">
      <c r="A249"/>
      <c r="B249"/>
      <c r="C249"/>
      <c r="D249"/>
      <c r="E249"/>
      <c r="F249" t="str">
        <f>LEFT(AllDaqbookOffsets[[#This Row],[traceability_no]],2)</f>
        <v>J2</v>
      </c>
      <c r="W249" t="s">
        <v>696</v>
      </c>
      <c r="X249" t="s">
        <v>183</v>
      </c>
      <c r="Z249" s="462" t="str">
        <v>K901</v>
      </c>
      <c r="AA249" s="194" t="str">
        <v>K901-K910</v>
      </c>
      <c r="AG249" s="69" t="str">
        <v>K901</v>
      </c>
    </row>
    <row r="250" spans="1:33" x14ac:dyDescent="0.2">
      <c r="A250"/>
      <c r="B250"/>
      <c r="C250"/>
      <c r="D250"/>
      <c r="E250"/>
      <c r="F250" t="str">
        <f>LEFT(AllDaqbookOffsets[[#This Row],[traceability_no]],2)</f>
        <v>J2</v>
      </c>
      <c r="W250" t="s">
        <v>697</v>
      </c>
      <c r="X250" t="s">
        <v>183</v>
      </c>
      <c r="Z250" s="462" t="str">
        <v>K902</v>
      </c>
      <c r="AA250" s="194" t="str">
        <v>K901-K910</v>
      </c>
      <c r="AG250" s="69" t="str">
        <v>K902</v>
      </c>
    </row>
    <row r="251" spans="1:33" x14ac:dyDescent="0.2">
      <c r="A251"/>
      <c r="B251"/>
      <c r="C251"/>
      <c r="D251"/>
      <c r="E251"/>
      <c r="F251" t="str">
        <f>LEFT(AllDaqbookOffsets[[#This Row],[traceability_no]],2)</f>
        <v>J2</v>
      </c>
      <c r="W251" t="s">
        <v>698</v>
      </c>
      <c r="X251" t="s">
        <v>183</v>
      </c>
      <c r="Z251" s="462" t="str">
        <v>K903</v>
      </c>
      <c r="AA251" s="194" t="str">
        <v>K901-K910</v>
      </c>
      <c r="AG251" s="69" t="str">
        <v>K903</v>
      </c>
    </row>
    <row r="252" spans="1:33" x14ac:dyDescent="0.2">
      <c r="A252"/>
      <c r="B252"/>
      <c r="C252"/>
      <c r="D252"/>
      <c r="E252"/>
      <c r="F252" t="str">
        <f>LEFT(AllDaqbookOffsets[[#This Row],[traceability_no]],2)</f>
        <v>J2</v>
      </c>
      <c r="W252" t="s">
        <v>699</v>
      </c>
      <c r="X252" t="s">
        <v>183</v>
      </c>
      <c r="Z252" s="462" t="str">
        <v>K904</v>
      </c>
      <c r="AA252" s="194" t="str">
        <v>K901-K910</v>
      </c>
      <c r="AG252" s="69" t="str">
        <v>K904</v>
      </c>
    </row>
    <row r="253" spans="1:33" x14ac:dyDescent="0.2">
      <c r="A253"/>
      <c r="B253"/>
      <c r="C253"/>
      <c r="D253"/>
      <c r="E253"/>
      <c r="F253" t="str">
        <f>LEFT(AllDaqbookOffsets[[#This Row],[traceability_no]],2)</f>
        <v>J2</v>
      </c>
      <c r="W253" t="s">
        <v>700</v>
      </c>
      <c r="X253" t="s">
        <v>183</v>
      </c>
      <c r="Z253" s="462" t="str">
        <v>K905</v>
      </c>
      <c r="AA253" s="194" t="str">
        <v>K901-K910</v>
      </c>
      <c r="AG253" s="69" t="str">
        <v>K905</v>
      </c>
    </row>
    <row r="254" spans="1:33" x14ac:dyDescent="0.2">
      <c r="A254"/>
      <c r="B254"/>
      <c r="C254"/>
      <c r="D254"/>
      <c r="E254"/>
      <c r="F254" t="str">
        <f>LEFT(AllDaqbookOffsets[[#This Row],[traceability_no]],2)</f>
        <v>J2</v>
      </c>
      <c r="W254" t="s">
        <v>701</v>
      </c>
      <c r="X254" t="s">
        <v>183</v>
      </c>
      <c r="Z254" s="462" t="str">
        <v>K906</v>
      </c>
      <c r="AA254" s="194" t="str">
        <v>K901-K910</v>
      </c>
      <c r="AG254" s="69" t="str">
        <v>K906</v>
      </c>
    </row>
    <row r="255" spans="1:33" x14ac:dyDescent="0.2">
      <c r="A255"/>
      <c r="B255"/>
      <c r="C255"/>
      <c r="D255"/>
      <c r="E255"/>
      <c r="F255" t="str">
        <f>LEFT(AllDaqbookOffsets[[#This Row],[traceability_no]],2)</f>
        <v>J2</v>
      </c>
      <c r="W255" t="s">
        <v>702</v>
      </c>
      <c r="X255" t="s">
        <v>183</v>
      </c>
      <c r="Z255" s="462" t="str">
        <v>K907</v>
      </c>
      <c r="AA255" s="194" t="str">
        <v>K901-K910</v>
      </c>
      <c r="AG255" s="69" t="str">
        <v>K907</v>
      </c>
    </row>
    <row r="256" spans="1:33" x14ac:dyDescent="0.2">
      <c r="A256"/>
      <c r="B256"/>
      <c r="C256"/>
      <c r="D256"/>
      <c r="E256"/>
      <c r="F256" t="str">
        <f>LEFT(AllDaqbookOffsets[[#This Row],[traceability_no]],2)</f>
        <v>J2</v>
      </c>
      <c r="W256" t="s">
        <v>703</v>
      </c>
      <c r="X256" t="s">
        <v>183</v>
      </c>
      <c r="Z256" s="462" t="str">
        <v>K908</v>
      </c>
      <c r="AA256" s="194" t="str">
        <v>K901-K910</v>
      </c>
      <c r="AG256" s="69" t="str">
        <v>K908</v>
      </c>
    </row>
    <row r="257" spans="1:33" x14ac:dyDescent="0.2">
      <c r="A257"/>
      <c r="B257"/>
      <c r="C257"/>
      <c r="D257"/>
      <c r="E257"/>
      <c r="F257" t="str">
        <f>LEFT(AllDaqbookOffsets[[#This Row],[traceability_no]],2)</f>
        <v>J2</v>
      </c>
      <c r="W257" t="s">
        <v>689</v>
      </c>
      <c r="X257" t="s">
        <v>258</v>
      </c>
      <c r="Z257" s="462" t="str">
        <v>K909</v>
      </c>
      <c r="AA257" s="194" t="str">
        <v>K901-K910</v>
      </c>
      <c r="AG257" s="69" t="str">
        <v>K909</v>
      </c>
    </row>
    <row r="258" spans="1:33" x14ac:dyDescent="0.2">
      <c r="A258"/>
      <c r="B258"/>
      <c r="C258"/>
      <c r="D258"/>
      <c r="E258"/>
      <c r="F258" t="str">
        <f>LEFT(AllDaqbookOffsets[[#This Row],[traceability_no]],2)</f>
        <v>J2</v>
      </c>
      <c r="W258" t="s">
        <v>704</v>
      </c>
      <c r="X258" t="s">
        <v>183</v>
      </c>
      <c r="Z258" s="462" t="str">
        <v>K910</v>
      </c>
      <c r="AA258" s="194" t="str">
        <v>K901-K910</v>
      </c>
      <c r="AG258" s="69" t="str">
        <v>K910</v>
      </c>
    </row>
    <row r="259" spans="1:33" x14ac:dyDescent="0.2">
      <c r="A259"/>
      <c r="B259"/>
      <c r="C259"/>
      <c r="D259"/>
      <c r="E259"/>
      <c r="F259" t="str">
        <f>LEFT(AllDaqbookOffsets[[#This Row],[traceability_no]],2)</f>
        <v>J2</v>
      </c>
      <c r="W259" t="s">
        <v>705</v>
      </c>
      <c r="X259" t="s">
        <v>183</v>
      </c>
      <c r="Z259" s="462" t="str">
        <v>N01</v>
      </c>
      <c r="AA259" s="194" t="str">
        <v>N01-N16</v>
      </c>
      <c r="AG259" s="69" t="str">
        <v>N01</v>
      </c>
    </row>
    <row r="260" spans="1:33" x14ac:dyDescent="0.2">
      <c r="A260"/>
      <c r="B260"/>
      <c r="C260"/>
      <c r="D260"/>
      <c r="E260"/>
      <c r="F260" t="str">
        <f>LEFT(AllDaqbookOffsets[[#This Row],[traceability_no]],2)</f>
        <v>J2</v>
      </c>
      <c r="W260" t="s">
        <v>706</v>
      </c>
      <c r="X260" t="s">
        <v>183</v>
      </c>
      <c r="Z260" s="462" t="str">
        <v>N02</v>
      </c>
      <c r="AA260" s="194" t="str">
        <v>N01-N16</v>
      </c>
      <c r="AG260" s="69" t="str">
        <v>N02</v>
      </c>
    </row>
    <row r="261" spans="1:33" x14ac:dyDescent="0.2">
      <c r="A261"/>
      <c r="B261"/>
      <c r="C261"/>
      <c r="D261"/>
      <c r="E261"/>
      <c r="F261" t="str">
        <f>LEFT(AllDaqbookOffsets[[#This Row],[traceability_no]],2)</f>
        <v>J2</v>
      </c>
      <c r="W261" t="s">
        <v>690</v>
      </c>
      <c r="X261" t="s">
        <v>258</v>
      </c>
      <c r="Z261" s="462" t="str">
        <v>N03</v>
      </c>
      <c r="AA261" s="194" t="str">
        <v>N01-N16</v>
      </c>
      <c r="AG261" s="69" t="str">
        <v>N03</v>
      </c>
    </row>
    <row r="262" spans="1:33" x14ac:dyDescent="0.2">
      <c r="A262"/>
      <c r="B262"/>
      <c r="C262"/>
      <c r="D262"/>
      <c r="E262"/>
      <c r="F262" t="str">
        <f>LEFT(AllDaqbookOffsets[[#This Row],[traceability_no]],2)</f>
        <v>J2</v>
      </c>
      <c r="W262" t="s">
        <v>691</v>
      </c>
      <c r="X262" t="s">
        <v>258</v>
      </c>
      <c r="Z262" s="462" t="str">
        <v>N04</v>
      </c>
      <c r="AA262" s="194" t="str">
        <v>N01-N16</v>
      </c>
      <c r="AG262" s="69" t="str">
        <v>N04</v>
      </c>
    </row>
    <row r="263" spans="1:33" x14ac:dyDescent="0.2">
      <c r="A263"/>
      <c r="B263"/>
      <c r="C263"/>
      <c r="D263"/>
      <c r="E263"/>
      <c r="F263" t="str">
        <f>LEFT(AllDaqbookOffsets[[#This Row],[traceability_no]],2)</f>
        <v>J2</v>
      </c>
      <c r="W263" t="s">
        <v>692</v>
      </c>
      <c r="X263" t="s">
        <v>258</v>
      </c>
      <c r="Z263" s="462" t="str">
        <v>N05</v>
      </c>
      <c r="AA263" s="194" t="str">
        <v>N01-N16</v>
      </c>
      <c r="AG263" s="69" t="str">
        <v>N05</v>
      </c>
    </row>
    <row r="264" spans="1:33" x14ac:dyDescent="0.2">
      <c r="A264"/>
      <c r="B264"/>
      <c r="C264"/>
      <c r="D264"/>
      <c r="E264"/>
      <c r="F264" t="str">
        <f>LEFT(AllDaqbookOffsets[[#This Row],[traceability_no]],2)</f>
        <v>J2</v>
      </c>
      <c r="W264" t="s">
        <v>693</v>
      </c>
      <c r="X264" t="s">
        <v>258</v>
      </c>
      <c r="Z264" s="462" t="str">
        <v>N06</v>
      </c>
      <c r="AA264" s="194" t="str">
        <v>N01-N16</v>
      </c>
      <c r="AG264" s="69" t="str">
        <v>N06</v>
      </c>
    </row>
    <row r="265" spans="1:33" x14ac:dyDescent="0.2">
      <c r="A265"/>
      <c r="B265"/>
      <c r="C265"/>
      <c r="D265"/>
      <c r="E265"/>
      <c r="F265" t="str">
        <f>LEFT(AllDaqbookOffsets[[#This Row],[traceability_no]],2)</f>
        <v>J2</v>
      </c>
      <c r="W265" t="s">
        <v>694</v>
      </c>
      <c r="X265" t="s">
        <v>258</v>
      </c>
      <c r="Z265" s="462" t="str">
        <v>N07</v>
      </c>
      <c r="AA265" s="194" t="str">
        <v>N01-N16</v>
      </c>
      <c r="AG265" s="69" t="str">
        <v>N07</v>
      </c>
    </row>
    <row r="266" spans="1:33" x14ac:dyDescent="0.2">
      <c r="A266"/>
      <c r="B266"/>
      <c r="C266"/>
      <c r="D266"/>
      <c r="E266"/>
      <c r="F266" t="str">
        <f>LEFT(AllDaqbookOffsets[[#This Row],[traceability_no]],2)</f>
        <v>J2</v>
      </c>
      <c r="W266" t="s">
        <v>707</v>
      </c>
      <c r="X266" t="s">
        <v>184</v>
      </c>
      <c r="Z266" s="462" t="str">
        <v>N08</v>
      </c>
      <c r="AA266" s="194" t="str">
        <v>N01-N16</v>
      </c>
      <c r="AG266" s="69" t="str">
        <v>N08</v>
      </c>
    </row>
    <row r="267" spans="1:33" x14ac:dyDescent="0.2">
      <c r="A267"/>
      <c r="B267"/>
      <c r="C267"/>
      <c r="D267"/>
      <c r="E267"/>
      <c r="F267" t="str">
        <f>LEFT(AllDaqbookOffsets[[#This Row],[traceability_no]],2)</f>
        <v>J2</v>
      </c>
      <c r="W267" t="s">
        <v>708</v>
      </c>
      <c r="X267" t="s">
        <v>184</v>
      </c>
      <c r="Z267" s="462" t="str">
        <v>N09</v>
      </c>
      <c r="AA267" s="194" t="str">
        <v>N01-N16</v>
      </c>
      <c r="AG267" s="69" t="str">
        <v>N09</v>
      </c>
    </row>
    <row r="268" spans="1:33" x14ac:dyDescent="0.2">
      <c r="A268"/>
      <c r="B268"/>
      <c r="C268"/>
      <c r="D268"/>
      <c r="E268"/>
      <c r="F268" t="str">
        <f>LEFT(AllDaqbookOffsets[[#This Row],[traceability_no]],2)</f>
        <v>J2</v>
      </c>
      <c r="W268" t="s">
        <v>709</v>
      </c>
      <c r="X268" t="s">
        <v>184</v>
      </c>
      <c r="Z268" s="462" t="str">
        <v>N10</v>
      </c>
      <c r="AA268" s="194" t="str">
        <v>N01-N16</v>
      </c>
      <c r="AG268" s="69" t="str">
        <v>N10</v>
      </c>
    </row>
    <row r="269" spans="1:33" x14ac:dyDescent="0.2">
      <c r="A269"/>
      <c r="B269"/>
      <c r="C269"/>
      <c r="D269"/>
      <c r="E269"/>
      <c r="F269" t="str">
        <f>LEFT(AllDaqbookOffsets[[#This Row],[traceability_no]],2)</f>
        <v>J2</v>
      </c>
      <c r="W269" t="s">
        <v>710</v>
      </c>
      <c r="X269" t="s">
        <v>184</v>
      </c>
      <c r="Z269" s="462" t="str">
        <v>N101</v>
      </c>
      <c r="AA269" s="194" t="str">
        <v>N101-N112</v>
      </c>
      <c r="AG269" s="69" t="str">
        <v>N101</v>
      </c>
    </row>
    <row r="270" spans="1:33" x14ac:dyDescent="0.2">
      <c r="A270"/>
      <c r="B270"/>
      <c r="C270"/>
      <c r="D270"/>
      <c r="E270"/>
      <c r="F270" t="str">
        <f>LEFT(AllDaqbookOffsets[[#This Row],[traceability_no]],2)</f>
        <v>J2</v>
      </c>
      <c r="W270" t="s">
        <v>711</v>
      </c>
      <c r="X270" t="s">
        <v>184</v>
      </c>
      <c r="Z270" s="462" t="str">
        <v>N102</v>
      </c>
      <c r="AA270" s="194" t="str">
        <v>N101-N112</v>
      </c>
      <c r="AG270" s="69" t="str">
        <v>N102</v>
      </c>
    </row>
    <row r="271" spans="1:33" x14ac:dyDescent="0.2">
      <c r="A271"/>
      <c r="B271"/>
      <c r="C271"/>
      <c r="D271"/>
      <c r="E271"/>
      <c r="F271" t="str">
        <f>LEFT(AllDaqbookOffsets[[#This Row],[traceability_no]],2)</f>
        <v>J2</v>
      </c>
      <c r="W271" t="s">
        <v>712</v>
      </c>
      <c r="X271" t="s">
        <v>184</v>
      </c>
      <c r="Z271" s="462" t="str">
        <v>N103</v>
      </c>
      <c r="AA271" s="194" t="str">
        <v>N101-N112</v>
      </c>
      <c r="AG271" s="69" t="str">
        <v>N103</v>
      </c>
    </row>
    <row r="272" spans="1:33" x14ac:dyDescent="0.2">
      <c r="A272"/>
      <c r="B272"/>
      <c r="C272"/>
      <c r="D272"/>
      <c r="E272"/>
      <c r="F272" t="str">
        <f>LEFT(AllDaqbookOffsets[[#This Row],[traceability_no]],2)</f>
        <v>J2</v>
      </c>
      <c r="W272" t="s">
        <v>713</v>
      </c>
      <c r="X272" t="s">
        <v>184</v>
      </c>
      <c r="Z272" s="462" t="str">
        <v>N104</v>
      </c>
      <c r="AA272" s="194" t="str">
        <v>N101-N112</v>
      </c>
      <c r="AG272" s="69" t="str">
        <v>N104</v>
      </c>
    </row>
    <row r="273" spans="1:33" x14ac:dyDescent="0.2">
      <c r="A273"/>
      <c r="B273"/>
      <c r="C273"/>
      <c r="D273"/>
      <c r="E273"/>
      <c r="F273" t="str">
        <f>LEFT(AllDaqbookOffsets[[#This Row],[traceability_no]],2)</f>
        <v>J2</v>
      </c>
      <c r="W273" t="s">
        <v>714</v>
      </c>
      <c r="X273" t="s">
        <v>184</v>
      </c>
      <c r="Z273" s="462" t="str">
        <v>N105</v>
      </c>
      <c r="AA273" s="194" t="str">
        <v>N101-N112</v>
      </c>
      <c r="AG273" s="69" t="str">
        <v>N105</v>
      </c>
    </row>
    <row r="274" spans="1:33" x14ac:dyDescent="0.2">
      <c r="A274"/>
      <c r="B274"/>
      <c r="C274"/>
      <c r="D274"/>
      <c r="E274"/>
      <c r="F274" t="str">
        <f>LEFT(AllDaqbookOffsets[[#This Row],[traceability_no]],2)</f>
        <v>J2</v>
      </c>
      <c r="W274" t="s">
        <v>715</v>
      </c>
      <c r="X274" t="s">
        <v>184</v>
      </c>
      <c r="Z274" s="462" t="str">
        <v>N106</v>
      </c>
      <c r="AA274" s="194" t="str">
        <v>N101-N112</v>
      </c>
      <c r="AG274" s="69" t="str">
        <v>N106</v>
      </c>
    </row>
    <row r="275" spans="1:33" x14ac:dyDescent="0.2">
      <c r="A275"/>
      <c r="B275"/>
      <c r="C275"/>
      <c r="D275"/>
      <c r="E275"/>
      <c r="F275" t="str">
        <f>LEFT(AllDaqbookOffsets[[#This Row],[traceability_no]],2)</f>
        <v>J2</v>
      </c>
      <c r="W275" t="s">
        <v>716</v>
      </c>
      <c r="X275" t="s">
        <v>184</v>
      </c>
      <c r="Z275" s="462" t="str">
        <v>N107</v>
      </c>
      <c r="AA275" s="194" t="str">
        <v>N101-N112</v>
      </c>
      <c r="AG275" s="69" t="str">
        <v>N107</v>
      </c>
    </row>
    <row r="276" spans="1:33" x14ac:dyDescent="0.2">
      <c r="A276"/>
      <c r="B276"/>
      <c r="C276"/>
      <c r="D276"/>
      <c r="E276"/>
      <c r="F276" t="str">
        <f>LEFT(AllDaqbookOffsets[[#This Row],[traceability_no]],2)</f>
        <v>J2</v>
      </c>
      <c r="W276" t="s">
        <v>717</v>
      </c>
      <c r="X276" t="s">
        <v>184</v>
      </c>
      <c r="Z276" s="462" t="str">
        <v>N108</v>
      </c>
      <c r="AA276" s="194" t="str">
        <v>N101-N112</v>
      </c>
      <c r="AG276" s="69" t="str">
        <v>N108</v>
      </c>
    </row>
    <row r="277" spans="1:33" x14ac:dyDescent="0.2">
      <c r="A277"/>
      <c r="B277"/>
      <c r="C277"/>
      <c r="D277"/>
      <c r="E277"/>
      <c r="F277" t="str">
        <f>LEFT(AllDaqbookOffsets[[#This Row],[traceability_no]],2)</f>
        <v>J2</v>
      </c>
      <c r="W277" t="s">
        <v>718</v>
      </c>
      <c r="X277" t="s">
        <v>184</v>
      </c>
      <c r="Z277" s="462" t="str">
        <v>N109</v>
      </c>
      <c r="AA277" s="194" t="str">
        <v>N101-N112</v>
      </c>
      <c r="AG277" s="69" t="str">
        <v>N109</v>
      </c>
    </row>
    <row r="278" spans="1:33" x14ac:dyDescent="0.2">
      <c r="A278"/>
      <c r="B278"/>
      <c r="C278"/>
      <c r="D278"/>
      <c r="E278"/>
      <c r="F278" t="str">
        <f>LEFT(AllDaqbookOffsets[[#This Row],[traceability_no]],2)</f>
        <v>J2</v>
      </c>
      <c r="W278" t="s">
        <v>719</v>
      </c>
      <c r="X278" t="s">
        <v>184</v>
      </c>
      <c r="Z278" s="462" t="str">
        <v>N11</v>
      </c>
      <c r="AA278" s="194" t="str">
        <v>N01-N16</v>
      </c>
      <c r="AG278" s="69" t="str">
        <v>N11</v>
      </c>
    </row>
    <row r="279" spans="1:33" x14ac:dyDescent="0.2">
      <c r="A279"/>
      <c r="B279"/>
      <c r="C279"/>
      <c r="D279"/>
      <c r="E279"/>
      <c r="F279" t="str">
        <f>LEFT(AllDaqbookOffsets[[#This Row],[traceability_no]],2)</f>
        <v>J2</v>
      </c>
      <c r="W279" t="s">
        <v>720</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Xje6uneH1fIGe1WkM0NlIrCvbY3gM2Ih9OcvpFbJ9OomhOp16Yg+4rYcS7N96p07j2JgyQr72GwoOPO2+Upljw==" saltValue="pz5nO+uJaJBDlqOdbKC2vQ=="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1"/>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s="642"/>
      <c r="B2" s="642"/>
      <c r="C2"/>
      <c r="D2" s="642"/>
      <c r="E2" s="643"/>
      <c r="F2" s="642"/>
      <c r="G2" s="642"/>
      <c r="H2"/>
      <c r="I2"/>
      <c r="J2"/>
      <c r="K2"/>
      <c r="L2" s="642"/>
      <c r="M2" s="642"/>
      <c r="N2"/>
      <c r="O2"/>
      <c r="P2"/>
      <c r="R2"/>
      <c r="S2"/>
      <c r="T2"/>
      <c r="U2"/>
      <c r="V2"/>
      <c r="W2"/>
      <c r="X2" s="642"/>
      <c r="Y2" s="642"/>
      <c r="Z2" s="642"/>
      <c r="AA2" s="642"/>
      <c r="AB2"/>
      <c r="AE2"/>
      <c r="AF2"/>
      <c r="AG2"/>
      <c r="AH2" s="642"/>
      <c r="AI2" s="642"/>
      <c r="AJ2" s="642"/>
      <c r="AM2" t="e" cm="1">
        <f t="array" ref="AM2">_xlfn.XLOOKUP(AssetId,Header_Info[AssetId],Header_Info[],"")</f>
        <v>#N/A</v>
      </c>
    </row>
    <row r="3" spans="1:75" x14ac:dyDescent="0.2">
      <c r="A3" s="642"/>
      <c r="B3" s="642"/>
      <c r="C3"/>
      <c r="D3" s="642"/>
      <c r="E3" s="642"/>
      <c r="F3" s="642"/>
      <c r="G3" s="642"/>
      <c r="H3"/>
      <c r="I3"/>
      <c r="J3"/>
      <c r="K3"/>
      <c r="L3" s="642"/>
      <c r="M3" s="642"/>
      <c r="N3"/>
      <c r="O3"/>
      <c r="P3"/>
      <c r="Q3"/>
      <c r="R3"/>
      <c r="S3"/>
      <c r="T3"/>
      <c r="U3"/>
      <c r="V3"/>
      <c r="W3"/>
      <c r="X3" s="642"/>
      <c r="Y3" s="642"/>
      <c r="Z3" s="642"/>
      <c r="AA3" s="642"/>
      <c r="AB3"/>
      <c r="AC3"/>
      <c r="AD3"/>
      <c r="AE3"/>
      <c r="AF3"/>
      <c r="AG3"/>
      <c r="AH3" s="642"/>
      <c r="AI3" s="642"/>
      <c r="AJ3" s="642"/>
    </row>
    <row r="4" spans="1:75" x14ac:dyDescent="0.2">
      <c r="A4" s="642"/>
      <c r="B4" s="642"/>
      <c r="C4"/>
      <c r="D4" s="642"/>
      <c r="E4" s="642"/>
      <c r="F4" s="642"/>
      <c r="G4" s="642"/>
      <c r="H4"/>
      <c r="I4"/>
      <c r="J4"/>
      <c r="K4"/>
      <c r="L4" s="642"/>
      <c r="M4" s="642"/>
      <c r="N4"/>
      <c r="O4"/>
      <c r="P4"/>
      <c r="Q4"/>
      <c r="R4"/>
      <c r="S4"/>
      <c r="T4"/>
      <c r="U4"/>
      <c r="V4"/>
      <c r="W4"/>
      <c r="X4" s="642"/>
      <c r="Y4" s="642"/>
      <c r="Z4" s="642"/>
      <c r="AA4" s="642"/>
      <c r="AB4"/>
      <c r="AC4"/>
      <c r="AD4"/>
      <c r="AE4"/>
      <c r="AF4"/>
      <c r="AG4"/>
      <c r="AH4" s="642"/>
      <c r="AI4" s="642"/>
      <c r="AJ4" s="642"/>
    </row>
    <row r="5" spans="1:75" x14ac:dyDescent="0.2">
      <c r="A5" s="642"/>
      <c r="B5" s="642"/>
      <c r="C5"/>
      <c r="D5" s="642"/>
      <c r="E5" s="642"/>
      <c r="F5" s="642"/>
      <c r="G5" s="642"/>
      <c r="H5"/>
      <c r="I5"/>
      <c r="J5"/>
      <c r="K5"/>
      <c r="L5" s="642"/>
      <c r="M5" s="642"/>
      <c r="N5"/>
      <c r="O5"/>
      <c r="P5"/>
      <c r="Q5"/>
      <c r="R5"/>
      <c r="S5"/>
      <c r="T5"/>
      <c r="U5"/>
      <c r="V5"/>
      <c r="W5"/>
      <c r="X5" s="642"/>
      <c r="Y5" s="642"/>
      <c r="Z5" s="642"/>
      <c r="AA5" s="642"/>
      <c r="AB5"/>
      <c r="AC5"/>
      <c r="AD5"/>
      <c r="AE5"/>
      <c r="AF5"/>
      <c r="AG5"/>
      <c r="AH5" s="642"/>
      <c r="AI5" s="642"/>
      <c r="AJ5" s="642"/>
    </row>
    <row r="6" spans="1:75" x14ac:dyDescent="0.2">
      <c r="A6" s="642"/>
      <c r="B6" s="642"/>
      <c r="C6"/>
      <c r="D6" s="642"/>
      <c r="E6" s="642"/>
      <c r="F6" s="642"/>
      <c r="G6" s="642"/>
      <c r="H6"/>
      <c r="I6"/>
      <c r="J6"/>
      <c r="K6"/>
      <c r="L6" s="642"/>
      <c r="M6" s="642"/>
      <c r="N6"/>
      <c r="O6"/>
      <c r="P6"/>
      <c r="Q6"/>
      <c r="R6"/>
      <c r="S6"/>
      <c r="T6"/>
      <c r="U6"/>
      <c r="V6"/>
      <c r="W6"/>
      <c r="X6" s="642"/>
      <c r="Y6" s="642"/>
      <c r="Z6" s="642"/>
      <c r="AA6" s="642"/>
      <c r="AB6"/>
      <c r="AC6"/>
      <c r="AD6"/>
      <c r="AE6"/>
      <c r="AF6"/>
      <c r="AG6"/>
      <c r="AH6" s="642"/>
      <c r="AI6" s="642"/>
      <c r="AJ6" s="642"/>
    </row>
    <row r="7" spans="1:75" x14ac:dyDescent="0.2">
      <c r="A7" s="642"/>
      <c r="B7" s="642"/>
      <c r="C7"/>
      <c r="D7" s="642"/>
      <c r="E7" s="642"/>
      <c r="F7" s="642"/>
      <c r="G7" s="642"/>
      <c r="H7"/>
      <c r="I7"/>
      <c r="J7"/>
      <c r="K7"/>
      <c r="L7" s="642"/>
      <c r="M7" s="642"/>
      <c r="N7"/>
      <c r="O7"/>
      <c r="P7"/>
      <c r="Q7"/>
      <c r="R7"/>
      <c r="S7"/>
      <c r="T7"/>
      <c r="U7"/>
      <c r="V7"/>
      <c r="W7"/>
      <c r="X7" s="642"/>
      <c r="Y7" s="642"/>
      <c r="Z7" s="642"/>
      <c r="AA7" s="642"/>
      <c r="AB7"/>
      <c r="AC7"/>
      <c r="AD7"/>
      <c r="AE7"/>
      <c r="AF7"/>
      <c r="AG7"/>
      <c r="AH7" s="642"/>
      <c r="AI7" s="642"/>
      <c r="AJ7" s="642"/>
    </row>
    <row r="8" spans="1:75" x14ac:dyDescent="0.2">
      <c r="A8" s="642"/>
      <c r="B8" s="642"/>
      <c r="C8"/>
      <c r="D8" s="642"/>
      <c r="E8" s="642"/>
      <c r="F8" s="642"/>
      <c r="G8" s="642"/>
      <c r="H8"/>
      <c r="I8"/>
      <c r="J8"/>
      <c r="K8"/>
      <c r="L8" s="642"/>
      <c r="M8" s="642"/>
      <c r="N8"/>
      <c r="O8"/>
      <c r="P8"/>
      <c r="Q8"/>
      <c r="R8"/>
      <c r="S8"/>
      <c r="T8"/>
      <c r="U8"/>
      <c r="V8"/>
      <c r="W8"/>
      <c r="X8" s="642"/>
      <c r="Y8" s="642"/>
      <c r="Z8" s="642"/>
      <c r="AA8" s="642"/>
      <c r="AB8"/>
      <c r="AC8"/>
      <c r="AD8"/>
      <c r="AE8"/>
      <c r="AF8"/>
      <c r="AG8"/>
      <c r="AH8" s="642"/>
      <c r="AI8" s="642"/>
      <c r="AJ8" s="642"/>
    </row>
    <row r="9" spans="1:75" x14ac:dyDescent="0.2">
      <c r="A9" s="642"/>
      <c r="B9" s="642"/>
      <c r="C9"/>
      <c r="D9" s="642"/>
      <c r="E9" s="642"/>
      <c r="F9" s="642"/>
      <c r="G9" s="642"/>
      <c r="H9"/>
      <c r="I9"/>
      <c r="J9"/>
      <c r="K9"/>
      <c r="L9" s="642"/>
      <c r="M9" s="642"/>
      <c r="N9"/>
      <c r="O9"/>
      <c r="P9"/>
      <c r="Q9"/>
      <c r="R9"/>
      <c r="S9"/>
      <c r="T9"/>
      <c r="U9"/>
      <c r="V9"/>
      <c r="W9"/>
      <c r="X9" s="642"/>
      <c r="Y9" s="642"/>
      <c r="Z9" s="642"/>
      <c r="AA9" s="642"/>
      <c r="AB9"/>
      <c r="AC9"/>
      <c r="AE9"/>
      <c r="AF9"/>
      <c r="AG9"/>
      <c r="AH9" s="642"/>
      <c r="AI9" s="642"/>
      <c r="AJ9" s="642"/>
    </row>
    <row r="10" spans="1:75" x14ac:dyDescent="0.2">
      <c r="A10" s="642"/>
      <c r="B10" s="642"/>
      <c r="C10"/>
      <c r="D10" s="642"/>
      <c r="E10" s="642"/>
      <c r="F10" s="642"/>
      <c r="G10" s="642"/>
      <c r="H10"/>
      <c r="I10"/>
      <c r="J10"/>
      <c r="K10"/>
      <c r="L10" s="642"/>
      <c r="M10" s="642"/>
      <c r="N10"/>
      <c r="O10"/>
      <c r="P10"/>
      <c r="Q10"/>
      <c r="R10"/>
      <c r="S10"/>
      <c r="T10"/>
      <c r="U10"/>
      <c r="V10"/>
      <c r="W10"/>
      <c r="X10" s="642"/>
      <c r="Y10" s="642"/>
      <c r="Z10" s="642"/>
      <c r="AA10" s="642"/>
      <c r="AB10"/>
      <c r="AC10"/>
      <c r="AD10"/>
      <c r="AE10"/>
      <c r="AF10"/>
      <c r="AG10"/>
      <c r="AH10" s="642"/>
      <c r="AI10" s="642"/>
      <c r="AJ10" s="642"/>
    </row>
    <row r="11" spans="1:75" x14ac:dyDescent="0.2">
      <c r="A11" s="642"/>
      <c r="B11" s="642"/>
      <c r="C11"/>
      <c r="D11" s="642"/>
      <c r="E11" s="642"/>
      <c r="F11" s="642"/>
      <c r="G11" s="642"/>
      <c r="H11"/>
      <c r="I11"/>
      <c r="J11"/>
      <c r="K11"/>
      <c r="L11" s="642"/>
      <c r="M11" s="642"/>
      <c r="N11"/>
      <c r="O11"/>
      <c r="P11"/>
      <c r="Q11"/>
      <c r="R11"/>
      <c r="S11"/>
      <c r="T11"/>
      <c r="U11"/>
      <c r="V11"/>
      <c r="W11"/>
      <c r="X11" s="642"/>
      <c r="Y11" s="642"/>
      <c r="Z11" s="642"/>
      <c r="AA11" s="642"/>
      <c r="AB11"/>
      <c r="AD11"/>
      <c r="AE11"/>
      <c r="AF11"/>
      <c r="AG11"/>
      <c r="AH11" s="642"/>
      <c r="AI11" s="642"/>
      <c r="AJ11" s="642"/>
    </row>
    <row r="12" spans="1:75" x14ac:dyDescent="0.2">
      <c r="A12" s="642"/>
      <c r="B12" s="642"/>
      <c r="C12"/>
      <c r="D12" s="642"/>
      <c r="E12" s="642"/>
      <c r="F12" s="642"/>
      <c r="G12" s="642"/>
      <c r="H12"/>
      <c r="I12"/>
      <c r="J12"/>
      <c r="K12"/>
      <c r="L12" s="642"/>
      <c r="M12" s="642"/>
      <c r="N12"/>
      <c r="O12"/>
      <c r="P12"/>
      <c r="Q12"/>
      <c r="R12"/>
      <c r="S12"/>
      <c r="T12"/>
      <c r="U12"/>
      <c r="V12"/>
      <c r="W12"/>
      <c r="X12" s="642"/>
      <c r="Y12" s="642"/>
      <c r="Z12" s="642"/>
      <c r="AA12" s="642"/>
      <c r="AB12"/>
      <c r="AC12"/>
      <c r="AD12"/>
      <c r="AE12"/>
      <c r="AF12"/>
      <c r="AG12"/>
      <c r="AH12" s="642"/>
      <c r="AI12" s="642"/>
      <c r="AJ12" s="642"/>
    </row>
    <row r="13" spans="1:75" x14ac:dyDescent="0.2">
      <c r="A13" s="642"/>
      <c r="B13" s="642"/>
      <c r="C13"/>
      <c r="D13" s="642"/>
      <c r="E13" s="642"/>
      <c r="F13" s="642"/>
      <c r="G13" s="642"/>
      <c r="H13"/>
      <c r="I13"/>
      <c r="J13"/>
      <c r="K13"/>
      <c r="L13" s="642"/>
      <c r="M13" s="642"/>
      <c r="N13"/>
      <c r="O13"/>
      <c r="P13"/>
      <c r="Q13"/>
      <c r="R13"/>
      <c r="S13"/>
      <c r="T13"/>
      <c r="U13"/>
      <c r="V13"/>
      <c r="W13"/>
      <c r="X13" s="642"/>
      <c r="Y13" s="642"/>
      <c r="Z13" s="642"/>
      <c r="AA13" s="642"/>
      <c r="AB13"/>
      <c r="AC13"/>
      <c r="AD13"/>
      <c r="AE13"/>
      <c r="AF13"/>
      <c r="AG13"/>
      <c r="AH13" s="642"/>
      <c r="AI13" s="642"/>
      <c r="AJ13" s="642"/>
    </row>
    <row r="14" spans="1:75" x14ac:dyDescent="0.2">
      <c r="A14" s="642"/>
      <c r="B14" s="642"/>
      <c r="C14"/>
      <c r="D14" s="642"/>
      <c r="E14" s="642"/>
      <c r="F14" s="642"/>
      <c r="G14" s="642"/>
      <c r="H14"/>
      <c r="I14"/>
      <c r="J14"/>
      <c r="K14"/>
      <c r="L14" s="642"/>
      <c r="M14" s="642"/>
      <c r="N14"/>
      <c r="O14"/>
      <c r="P14"/>
      <c r="Q14"/>
      <c r="R14"/>
      <c r="S14"/>
      <c r="T14"/>
      <c r="U14"/>
      <c r="V14"/>
      <c r="W14"/>
      <c r="X14" s="642"/>
      <c r="Y14" s="642"/>
      <c r="Z14" s="642"/>
      <c r="AA14" s="642"/>
      <c r="AB14"/>
      <c r="AC14"/>
      <c r="AD14"/>
      <c r="AE14"/>
      <c r="AF14"/>
      <c r="AG14"/>
      <c r="AH14" s="642"/>
      <c r="AI14" s="642"/>
      <c r="AJ14" s="642"/>
    </row>
    <row r="15" spans="1:75" x14ac:dyDescent="0.2">
      <c r="A15" s="642"/>
      <c r="B15" s="642"/>
      <c r="C15"/>
      <c r="D15" s="642"/>
      <c r="E15" s="642"/>
      <c r="F15" s="642"/>
      <c r="G15" s="642"/>
      <c r="H15"/>
      <c r="I15"/>
      <c r="J15"/>
      <c r="K15"/>
      <c r="L15" s="642"/>
      <c r="M15" s="642"/>
      <c r="N15"/>
      <c r="O15"/>
      <c r="P15"/>
      <c r="Q15"/>
      <c r="R15"/>
      <c r="S15"/>
      <c r="T15"/>
      <c r="U15"/>
      <c r="V15"/>
      <c r="W15"/>
      <c r="X15" s="642"/>
      <c r="Y15" s="642"/>
      <c r="Z15" s="642"/>
      <c r="AA15" s="642"/>
      <c r="AB15"/>
      <c r="AC15"/>
      <c r="AD15"/>
      <c r="AE15"/>
      <c r="AF15"/>
      <c r="AG15"/>
      <c r="AH15" s="642"/>
      <c r="AI15" s="642"/>
      <c r="AJ15" s="642"/>
    </row>
    <row r="16" spans="1:75" x14ac:dyDescent="0.2">
      <c r="A16" s="642"/>
      <c r="B16" s="642"/>
      <c r="C16"/>
      <c r="D16" s="642"/>
      <c r="E16" s="642"/>
      <c r="F16" s="642"/>
      <c r="G16" s="642"/>
      <c r="H16"/>
      <c r="I16"/>
      <c r="J16"/>
      <c r="K16"/>
      <c r="L16" s="642"/>
      <c r="M16" s="642"/>
      <c r="N16"/>
      <c r="O16"/>
      <c r="P16"/>
      <c r="Q16"/>
      <c r="R16"/>
      <c r="S16"/>
      <c r="T16"/>
      <c r="U16"/>
      <c r="V16"/>
      <c r="W16"/>
      <c r="X16" s="642"/>
      <c r="Y16" s="642"/>
      <c r="Z16" s="642"/>
      <c r="AA16" s="642"/>
      <c r="AB16"/>
      <c r="AC16"/>
      <c r="AD16"/>
      <c r="AE16"/>
      <c r="AF16"/>
      <c r="AG16"/>
      <c r="AH16" s="642"/>
      <c r="AI16" s="642"/>
      <c r="AJ16" s="642"/>
    </row>
    <row r="17" spans="1:37" x14ac:dyDescent="0.2">
      <c r="A17" s="642"/>
      <c r="B17" s="642"/>
      <c r="C17"/>
      <c r="D17" s="642"/>
      <c r="E17" s="642"/>
      <c r="F17" s="642"/>
      <c r="G17" s="642"/>
      <c r="H17"/>
      <c r="I17"/>
      <c r="J17"/>
      <c r="K17"/>
      <c r="L17" s="642"/>
      <c r="M17" s="642"/>
      <c r="N17"/>
      <c r="O17"/>
      <c r="P17"/>
      <c r="Q17"/>
      <c r="R17"/>
      <c r="S17"/>
      <c r="T17"/>
      <c r="U17"/>
      <c r="V17"/>
      <c r="W17"/>
      <c r="X17" s="642"/>
      <c r="Y17" s="642"/>
      <c r="Z17" s="642"/>
      <c r="AA17" s="642"/>
      <c r="AB17"/>
      <c r="AC17"/>
      <c r="AD17"/>
      <c r="AE17"/>
      <c r="AF17"/>
      <c r="AG17"/>
      <c r="AH17" s="642"/>
      <c r="AI17" s="642"/>
      <c r="AJ17" s="642"/>
    </row>
    <row r="18" spans="1:37" x14ac:dyDescent="0.2">
      <c r="A18" s="642"/>
      <c r="B18" s="642"/>
      <c r="C18"/>
      <c r="D18" s="642"/>
      <c r="E18" s="642"/>
      <c r="F18" s="642"/>
      <c r="G18" s="642"/>
      <c r="H18"/>
      <c r="I18"/>
      <c r="J18"/>
      <c r="K18"/>
      <c r="L18" s="642"/>
      <c r="M18" s="642"/>
      <c r="N18"/>
      <c r="O18"/>
      <c r="P18"/>
      <c r="Q18"/>
      <c r="R18"/>
      <c r="S18"/>
      <c r="T18"/>
      <c r="U18"/>
      <c r="V18"/>
      <c r="W18"/>
      <c r="X18" s="642"/>
      <c r="Y18" s="642"/>
      <c r="Z18" s="642"/>
      <c r="AA18" s="642"/>
      <c r="AB18"/>
      <c r="AC18"/>
      <c r="AD18"/>
      <c r="AE18"/>
      <c r="AF18"/>
      <c r="AG18"/>
      <c r="AH18" s="642"/>
      <c r="AI18" s="642"/>
      <c r="AJ18" s="642"/>
    </row>
    <row r="19" spans="1:37" x14ac:dyDescent="0.2">
      <c r="A19" s="642"/>
      <c r="B19" s="642"/>
      <c r="C19"/>
      <c r="D19" s="642"/>
      <c r="E19" s="642"/>
      <c r="F19" s="642"/>
      <c r="G19" s="642"/>
      <c r="H19"/>
      <c r="I19"/>
      <c r="J19"/>
      <c r="K19"/>
      <c r="L19" s="642"/>
      <c r="M19" s="642"/>
      <c r="N19"/>
      <c r="O19"/>
      <c r="P19"/>
      <c r="Q19"/>
      <c r="R19"/>
      <c r="S19"/>
      <c r="T19"/>
      <c r="U19"/>
      <c r="V19"/>
      <c r="W19"/>
      <c r="X19" s="642"/>
      <c r="Y19" s="642"/>
      <c r="Z19" s="642"/>
      <c r="AA19" s="642"/>
      <c r="AB19"/>
      <c r="AC19"/>
      <c r="AD19"/>
      <c r="AE19"/>
      <c r="AF19"/>
      <c r="AG19"/>
      <c r="AH19" s="642"/>
      <c r="AI19" s="642"/>
      <c r="AJ19" s="642"/>
    </row>
    <row r="20" spans="1:37" x14ac:dyDescent="0.2">
      <c r="A20" s="642"/>
      <c r="B20" s="642"/>
      <c r="C20"/>
      <c r="D20" s="642"/>
      <c r="E20" s="642"/>
      <c r="F20" s="642"/>
      <c r="G20" s="642"/>
      <c r="H20"/>
      <c r="I20"/>
      <c r="J20"/>
      <c r="K20"/>
      <c r="L20" s="642"/>
      <c r="M20" s="642"/>
      <c r="N20"/>
      <c r="O20"/>
      <c r="P20"/>
      <c r="Q20"/>
      <c r="R20"/>
      <c r="S20"/>
      <c r="T20"/>
      <c r="U20"/>
      <c r="V20"/>
      <c r="W20"/>
      <c r="X20" s="642"/>
      <c r="Y20" s="642"/>
      <c r="Z20" s="642"/>
      <c r="AA20" s="642"/>
      <c r="AB20"/>
      <c r="AC20"/>
      <c r="AD20"/>
      <c r="AE20"/>
      <c r="AF20"/>
      <c r="AG20"/>
      <c r="AH20" s="642"/>
      <c r="AI20" s="642"/>
      <c r="AJ20" s="642"/>
    </row>
    <row r="21" spans="1:37" x14ac:dyDescent="0.2">
      <c r="A21" s="642"/>
      <c r="B21" s="642"/>
      <c r="C21"/>
      <c r="D21" s="642"/>
      <c r="E21" s="642"/>
      <c r="F21" s="642"/>
      <c r="G21" s="642"/>
      <c r="H21"/>
      <c r="I21"/>
      <c r="J21"/>
      <c r="K21"/>
      <c r="L21" s="642"/>
      <c r="M21" s="642"/>
      <c r="N21"/>
      <c r="O21"/>
      <c r="P21"/>
      <c r="Q21"/>
      <c r="R21"/>
      <c r="S21"/>
      <c r="T21"/>
      <c r="U21"/>
      <c r="V21"/>
      <c r="W21"/>
      <c r="X21" s="642"/>
      <c r="Y21" s="642"/>
      <c r="Z21" s="642"/>
      <c r="AA21" s="642"/>
      <c r="AB21"/>
      <c r="AC21"/>
      <c r="AD21"/>
      <c r="AE21"/>
      <c r="AF21"/>
      <c r="AG21"/>
      <c r="AH21" s="642"/>
      <c r="AI21" s="642"/>
      <c r="AJ21" s="642"/>
    </row>
    <row r="22" spans="1:37" x14ac:dyDescent="0.2">
      <c r="A22" s="642"/>
      <c r="B22" s="642"/>
      <c r="C22"/>
      <c r="D22" s="642"/>
      <c r="E22" s="642"/>
      <c r="F22" s="642"/>
      <c r="G22" s="642"/>
      <c r="H22"/>
      <c r="I22"/>
      <c r="J22"/>
      <c r="K22"/>
      <c r="L22" s="642"/>
      <c r="M22" s="642"/>
      <c r="N22"/>
      <c r="O22"/>
      <c r="P22"/>
      <c r="Q22"/>
      <c r="R22"/>
      <c r="S22"/>
      <c r="T22"/>
      <c r="U22"/>
      <c r="V22"/>
      <c r="W22"/>
      <c r="X22" s="642"/>
      <c r="Y22" s="642"/>
      <c r="Z22" s="642"/>
      <c r="AA22" s="642"/>
      <c r="AB22"/>
      <c r="AC22"/>
      <c r="AD22"/>
      <c r="AE22"/>
      <c r="AF22"/>
      <c r="AG22"/>
      <c r="AH22" s="642"/>
      <c r="AI22" s="642"/>
      <c r="AJ22" s="642"/>
    </row>
    <row r="23" spans="1:37" x14ac:dyDescent="0.2">
      <c r="A23" s="642"/>
      <c r="B23" s="642"/>
      <c r="C23"/>
      <c r="D23" s="642"/>
      <c r="E23" s="642"/>
      <c r="F23" s="642"/>
      <c r="G23" s="642"/>
      <c r="H23"/>
      <c r="I23"/>
      <c r="J23"/>
      <c r="K23"/>
      <c r="L23" s="642"/>
      <c r="M23" s="642"/>
      <c r="N23"/>
      <c r="O23"/>
      <c r="P23"/>
      <c r="Q23"/>
      <c r="R23"/>
      <c r="S23"/>
      <c r="T23"/>
      <c r="U23"/>
      <c r="V23"/>
      <c r="W23"/>
      <c r="X23" s="642"/>
      <c r="Y23" s="642"/>
      <c r="Z23" s="642"/>
      <c r="AA23" s="642"/>
      <c r="AB23"/>
      <c r="AC23"/>
      <c r="AD23"/>
      <c r="AE23"/>
      <c r="AF23"/>
      <c r="AG23"/>
      <c r="AH23" s="642"/>
      <c r="AI23" s="642"/>
      <c r="AJ23" s="642"/>
    </row>
    <row r="24" spans="1:37" x14ac:dyDescent="0.2">
      <c r="A24" s="642"/>
      <c r="B24" s="642"/>
      <c r="C24"/>
      <c r="D24" s="642"/>
      <c r="E24" s="642"/>
      <c r="F24" s="642"/>
      <c r="G24" s="642"/>
      <c r="H24"/>
      <c r="I24"/>
      <c r="J24"/>
      <c r="K24"/>
      <c r="L24" s="642"/>
      <c r="M24" s="642"/>
      <c r="N24"/>
      <c r="O24"/>
      <c r="P24"/>
      <c r="Q24"/>
      <c r="R24"/>
      <c r="S24"/>
      <c r="T24"/>
      <c r="U24"/>
      <c r="V24"/>
      <c r="W24"/>
      <c r="X24" s="642"/>
      <c r="Y24" s="642"/>
      <c r="Z24" s="642"/>
      <c r="AA24" s="642"/>
      <c r="AB24"/>
      <c r="AC24"/>
      <c r="AD24"/>
      <c r="AE24"/>
      <c r="AF24"/>
      <c r="AG24"/>
      <c r="AH24" s="642"/>
      <c r="AI24" s="642"/>
      <c r="AJ24" s="642"/>
    </row>
    <row r="25" spans="1:37" x14ac:dyDescent="0.2">
      <c r="A25" s="642"/>
      <c r="B25" s="642"/>
      <c r="C25"/>
      <c r="D25" s="642"/>
      <c r="E25" s="642"/>
      <c r="F25" s="642"/>
      <c r="G25" s="642"/>
      <c r="H25"/>
      <c r="I25"/>
      <c r="J25"/>
      <c r="K25"/>
      <c r="L25" s="642"/>
      <c r="M25" s="642"/>
      <c r="N25"/>
      <c r="O25"/>
      <c r="P25"/>
      <c r="Q25"/>
      <c r="R25"/>
      <c r="S25"/>
      <c r="T25"/>
      <c r="U25"/>
      <c r="V25"/>
      <c r="W25"/>
      <c r="X25" s="642"/>
      <c r="Y25" s="642"/>
      <c r="Z25" s="642"/>
      <c r="AA25" s="642"/>
      <c r="AB25"/>
      <c r="AC25"/>
      <c r="AD25"/>
      <c r="AE25"/>
      <c r="AF25"/>
      <c r="AG25"/>
      <c r="AH25" s="642"/>
      <c r="AI25" s="642"/>
      <c r="AJ25" s="642"/>
    </row>
    <row r="26" spans="1:37" x14ac:dyDescent="0.2">
      <c r="A26" s="642"/>
      <c r="B26" s="642"/>
      <c r="C26"/>
      <c r="D26" s="642"/>
      <c r="E26" s="642"/>
      <c r="F26" s="642"/>
      <c r="G26" s="642"/>
      <c r="H26"/>
      <c r="I26"/>
      <c r="J26"/>
      <c r="K26"/>
      <c r="L26" s="642"/>
      <c r="M26" s="642"/>
      <c r="N26"/>
      <c r="O26"/>
      <c r="P26"/>
      <c r="Q26"/>
      <c r="R26"/>
      <c r="S26"/>
      <c r="T26"/>
      <c r="U26"/>
      <c r="V26"/>
      <c r="W26"/>
      <c r="X26" s="642"/>
      <c r="Y26" s="642"/>
      <c r="Z26" s="642"/>
      <c r="AA26" s="642"/>
      <c r="AB26"/>
      <c r="AC26"/>
      <c r="AD26"/>
      <c r="AE26"/>
      <c r="AF26"/>
      <c r="AG26"/>
      <c r="AH26" s="642"/>
      <c r="AI26" s="642"/>
      <c r="AJ26" s="642"/>
    </row>
    <row r="27" spans="1:37" x14ac:dyDescent="0.2">
      <c r="A27" s="642"/>
      <c r="B27" s="642"/>
      <c r="C27"/>
      <c r="D27" s="642"/>
      <c r="E27" s="642"/>
      <c r="F27" s="642"/>
      <c r="G27" s="642"/>
      <c r="H27"/>
      <c r="I27"/>
      <c r="J27"/>
      <c r="K27"/>
      <c r="L27" s="642"/>
      <c r="M27" s="642"/>
      <c r="N27"/>
      <c r="O27"/>
      <c r="P27"/>
      <c r="Q27"/>
      <c r="R27"/>
      <c r="S27"/>
      <c r="T27"/>
      <c r="U27"/>
      <c r="V27"/>
      <c r="W27"/>
      <c r="X27" s="642"/>
      <c r="Y27" s="642"/>
      <c r="Z27" s="642"/>
      <c r="AA27" s="642"/>
      <c r="AB27"/>
      <c r="AC27"/>
      <c r="AD27"/>
      <c r="AE27"/>
      <c r="AF27"/>
      <c r="AG27"/>
      <c r="AH27" s="642"/>
      <c r="AI27" s="642"/>
      <c r="AJ27" s="642"/>
    </row>
    <row r="28" spans="1:37" x14ac:dyDescent="0.2">
      <c r="A28" s="642"/>
      <c r="B28" s="642"/>
      <c r="C28"/>
      <c r="D28" s="642"/>
      <c r="E28" s="642"/>
      <c r="F28" s="642"/>
      <c r="G28" s="642"/>
      <c r="H28"/>
      <c r="I28"/>
      <c r="J28"/>
      <c r="K28"/>
      <c r="L28" s="642"/>
      <c r="M28" s="642"/>
      <c r="N28"/>
      <c r="O28"/>
      <c r="P28"/>
      <c r="Q28"/>
      <c r="R28"/>
      <c r="S28"/>
      <c r="T28"/>
      <c r="U28"/>
      <c r="V28"/>
      <c r="W28"/>
      <c r="X28" s="642"/>
      <c r="Y28" s="642"/>
      <c r="Z28" s="642"/>
      <c r="AA28" s="642"/>
      <c r="AB28"/>
      <c r="AC28"/>
      <c r="AD28"/>
      <c r="AE28"/>
      <c r="AF28"/>
      <c r="AG28"/>
      <c r="AH28" s="642"/>
      <c r="AI28" s="642"/>
      <c r="AJ28" s="642"/>
      <c r="AK28"/>
    </row>
    <row r="29" spans="1:37" x14ac:dyDescent="0.2">
      <c r="A29" s="642"/>
      <c r="B29" s="642"/>
      <c r="C29"/>
      <c r="D29" s="642"/>
      <c r="E29" s="642"/>
      <c r="F29" s="642"/>
      <c r="G29" s="642"/>
      <c r="H29"/>
      <c r="I29"/>
      <c r="J29"/>
      <c r="K29"/>
      <c r="L29" s="642"/>
      <c r="M29" s="642"/>
      <c r="N29"/>
      <c r="O29"/>
      <c r="P29"/>
      <c r="Q29"/>
      <c r="R29"/>
      <c r="S29"/>
      <c r="T29"/>
      <c r="U29"/>
      <c r="V29"/>
      <c r="W29"/>
      <c r="X29" s="642"/>
      <c r="Y29" s="642"/>
      <c r="Z29" s="642"/>
      <c r="AA29" s="642"/>
      <c r="AB29"/>
      <c r="AC29"/>
      <c r="AD29"/>
      <c r="AE29"/>
      <c r="AF29"/>
      <c r="AG29"/>
      <c r="AH29" s="642"/>
      <c r="AI29" s="642"/>
      <c r="AJ29" s="642"/>
    </row>
    <row r="30" spans="1:37" x14ac:dyDescent="0.2">
      <c r="A30" s="642"/>
      <c r="B30" s="642"/>
      <c r="C30"/>
      <c r="D30" s="642"/>
      <c r="E30" s="642"/>
      <c r="F30" s="642"/>
      <c r="G30" s="642"/>
      <c r="H30"/>
      <c r="I30"/>
      <c r="J30"/>
      <c r="K30"/>
      <c r="L30" s="642"/>
      <c r="M30" s="642"/>
      <c r="N30"/>
      <c r="O30"/>
      <c r="P30"/>
      <c r="Q30"/>
      <c r="R30"/>
      <c r="S30"/>
      <c r="T30"/>
      <c r="U30"/>
      <c r="V30"/>
      <c r="W30"/>
      <c r="X30" s="642"/>
      <c r="Y30" s="642"/>
      <c r="Z30" s="642"/>
      <c r="AA30" s="642"/>
      <c r="AB30"/>
      <c r="AC30"/>
      <c r="AD30"/>
      <c r="AE30"/>
      <c r="AF30"/>
      <c r="AG30"/>
      <c r="AH30" s="642"/>
      <c r="AI30" s="642"/>
      <c r="AJ30" s="642"/>
    </row>
    <row r="31" spans="1:37" x14ac:dyDescent="0.2">
      <c r="A31" s="642"/>
      <c r="B31" s="642"/>
      <c r="C31"/>
      <c r="D31" s="642"/>
      <c r="E31" s="642"/>
      <c r="F31" s="642"/>
      <c r="G31" s="642"/>
      <c r="H31"/>
      <c r="I31"/>
      <c r="J31"/>
      <c r="K31"/>
      <c r="L31" s="642"/>
      <c r="M31" s="642"/>
      <c r="N31"/>
      <c r="O31"/>
      <c r="P31"/>
      <c r="Q31"/>
      <c r="R31"/>
      <c r="S31"/>
      <c r="T31"/>
      <c r="U31"/>
      <c r="V31"/>
      <c r="W31"/>
      <c r="X31" s="642"/>
      <c r="Y31" s="642"/>
      <c r="Z31" s="642"/>
      <c r="AA31" s="642"/>
      <c r="AB31"/>
      <c r="AC31"/>
      <c r="AD31"/>
      <c r="AE31"/>
      <c r="AF31"/>
      <c r="AG31"/>
      <c r="AH31" s="642"/>
      <c r="AI31" s="642"/>
      <c r="AJ31" s="642"/>
    </row>
    <row r="32" spans="1:37" x14ac:dyDescent="0.2">
      <c r="A32" s="642"/>
      <c r="B32" s="642"/>
      <c r="C32"/>
      <c r="D32" s="642"/>
      <c r="E32" s="642"/>
      <c r="F32" s="642"/>
      <c r="G32" s="642"/>
      <c r="H32"/>
      <c r="I32"/>
      <c r="J32"/>
      <c r="K32"/>
      <c r="L32" s="642"/>
      <c r="M32" s="642"/>
      <c r="N32"/>
      <c r="O32"/>
      <c r="P32"/>
      <c r="Q32"/>
      <c r="R32"/>
      <c r="S32"/>
      <c r="T32"/>
      <c r="U32"/>
      <c r="V32"/>
      <c r="W32"/>
      <c r="X32" s="642"/>
      <c r="Y32" s="642"/>
      <c r="Z32" s="642"/>
      <c r="AA32" s="642"/>
      <c r="AB32"/>
      <c r="AC32"/>
      <c r="AD32"/>
      <c r="AE32"/>
      <c r="AF32"/>
      <c r="AG32"/>
      <c r="AH32" s="642"/>
      <c r="AI32" s="642"/>
      <c r="AJ32" s="642"/>
    </row>
    <row r="33" spans="1:37" x14ac:dyDescent="0.2">
      <c r="A33" s="642"/>
      <c r="B33" s="642"/>
      <c r="C33"/>
      <c r="D33" s="642"/>
      <c r="E33" s="642"/>
      <c r="F33" s="642"/>
      <c r="G33" s="642"/>
      <c r="H33"/>
      <c r="I33"/>
      <c r="J33"/>
      <c r="K33"/>
      <c r="L33" s="642"/>
      <c r="M33" s="642"/>
      <c r="N33"/>
      <c r="O33"/>
      <c r="P33"/>
      <c r="Q33"/>
      <c r="R33"/>
      <c r="S33"/>
      <c r="T33"/>
      <c r="U33"/>
      <c r="V33"/>
      <c r="W33"/>
      <c r="X33" s="642"/>
      <c r="Y33" s="642"/>
      <c r="Z33" s="642"/>
      <c r="AA33" s="642"/>
      <c r="AB33"/>
      <c r="AC33"/>
      <c r="AD33"/>
      <c r="AE33"/>
      <c r="AF33"/>
      <c r="AG33"/>
      <c r="AH33" s="642"/>
      <c r="AI33" s="642"/>
      <c r="AJ33" s="642"/>
    </row>
    <row r="34" spans="1:37" x14ac:dyDescent="0.2">
      <c r="A34" s="642"/>
      <c r="B34" s="642"/>
      <c r="C34"/>
      <c r="D34" s="642"/>
      <c r="E34" s="642"/>
      <c r="F34" s="642"/>
      <c r="G34" s="642"/>
      <c r="H34"/>
      <c r="I34"/>
      <c r="J34"/>
      <c r="K34"/>
      <c r="L34" s="642"/>
      <c r="M34" s="642"/>
      <c r="N34"/>
      <c r="O34"/>
      <c r="P34"/>
      <c r="Q34"/>
      <c r="R34"/>
      <c r="S34"/>
      <c r="T34"/>
      <c r="U34"/>
      <c r="V34"/>
      <c r="W34"/>
      <c r="X34" s="642"/>
      <c r="Y34" s="642"/>
      <c r="Z34" s="642"/>
      <c r="AA34" s="642"/>
      <c r="AB34"/>
      <c r="AC34"/>
      <c r="AD34"/>
      <c r="AE34"/>
      <c r="AF34"/>
      <c r="AG34"/>
      <c r="AH34" s="642"/>
      <c r="AI34" s="642"/>
      <c r="AJ34" s="642"/>
    </row>
    <row r="35" spans="1:37" x14ac:dyDescent="0.2">
      <c r="A35" s="642"/>
      <c r="B35" s="642"/>
      <c r="C35"/>
      <c r="D35" s="642"/>
      <c r="E35" s="642"/>
      <c r="F35" s="642"/>
      <c r="G35" s="642"/>
      <c r="H35"/>
      <c r="I35"/>
      <c r="J35"/>
      <c r="K35"/>
      <c r="L35" s="642"/>
      <c r="M35" s="642"/>
      <c r="N35"/>
      <c r="O35"/>
      <c r="P35"/>
      <c r="Q35"/>
      <c r="R35"/>
      <c r="S35"/>
      <c r="T35"/>
      <c r="U35"/>
      <c r="V35"/>
      <c r="W35"/>
      <c r="X35" s="642"/>
      <c r="Y35" s="642"/>
      <c r="Z35" s="642"/>
      <c r="AA35" s="642"/>
      <c r="AB35"/>
      <c r="AC35"/>
      <c r="AD35"/>
      <c r="AE35"/>
      <c r="AF35"/>
      <c r="AG35"/>
      <c r="AH35" s="642"/>
      <c r="AI35" s="642"/>
      <c r="AJ35" s="642"/>
    </row>
    <row r="36" spans="1:37" x14ac:dyDescent="0.2">
      <c r="A36" s="642"/>
      <c r="B36" s="642"/>
      <c r="C36"/>
      <c r="D36" s="642"/>
      <c r="E36" s="642"/>
      <c r="F36" s="642"/>
      <c r="G36" s="642"/>
      <c r="H36"/>
      <c r="I36"/>
      <c r="J36"/>
      <c r="K36"/>
      <c r="L36" s="642"/>
      <c r="M36" s="642"/>
      <c r="N36"/>
      <c r="O36"/>
      <c r="P36"/>
      <c r="Q36"/>
      <c r="R36"/>
      <c r="S36"/>
      <c r="T36"/>
      <c r="U36"/>
      <c r="V36"/>
      <c r="W36"/>
      <c r="X36" s="642"/>
      <c r="Y36" s="642"/>
      <c r="Z36" s="642"/>
      <c r="AA36" s="642"/>
      <c r="AC36"/>
      <c r="AD36"/>
      <c r="AE36"/>
      <c r="AF36"/>
      <c r="AG36"/>
      <c r="AH36" s="642"/>
      <c r="AI36" s="642"/>
      <c r="AJ36" s="642"/>
    </row>
    <row r="37" spans="1:37" x14ac:dyDescent="0.2">
      <c r="A37" s="642"/>
      <c r="B37" s="642"/>
      <c r="C37"/>
      <c r="D37" s="642"/>
      <c r="E37" s="642"/>
      <c r="F37" s="642"/>
      <c r="G37" s="642"/>
      <c r="H37"/>
      <c r="I37"/>
      <c r="J37"/>
      <c r="K37"/>
      <c r="L37" s="642"/>
      <c r="M37" s="642"/>
      <c r="N37"/>
      <c r="O37"/>
      <c r="P37"/>
      <c r="Q37"/>
      <c r="R37"/>
      <c r="S37"/>
      <c r="T37"/>
      <c r="U37"/>
      <c r="V37"/>
      <c r="W37"/>
      <c r="X37" s="642"/>
      <c r="Y37" s="642"/>
      <c r="Z37" s="642"/>
      <c r="AA37" s="642"/>
      <c r="AB37"/>
      <c r="AC37"/>
      <c r="AD37"/>
      <c r="AE37"/>
      <c r="AF37"/>
      <c r="AG37"/>
      <c r="AH37" s="642"/>
      <c r="AI37" s="642"/>
      <c r="AJ37" s="642"/>
    </row>
    <row r="38" spans="1:37" x14ac:dyDescent="0.2">
      <c r="A38" s="642"/>
      <c r="B38" s="642"/>
      <c r="C38"/>
      <c r="D38" s="642"/>
      <c r="E38" s="642"/>
      <c r="F38" s="642"/>
      <c r="G38" s="642"/>
      <c r="H38"/>
      <c r="I38"/>
      <c r="J38"/>
      <c r="K38"/>
      <c r="L38" s="642"/>
      <c r="M38" s="642"/>
      <c r="N38"/>
      <c r="O38"/>
      <c r="P38"/>
      <c r="Q38"/>
      <c r="R38"/>
      <c r="S38"/>
      <c r="T38"/>
      <c r="U38"/>
      <c r="V38"/>
      <c r="W38"/>
      <c r="X38" s="642"/>
      <c r="Y38" s="642"/>
      <c r="Z38" s="642"/>
      <c r="AA38" s="642"/>
      <c r="AB38"/>
      <c r="AC38"/>
      <c r="AD38"/>
      <c r="AE38"/>
      <c r="AF38"/>
      <c r="AG38"/>
      <c r="AH38" s="642"/>
      <c r="AI38" s="642"/>
      <c r="AJ38" s="642"/>
      <c r="AK38"/>
    </row>
    <row r="39" spans="1:37" x14ac:dyDescent="0.2">
      <c r="A39" s="642"/>
      <c r="B39" s="642"/>
      <c r="C39"/>
      <c r="D39" s="642"/>
      <c r="E39" s="642"/>
      <c r="F39" s="642"/>
      <c r="G39" s="642"/>
      <c r="H39"/>
      <c r="I39"/>
      <c r="J39"/>
      <c r="K39"/>
      <c r="L39" s="642"/>
      <c r="M39" s="642"/>
      <c r="N39"/>
      <c r="O39"/>
      <c r="P39"/>
      <c r="Q39"/>
      <c r="R39"/>
      <c r="S39"/>
      <c r="T39"/>
      <c r="U39"/>
      <c r="V39"/>
      <c r="W39"/>
      <c r="X39" s="642"/>
      <c r="Y39" s="642"/>
      <c r="Z39" s="642"/>
      <c r="AA39" s="642"/>
      <c r="AB39"/>
      <c r="AC39"/>
      <c r="AD39"/>
      <c r="AE39"/>
      <c r="AF39"/>
      <c r="AG39"/>
      <c r="AH39" s="642"/>
      <c r="AI39" s="642"/>
      <c r="AJ39" s="642"/>
    </row>
    <row r="40" spans="1:37" x14ac:dyDescent="0.2">
      <c r="A40" s="642"/>
      <c r="B40" s="642"/>
      <c r="C40"/>
      <c r="D40" s="642"/>
      <c r="E40" s="642"/>
      <c r="F40" s="642"/>
      <c r="G40" s="642"/>
      <c r="H40"/>
      <c r="I40"/>
      <c r="J40"/>
      <c r="K40"/>
      <c r="L40" s="642"/>
      <c r="M40" s="642"/>
      <c r="N40"/>
      <c r="O40"/>
      <c r="P40"/>
      <c r="Q40"/>
      <c r="R40"/>
      <c r="S40"/>
      <c r="T40"/>
      <c r="U40"/>
      <c r="V40"/>
      <c r="W40"/>
      <c r="X40" s="642"/>
      <c r="Y40" s="642"/>
      <c r="Z40" s="642"/>
      <c r="AA40" s="642"/>
      <c r="AB40"/>
      <c r="AC40"/>
      <c r="AD40"/>
      <c r="AE40"/>
      <c r="AF40"/>
      <c r="AG40"/>
      <c r="AH40" s="642"/>
      <c r="AI40" s="642"/>
      <c r="AJ40" s="642"/>
    </row>
    <row r="41" spans="1:37" x14ac:dyDescent="0.2">
      <c r="A41" s="642"/>
      <c r="B41" s="642"/>
      <c r="C41"/>
      <c r="D41" s="642"/>
      <c r="E41" s="642"/>
      <c r="F41" s="642"/>
      <c r="G41" s="642"/>
      <c r="H41"/>
      <c r="I41"/>
      <c r="J41"/>
      <c r="K41"/>
      <c r="L41" s="642"/>
      <c r="M41" s="642"/>
      <c r="N41"/>
      <c r="O41"/>
      <c r="P41"/>
      <c r="Q41"/>
      <c r="R41"/>
      <c r="S41"/>
      <c r="T41"/>
      <c r="U41"/>
      <c r="V41"/>
      <c r="W41"/>
      <c r="X41" s="642"/>
      <c r="Y41" s="642"/>
      <c r="Z41" s="642"/>
      <c r="AA41" s="642"/>
      <c r="AB41"/>
      <c r="AC41"/>
      <c r="AD41"/>
      <c r="AE41"/>
      <c r="AF41"/>
      <c r="AG41"/>
      <c r="AH41" s="642"/>
      <c r="AI41" s="642"/>
      <c r="AJ41" s="642"/>
    </row>
    <row r="42" spans="1:37" x14ac:dyDescent="0.2">
      <c r="A42" s="642"/>
      <c r="B42" s="642"/>
      <c r="C42"/>
      <c r="D42" s="642"/>
      <c r="E42" s="642"/>
      <c r="F42" s="642"/>
      <c r="G42" s="642"/>
      <c r="H42"/>
      <c r="I42"/>
      <c r="J42"/>
      <c r="K42"/>
      <c r="L42" s="642"/>
      <c r="M42" s="642"/>
      <c r="N42"/>
      <c r="O42"/>
      <c r="P42"/>
      <c r="Q42"/>
      <c r="R42"/>
      <c r="S42"/>
      <c r="T42"/>
      <c r="U42"/>
      <c r="V42"/>
      <c r="W42"/>
      <c r="X42" s="642"/>
      <c r="Y42" s="642"/>
      <c r="Z42" s="642"/>
      <c r="AA42" s="642"/>
      <c r="AB42"/>
      <c r="AC42"/>
      <c r="AD42"/>
      <c r="AE42"/>
      <c r="AF42"/>
      <c r="AG42"/>
      <c r="AH42" s="642"/>
      <c r="AI42" s="642"/>
      <c r="AJ42" s="642"/>
    </row>
    <row r="43" spans="1:37" x14ac:dyDescent="0.2">
      <c r="A43" s="642"/>
      <c r="B43" s="642"/>
      <c r="C43"/>
      <c r="D43" s="642"/>
      <c r="E43" s="642"/>
      <c r="F43" s="642"/>
      <c r="G43" s="642"/>
      <c r="H43"/>
      <c r="I43"/>
      <c r="J43"/>
      <c r="K43"/>
      <c r="L43" s="642"/>
      <c r="M43" s="642"/>
      <c r="N43"/>
      <c r="O43"/>
      <c r="P43"/>
      <c r="Q43"/>
      <c r="R43"/>
      <c r="S43"/>
      <c r="T43"/>
      <c r="U43"/>
      <c r="V43"/>
      <c r="W43"/>
      <c r="X43" s="642"/>
      <c r="Y43" s="642"/>
      <c r="Z43" s="642"/>
      <c r="AA43" s="642"/>
      <c r="AB43"/>
      <c r="AC43"/>
      <c r="AD43"/>
      <c r="AE43"/>
      <c r="AF43"/>
      <c r="AG43"/>
      <c r="AH43" s="642"/>
      <c r="AI43" s="642"/>
      <c r="AJ43" s="642"/>
    </row>
    <row r="44" spans="1:37" x14ac:dyDescent="0.2">
      <c r="A44" s="642"/>
      <c r="B44" s="642"/>
      <c r="C44"/>
      <c r="D44" s="642"/>
      <c r="E44" s="642"/>
      <c r="F44" s="642"/>
      <c r="G44" s="642"/>
      <c r="H44"/>
      <c r="I44"/>
      <c r="J44"/>
      <c r="K44"/>
      <c r="L44" s="642"/>
      <c r="M44" s="642"/>
      <c r="N44"/>
      <c r="O44"/>
      <c r="P44"/>
      <c r="Q44"/>
      <c r="R44"/>
      <c r="S44"/>
      <c r="T44"/>
      <c r="U44"/>
      <c r="V44"/>
      <c r="W44"/>
      <c r="X44" s="642"/>
      <c r="Y44" s="642"/>
      <c r="Z44" s="642"/>
      <c r="AA44" s="642"/>
      <c r="AB44"/>
      <c r="AC44"/>
      <c r="AD44"/>
      <c r="AE44"/>
      <c r="AF44"/>
      <c r="AG44"/>
      <c r="AH44" s="642"/>
      <c r="AI44" s="642"/>
      <c r="AJ44" s="642"/>
    </row>
    <row r="45" spans="1:37" x14ac:dyDescent="0.2">
      <c r="A45" s="642"/>
      <c r="B45" s="642"/>
      <c r="C45"/>
      <c r="D45" s="642"/>
      <c r="E45" s="642"/>
      <c r="F45" s="642"/>
      <c r="G45" s="642"/>
      <c r="H45"/>
      <c r="I45"/>
      <c r="J45"/>
      <c r="K45"/>
      <c r="L45" s="642"/>
      <c r="M45" s="642"/>
      <c r="N45"/>
      <c r="O45"/>
      <c r="P45"/>
      <c r="Q45"/>
      <c r="R45"/>
      <c r="S45"/>
      <c r="T45"/>
      <c r="U45"/>
      <c r="V45"/>
      <c r="W45"/>
      <c r="X45" s="642"/>
      <c r="Y45" s="642"/>
      <c r="Z45" s="642"/>
      <c r="AA45" s="642"/>
      <c r="AB45"/>
      <c r="AC45"/>
      <c r="AD45"/>
      <c r="AE45"/>
      <c r="AF45"/>
      <c r="AG45"/>
      <c r="AH45" s="642"/>
      <c r="AI45" s="642"/>
      <c r="AJ45" s="642"/>
    </row>
    <row r="46" spans="1:37" x14ac:dyDescent="0.2">
      <c r="A46" s="642"/>
      <c r="B46" s="642"/>
      <c r="C46"/>
      <c r="D46" s="642"/>
      <c r="E46" s="642"/>
      <c r="F46" s="642"/>
      <c r="G46" s="642"/>
      <c r="H46"/>
      <c r="I46"/>
      <c r="J46"/>
      <c r="K46"/>
      <c r="L46" s="642"/>
      <c r="M46" s="642"/>
      <c r="N46"/>
      <c r="O46"/>
      <c r="P46"/>
      <c r="Q46"/>
      <c r="R46"/>
      <c r="S46"/>
      <c r="T46"/>
      <c r="U46"/>
      <c r="V46"/>
      <c r="W46"/>
      <c r="X46" s="642"/>
      <c r="Y46" s="642"/>
      <c r="Z46" s="642"/>
      <c r="AA46" s="642"/>
      <c r="AB46"/>
      <c r="AC46"/>
      <c r="AD46"/>
      <c r="AE46"/>
      <c r="AF46"/>
      <c r="AG46"/>
      <c r="AH46" s="642"/>
      <c r="AI46" s="642"/>
      <c r="AJ46" s="642"/>
    </row>
    <row r="47" spans="1:37" x14ac:dyDescent="0.2">
      <c r="A47" s="642"/>
      <c r="B47" s="642"/>
      <c r="C47"/>
      <c r="D47" s="642"/>
      <c r="E47" s="642"/>
      <c r="F47" s="642"/>
      <c r="G47" s="642"/>
      <c r="H47"/>
      <c r="I47"/>
      <c r="J47"/>
      <c r="K47"/>
      <c r="L47" s="642"/>
      <c r="M47" s="642"/>
      <c r="N47"/>
      <c r="O47"/>
      <c r="Q47"/>
      <c r="R47"/>
      <c r="S47"/>
      <c r="T47"/>
      <c r="U47"/>
      <c r="V47"/>
      <c r="W47"/>
      <c r="X47" s="642"/>
      <c r="Y47" s="642"/>
      <c r="Z47" s="642"/>
      <c r="AA47" s="642"/>
      <c r="AB47"/>
      <c r="AF47"/>
      <c r="AG47"/>
      <c r="AH47" s="642"/>
      <c r="AI47" s="642"/>
      <c r="AJ47" s="642"/>
    </row>
    <row r="48" spans="1:37" x14ac:dyDescent="0.2">
      <c r="A48" s="642"/>
      <c r="B48" s="642"/>
      <c r="C48"/>
      <c r="D48" s="642"/>
      <c r="E48" s="642"/>
      <c r="F48" s="642"/>
      <c r="G48" s="642"/>
      <c r="H48"/>
      <c r="I48"/>
      <c r="J48"/>
      <c r="K48"/>
      <c r="L48" s="642"/>
      <c r="M48" s="642"/>
      <c r="N48"/>
      <c r="O48"/>
      <c r="P48"/>
      <c r="Q48"/>
      <c r="R48"/>
      <c r="S48"/>
      <c r="T48"/>
      <c r="U48"/>
      <c r="V48"/>
      <c r="W48"/>
      <c r="X48" s="642"/>
      <c r="Y48" s="642"/>
      <c r="Z48" s="642"/>
      <c r="AA48" s="642"/>
      <c r="AB48"/>
      <c r="AC48"/>
      <c r="AD48"/>
      <c r="AE48"/>
      <c r="AF48"/>
      <c r="AG48"/>
      <c r="AH48" s="642"/>
      <c r="AI48" s="642"/>
      <c r="AJ48" s="642"/>
    </row>
    <row r="49" spans="1:36" x14ac:dyDescent="0.2">
      <c r="A49" s="642"/>
      <c r="B49" s="642"/>
      <c r="C49"/>
      <c r="D49" s="642"/>
      <c r="E49" s="642"/>
      <c r="F49" s="642"/>
      <c r="G49" s="642"/>
      <c r="H49"/>
      <c r="I49"/>
      <c r="J49"/>
      <c r="K49"/>
      <c r="L49" s="642"/>
      <c r="M49" s="642"/>
      <c r="N49"/>
      <c r="O49"/>
      <c r="Q49"/>
      <c r="R49"/>
      <c r="S49"/>
      <c r="U49"/>
      <c r="V49"/>
      <c r="W49"/>
      <c r="X49" s="642"/>
      <c r="Y49" s="642"/>
      <c r="Z49" s="642"/>
      <c r="AA49" s="642"/>
      <c r="AH49" s="642"/>
      <c r="AI49" s="642"/>
      <c r="AJ49" s="642"/>
    </row>
    <row r="50" spans="1:36" x14ac:dyDescent="0.2">
      <c r="A50" s="642"/>
      <c r="B50" s="642"/>
      <c r="C50"/>
      <c r="D50" s="642"/>
      <c r="E50" s="642"/>
      <c r="F50" s="642"/>
      <c r="G50" s="642"/>
      <c r="H50"/>
      <c r="I50"/>
      <c r="J50"/>
      <c r="K50"/>
      <c r="L50" s="642"/>
      <c r="M50" s="642"/>
      <c r="N50"/>
      <c r="O50"/>
      <c r="P50"/>
      <c r="Q50"/>
      <c r="R50"/>
      <c r="S50"/>
      <c r="T50"/>
      <c r="U50"/>
      <c r="V50"/>
      <c r="W50"/>
      <c r="X50" s="642"/>
      <c r="Y50" s="642"/>
      <c r="Z50" s="642"/>
      <c r="AA50" s="642"/>
      <c r="AB50"/>
      <c r="AC50"/>
      <c r="AD50"/>
      <c r="AE50"/>
      <c r="AF50"/>
      <c r="AG50"/>
      <c r="AH50" s="642"/>
      <c r="AI50" s="642"/>
      <c r="AJ50" s="642"/>
    </row>
    <row r="51" spans="1:36" x14ac:dyDescent="0.2">
      <c r="A51" s="642"/>
      <c r="B51" s="642"/>
      <c r="C51"/>
      <c r="D51" s="642"/>
      <c r="E51" s="642"/>
      <c r="F51" s="642"/>
      <c r="G51" s="642"/>
      <c r="H51"/>
      <c r="I51"/>
      <c r="J51"/>
      <c r="K51"/>
      <c r="L51" s="642"/>
      <c r="M51" s="642"/>
      <c r="N51"/>
      <c r="O51"/>
      <c r="P51"/>
      <c r="Q51"/>
      <c r="R51"/>
      <c r="S51"/>
      <c r="T51"/>
      <c r="U51"/>
      <c r="V51"/>
      <c r="W51"/>
      <c r="X51" s="642"/>
      <c r="Y51" s="642"/>
      <c r="Z51" s="642"/>
      <c r="AA51" s="642"/>
      <c r="AB51"/>
      <c r="AC51"/>
      <c r="AD51"/>
      <c r="AE51"/>
      <c r="AF51"/>
      <c r="AG51"/>
      <c r="AH51" s="642"/>
      <c r="AI51" s="642"/>
      <c r="AJ51" s="642"/>
    </row>
    <row r="52" spans="1:36" x14ac:dyDescent="0.2">
      <c r="A52" s="642"/>
      <c r="B52" s="642"/>
      <c r="C52"/>
      <c r="D52" s="642"/>
      <c r="E52" s="642"/>
      <c r="F52" s="642"/>
      <c r="G52" s="642"/>
      <c r="H52"/>
      <c r="I52"/>
      <c r="J52"/>
      <c r="K52"/>
      <c r="L52" s="642"/>
      <c r="M52" s="642"/>
      <c r="N52"/>
      <c r="O52"/>
      <c r="P52"/>
      <c r="Q52"/>
      <c r="R52"/>
      <c r="S52"/>
      <c r="T52"/>
      <c r="U52"/>
      <c r="V52"/>
      <c r="W52"/>
      <c r="X52" s="642"/>
      <c r="Y52" s="642"/>
      <c r="Z52" s="642"/>
      <c r="AA52" s="642"/>
      <c r="AB52"/>
      <c r="AC52"/>
      <c r="AD52"/>
      <c r="AE52"/>
      <c r="AF52"/>
      <c r="AG52"/>
      <c r="AH52" s="642"/>
      <c r="AI52" s="642"/>
      <c r="AJ52" s="642"/>
    </row>
    <row r="53" spans="1:36" x14ac:dyDescent="0.2">
      <c r="A53" s="642"/>
      <c r="B53" s="642"/>
      <c r="C53"/>
      <c r="D53" s="642"/>
      <c r="E53" s="642"/>
      <c r="F53" s="642"/>
      <c r="G53" s="642"/>
      <c r="H53"/>
      <c r="I53"/>
      <c r="J53"/>
      <c r="K53"/>
      <c r="L53" s="642"/>
      <c r="M53" s="642"/>
      <c r="N53"/>
      <c r="O53"/>
      <c r="P53"/>
      <c r="Q53"/>
      <c r="R53"/>
      <c r="S53"/>
      <c r="T53"/>
      <c r="U53"/>
      <c r="V53"/>
      <c r="W53"/>
      <c r="X53" s="642"/>
      <c r="Y53" s="642"/>
      <c r="Z53" s="642"/>
      <c r="AA53" s="642"/>
      <c r="AB53"/>
      <c r="AC53"/>
      <c r="AD53"/>
      <c r="AE53"/>
      <c r="AF53"/>
      <c r="AG53"/>
      <c r="AH53" s="642"/>
      <c r="AI53" s="642"/>
      <c r="AJ53" s="642"/>
    </row>
    <row r="54" spans="1:36" x14ac:dyDescent="0.2">
      <c r="A54" s="642"/>
      <c r="B54" s="642"/>
      <c r="C54"/>
      <c r="D54" s="642"/>
      <c r="E54" s="642"/>
      <c r="F54" s="642"/>
      <c r="G54" s="642"/>
      <c r="H54"/>
      <c r="I54"/>
      <c r="J54"/>
      <c r="K54"/>
      <c r="L54" s="642"/>
      <c r="M54" s="642"/>
      <c r="N54"/>
      <c r="O54"/>
      <c r="P54"/>
      <c r="Q54"/>
      <c r="R54"/>
      <c r="S54"/>
      <c r="T54"/>
      <c r="U54"/>
      <c r="V54"/>
      <c r="W54"/>
      <c r="X54" s="642"/>
      <c r="Y54" s="642"/>
      <c r="Z54" s="642"/>
      <c r="AA54" s="642"/>
      <c r="AB54"/>
      <c r="AC54"/>
      <c r="AD54"/>
      <c r="AE54"/>
      <c r="AF54"/>
      <c r="AG54"/>
      <c r="AH54" s="642"/>
      <c r="AI54" s="642"/>
      <c r="AJ54" s="642"/>
    </row>
    <row r="55" spans="1:36" x14ac:dyDescent="0.2">
      <c r="A55" s="642"/>
      <c r="B55" s="642"/>
      <c r="C55"/>
      <c r="D55" s="642"/>
      <c r="E55" s="642"/>
      <c r="F55" s="642"/>
      <c r="G55" s="642"/>
      <c r="H55"/>
      <c r="I55"/>
      <c r="J55"/>
      <c r="K55"/>
      <c r="L55" s="642"/>
      <c r="M55" s="642"/>
      <c r="N55"/>
      <c r="O55"/>
      <c r="P55"/>
      <c r="Q55"/>
      <c r="R55"/>
      <c r="S55"/>
      <c r="T55"/>
      <c r="U55"/>
      <c r="V55"/>
      <c r="W55"/>
      <c r="X55" s="642"/>
      <c r="Y55" s="642"/>
      <c r="Z55" s="642"/>
      <c r="AA55" s="642"/>
      <c r="AB55"/>
      <c r="AC55"/>
      <c r="AD55"/>
      <c r="AE55"/>
      <c r="AF55"/>
      <c r="AG55"/>
      <c r="AH55" s="642"/>
      <c r="AI55" s="642"/>
      <c r="AJ55" s="642"/>
    </row>
    <row r="56" spans="1:36" x14ac:dyDescent="0.2">
      <c r="A56" s="642"/>
      <c r="B56" s="642"/>
      <c r="C56"/>
      <c r="D56" s="642"/>
      <c r="E56" s="642"/>
      <c r="F56" s="642"/>
      <c r="G56" s="642"/>
      <c r="H56"/>
      <c r="I56"/>
      <c r="J56"/>
      <c r="K56"/>
      <c r="L56" s="642"/>
      <c r="M56" s="642"/>
      <c r="N56"/>
      <c r="O56"/>
      <c r="P56"/>
      <c r="Q56"/>
      <c r="R56"/>
      <c r="S56"/>
      <c r="T56"/>
      <c r="U56"/>
      <c r="V56"/>
      <c r="W56"/>
      <c r="X56" s="642"/>
      <c r="Y56" s="642"/>
      <c r="Z56" s="642"/>
      <c r="AA56" s="642"/>
      <c r="AB56"/>
      <c r="AC56"/>
      <c r="AD56"/>
      <c r="AE56"/>
      <c r="AF56"/>
      <c r="AG56"/>
      <c r="AH56" s="642"/>
      <c r="AI56" s="642"/>
      <c r="AJ56" s="642"/>
    </row>
    <row r="57" spans="1:36" x14ac:dyDescent="0.2">
      <c r="A57" s="642"/>
      <c r="B57" s="642"/>
      <c r="C57"/>
      <c r="D57" s="642"/>
      <c r="E57" s="642"/>
      <c r="F57" s="642"/>
      <c r="G57" s="642"/>
      <c r="H57"/>
      <c r="I57"/>
      <c r="J57"/>
      <c r="K57"/>
      <c r="L57" s="642"/>
      <c r="M57" s="642"/>
      <c r="N57"/>
      <c r="O57"/>
      <c r="P57"/>
      <c r="Q57"/>
      <c r="R57"/>
      <c r="S57"/>
      <c r="T57"/>
      <c r="U57"/>
      <c r="V57"/>
      <c r="W57"/>
      <c r="X57" s="642"/>
      <c r="Y57" s="642"/>
      <c r="Z57" s="642"/>
      <c r="AA57" s="642"/>
      <c r="AB57"/>
      <c r="AC57"/>
      <c r="AD57"/>
      <c r="AE57"/>
      <c r="AF57"/>
      <c r="AG57"/>
      <c r="AH57" s="642"/>
      <c r="AI57" s="642"/>
      <c r="AJ57" s="642"/>
    </row>
    <row r="58" spans="1:36" x14ac:dyDescent="0.2">
      <c r="A58" s="642"/>
      <c r="B58" s="642"/>
      <c r="C58"/>
      <c r="D58" s="642"/>
      <c r="E58" s="642"/>
      <c r="F58" s="642"/>
      <c r="G58" s="642"/>
      <c r="H58"/>
      <c r="I58"/>
      <c r="J58"/>
      <c r="K58"/>
      <c r="L58" s="642"/>
      <c r="M58" s="642"/>
      <c r="N58"/>
      <c r="O58"/>
      <c r="P58"/>
      <c r="Q58"/>
      <c r="R58"/>
      <c r="S58"/>
      <c r="T58"/>
      <c r="U58"/>
      <c r="V58"/>
      <c r="W58"/>
      <c r="X58" s="642"/>
      <c r="Y58" s="642"/>
      <c r="Z58" s="642"/>
      <c r="AA58" s="642"/>
      <c r="AB58"/>
      <c r="AC58"/>
      <c r="AD58"/>
      <c r="AE58"/>
      <c r="AF58"/>
      <c r="AG58"/>
      <c r="AH58" s="642"/>
      <c r="AI58" s="642"/>
      <c r="AJ58" s="642"/>
    </row>
    <row r="59" spans="1:36" x14ac:dyDescent="0.2">
      <c r="A59" s="642"/>
      <c r="B59" s="642"/>
      <c r="C59"/>
      <c r="D59" s="642"/>
      <c r="E59" s="642"/>
      <c r="F59" s="642"/>
      <c r="G59" s="642"/>
      <c r="H59"/>
      <c r="I59"/>
      <c r="J59"/>
      <c r="K59"/>
      <c r="L59" s="642"/>
      <c r="M59" s="642"/>
      <c r="N59"/>
      <c r="O59"/>
      <c r="P59"/>
      <c r="Q59"/>
      <c r="R59"/>
      <c r="S59"/>
      <c r="T59"/>
      <c r="U59"/>
      <c r="V59"/>
      <c r="W59"/>
      <c r="X59" s="642"/>
      <c r="Y59" s="642"/>
      <c r="Z59" s="642"/>
      <c r="AA59" s="642"/>
      <c r="AB59"/>
      <c r="AC59"/>
      <c r="AD59"/>
      <c r="AE59"/>
      <c r="AF59"/>
      <c r="AG59"/>
      <c r="AH59" s="642"/>
      <c r="AI59" s="642"/>
      <c r="AJ59" s="642"/>
    </row>
    <row r="60" spans="1:36" x14ac:dyDescent="0.2">
      <c r="A60" s="642"/>
      <c r="B60" s="642"/>
      <c r="C60"/>
      <c r="D60" s="642"/>
      <c r="E60" s="642"/>
      <c r="F60" s="642"/>
      <c r="G60" s="642"/>
      <c r="H60"/>
      <c r="I60"/>
      <c r="J60"/>
      <c r="K60"/>
      <c r="L60" s="642"/>
      <c r="M60" s="642"/>
      <c r="N60"/>
      <c r="O60"/>
      <c r="P60"/>
      <c r="Q60"/>
      <c r="R60"/>
      <c r="S60"/>
      <c r="T60"/>
      <c r="U60"/>
      <c r="V60"/>
      <c r="W60"/>
      <c r="X60" s="642"/>
      <c r="Y60" s="642"/>
      <c r="Z60" s="642"/>
      <c r="AA60" s="642"/>
      <c r="AB60"/>
      <c r="AC60"/>
      <c r="AD60"/>
      <c r="AE60"/>
      <c r="AG60"/>
      <c r="AH60" s="642"/>
      <c r="AI60" s="642"/>
      <c r="AJ60" s="642"/>
    </row>
    <row r="61" spans="1:36" x14ac:dyDescent="0.2">
      <c r="A61" s="642"/>
      <c r="B61" s="642"/>
      <c r="C61"/>
      <c r="D61" s="642"/>
      <c r="E61" s="642"/>
      <c r="F61" s="642"/>
      <c r="G61" s="642"/>
      <c r="H61"/>
      <c r="I61"/>
      <c r="J61"/>
      <c r="K61"/>
      <c r="L61" s="642"/>
      <c r="M61" s="642"/>
      <c r="N61"/>
      <c r="O61"/>
      <c r="P61"/>
      <c r="Q61"/>
      <c r="R61"/>
      <c r="S61"/>
      <c r="T61"/>
      <c r="U61"/>
      <c r="V61"/>
      <c r="W61"/>
      <c r="X61" s="642"/>
      <c r="Y61" s="642"/>
      <c r="Z61" s="642"/>
      <c r="AA61" s="642"/>
      <c r="AB61"/>
      <c r="AC61"/>
      <c r="AD61"/>
      <c r="AE61"/>
      <c r="AF61"/>
      <c r="AG61"/>
      <c r="AH61" s="642"/>
      <c r="AI61" s="642"/>
      <c r="AJ61" s="642"/>
    </row>
    <row r="62" spans="1:36" x14ac:dyDescent="0.2">
      <c r="A62" s="642"/>
      <c r="B62" s="642"/>
      <c r="C62"/>
      <c r="D62" s="642"/>
      <c r="E62" s="642"/>
      <c r="F62" s="642"/>
      <c r="G62" s="642"/>
      <c r="H62"/>
      <c r="I62"/>
      <c r="J62"/>
      <c r="K62"/>
      <c r="L62" s="642"/>
      <c r="M62" s="642"/>
      <c r="N62"/>
      <c r="O62"/>
      <c r="P62"/>
      <c r="Q62"/>
      <c r="R62"/>
      <c r="S62"/>
      <c r="T62"/>
      <c r="U62"/>
      <c r="V62"/>
      <c r="W62"/>
      <c r="X62" s="642"/>
      <c r="Y62" s="642"/>
      <c r="Z62" s="642"/>
      <c r="AA62" s="642"/>
      <c r="AB62"/>
      <c r="AC62"/>
      <c r="AD62"/>
      <c r="AE62"/>
      <c r="AF62"/>
      <c r="AG62"/>
      <c r="AH62" s="642"/>
      <c r="AI62" s="642"/>
      <c r="AJ62" s="642"/>
    </row>
    <row r="63" spans="1:36" x14ac:dyDescent="0.2">
      <c r="A63" s="642"/>
      <c r="B63" s="642"/>
      <c r="C63"/>
      <c r="D63" s="642"/>
      <c r="E63" s="642"/>
      <c r="F63" s="642"/>
      <c r="G63" s="642"/>
      <c r="H63"/>
      <c r="I63"/>
      <c r="J63"/>
      <c r="K63"/>
      <c r="L63" s="642"/>
      <c r="M63" s="642"/>
      <c r="N63"/>
      <c r="O63"/>
      <c r="P63"/>
      <c r="Q63"/>
      <c r="R63"/>
      <c r="S63"/>
      <c r="T63"/>
      <c r="U63"/>
      <c r="V63"/>
      <c r="W63"/>
      <c r="X63" s="642"/>
      <c r="Y63" s="642"/>
      <c r="Z63" s="642"/>
      <c r="AA63" s="642"/>
      <c r="AB63"/>
      <c r="AD63"/>
      <c r="AE63"/>
      <c r="AF63"/>
      <c r="AG63"/>
      <c r="AH63" s="642"/>
      <c r="AI63" s="642"/>
      <c r="AJ63" s="642"/>
    </row>
    <row r="64" spans="1:36" x14ac:dyDescent="0.2">
      <c r="A64" s="642"/>
      <c r="B64" s="642"/>
      <c r="C64"/>
      <c r="D64" s="642"/>
      <c r="E64" s="642"/>
      <c r="F64" s="642"/>
      <c r="G64" s="642"/>
      <c r="H64"/>
      <c r="I64"/>
      <c r="J64"/>
      <c r="K64"/>
      <c r="L64" s="642"/>
      <c r="M64" s="642"/>
      <c r="N64"/>
      <c r="O64"/>
      <c r="P64"/>
      <c r="Q64"/>
      <c r="R64"/>
      <c r="S64"/>
      <c r="T64"/>
      <c r="U64"/>
      <c r="V64"/>
      <c r="W64"/>
      <c r="X64" s="642"/>
      <c r="Y64" s="642"/>
      <c r="Z64" s="642"/>
      <c r="AA64" s="642"/>
      <c r="AB64"/>
      <c r="AC64"/>
      <c r="AD64"/>
      <c r="AE64"/>
      <c r="AF64"/>
      <c r="AG64"/>
      <c r="AH64" s="642"/>
      <c r="AI64" s="642"/>
      <c r="AJ64" s="642"/>
    </row>
    <row r="65" spans="1:36" x14ac:dyDescent="0.2">
      <c r="A65" s="642"/>
      <c r="B65" s="642"/>
      <c r="C65"/>
      <c r="D65" s="642"/>
      <c r="E65" s="642"/>
      <c r="F65" s="642"/>
      <c r="G65" s="642"/>
      <c r="H65"/>
      <c r="I65"/>
      <c r="J65"/>
      <c r="K65"/>
      <c r="L65" s="642"/>
      <c r="M65" s="642"/>
      <c r="N65"/>
      <c r="O65"/>
      <c r="P65"/>
      <c r="Q65"/>
      <c r="R65"/>
      <c r="S65"/>
      <c r="T65"/>
      <c r="U65"/>
      <c r="V65"/>
      <c r="W65"/>
      <c r="X65" s="642"/>
      <c r="Y65" s="642"/>
      <c r="Z65" s="642"/>
      <c r="AA65" s="642"/>
      <c r="AB65"/>
      <c r="AC65"/>
      <c r="AD65"/>
      <c r="AE65"/>
      <c r="AF65"/>
      <c r="AG65"/>
      <c r="AH65" s="642"/>
      <c r="AI65" s="642"/>
      <c r="AJ65" s="642"/>
    </row>
    <row r="66" spans="1:36" x14ac:dyDescent="0.2">
      <c r="A66" s="642"/>
      <c r="B66" s="642"/>
      <c r="C66"/>
      <c r="D66" s="642"/>
      <c r="E66" s="642"/>
      <c r="F66" s="642"/>
      <c r="G66" s="642"/>
      <c r="H66"/>
      <c r="I66"/>
      <c r="J66"/>
      <c r="K66"/>
      <c r="L66" s="642"/>
      <c r="M66" s="642"/>
      <c r="N66"/>
      <c r="O66"/>
      <c r="P66"/>
      <c r="Q66"/>
      <c r="R66"/>
      <c r="S66"/>
      <c r="T66"/>
      <c r="U66"/>
      <c r="V66"/>
      <c r="W66"/>
      <c r="X66" s="642"/>
      <c r="Y66" s="642"/>
      <c r="Z66" s="642"/>
      <c r="AA66" s="642"/>
      <c r="AB66"/>
      <c r="AC66"/>
      <c r="AD66"/>
      <c r="AE66"/>
      <c r="AF66"/>
      <c r="AG66"/>
      <c r="AH66" s="642"/>
      <c r="AI66" s="642"/>
      <c r="AJ66" s="642"/>
    </row>
    <row r="67" spans="1:36" x14ac:dyDescent="0.2">
      <c r="A67" s="642"/>
      <c r="B67" s="642"/>
      <c r="C67"/>
      <c r="D67" s="642"/>
      <c r="E67" s="642"/>
      <c r="F67" s="642"/>
      <c r="G67" s="642"/>
      <c r="H67"/>
      <c r="I67"/>
      <c r="J67"/>
      <c r="K67"/>
      <c r="L67" s="642"/>
      <c r="M67" s="642"/>
      <c r="N67"/>
      <c r="O67"/>
      <c r="P67"/>
      <c r="Q67"/>
      <c r="R67"/>
      <c r="S67"/>
      <c r="T67"/>
      <c r="U67"/>
      <c r="V67"/>
      <c r="W67"/>
      <c r="X67" s="642"/>
      <c r="Y67" s="642"/>
      <c r="Z67" s="642"/>
      <c r="AA67" s="642"/>
      <c r="AB67"/>
      <c r="AC67"/>
      <c r="AD67"/>
      <c r="AE67"/>
      <c r="AF67"/>
      <c r="AG67"/>
      <c r="AH67" s="642"/>
      <c r="AI67" s="642"/>
      <c r="AJ67" s="642"/>
    </row>
    <row r="68" spans="1:36" x14ac:dyDescent="0.2">
      <c r="A68" s="642"/>
      <c r="B68" s="642"/>
      <c r="C68"/>
      <c r="D68" s="642"/>
      <c r="E68" s="642"/>
      <c r="F68" s="642"/>
      <c r="G68" s="642"/>
      <c r="H68"/>
      <c r="I68"/>
      <c r="J68"/>
      <c r="K68"/>
      <c r="L68" s="642"/>
      <c r="M68" s="642"/>
      <c r="N68"/>
      <c r="O68"/>
      <c r="P68"/>
      <c r="Q68"/>
      <c r="R68"/>
      <c r="S68"/>
      <c r="T68"/>
      <c r="U68"/>
      <c r="V68"/>
      <c r="W68"/>
      <c r="X68" s="642"/>
      <c r="Y68" s="642"/>
      <c r="Z68" s="642"/>
      <c r="AA68" s="642"/>
      <c r="AB68"/>
      <c r="AC68"/>
      <c r="AD68"/>
      <c r="AE68"/>
      <c r="AF68"/>
      <c r="AG68"/>
      <c r="AH68" s="642"/>
      <c r="AI68" s="642"/>
      <c r="AJ68" s="642"/>
    </row>
    <row r="69" spans="1:36" x14ac:dyDescent="0.2">
      <c r="A69" s="642"/>
      <c r="B69" s="642"/>
      <c r="C69"/>
      <c r="D69" s="642"/>
      <c r="E69" s="642"/>
      <c r="F69" s="642"/>
      <c r="G69" s="642"/>
      <c r="H69"/>
      <c r="I69"/>
      <c r="J69"/>
      <c r="K69"/>
      <c r="L69" s="642"/>
      <c r="M69" s="642"/>
      <c r="N69"/>
      <c r="O69"/>
      <c r="P69"/>
      <c r="Q69"/>
      <c r="R69"/>
      <c r="S69"/>
      <c r="T69"/>
      <c r="U69"/>
      <c r="V69"/>
      <c r="W69"/>
      <c r="X69" s="642"/>
      <c r="Y69" s="642"/>
      <c r="Z69" s="642"/>
      <c r="AA69" s="642"/>
      <c r="AB69"/>
      <c r="AC69"/>
      <c r="AD69"/>
      <c r="AE69"/>
      <c r="AF69"/>
      <c r="AG69"/>
      <c r="AH69" s="642"/>
      <c r="AI69" s="642"/>
      <c r="AJ69" s="642"/>
    </row>
    <row r="70" spans="1:36" x14ac:dyDescent="0.2">
      <c r="A70" s="642"/>
      <c r="B70" s="642"/>
      <c r="C70"/>
      <c r="D70" s="642"/>
      <c r="E70" s="642"/>
      <c r="F70" s="642"/>
      <c r="G70" s="642"/>
      <c r="H70"/>
      <c r="I70"/>
      <c r="J70"/>
      <c r="K70"/>
      <c r="L70" s="642"/>
      <c r="M70" s="642"/>
      <c r="N70"/>
      <c r="O70"/>
      <c r="P70"/>
      <c r="Q70"/>
      <c r="R70"/>
      <c r="S70"/>
      <c r="T70"/>
      <c r="U70"/>
      <c r="V70"/>
      <c r="W70"/>
      <c r="X70" s="642"/>
      <c r="Y70" s="642"/>
      <c r="Z70" s="642"/>
      <c r="AA70" s="642"/>
      <c r="AB70"/>
      <c r="AC70"/>
      <c r="AD70"/>
      <c r="AE70"/>
      <c r="AF70"/>
      <c r="AG70"/>
      <c r="AH70" s="642"/>
      <c r="AI70" s="642"/>
      <c r="AJ70" s="642"/>
    </row>
    <row r="71" spans="1:36" x14ac:dyDescent="0.2">
      <c r="A71" s="642"/>
      <c r="B71" s="642"/>
      <c r="C71"/>
      <c r="D71" s="642"/>
      <c r="E71" s="642"/>
      <c r="F71" s="642"/>
      <c r="G71" s="642"/>
      <c r="H71"/>
      <c r="I71"/>
      <c r="J71"/>
      <c r="K71"/>
      <c r="L71" s="642"/>
      <c r="M71" s="642"/>
      <c r="N71"/>
      <c r="O71"/>
      <c r="P71"/>
      <c r="Q71"/>
      <c r="R71"/>
      <c r="S71"/>
      <c r="T71"/>
      <c r="U71"/>
      <c r="V71"/>
      <c r="W71"/>
      <c r="X71" s="642"/>
      <c r="Y71" s="642"/>
      <c r="Z71" s="642"/>
      <c r="AA71" s="642"/>
      <c r="AB71"/>
      <c r="AC71"/>
      <c r="AD71"/>
      <c r="AE71"/>
      <c r="AF71"/>
      <c r="AG71"/>
      <c r="AH71" s="642"/>
      <c r="AI71" s="642"/>
      <c r="AJ71" s="642"/>
    </row>
    <row r="72" spans="1:36" x14ac:dyDescent="0.2">
      <c r="A72" s="642"/>
      <c r="B72" s="642"/>
      <c r="C72"/>
      <c r="D72" s="642"/>
      <c r="E72" s="642"/>
      <c r="F72" s="642"/>
      <c r="G72" s="642"/>
      <c r="H72"/>
      <c r="I72"/>
      <c r="J72"/>
      <c r="K72"/>
      <c r="L72" s="642"/>
      <c r="M72" s="642"/>
      <c r="N72"/>
      <c r="O72"/>
      <c r="P72"/>
      <c r="Q72"/>
      <c r="R72"/>
      <c r="S72"/>
      <c r="T72"/>
      <c r="U72"/>
      <c r="V72"/>
      <c r="W72"/>
      <c r="X72" s="642"/>
      <c r="Y72" s="642"/>
      <c r="Z72" s="642"/>
      <c r="AA72" s="642"/>
      <c r="AB72"/>
      <c r="AC72"/>
      <c r="AD72"/>
      <c r="AE72"/>
      <c r="AF72"/>
      <c r="AG72"/>
      <c r="AH72" s="642"/>
      <c r="AI72" s="642"/>
      <c r="AJ72" s="642"/>
    </row>
    <row r="73" spans="1:36" x14ac:dyDescent="0.2">
      <c r="A73" s="642"/>
      <c r="B73" s="642"/>
      <c r="C73"/>
      <c r="D73" s="642"/>
      <c r="E73" s="642"/>
      <c r="F73" s="642"/>
      <c r="G73" s="642"/>
      <c r="H73"/>
      <c r="I73"/>
      <c r="J73"/>
      <c r="K73"/>
      <c r="L73" s="642"/>
      <c r="M73" s="642"/>
      <c r="N73"/>
      <c r="O73"/>
      <c r="P73"/>
      <c r="Q73"/>
      <c r="R73"/>
      <c r="S73"/>
      <c r="T73"/>
      <c r="U73"/>
      <c r="V73"/>
      <c r="W73"/>
      <c r="X73" s="642"/>
      <c r="Y73" s="642"/>
      <c r="Z73" s="642"/>
      <c r="AA73" s="642"/>
      <c r="AB73"/>
      <c r="AC73"/>
      <c r="AD73"/>
      <c r="AE73"/>
      <c r="AF73"/>
      <c r="AG73"/>
      <c r="AH73" s="642"/>
      <c r="AI73" s="642"/>
      <c r="AJ73" s="642"/>
    </row>
    <row r="74" spans="1:36" x14ac:dyDescent="0.2">
      <c r="A74" s="642"/>
      <c r="B74" s="642"/>
      <c r="C74"/>
      <c r="D74" s="642"/>
      <c r="E74" s="642"/>
      <c r="F74" s="642"/>
      <c r="G74" s="642"/>
      <c r="H74"/>
      <c r="I74"/>
      <c r="J74"/>
      <c r="K74"/>
      <c r="L74" s="642"/>
      <c r="M74" s="642"/>
      <c r="N74"/>
      <c r="O74"/>
      <c r="P74"/>
      <c r="Q74"/>
      <c r="R74"/>
      <c r="S74"/>
      <c r="T74"/>
      <c r="U74"/>
      <c r="V74"/>
      <c r="W74"/>
      <c r="X74" s="642"/>
      <c r="Y74" s="642"/>
      <c r="Z74" s="642"/>
      <c r="AA74" s="642"/>
      <c r="AB74"/>
      <c r="AC74"/>
      <c r="AD74"/>
      <c r="AE74"/>
      <c r="AF74"/>
      <c r="AG74"/>
      <c r="AH74" s="642"/>
      <c r="AI74" s="642"/>
      <c r="AJ74" s="642"/>
    </row>
    <row r="75" spans="1:36" x14ac:dyDescent="0.2">
      <c r="A75" s="642"/>
      <c r="B75" s="642"/>
      <c r="C75"/>
      <c r="D75" s="642"/>
      <c r="E75" s="642"/>
      <c r="F75" s="642"/>
      <c r="G75" s="642"/>
      <c r="H75"/>
      <c r="I75"/>
      <c r="J75"/>
      <c r="K75"/>
      <c r="L75" s="642"/>
      <c r="M75" s="642"/>
      <c r="N75"/>
      <c r="O75"/>
      <c r="P75"/>
      <c r="Q75"/>
      <c r="R75"/>
      <c r="S75"/>
      <c r="T75"/>
      <c r="U75"/>
      <c r="V75"/>
      <c r="W75"/>
      <c r="X75" s="642"/>
      <c r="Y75" s="642"/>
      <c r="Z75" s="642"/>
      <c r="AA75" s="642"/>
      <c r="AB75"/>
      <c r="AC75"/>
      <c r="AD75"/>
      <c r="AE75"/>
      <c r="AF75"/>
      <c r="AG75"/>
      <c r="AH75" s="642"/>
      <c r="AI75" s="642"/>
      <c r="AJ75" s="642"/>
    </row>
    <row r="76" spans="1:36" x14ac:dyDescent="0.2">
      <c r="A76" s="642"/>
      <c r="B76" s="642"/>
      <c r="C76"/>
      <c r="D76" s="642"/>
      <c r="E76" s="642"/>
      <c r="F76" s="642"/>
      <c r="G76" s="642"/>
      <c r="H76"/>
      <c r="I76"/>
      <c r="J76"/>
      <c r="K76"/>
      <c r="L76" s="642"/>
      <c r="M76" s="642"/>
      <c r="N76"/>
      <c r="O76"/>
      <c r="P76"/>
      <c r="Q76"/>
      <c r="R76"/>
      <c r="S76"/>
      <c r="T76"/>
      <c r="U76"/>
      <c r="V76"/>
      <c r="W76"/>
      <c r="X76" s="642"/>
      <c r="Y76" s="642"/>
      <c r="Z76" s="642"/>
      <c r="AA76" s="642"/>
      <c r="AB76"/>
      <c r="AC76"/>
      <c r="AD76"/>
      <c r="AE76"/>
      <c r="AF76"/>
      <c r="AG76"/>
      <c r="AH76" s="642"/>
      <c r="AI76" s="642"/>
      <c r="AJ76" s="642"/>
    </row>
    <row r="77" spans="1:36" x14ac:dyDescent="0.2">
      <c r="A77" s="642"/>
      <c r="B77" s="642"/>
      <c r="C77"/>
      <c r="D77" s="642"/>
      <c r="E77" s="642"/>
      <c r="F77" s="642"/>
      <c r="G77" s="642"/>
      <c r="H77"/>
      <c r="I77"/>
      <c r="J77"/>
      <c r="K77"/>
      <c r="L77" s="642"/>
      <c r="M77" s="642"/>
      <c r="N77"/>
      <c r="O77"/>
      <c r="P77"/>
      <c r="Q77"/>
      <c r="R77"/>
      <c r="S77"/>
      <c r="T77"/>
      <c r="U77"/>
      <c r="V77"/>
      <c r="W77"/>
      <c r="X77" s="642"/>
      <c r="Y77" s="642"/>
      <c r="Z77" s="642"/>
      <c r="AA77" s="642"/>
      <c r="AB77"/>
      <c r="AC77"/>
      <c r="AD77"/>
      <c r="AE77"/>
      <c r="AF77"/>
      <c r="AG77"/>
      <c r="AH77" s="642"/>
      <c r="AI77" s="642"/>
      <c r="AJ77" s="642"/>
    </row>
    <row r="78" spans="1:36" x14ac:dyDescent="0.2">
      <c r="A78" s="642"/>
      <c r="B78" s="642"/>
      <c r="C78"/>
      <c r="D78" s="642"/>
      <c r="E78" s="642"/>
      <c r="F78" s="642"/>
      <c r="G78" s="642"/>
      <c r="H78"/>
      <c r="I78"/>
      <c r="J78"/>
      <c r="K78"/>
      <c r="L78" s="642"/>
      <c r="M78" s="642"/>
      <c r="N78"/>
      <c r="O78"/>
      <c r="P78"/>
      <c r="Q78"/>
      <c r="R78"/>
      <c r="S78"/>
      <c r="T78"/>
      <c r="U78"/>
      <c r="V78"/>
      <c r="W78"/>
      <c r="X78" s="642"/>
      <c r="Y78" s="642"/>
      <c r="Z78" s="642"/>
      <c r="AA78" s="642"/>
      <c r="AB78"/>
      <c r="AD78"/>
      <c r="AE78"/>
      <c r="AF78"/>
      <c r="AG78"/>
      <c r="AH78" s="642"/>
      <c r="AI78" s="642"/>
      <c r="AJ78" s="642"/>
    </row>
    <row r="79" spans="1:36" x14ac:dyDescent="0.2">
      <c r="A79" s="642"/>
      <c r="B79" s="642"/>
      <c r="C79"/>
      <c r="D79" s="642"/>
      <c r="E79" s="642"/>
      <c r="F79" s="642"/>
      <c r="G79" s="642"/>
      <c r="H79"/>
      <c r="I79"/>
      <c r="J79"/>
      <c r="K79"/>
      <c r="L79" s="642"/>
      <c r="M79" s="642"/>
      <c r="N79"/>
      <c r="O79"/>
      <c r="P79"/>
      <c r="Q79"/>
      <c r="R79"/>
      <c r="S79"/>
      <c r="T79"/>
      <c r="U79"/>
      <c r="V79"/>
      <c r="W79"/>
      <c r="X79" s="642"/>
      <c r="Y79" s="642"/>
      <c r="Z79" s="642"/>
      <c r="AA79" s="642"/>
      <c r="AB79"/>
      <c r="AC79"/>
      <c r="AD79"/>
      <c r="AE79"/>
      <c r="AF79"/>
      <c r="AG79"/>
      <c r="AH79" s="642"/>
      <c r="AI79" s="642"/>
      <c r="AJ79" s="642"/>
    </row>
    <row r="80" spans="1:36" x14ac:dyDescent="0.2">
      <c r="A80" s="642"/>
      <c r="B80" s="642"/>
      <c r="C80"/>
      <c r="D80" s="642"/>
      <c r="E80" s="642"/>
      <c r="F80" s="642"/>
      <c r="G80" s="642"/>
      <c r="H80"/>
      <c r="I80"/>
      <c r="J80"/>
      <c r="K80"/>
      <c r="L80" s="642"/>
      <c r="M80" s="642"/>
      <c r="N80"/>
      <c r="O80"/>
      <c r="P80"/>
      <c r="Q80"/>
      <c r="R80"/>
      <c r="S80"/>
      <c r="T80"/>
      <c r="U80"/>
      <c r="V80"/>
      <c r="W80"/>
      <c r="X80" s="642"/>
      <c r="Y80" s="642"/>
      <c r="Z80" s="642"/>
      <c r="AA80" s="642"/>
      <c r="AB80"/>
      <c r="AC80"/>
      <c r="AD80"/>
      <c r="AE80"/>
      <c r="AF80"/>
      <c r="AG80"/>
      <c r="AH80" s="642"/>
      <c r="AI80" s="642"/>
      <c r="AJ80" s="642"/>
    </row>
    <row r="81" spans="1:36" x14ac:dyDescent="0.2">
      <c r="A81" s="642"/>
      <c r="B81" s="642"/>
      <c r="C81"/>
      <c r="D81" s="642"/>
      <c r="E81" s="642"/>
      <c r="F81" s="642"/>
      <c r="G81" s="642"/>
      <c r="H81"/>
      <c r="I81"/>
      <c r="J81"/>
      <c r="K81"/>
      <c r="L81" s="642"/>
      <c r="M81" s="642"/>
      <c r="N81"/>
      <c r="O81"/>
      <c r="P81"/>
      <c r="Q81"/>
      <c r="R81"/>
      <c r="S81"/>
      <c r="T81"/>
      <c r="U81"/>
      <c r="V81"/>
      <c r="W81"/>
      <c r="X81" s="642"/>
      <c r="Y81" s="642"/>
      <c r="Z81" s="642"/>
      <c r="AA81" s="642"/>
      <c r="AB81"/>
      <c r="AC81"/>
      <c r="AD81"/>
      <c r="AE81"/>
      <c r="AF81"/>
      <c r="AG81"/>
      <c r="AH81" s="642"/>
      <c r="AI81" s="642"/>
      <c r="AJ81" s="642"/>
    </row>
    <row r="82" spans="1:36" x14ac:dyDescent="0.2">
      <c r="A82" s="642"/>
      <c r="B82" s="642"/>
      <c r="C82"/>
      <c r="D82" s="642"/>
      <c r="E82" s="642"/>
      <c r="F82" s="642"/>
      <c r="G82" s="642"/>
      <c r="H82"/>
      <c r="I82"/>
      <c r="J82"/>
      <c r="K82"/>
      <c r="L82" s="642"/>
      <c r="M82" s="642"/>
      <c r="N82"/>
      <c r="O82"/>
      <c r="P82"/>
      <c r="Q82"/>
      <c r="R82"/>
      <c r="S82"/>
      <c r="T82"/>
      <c r="U82"/>
      <c r="V82"/>
      <c r="W82"/>
      <c r="X82" s="642"/>
      <c r="Y82" s="642"/>
      <c r="Z82" s="642"/>
      <c r="AA82" s="642"/>
      <c r="AB82"/>
      <c r="AC82"/>
      <c r="AD82"/>
      <c r="AE82"/>
      <c r="AF82"/>
      <c r="AG82"/>
      <c r="AH82" s="642"/>
      <c r="AI82" s="642"/>
      <c r="AJ82" s="642"/>
    </row>
    <row r="83" spans="1:36" x14ac:dyDescent="0.2">
      <c r="A83" s="642"/>
      <c r="B83" s="642"/>
      <c r="C83"/>
      <c r="D83" s="642"/>
      <c r="E83" s="642"/>
      <c r="F83" s="642"/>
      <c r="G83" s="642"/>
      <c r="H83"/>
      <c r="I83"/>
      <c r="J83"/>
      <c r="K83"/>
      <c r="L83" s="642"/>
      <c r="M83" s="642"/>
      <c r="N83"/>
      <c r="O83"/>
      <c r="P83"/>
      <c r="Q83"/>
      <c r="R83"/>
      <c r="S83"/>
      <c r="T83"/>
      <c r="U83"/>
      <c r="V83"/>
      <c r="W83"/>
      <c r="X83" s="642"/>
      <c r="Y83" s="642"/>
      <c r="Z83" s="642"/>
      <c r="AA83" s="642"/>
      <c r="AB83"/>
      <c r="AC83"/>
      <c r="AD83"/>
      <c r="AE83"/>
      <c r="AF83"/>
      <c r="AG83"/>
      <c r="AH83" s="642"/>
      <c r="AI83" s="642"/>
      <c r="AJ83" s="642"/>
    </row>
    <row r="84" spans="1:36" x14ac:dyDescent="0.2">
      <c r="A84" s="642"/>
      <c r="B84" s="642"/>
      <c r="C84"/>
      <c r="D84" s="642"/>
      <c r="E84" s="642"/>
      <c r="F84" s="642"/>
      <c r="G84" s="642"/>
      <c r="H84"/>
      <c r="I84"/>
      <c r="J84"/>
      <c r="K84"/>
      <c r="L84" s="642"/>
      <c r="M84" s="642"/>
      <c r="N84"/>
      <c r="O84"/>
      <c r="P84"/>
      <c r="Q84"/>
      <c r="R84"/>
      <c r="S84"/>
      <c r="T84"/>
      <c r="U84"/>
      <c r="V84"/>
      <c r="W84"/>
      <c r="X84" s="642"/>
      <c r="Y84" s="642"/>
      <c r="Z84" s="642"/>
      <c r="AA84" s="642"/>
      <c r="AB84"/>
      <c r="AC84"/>
      <c r="AD84"/>
      <c r="AE84"/>
      <c r="AF84"/>
      <c r="AG84"/>
      <c r="AH84" s="642"/>
      <c r="AI84" s="642"/>
      <c r="AJ84" s="642"/>
    </row>
    <row r="85" spans="1:36" x14ac:dyDescent="0.2">
      <c r="A85" s="642"/>
      <c r="B85" s="642"/>
      <c r="C85"/>
      <c r="D85" s="642"/>
      <c r="E85" s="642"/>
      <c r="F85" s="642"/>
      <c r="G85" s="642"/>
      <c r="H85"/>
      <c r="I85"/>
      <c r="J85"/>
      <c r="K85"/>
      <c r="L85" s="642"/>
      <c r="M85" s="642"/>
      <c r="N85"/>
      <c r="O85"/>
      <c r="P85"/>
      <c r="Q85"/>
      <c r="R85"/>
      <c r="S85"/>
      <c r="T85"/>
      <c r="U85"/>
      <c r="V85"/>
      <c r="W85"/>
      <c r="X85" s="642"/>
      <c r="Y85" s="642"/>
      <c r="Z85" s="642"/>
      <c r="AA85" s="642"/>
      <c r="AB85"/>
      <c r="AC85"/>
      <c r="AD85"/>
      <c r="AE85"/>
      <c r="AF85"/>
      <c r="AG85"/>
      <c r="AH85" s="642"/>
      <c r="AI85" s="642"/>
      <c r="AJ85" s="642"/>
    </row>
    <row r="86" spans="1:36" x14ac:dyDescent="0.2">
      <c r="A86" s="642"/>
      <c r="B86" s="642"/>
      <c r="C86"/>
      <c r="D86" s="642"/>
      <c r="E86" s="642"/>
      <c r="F86" s="642"/>
      <c r="G86" s="642"/>
      <c r="H86"/>
      <c r="I86"/>
      <c r="J86"/>
      <c r="K86"/>
      <c r="L86" s="642"/>
      <c r="M86" s="642"/>
      <c r="N86"/>
      <c r="O86"/>
      <c r="P86"/>
      <c r="Q86"/>
      <c r="R86"/>
      <c r="S86"/>
      <c r="T86"/>
      <c r="U86"/>
      <c r="V86"/>
      <c r="W86"/>
      <c r="X86" s="642"/>
      <c r="Y86" s="642"/>
      <c r="Z86" s="642"/>
      <c r="AA86" s="642"/>
      <c r="AB86"/>
      <c r="AC86"/>
      <c r="AD86"/>
      <c r="AE86"/>
      <c r="AF86"/>
      <c r="AG86"/>
      <c r="AH86" s="642"/>
      <c r="AI86" s="642"/>
      <c r="AJ86" s="642"/>
    </row>
    <row r="87" spans="1:36" x14ac:dyDescent="0.2">
      <c r="A87" s="642"/>
      <c r="B87" s="642"/>
      <c r="C87"/>
      <c r="D87" s="642"/>
      <c r="E87" s="642"/>
      <c r="F87" s="642"/>
      <c r="G87" s="642"/>
      <c r="H87"/>
      <c r="I87"/>
      <c r="J87"/>
      <c r="K87"/>
      <c r="L87" s="642"/>
      <c r="M87" s="642"/>
      <c r="N87"/>
      <c r="O87"/>
      <c r="P87"/>
      <c r="Q87"/>
      <c r="R87"/>
      <c r="S87"/>
      <c r="T87"/>
      <c r="U87"/>
      <c r="V87"/>
      <c r="W87"/>
      <c r="X87" s="642"/>
      <c r="Y87" s="642"/>
      <c r="Z87" s="642"/>
      <c r="AA87" s="642"/>
      <c r="AB87"/>
      <c r="AC87"/>
      <c r="AD87"/>
      <c r="AE87"/>
      <c r="AF87"/>
      <c r="AG87"/>
      <c r="AH87" s="642"/>
      <c r="AI87" s="642"/>
      <c r="AJ87" s="642"/>
    </row>
    <row r="88" spans="1:36" x14ac:dyDescent="0.2">
      <c r="A88" s="642"/>
      <c r="B88" s="642"/>
      <c r="C88"/>
      <c r="D88" s="642"/>
      <c r="E88" s="642"/>
      <c r="F88" s="642"/>
      <c r="G88" s="642"/>
      <c r="H88"/>
      <c r="I88"/>
      <c r="J88"/>
      <c r="K88"/>
      <c r="L88" s="642"/>
      <c r="M88" s="642"/>
      <c r="N88"/>
      <c r="O88"/>
      <c r="P88"/>
      <c r="Q88"/>
      <c r="R88"/>
      <c r="S88"/>
      <c r="T88"/>
      <c r="U88"/>
      <c r="V88"/>
      <c r="W88"/>
      <c r="X88" s="642"/>
      <c r="Y88" s="642"/>
      <c r="Z88" s="642"/>
      <c r="AA88" s="642"/>
      <c r="AB88"/>
      <c r="AC88"/>
      <c r="AD88"/>
      <c r="AE88"/>
      <c r="AF88"/>
      <c r="AG88"/>
      <c r="AH88" s="642"/>
      <c r="AI88" s="642"/>
      <c r="AJ88" s="642"/>
    </row>
    <row r="89" spans="1:36" x14ac:dyDescent="0.2">
      <c r="A89" s="642"/>
      <c r="B89" s="642"/>
      <c r="C89"/>
      <c r="D89" s="642"/>
      <c r="E89" s="642"/>
      <c r="F89" s="642"/>
      <c r="G89" s="642"/>
      <c r="H89"/>
      <c r="I89"/>
      <c r="J89"/>
      <c r="K89"/>
      <c r="L89" s="642"/>
      <c r="M89" s="642"/>
      <c r="N89"/>
      <c r="O89"/>
      <c r="P89"/>
      <c r="Q89"/>
      <c r="R89"/>
      <c r="S89"/>
      <c r="T89"/>
      <c r="U89"/>
      <c r="V89"/>
      <c r="W89"/>
      <c r="X89" s="642"/>
      <c r="Y89" s="642"/>
      <c r="Z89" s="642"/>
      <c r="AA89" s="642"/>
      <c r="AB89"/>
      <c r="AC89"/>
      <c r="AD89"/>
      <c r="AE89"/>
      <c r="AF89"/>
      <c r="AG89"/>
      <c r="AH89" s="642"/>
      <c r="AI89" s="642"/>
      <c r="AJ89" s="642"/>
    </row>
    <row r="90" spans="1:36" x14ac:dyDescent="0.2">
      <c r="A90" s="642"/>
      <c r="B90" s="642"/>
      <c r="C90"/>
      <c r="D90" s="642"/>
      <c r="E90" s="642"/>
      <c r="F90" s="642"/>
      <c r="G90" s="642"/>
      <c r="H90"/>
      <c r="I90"/>
      <c r="J90"/>
      <c r="K90"/>
      <c r="L90" s="642"/>
      <c r="M90" s="642"/>
      <c r="N90"/>
      <c r="O90"/>
      <c r="P90"/>
      <c r="Q90"/>
      <c r="R90"/>
      <c r="S90"/>
      <c r="T90"/>
      <c r="U90"/>
      <c r="V90"/>
      <c r="W90"/>
      <c r="X90" s="642"/>
      <c r="Y90" s="642"/>
      <c r="Z90" s="642"/>
      <c r="AA90" s="642"/>
      <c r="AB90"/>
      <c r="AC90"/>
      <c r="AD90"/>
      <c r="AE90"/>
      <c r="AF90"/>
      <c r="AG90"/>
      <c r="AH90" s="642"/>
      <c r="AI90" s="642"/>
      <c r="AJ90" s="642"/>
    </row>
    <row r="91" spans="1:36" x14ac:dyDescent="0.2">
      <c r="A91" s="642"/>
      <c r="B91" s="642"/>
      <c r="C91"/>
      <c r="D91" s="642"/>
      <c r="E91" s="642"/>
      <c r="F91" s="642"/>
      <c r="G91" s="642"/>
      <c r="H91"/>
      <c r="I91"/>
      <c r="J91"/>
      <c r="K91"/>
      <c r="L91" s="642"/>
      <c r="M91" s="642"/>
      <c r="N91"/>
      <c r="O91"/>
      <c r="P91"/>
      <c r="Q91"/>
      <c r="R91"/>
      <c r="S91"/>
      <c r="T91"/>
      <c r="U91"/>
      <c r="V91"/>
      <c r="W91"/>
      <c r="X91" s="642"/>
      <c r="Y91" s="642"/>
      <c r="Z91" s="642"/>
      <c r="AA91" s="642"/>
      <c r="AB91"/>
      <c r="AC91"/>
      <c r="AD91"/>
      <c r="AE91"/>
      <c r="AF91"/>
      <c r="AG91"/>
      <c r="AH91" s="642"/>
      <c r="AI91" s="642"/>
      <c r="AJ91" s="642"/>
    </row>
    <row r="92" spans="1:36" x14ac:dyDescent="0.2">
      <c r="A92" s="642"/>
      <c r="B92" s="642"/>
      <c r="C92"/>
      <c r="D92" s="642"/>
      <c r="E92" s="642"/>
      <c r="F92" s="642"/>
      <c r="G92" s="642"/>
      <c r="H92"/>
      <c r="I92"/>
      <c r="J92"/>
      <c r="K92"/>
      <c r="L92" s="642"/>
      <c r="M92" s="642"/>
      <c r="N92"/>
      <c r="O92"/>
      <c r="P92"/>
      <c r="Q92"/>
      <c r="R92"/>
      <c r="S92"/>
      <c r="T92"/>
      <c r="U92"/>
      <c r="V92"/>
      <c r="W92"/>
      <c r="X92" s="642"/>
      <c r="Y92" s="642"/>
      <c r="Z92" s="642"/>
      <c r="AA92" s="642"/>
      <c r="AB92"/>
      <c r="AC92"/>
      <c r="AD92"/>
      <c r="AE92"/>
      <c r="AF92"/>
      <c r="AG92"/>
      <c r="AH92" s="642"/>
      <c r="AI92" s="642"/>
      <c r="AJ92" s="642"/>
    </row>
    <row r="93" spans="1:36" x14ac:dyDescent="0.2">
      <c r="A93" s="642"/>
      <c r="B93" s="642"/>
      <c r="C93"/>
      <c r="D93" s="642"/>
      <c r="E93" s="642"/>
      <c r="F93" s="642"/>
      <c r="G93" s="642"/>
      <c r="H93"/>
      <c r="I93"/>
      <c r="J93"/>
      <c r="K93"/>
      <c r="L93" s="642"/>
      <c r="M93" s="642"/>
      <c r="N93"/>
      <c r="O93"/>
      <c r="P93"/>
      <c r="Q93"/>
      <c r="R93"/>
      <c r="S93"/>
      <c r="T93"/>
      <c r="U93"/>
      <c r="V93"/>
      <c r="W93"/>
      <c r="X93" s="642"/>
      <c r="Y93" s="642"/>
      <c r="Z93" s="642"/>
      <c r="AA93" s="642"/>
      <c r="AB93"/>
      <c r="AC93"/>
      <c r="AD93"/>
      <c r="AE93"/>
      <c r="AF93"/>
      <c r="AG93"/>
      <c r="AH93" s="642"/>
      <c r="AI93" s="642"/>
      <c r="AJ93" s="642"/>
    </row>
    <row r="94" spans="1:36" x14ac:dyDescent="0.2">
      <c r="A94" s="642"/>
      <c r="B94" s="642"/>
      <c r="C94"/>
      <c r="D94" s="642"/>
      <c r="E94" s="642"/>
      <c r="F94" s="642"/>
      <c r="G94" s="642"/>
      <c r="H94"/>
      <c r="I94"/>
      <c r="J94"/>
      <c r="K94"/>
      <c r="L94" s="642"/>
      <c r="M94" s="642"/>
      <c r="N94"/>
      <c r="O94"/>
      <c r="P94"/>
      <c r="Q94"/>
      <c r="R94"/>
      <c r="S94"/>
      <c r="T94"/>
      <c r="U94"/>
      <c r="V94"/>
      <c r="W94"/>
      <c r="X94" s="642"/>
      <c r="Y94" s="642"/>
      <c r="Z94" s="642"/>
      <c r="AA94" s="642"/>
      <c r="AB94"/>
      <c r="AC94"/>
      <c r="AD94"/>
      <c r="AE94"/>
      <c r="AF94"/>
      <c r="AG94"/>
      <c r="AH94" s="642"/>
      <c r="AI94" s="642"/>
      <c r="AJ94" s="642"/>
    </row>
    <row r="95" spans="1:36" x14ac:dyDescent="0.2">
      <c r="A95" s="642"/>
      <c r="B95" s="642"/>
      <c r="C95"/>
      <c r="D95" s="642"/>
      <c r="E95" s="642"/>
      <c r="F95" s="642"/>
      <c r="G95" s="642"/>
      <c r="H95"/>
      <c r="I95"/>
      <c r="J95"/>
      <c r="K95"/>
      <c r="L95" s="642"/>
      <c r="M95" s="642"/>
      <c r="N95"/>
      <c r="O95"/>
      <c r="P95"/>
      <c r="Q95"/>
      <c r="R95"/>
      <c r="S95"/>
      <c r="T95"/>
      <c r="U95"/>
      <c r="V95"/>
      <c r="W95"/>
      <c r="X95" s="642"/>
      <c r="Y95" s="642"/>
      <c r="Z95" s="642"/>
      <c r="AA95" s="642"/>
      <c r="AB95"/>
      <c r="AC95"/>
      <c r="AD95"/>
      <c r="AE95"/>
      <c r="AF95"/>
      <c r="AG95"/>
      <c r="AH95" s="642"/>
      <c r="AI95" s="642"/>
      <c r="AJ95" s="642"/>
    </row>
    <row r="96" spans="1:36" x14ac:dyDescent="0.2">
      <c r="A96" s="642"/>
      <c r="B96" s="642"/>
      <c r="C96"/>
      <c r="D96" s="642"/>
      <c r="E96" s="642"/>
      <c r="F96" s="642"/>
      <c r="G96" s="642"/>
      <c r="H96"/>
      <c r="I96"/>
      <c r="J96"/>
      <c r="K96"/>
      <c r="L96" s="642"/>
      <c r="M96" s="642"/>
      <c r="N96"/>
      <c r="O96"/>
      <c r="P96"/>
      <c r="Q96"/>
      <c r="R96"/>
      <c r="S96"/>
      <c r="T96"/>
      <c r="U96"/>
      <c r="V96"/>
      <c r="W96"/>
      <c r="X96" s="642"/>
      <c r="Y96" s="642"/>
      <c r="Z96" s="642"/>
      <c r="AA96" s="642"/>
      <c r="AB96"/>
      <c r="AC96"/>
      <c r="AD96"/>
      <c r="AE96"/>
      <c r="AF96"/>
      <c r="AG96"/>
      <c r="AH96" s="642"/>
      <c r="AI96" s="642"/>
      <c r="AJ96" s="642"/>
    </row>
    <row r="97" spans="1:36" x14ac:dyDescent="0.2">
      <c r="A97" s="642"/>
      <c r="B97" s="642"/>
      <c r="C97"/>
      <c r="D97" s="642"/>
      <c r="E97" s="642"/>
      <c r="F97" s="642"/>
      <c r="G97" s="642"/>
      <c r="H97"/>
      <c r="I97"/>
      <c r="J97"/>
      <c r="K97"/>
      <c r="L97" s="642"/>
      <c r="M97" s="642"/>
      <c r="N97"/>
      <c r="O97"/>
      <c r="P97"/>
      <c r="Q97"/>
      <c r="R97"/>
      <c r="S97"/>
      <c r="T97"/>
      <c r="U97"/>
      <c r="V97"/>
      <c r="W97"/>
      <c r="X97" s="642"/>
      <c r="Y97" s="642"/>
      <c r="Z97" s="642"/>
      <c r="AA97" s="642"/>
      <c r="AB97"/>
      <c r="AC97"/>
      <c r="AD97"/>
      <c r="AE97"/>
      <c r="AF97"/>
      <c r="AG97"/>
      <c r="AH97" s="642"/>
      <c r="AI97" s="642"/>
      <c r="AJ97" s="642"/>
    </row>
    <row r="98" spans="1:36" x14ac:dyDescent="0.2">
      <c r="A98" s="642"/>
      <c r="B98" s="642"/>
      <c r="C98"/>
      <c r="D98" s="642"/>
      <c r="E98" s="642"/>
      <c r="F98" s="642"/>
      <c r="G98" s="642"/>
      <c r="H98"/>
      <c r="I98"/>
      <c r="J98"/>
      <c r="K98"/>
      <c r="L98" s="642"/>
      <c r="M98" s="642"/>
      <c r="N98"/>
      <c r="O98"/>
      <c r="P98"/>
      <c r="Q98"/>
      <c r="R98"/>
      <c r="S98"/>
      <c r="T98"/>
      <c r="U98"/>
      <c r="V98"/>
      <c r="W98"/>
      <c r="X98" s="642"/>
      <c r="Y98" s="642"/>
      <c r="Z98" s="642"/>
      <c r="AA98" s="642"/>
      <c r="AB98"/>
      <c r="AH98" s="642"/>
      <c r="AI98" s="642"/>
      <c r="AJ98" s="642"/>
    </row>
    <row r="99" spans="1:36" x14ac:dyDescent="0.2">
      <c r="A99" s="642"/>
      <c r="B99" s="642"/>
      <c r="C99"/>
      <c r="D99" s="642"/>
      <c r="E99" s="642"/>
      <c r="F99" s="642"/>
      <c r="G99" s="642"/>
      <c r="H99"/>
      <c r="I99"/>
      <c r="J99"/>
      <c r="K99"/>
      <c r="L99" s="642"/>
      <c r="M99" s="642"/>
      <c r="N99"/>
      <c r="O99"/>
      <c r="P99"/>
      <c r="Q99"/>
      <c r="R99"/>
      <c r="S99"/>
      <c r="T99"/>
      <c r="U99"/>
      <c r="V99"/>
      <c r="W99"/>
      <c r="X99" s="642"/>
      <c r="Y99" s="642"/>
      <c r="Z99" s="642"/>
      <c r="AA99" s="642"/>
      <c r="AB99"/>
      <c r="AH99" s="642"/>
      <c r="AI99" s="642"/>
      <c r="AJ99" s="642"/>
    </row>
    <row r="100" spans="1:36" x14ac:dyDescent="0.2">
      <c r="A100" s="642"/>
      <c r="B100" s="642"/>
      <c r="C100"/>
      <c r="D100" s="642"/>
      <c r="E100" s="642"/>
      <c r="F100" s="642"/>
      <c r="G100" s="642"/>
      <c r="H100"/>
      <c r="I100"/>
      <c r="J100"/>
      <c r="K100"/>
      <c r="L100" s="642"/>
      <c r="M100" s="642"/>
      <c r="N100"/>
      <c r="O100"/>
      <c r="P100"/>
      <c r="Q100"/>
      <c r="R100"/>
      <c r="S100"/>
      <c r="T100"/>
      <c r="U100"/>
      <c r="V100"/>
      <c r="W100"/>
      <c r="X100" s="642"/>
      <c r="Y100" s="642"/>
      <c r="Z100" s="642"/>
      <c r="AA100" s="642"/>
      <c r="AB100"/>
      <c r="AC100"/>
      <c r="AD100"/>
      <c r="AE100"/>
      <c r="AF100"/>
      <c r="AG100"/>
      <c r="AH100" s="642"/>
      <c r="AI100" s="642"/>
      <c r="AJ100" s="642"/>
    </row>
    <row r="101" spans="1:36" x14ac:dyDescent="0.2">
      <c r="A101" s="642"/>
      <c r="B101" s="642"/>
      <c r="C101"/>
      <c r="D101" s="642"/>
      <c r="E101" s="642"/>
      <c r="F101" s="642"/>
      <c r="G101" s="642"/>
      <c r="H101"/>
      <c r="I101"/>
      <c r="J101"/>
      <c r="K101"/>
      <c r="L101" s="642"/>
      <c r="M101" s="642"/>
      <c r="N101"/>
      <c r="O101"/>
      <c r="P101"/>
      <c r="Q101"/>
      <c r="R101"/>
      <c r="S101"/>
      <c r="T101"/>
      <c r="U101"/>
      <c r="V101"/>
      <c r="W101"/>
      <c r="X101" s="642"/>
      <c r="Y101" s="642"/>
      <c r="Z101" s="642"/>
      <c r="AA101" s="642"/>
      <c r="AB101"/>
      <c r="AC101"/>
      <c r="AD101"/>
      <c r="AE101"/>
      <c r="AF101"/>
      <c r="AG101"/>
      <c r="AH101" s="642"/>
      <c r="AI101" s="642"/>
      <c r="AJ101" s="642"/>
    </row>
    <row r="102" spans="1:36" x14ac:dyDescent="0.2">
      <c r="A102" s="642"/>
      <c r="B102" s="642"/>
      <c r="C102"/>
      <c r="D102" s="642"/>
      <c r="E102" s="642"/>
      <c r="F102" s="642"/>
      <c r="G102" s="642"/>
      <c r="H102"/>
      <c r="I102"/>
      <c r="J102"/>
      <c r="K102"/>
      <c r="L102" s="642"/>
      <c r="M102" s="642"/>
      <c r="N102"/>
      <c r="O102"/>
      <c r="P102"/>
      <c r="Q102"/>
      <c r="R102"/>
      <c r="S102"/>
      <c r="T102"/>
      <c r="U102"/>
      <c r="V102"/>
      <c r="W102"/>
      <c r="X102" s="642"/>
      <c r="Y102" s="642"/>
      <c r="Z102" s="642"/>
      <c r="AA102" s="642"/>
      <c r="AB102"/>
      <c r="AC102"/>
      <c r="AD102"/>
      <c r="AE102"/>
      <c r="AF102"/>
      <c r="AG102"/>
      <c r="AH102" s="642"/>
      <c r="AI102" s="642"/>
      <c r="AJ102" s="642"/>
    </row>
    <row r="103" spans="1:36" x14ac:dyDescent="0.2">
      <c r="A103" s="642"/>
      <c r="B103" s="642"/>
      <c r="C103"/>
      <c r="D103" s="642"/>
      <c r="E103" s="642"/>
      <c r="F103" s="642"/>
      <c r="G103" s="642"/>
      <c r="H103"/>
      <c r="I103"/>
      <c r="J103"/>
      <c r="K103"/>
      <c r="L103" s="642"/>
      <c r="M103" s="642"/>
      <c r="N103"/>
      <c r="O103"/>
      <c r="P103"/>
      <c r="Q103"/>
      <c r="R103"/>
      <c r="S103"/>
      <c r="T103"/>
      <c r="U103"/>
      <c r="V103"/>
      <c r="W103"/>
      <c r="X103" s="642"/>
      <c r="Y103" s="642"/>
      <c r="Z103" s="642"/>
      <c r="AA103" s="642"/>
      <c r="AB103"/>
      <c r="AD103"/>
      <c r="AE103"/>
      <c r="AF103"/>
      <c r="AG103"/>
      <c r="AH103" s="642"/>
      <c r="AI103" s="642"/>
      <c r="AJ103" s="642"/>
    </row>
    <row r="104" spans="1:36" x14ac:dyDescent="0.2">
      <c r="A104" s="642"/>
      <c r="B104" s="642"/>
      <c r="C104"/>
      <c r="D104" s="642"/>
      <c r="E104" s="642"/>
      <c r="F104" s="642"/>
      <c r="G104" s="642"/>
      <c r="H104"/>
      <c r="I104"/>
      <c r="J104"/>
      <c r="K104"/>
      <c r="L104" s="642"/>
      <c r="M104" s="642"/>
      <c r="N104"/>
      <c r="O104"/>
      <c r="P104"/>
      <c r="Q104"/>
      <c r="R104"/>
      <c r="S104"/>
      <c r="T104"/>
      <c r="U104"/>
      <c r="V104"/>
      <c r="W104"/>
      <c r="X104" s="642"/>
      <c r="Y104" s="642"/>
      <c r="Z104" s="642"/>
      <c r="AA104" s="642"/>
      <c r="AB104"/>
      <c r="AD104"/>
      <c r="AE104"/>
      <c r="AF104"/>
      <c r="AG104"/>
      <c r="AH104" s="642"/>
      <c r="AI104" s="642"/>
      <c r="AJ104" s="642"/>
    </row>
    <row r="105" spans="1:36" x14ac:dyDescent="0.2">
      <c r="A105" s="642"/>
      <c r="B105" s="642"/>
      <c r="C105"/>
      <c r="D105" s="642"/>
      <c r="E105" s="642"/>
      <c r="F105" s="642"/>
      <c r="G105" s="642"/>
      <c r="H105"/>
      <c r="I105"/>
      <c r="J105"/>
      <c r="K105"/>
      <c r="L105" s="642"/>
      <c r="M105" s="642"/>
      <c r="N105"/>
      <c r="O105"/>
      <c r="P105"/>
      <c r="Q105"/>
      <c r="R105"/>
      <c r="S105"/>
      <c r="T105"/>
      <c r="U105"/>
      <c r="V105"/>
      <c r="W105"/>
      <c r="X105" s="642"/>
      <c r="Y105" s="642"/>
      <c r="Z105" s="642"/>
      <c r="AA105" s="642"/>
      <c r="AB105"/>
      <c r="AC105"/>
      <c r="AD105"/>
      <c r="AE105"/>
      <c r="AF105"/>
      <c r="AG105"/>
      <c r="AH105" s="642"/>
      <c r="AI105" s="642"/>
      <c r="AJ105" s="642"/>
    </row>
    <row r="106" spans="1:36" x14ac:dyDescent="0.2">
      <c r="A106" s="642"/>
      <c r="B106" s="642"/>
      <c r="C106"/>
      <c r="D106" s="642"/>
      <c r="E106" s="642"/>
      <c r="F106" s="642"/>
      <c r="G106" s="642"/>
      <c r="H106"/>
      <c r="I106"/>
      <c r="J106"/>
      <c r="K106"/>
      <c r="L106" s="642"/>
      <c r="M106" s="642"/>
      <c r="N106"/>
      <c r="O106"/>
      <c r="P106"/>
      <c r="Q106"/>
      <c r="R106"/>
      <c r="S106"/>
      <c r="T106"/>
      <c r="U106"/>
      <c r="V106"/>
      <c r="W106"/>
      <c r="X106" s="642"/>
      <c r="Y106" s="642"/>
      <c r="Z106" s="642"/>
      <c r="AA106" s="642"/>
      <c r="AB106"/>
      <c r="AC106"/>
      <c r="AD106"/>
      <c r="AE106"/>
      <c r="AF106"/>
      <c r="AG106"/>
      <c r="AH106" s="642"/>
      <c r="AI106" s="642"/>
      <c r="AJ106" s="642"/>
    </row>
    <row r="107" spans="1:36" x14ac:dyDescent="0.2">
      <c r="A107" s="642"/>
      <c r="B107" s="642"/>
      <c r="C107"/>
      <c r="D107" s="642"/>
      <c r="E107" s="642"/>
      <c r="F107" s="642"/>
      <c r="G107" s="642"/>
      <c r="H107"/>
      <c r="I107"/>
      <c r="J107"/>
      <c r="K107"/>
      <c r="L107" s="642"/>
      <c r="M107" s="642"/>
      <c r="N107"/>
      <c r="O107"/>
      <c r="P107"/>
      <c r="Q107"/>
      <c r="R107"/>
      <c r="S107"/>
      <c r="T107"/>
      <c r="U107"/>
      <c r="V107"/>
      <c r="W107"/>
      <c r="X107" s="642"/>
      <c r="Y107" s="642"/>
      <c r="Z107" s="642"/>
      <c r="AA107" s="642"/>
      <c r="AB107"/>
      <c r="AC107"/>
      <c r="AD107"/>
      <c r="AE107"/>
      <c r="AF107"/>
      <c r="AG107"/>
      <c r="AH107" s="642"/>
      <c r="AI107" s="642"/>
      <c r="AJ107" s="642"/>
    </row>
    <row r="108" spans="1:36" x14ac:dyDescent="0.2">
      <c r="A108" s="642"/>
      <c r="B108" s="642"/>
      <c r="C108"/>
      <c r="D108" s="642"/>
      <c r="E108" s="642"/>
      <c r="F108" s="642"/>
      <c r="G108" s="642"/>
      <c r="H108"/>
      <c r="I108"/>
      <c r="J108"/>
      <c r="K108"/>
      <c r="L108" s="642"/>
      <c r="M108" s="642"/>
      <c r="N108"/>
      <c r="O108"/>
      <c r="P108"/>
      <c r="Q108"/>
      <c r="R108"/>
      <c r="S108"/>
      <c r="T108"/>
      <c r="U108"/>
      <c r="V108"/>
      <c r="W108"/>
      <c r="X108" s="642"/>
      <c r="Y108" s="642"/>
      <c r="Z108" s="642"/>
      <c r="AA108" s="642"/>
      <c r="AB108"/>
      <c r="AC108"/>
      <c r="AD108"/>
      <c r="AE108"/>
      <c r="AF108"/>
      <c r="AG108"/>
      <c r="AH108" s="642"/>
      <c r="AI108" s="642"/>
      <c r="AJ108" s="642"/>
    </row>
    <row r="109" spans="1:36" x14ac:dyDescent="0.2">
      <c r="A109" s="642"/>
      <c r="B109" s="642"/>
      <c r="C109"/>
      <c r="D109" s="642"/>
      <c r="E109" s="642"/>
      <c r="F109" s="642"/>
      <c r="G109" s="642"/>
      <c r="H109"/>
      <c r="I109"/>
      <c r="J109"/>
      <c r="K109"/>
      <c r="L109" s="642"/>
      <c r="M109" s="642"/>
      <c r="N109"/>
      <c r="O109"/>
      <c r="P109"/>
      <c r="Q109"/>
      <c r="R109"/>
      <c r="S109"/>
      <c r="T109"/>
      <c r="U109"/>
      <c r="V109"/>
      <c r="W109"/>
      <c r="X109" s="642"/>
      <c r="Y109" s="642"/>
      <c r="Z109" s="642"/>
      <c r="AA109" s="642"/>
      <c r="AB109"/>
      <c r="AC109"/>
      <c r="AD109"/>
      <c r="AE109"/>
      <c r="AF109"/>
      <c r="AG109"/>
      <c r="AH109" s="642"/>
      <c r="AI109" s="642"/>
      <c r="AJ109" s="642"/>
    </row>
    <row r="110" spans="1:36" x14ac:dyDescent="0.2">
      <c r="A110" s="642"/>
      <c r="B110" s="642"/>
      <c r="C110"/>
      <c r="D110" s="642"/>
      <c r="E110" s="642"/>
      <c r="F110" s="642"/>
      <c r="G110" s="642"/>
      <c r="H110"/>
      <c r="I110"/>
      <c r="J110"/>
      <c r="K110"/>
      <c r="L110" s="642"/>
      <c r="M110" s="642"/>
      <c r="N110"/>
      <c r="O110"/>
      <c r="P110"/>
      <c r="Q110"/>
      <c r="R110"/>
      <c r="S110"/>
      <c r="T110"/>
      <c r="U110"/>
      <c r="V110"/>
      <c r="W110"/>
      <c r="X110" s="642"/>
      <c r="Y110" s="642"/>
      <c r="Z110" s="642"/>
      <c r="AA110" s="642"/>
      <c r="AB110"/>
      <c r="AC110"/>
      <c r="AD110"/>
      <c r="AE110"/>
      <c r="AF110"/>
      <c r="AG110"/>
      <c r="AH110" s="642"/>
      <c r="AI110" s="642"/>
      <c r="AJ110" s="642"/>
    </row>
    <row r="111" spans="1:36" x14ac:dyDescent="0.2">
      <c r="A111" s="642"/>
      <c r="B111" s="642"/>
      <c r="C111"/>
      <c r="D111" s="642"/>
      <c r="E111" s="642"/>
      <c r="F111" s="642"/>
      <c r="G111" s="642"/>
      <c r="H111"/>
      <c r="I111"/>
      <c r="J111"/>
      <c r="K111"/>
      <c r="L111" s="642"/>
      <c r="M111" s="642"/>
      <c r="N111"/>
      <c r="O111"/>
      <c r="P111"/>
      <c r="Q111"/>
      <c r="R111"/>
      <c r="S111"/>
      <c r="T111"/>
      <c r="U111"/>
      <c r="V111"/>
      <c r="W111"/>
      <c r="X111" s="642"/>
      <c r="Y111" s="642"/>
      <c r="Z111" s="642"/>
      <c r="AA111" s="642"/>
      <c r="AB111"/>
      <c r="AC111"/>
      <c r="AD111"/>
      <c r="AE111"/>
      <c r="AF111"/>
      <c r="AG111"/>
      <c r="AH111" s="642"/>
      <c r="AI111" s="642"/>
      <c r="AJ111" s="642"/>
    </row>
    <row r="112" spans="1:36" x14ac:dyDescent="0.2">
      <c r="A112" s="642"/>
      <c r="B112" s="642"/>
      <c r="C112"/>
      <c r="D112" s="642"/>
      <c r="E112" s="642"/>
      <c r="F112" s="642"/>
      <c r="G112" s="642"/>
      <c r="H112"/>
      <c r="I112"/>
      <c r="J112"/>
      <c r="K112"/>
      <c r="L112" s="642"/>
      <c r="M112" s="642"/>
      <c r="N112"/>
      <c r="O112"/>
      <c r="P112"/>
      <c r="Q112"/>
      <c r="R112"/>
      <c r="S112"/>
      <c r="T112"/>
      <c r="U112"/>
      <c r="V112"/>
      <c r="W112"/>
      <c r="X112" s="642"/>
      <c r="Y112" s="642"/>
      <c r="Z112" s="642"/>
      <c r="AA112" s="642"/>
      <c r="AB112"/>
      <c r="AC112"/>
      <c r="AD112"/>
      <c r="AE112"/>
      <c r="AF112"/>
      <c r="AG112"/>
      <c r="AH112" s="642"/>
      <c r="AI112" s="642"/>
      <c r="AJ112" s="642"/>
    </row>
    <row r="113" spans="1:36" x14ac:dyDescent="0.2">
      <c r="A113" s="642"/>
      <c r="B113" s="642"/>
      <c r="C113"/>
      <c r="D113" s="642"/>
      <c r="E113" s="642"/>
      <c r="F113" s="642"/>
      <c r="G113" s="642"/>
      <c r="H113"/>
      <c r="I113"/>
      <c r="J113"/>
      <c r="K113"/>
      <c r="L113" s="642"/>
      <c r="M113" s="642"/>
      <c r="N113"/>
      <c r="O113"/>
      <c r="P113"/>
      <c r="Q113"/>
      <c r="R113"/>
      <c r="S113"/>
      <c r="T113"/>
      <c r="U113"/>
      <c r="V113"/>
      <c r="W113"/>
      <c r="X113" s="642"/>
      <c r="Y113" s="642"/>
      <c r="Z113" s="642"/>
      <c r="AA113" s="642"/>
      <c r="AB113"/>
      <c r="AC113"/>
      <c r="AD113"/>
      <c r="AE113"/>
      <c r="AF113"/>
      <c r="AG113"/>
      <c r="AH113" s="642"/>
      <c r="AI113" s="642"/>
      <c r="AJ113" s="642"/>
    </row>
    <row r="114" spans="1:36" x14ac:dyDescent="0.2">
      <c r="A114" s="642"/>
      <c r="B114" s="642"/>
      <c r="C114"/>
      <c r="D114" s="642"/>
      <c r="E114" s="642"/>
      <c r="F114" s="642"/>
      <c r="G114" s="642"/>
      <c r="H114"/>
      <c r="I114"/>
      <c r="J114"/>
      <c r="K114"/>
      <c r="L114" s="642"/>
      <c r="M114" s="642"/>
      <c r="N114"/>
      <c r="O114"/>
      <c r="P114"/>
      <c r="Q114"/>
      <c r="R114"/>
      <c r="S114"/>
      <c r="T114"/>
      <c r="U114"/>
      <c r="V114"/>
      <c r="W114"/>
      <c r="X114" s="642"/>
      <c r="Y114" s="642"/>
      <c r="Z114" s="642"/>
      <c r="AA114" s="642"/>
      <c r="AB114"/>
      <c r="AC114"/>
      <c r="AD114"/>
      <c r="AE114"/>
      <c r="AF114"/>
      <c r="AG114"/>
      <c r="AH114" s="642"/>
      <c r="AI114" s="642"/>
      <c r="AJ114" s="642"/>
    </row>
    <row r="115" spans="1:36" x14ac:dyDescent="0.2">
      <c r="A115" s="642"/>
      <c r="B115" s="642"/>
      <c r="C115"/>
      <c r="D115" s="642"/>
      <c r="E115" s="642"/>
      <c r="F115" s="642"/>
      <c r="G115" s="642"/>
      <c r="H115"/>
      <c r="I115"/>
      <c r="J115"/>
      <c r="K115"/>
      <c r="L115" s="642"/>
      <c r="M115" s="642"/>
      <c r="N115"/>
      <c r="O115"/>
      <c r="P115"/>
      <c r="Q115"/>
      <c r="R115"/>
      <c r="S115"/>
      <c r="T115"/>
      <c r="U115"/>
      <c r="V115"/>
      <c r="W115"/>
      <c r="X115" s="642"/>
      <c r="Y115" s="642"/>
      <c r="Z115" s="642"/>
      <c r="AA115" s="642"/>
      <c r="AB115"/>
      <c r="AC115"/>
      <c r="AD115"/>
      <c r="AE115"/>
      <c r="AF115"/>
      <c r="AG115"/>
      <c r="AH115" s="642"/>
      <c r="AI115" s="642"/>
      <c r="AJ115" s="642"/>
    </row>
    <row r="116" spans="1:36" x14ac:dyDescent="0.2">
      <c r="A116" s="642"/>
      <c r="B116" s="642"/>
      <c r="C116"/>
      <c r="D116" s="642"/>
      <c r="E116" s="642"/>
      <c r="F116" s="642"/>
      <c r="G116" s="642"/>
      <c r="H116"/>
      <c r="I116"/>
      <c r="J116"/>
      <c r="K116"/>
      <c r="L116" s="642"/>
      <c r="M116" s="642"/>
      <c r="N116"/>
      <c r="O116"/>
      <c r="P116"/>
      <c r="Q116"/>
      <c r="R116"/>
      <c r="S116"/>
      <c r="T116"/>
      <c r="U116"/>
      <c r="V116"/>
      <c r="W116"/>
      <c r="X116" s="642"/>
      <c r="Y116" s="642"/>
      <c r="Z116" s="642"/>
      <c r="AA116" s="642"/>
      <c r="AB116"/>
      <c r="AC116"/>
      <c r="AD116"/>
      <c r="AE116"/>
      <c r="AF116"/>
      <c r="AG116"/>
      <c r="AH116" s="642"/>
      <c r="AI116" s="642"/>
      <c r="AJ116" s="642"/>
    </row>
    <row r="117" spans="1:36" x14ac:dyDescent="0.2">
      <c r="A117" s="642"/>
      <c r="B117" s="642"/>
      <c r="C117"/>
      <c r="D117" s="642"/>
      <c r="E117" s="642"/>
      <c r="F117" s="642"/>
      <c r="G117" s="642"/>
      <c r="H117"/>
      <c r="I117"/>
      <c r="J117"/>
      <c r="K117"/>
      <c r="L117" s="642"/>
      <c r="M117" s="642"/>
      <c r="N117"/>
      <c r="O117"/>
      <c r="P117"/>
      <c r="Q117"/>
      <c r="R117"/>
      <c r="S117"/>
      <c r="T117"/>
      <c r="U117"/>
      <c r="V117"/>
      <c r="W117"/>
      <c r="X117" s="642"/>
      <c r="Y117" s="642"/>
      <c r="Z117" s="642"/>
      <c r="AA117" s="642"/>
      <c r="AB117"/>
      <c r="AC117"/>
      <c r="AD117"/>
      <c r="AE117"/>
      <c r="AF117"/>
      <c r="AG117"/>
      <c r="AH117" s="642"/>
      <c r="AI117" s="642"/>
      <c r="AJ117" s="642"/>
    </row>
    <row r="118" spans="1:36" x14ac:dyDescent="0.2">
      <c r="A118" s="642"/>
      <c r="B118" s="642"/>
      <c r="C118"/>
      <c r="D118" s="642"/>
      <c r="E118" s="642"/>
      <c r="F118" s="642"/>
      <c r="G118" s="642"/>
      <c r="H118"/>
      <c r="I118"/>
      <c r="J118"/>
      <c r="K118"/>
      <c r="L118" s="642"/>
      <c r="M118" s="642"/>
      <c r="N118"/>
      <c r="O118"/>
      <c r="P118"/>
      <c r="Q118"/>
      <c r="R118"/>
      <c r="S118"/>
      <c r="T118"/>
      <c r="U118"/>
      <c r="V118"/>
      <c r="W118"/>
      <c r="X118" s="642"/>
      <c r="Y118" s="642"/>
      <c r="Z118" s="642"/>
      <c r="AA118" s="642"/>
      <c r="AB118"/>
      <c r="AC118"/>
      <c r="AD118"/>
      <c r="AE118"/>
      <c r="AF118"/>
      <c r="AG118"/>
      <c r="AH118" s="642"/>
      <c r="AI118" s="642"/>
      <c r="AJ118" s="642"/>
    </row>
    <row r="119" spans="1:36" x14ac:dyDescent="0.2">
      <c r="A119" s="642"/>
      <c r="B119" s="642"/>
      <c r="C119"/>
      <c r="D119" s="642"/>
      <c r="E119" s="642"/>
      <c r="F119" s="642"/>
      <c r="G119" s="642"/>
      <c r="H119"/>
      <c r="I119"/>
      <c r="J119"/>
      <c r="K119"/>
      <c r="L119" s="642"/>
      <c r="M119" s="642"/>
      <c r="N119"/>
      <c r="O119"/>
      <c r="P119"/>
      <c r="Q119"/>
      <c r="R119"/>
      <c r="S119"/>
      <c r="T119"/>
      <c r="U119"/>
      <c r="V119"/>
      <c r="W119"/>
      <c r="X119" s="642"/>
      <c r="Y119" s="642"/>
      <c r="Z119" s="642"/>
      <c r="AA119" s="642"/>
      <c r="AB119"/>
      <c r="AC119"/>
      <c r="AD119"/>
      <c r="AE119"/>
      <c r="AF119"/>
      <c r="AG119"/>
      <c r="AH119" s="642"/>
      <c r="AI119" s="642"/>
      <c r="AJ119" s="642"/>
    </row>
    <row r="120" spans="1:36" x14ac:dyDescent="0.2">
      <c r="A120" s="642"/>
      <c r="B120" s="642"/>
      <c r="C120"/>
      <c r="D120" s="642"/>
      <c r="E120" s="642"/>
      <c r="F120" s="642"/>
      <c r="G120" s="642"/>
      <c r="H120"/>
      <c r="I120"/>
      <c r="J120"/>
      <c r="K120"/>
      <c r="L120" s="642"/>
      <c r="M120" s="642"/>
      <c r="N120"/>
      <c r="O120"/>
      <c r="P120"/>
      <c r="Q120"/>
      <c r="R120"/>
      <c r="S120"/>
      <c r="T120"/>
      <c r="U120"/>
      <c r="V120"/>
      <c r="W120"/>
      <c r="X120" s="642"/>
      <c r="Y120" s="642"/>
      <c r="Z120" s="642"/>
      <c r="AA120" s="642"/>
      <c r="AB120"/>
      <c r="AC120"/>
      <c r="AD120"/>
      <c r="AE120"/>
      <c r="AF120"/>
      <c r="AG120"/>
      <c r="AH120" s="642"/>
      <c r="AI120" s="642"/>
      <c r="AJ120" s="642"/>
    </row>
    <row r="121" spans="1:36" x14ac:dyDescent="0.2">
      <c r="A121" s="642"/>
      <c r="B121" s="642"/>
      <c r="C121"/>
      <c r="D121" s="642"/>
      <c r="E121" s="642"/>
      <c r="F121" s="642"/>
      <c r="G121" s="642"/>
      <c r="H121"/>
      <c r="I121"/>
      <c r="J121"/>
      <c r="K121"/>
      <c r="L121" s="642"/>
      <c r="M121" s="642"/>
      <c r="N121"/>
      <c r="O121"/>
      <c r="P121"/>
      <c r="Q121"/>
      <c r="R121"/>
      <c r="S121"/>
      <c r="T121"/>
      <c r="U121"/>
      <c r="V121"/>
      <c r="W121"/>
      <c r="X121" s="642"/>
      <c r="Y121" s="642"/>
      <c r="Z121" s="642"/>
      <c r="AA121" s="642"/>
      <c r="AB121"/>
      <c r="AC121"/>
      <c r="AD121"/>
      <c r="AE121"/>
      <c r="AF121"/>
      <c r="AG121"/>
      <c r="AH121" s="642"/>
      <c r="AI121" s="642"/>
      <c r="AJ121" s="642"/>
    </row>
    <row r="122" spans="1:36" x14ac:dyDescent="0.2">
      <c r="A122" s="642"/>
      <c r="B122" s="642"/>
      <c r="C122"/>
      <c r="D122" s="642"/>
      <c r="E122" s="642"/>
      <c r="F122" s="642"/>
      <c r="G122" s="642"/>
      <c r="H122"/>
      <c r="I122"/>
      <c r="J122"/>
      <c r="K122"/>
      <c r="L122" s="642"/>
      <c r="M122" s="642"/>
      <c r="N122"/>
      <c r="O122"/>
      <c r="P122"/>
      <c r="Q122"/>
      <c r="R122"/>
      <c r="S122"/>
      <c r="T122"/>
      <c r="U122"/>
      <c r="V122"/>
      <c r="W122"/>
      <c r="X122" s="642"/>
      <c r="Y122" s="642"/>
      <c r="Z122" s="642"/>
      <c r="AA122" s="642"/>
      <c r="AB122"/>
      <c r="AC122"/>
      <c r="AD122"/>
      <c r="AE122"/>
      <c r="AF122"/>
      <c r="AG122"/>
      <c r="AH122" s="642"/>
      <c r="AI122" s="642"/>
      <c r="AJ122" s="642"/>
    </row>
    <row r="123" spans="1:36" x14ac:dyDescent="0.2">
      <c r="A123" s="642"/>
      <c r="B123" s="642"/>
      <c r="C123"/>
      <c r="D123" s="642"/>
      <c r="E123" s="642"/>
      <c r="F123" s="642"/>
      <c r="G123" s="642"/>
      <c r="H123"/>
      <c r="I123"/>
      <c r="J123"/>
      <c r="K123"/>
      <c r="L123" s="642"/>
      <c r="M123" s="642"/>
      <c r="N123"/>
      <c r="O123"/>
      <c r="P123"/>
      <c r="Q123"/>
      <c r="R123"/>
      <c r="S123"/>
      <c r="T123"/>
      <c r="U123"/>
      <c r="V123"/>
      <c r="W123"/>
      <c r="X123" s="642"/>
      <c r="Y123" s="642"/>
      <c r="Z123" s="642"/>
      <c r="AA123" s="642"/>
      <c r="AB123"/>
      <c r="AC123"/>
      <c r="AD123"/>
      <c r="AE123"/>
      <c r="AF123"/>
      <c r="AG123"/>
      <c r="AH123" s="642"/>
      <c r="AI123" s="642"/>
      <c r="AJ123" s="642"/>
    </row>
    <row r="124" spans="1:36" x14ac:dyDescent="0.2">
      <c r="A124" s="642"/>
      <c r="B124" s="642"/>
      <c r="C124"/>
      <c r="D124" s="642"/>
      <c r="E124" s="642"/>
      <c r="F124" s="642"/>
      <c r="G124" s="642"/>
      <c r="H124"/>
      <c r="I124"/>
      <c r="J124"/>
      <c r="K124"/>
      <c r="L124" s="642"/>
      <c r="M124" s="642"/>
      <c r="N124"/>
      <c r="O124"/>
      <c r="P124"/>
      <c r="Q124"/>
      <c r="R124"/>
      <c r="S124"/>
      <c r="T124"/>
      <c r="U124"/>
      <c r="V124"/>
      <c r="W124"/>
      <c r="X124" s="642"/>
      <c r="Y124" s="642"/>
      <c r="Z124" s="642"/>
      <c r="AA124" s="642"/>
      <c r="AB124"/>
      <c r="AC124"/>
      <c r="AD124"/>
      <c r="AE124"/>
      <c r="AF124"/>
      <c r="AG124"/>
      <c r="AH124" s="642"/>
      <c r="AI124" s="642"/>
      <c r="AJ124" s="642"/>
    </row>
    <row r="125" spans="1:36" x14ac:dyDescent="0.2">
      <c r="A125" s="642"/>
      <c r="B125" s="642"/>
      <c r="C125"/>
      <c r="D125" s="642"/>
      <c r="E125" s="642"/>
      <c r="F125" s="642"/>
      <c r="G125" s="642"/>
      <c r="H125"/>
      <c r="I125"/>
      <c r="J125"/>
      <c r="K125"/>
      <c r="L125" s="642"/>
      <c r="M125" s="642"/>
      <c r="N125"/>
      <c r="O125"/>
      <c r="P125"/>
      <c r="Q125"/>
      <c r="R125"/>
      <c r="S125"/>
      <c r="T125"/>
      <c r="U125"/>
      <c r="V125"/>
      <c r="W125"/>
      <c r="X125" s="642"/>
      <c r="Y125" s="642"/>
      <c r="Z125" s="642"/>
      <c r="AA125" s="642"/>
      <c r="AB125"/>
      <c r="AC125"/>
      <c r="AD125"/>
      <c r="AE125"/>
      <c r="AF125"/>
      <c r="AG125"/>
      <c r="AH125" s="642"/>
      <c r="AI125" s="642"/>
      <c r="AJ125" s="642"/>
    </row>
    <row r="126" spans="1:36" x14ac:dyDescent="0.2">
      <c r="A126" s="642"/>
      <c r="B126" s="642"/>
      <c r="C126"/>
      <c r="D126" s="642"/>
      <c r="E126" s="642"/>
      <c r="F126" s="642"/>
      <c r="G126" s="642"/>
      <c r="H126"/>
      <c r="I126"/>
      <c r="J126"/>
      <c r="K126"/>
      <c r="L126" s="642"/>
      <c r="M126" s="642"/>
      <c r="N126"/>
      <c r="O126"/>
      <c r="P126"/>
      <c r="Q126"/>
      <c r="R126"/>
      <c r="S126"/>
      <c r="T126"/>
      <c r="U126"/>
      <c r="V126"/>
      <c r="W126"/>
      <c r="X126" s="642"/>
      <c r="Y126" s="642"/>
      <c r="Z126" s="642"/>
      <c r="AA126" s="642"/>
      <c r="AB126"/>
      <c r="AC126"/>
      <c r="AD126"/>
      <c r="AE126"/>
      <c r="AF126"/>
      <c r="AG126"/>
      <c r="AH126" s="642"/>
      <c r="AI126" s="642"/>
      <c r="AJ126" s="642"/>
    </row>
    <row r="127" spans="1:36" x14ac:dyDescent="0.2">
      <c r="A127" s="642"/>
      <c r="B127" s="642"/>
      <c r="C127"/>
      <c r="D127" s="642"/>
      <c r="E127" s="642"/>
      <c r="F127" s="642"/>
      <c r="G127" s="642"/>
      <c r="H127"/>
      <c r="I127"/>
      <c r="J127"/>
      <c r="K127"/>
      <c r="L127" s="642"/>
      <c r="M127" s="642"/>
      <c r="N127"/>
      <c r="O127"/>
      <c r="P127"/>
      <c r="Q127"/>
      <c r="R127"/>
      <c r="S127"/>
      <c r="T127"/>
      <c r="U127"/>
      <c r="V127"/>
      <c r="W127"/>
      <c r="X127" s="642"/>
      <c r="Y127" s="642"/>
      <c r="Z127" s="642"/>
      <c r="AA127" s="642"/>
      <c r="AB127"/>
      <c r="AC127"/>
      <c r="AD127"/>
      <c r="AE127"/>
      <c r="AF127"/>
      <c r="AG127"/>
      <c r="AH127" s="642"/>
      <c r="AI127" s="642"/>
      <c r="AJ127" s="642"/>
    </row>
    <row r="128" spans="1:36" x14ac:dyDescent="0.2">
      <c r="A128" s="642"/>
      <c r="B128" s="642"/>
      <c r="C128"/>
      <c r="D128" s="642"/>
      <c r="E128" s="642"/>
      <c r="F128" s="642"/>
      <c r="G128" s="642"/>
      <c r="H128"/>
      <c r="I128"/>
      <c r="J128"/>
      <c r="K128"/>
      <c r="L128" s="642"/>
      <c r="M128" s="642"/>
      <c r="N128"/>
      <c r="O128"/>
      <c r="P128"/>
      <c r="Q128"/>
      <c r="R128"/>
      <c r="S128"/>
      <c r="T128"/>
      <c r="U128"/>
      <c r="V128"/>
      <c r="W128"/>
      <c r="X128" s="642"/>
      <c r="Y128" s="642"/>
      <c r="Z128" s="642"/>
      <c r="AA128" s="642"/>
      <c r="AB128"/>
      <c r="AC128"/>
      <c r="AD128"/>
      <c r="AE128"/>
      <c r="AF128"/>
      <c r="AG128"/>
      <c r="AH128" s="642"/>
      <c r="AI128" s="642"/>
      <c r="AJ128" s="642"/>
    </row>
    <row r="129" spans="1:36" x14ac:dyDescent="0.2">
      <c r="A129" s="642"/>
      <c r="B129" s="642"/>
      <c r="C129"/>
      <c r="D129" s="642"/>
      <c r="E129" s="642"/>
      <c r="F129" s="642"/>
      <c r="G129" s="642"/>
      <c r="H129"/>
      <c r="I129"/>
      <c r="J129"/>
      <c r="K129"/>
      <c r="L129" s="642"/>
      <c r="M129" s="642"/>
      <c r="N129"/>
      <c r="O129"/>
      <c r="P129"/>
      <c r="Q129"/>
      <c r="R129"/>
      <c r="S129"/>
      <c r="T129"/>
      <c r="U129"/>
      <c r="V129"/>
      <c r="W129"/>
      <c r="X129" s="642"/>
      <c r="Y129" s="642"/>
      <c r="Z129" s="642"/>
      <c r="AA129" s="642"/>
      <c r="AB129"/>
      <c r="AC129"/>
      <c r="AD129"/>
      <c r="AE129"/>
      <c r="AF129"/>
      <c r="AG129"/>
      <c r="AH129" s="642"/>
      <c r="AI129" s="642"/>
      <c r="AJ129" s="642"/>
    </row>
    <row r="130" spans="1:36" x14ac:dyDescent="0.2">
      <c r="A130" s="642"/>
      <c r="B130" s="642"/>
      <c r="C130"/>
      <c r="D130" s="642"/>
      <c r="E130" s="642"/>
      <c r="F130" s="642"/>
      <c r="G130" s="642"/>
      <c r="H130"/>
      <c r="I130"/>
      <c r="J130"/>
      <c r="K130"/>
      <c r="L130" s="642"/>
      <c r="M130" s="642"/>
      <c r="N130"/>
      <c r="O130"/>
      <c r="P130"/>
      <c r="Q130"/>
      <c r="R130"/>
      <c r="S130"/>
      <c r="T130"/>
      <c r="U130"/>
      <c r="V130"/>
      <c r="W130"/>
      <c r="X130" s="642"/>
      <c r="Y130" s="642"/>
      <c r="Z130" s="642"/>
      <c r="AA130" s="642"/>
      <c r="AB130"/>
      <c r="AC130"/>
      <c r="AD130"/>
      <c r="AE130"/>
      <c r="AF130"/>
      <c r="AG130"/>
      <c r="AH130" s="642"/>
      <c r="AI130" s="642"/>
      <c r="AJ130" s="642"/>
    </row>
    <row r="131" spans="1:36" x14ac:dyDescent="0.2">
      <c r="A131" s="642"/>
      <c r="B131" s="642"/>
      <c r="C131"/>
      <c r="D131" s="642"/>
      <c r="E131" s="642"/>
      <c r="F131" s="642"/>
      <c r="G131" s="642"/>
      <c r="H131"/>
      <c r="I131"/>
      <c r="J131"/>
      <c r="K131"/>
      <c r="L131" s="642"/>
      <c r="M131" s="642"/>
      <c r="N131"/>
      <c r="O131"/>
      <c r="P131"/>
      <c r="Q131"/>
      <c r="R131"/>
      <c r="S131"/>
      <c r="T131"/>
      <c r="U131"/>
      <c r="V131"/>
      <c r="W131"/>
      <c r="X131" s="642"/>
      <c r="Y131" s="642"/>
      <c r="Z131" s="642"/>
      <c r="AA131" s="642"/>
      <c r="AB131"/>
      <c r="AC131"/>
      <c r="AD131"/>
      <c r="AE131"/>
      <c r="AF131"/>
      <c r="AG131"/>
      <c r="AH131" s="642"/>
      <c r="AI131" s="642"/>
      <c r="AJ131" s="642"/>
    </row>
    <row r="132" spans="1:36" x14ac:dyDescent="0.2">
      <c r="A132" s="642"/>
      <c r="B132" s="642"/>
      <c r="C132"/>
      <c r="D132" s="642"/>
      <c r="E132" s="642"/>
      <c r="F132" s="642"/>
      <c r="G132" s="642"/>
      <c r="H132"/>
      <c r="I132"/>
      <c r="J132"/>
      <c r="K132"/>
      <c r="L132" s="642"/>
      <c r="M132" s="642"/>
      <c r="N132"/>
      <c r="O132"/>
      <c r="P132"/>
      <c r="Q132"/>
      <c r="R132"/>
      <c r="S132"/>
      <c r="T132"/>
      <c r="U132"/>
      <c r="V132"/>
      <c r="W132"/>
      <c r="X132" s="642"/>
      <c r="Y132" s="642"/>
      <c r="Z132" s="642"/>
      <c r="AA132" s="642"/>
      <c r="AB132"/>
      <c r="AC132"/>
      <c r="AD132"/>
      <c r="AE132"/>
      <c r="AF132"/>
      <c r="AG132"/>
      <c r="AH132" s="642"/>
      <c r="AI132" s="642"/>
      <c r="AJ132" s="642"/>
    </row>
    <row r="133" spans="1:36" x14ac:dyDescent="0.2">
      <c r="A133" s="642"/>
      <c r="B133" s="642"/>
      <c r="C133"/>
      <c r="D133" s="642"/>
      <c r="E133" s="642"/>
      <c r="F133" s="642"/>
      <c r="G133" s="642"/>
      <c r="H133"/>
      <c r="I133"/>
      <c r="J133"/>
      <c r="K133"/>
      <c r="L133" s="642"/>
      <c r="M133" s="642"/>
      <c r="N133"/>
      <c r="O133"/>
      <c r="P133"/>
      <c r="Q133"/>
      <c r="R133"/>
      <c r="S133"/>
      <c r="T133"/>
      <c r="U133"/>
      <c r="V133"/>
      <c r="W133"/>
      <c r="X133" s="642"/>
      <c r="Y133" s="642"/>
      <c r="Z133" s="642"/>
      <c r="AA133" s="642"/>
      <c r="AB133"/>
      <c r="AC133"/>
      <c r="AD133"/>
      <c r="AE133"/>
      <c r="AF133"/>
      <c r="AG133"/>
      <c r="AH133" s="642"/>
      <c r="AI133" s="642"/>
      <c r="AJ133" s="642"/>
    </row>
    <row r="134" spans="1:36" x14ac:dyDescent="0.2">
      <c r="A134" s="642"/>
      <c r="B134" s="642"/>
      <c r="C134"/>
      <c r="D134" s="642"/>
      <c r="E134" s="642"/>
      <c r="F134" s="642"/>
      <c r="G134" s="642"/>
      <c r="H134"/>
      <c r="I134"/>
      <c r="J134"/>
      <c r="K134"/>
      <c r="L134" s="642"/>
      <c r="M134" s="642"/>
      <c r="N134"/>
      <c r="O134"/>
      <c r="P134"/>
      <c r="Q134"/>
      <c r="R134"/>
      <c r="S134"/>
      <c r="T134"/>
      <c r="U134"/>
      <c r="V134"/>
      <c r="W134"/>
      <c r="X134" s="642"/>
      <c r="Y134" s="642"/>
      <c r="Z134" s="642"/>
      <c r="AA134" s="642"/>
      <c r="AB134"/>
      <c r="AC134"/>
      <c r="AD134"/>
      <c r="AE134"/>
      <c r="AF134"/>
      <c r="AG134"/>
      <c r="AH134" s="642"/>
      <c r="AI134" s="642"/>
      <c r="AJ134" s="642"/>
    </row>
    <row r="135" spans="1:36" x14ac:dyDescent="0.2">
      <c r="A135" s="642"/>
      <c r="B135" s="642"/>
      <c r="C135"/>
      <c r="D135" s="642"/>
      <c r="E135" s="642"/>
      <c r="F135" s="642"/>
      <c r="G135" s="642"/>
      <c r="H135"/>
      <c r="I135"/>
      <c r="J135"/>
      <c r="K135"/>
      <c r="L135" s="642"/>
      <c r="M135" s="642"/>
      <c r="N135"/>
      <c r="O135"/>
      <c r="P135"/>
      <c r="Q135"/>
      <c r="R135"/>
      <c r="S135"/>
      <c r="T135"/>
      <c r="U135"/>
      <c r="V135"/>
      <c r="W135"/>
      <c r="X135" s="642"/>
      <c r="Y135" s="642"/>
      <c r="Z135" s="642"/>
      <c r="AA135" s="642"/>
      <c r="AB135"/>
      <c r="AC135"/>
      <c r="AD135"/>
      <c r="AE135"/>
      <c r="AF135"/>
      <c r="AG135"/>
      <c r="AH135" s="642"/>
      <c r="AI135" s="642"/>
      <c r="AJ135" s="642"/>
    </row>
    <row r="136" spans="1:36" x14ac:dyDescent="0.2">
      <c r="A136" s="642"/>
      <c r="B136" s="642"/>
      <c r="C136"/>
      <c r="D136" s="642"/>
      <c r="E136" s="642"/>
      <c r="F136" s="642"/>
      <c r="G136" s="642"/>
      <c r="H136"/>
      <c r="I136"/>
      <c r="J136"/>
      <c r="K136"/>
      <c r="L136" s="642"/>
      <c r="M136" s="642"/>
      <c r="N136"/>
      <c r="O136"/>
      <c r="P136"/>
      <c r="Q136"/>
      <c r="R136"/>
      <c r="S136"/>
      <c r="T136"/>
      <c r="U136"/>
      <c r="V136"/>
      <c r="W136"/>
      <c r="X136" s="642"/>
      <c r="Y136" s="642"/>
      <c r="Z136" s="642"/>
      <c r="AA136" s="642"/>
      <c r="AB136"/>
      <c r="AC136"/>
      <c r="AD136"/>
      <c r="AE136"/>
      <c r="AF136"/>
      <c r="AG136"/>
      <c r="AH136" s="642"/>
      <c r="AI136" s="642"/>
      <c r="AJ136" s="642"/>
    </row>
    <row r="137" spans="1:36" x14ac:dyDescent="0.2">
      <c r="A137" s="642"/>
      <c r="B137" s="642"/>
      <c r="C137"/>
      <c r="D137" s="642"/>
      <c r="E137" s="642"/>
      <c r="F137" s="642"/>
      <c r="G137" s="642"/>
      <c r="H137"/>
      <c r="I137"/>
      <c r="J137"/>
      <c r="K137"/>
      <c r="L137" s="642"/>
      <c r="M137" s="642"/>
      <c r="N137"/>
      <c r="O137"/>
      <c r="P137"/>
      <c r="Q137"/>
      <c r="R137"/>
      <c r="S137"/>
      <c r="T137"/>
      <c r="U137"/>
      <c r="V137"/>
      <c r="W137"/>
      <c r="X137" s="642"/>
      <c r="Y137" s="642"/>
      <c r="Z137" s="642"/>
      <c r="AA137" s="642"/>
      <c r="AB137"/>
      <c r="AC137"/>
      <c r="AD137"/>
      <c r="AE137"/>
      <c r="AF137"/>
      <c r="AG137"/>
      <c r="AH137" s="642"/>
      <c r="AI137" s="642"/>
      <c r="AJ137" s="642"/>
    </row>
    <row r="138" spans="1:36" x14ac:dyDescent="0.2">
      <c r="A138" s="642"/>
      <c r="B138" s="642"/>
      <c r="C138"/>
      <c r="D138" s="642"/>
      <c r="E138" s="642"/>
      <c r="F138" s="642"/>
      <c r="G138" s="642"/>
      <c r="H138"/>
      <c r="I138"/>
      <c r="J138"/>
      <c r="K138"/>
      <c r="L138" s="642"/>
      <c r="M138" s="642"/>
      <c r="N138"/>
      <c r="O138"/>
      <c r="P138"/>
      <c r="Q138"/>
      <c r="R138"/>
      <c r="S138"/>
      <c r="T138"/>
      <c r="U138"/>
      <c r="V138"/>
      <c r="W138"/>
      <c r="X138" s="642"/>
      <c r="Y138" s="642"/>
      <c r="Z138" s="642"/>
      <c r="AA138" s="642"/>
      <c r="AB138"/>
      <c r="AC138"/>
      <c r="AE138"/>
      <c r="AF138"/>
      <c r="AG138"/>
      <c r="AH138" s="642"/>
      <c r="AI138" s="642"/>
      <c r="AJ138" s="642"/>
    </row>
    <row r="139" spans="1:36" x14ac:dyDescent="0.2">
      <c r="A139" s="642"/>
      <c r="B139" s="642"/>
      <c r="C139"/>
      <c r="D139" s="642"/>
      <c r="E139" s="642"/>
      <c r="F139" s="642"/>
      <c r="G139" s="642"/>
      <c r="H139"/>
      <c r="I139"/>
      <c r="J139"/>
      <c r="K139"/>
      <c r="L139" s="642"/>
      <c r="M139" s="642"/>
      <c r="N139"/>
      <c r="O139"/>
      <c r="P139"/>
      <c r="Q139"/>
      <c r="R139"/>
      <c r="S139"/>
      <c r="T139"/>
      <c r="U139"/>
      <c r="V139"/>
      <c r="W139"/>
      <c r="X139" s="642"/>
      <c r="Y139" s="642"/>
      <c r="Z139" s="642"/>
      <c r="AA139" s="642"/>
      <c r="AB139"/>
      <c r="AC139"/>
      <c r="AD139"/>
      <c r="AE139"/>
      <c r="AF139"/>
      <c r="AG139"/>
      <c r="AH139" s="642"/>
      <c r="AI139" s="642"/>
      <c r="AJ139" s="642"/>
    </row>
    <row r="140" spans="1:36" x14ac:dyDescent="0.2">
      <c r="A140" s="642"/>
      <c r="B140" s="642"/>
      <c r="C140"/>
      <c r="D140" s="642"/>
      <c r="E140" s="642"/>
      <c r="F140" s="642"/>
      <c r="G140" s="642"/>
      <c r="H140"/>
      <c r="I140"/>
      <c r="J140"/>
      <c r="K140"/>
      <c r="L140" s="642"/>
      <c r="M140" s="642"/>
      <c r="N140"/>
      <c r="O140"/>
      <c r="P140"/>
      <c r="Q140"/>
      <c r="R140"/>
      <c r="S140"/>
      <c r="T140"/>
      <c r="U140"/>
      <c r="V140"/>
      <c r="W140"/>
      <c r="X140" s="642"/>
      <c r="Y140" s="642"/>
      <c r="Z140" s="642"/>
      <c r="AA140" s="642"/>
      <c r="AB140"/>
      <c r="AC140"/>
      <c r="AD140"/>
      <c r="AE140"/>
      <c r="AF140"/>
      <c r="AG140"/>
      <c r="AH140" s="642"/>
      <c r="AI140" s="642"/>
      <c r="AJ140" s="642"/>
    </row>
    <row r="141" spans="1:36" x14ac:dyDescent="0.2">
      <c r="A141" s="642"/>
      <c r="B141" s="642"/>
      <c r="C141"/>
      <c r="D141" s="642"/>
      <c r="E141" s="642"/>
      <c r="F141" s="642"/>
      <c r="G141" s="642"/>
      <c r="H141"/>
      <c r="I141"/>
      <c r="J141"/>
      <c r="K141"/>
      <c r="L141" s="642"/>
      <c r="M141" s="642"/>
      <c r="N141"/>
      <c r="O141"/>
      <c r="P141"/>
      <c r="Q141"/>
      <c r="R141"/>
      <c r="S141"/>
      <c r="T141"/>
      <c r="U141"/>
      <c r="V141"/>
      <c r="W141"/>
      <c r="X141" s="642"/>
      <c r="Y141" s="642"/>
      <c r="Z141" s="642"/>
      <c r="AA141" s="642"/>
      <c r="AB141"/>
      <c r="AC141"/>
      <c r="AD141"/>
      <c r="AE141"/>
      <c r="AF141"/>
      <c r="AG141"/>
      <c r="AH141" s="642"/>
      <c r="AI141" s="642"/>
      <c r="AJ141" s="642"/>
    </row>
    <row r="142" spans="1:36" x14ac:dyDescent="0.2">
      <c r="A142" s="642"/>
      <c r="B142" s="642"/>
      <c r="C142"/>
      <c r="D142" s="642"/>
      <c r="E142" s="642"/>
      <c r="F142" s="642"/>
      <c r="G142" s="642"/>
      <c r="H142"/>
      <c r="I142"/>
      <c r="J142"/>
      <c r="K142"/>
      <c r="L142" s="642"/>
      <c r="M142" s="642"/>
      <c r="N142"/>
      <c r="O142"/>
      <c r="P142"/>
      <c r="Q142"/>
      <c r="R142"/>
      <c r="S142"/>
      <c r="T142"/>
      <c r="U142"/>
      <c r="V142"/>
      <c r="W142"/>
      <c r="X142" s="642"/>
      <c r="Y142" s="642"/>
      <c r="Z142" s="642"/>
      <c r="AA142" s="642"/>
      <c r="AB142"/>
      <c r="AC142"/>
      <c r="AD142"/>
      <c r="AE142"/>
      <c r="AF142"/>
      <c r="AG142"/>
      <c r="AH142" s="642"/>
      <c r="AI142" s="642"/>
      <c r="AJ142" s="642"/>
    </row>
    <row r="143" spans="1:36" x14ac:dyDescent="0.2">
      <c r="A143" s="642"/>
      <c r="B143" s="642"/>
      <c r="C143"/>
      <c r="D143" s="642"/>
      <c r="E143" s="642"/>
      <c r="F143" s="642"/>
      <c r="G143" s="642"/>
      <c r="H143"/>
      <c r="I143"/>
      <c r="J143"/>
      <c r="K143"/>
      <c r="L143" s="642"/>
      <c r="M143" s="642"/>
      <c r="N143"/>
      <c r="O143"/>
      <c r="P143"/>
      <c r="Q143"/>
      <c r="R143"/>
      <c r="S143"/>
      <c r="T143"/>
      <c r="U143"/>
      <c r="V143"/>
      <c r="W143"/>
      <c r="X143" s="642"/>
      <c r="Y143" s="642"/>
      <c r="Z143" s="642"/>
      <c r="AA143" s="642"/>
      <c r="AB143"/>
      <c r="AC143"/>
      <c r="AD143"/>
      <c r="AE143"/>
      <c r="AF143"/>
      <c r="AG143"/>
      <c r="AH143" s="642"/>
      <c r="AI143" s="642"/>
      <c r="AJ143" s="642"/>
    </row>
    <row r="144" spans="1:36" x14ac:dyDescent="0.2">
      <c r="A144" s="642"/>
      <c r="B144" s="642"/>
      <c r="C144"/>
      <c r="D144" s="642"/>
      <c r="E144" s="642"/>
      <c r="F144" s="642"/>
      <c r="G144" s="642"/>
      <c r="H144"/>
      <c r="I144"/>
      <c r="J144"/>
      <c r="K144"/>
      <c r="L144" s="642"/>
      <c r="M144" s="642"/>
      <c r="N144"/>
      <c r="O144"/>
      <c r="P144"/>
      <c r="Q144"/>
      <c r="R144"/>
      <c r="S144"/>
      <c r="T144"/>
      <c r="U144"/>
      <c r="V144"/>
      <c r="W144"/>
      <c r="X144" s="642"/>
      <c r="Y144" s="642"/>
      <c r="Z144" s="642"/>
      <c r="AA144" s="642"/>
      <c r="AB144"/>
      <c r="AC144"/>
      <c r="AD144"/>
      <c r="AE144"/>
      <c r="AF144"/>
      <c r="AG144"/>
      <c r="AH144" s="642"/>
      <c r="AI144" s="642"/>
      <c r="AJ144" s="642"/>
    </row>
    <row r="145" spans="1:36" x14ac:dyDescent="0.2">
      <c r="A145" s="642"/>
      <c r="B145" s="642"/>
      <c r="C145"/>
      <c r="D145" s="642"/>
      <c r="E145" s="642"/>
      <c r="F145" s="642"/>
      <c r="G145" s="642"/>
      <c r="H145"/>
      <c r="I145"/>
      <c r="J145"/>
      <c r="K145"/>
      <c r="L145" s="642"/>
      <c r="M145" s="642"/>
      <c r="N145"/>
      <c r="O145"/>
      <c r="P145"/>
      <c r="Q145"/>
      <c r="R145"/>
      <c r="S145"/>
      <c r="T145"/>
      <c r="U145"/>
      <c r="V145"/>
      <c r="W145"/>
      <c r="X145" s="642"/>
      <c r="Y145" s="642"/>
      <c r="Z145" s="642"/>
      <c r="AA145" s="642"/>
      <c r="AB145"/>
      <c r="AC145"/>
      <c r="AD145"/>
      <c r="AE145"/>
      <c r="AF145"/>
      <c r="AG145"/>
      <c r="AH145" s="642"/>
      <c r="AI145" s="642"/>
      <c r="AJ145" s="642"/>
    </row>
    <row r="146" spans="1:36" x14ac:dyDescent="0.2">
      <c r="A146" s="642"/>
      <c r="B146" s="642"/>
      <c r="C146"/>
      <c r="D146" s="642"/>
      <c r="E146" s="642"/>
      <c r="F146" s="642"/>
      <c r="G146" s="642"/>
      <c r="H146"/>
      <c r="I146"/>
      <c r="J146"/>
      <c r="K146"/>
      <c r="L146" s="642"/>
      <c r="M146" s="642"/>
      <c r="N146"/>
      <c r="O146"/>
      <c r="P146"/>
      <c r="Q146"/>
      <c r="R146"/>
      <c r="S146"/>
      <c r="T146"/>
      <c r="U146"/>
      <c r="V146"/>
      <c r="W146"/>
      <c r="X146" s="642"/>
      <c r="Y146" s="642"/>
      <c r="Z146" s="642"/>
      <c r="AA146" s="642"/>
      <c r="AB146"/>
      <c r="AC146"/>
      <c r="AD146"/>
      <c r="AE146"/>
      <c r="AF146"/>
      <c r="AG146"/>
      <c r="AH146" s="642"/>
      <c r="AI146" s="642"/>
      <c r="AJ146" s="642"/>
    </row>
    <row r="147" spans="1:36" x14ac:dyDescent="0.2">
      <c r="A147" s="642"/>
      <c r="B147" s="642"/>
      <c r="C147"/>
      <c r="D147" s="642"/>
      <c r="E147" s="642"/>
      <c r="F147" s="642"/>
      <c r="G147" s="642"/>
      <c r="H147"/>
      <c r="I147"/>
      <c r="J147"/>
      <c r="K147"/>
      <c r="L147" s="642"/>
      <c r="M147" s="642"/>
      <c r="N147"/>
      <c r="O147"/>
      <c r="P147"/>
      <c r="Q147"/>
      <c r="R147"/>
      <c r="S147"/>
      <c r="T147"/>
      <c r="U147"/>
      <c r="V147"/>
      <c r="W147"/>
      <c r="X147" s="642"/>
      <c r="Y147" s="642"/>
      <c r="Z147" s="642"/>
      <c r="AA147" s="642"/>
      <c r="AB147"/>
      <c r="AC147"/>
      <c r="AD147"/>
      <c r="AE147"/>
      <c r="AF147"/>
      <c r="AG147"/>
      <c r="AH147" s="642"/>
      <c r="AI147" s="642"/>
      <c r="AJ147" s="642"/>
    </row>
    <row r="148" spans="1:36" x14ac:dyDescent="0.2">
      <c r="A148" s="642"/>
      <c r="B148" s="642"/>
      <c r="C148"/>
      <c r="D148" s="642"/>
      <c r="E148" s="642"/>
      <c r="F148" s="642"/>
      <c r="G148" s="642"/>
      <c r="H148"/>
      <c r="I148"/>
      <c r="J148"/>
      <c r="K148"/>
      <c r="L148" s="642"/>
      <c r="M148" s="642"/>
      <c r="N148"/>
      <c r="O148"/>
      <c r="P148"/>
      <c r="Q148"/>
      <c r="R148"/>
      <c r="S148"/>
      <c r="T148"/>
      <c r="U148"/>
      <c r="V148"/>
      <c r="W148"/>
      <c r="X148" s="642"/>
      <c r="Y148" s="642"/>
      <c r="Z148" s="642"/>
      <c r="AA148" s="642"/>
      <c r="AB148"/>
      <c r="AC148"/>
      <c r="AD148"/>
      <c r="AE148"/>
      <c r="AF148"/>
      <c r="AG148"/>
      <c r="AH148" s="642"/>
      <c r="AI148" s="642"/>
      <c r="AJ148" s="642"/>
    </row>
    <row r="149" spans="1:36" x14ac:dyDescent="0.2">
      <c r="A149" s="642"/>
      <c r="B149" s="642"/>
      <c r="C149"/>
      <c r="D149" s="642"/>
      <c r="E149" s="642"/>
      <c r="F149" s="642"/>
      <c r="G149" s="642"/>
      <c r="H149"/>
      <c r="I149"/>
      <c r="J149"/>
      <c r="K149"/>
      <c r="L149" s="642"/>
      <c r="M149" s="642"/>
      <c r="N149"/>
      <c r="O149"/>
      <c r="P149"/>
      <c r="Q149"/>
      <c r="R149"/>
      <c r="S149"/>
      <c r="T149"/>
      <c r="U149"/>
      <c r="V149"/>
      <c r="W149"/>
      <c r="X149" s="642"/>
      <c r="Y149" s="642"/>
      <c r="Z149" s="642"/>
      <c r="AA149" s="642"/>
      <c r="AB149"/>
      <c r="AC149"/>
      <c r="AD149"/>
      <c r="AE149"/>
      <c r="AF149"/>
      <c r="AG149"/>
      <c r="AH149" s="642"/>
      <c r="AI149" s="642"/>
      <c r="AJ149" s="642"/>
    </row>
    <row r="150" spans="1:36" x14ac:dyDescent="0.2">
      <c r="A150" s="642"/>
      <c r="B150" s="642"/>
      <c r="C150"/>
      <c r="D150" s="642"/>
      <c r="E150" s="642"/>
      <c r="F150" s="642"/>
      <c r="G150" s="642"/>
      <c r="H150"/>
      <c r="I150"/>
      <c r="J150"/>
      <c r="K150"/>
      <c r="L150" s="642"/>
      <c r="M150" s="642"/>
      <c r="N150"/>
      <c r="O150"/>
      <c r="P150"/>
      <c r="Q150"/>
      <c r="R150"/>
      <c r="S150"/>
      <c r="T150"/>
      <c r="U150"/>
      <c r="V150"/>
      <c r="W150"/>
      <c r="X150" s="642"/>
      <c r="Y150" s="642"/>
      <c r="Z150" s="642"/>
      <c r="AA150" s="642"/>
      <c r="AB150"/>
      <c r="AC150"/>
      <c r="AD150"/>
      <c r="AE150"/>
      <c r="AF150"/>
      <c r="AG150"/>
      <c r="AH150" s="642"/>
      <c r="AI150" s="642"/>
      <c r="AJ150" s="642"/>
    </row>
    <row r="151" spans="1:36" x14ac:dyDescent="0.2">
      <c r="A151" s="642"/>
      <c r="B151" s="642"/>
      <c r="C151"/>
      <c r="D151" s="642"/>
      <c r="E151" s="642"/>
      <c r="F151" s="642"/>
      <c r="G151" s="642"/>
      <c r="H151"/>
      <c r="I151"/>
      <c r="J151"/>
      <c r="K151"/>
      <c r="L151" s="642"/>
      <c r="M151" s="642"/>
      <c r="N151"/>
      <c r="O151"/>
      <c r="P151"/>
      <c r="Q151"/>
      <c r="R151"/>
      <c r="S151"/>
      <c r="T151"/>
      <c r="U151"/>
      <c r="V151"/>
      <c r="W151"/>
      <c r="X151" s="642"/>
      <c r="Y151" s="642"/>
      <c r="Z151" s="642"/>
      <c r="AA151" s="642"/>
      <c r="AB151"/>
      <c r="AC151"/>
      <c r="AD151"/>
      <c r="AE151"/>
      <c r="AF151"/>
      <c r="AG151"/>
      <c r="AH151" s="642"/>
      <c r="AI151" s="642"/>
      <c r="AJ151" s="642"/>
    </row>
    <row r="152" spans="1:36" x14ac:dyDescent="0.2">
      <c r="A152" s="642"/>
      <c r="B152" s="642"/>
      <c r="C152"/>
      <c r="D152" s="642"/>
      <c r="E152" s="642"/>
      <c r="F152" s="642"/>
      <c r="G152" s="642"/>
      <c r="H152"/>
      <c r="I152"/>
      <c r="J152"/>
      <c r="K152"/>
      <c r="L152" s="642"/>
      <c r="M152" s="642"/>
      <c r="N152"/>
      <c r="O152"/>
      <c r="P152"/>
      <c r="Q152"/>
      <c r="R152"/>
      <c r="S152"/>
      <c r="T152"/>
      <c r="U152"/>
      <c r="V152"/>
      <c r="W152"/>
      <c r="X152" s="642"/>
      <c r="Y152" s="642"/>
      <c r="Z152" s="642"/>
      <c r="AA152" s="642"/>
      <c r="AB152"/>
      <c r="AC152"/>
      <c r="AD152"/>
      <c r="AE152"/>
      <c r="AF152"/>
      <c r="AG152"/>
      <c r="AH152" s="642"/>
      <c r="AI152" s="642"/>
      <c r="AJ152" s="642"/>
    </row>
    <row r="153" spans="1:36" x14ac:dyDescent="0.2">
      <c r="A153" s="642"/>
      <c r="B153" s="642"/>
      <c r="C153"/>
      <c r="D153" s="642"/>
      <c r="E153" s="642"/>
      <c r="F153" s="642"/>
      <c r="G153" s="642"/>
      <c r="H153"/>
      <c r="I153"/>
      <c r="J153"/>
      <c r="K153"/>
      <c r="L153" s="642"/>
      <c r="M153" s="642"/>
      <c r="N153"/>
      <c r="O153"/>
      <c r="P153"/>
      <c r="Q153"/>
      <c r="R153"/>
      <c r="S153"/>
      <c r="T153"/>
      <c r="U153"/>
      <c r="V153"/>
      <c r="W153"/>
      <c r="X153" s="642"/>
      <c r="Y153" s="642"/>
      <c r="Z153" s="642"/>
      <c r="AA153" s="642"/>
      <c r="AB153"/>
      <c r="AC153"/>
      <c r="AD153"/>
      <c r="AE153"/>
      <c r="AF153"/>
      <c r="AG153"/>
      <c r="AH153" s="642"/>
      <c r="AI153" s="642"/>
      <c r="AJ153" s="642"/>
    </row>
    <row r="154" spans="1:36" x14ac:dyDescent="0.2">
      <c r="A154" s="642"/>
      <c r="B154" s="642"/>
      <c r="C154"/>
      <c r="D154" s="642"/>
      <c r="E154" s="642"/>
      <c r="F154" s="642"/>
      <c r="G154" s="642"/>
      <c r="H154"/>
      <c r="I154"/>
      <c r="J154"/>
      <c r="K154"/>
      <c r="L154" s="642"/>
      <c r="M154" s="642"/>
      <c r="N154"/>
      <c r="O154"/>
      <c r="P154"/>
      <c r="Q154"/>
      <c r="R154"/>
      <c r="S154"/>
      <c r="T154"/>
      <c r="U154"/>
      <c r="V154"/>
      <c r="W154"/>
      <c r="X154" s="642"/>
      <c r="Y154" s="642"/>
      <c r="Z154" s="642"/>
      <c r="AA154" s="642"/>
      <c r="AB154"/>
      <c r="AC154"/>
      <c r="AD154"/>
      <c r="AE154"/>
      <c r="AF154"/>
      <c r="AG154"/>
      <c r="AH154" s="642"/>
      <c r="AI154" s="642"/>
      <c r="AJ154" s="642"/>
    </row>
    <row r="155" spans="1:36" x14ac:dyDescent="0.2">
      <c r="A155" s="642"/>
      <c r="B155" s="642"/>
      <c r="C155"/>
      <c r="D155" s="642"/>
      <c r="E155" s="642"/>
      <c r="F155" s="642"/>
      <c r="G155" s="642"/>
      <c r="H155"/>
      <c r="I155"/>
      <c r="J155"/>
      <c r="K155"/>
      <c r="L155" s="642"/>
      <c r="M155" s="642"/>
      <c r="N155"/>
      <c r="O155"/>
      <c r="P155"/>
      <c r="Q155"/>
      <c r="R155"/>
      <c r="S155"/>
      <c r="T155"/>
      <c r="U155"/>
      <c r="V155"/>
      <c r="W155"/>
      <c r="X155" s="642"/>
      <c r="Y155" s="642"/>
      <c r="Z155" s="642"/>
      <c r="AA155" s="642"/>
      <c r="AB155"/>
      <c r="AC155"/>
      <c r="AD155"/>
      <c r="AE155"/>
      <c r="AF155"/>
      <c r="AG155"/>
      <c r="AH155" s="642"/>
      <c r="AI155" s="642"/>
      <c r="AJ155" s="642"/>
    </row>
    <row r="156" spans="1:36" x14ac:dyDescent="0.2">
      <c r="A156" s="642"/>
      <c r="B156" s="642"/>
      <c r="C156"/>
      <c r="D156" s="642"/>
      <c r="E156" s="642"/>
      <c r="F156" s="642"/>
      <c r="G156" s="642"/>
      <c r="H156"/>
      <c r="I156"/>
      <c r="J156"/>
      <c r="K156"/>
      <c r="L156" s="642"/>
      <c r="M156" s="642"/>
      <c r="N156"/>
      <c r="O156"/>
      <c r="P156"/>
      <c r="Q156"/>
      <c r="R156"/>
      <c r="S156"/>
      <c r="T156"/>
      <c r="U156"/>
      <c r="V156"/>
      <c r="W156"/>
      <c r="X156" s="642"/>
      <c r="Y156" s="642"/>
      <c r="Z156" s="642"/>
      <c r="AA156" s="642"/>
      <c r="AB156"/>
      <c r="AC156"/>
      <c r="AD156"/>
      <c r="AE156"/>
      <c r="AF156"/>
      <c r="AG156"/>
      <c r="AH156" s="642"/>
      <c r="AI156" s="642"/>
      <c r="AJ156" s="642"/>
    </row>
    <row r="157" spans="1:36" x14ac:dyDescent="0.2">
      <c r="A157" s="642"/>
      <c r="B157" s="642"/>
      <c r="C157"/>
      <c r="D157" s="642"/>
      <c r="E157" s="642"/>
      <c r="F157" s="642"/>
      <c r="G157" s="642"/>
      <c r="H157"/>
      <c r="I157"/>
      <c r="J157"/>
      <c r="K157"/>
      <c r="L157" s="642"/>
      <c r="M157" s="642"/>
      <c r="N157"/>
      <c r="O157"/>
      <c r="P157"/>
      <c r="Q157"/>
      <c r="R157"/>
      <c r="S157"/>
      <c r="T157"/>
      <c r="U157"/>
      <c r="V157"/>
      <c r="W157"/>
      <c r="X157" s="642"/>
      <c r="Y157" s="642"/>
      <c r="Z157" s="642"/>
      <c r="AA157" s="642"/>
      <c r="AB157"/>
      <c r="AC157"/>
      <c r="AD157"/>
      <c r="AE157"/>
      <c r="AF157"/>
      <c r="AG157"/>
      <c r="AH157" s="642"/>
      <c r="AI157" s="642"/>
      <c r="AJ157" s="642"/>
    </row>
    <row r="158" spans="1:36" x14ac:dyDescent="0.2">
      <c r="A158" s="642"/>
      <c r="B158" s="642"/>
      <c r="C158"/>
      <c r="D158" s="642"/>
      <c r="E158" s="642"/>
      <c r="F158" s="642"/>
      <c r="G158" s="642"/>
      <c r="H158"/>
      <c r="I158"/>
      <c r="J158"/>
      <c r="K158"/>
      <c r="L158" s="642"/>
      <c r="M158" s="642"/>
      <c r="N158"/>
      <c r="O158"/>
      <c r="P158"/>
      <c r="Q158"/>
      <c r="R158"/>
      <c r="S158"/>
      <c r="T158"/>
      <c r="U158"/>
      <c r="V158"/>
      <c r="W158"/>
      <c r="X158" s="642"/>
      <c r="Y158" s="642"/>
      <c r="Z158" s="642"/>
      <c r="AA158" s="642"/>
      <c r="AB158"/>
      <c r="AC158"/>
      <c r="AD158"/>
      <c r="AE158"/>
      <c r="AF158"/>
      <c r="AG158"/>
      <c r="AH158" s="642"/>
      <c r="AI158" s="642"/>
      <c r="AJ158" s="642"/>
    </row>
    <row r="159" spans="1:36" x14ac:dyDescent="0.2">
      <c r="A159" s="642"/>
      <c r="B159" s="642"/>
      <c r="C159"/>
      <c r="D159" s="642"/>
      <c r="E159" s="642"/>
      <c r="F159" s="642"/>
      <c r="G159" s="642"/>
      <c r="H159"/>
      <c r="I159"/>
      <c r="J159"/>
      <c r="K159"/>
      <c r="L159" s="642"/>
      <c r="M159" s="642"/>
      <c r="N159"/>
      <c r="O159"/>
      <c r="P159"/>
      <c r="Q159"/>
      <c r="R159"/>
      <c r="S159"/>
      <c r="T159"/>
      <c r="U159"/>
      <c r="V159"/>
      <c r="W159"/>
      <c r="X159" s="642"/>
      <c r="Y159" s="642"/>
      <c r="Z159" s="642"/>
      <c r="AA159" s="642"/>
      <c r="AB159"/>
      <c r="AC159"/>
      <c r="AD159"/>
      <c r="AE159"/>
      <c r="AF159"/>
      <c r="AG159"/>
      <c r="AH159" s="642"/>
      <c r="AI159" s="642"/>
      <c r="AJ159" s="642"/>
    </row>
    <row r="160" spans="1:36" x14ac:dyDescent="0.2">
      <c r="A160" s="642"/>
      <c r="B160" s="642"/>
      <c r="C160"/>
      <c r="D160" s="642"/>
      <c r="E160" s="642"/>
      <c r="F160" s="642"/>
      <c r="G160" s="642"/>
      <c r="H160"/>
      <c r="I160"/>
      <c r="J160"/>
      <c r="K160"/>
      <c r="L160" s="642"/>
      <c r="M160" s="642"/>
      <c r="N160"/>
      <c r="O160"/>
      <c r="P160"/>
      <c r="Q160"/>
      <c r="R160"/>
      <c r="S160"/>
      <c r="T160"/>
      <c r="U160"/>
      <c r="V160"/>
      <c r="W160"/>
      <c r="X160" s="642"/>
      <c r="Y160" s="642"/>
      <c r="Z160" s="642"/>
      <c r="AA160" s="642"/>
      <c r="AB160"/>
      <c r="AC160"/>
      <c r="AD160"/>
      <c r="AE160"/>
      <c r="AF160"/>
      <c r="AG160"/>
      <c r="AH160" s="642"/>
      <c r="AI160" s="642"/>
      <c r="AJ160" s="642"/>
    </row>
    <row r="161" spans="1:36" x14ac:dyDescent="0.2">
      <c r="A161" s="642"/>
      <c r="B161" s="642"/>
      <c r="C161"/>
      <c r="D161" s="642"/>
      <c r="E161" s="642"/>
      <c r="F161" s="642"/>
      <c r="G161" s="642"/>
      <c r="H161"/>
      <c r="I161"/>
      <c r="J161"/>
      <c r="K161"/>
      <c r="L161" s="642"/>
      <c r="M161" s="642"/>
      <c r="N161"/>
      <c r="O161"/>
      <c r="P161"/>
      <c r="Q161"/>
      <c r="R161"/>
      <c r="S161"/>
      <c r="T161"/>
      <c r="U161"/>
      <c r="V161"/>
      <c r="W161"/>
      <c r="X161" s="642"/>
      <c r="Y161" s="642"/>
      <c r="Z161" s="642"/>
      <c r="AA161" s="642"/>
      <c r="AB161"/>
      <c r="AC161"/>
      <c r="AD161"/>
      <c r="AE161"/>
      <c r="AF161"/>
      <c r="AG161"/>
      <c r="AH161" s="642"/>
      <c r="AI161" s="642"/>
      <c r="AJ161" s="642"/>
    </row>
    <row r="162" spans="1:36" x14ac:dyDescent="0.2">
      <c r="A162" s="642"/>
      <c r="B162" s="642"/>
      <c r="C162"/>
      <c r="D162" s="642"/>
      <c r="E162" s="642"/>
      <c r="F162" s="642"/>
      <c r="G162" s="642"/>
      <c r="H162"/>
      <c r="I162"/>
      <c r="J162"/>
      <c r="K162"/>
      <c r="L162" s="642"/>
      <c r="M162" s="642"/>
      <c r="N162"/>
      <c r="O162"/>
      <c r="P162"/>
      <c r="Q162"/>
      <c r="R162"/>
      <c r="S162"/>
      <c r="T162"/>
      <c r="U162"/>
      <c r="V162"/>
      <c r="W162"/>
      <c r="X162" s="642"/>
      <c r="Y162" s="642"/>
      <c r="Z162" s="642"/>
      <c r="AA162" s="642"/>
      <c r="AB162"/>
      <c r="AC162"/>
      <c r="AD162"/>
      <c r="AE162"/>
      <c r="AF162"/>
      <c r="AG162"/>
      <c r="AH162" s="642"/>
      <c r="AI162" s="642"/>
      <c r="AJ162" s="642"/>
    </row>
    <row r="163" spans="1:36" x14ac:dyDescent="0.2">
      <c r="A163" s="642"/>
      <c r="B163" s="642"/>
      <c r="C163"/>
      <c r="D163" s="642"/>
      <c r="E163" s="642"/>
      <c r="F163" s="642"/>
      <c r="G163" s="642"/>
      <c r="H163"/>
      <c r="I163"/>
      <c r="J163"/>
      <c r="K163"/>
      <c r="L163" s="642"/>
      <c r="M163" s="642"/>
      <c r="N163"/>
      <c r="O163"/>
      <c r="P163"/>
      <c r="Q163"/>
      <c r="R163"/>
      <c r="S163"/>
      <c r="T163"/>
      <c r="U163"/>
      <c r="V163"/>
      <c r="W163"/>
      <c r="X163" s="642"/>
      <c r="Y163" s="642"/>
      <c r="Z163" s="642"/>
      <c r="AA163" s="642"/>
      <c r="AB163"/>
      <c r="AC163"/>
      <c r="AD163"/>
      <c r="AE163"/>
      <c r="AF163"/>
      <c r="AG163"/>
      <c r="AH163" s="642"/>
      <c r="AI163" s="642"/>
      <c r="AJ163" s="642"/>
    </row>
    <row r="164" spans="1:36" x14ac:dyDescent="0.2">
      <c r="A164" s="642"/>
      <c r="B164" s="642"/>
      <c r="C164"/>
      <c r="D164" s="642"/>
      <c r="E164" s="642"/>
      <c r="F164" s="642"/>
      <c r="G164" s="642"/>
      <c r="H164"/>
      <c r="I164"/>
      <c r="J164"/>
      <c r="K164"/>
      <c r="L164" s="642"/>
      <c r="M164" s="642"/>
      <c r="N164"/>
      <c r="O164"/>
      <c r="P164"/>
      <c r="Q164"/>
      <c r="R164"/>
      <c r="S164"/>
      <c r="T164"/>
      <c r="U164"/>
      <c r="V164"/>
      <c r="W164"/>
      <c r="X164" s="642"/>
      <c r="Y164" s="642"/>
      <c r="Z164" s="642"/>
      <c r="AA164" s="642"/>
      <c r="AB164"/>
      <c r="AC164"/>
      <c r="AD164"/>
      <c r="AE164"/>
      <c r="AF164"/>
      <c r="AG164"/>
      <c r="AH164" s="642"/>
      <c r="AI164" s="642"/>
      <c r="AJ164" s="642"/>
    </row>
    <row r="165" spans="1:36" x14ac:dyDescent="0.2">
      <c r="A165" s="642"/>
      <c r="B165" s="642"/>
      <c r="C165"/>
      <c r="D165" s="642"/>
      <c r="E165" s="642"/>
      <c r="F165" s="642"/>
      <c r="G165" s="642"/>
      <c r="H165"/>
      <c r="I165"/>
      <c r="J165"/>
      <c r="K165"/>
      <c r="L165" s="642"/>
      <c r="M165" s="642"/>
      <c r="N165"/>
      <c r="O165"/>
      <c r="P165"/>
      <c r="Q165"/>
      <c r="R165"/>
      <c r="S165"/>
      <c r="T165"/>
      <c r="U165"/>
      <c r="V165"/>
      <c r="W165"/>
      <c r="X165" s="642"/>
      <c r="Y165" s="642"/>
      <c r="Z165" s="642"/>
      <c r="AA165" s="642"/>
      <c r="AB165"/>
      <c r="AC165"/>
      <c r="AD165"/>
      <c r="AE165"/>
      <c r="AF165"/>
      <c r="AG165"/>
      <c r="AH165" s="642"/>
      <c r="AI165" s="642"/>
      <c r="AJ165" s="642"/>
    </row>
    <row r="166" spans="1:36" x14ac:dyDescent="0.2">
      <c r="A166" s="642"/>
      <c r="B166" s="642"/>
      <c r="C166"/>
      <c r="D166" s="642"/>
      <c r="E166" s="642"/>
      <c r="F166" s="642"/>
      <c r="G166" s="642"/>
      <c r="H166"/>
      <c r="I166"/>
      <c r="J166"/>
      <c r="K166"/>
      <c r="L166" s="642"/>
      <c r="M166" s="642"/>
      <c r="N166"/>
      <c r="O166"/>
      <c r="P166"/>
      <c r="Q166"/>
      <c r="R166"/>
      <c r="S166"/>
      <c r="T166"/>
      <c r="U166"/>
      <c r="V166"/>
      <c r="W166"/>
      <c r="X166" s="642"/>
      <c r="Y166" s="642"/>
      <c r="Z166" s="642"/>
      <c r="AA166" s="642"/>
      <c r="AB166"/>
      <c r="AC166"/>
      <c r="AD166"/>
      <c r="AE166"/>
      <c r="AF166"/>
      <c r="AG166"/>
      <c r="AH166" s="642"/>
      <c r="AI166" s="642"/>
      <c r="AJ166" s="642"/>
    </row>
    <row r="167" spans="1:36" x14ac:dyDescent="0.2">
      <c r="A167" s="642"/>
      <c r="B167" s="642"/>
      <c r="C167"/>
      <c r="D167" s="642"/>
      <c r="E167" s="642"/>
      <c r="F167" s="642"/>
      <c r="G167" s="642"/>
      <c r="H167"/>
      <c r="I167"/>
      <c r="J167"/>
      <c r="K167"/>
      <c r="L167" s="642"/>
      <c r="M167" s="642"/>
      <c r="N167"/>
      <c r="O167"/>
      <c r="P167"/>
      <c r="Q167"/>
      <c r="R167"/>
      <c r="S167"/>
      <c r="T167"/>
      <c r="U167"/>
      <c r="V167"/>
      <c r="W167"/>
      <c r="X167" s="642"/>
      <c r="Y167" s="642"/>
      <c r="Z167" s="642"/>
      <c r="AA167" s="642"/>
      <c r="AB167"/>
      <c r="AC167"/>
      <c r="AD167"/>
      <c r="AE167"/>
      <c r="AF167"/>
      <c r="AG167"/>
      <c r="AH167" s="642"/>
      <c r="AI167" s="642"/>
      <c r="AJ167" s="642"/>
    </row>
    <row r="168" spans="1:36" x14ac:dyDescent="0.2">
      <c r="A168" s="642"/>
      <c r="B168" s="642"/>
      <c r="C168"/>
      <c r="D168" s="642"/>
      <c r="E168" s="642"/>
      <c r="F168" s="642"/>
      <c r="G168" s="642"/>
      <c r="H168"/>
      <c r="I168"/>
      <c r="J168"/>
      <c r="K168"/>
      <c r="L168" s="642"/>
      <c r="M168" s="642"/>
      <c r="N168"/>
      <c r="O168"/>
      <c r="P168"/>
      <c r="Q168"/>
      <c r="R168"/>
      <c r="S168"/>
      <c r="T168"/>
      <c r="U168"/>
      <c r="V168"/>
      <c r="W168"/>
      <c r="X168" s="642"/>
      <c r="Y168" s="642"/>
      <c r="Z168" s="642"/>
      <c r="AA168" s="642"/>
      <c r="AB168"/>
      <c r="AC168"/>
      <c r="AD168"/>
      <c r="AE168"/>
      <c r="AF168"/>
      <c r="AG168"/>
      <c r="AH168" s="642"/>
      <c r="AI168" s="642"/>
      <c r="AJ168" s="642"/>
    </row>
    <row r="169" spans="1:36" x14ac:dyDescent="0.2">
      <c r="A169" s="642"/>
      <c r="B169" s="642"/>
      <c r="C169"/>
      <c r="D169" s="642"/>
      <c r="E169" s="642"/>
      <c r="F169" s="642"/>
      <c r="G169" s="642"/>
      <c r="H169"/>
      <c r="I169"/>
      <c r="J169"/>
      <c r="K169"/>
      <c r="L169" s="642"/>
      <c r="M169" s="642"/>
      <c r="N169"/>
      <c r="O169"/>
      <c r="P169"/>
      <c r="Q169"/>
      <c r="R169"/>
      <c r="S169"/>
      <c r="T169"/>
      <c r="U169"/>
      <c r="V169"/>
      <c r="W169"/>
      <c r="X169" s="642"/>
      <c r="Y169" s="642"/>
      <c r="Z169" s="642"/>
      <c r="AA169" s="642"/>
      <c r="AB169"/>
      <c r="AC169"/>
      <c r="AD169"/>
      <c r="AE169"/>
      <c r="AF169"/>
      <c r="AG169"/>
      <c r="AH169" s="642"/>
      <c r="AI169" s="642"/>
      <c r="AJ169" s="642"/>
    </row>
    <row r="170" spans="1:36" x14ac:dyDescent="0.2">
      <c r="A170" s="642"/>
      <c r="B170" s="642"/>
      <c r="C170"/>
      <c r="D170" s="642"/>
      <c r="E170" s="642"/>
      <c r="F170" s="642"/>
      <c r="G170" s="642"/>
      <c r="H170"/>
      <c r="I170"/>
      <c r="J170"/>
      <c r="K170"/>
      <c r="L170" s="642"/>
      <c r="M170" s="642"/>
      <c r="N170"/>
      <c r="O170"/>
      <c r="P170"/>
      <c r="Q170"/>
      <c r="R170"/>
      <c r="S170"/>
      <c r="T170"/>
      <c r="U170"/>
      <c r="V170"/>
      <c r="W170"/>
      <c r="X170" s="642"/>
      <c r="Y170" s="642"/>
      <c r="Z170" s="642"/>
      <c r="AA170" s="642"/>
      <c r="AB170"/>
      <c r="AD170"/>
      <c r="AE170"/>
      <c r="AF170"/>
      <c r="AG170"/>
      <c r="AH170" s="642"/>
      <c r="AI170" s="642"/>
      <c r="AJ170" s="642"/>
    </row>
    <row r="171" spans="1:36" x14ac:dyDescent="0.2">
      <c r="A171" s="642"/>
      <c r="B171" s="642"/>
      <c r="C171"/>
      <c r="D171" s="642"/>
      <c r="E171" s="642"/>
      <c r="F171" s="642"/>
      <c r="G171" s="642"/>
      <c r="H171"/>
      <c r="I171"/>
      <c r="J171"/>
      <c r="K171"/>
      <c r="L171" s="642"/>
      <c r="M171" s="642"/>
      <c r="N171"/>
      <c r="O171"/>
      <c r="P171"/>
      <c r="Q171"/>
      <c r="R171"/>
      <c r="S171"/>
      <c r="T171"/>
      <c r="U171"/>
      <c r="V171"/>
      <c r="W171"/>
      <c r="X171" s="642"/>
      <c r="Y171" s="642"/>
      <c r="Z171" s="642"/>
      <c r="AA171" s="642"/>
      <c r="AB171"/>
      <c r="AC171"/>
      <c r="AD171"/>
      <c r="AE171"/>
      <c r="AF171"/>
      <c r="AG171"/>
      <c r="AH171" s="642"/>
      <c r="AI171" s="642"/>
      <c r="AJ171" s="642"/>
    </row>
    <row r="172" spans="1:36" x14ac:dyDescent="0.2">
      <c r="A172" s="642"/>
      <c r="B172" s="642"/>
      <c r="C172"/>
      <c r="D172" s="642"/>
      <c r="E172" s="642"/>
      <c r="F172" s="642"/>
      <c r="G172" s="642"/>
      <c r="H172"/>
      <c r="I172"/>
      <c r="J172"/>
      <c r="K172"/>
      <c r="L172" s="642"/>
      <c r="M172" s="642"/>
      <c r="N172"/>
      <c r="O172"/>
      <c r="P172"/>
      <c r="Q172"/>
      <c r="R172"/>
      <c r="S172"/>
      <c r="T172"/>
      <c r="U172"/>
      <c r="V172"/>
      <c r="W172"/>
      <c r="X172" s="642"/>
      <c r="Y172" s="642"/>
      <c r="Z172" s="642"/>
      <c r="AA172" s="642"/>
      <c r="AB172"/>
      <c r="AC172"/>
      <c r="AD172"/>
      <c r="AE172"/>
      <c r="AF172"/>
      <c r="AG172"/>
      <c r="AH172" s="642"/>
      <c r="AI172" s="642"/>
      <c r="AJ172" s="642"/>
    </row>
    <row r="173" spans="1:36" x14ac:dyDescent="0.2">
      <c r="A173" s="642"/>
      <c r="B173" s="642"/>
      <c r="C173"/>
      <c r="D173" s="642"/>
      <c r="E173" s="642"/>
      <c r="F173" s="642"/>
      <c r="G173" s="642"/>
      <c r="H173"/>
      <c r="I173"/>
      <c r="J173"/>
      <c r="K173"/>
      <c r="L173" s="642"/>
      <c r="M173" s="642"/>
      <c r="N173"/>
      <c r="O173"/>
      <c r="P173"/>
      <c r="Q173"/>
      <c r="R173"/>
      <c r="S173"/>
      <c r="T173"/>
      <c r="U173"/>
      <c r="V173"/>
      <c r="W173"/>
      <c r="X173" s="642"/>
      <c r="Y173" s="642"/>
      <c r="Z173" s="642"/>
      <c r="AA173" s="642"/>
      <c r="AG173"/>
      <c r="AH173" s="642"/>
      <c r="AI173" s="642"/>
      <c r="AJ173" s="642"/>
    </row>
    <row r="174" spans="1:36" x14ac:dyDescent="0.2">
      <c r="A174" s="642"/>
      <c r="B174" s="642"/>
      <c r="C174"/>
      <c r="D174" s="642"/>
      <c r="E174" s="642"/>
      <c r="F174" s="642"/>
      <c r="G174" s="642"/>
      <c r="H174"/>
      <c r="I174"/>
      <c r="J174"/>
      <c r="K174"/>
      <c r="L174" s="642"/>
      <c r="M174" s="642"/>
      <c r="N174"/>
      <c r="O174"/>
      <c r="P174"/>
      <c r="Q174"/>
      <c r="R174"/>
      <c r="S174"/>
      <c r="T174"/>
      <c r="U174"/>
      <c r="V174"/>
      <c r="W174"/>
      <c r="X174" s="642"/>
      <c r="Y174" s="642"/>
      <c r="Z174" s="642"/>
      <c r="AA174" s="642"/>
      <c r="AB174"/>
      <c r="AC174"/>
      <c r="AD174"/>
      <c r="AE174"/>
      <c r="AF174"/>
      <c r="AG174"/>
      <c r="AH174" s="642"/>
      <c r="AI174" s="642"/>
      <c r="AJ174" s="642"/>
    </row>
    <row r="175" spans="1:36" x14ac:dyDescent="0.2">
      <c r="A175" s="642"/>
      <c r="B175" s="642"/>
      <c r="C175"/>
      <c r="D175" s="642"/>
      <c r="E175" s="642"/>
      <c r="F175" s="642"/>
      <c r="G175" s="642"/>
      <c r="H175"/>
      <c r="I175"/>
      <c r="J175"/>
      <c r="K175"/>
      <c r="L175" s="642"/>
      <c r="M175" s="642"/>
      <c r="N175"/>
      <c r="O175"/>
      <c r="P175"/>
      <c r="Q175"/>
      <c r="R175"/>
      <c r="S175"/>
      <c r="T175"/>
      <c r="U175"/>
      <c r="V175"/>
      <c r="W175"/>
      <c r="X175" s="642"/>
      <c r="Y175" s="642"/>
      <c r="Z175" s="642"/>
      <c r="AA175" s="642"/>
      <c r="AB175"/>
      <c r="AC175"/>
      <c r="AD175"/>
      <c r="AE175"/>
      <c r="AF175"/>
      <c r="AG175"/>
      <c r="AH175" s="642"/>
      <c r="AI175" s="642"/>
      <c r="AJ175" s="642"/>
    </row>
    <row r="176" spans="1:36" x14ac:dyDescent="0.2">
      <c r="A176" s="642"/>
      <c r="B176" s="642"/>
      <c r="C176"/>
      <c r="D176" s="642"/>
      <c r="E176" s="642"/>
      <c r="F176" s="642"/>
      <c r="G176" s="642"/>
      <c r="H176"/>
      <c r="I176"/>
      <c r="J176"/>
      <c r="K176"/>
      <c r="L176" s="642"/>
      <c r="M176" s="642"/>
      <c r="N176"/>
      <c r="O176"/>
      <c r="P176"/>
      <c r="Q176"/>
      <c r="R176"/>
      <c r="S176"/>
      <c r="T176"/>
      <c r="U176"/>
      <c r="V176"/>
      <c r="W176"/>
      <c r="X176" s="642"/>
      <c r="Y176" s="642"/>
      <c r="Z176" s="642"/>
      <c r="AA176" s="642"/>
      <c r="AB176"/>
      <c r="AC176"/>
      <c r="AD176"/>
      <c r="AE176"/>
      <c r="AF176"/>
      <c r="AG176"/>
      <c r="AH176" s="642"/>
      <c r="AI176" s="642"/>
      <c r="AJ176" s="642"/>
    </row>
    <row r="177" spans="1:36" x14ac:dyDescent="0.2">
      <c r="A177" s="642"/>
      <c r="B177" s="642"/>
      <c r="C177"/>
      <c r="D177" s="642"/>
      <c r="E177" s="642"/>
      <c r="F177" s="642"/>
      <c r="G177" s="642"/>
      <c r="H177"/>
      <c r="I177"/>
      <c r="J177"/>
      <c r="K177"/>
      <c r="L177" s="642"/>
      <c r="M177" s="642"/>
      <c r="N177"/>
      <c r="O177"/>
      <c r="P177"/>
      <c r="Q177"/>
      <c r="R177"/>
      <c r="S177"/>
      <c r="T177"/>
      <c r="U177"/>
      <c r="V177"/>
      <c r="W177"/>
      <c r="X177" s="642"/>
      <c r="Y177" s="642"/>
      <c r="Z177" s="642"/>
      <c r="AA177" s="642"/>
      <c r="AB177"/>
      <c r="AC177"/>
      <c r="AD177"/>
      <c r="AE177"/>
      <c r="AF177"/>
      <c r="AG177"/>
      <c r="AH177" s="642"/>
      <c r="AI177" s="642"/>
      <c r="AJ177" s="642"/>
    </row>
    <row r="178" spans="1:36" x14ac:dyDescent="0.2">
      <c r="A178" s="642"/>
      <c r="B178" s="642"/>
      <c r="C178"/>
      <c r="D178" s="642"/>
      <c r="E178" s="642"/>
      <c r="F178" s="642"/>
      <c r="G178" s="642"/>
      <c r="H178"/>
      <c r="I178"/>
      <c r="J178"/>
      <c r="K178"/>
      <c r="L178" s="642"/>
      <c r="M178" s="642"/>
      <c r="N178"/>
      <c r="O178"/>
      <c r="P178"/>
      <c r="Q178"/>
      <c r="R178"/>
      <c r="S178"/>
      <c r="T178"/>
      <c r="U178"/>
      <c r="V178"/>
      <c r="W178"/>
      <c r="X178" s="642"/>
      <c r="Y178" s="642"/>
      <c r="Z178" s="642"/>
      <c r="AA178" s="642"/>
      <c r="AB178"/>
      <c r="AC178"/>
      <c r="AD178"/>
      <c r="AE178"/>
      <c r="AF178"/>
      <c r="AG178"/>
      <c r="AH178" s="642"/>
      <c r="AI178" s="642"/>
      <c r="AJ178" s="642"/>
    </row>
    <row r="179" spans="1:36" x14ac:dyDescent="0.2">
      <c r="A179" s="642"/>
      <c r="B179" s="642"/>
      <c r="C179"/>
      <c r="D179" s="642"/>
      <c r="E179" s="642"/>
      <c r="F179" s="642"/>
      <c r="G179" s="642"/>
      <c r="H179"/>
      <c r="I179"/>
      <c r="J179"/>
      <c r="K179"/>
      <c r="L179" s="642"/>
      <c r="M179" s="642"/>
      <c r="N179"/>
      <c r="O179"/>
      <c r="P179"/>
      <c r="Q179"/>
      <c r="R179"/>
      <c r="S179"/>
      <c r="T179"/>
      <c r="U179"/>
      <c r="V179"/>
      <c r="W179"/>
      <c r="X179" s="642"/>
      <c r="Y179" s="642"/>
      <c r="Z179" s="642"/>
      <c r="AA179" s="642"/>
      <c r="AB179"/>
      <c r="AC179"/>
      <c r="AD179"/>
      <c r="AE179"/>
      <c r="AF179"/>
      <c r="AG179"/>
      <c r="AH179" s="642"/>
      <c r="AI179" s="642"/>
      <c r="AJ179" s="642"/>
    </row>
    <row r="180" spans="1:36" x14ac:dyDescent="0.2">
      <c r="A180" s="642"/>
      <c r="B180" s="642"/>
      <c r="C180"/>
      <c r="D180" s="642"/>
      <c r="E180" s="642"/>
      <c r="F180" s="642"/>
      <c r="G180" s="642"/>
      <c r="H180"/>
      <c r="I180"/>
      <c r="J180"/>
      <c r="K180"/>
      <c r="L180" s="642"/>
      <c r="M180" s="642"/>
      <c r="N180"/>
      <c r="O180"/>
      <c r="P180"/>
      <c r="Q180"/>
      <c r="R180"/>
      <c r="S180"/>
      <c r="T180"/>
      <c r="U180"/>
      <c r="V180"/>
      <c r="W180"/>
      <c r="X180" s="642"/>
      <c r="Y180" s="642"/>
      <c r="Z180" s="642"/>
      <c r="AA180" s="642"/>
      <c r="AB180"/>
      <c r="AC180"/>
      <c r="AD180"/>
      <c r="AE180"/>
      <c r="AF180"/>
      <c r="AG180"/>
      <c r="AH180" s="642"/>
      <c r="AI180" s="642"/>
      <c r="AJ180" s="642"/>
    </row>
    <row r="181" spans="1:36" x14ac:dyDescent="0.2">
      <c r="A181" s="642"/>
      <c r="B181" s="642"/>
      <c r="C181"/>
      <c r="D181" s="642"/>
      <c r="E181" s="642"/>
      <c r="F181" s="642"/>
      <c r="G181" s="642"/>
      <c r="H181"/>
      <c r="I181"/>
      <c r="J181"/>
      <c r="K181"/>
      <c r="L181" s="642"/>
      <c r="M181" s="642"/>
      <c r="N181"/>
      <c r="O181"/>
      <c r="P181"/>
      <c r="Q181"/>
      <c r="R181"/>
      <c r="S181"/>
      <c r="T181"/>
      <c r="U181"/>
      <c r="V181"/>
      <c r="W181"/>
      <c r="X181" s="642"/>
      <c r="Y181" s="642"/>
      <c r="Z181" s="642"/>
      <c r="AA181" s="642"/>
      <c r="AB181"/>
      <c r="AC181"/>
      <c r="AD181"/>
      <c r="AE181"/>
      <c r="AF181"/>
      <c r="AG181"/>
      <c r="AH181" s="642"/>
      <c r="AI181" s="642"/>
      <c r="AJ181" s="642"/>
    </row>
    <row r="182" spans="1:36" x14ac:dyDescent="0.2">
      <c r="A182" s="642"/>
      <c r="B182" s="642"/>
      <c r="C182"/>
      <c r="D182" s="642"/>
      <c r="E182" s="642"/>
      <c r="F182" s="642"/>
      <c r="G182" s="642"/>
      <c r="H182"/>
      <c r="I182"/>
      <c r="J182"/>
      <c r="K182"/>
      <c r="L182" s="642"/>
      <c r="M182" s="642"/>
      <c r="N182"/>
      <c r="O182"/>
      <c r="P182"/>
      <c r="Q182"/>
      <c r="R182"/>
      <c r="S182"/>
      <c r="T182"/>
      <c r="U182"/>
      <c r="V182"/>
      <c r="W182"/>
      <c r="X182" s="642"/>
      <c r="Y182" s="642"/>
      <c r="Z182" s="642"/>
      <c r="AA182" s="642"/>
      <c r="AB182"/>
      <c r="AC182"/>
      <c r="AD182"/>
      <c r="AE182"/>
      <c r="AF182"/>
      <c r="AG182"/>
      <c r="AH182" s="642"/>
      <c r="AI182" s="642"/>
      <c r="AJ182" s="642"/>
    </row>
    <row r="183" spans="1:36" x14ac:dyDescent="0.2">
      <c r="A183" s="642"/>
      <c r="B183" s="642"/>
      <c r="C183"/>
      <c r="D183" s="642"/>
      <c r="E183" s="642"/>
      <c r="F183" s="642"/>
      <c r="G183" s="642"/>
      <c r="H183"/>
      <c r="I183"/>
      <c r="J183"/>
      <c r="K183"/>
      <c r="L183" s="642"/>
      <c r="M183" s="642"/>
      <c r="N183"/>
      <c r="O183"/>
      <c r="P183"/>
      <c r="Q183"/>
      <c r="R183"/>
      <c r="S183"/>
      <c r="T183"/>
      <c r="U183"/>
      <c r="V183"/>
      <c r="W183"/>
      <c r="X183" s="642"/>
      <c r="Y183" s="642"/>
      <c r="Z183" s="642"/>
      <c r="AA183" s="642"/>
      <c r="AC183"/>
      <c r="AE183"/>
      <c r="AF183"/>
      <c r="AG183"/>
      <c r="AH183" s="642"/>
      <c r="AI183" s="642"/>
      <c r="AJ183" s="642"/>
    </row>
    <row r="184" spans="1:36" x14ac:dyDescent="0.2">
      <c r="A184" s="642"/>
      <c r="B184" s="642"/>
      <c r="C184"/>
      <c r="D184" s="642"/>
      <c r="E184" s="642"/>
      <c r="F184" s="642"/>
      <c r="G184" s="642"/>
      <c r="H184"/>
      <c r="I184"/>
      <c r="J184"/>
      <c r="K184"/>
      <c r="L184" s="642"/>
      <c r="M184" s="642"/>
      <c r="N184"/>
      <c r="O184"/>
      <c r="P184"/>
      <c r="Q184"/>
      <c r="R184"/>
      <c r="S184"/>
      <c r="T184"/>
      <c r="U184"/>
      <c r="V184"/>
      <c r="W184"/>
      <c r="X184" s="642"/>
      <c r="Y184" s="642"/>
      <c r="Z184" s="642"/>
      <c r="AA184" s="642"/>
      <c r="AB184"/>
      <c r="AC184"/>
      <c r="AD184"/>
      <c r="AE184"/>
      <c r="AF184"/>
      <c r="AG184"/>
      <c r="AH184" s="642"/>
      <c r="AI184" s="642"/>
      <c r="AJ184" s="642"/>
    </row>
    <row r="185" spans="1:36" x14ac:dyDescent="0.2">
      <c r="A185" s="642"/>
      <c r="B185" s="642"/>
      <c r="C185"/>
      <c r="D185" s="642"/>
      <c r="E185" s="642"/>
      <c r="F185" s="642"/>
      <c r="G185" s="642"/>
      <c r="H185"/>
      <c r="I185"/>
      <c r="J185"/>
      <c r="K185"/>
      <c r="L185" s="642"/>
      <c r="M185" s="642"/>
      <c r="N185"/>
      <c r="O185"/>
      <c r="P185"/>
      <c r="Q185"/>
      <c r="R185"/>
      <c r="S185"/>
      <c r="T185"/>
      <c r="U185"/>
      <c r="V185"/>
      <c r="W185"/>
      <c r="X185" s="642"/>
      <c r="Y185" s="642"/>
      <c r="Z185" s="642"/>
      <c r="AA185" s="642"/>
      <c r="AB185"/>
      <c r="AC185"/>
      <c r="AD185"/>
      <c r="AE185"/>
      <c r="AF185"/>
      <c r="AG185"/>
      <c r="AH185" s="642"/>
      <c r="AI185" s="642"/>
      <c r="AJ185" s="642"/>
    </row>
    <row r="186" spans="1:36" x14ac:dyDescent="0.2">
      <c r="A186" s="642"/>
      <c r="B186" s="642"/>
      <c r="C186"/>
      <c r="D186" s="642"/>
      <c r="E186" s="642"/>
      <c r="F186" s="642"/>
      <c r="G186" s="642"/>
      <c r="H186"/>
      <c r="I186"/>
      <c r="J186"/>
      <c r="K186"/>
      <c r="L186" s="642"/>
      <c r="M186" s="642"/>
      <c r="N186"/>
      <c r="O186"/>
      <c r="P186"/>
      <c r="Q186"/>
      <c r="R186"/>
      <c r="S186"/>
      <c r="T186"/>
      <c r="U186"/>
      <c r="V186"/>
      <c r="W186"/>
      <c r="X186" s="642"/>
      <c r="Y186" s="642"/>
      <c r="Z186" s="642"/>
      <c r="AA186" s="642"/>
      <c r="AB186"/>
      <c r="AC186"/>
      <c r="AD186"/>
      <c r="AE186"/>
      <c r="AF186"/>
      <c r="AG186"/>
      <c r="AH186" s="642"/>
      <c r="AI186" s="642"/>
      <c r="AJ186" s="642"/>
    </row>
    <row r="187" spans="1:36" x14ac:dyDescent="0.2">
      <c r="A187" s="642"/>
      <c r="B187" s="642"/>
      <c r="C187"/>
      <c r="D187" s="642"/>
      <c r="E187" s="642"/>
      <c r="F187" s="642"/>
      <c r="G187" s="642"/>
      <c r="H187"/>
      <c r="I187"/>
      <c r="J187"/>
      <c r="K187"/>
      <c r="L187" s="642"/>
      <c r="M187" s="642"/>
      <c r="N187"/>
      <c r="O187"/>
      <c r="P187"/>
      <c r="Q187"/>
      <c r="R187"/>
      <c r="S187"/>
      <c r="T187"/>
      <c r="U187"/>
      <c r="V187"/>
      <c r="W187"/>
      <c r="X187" s="642"/>
      <c r="Y187" s="642"/>
      <c r="Z187" s="642"/>
      <c r="AA187" s="642"/>
      <c r="AB187"/>
      <c r="AC187"/>
      <c r="AD187"/>
      <c r="AE187"/>
      <c r="AF187"/>
      <c r="AG187"/>
      <c r="AH187" s="642"/>
      <c r="AI187" s="642"/>
      <c r="AJ187" s="642"/>
    </row>
    <row r="188" spans="1:36" x14ac:dyDescent="0.2">
      <c r="A188" s="642"/>
      <c r="B188" s="642"/>
      <c r="C188"/>
      <c r="D188" s="642"/>
      <c r="E188" s="642"/>
      <c r="F188" s="642"/>
      <c r="G188" s="642"/>
      <c r="H188"/>
      <c r="I188"/>
      <c r="J188"/>
      <c r="K188"/>
      <c r="L188" s="642"/>
      <c r="M188" s="642"/>
      <c r="N188"/>
      <c r="O188"/>
      <c r="P188"/>
      <c r="Q188"/>
      <c r="R188"/>
      <c r="S188"/>
      <c r="T188"/>
      <c r="U188"/>
      <c r="V188"/>
      <c r="W188"/>
      <c r="X188" s="642"/>
      <c r="Y188" s="642"/>
      <c r="Z188" s="642"/>
      <c r="AA188" s="642"/>
      <c r="AB188"/>
      <c r="AC188"/>
      <c r="AD188"/>
      <c r="AE188"/>
      <c r="AF188"/>
      <c r="AG188"/>
      <c r="AH188" s="642"/>
      <c r="AI188" s="642"/>
      <c r="AJ188" s="642"/>
    </row>
    <row r="189" spans="1:36" x14ac:dyDescent="0.2">
      <c r="A189" s="642"/>
      <c r="B189" s="642"/>
      <c r="C189"/>
      <c r="D189" s="642"/>
      <c r="E189" s="642"/>
      <c r="F189" s="642"/>
      <c r="G189" s="642"/>
      <c r="H189"/>
      <c r="I189"/>
      <c r="J189"/>
      <c r="K189"/>
      <c r="L189" s="642"/>
      <c r="M189" s="642"/>
      <c r="N189"/>
      <c r="O189"/>
      <c r="P189"/>
      <c r="Q189"/>
      <c r="R189"/>
      <c r="S189"/>
      <c r="T189"/>
      <c r="U189"/>
      <c r="V189"/>
      <c r="W189"/>
      <c r="X189" s="642"/>
      <c r="Y189" s="642"/>
      <c r="Z189" s="642"/>
      <c r="AA189" s="642"/>
      <c r="AB189"/>
      <c r="AC189"/>
      <c r="AD189"/>
      <c r="AE189"/>
      <c r="AF189"/>
      <c r="AG189"/>
      <c r="AH189" s="642"/>
      <c r="AI189" s="642"/>
      <c r="AJ189" s="642"/>
    </row>
    <row r="190" spans="1:36" x14ac:dyDescent="0.2">
      <c r="A190" s="642"/>
      <c r="B190" s="642"/>
      <c r="C190"/>
      <c r="D190" s="642"/>
      <c r="E190" s="642"/>
      <c r="F190" s="642"/>
      <c r="G190" s="642"/>
      <c r="H190"/>
      <c r="I190"/>
      <c r="J190"/>
      <c r="K190"/>
      <c r="L190" s="642"/>
      <c r="M190" s="642"/>
      <c r="N190"/>
      <c r="O190"/>
      <c r="P190"/>
      <c r="Q190"/>
      <c r="R190"/>
      <c r="S190"/>
      <c r="T190"/>
      <c r="U190"/>
      <c r="V190"/>
      <c r="W190"/>
      <c r="X190" s="642"/>
      <c r="Y190" s="642"/>
      <c r="Z190" s="642"/>
      <c r="AA190" s="642"/>
      <c r="AB190"/>
      <c r="AC190"/>
      <c r="AD190"/>
      <c r="AE190"/>
      <c r="AF190"/>
      <c r="AG190"/>
      <c r="AH190" s="642"/>
      <c r="AI190" s="642"/>
      <c r="AJ190" s="642"/>
    </row>
    <row r="191" spans="1:36" x14ac:dyDescent="0.2">
      <c r="A191" s="642"/>
      <c r="B191" s="642"/>
      <c r="C191"/>
      <c r="D191" s="642"/>
      <c r="E191" s="642"/>
      <c r="F191" s="642"/>
      <c r="G191" s="642"/>
      <c r="H191"/>
      <c r="I191"/>
      <c r="J191"/>
      <c r="K191"/>
      <c r="L191" s="642"/>
      <c r="M191" s="642"/>
      <c r="N191"/>
      <c r="O191"/>
      <c r="P191"/>
      <c r="Q191"/>
      <c r="R191"/>
      <c r="S191"/>
      <c r="T191"/>
      <c r="U191"/>
      <c r="V191"/>
      <c r="W191"/>
      <c r="X191" s="642"/>
      <c r="Y191" s="642"/>
      <c r="Z191" s="642"/>
      <c r="AA191" s="642"/>
      <c r="AB191"/>
      <c r="AC191"/>
      <c r="AD191"/>
      <c r="AE191"/>
      <c r="AF191"/>
      <c r="AG191"/>
      <c r="AH191" s="642"/>
      <c r="AI191" s="642"/>
      <c r="AJ191" s="642"/>
    </row>
    <row r="192" spans="1:36" x14ac:dyDescent="0.2">
      <c r="A192" s="642"/>
      <c r="B192" s="642"/>
      <c r="C192"/>
      <c r="D192" s="642"/>
      <c r="E192" s="642"/>
      <c r="F192" s="642"/>
      <c r="G192" s="642"/>
      <c r="H192"/>
      <c r="I192"/>
      <c r="J192"/>
      <c r="K192"/>
      <c r="L192" s="642"/>
      <c r="M192" s="642"/>
      <c r="N192"/>
      <c r="O192"/>
      <c r="P192"/>
      <c r="Q192"/>
      <c r="R192"/>
      <c r="S192"/>
      <c r="T192"/>
      <c r="U192"/>
      <c r="V192"/>
      <c r="W192"/>
      <c r="X192" s="642"/>
      <c r="Y192" s="642"/>
      <c r="Z192" s="642"/>
      <c r="AA192" s="642"/>
      <c r="AB192"/>
      <c r="AC192"/>
      <c r="AD192"/>
      <c r="AE192"/>
      <c r="AF192"/>
      <c r="AG192"/>
      <c r="AH192" s="642"/>
      <c r="AI192" s="642"/>
      <c r="AJ192" s="642"/>
    </row>
    <row r="193" spans="1:36" x14ac:dyDescent="0.2">
      <c r="A193" s="642"/>
      <c r="B193" s="642"/>
      <c r="C193"/>
      <c r="D193" s="642"/>
      <c r="E193" s="642"/>
      <c r="F193" s="642"/>
      <c r="G193" s="642"/>
      <c r="H193"/>
      <c r="I193"/>
      <c r="J193"/>
      <c r="K193"/>
      <c r="L193" s="642"/>
      <c r="M193" s="642"/>
      <c r="N193"/>
      <c r="O193"/>
      <c r="P193"/>
      <c r="Q193"/>
      <c r="R193"/>
      <c r="S193"/>
      <c r="T193"/>
      <c r="U193"/>
      <c r="V193"/>
      <c r="W193"/>
      <c r="X193" s="642"/>
      <c r="Y193" s="642"/>
      <c r="Z193" s="642"/>
      <c r="AA193" s="642"/>
      <c r="AB193"/>
      <c r="AC193"/>
      <c r="AD193"/>
      <c r="AE193"/>
      <c r="AF193"/>
      <c r="AG193"/>
      <c r="AH193" s="642"/>
      <c r="AI193" s="642"/>
      <c r="AJ193" s="642"/>
    </row>
    <row r="194" spans="1:36" x14ac:dyDescent="0.2">
      <c r="A194" s="642"/>
      <c r="B194" s="642"/>
      <c r="C194"/>
      <c r="D194" s="642"/>
      <c r="E194" s="642"/>
      <c r="F194" s="642"/>
      <c r="G194" s="642"/>
      <c r="H194"/>
      <c r="I194"/>
      <c r="J194"/>
      <c r="K194"/>
      <c r="L194" s="642"/>
      <c r="M194" s="642"/>
      <c r="N194"/>
      <c r="O194"/>
      <c r="P194"/>
      <c r="Q194"/>
      <c r="R194"/>
      <c r="S194"/>
      <c r="T194"/>
      <c r="U194"/>
      <c r="V194"/>
      <c r="W194"/>
      <c r="X194" s="642"/>
      <c r="Y194" s="642"/>
      <c r="Z194" s="642"/>
      <c r="AA194" s="642"/>
      <c r="AB194"/>
      <c r="AC194"/>
      <c r="AD194"/>
      <c r="AE194"/>
      <c r="AF194"/>
      <c r="AG194"/>
      <c r="AH194" s="642"/>
      <c r="AI194" s="642"/>
      <c r="AJ194" s="642"/>
    </row>
    <row r="195" spans="1:36" x14ac:dyDescent="0.2">
      <c r="A195" s="642"/>
      <c r="B195" s="642"/>
      <c r="C195"/>
      <c r="D195" s="642"/>
      <c r="E195" s="642"/>
      <c r="F195" s="642"/>
      <c r="G195" s="642"/>
      <c r="H195"/>
      <c r="I195"/>
      <c r="J195"/>
      <c r="K195"/>
      <c r="L195" s="642"/>
      <c r="M195" s="642"/>
      <c r="N195"/>
      <c r="O195"/>
      <c r="P195"/>
      <c r="Q195"/>
      <c r="R195"/>
      <c r="S195"/>
      <c r="T195"/>
      <c r="U195"/>
      <c r="V195"/>
      <c r="W195"/>
      <c r="X195" s="642"/>
      <c r="Y195" s="642"/>
      <c r="Z195" s="642"/>
      <c r="AA195" s="642"/>
      <c r="AB195"/>
      <c r="AC195"/>
      <c r="AD195"/>
      <c r="AE195"/>
      <c r="AF195"/>
      <c r="AG195"/>
      <c r="AH195" s="642"/>
      <c r="AI195" s="642"/>
      <c r="AJ195" s="642"/>
    </row>
    <row r="196" spans="1:36" x14ac:dyDescent="0.2">
      <c r="A196" s="642"/>
      <c r="B196" s="642"/>
      <c r="C196"/>
      <c r="D196" s="642"/>
      <c r="E196" s="642"/>
      <c r="F196" s="642"/>
      <c r="G196" s="642"/>
      <c r="H196"/>
      <c r="I196"/>
      <c r="J196"/>
      <c r="K196"/>
      <c r="L196" s="642"/>
      <c r="M196" s="642"/>
      <c r="N196"/>
      <c r="O196"/>
      <c r="P196"/>
      <c r="Q196"/>
      <c r="R196"/>
      <c r="S196"/>
      <c r="T196"/>
      <c r="U196"/>
      <c r="V196"/>
      <c r="W196"/>
      <c r="X196" s="642"/>
      <c r="Y196" s="642"/>
      <c r="Z196" s="642"/>
      <c r="AA196" s="642"/>
      <c r="AB196"/>
      <c r="AC196"/>
      <c r="AD196"/>
      <c r="AE196"/>
      <c r="AF196"/>
      <c r="AG196"/>
      <c r="AH196" s="642"/>
      <c r="AI196" s="642"/>
      <c r="AJ196" s="642"/>
    </row>
    <row r="197" spans="1:36" x14ac:dyDescent="0.2">
      <c r="A197" s="642"/>
      <c r="B197" s="642"/>
      <c r="C197"/>
      <c r="D197" s="642"/>
      <c r="E197" s="642"/>
      <c r="F197" s="642"/>
      <c r="G197" s="642"/>
      <c r="H197"/>
      <c r="I197"/>
      <c r="J197"/>
      <c r="K197"/>
      <c r="L197" s="642"/>
      <c r="M197" s="642"/>
      <c r="N197"/>
      <c r="O197"/>
      <c r="P197"/>
      <c r="Q197"/>
      <c r="R197"/>
      <c r="S197"/>
      <c r="T197"/>
      <c r="U197"/>
      <c r="V197"/>
      <c r="W197"/>
      <c r="X197" s="642"/>
      <c r="Y197" s="642"/>
      <c r="Z197" s="642"/>
      <c r="AA197" s="642"/>
      <c r="AB197"/>
      <c r="AC197"/>
      <c r="AD197"/>
      <c r="AE197"/>
      <c r="AF197"/>
      <c r="AG197"/>
      <c r="AH197" s="642"/>
      <c r="AI197" s="642"/>
      <c r="AJ197" s="642"/>
    </row>
    <row r="198" spans="1:36" x14ac:dyDescent="0.2">
      <c r="A198" s="642"/>
      <c r="B198" s="642"/>
      <c r="C198"/>
      <c r="D198" s="642"/>
      <c r="E198" s="642"/>
      <c r="F198" s="642"/>
      <c r="G198" s="642"/>
      <c r="H198"/>
      <c r="I198"/>
      <c r="J198"/>
      <c r="K198"/>
      <c r="L198" s="642"/>
      <c r="M198" s="642"/>
      <c r="N198"/>
      <c r="O198"/>
      <c r="P198"/>
      <c r="Q198"/>
      <c r="R198"/>
      <c r="S198"/>
      <c r="T198"/>
      <c r="U198"/>
      <c r="V198"/>
      <c r="W198"/>
      <c r="X198" s="642"/>
      <c r="Y198" s="642"/>
      <c r="Z198" s="642"/>
      <c r="AA198" s="642"/>
      <c r="AB198"/>
      <c r="AC198"/>
      <c r="AD198"/>
      <c r="AE198"/>
      <c r="AF198"/>
      <c r="AG198"/>
      <c r="AH198" s="642"/>
      <c r="AI198" s="642"/>
      <c r="AJ198" s="642"/>
    </row>
    <row r="199" spans="1:36" x14ac:dyDescent="0.2">
      <c r="A199" s="642"/>
      <c r="B199" s="642"/>
      <c r="C199"/>
      <c r="D199" s="642"/>
      <c r="E199" s="642"/>
      <c r="F199" s="642"/>
      <c r="G199" s="642"/>
      <c r="H199"/>
      <c r="I199"/>
      <c r="J199"/>
      <c r="K199"/>
      <c r="L199" s="642"/>
      <c r="M199" s="642"/>
      <c r="N199"/>
      <c r="O199"/>
      <c r="P199"/>
      <c r="Q199"/>
      <c r="R199"/>
      <c r="S199"/>
      <c r="T199"/>
      <c r="U199"/>
      <c r="V199"/>
      <c r="W199"/>
      <c r="X199" s="642"/>
      <c r="Y199" s="642"/>
      <c r="Z199" s="642"/>
      <c r="AA199" s="642"/>
      <c r="AB199"/>
      <c r="AC199"/>
      <c r="AD199"/>
      <c r="AE199"/>
      <c r="AF199"/>
      <c r="AG199"/>
      <c r="AH199" s="642"/>
      <c r="AI199" s="642"/>
      <c r="AJ199" s="642"/>
    </row>
    <row r="200" spans="1:36" x14ac:dyDescent="0.2">
      <c r="A200" s="642"/>
      <c r="B200" s="642"/>
      <c r="C200"/>
      <c r="D200" s="642"/>
      <c r="E200" s="642"/>
      <c r="F200" s="642"/>
      <c r="G200" s="642"/>
      <c r="H200"/>
      <c r="I200"/>
      <c r="J200"/>
      <c r="K200"/>
      <c r="L200" s="642"/>
      <c r="M200" s="642"/>
      <c r="N200"/>
      <c r="O200"/>
      <c r="P200"/>
      <c r="Q200"/>
      <c r="R200"/>
      <c r="S200"/>
      <c r="T200"/>
      <c r="U200"/>
      <c r="V200"/>
      <c r="W200"/>
      <c r="X200" s="642"/>
      <c r="Y200" s="642"/>
      <c r="Z200" s="642"/>
      <c r="AA200" s="642"/>
      <c r="AB200"/>
      <c r="AD200"/>
      <c r="AE200"/>
      <c r="AF200"/>
      <c r="AG200"/>
      <c r="AH200" s="642"/>
      <c r="AI200" s="642"/>
      <c r="AJ200" s="642"/>
    </row>
    <row r="201" spans="1:36" x14ac:dyDescent="0.2">
      <c r="A201" s="642"/>
      <c r="B201" s="642"/>
      <c r="C201"/>
      <c r="D201" s="642"/>
      <c r="E201" s="642"/>
      <c r="F201" s="642"/>
      <c r="G201" s="642"/>
      <c r="H201"/>
      <c r="I201"/>
      <c r="J201"/>
      <c r="K201"/>
      <c r="L201" s="642"/>
      <c r="M201" s="642"/>
      <c r="N201"/>
      <c r="O201"/>
      <c r="P201"/>
      <c r="Q201"/>
      <c r="R201"/>
      <c r="S201"/>
      <c r="T201"/>
      <c r="U201"/>
      <c r="V201"/>
      <c r="W201"/>
      <c r="X201" s="642"/>
      <c r="Y201" s="642"/>
      <c r="Z201" s="642"/>
      <c r="AA201" s="642"/>
      <c r="AB201"/>
      <c r="AC201"/>
      <c r="AD201"/>
      <c r="AE201"/>
      <c r="AF201"/>
      <c r="AG201"/>
      <c r="AH201" s="642"/>
      <c r="AI201" s="642"/>
      <c r="AJ201" s="642"/>
    </row>
    <row r="202" spans="1:36" x14ac:dyDescent="0.2">
      <c r="A202" s="642"/>
      <c r="B202" s="642"/>
      <c r="C202"/>
      <c r="D202" s="642"/>
      <c r="E202" s="642"/>
      <c r="F202" s="642"/>
      <c r="G202" s="642"/>
      <c r="H202"/>
      <c r="I202"/>
      <c r="J202"/>
      <c r="K202"/>
      <c r="L202" s="642"/>
      <c r="M202" s="642"/>
      <c r="N202"/>
      <c r="O202"/>
      <c r="P202"/>
      <c r="Q202"/>
      <c r="R202"/>
      <c r="S202"/>
      <c r="T202"/>
      <c r="U202"/>
      <c r="V202"/>
      <c r="W202"/>
      <c r="X202" s="642"/>
      <c r="Y202" s="642"/>
      <c r="Z202" s="642"/>
      <c r="AA202" s="642"/>
      <c r="AB202"/>
      <c r="AC202"/>
      <c r="AD202"/>
      <c r="AE202"/>
      <c r="AF202"/>
      <c r="AG202"/>
      <c r="AH202" s="642"/>
      <c r="AI202" s="642"/>
      <c r="AJ202" s="642"/>
    </row>
    <row r="203" spans="1:36" x14ac:dyDescent="0.2">
      <c r="A203" s="642"/>
      <c r="B203" s="642"/>
      <c r="C203"/>
      <c r="D203" s="642"/>
      <c r="E203" s="642"/>
      <c r="F203" s="642"/>
      <c r="G203" s="642"/>
      <c r="H203"/>
      <c r="I203"/>
      <c r="J203"/>
      <c r="K203"/>
      <c r="L203" s="642"/>
      <c r="M203" s="642"/>
      <c r="N203"/>
      <c r="O203"/>
      <c r="P203"/>
      <c r="Q203"/>
      <c r="R203"/>
      <c r="S203"/>
      <c r="T203"/>
      <c r="U203"/>
      <c r="V203"/>
      <c r="W203"/>
      <c r="X203" s="642"/>
      <c r="Y203" s="642"/>
      <c r="Z203" s="642"/>
      <c r="AA203" s="642"/>
      <c r="AB203"/>
      <c r="AC203"/>
      <c r="AD203"/>
      <c r="AE203"/>
      <c r="AF203"/>
      <c r="AG203"/>
      <c r="AH203" s="642"/>
      <c r="AI203" s="642"/>
      <c r="AJ203" s="642"/>
    </row>
    <row r="204" spans="1:36" x14ac:dyDescent="0.2">
      <c r="A204" s="642"/>
      <c r="B204" s="642"/>
      <c r="C204"/>
      <c r="D204" s="642"/>
      <c r="E204" s="642"/>
      <c r="F204" s="642"/>
      <c r="G204" s="642"/>
      <c r="H204"/>
      <c r="I204"/>
      <c r="J204"/>
      <c r="K204"/>
      <c r="L204" s="642"/>
      <c r="M204" s="642"/>
      <c r="N204"/>
      <c r="O204"/>
      <c r="P204"/>
      <c r="Q204"/>
      <c r="R204"/>
      <c r="S204"/>
      <c r="T204"/>
      <c r="U204"/>
      <c r="V204"/>
      <c r="W204"/>
      <c r="X204" s="642"/>
      <c r="Y204" s="642"/>
      <c r="Z204" s="642"/>
      <c r="AA204" s="642"/>
      <c r="AB204"/>
      <c r="AC204"/>
      <c r="AD204"/>
      <c r="AE204"/>
      <c r="AF204"/>
      <c r="AG204"/>
      <c r="AH204" s="642"/>
      <c r="AI204" s="642"/>
      <c r="AJ204" s="642"/>
    </row>
    <row r="205" spans="1:36" x14ac:dyDescent="0.2">
      <c r="A205" s="642"/>
      <c r="B205" s="642"/>
      <c r="C205"/>
      <c r="D205" s="642"/>
      <c r="E205" s="642"/>
      <c r="F205" s="642"/>
      <c r="G205" s="642"/>
      <c r="H205"/>
      <c r="I205"/>
      <c r="J205"/>
      <c r="K205"/>
      <c r="L205" s="642"/>
      <c r="M205" s="642"/>
      <c r="N205"/>
      <c r="O205"/>
      <c r="P205"/>
      <c r="Q205"/>
      <c r="R205"/>
      <c r="S205"/>
      <c r="T205"/>
      <c r="U205"/>
      <c r="V205"/>
      <c r="W205"/>
      <c r="X205" s="642"/>
      <c r="Y205" s="642"/>
      <c r="Z205" s="642"/>
      <c r="AA205" s="642"/>
      <c r="AB205"/>
      <c r="AC205"/>
      <c r="AD205"/>
      <c r="AE205"/>
      <c r="AF205"/>
      <c r="AG205"/>
      <c r="AH205" s="642"/>
      <c r="AI205" s="642"/>
      <c r="AJ205" s="642"/>
    </row>
    <row r="206" spans="1:36" x14ac:dyDescent="0.2">
      <c r="A206" s="642"/>
      <c r="B206" s="642"/>
      <c r="C206"/>
      <c r="D206" s="642"/>
      <c r="E206" s="642"/>
      <c r="F206" s="642"/>
      <c r="G206" s="642"/>
      <c r="H206"/>
      <c r="I206"/>
      <c r="J206"/>
      <c r="K206"/>
      <c r="L206" s="642"/>
      <c r="M206" s="642"/>
      <c r="N206"/>
      <c r="O206"/>
      <c r="P206"/>
      <c r="Q206"/>
      <c r="R206"/>
      <c r="S206"/>
      <c r="T206"/>
      <c r="U206"/>
      <c r="V206"/>
      <c r="W206"/>
      <c r="X206" s="642"/>
      <c r="Y206" s="642"/>
      <c r="Z206" s="642"/>
      <c r="AA206" s="642"/>
      <c r="AB206"/>
      <c r="AC206"/>
      <c r="AD206"/>
      <c r="AE206"/>
      <c r="AF206"/>
      <c r="AG206"/>
      <c r="AH206" s="642"/>
      <c r="AI206" s="642"/>
      <c r="AJ206" s="642"/>
    </row>
    <row r="207" spans="1:36" x14ac:dyDescent="0.2">
      <c r="A207" s="642"/>
      <c r="B207" s="642"/>
      <c r="C207"/>
      <c r="D207" s="642"/>
      <c r="E207" s="642"/>
      <c r="F207" s="642"/>
      <c r="G207" s="642"/>
      <c r="H207"/>
      <c r="I207"/>
      <c r="J207"/>
      <c r="K207"/>
      <c r="L207" s="642"/>
      <c r="M207" s="642"/>
      <c r="N207"/>
      <c r="O207"/>
      <c r="P207"/>
      <c r="Q207"/>
      <c r="R207"/>
      <c r="S207"/>
      <c r="T207"/>
      <c r="U207"/>
      <c r="V207"/>
      <c r="W207"/>
      <c r="X207" s="642"/>
      <c r="Y207" s="642"/>
      <c r="Z207" s="642"/>
      <c r="AA207" s="642"/>
      <c r="AB207"/>
      <c r="AC207"/>
      <c r="AD207"/>
      <c r="AE207"/>
      <c r="AF207"/>
      <c r="AG207"/>
      <c r="AH207" s="642"/>
      <c r="AI207" s="642"/>
      <c r="AJ207" s="642"/>
    </row>
    <row r="208" spans="1:36" x14ac:dyDescent="0.2">
      <c r="A208" s="642"/>
      <c r="B208" s="642"/>
      <c r="C208"/>
      <c r="D208" s="642"/>
      <c r="E208" s="642"/>
      <c r="F208" s="642"/>
      <c r="G208" s="642"/>
      <c r="H208"/>
      <c r="I208"/>
      <c r="J208"/>
      <c r="K208"/>
      <c r="L208" s="642"/>
      <c r="M208" s="642"/>
      <c r="N208"/>
      <c r="O208"/>
      <c r="P208"/>
      <c r="Q208"/>
      <c r="R208"/>
      <c r="S208"/>
      <c r="T208"/>
      <c r="U208"/>
      <c r="V208"/>
      <c r="W208"/>
      <c r="X208" s="642"/>
      <c r="Y208" s="642"/>
      <c r="Z208" s="642"/>
      <c r="AA208" s="642"/>
      <c r="AB208"/>
      <c r="AC208"/>
      <c r="AD208"/>
      <c r="AE208"/>
      <c r="AF208"/>
      <c r="AG208"/>
      <c r="AH208" s="642"/>
      <c r="AI208" s="642"/>
      <c r="AJ208" s="642"/>
    </row>
    <row r="209" spans="1:36" x14ac:dyDescent="0.2">
      <c r="A209" s="642"/>
      <c r="B209" s="642"/>
      <c r="C209"/>
      <c r="D209" s="642"/>
      <c r="E209" s="642"/>
      <c r="F209" s="642"/>
      <c r="G209" s="642"/>
      <c r="H209"/>
      <c r="I209"/>
      <c r="J209"/>
      <c r="K209"/>
      <c r="L209" s="642"/>
      <c r="M209" s="642"/>
      <c r="N209"/>
      <c r="O209"/>
      <c r="P209"/>
      <c r="Q209"/>
      <c r="R209"/>
      <c r="S209"/>
      <c r="T209"/>
      <c r="U209"/>
      <c r="V209"/>
      <c r="W209"/>
      <c r="X209" s="642"/>
      <c r="Y209" s="642"/>
      <c r="Z209" s="642"/>
      <c r="AA209" s="642"/>
      <c r="AB209"/>
      <c r="AC209"/>
      <c r="AD209"/>
      <c r="AE209"/>
      <c r="AF209"/>
      <c r="AG209"/>
      <c r="AH209" s="642"/>
      <c r="AI209" s="642"/>
      <c r="AJ209" s="642"/>
    </row>
    <row r="210" spans="1:36" x14ac:dyDescent="0.2">
      <c r="A210" s="642"/>
      <c r="B210" s="642"/>
      <c r="C210"/>
      <c r="D210" s="642"/>
      <c r="E210" s="642"/>
      <c r="F210" s="642"/>
      <c r="G210" s="642"/>
      <c r="H210"/>
      <c r="I210"/>
      <c r="J210"/>
      <c r="K210"/>
      <c r="L210" s="642"/>
      <c r="M210" s="642"/>
      <c r="N210"/>
      <c r="O210"/>
      <c r="P210"/>
      <c r="Q210"/>
      <c r="R210"/>
      <c r="S210"/>
      <c r="T210"/>
      <c r="U210"/>
      <c r="V210"/>
      <c r="W210"/>
      <c r="X210" s="642"/>
      <c r="Y210" s="642"/>
      <c r="Z210" s="642"/>
      <c r="AA210" s="642"/>
      <c r="AB210"/>
      <c r="AC210"/>
      <c r="AD210"/>
      <c r="AE210"/>
      <c r="AF210"/>
      <c r="AG210"/>
      <c r="AH210" s="642"/>
      <c r="AI210" s="642"/>
      <c r="AJ210" s="642"/>
    </row>
    <row r="211" spans="1:36" x14ac:dyDescent="0.2">
      <c r="A211" s="642"/>
      <c r="B211" s="642"/>
      <c r="C211"/>
      <c r="D211" s="642"/>
      <c r="E211" s="642"/>
      <c r="F211" s="642"/>
      <c r="G211" s="642"/>
      <c r="H211"/>
      <c r="I211"/>
      <c r="J211"/>
      <c r="K211"/>
      <c r="L211" s="642"/>
      <c r="M211" s="642"/>
      <c r="N211"/>
      <c r="O211"/>
      <c r="P211"/>
      <c r="Q211"/>
      <c r="R211"/>
      <c r="S211"/>
      <c r="T211"/>
      <c r="U211"/>
      <c r="V211"/>
      <c r="W211"/>
      <c r="X211" s="642"/>
      <c r="Y211" s="642"/>
      <c r="Z211" s="642"/>
      <c r="AA211" s="642"/>
      <c r="AB211"/>
      <c r="AC211"/>
      <c r="AD211"/>
      <c r="AE211"/>
      <c r="AF211"/>
      <c r="AG211"/>
      <c r="AH211" s="642"/>
      <c r="AI211" s="642"/>
      <c r="AJ211" s="642"/>
    </row>
    <row r="212" spans="1:36" x14ac:dyDescent="0.2">
      <c r="A212" s="642"/>
      <c r="B212" s="642"/>
      <c r="C212"/>
      <c r="D212" s="642"/>
      <c r="E212" s="642"/>
      <c r="F212" s="642"/>
      <c r="G212" s="642"/>
      <c r="H212"/>
      <c r="I212"/>
      <c r="J212"/>
      <c r="K212"/>
      <c r="L212" s="642"/>
      <c r="M212" s="642"/>
      <c r="N212"/>
      <c r="O212"/>
      <c r="P212"/>
      <c r="Q212"/>
      <c r="R212"/>
      <c r="S212"/>
      <c r="T212"/>
      <c r="U212"/>
      <c r="V212"/>
      <c r="W212"/>
      <c r="X212" s="642"/>
      <c r="Y212" s="642"/>
      <c r="Z212" s="642"/>
      <c r="AA212" s="642"/>
      <c r="AB212"/>
      <c r="AC212"/>
      <c r="AD212"/>
      <c r="AE212"/>
      <c r="AF212"/>
      <c r="AG212"/>
      <c r="AH212" s="642"/>
      <c r="AI212" s="642"/>
      <c r="AJ212" s="642"/>
    </row>
    <row r="213" spans="1:36" x14ac:dyDescent="0.2">
      <c r="A213" s="642"/>
      <c r="B213" s="642"/>
      <c r="C213"/>
      <c r="D213" s="642"/>
      <c r="E213" s="642"/>
      <c r="F213" s="642"/>
      <c r="G213" s="642"/>
      <c r="H213"/>
      <c r="I213"/>
      <c r="J213"/>
      <c r="K213"/>
      <c r="L213" s="642"/>
      <c r="M213" s="642"/>
      <c r="O213"/>
      <c r="P213"/>
      <c r="Q213"/>
      <c r="R213"/>
      <c r="S213"/>
      <c r="T213"/>
      <c r="U213"/>
      <c r="V213"/>
      <c r="W213"/>
      <c r="X213" s="642"/>
      <c r="Y213" s="642"/>
      <c r="Z213" s="642"/>
      <c r="AA213" s="642"/>
      <c r="AB213"/>
      <c r="AC213"/>
      <c r="AD213"/>
      <c r="AE213"/>
      <c r="AF213"/>
      <c r="AG213"/>
      <c r="AH213" s="642"/>
      <c r="AI213" s="642"/>
      <c r="AJ213" s="642"/>
    </row>
    <row r="214" spans="1:36" x14ac:dyDescent="0.2">
      <c r="A214" s="642"/>
      <c r="B214" s="642"/>
      <c r="C214"/>
      <c r="D214" s="642"/>
      <c r="E214" s="642"/>
      <c r="F214" s="642"/>
      <c r="G214" s="642"/>
      <c r="H214"/>
      <c r="I214"/>
      <c r="J214"/>
      <c r="K214"/>
      <c r="L214" s="642"/>
      <c r="M214" s="642"/>
      <c r="N214"/>
      <c r="O214"/>
      <c r="P214"/>
      <c r="Q214"/>
      <c r="R214"/>
      <c r="S214"/>
      <c r="T214"/>
      <c r="U214"/>
      <c r="V214"/>
      <c r="W214"/>
      <c r="X214" s="642"/>
      <c r="Y214" s="642"/>
      <c r="Z214" s="642"/>
      <c r="AA214" s="642"/>
      <c r="AB214"/>
      <c r="AC214"/>
      <c r="AD214"/>
      <c r="AE214"/>
      <c r="AF214"/>
      <c r="AG214"/>
      <c r="AH214" s="642"/>
      <c r="AI214" s="642"/>
      <c r="AJ214" s="642"/>
    </row>
    <row r="215" spans="1:36" x14ac:dyDescent="0.2">
      <c r="A215" s="642"/>
      <c r="B215" s="642"/>
      <c r="C215"/>
      <c r="D215" s="642"/>
      <c r="E215" s="642"/>
      <c r="F215" s="642"/>
      <c r="G215" s="642"/>
      <c r="H215"/>
      <c r="I215"/>
      <c r="J215"/>
      <c r="K215"/>
      <c r="L215" s="642"/>
      <c r="M215" s="642"/>
      <c r="N215"/>
      <c r="O215"/>
      <c r="P215"/>
      <c r="Q215"/>
      <c r="R215"/>
      <c r="S215"/>
      <c r="T215"/>
      <c r="U215"/>
      <c r="V215"/>
      <c r="W215"/>
      <c r="X215" s="642"/>
      <c r="Y215" s="642"/>
      <c r="Z215" s="642"/>
      <c r="AA215" s="642"/>
      <c r="AB215"/>
      <c r="AC215"/>
      <c r="AD215"/>
      <c r="AE215"/>
      <c r="AF215"/>
      <c r="AG215"/>
      <c r="AH215" s="642"/>
      <c r="AI215" s="642"/>
      <c r="AJ215" s="642"/>
    </row>
    <row r="216" spans="1:36" x14ac:dyDescent="0.2">
      <c r="A216" s="642"/>
      <c r="B216" s="642"/>
      <c r="C216"/>
      <c r="D216" s="642"/>
      <c r="E216" s="642"/>
      <c r="F216" s="642"/>
      <c r="G216" s="642"/>
      <c r="H216"/>
      <c r="I216"/>
      <c r="J216"/>
      <c r="K216"/>
      <c r="L216" s="642"/>
      <c r="M216" s="642"/>
      <c r="N216"/>
      <c r="O216"/>
      <c r="P216"/>
      <c r="Q216"/>
      <c r="R216"/>
      <c r="S216"/>
      <c r="T216"/>
      <c r="U216"/>
      <c r="V216"/>
      <c r="W216"/>
      <c r="X216" s="642"/>
      <c r="Y216" s="642"/>
      <c r="Z216" s="642"/>
      <c r="AA216" s="642"/>
      <c r="AB216"/>
      <c r="AC216"/>
      <c r="AD216"/>
      <c r="AE216"/>
      <c r="AF216"/>
      <c r="AG216"/>
      <c r="AH216" s="642"/>
      <c r="AI216" s="642"/>
      <c r="AJ216" s="642"/>
    </row>
    <row r="217" spans="1:36" x14ac:dyDescent="0.2">
      <c r="A217" s="642"/>
      <c r="B217" s="642"/>
      <c r="C217"/>
      <c r="D217" s="642"/>
      <c r="E217" s="642"/>
      <c r="F217" s="642"/>
      <c r="G217" s="642"/>
      <c r="H217"/>
      <c r="I217"/>
      <c r="J217"/>
      <c r="K217"/>
      <c r="L217" s="642"/>
      <c r="M217" s="642"/>
      <c r="N217"/>
      <c r="O217"/>
      <c r="P217"/>
      <c r="Q217"/>
      <c r="R217"/>
      <c r="S217"/>
      <c r="T217"/>
      <c r="U217"/>
      <c r="V217"/>
      <c r="W217"/>
      <c r="X217" s="642"/>
      <c r="Y217" s="642"/>
      <c r="Z217" s="642"/>
      <c r="AA217" s="642"/>
      <c r="AB217"/>
      <c r="AC217"/>
      <c r="AD217"/>
      <c r="AE217"/>
      <c r="AF217"/>
      <c r="AG217"/>
      <c r="AH217" s="642"/>
      <c r="AI217" s="642"/>
      <c r="AJ217" s="642"/>
    </row>
    <row r="218" spans="1:36" x14ac:dyDescent="0.2">
      <c r="A218" s="642"/>
      <c r="B218" s="642"/>
      <c r="C218"/>
      <c r="D218" s="642"/>
      <c r="E218" s="642"/>
      <c r="F218" s="642"/>
      <c r="G218" s="642"/>
      <c r="H218"/>
      <c r="I218"/>
      <c r="J218"/>
      <c r="K218"/>
      <c r="L218" s="642"/>
      <c r="M218" s="642"/>
      <c r="N218"/>
      <c r="O218"/>
      <c r="P218"/>
      <c r="Q218"/>
      <c r="R218"/>
      <c r="S218"/>
      <c r="T218"/>
      <c r="U218"/>
      <c r="V218"/>
      <c r="W218"/>
      <c r="X218" s="642"/>
      <c r="Y218" s="642"/>
      <c r="Z218" s="642"/>
      <c r="AA218" s="642"/>
      <c r="AB218"/>
      <c r="AC218"/>
      <c r="AD218"/>
      <c r="AE218"/>
      <c r="AF218"/>
      <c r="AG218"/>
      <c r="AH218" s="642"/>
      <c r="AI218" s="642"/>
      <c r="AJ218" s="642"/>
    </row>
    <row r="219" spans="1:36" x14ac:dyDescent="0.2">
      <c r="A219" s="642"/>
      <c r="B219" s="642"/>
      <c r="C219"/>
      <c r="D219" s="642"/>
      <c r="E219" s="642"/>
      <c r="F219" s="642"/>
      <c r="G219" s="642"/>
      <c r="H219"/>
      <c r="I219"/>
      <c r="J219"/>
      <c r="K219"/>
      <c r="L219" s="642"/>
      <c r="M219" s="642"/>
      <c r="N219"/>
      <c r="O219"/>
      <c r="P219"/>
      <c r="Q219"/>
      <c r="R219"/>
      <c r="S219"/>
      <c r="T219"/>
      <c r="U219"/>
      <c r="V219"/>
      <c r="W219"/>
      <c r="X219" s="642"/>
      <c r="Y219" s="642"/>
      <c r="Z219" s="642"/>
      <c r="AA219" s="642"/>
      <c r="AB219"/>
      <c r="AC219"/>
      <c r="AD219"/>
      <c r="AE219"/>
      <c r="AF219"/>
      <c r="AG219"/>
      <c r="AH219" s="642"/>
      <c r="AI219" s="642"/>
      <c r="AJ219" s="642"/>
    </row>
    <row r="220" spans="1:36" x14ac:dyDescent="0.2">
      <c r="A220" s="642"/>
      <c r="B220" s="642"/>
      <c r="C220"/>
      <c r="D220" s="642"/>
      <c r="E220" s="642"/>
      <c r="F220" s="642"/>
      <c r="G220" s="642"/>
      <c r="H220"/>
      <c r="I220"/>
      <c r="J220"/>
      <c r="K220"/>
      <c r="L220" s="642"/>
      <c r="M220" s="642"/>
      <c r="N220"/>
      <c r="O220"/>
      <c r="P220"/>
      <c r="Q220"/>
      <c r="R220"/>
      <c r="S220"/>
      <c r="T220"/>
      <c r="U220"/>
      <c r="V220"/>
      <c r="W220"/>
      <c r="X220" s="642"/>
      <c r="Y220" s="642"/>
      <c r="Z220" s="642"/>
      <c r="AA220" s="642"/>
      <c r="AB220"/>
      <c r="AC220"/>
      <c r="AD220"/>
      <c r="AE220"/>
      <c r="AF220"/>
      <c r="AG220"/>
      <c r="AH220" s="642"/>
      <c r="AI220" s="642"/>
      <c r="AJ220" s="642"/>
    </row>
    <row r="221" spans="1:36" x14ac:dyDescent="0.2">
      <c r="A221" s="642"/>
      <c r="B221" s="642"/>
      <c r="C221"/>
      <c r="D221" s="642"/>
      <c r="E221" s="642"/>
      <c r="F221" s="642"/>
      <c r="G221" s="642"/>
      <c r="H221"/>
      <c r="I221"/>
      <c r="J221"/>
      <c r="K221"/>
      <c r="L221" s="642"/>
      <c r="M221" s="642"/>
      <c r="N221"/>
      <c r="O221"/>
      <c r="P221"/>
      <c r="Q221"/>
      <c r="R221"/>
      <c r="S221"/>
      <c r="T221"/>
      <c r="U221"/>
      <c r="V221"/>
      <c r="W221"/>
      <c r="X221" s="642"/>
      <c r="Y221" s="642"/>
      <c r="Z221" s="642"/>
      <c r="AA221" s="642"/>
      <c r="AB221"/>
      <c r="AC221"/>
      <c r="AD221"/>
      <c r="AE221"/>
      <c r="AF221"/>
      <c r="AG221"/>
      <c r="AH221" s="642"/>
      <c r="AI221" s="642"/>
      <c r="AJ221" s="642"/>
    </row>
    <row r="222" spans="1:36" x14ac:dyDescent="0.2">
      <c r="A222" s="642"/>
      <c r="B222" s="642"/>
      <c r="C222"/>
      <c r="D222" s="642"/>
      <c r="E222" s="642"/>
      <c r="F222" s="642"/>
      <c r="G222" s="642"/>
      <c r="H222"/>
      <c r="I222"/>
      <c r="J222"/>
      <c r="K222"/>
      <c r="L222" s="642"/>
      <c r="M222" s="642"/>
      <c r="N222"/>
      <c r="O222"/>
      <c r="P222"/>
      <c r="Q222"/>
      <c r="R222"/>
      <c r="S222"/>
      <c r="T222"/>
      <c r="U222"/>
      <c r="V222"/>
      <c r="W222"/>
      <c r="X222" s="642"/>
      <c r="Y222" s="642"/>
      <c r="Z222" s="642"/>
      <c r="AA222" s="642"/>
      <c r="AB222"/>
      <c r="AC222"/>
      <c r="AD222"/>
      <c r="AE222"/>
      <c r="AF222"/>
      <c r="AG222"/>
      <c r="AH222" s="642"/>
      <c r="AI222" s="642"/>
      <c r="AJ222" s="642"/>
    </row>
    <row r="223" spans="1:36" x14ac:dyDescent="0.2">
      <c r="A223" s="642"/>
      <c r="B223" s="642"/>
      <c r="C223"/>
      <c r="D223" s="642"/>
      <c r="E223" s="642"/>
      <c r="F223" s="642"/>
      <c r="G223" s="642"/>
      <c r="H223"/>
      <c r="I223"/>
      <c r="J223"/>
      <c r="K223"/>
      <c r="L223" s="642"/>
      <c r="M223" s="642"/>
      <c r="N223"/>
      <c r="O223"/>
      <c r="P223"/>
      <c r="Q223"/>
      <c r="R223"/>
      <c r="S223"/>
      <c r="T223"/>
      <c r="U223"/>
      <c r="V223"/>
      <c r="W223"/>
      <c r="X223" s="642"/>
      <c r="Y223" s="642"/>
      <c r="Z223" s="642"/>
      <c r="AA223" s="642"/>
      <c r="AB223"/>
      <c r="AC223"/>
      <c r="AD223"/>
      <c r="AE223"/>
      <c r="AF223"/>
      <c r="AG223"/>
      <c r="AH223" s="642"/>
      <c r="AI223" s="642"/>
      <c r="AJ223" s="642"/>
    </row>
    <row r="224" spans="1:36" x14ac:dyDescent="0.2">
      <c r="A224" s="642"/>
      <c r="B224" s="642"/>
      <c r="C224"/>
      <c r="D224" s="642"/>
      <c r="E224" s="642"/>
      <c r="F224" s="642"/>
      <c r="G224" s="642"/>
      <c r="H224"/>
      <c r="I224"/>
      <c r="J224"/>
      <c r="K224"/>
      <c r="L224" s="642"/>
      <c r="M224" s="642"/>
      <c r="N224"/>
      <c r="O224"/>
      <c r="P224"/>
      <c r="Q224"/>
      <c r="R224"/>
      <c r="S224"/>
      <c r="T224"/>
      <c r="U224"/>
      <c r="V224"/>
      <c r="W224"/>
      <c r="X224" s="642"/>
      <c r="Y224" s="642"/>
      <c r="Z224" s="642"/>
      <c r="AA224" s="642"/>
      <c r="AB224"/>
      <c r="AC224"/>
      <c r="AD224"/>
      <c r="AE224"/>
      <c r="AF224"/>
      <c r="AG224"/>
      <c r="AH224" s="642"/>
      <c r="AI224" s="642"/>
      <c r="AJ224" s="642"/>
    </row>
    <row r="225" spans="1:36" x14ac:dyDescent="0.2">
      <c r="A225" s="642"/>
      <c r="B225" s="642"/>
      <c r="C225"/>
      <c r="D225" s="642"/>
      <c r="E225" s="642"/>
      <c r="F225" s="642"/>
      <c r="G225" s="642"/>
      <c r="H225"/>
      <c r="I225"/>
      <c r="J225"/>
      <c r="K225"/>
      <c r="L225" s="642"/>
      <c r="M225" s="642"/>
      <c r="N225"/>
      <c r="O225"/>
      <c r="P225"/>
      <c r="Q225"/>
      <c r="R225"/>
      <c r="S225"/>
      <c r="T225"/>
      <c r="U225"/>
      <c r="V225"/>
      <c r="W225"/>
      <c r="X225" s="642"/>
      <c r="Y225" s="642"/>
      <c r="Z225" s="642"/>
      <c r="AA225" s="642"/>
      <c r="AB225"/>
      <c r="AC225"/>
      <c r="AD225"/>
      <c r="AE225"/>
      <c r="AF225"/>
      <c r="AG225"/>
      <c r="AH225" s="642"/>
      <c r="AI225" s="642"/>
      <c r="AJ225" s="642"/>
    </row>
    <row r="226" spans="1:36" x14ac:dyDescent="0.2">
      <c r="A226" s="642"/>
      <c r="B226" s="642"/>
      <c r="C226"/>
      <c r="D226" s="642"/>
      <c r="E226" s="642"/>
      <c r="F226" s="642"/>
      <c r="G226" s="642"/>
      <c r="H226"/>
      <c r="I226"/>
      <c r="J226"/>
      <c r="K226"/>
      <c r="L226" s="642"/>
      <c r="M226" s="642"/>
      <c r="N226"/>
      <c r="O226"/>
      <c r="P226"/>
      <c r="Q226"/>
      <c r="R226"/>
      <c r="S226"/>
      <c r="T226"/>
      <c r="U226"/>
      <c r="V226"/>
      <c r="W226"/>
      <c r="X226" s="642"/>
      <c r="Y226" s="642"/>
      <c r="Z226" s="642"/>
      <c r="AA226" s="642"/>
      <c r="AB226"/>
      <c r="AC226"/>
      <c r="AD226"/>
      <c r="AE226"/>
      <c r="AF226"/>
      <c r="AG226"/>
      <c r="AH226" s="642"/>
      <c r="AI226" s="642"/>
      <c r="AJ226" s="642"/>
    </row>
    <row r="227" spans="1:36" x14ac:dyDescent="0.2">
      <c r="A227" s="642"/>
      <c r="B227" s="642"/>
      <c r="C227"/>
      <c r="D227" s="642"/>
      <c r="E227" s="642"/>
      <c r="F227" s="642"/>
      <c r="G227" s="642"/>
      <c r="H227"/>
      <c r="I227"/>
      <c r="J227"/>
      <c r="K227"/>
      <c r="L227" s="642"/>
      <c r="M227" s="642"/>
      <c r="N227"/>
      <c r="O227"/>
      <c r="P227"/>
      <c r="Q227"/>
      <c r="R227"/>
      <c r="S227"/>
      <c r="T227"/>
      <c r="U227"/>
      <c r="V227"/>
      <c r="W227"/>
      <c r="X227" s="642"/>
      <c r="Y227" s="642"/>
      <c r="Z227" s="642"/>
      <c r="AA227" s="642"/>
      <c r="AB227"/>
      <c r="AC227"/>
      <c r="AD227"/>
      <c r="AE227"/>
      <c r="AF227"/>
      <c r="AG227"/>
      <c r="AH227" s="642"/>
      <c r="AI227" s="642"/>
      <c r="AJ227" s="642"/>
    </row>
    <row r="228" spans="1:36" x14ac:dyDescent="0.2">
      <c r="A228" s="642"/>
      <c r="B228" s="642"/>
      <c r="C228"/>
      <c r="D228" s="642"/>
      <c r="E228" s="642"/>
      <c r="F228" s="642"/>
      <c r="G228" s="642"/>
      <c r="H228"/>
      <c r="I228"/>
      <c r="J228"/>
      <c r="K228"/>
      <c r="L228" s="642"/>
      <c r="M228" s="642"/>
      <c r="N228"/>
      <c r="O228"/>
      <c r="P228"/>
      <c r="Q228"/>
      <c r="R228"/>
      <c r="S228"/>
      <c r="T228"/>
      <c r="U228"/>
      <c r="V228"/>
      <c r="W228"/>
      <c r="X228" s="642"/>
      <c r="Y228" s="642"/>
      <c r="Z228" s="642"/>
      <c r="AA228" s="642"/>
      <c r="AB228"/>
      <c r="AC228"/>
      <c r="AD228"/>
      <c r="AE228"/>
      <c r="AF228"/>
      <c r="AG228"/>
      <c r="AH228" s="642"/>
      <c r="AI228" s="642"/>
      <c r="AJ228" s="642"/>
    </row>
    <row r="229" spans="1:36" x14ac:dyDescent="0.2">
      <c r="A229" s="642"/>
      <c r="B229" s="642"/>
      <c r="C229"/>
      <c r="D229" s="642"/>
      <c r="E229" s="642"/>
      <c r="F229" s="642"/>
      <c r="G229" s="642"/>
      <c r="H229"/>
      <c r="I229"/>
      <c r="J229"/>
      <c r="K229"/>
      <c r="L229" s="642"/>
      <c r="M229" s="642"/>
      <c r="N229"/>
      <c r="O229"/>
      <c r="P229"/>
      <c r="Q229"/>
      <c r="R229"/>
      <c r="S229"/>
      <c r="T229"/>
      <c r="U229"/>
      <c r="V229"/>
      <c r="W229"/>
      <c r="X229" s="642"/>
      <c r="Y229" s="642"/>
      <c r="Z229" s="642"/>
      <c r="AA229" s="642"/>
      <c r="AB229"/>
      <c r="AC229"/>
      <c r="AD229"/>
      <c r="AE229"/>
      <c r="AF229"/>
      <c r="AG229"/>
      <c r="AH229" s="642"/>
      <c r="AI229" s="642"/>
      <c r="AJ229" s="642"/>
    </row>
    <row r="230" spans="1:36" x14ac:dyDescent="0.2">
      <c r="A230" s="642"/>
      <c r="B230" s="642"/>
      <c r="C230"/>
      <c r="D230" s="642"/>
      <c r="E230" s="642"/>
      <c r="F230" s="642"/>
      <c r="G230" s="642"/>
      <c r="H230"/>
      <c r="I230"/>
      <c r="J230"/>
      <c r="K230"/>
      <c r="L230" s="642"/>
      <c r="M230" s="642"/>
      <c r="N230"/>
      <c r="O230"/>
      <c r="P230"/>
      <c r="Q230"/>
      <c r="R230"/>
      <c r="S230"/>
      <c r="T230"/>
      <c r="U230"/>
      <c r="V230"/>
      <c r="W230"/>
      <c r="X230" s="642"/>
      <c r="Y230" s="642"/>
      <c r="Z230" s="642"/>
      <c r="AA230" s="642"/>
      <c r="AB230"/>
      <c r="AC230"/>
      <c r="AD230"/>
      <c r="AE230"/>
      <c r="AF230"/>
      <c r="AG230"/>
      <c r="AH230" s="642"/>
      <c r="AI230" s="642"/>
      <c r="AJ230" s="642"/>
    </row>
    <row r="231" spans="1:36" x14ac:dyDescent="0.2">
      <c r="A231" s="642"/>
      <c r="B231" s="642"/>
      <c r="C231"/>
      <c r="D231" s="642"/>
      <c r="E231" s="642"/>
      <c r="F231" s="642"/>
      <c r="G231" s="642"/>
      <c r="H231"/>
      <c r="I231"/>
      <c r="J231"/>
      <c r="K231"/>
      <c r="L231" s="642"/>
      <c r="M231" s="642"/>
      <c r="N231"/>
      <c r="O231"/>
      <c r="P231"/>
      <c r="Q231"/>
      <c r="R231"/>
      <c r="S231"/>
      <c r="T231"/>
      <c r="U231"/>
      <c r="V231"/>
      <c r="W231"/>
      <c r="X231" s="642"/>
      <c r="Y231" s="642"/>
      <c r="Z231" s="642"/>
      <c r="AA231" s="642"/>
      <c r="AB231"/>
      <c r="AE231"/>
      <c r="AF231"/>
      <c r="AG231"/>
      <c r="AH231" s="642"/>
      <c r="AI231" s="642"/>
      <c r="AJ231" s="642"/>
    </row>
    <row r="232" spans="1:36" x14ac:dyDescent="0.2">
      <c r="A232" s="642"/>
      <c r="B232" s="642"/>
      <c r="C232"/>
      <c r="D232" s="642"/>
      <c r="E232" s="642"/>
      <c r="F232" s="642"/>
      <c r="G232" s="642"/>
      <c r="H232"/>
      <c r="I232"/>
      <c r="J232"/>
      <c r="K232"/>
      <c r="L232" s="642"/>
      <c r="M232" s="642"/>
      <c r="N232"/>
      <c r="O232"/>
      <c r="P232"/>
      <c r="Q232"/>
      <c r="R232"/>
      <c r="S232"/>
      <c r="T232"/>
      <c r="U232"/>
      <c r="V232"/>
      <c r="W232"/>
      <c r="X232" s="642"/>
      <c r="Y232" s="642"/>
      <c r="Z232" s="642"/>
      <c r="AA232" s="642"/>
      <c r="AB232"/>
      <c r="AC232"/>
      <c r="AD232"/>
      <c r="AE232"/>
      <c r="AF232"/>
      <c r="AG232"/>
      <c r="AH232" s="642"/>
      <c r="AI232" s="642"/>
      <c r="AJ232" s="642"/>
    </row>
    <row r="233" spans="1:36" x14ac:dyDescent="0.2">
      <c r="A233" s="642"/>
      <c r="B233" s="642"/>
      <c r="C233"/>
      <c r="D233" s="642"/>
      <c r="E233" s="642"/>
      <c r="F233" s="642"/>
      <c r="G233" s="642"/>
      <c r="H233"/>
      <c r="I233"/>
      <c r="J233"/>
      <c r="K233"/>
      <c r="L233" s="642"/>
      <c r="M233" s="642"/>
      <c r="N233"/>
      <c r="O233"/>
      <c r="P233"/>
      <c r="Q233"/>
      <c r="R233"/>
      <c r="S233"/>
      <c r="T233"/>
      <c r="U233"/>
      <c r="V233"/>
      <c r="W233"/>
      <c r="X233" s="642"/>
      <c r="Y233" s="642"/>
      <c r="Z233" s="642"/>
      <c r="AA233" s="642"/>
      <c r="AB233"/>
      <c r="AC233"/>
      <c r="AD233"/>
      <c r="AE233"/>
      <c r="AF233"/>
      <c r="AG233"/>
      <c r="AH233" s="642"/>
      <c r="AI233" s="642"/>
      <c r="AJ233" s="642"/>
    </row>
    <row r="234" spans="1:36" x14ac:dyDescent="0.2">
      <c r="A234" s="642"/>
      <c r="B234" s="642"/>
      <c r="C234"/>
      <c r="D234" s="642"/>
      <c r="E234" s="642"/>
      <c r="F234" s="642"/>
      <c r="G234" s="642"/>
      <c r="H234"/>
      <c r="I234"/>
      <c r="J234"/>
      <c r="K234"/>
      <c r="L234" s="642"/>
      <c r="M234" s="642"/>
      <c r="N234"/>
      <c r="O234"/>
      <c r="P234"/>
      <c r="Q234"/>
      <c r="R234"/>
      <c r="S234"/>
      <c r="T234"/>
      <c r="U234"/>
      <c r="V234"/>
      <c r="W234"/>
      <c r="X234" s="642"/>
      <c r="Y234" s="642"/>
      <c r="Z234" s="642"/>
      <c r="AA234" s="642"/>
      <c r="AB234"/>
      <c r="AC234"/>
      <c r="AD234"/>
      <c r="AE234"/>
      <c r="AF234"/>
      <c r="AG234"/>
      <c r="AH234" s="642"/>
      <c r="AI234" s="642"/>
      <c r="AJ234" s="642"/>
    </row>
    <row r="235" spans="1:36" x14ac:dyDescent="0.2">
      <c r="A235" s="642"/>
      <c r="B235" s="642"/>
      <c r="C235"/>
      <c r="D235" s="642"/>
      <c r="E235" s="642"/>
      <c r="F235" s="642"/>
      <c r="G235" s="642"/>
      <c r="H235"/>
      <c r="I235"/>
      <c r="J235"/>
      <c r="K235"/>
      <c r="L235" s="642"/>
      <c r="M235" s="642"/>
      <c r="N235"/>
      <c r="O235"/>
      <c r="P235"/>
      <c r="Q235"/>
      <c r="R235"/>
      <c r="S235"/>
      <c r="T235"/>
      <c r="U235"/>
      <c r="V235"/>
      <c r="W235"/>
      <c r="X235" s="642"/>
      <c r="Y235" s="642"/>
      <c r="Z235" s="642"/>
      <c r="AA235" s="642"/>
      <c r="AB235"/>
      <c r="AC235"/>
      <c r="AD235"/>
      <c r="AE235"/>
      <c r="AF235"/>
      <c r="AG235"/>
      <c r="AH235" s="642"/>
      <c r="AI235" s="642"/>
      <c r="AJ235" s="642"/>
    </row>
    <row r="236" spans="1:36" x14ac:dyDescent="0.2">
      <c r="A236" s="642"/>
      <c r="B236" s="642"/>
      <c r="C236"/>
      <c r="D236" s="642"/>
      <c r="E236" s="642"/>
      <c r="F236" s="642"/>
      <c r="G236" s="642"/>
      <c r="H236"/>
      <c r="I236"/>
      <c r="J236"/>
      <c r="K236"/>
      <c r="L236" s="642"/>
      <c r="M236" s="642"/>
      <c r="N236"/>
      <c r="O236"/>
      <c r="P236"/>
      <c r="Q236"/>
      <c r="R236"/>
      <c r="S236"/>
      <c r="T236"/>
      <c r="U236"/>
      <c r="V236"/>
      <c r="W236"/>
      <c r="X236" s="642"/>
      <c r="Y236" s="642"/>
      <c r="Z236" s="642"/>
      <c r="AA236" s="642"/>
      <c r="AB236"/>
      <c r="AC236"/>
      <c r="AD236"/>
      <c r="AE236"/>
      <c r="AF236"/>
      <c r="AG236"/>
      <c r="AH236" s="642"/>
      <c r="AI236" s="642"/>
      <c r="AJ236" s="642"/>
    </row>
    <row r="237" spans="1:36" x14ac:dyDescent="0.2">
      <c r="A237" s="642"/>
      <c r="B237" s="642"/>
      <c r="C237"/>
      <c r="D237" s="642"/>
      <c r="E237" s="642"/>
      <c r="F237" s="642"/>
      <c r="G237" s="642"/>
      <c r="H237"/>
      <c r="I237"/>
      <c r="J237"/>
      <c r="K237"/>
      <c r="L237" s="642"/>
      <c r="M237" s="642"/>
      <c r="N237"/>
      <c r="O237"/>
      <c r="P237"/>
      <c r="Q237"/>
      <c r="R237"/>
      <c r="S237"/>
      <c r="T237"/>
      <c r="U237"/>
      <c r="V237"/>
      <c r="W237"/>
      <c r="X237" s="642"/>
      <c r="Y237" s="642"/>
      <c r="Z237" s="642"/>
      <c r="AA237" s="642"/>
      <c r="AB237"/>
      <c r="AC237"/>
      <c r="AD237"/>
      <c r="AE237"/>
      <c r="AF237"/>
      <c r="AG237"/>
      <c r="AH237" s="642"/>
      <c r="AI237" s="642"/>
      <c r="AJ237" s="642"/>
    </row>
    <row r="238" spans="1:36" x14ac:dyDescent="0.2">
      <c r="A238" s="642"/>
      <c r="B238" s="642"/>
      <c r="C238"/>
      <c r="D238" s="642"/>
      <c r="E238" s="642"/>
      <c r="F238" s="642"/>
      <c r="G238" s="642"/>
      <c r="H238"/>
      <c r="I238"/>
      <c r="J238"/>
      <c r="K238"/>
      <c r="L238" s="642"/>
      <c r="M238" s="642"/>
      <c r="N238"/>
      <c r="O238"/>
      <c r="P238"/>
      <c r="Q238"/>
      <c r="R238"/>
      <c r="S238"/>
      <c r="T238"/>
      <c r="U238"/>
      <c r="V238"/>
      <c r="W238"/>
      <c r="X238" s="642"/>
      <c r="Y238" s="642"/>
      <c r="Z238" s="642"/>
      <c r="AA238" s="642"/>
      <c r="AB238"/>
      <c r="AC238"/>
      <c r="AD238"/>
      <c r="AE238"/>
      <c r="AF238"/>
      <c r="AG238"/>
      <c r="AH238" s="642"/>
      <c r="AI238" s="642"/>
      <c r="AJ238" s="642"/>
    </row>
    <row r="239" spans="1:36" x14ac:dyDescent="0.2">
      <c r="A239" s="642"/>
      <c r="B239" s="642"/>
      <c r="C239"/>
      <c r="D239" s="642"/>
      <c r="E239" s="642"/>
      <c r="F239" s="642"/>
      <c r="G239" s="642"/>
      <c r="H239"/>
      <c r="I239"/>
      <c r="J239"/>
      <c r="K239"/>
      <c r="L239" s="642"/>
      <c r="M239" s="642"/>
      <c r="N239"/>
      <c r="O239"/>
      <c r="P239"/>
      <c r="Q239"/>
      <c r="R239"/>
      <c r="S239"/>
      <c r="T239"/>
      <c r="U239"/>
      <c r="V239"/>
      <c r="W239"/>
      <c r="X239" s="642"/>
      <c r="Y239" s="642"/>
      <c r="Z239" s="642"/>
      <c r="AA239" s="642"/>
      <c r="AB239"/>
      <c r="AC239"/>
      <c r="AD239"/>
      <c r="AE239"/>
      <c r="AF239"/>
      <c r="AG239"/>
      <c r="AH239" s="642"/>
      <c r="AI239" s="642"/>
      <c r="AJ239" s="642"/>
    </row>
    <row r="240" spans="1:36" x14ac:dyDescent="0.2">
      <c r="A240" s="642"/>
      <c r="B240" s="642"/>
      <c r="C240"/>
      <c r="D240" s="642"/>
      <c r="E240" s="642"/>
      <c r="F240" s="642"/>
      <c r="G240" s="642"/>
      <c r="H240"/>
      <c r="I240"/>
      <c r="J240"/>
      <c r="K240"/>
      <c r="L240" s="642"/>
      <c r="M240" s="642"/>
      <c r="N240"/>
      <c r="O240"/>
      <c r="P240"/>
      <c r="Q240"/>
      <c r="R240"/>
      <c r="S240"/>
      <c r="T240"/>
      <c r="U240"/>
      <c r="V240"/>
      <c r="W240"/>
      <c r="X240" s="642"/>
      <c r="Y240" s="642"/>
      <c r="Z240" s="642"/>
      <c r="AA240" s="642"/>
      <c r="AB240"/>
      <c r="AG240"/>
      <c r="AH240" s="642"/>
      <c r="AI240" s="642"/>
      <c r="AJ240" s="642"/>
    </row>
    <row r="241" spans="1:36" x14ac:dyDescent="0.2">
      <c r="A241" s="642"/>
      <c r="B241" s="642"/>
      <c r="C241"/>
      <c r="D241" s="642"/>
      <c r="E241" s="642"/>
      <c r="F241" s="642"/>
      <c r="G241" s="642"/>
      <c r="H241"/>
      <c r="I241"/>
      <c r="J241"/>
      <c r="K241"/>
      <c r="L241" s="642"/>
      <c r="M241" s="642"/>
      <c r="N241"/>
      <c r="O241"/>
      <c r="P241"/>
      <c r="Q241"/>
      <c r="R241"/>
      <c r="S241"/>
      <c r="T241"/>
      <c r="U241"/>
      <c r="V241"/>
      <c r="W241"/>
      <c r="X241" s="642"/>
      <c r="Y241" s="642"/>
      <c r="Z241" s="642"/>
      <c r="AA241" s="642"/>
      <c r="AB241"/>
      <c r="AC241"/>
      <c r="AD241"/>
      <c r="AE241"/>
      <c r="AF241"/>
      <c r="AG241"/>
      <c r="AH241" s="642"/>
      <c r="AI241" s="642"/>
      <c r="AJ241" s="642"/>
    </row>
    <row r="242" spans="1:36" x14ac:dyDescent="0.2">
      <c r="A242" s="642"/>
      <c r="B242" s="642"/>
      <c r="C242"/>
      <c r="D242" s="642"/>
      <c r="E242" s="642"/>
      <c r="F242" s="642"/>
      <c r="G242" s="642"/>
      <c r="H242"/>
      <c r="I242"/>
      <c r="J242"/>
      <c r="K242"/>
      <c r="L242" s="642"/>
      <c r="M242" s="642"/>
      <c r="N242"/>
      <c r="O242"/>
      <c r="P242"/>
      <c r="Q242"/>
      <c r="R242"/>
      <c r="S242"/>
      <c r="T242"/>
      <c r="U242"/>
      <c r="V242"/>
      <c r="W242"/>
      <c r="X242" s="642"/>
      <c r="Y242" s="642"/>
      <c r="Z242" s="642"/>
      <c r="AA242" s="642"/>
      <c r="AB242"/>
      <c r="AC242"/>
      <c r="AD242"/>
      <c r="AE242"/>
      <c r="AF242"/>
      <c r="AG242"/>
      <c r="AH242" s="642"/>
      <c r="AI242" s="642"/>
      <c r="AJ242" s="642"/>
    </row>
    <row r="243" spans="1:36" x14ac:dyDescent="0.2">
      <c r="A243" s="642"/>
      <c r="B243" s="642"/>
      <c r="C243"/>
      <c r="D243" s="642"/>
      <c r="E243" s="642"/>
      <c r="F243" s="642"/>
      <c r="G243" s="642"/>
      <c r="H243"/>
      <c r="I243"/>
      <c r="J243"/>
      <c r="K243"/>
      <c r="L243" s="642"/>
      <c r="M243" s="642"/>
      <c r="N243"/>
      <c r="O243"/>
      <c r="P243"/>
      <c r="Q243"/>
      <c r="R243"/>
      <c r="S243"/>
      <c r="T243"/>
      <c r="U243"/>
      <c r="V243"/>
      <c r="W243"/>
      <c r="X243" s="642"/>
      <c r="Y243" s="642"/>
      <c r="Z243" s="642"/>
      <c r="AA243" s="642"/>
      <c r="AB243"/>
      <c r="AC243"/>
      <c r="AD243"/>
      <c r="AE243"/>
      <c r="AF243"/>
      <c r="AG243"/>
      <c r="AH243" s="642"/>
      <c r="AI243" s="642"/>
      <c r="AJ243" s="642"/>
    </row>
    <row r="244" spans="1:36" x14ac:dyDescent="0.2">
      <c r="A244" s="642"/>
      <c r="B244" s="642"/>
      <c r="C244"/>
      <c r="D244" s="642"/>
      <c r="E244" s="642"/>
      <c r="F244" s="642"/>
      <c r="G244" s="642"/>
      <c r="H244"/>
      <c r="I244"/>
      <c r="J244"/>
      <c r="K244"/>
      <c r="L244" s="642"/>
      <c r="M244" s="642"/>
      <c r="N244"/>
      <c r="O244"/>
      <c r="P244"/>
      <c r="Q244"/>
      <c r="R244"/>
      <c r="S244"/>
      <c r="T244"/>
      <c r="U244"/>
      <c r="V244"/>
      <c r="W244"/>
      <c r="X244" s="642"/>
      <c r="Y244" s="642"/>
      <c r="Z244" s="642"/>
      <c r="AA244" s="642"/>
      <c r="AB244"/>
      <c r="AC244"/>
      <c r="AD244"/>
      <c r="AE244"/>
      <c r="AF244"/>
      <c r="AG244"/>
      <c r="AH244" s="642"/>
      <c r="AI244" s="642"/>
      <c r="AJ244" s="642"/>
    </row>
    <row r="245" spans="1:36" x14ac:dyDescent="0.2">
      <c r="A245" s="642"/>
      <c r="B245" s="642"/>
      <c r="C245"/>
      <c r="D245" s="642"/>
      <c r="E245" s="642"/>
      <c r="F245" s="642"/>
      <c r="G245" s="642"/>
      <c r="H245"/>
      <c r="I245"/>
      <c r="J245"/>
      <c r="K245"/>
      <c r="L245" s="642"/>
      <c r="M245" s="642"/>
      <c r="N245"/>
      <c r="O245"/>
      <c r="P245"/>
      <c r="Q245"/>
      <c r="R245"/>
      <c r="S245"/>
      <c r="T245"/>
      <c r="U245"/>
      <c r="V245"/>
      <c r="W245"/>
      <c r="X245" s="642"/>
      <c r="Y245" s="642"/>
      <c r="Z245" s="642"/>
      <c r="AA245" s="642"/>
      <c r="AB245"/>
      <c r="AC245"/>
      <c r="AD245"/>
      <c r="AE245"/>
      <c r="AF245"/>
      <c r="AG245"/>
      <c r="AH245" s="642"/>
      <c r="AI245" s="642"/>
      <c r="AJ245" s="642"/>
    </row>
    <row r="246" spans="1:36" x14ac:dyDescent="0.2">
      <c r="A246" s="642"/>
      <c r="B246" s="642"/>
      <c r="C246"/>
      <c r="D246" s="642"/>
      <c r="E246" s="642"/>
      <c r="F246" s="642"/>
      <c r="G246" s="642"/>
      <c r="H246"/>
      <c r="I246"/>
      <c r="J246"/>
      <c r="K246"/>
      <c r="L246" s="642"/>
      <c r="M246" s="642"/>
      <c r="N246"/>
      <c r="O246"/>
      <c r="P246"/>
      <c r="Q246"/>
      <c r="R246"/>
      <c r="S246"/>
      <c r="T246"/>
      <c r="U246"/>
      <c r="V246"/>
      <c r="W246"/>
      <c r="X246" s="642"/>
      <c r="Y246" s="642"/>
      <c r="Z246" s="642"/>
      <c r="AA246" s="642"/>
      <c r="AB246"/>
      <c r="AC246"/>
      <c r="AD246"/>
      <c r="AE246"/>
      <c r="AF246"/>
      <c r="AG246"/>
      <c r="AH246" s="642"/>
      <c r="AI246" s="642"/>
      <c r="AJ246" s="642"/>
    </row>
    <row r="247" spans="1:36" x14ac:dyDescent="0.2">
      <c r="A247" s="642"/>
      <c r="B247" s="642"/>
      <c r="C247"/>
      <c r="D247" s="642"/>
      <c r="E247" s="642"/>
      <c r="F247" s="642"/>
      <c r="G247" s="642"/>
      <c r="H247"/>
      <c r="I247"/>
      <c r="J247"/>
      <c r="K247"/>
      <c r="L247" s="642"/>
      <c r="M247" s="642"/>
      <c r="N247"/>
      <c r="O247"/>
      <c r="P247"/>
      <c r="Q247"/>
      <c r="R247"/>
      <c r="S247"/>
      <c r="T247"/>
      <c r="U247"/>
      <c r="V247"/>
      <c r="W247"/>
      <c r="X247" s="642"/>
      <c r="Y247" s="642"/>
      <c r="Z247" s="642"/>
      <c r="AA247" s="642"/>
      <c r="AB247"/>
      <c r="AC247"/>
      <c r="AD247"/>
      <c r="AE247"/>
      <c r="AF247"/>
      <c r="AG247"/>
      <c r="AH247" s="642"/>
      <c r="AI247" s="642"/>
      <c r="AJ247" s="642"/>
    </row>
    <row r="248" spans="1:36" x14ac:dyDescent="0.2">
      <c r="A248" s="642"/>
      <c r="B248" s="642"/>
      <c r="C248"/>
      <c r="D248" s="642"/>
      <c r="E248" s="642"/>
      <c r="F248" s="642"/>
      <c r="G248" s="642"/>
      <c r="H248"/>
      <c r="I248"/>
      <c r="J248"/>
      <c r="K248"/>
      <c r="L248" s="642"/>
      <c r="M248" s="642"/>
      <c r="N248"/>
      <c r="O248"/>
      <c r="P248"/>
      <c r="Q248"/>
      <c r="R248"/>
      <c r="S248"/>
      <c r="T248"/>
      <c r="U248"/>
      <c r="V248"/>
      <c r="W248"/>
      <c r="X248" s="642"/>
      <c r="Y248" s="642"/>
      <c r="Z248" s="642"/>
      <c r="AA248" s="642"/>
      <c r="AB248"/>
      <c r="AC248"/>
      <c r="AD248"/>
      <c r="AE248"/>
      <c r="AF248"/>
      <c r="AG248"/>
      <c r="AH248" s="642"/>
      <c r="AI248" s="642"/>
      <c r="AJ248" s="642"/>
    </row>
    <row r="249" spans="1:36" x14ac:dyDescent="0.2">
      <c r="A249" s="642"/>
      <c r="B249" s="642"/>
      <c r="C249"/>
      <c r="D249" s="642"/>
      <c r="E249" s="642"/>
      <c r="F249" s="642"/>
      <c r="G249" s="642"/>
      <c r="H249"/>
      <c r="I249"/>
      <c r="J249"/>
      <c r="K249"/>
      <c r="L249" s="642"/>
      <c r="M249" s="642"/>
      <c r="N249"/>
      <c r="O249"/>
      <c r="P249"/>
      <c r="Q249"/>
      <c r="R249"/>
      <c r="S249"/>
      <c r="T249"/>
      <c r="U249"/>
      <c r="V249"/>
      <c r="W249"/>
      <c r="X249" s="642"/>
      <c r="Y249" s="642"/>
      <c r="Z249" s="642"/>
      <c r="AA249" s="642"/>
      <c r="AB249"/>
      <c r="AE249"/>
      <c r="AF249"/>
      <c r="AG249"/>
      <c r="AH249" s="642"/>
      <c r="AI249" s="642"/>
      <c r="AJ249" s="642"/>
    </row>
    <row r="250" spans="1:36" x14ac:dyDescent="0.2">
      <c r="A250" s="642"/>
      <c r="B250" s="642"/>
      <c r="C250"/>
      <c r="D250" s="642"/>
      <c r="E250" s="642"/>
      <c r="F250" s="642"/>
      <c r="G250" s="642"/>
      <c r="H250"/>
      <c r="I250"/>
      <c r="J250"/>
      <c r="K250"/>
      <c r="L250" s="642"/>
      <c r="M250" s="642"/>
      <c r="N250"/>
      <c r="O250"/>
      <c r="P250"/>
      <c r="Q250"/>
      <c r="R250"/>
      <c r="S250"/>
      <c r="T250"/>
      <c r="U250"/>
      <c r="V250"/>
      <c r="W250"/>
      <c r="X250" s="642"/>
      <c r="Y250" s="642"/>
      <c r="Z250" s="642"/>
      <c r="AA250" s="642"/>
      <c r="AB250"/>
      <c r="AE250"/>
      <c r="AF250"/>
      <c r="AG250"/>
      <c r="AH250" s="642"/>
      <c r="AI250" s="642"/>
      <c r="AJ250" s="642"/>
    </row>
    <row r="251" spans="1:36" x14ac:dyDescent="0.2">
      <c r="A251" s="642"/>
      <c r="B251" s="642"/>
      <c r="C251"/>
      <c r="D251" s="642"/>
      <c r="E251" s="642"/>
      <c r="F251" s="642"/>
      <c r="G251" s="642"/>
      <c r="H251"/>
      <c r="I251"/>
      <c r="J251"/>
      <c r="K251"/>
      <c r="L251" s="642"/>
      <c r="M251" s="642"/>
      <c r="N251"/>
      <c r="O251"/>
      <c r="P251"/>
      <c r="Q251"/>
      <c r="R251"/>
      <c r="S251"/>
      <c r="T251"/>
      <c r="U251"/>
      <c r="V251"/>
      <c r="W251"/>
      <c r="X251" s="642"/>
      <c r="Y251" s="642"/>
      <c r="Z251" s="642"/>
      <c r="AA251" s="642"/>
      <c r="AB251"/>
      <c r="AC251"/>
      <c r="AD251"/>
      <c r="AE251"/>
      <c r="AF251"/>
      <c r="AG251"/>
      <c r="AH251" s="642"/>
      <c r="AI251" s="642"/>
      <c r="AJ251" s="642"/>
    </row>
    <row r="252" spans="1:36" x14ac:dyDescent="0.2">
      <c r="A252" s="642"/>
      <c r="B252" s="642"/>
      <c r="C252"/>
      <c r="D252" s="642"/>
      <c r="E252" s="642"/>
      <c r="F252" s="642"/>
      <c r="G252" s="642"/>
      <c r="H252"/>
      <c r="I252"/>
      <c r="J252"/>
      <c r="K252"/>
      <c r="L252" s="642"/>
      <c r="M252" s="642"/>
      <c r="N252"/>
      <c r="O252"/>
      <c r="P252"/>
      <c r="Q252"/>
      <c r="R252"/>
      <c r="S252"/>
      <c r="T252"/>
      <c r="U252"/>
      <c r="V252"/>
      <c r="W252"/>
      <c r="X252" s="642"/>
      <c r="Y252" s="642"/>
      <c r="Z252" s="642"/>
      <c r="AA252" s="642"/>
      <c r="AB252"/>
      <c r="AC252"/>
      <c r="AD252"/>
      <c r="AE252"/>
      <c r="AF252"/>
      <c r="AG252"/>
      <c r="AH252" s="642"/>
      <c r="AI252" s="642"/>
      <c r="AJ252" s="642"/>
    </row>
    <row r="253" spans="1:36" x14ac:dyDescent="0.2">
      <c r="A253" s="642"/>
      <c r="B253" s="642"/>
      <c r="C253"/>
      <c r="D253" s="642"/>
      <c r="E253" s="642"/>
      <c r="F253" s="642"/>
      <c r="G253" s="642"/>
      <c r="H253"/>
      <c r="I253"/>
      <c r="J253"/>
      <c r="K253"/>
      <c r="L253" s="642"/>
      <c r="M253" s="642"/>
      <c r="N253"/>
      <c r="O253"/>
      <c r="P253"/>
      <c r="Q253"/>
      <c r="R253"/>
      <c r="S253"/>
      <c r="T253"/>
      <c r="U253"/>
      <c r="V253"/>
      <c r="W253"/>
      <c r="X253" s="642"/>
      <c r="Y253" s="642"/>
      <c r="Z253" s="642"/>
      <c r="AA253" s="642"/>
      <c r="AB253"/>
      <c r="AC253"/>
      <c r="AD253"/>
      <c r="AE253"/>
      <c r="AF253"/>
      <c r="AG253"/>
      <c r="AH253" s="642"/>
      <c r="AI253" s="642"/>
      <c r="AJ253" s="642"/>
    </row>
    <row r="254" spans="1:36" x14ac:dyDescent="0.2">
      <c r="A254" s="642"/>
      <c r="B254" s="642"/>
      <c r="C254"/>
      <c r="D254" s="642"/>
      <c r="E254" s="642"/>
      <c r="F254" s="642"/>
      <c r="G254" s="642"/>
      <c r="H254"/>
      <c r="I254"/>
      <c r="J254"/>
      <c r="K254"/>
      <c r="L254" s="642"/>
      <c r="M254" s="642"/>
      <c r="N254"/>
      <c r="O254"/>
      <c r="P254"/>
      <c r="Q254"/>
      <c r="R254"/>
      <c r="S254"/>
      <c r="T254"/>
      <c r="U254"/>
      <c r="V254"/>
      <c r="W254"/>
      <c r="X254" s="642"/>
      <c r="Y254" s="642"/>
      <c r="Z254" s="642"/>
      <c r="AA254" s="642"/>
      <c r="AB254"/>
      <c r="AC254"/>
      <c r="AD254"/>
      <c r="AE254"/>
      <c r="AF254"/>
      <c r="AG254"/>
      <c r="AH254" s="642"/>
      <c r="AI254" s="642"/>
      <c r="AJ254" s="642"/>
    </row>
    <row r="255" spans="1:36" x14ac:dyDescent="0.2">
      <c r="A255" s="642"/>
      <c r="B255" s="642"/>
      <c r="C255"/>
      <c r="D255" s="642"/>
      <c r="E255" s="642"/>
      <c r="F255" s="642"/>
      <c r="G255" s="642"/>
      <c r="H255"/>
      <c r="I255"/>
      <c r="J255"/>
      <c r="K255"/>
      <c r="L255" s="642"/>
      <c r="M255" s="642"/>
      <c r="N255"/>
      <c r="O255"/>
      <c r="P255"/>
      <c r="Q255"/>
      <c r="R255"/>
      <c r="S255"/>
      <c r="T255"/>
      <c r="U255"/>
      <c r="V255"/>
      <c r="W255"/>
      <c r="X255" s="642"/>
      <c r="Y255" s="642"/>
      <c r="Z255" s="642"/>
      <c r="AA255" s="642"/>
      <c r="AB255"/>
      <c r="AC255"/>
      <c r="AD255"/>
      <c r="AE255"/>
      <c r="AF255"/>
      <c r="AG255"/>
      <c r="AH255" s="642"/>
      <c r="AI255" s="642"/>
      <c r="AJ255" s="642"/>
    </row>
    <row r="256" spans="1:36" x14ac:dyDescent="0.2">
      <c r="A256" s="642"/>
      <c r="B256" s="642"/>
      <c r="C256"/>
      <c r="D256" s="642"/>
      <c r="E256" s="642"/>
      <c r="F256" s="642"/>
      <c r="G256" s="642"/>
      <c r="H256"/>
      <c r="I256"/>
      <c r="J256"/>
      <c r="K256"/>
      <c r="L256" s="642"/>
      <c r="M256" s="642"/>
      <c r="N256"/>
      <c r="O256"/>
      <c r="P256"/>
      <c r="Q256"/>
      <c r="R256"/>
      <c r="S256"/>
      <c r="T256"/>
      <c r="U256"/>
      <c r="V256"/>
      <c r="W256"/>
      <c r="X256" s="642"/>
      <c r="Y256" s="642"/>
      <c r="Z256" s="642"/>
      <c r="AA256" s="642"/>
      <c r="AB256"/>
      <c r="AC256"/>
      <c r="AD256"/>
      <c r="AE256"/>
      <c r="AF256"/>
      <c r="AG256"/>
      <c r="AH256" s="642"/>
      <c r="AI256" s="642"/>
      <c r="AJ256" s="642"/>
    </row>
    <row r="257" spans="1:36" x14ac:dyDescent="0.2">
      <c r="A257" s="642"/>
      <c r="B257" s="642"/>
      <c r="C257"/>
      <c r="D257" s="642"/>
      <c r="E257" s="642"/>
      <c r="F257" s="642"/>
      <c r="G257" s="642"/>
      <c r="H257"/>
      <c r="I257"/>
      <c r="J257"/>
      <c r="K257"/>
      <c r="L257" s="642"/>
      <c r="M257" s="642"/>
      <c r="N257"/>
      <c r="O257"/>
      <c r="P257"/>
      <c r="Q257"/>
      <c r="R257"/>
      <c r="S257"/>
      <c r="T257"/>
      <c r="U257"/>
      <c r="V257"/>
      <c r="W257"/>
      <c r="X257" s="642"/>
      <c r="Y257" s="642"/>
      <c r="Z257" s="642"/>
      <c r="AA257" s="642"/>
      <c r="AB257"/>
      <c r="AC257"/>
      <c r="AD257"/>
      <c r="AE257"/>
      <c r="AF257"/>
      <c r="AG257"/>
      <c r="AH257" s="642"/>
      <c r="AI257" s="642"/>
      <c r="AJ257" s="642"/>
    </row>
    <row r="258" spans="1:36" x14ac:dyDescent="0.2">
      <c r="A258" s="642"/>
      <c r="B258" s="642"/>
      <c r="C258"/>
      <c r="D258" s="642"/>
      <c r="E258" s="642"/>
      <c r="F258" s="642"/>
      <c r="G258" s="642"/>
      <c r="H258"/>
      <c r="I258"/>
      <c r="J258"/>
      <c r="K258"/>
      <c r="L258" s="642"/>
      <c r="M258" s="642"/>
      <c r="N258"/>
      <c r="O258"/>
      <c r="P258"/>
      <c r="Q258"/>
      <c r="R258"/>
      <c r="S258"/>
      <c r="T258"/>
      <c r="U258"/>
      <c r="V258"/>
      <c r="W258"/>
      <c r="X258" s="642"/>
      <c r="Y258" s="642"/>
      <c r="Z258" s="642"/>
      <c r="AA258" s="642"/>
      <c r="AB258"/>
      <c r="AC258"/>
      <c r="AD258"/>
      <c r="AE258"/>
      <c r="AF258"/>
      <c r="AG258"/>
      <c r="AH258" s="642"/>
      <c r="AI258" s="642"/>
      <c r="AJ258" s="642"/>
    </row>
    <row r="259" spans="1:36" x14ac:dyDescent="0.2">
      <c r="A259" s="642"/>
      <c r="B259" s="642"/>
      <c r="C259"/>
      <c r="D259" s="642"/>
      <c r="E259" s="642"/>
      <c r="F259" s="642"/>
      <c r="G259" s="642"/>
      <c r="H259"/>
      <c r="I259"/>
      <c r="J259"/>
      <c r="K259"/>
      <c r="L259" s="642"/>
      <c r="M259" s="642"/>
      <c r="N259"/>
      <c r="O259"/>
      <c r="P259"/>
      <c r="Q259"/>
      <c r="R259"/>
      <c r="S259"/>
      <c r="T259"/>
      <c r="U259"/>
      <c r="V259"/>
      <c r="W259"/>
      <c r="X259" s="642"/>
      <c r="Y259" s="642"/>
      <c r="Z259" s="642"/>
      <c r="AA259" s="642"/>
      <c r="AB259"/>
      <c r="AC259"/>
      <c r="AD259"/>
      <c r="AE259"/>
      <c r="AF259"/>
      <c r="AG259"/>
      <c r="AH259" s="642"/>
      <c r="AI259" s="642"/>
      <c r="AJ259" s="642"/>
    </row>
    <row r="260" spans="1:36" x14ac:dyDescent="0.2">
      <c r="A260" s="642"/>
      <c r="B260" s="642"/>
      <c r="C260"/>
      <c r="D260" s="642"/>
      <c r="E260" s="642"/>
      <c r="F260" s="642"/>
      <c r="G260" s="642"/>
      <c r="H260"/>
      <c r="I260"/>
      <c r="J260"/>
      <c r="K260"/>
      <c r="L260" s="642"/>
      <c r="M260" s="642"/>
      <c r="N260"/>
      <c r="O260"/>
      <c r="P260"/>
      <c r="Q260"/>
      <c r="R260"/>
      <c r="S260"/>
      <c r="T260"/>
      <c r="U260"/>
      <c r="V260"/>
      <c r="W260"/>
      <c r="X260" s="642"/>
      <c r="Y260" s="642"/>
      <c r="Z260" s="642"/>
      <c r="AA260" s="642"/>
      <c r="AB260"/>
      <c r="AC260"/>
      <c r="AD260"/>
      <c r="AE260"/>
      <c r="AF260"/>
      <c r="AG260"/>
      <c r="AH260" s="642"/>
      <c r="AI260" s="642"/>
      <c r="AJ260" s="642"/>
    </row>
    <row r="261" spans="1:36" x14ac:dyDescent="0.2">
      <c r="A261" s="642"/>
      <c r="B261" s="642"/>
      <c r="C261"/>
      <c r="D261" s="642"/>
      <c r="E261" s="642"/>
      <c r="F261" s="642"/>
      <c r="G261" s="642"/>
      <c r="H261"/>
      <c r="I261"/>
      <c r="J261"/>
      <c r="K261"/>
      <c r="L261" s="642"/>
      <c r="M261" s="642"/>
      <c r="N261"/>
      <c r="O261"/>
      <c r="P261"/>
      <c r="Q261"/>
      <c r="R261"/>
      <c r="S261"/>
      <c r="T261"/>
      <c r="U261"/>
      <c r="V261"/>
      <c r="W261"/>
      <c r="X261" s="642"/>
      <c r="Y261" s="642"/>
      <c r="Z261" s="642"/>
      <c r="AA261" s="642"/>
      <c r="AB261"/>
      <c r="AC261"/>
      <c r="AD261"/>
      <c r="AE261"/>
      <c r="AF261"/>
      <c r="AG261"/>
      <c r="AH261" s="642"/>
      <c r="AI261" s="642"/>
      <c r="AJ261" s="642"/>
    </row>
    <row r="262" spans="1:36" x14ac:dyDescent="0.2">
      <c r="A262" s="642"/>
      <c r="B262" s="642"/>
      <c r="C262"/>
      <c r="D262" s="642"/>
      <c r="E262" s="642"/>
      <c r="F262" s="642"/>
      <c r="G262" s="642"/>
      <c r="H262"/>
      <c r="I262"/>
      <c r="J262"/>
      <c r="K262"/>
      <c r="L262" s="642"/>
      <c r="M262" s="642"/>
      <c r="N262"/>
      <c r="O262"/>
      <c r="P262"/>
      <c r="Q262"/>
      <c r="R262"/>
      <c r="S262"/>
      <c r="T262"/>
      <c r="U262"/>
      <c r="V262"/>
      <c r="W262"/>
      <c r="X262" s="642"/>
      <c r="Y262" s="642"/>
      <c r="Z262" s="642"/>
      <c r="AA262" s="642"/>
      <c r="AB262"/>
      <c r="AC262"/>
      <c r="AD262"/>
      <c r="AE262"/>
      <c r="AF262"/>
      <c r="AG262"/>
      <c r="AH262" s="642"/>
      <c r="AI262" s="642"/>
      <c r="AJ262" s="642"/>
    </row>
    <row r="263" spans="1:36" x14ac:dyDescent="0.2">
      <c r="A263" s="642"/>
      <c r="B263" s="642"/>
      <c r="C263"/>
      <c r="D263" s="642"/>
      <c r="E263" s="642"/>
      <c r="F263" s="642"/>
      <c r="G263" s="642"/>
      <c r="H263"/>
      <c r="I263"/>
      <c r="J263"/>
      <c r="K263"/>
      <c r="L263" s="642"/>
      <c r="M263" s="642"/>
      <c r="N263"/>
      <c r="O263"/>
      <c r="P263"/>
      <c r="Q263"/>
      <c r="R263"/>
      <c r="S263"/>
      <c r="T263"/>
      <c r="U263"/>
      <c r="V263"/>
      <c r="W263"/>
      <c r="X263" s="642"/>
      <c r="Y263" s="642"/>
      <c r="Z263" s="642"/>
      <c r="AA263" s="642"/>
      <c r="AB263"/>
      <c r="AC263"/>
      <c r="AD263"/>
      <c r="AE263"/>
      <c r="AF263"/>
      <c r="AG263"/>
      <c r="AH263" s="642"/>
      <c r="AI263" s="642"/>
      <c r="AJ263" s="642"/>
    </row>
    <row r="264" spans="1:36" x14ac:dyDescent="0.2">
      <c r="A264" s="642"/>
      <c r="B264" s="642"/>
      <c r="C264"/>
      <c r="D264" s="642"/>
      <c r="E264" s="642"/>
      <c r="F264" s="642"/>
      <c r="G264" s="642"/>
      <c r="H264"/>
      <c r="I264"/>
      <c r="J264"/>
      <c r="K264"/>
      <c r="L264" s="642"/>
      <c r="M264" s="642"/>
      <c r="N264"/>
      <c r="O264"/>
      <c r="P264"/>
      <c r="Q264"/>
      <c r="R264"/>
      <c r="S264"/>
      <c r="T264"/>
      <c r="U264"/>
      <c r="V264"/>
      <c r="W264"/>
      <c r="X264" s="642"/>
      <c r="Y264" s="642"/>
      <c r="Z264" s="642"/>
      <c r="AA264" s="642"/>
      <c r="AB264"/>
      <c r="AC264"/>
      <c r="AD264"/>
      <c r="AE264"/>
      <c r="AF264"/>
      <c r="AG264"/>
      <c r="AH264" s="642"/>
      <c r="AI264" s="642"/>
      <c r="AJ264" s="642"/>
    </row>
    <row r="265" spans="1:36" x14ac:dyDescent="0.2">
      <c r="A265" s="642"/>
      <c r="B265" s="642"/>
      <c r="C265"/>
      <c r="D265" s="642"/>
      <c r="E265" s="642"/>
      <c r="F265" s="642"/>
      <c r="G265" s="642"/>
      <c r="H265"/>
      <c r="I265"/>
      <c r="J265"/>
      <c r="K265"/>
      <c r="L265" s="642"/>
      <c r="M265" s="642"/>
      <c r="N265"/>
      <c r="O265"/>
      <c r="P265"/>
      <c r="Q265"/>
      <c r="R265"/>
      <c r="S265"/>
      <c r="T265"/>
      <c r="U265"/>
      <c r="V265"/>
      <c r="W265"/>
      <c r="X265" s="642"/>
      <c r="Y265" s="642"/>
      <c r="Z265" s="642"/>
      <c r="AA265" s="642"/>
      <c r="AB265"/>
      <c r="AC265"/>
      <c r="AD265"/>
      <c r="AE265"/>
      <c r="AF265"/>
      <c r="AG265"/>
      <c r="AH265" s="642"/>
      <c r="AI265" s="642"/>
      <c r="AJ265" s="642"/>
    </row>
    <row r="266" spans="1:36" x14ac:dyDescent="0.2">
      <c r="A266" s="642"/>
      <c r="B266" s="642"/>
      <c r="C266"/>
      <c r="D266" s="642"/>
      <c r="E266" s="642"/>
      <c r="F266" s="642"/>
      <c r="G266" s="642"/>
      <c r="H266"/>
      <c r="I266"/>
      <c r="J266"/>
      <c r="K266"/>
      <c r="L266" s="642"/>
      <c r="M266" s="642"/>
      <c r="N266"/>
      <c r="O266"/>
      <c r="P266"/>
      <c r="Q266"/>
      <c r="R266"/>
      <c r="S266"/>
      <c r="T266"/>
      <c r="U266"/>
      <c r="V266"/>
      <c r="W266"/>
      <c r="X266" s="642"/>
      <c r="Y266" s="642"/>
      <c r="Z266" s="642"/>
      <c r="AA266" s="642"/>
      <c r="AB266"/>
      <c r="AC266"/>
      <c r="AD266"/>
      <c r="AE266"/>
      <c r="AF266"/>
      <c r="AG266"/>
      <c r="AH266" s="642"/>
      <c r="AI266" s="642"/>
      <c r="AJ266" s="642"/>
    </row>
    <row r="267" spans="1:36" x14ac:dyDescent="0.2">
      <c r="A267" s="642"/>
      <c r="B267" s="642"/>
      <c r="C267"/>
      <c r="D267" s="642"/>
      <c r="E267" s="642"/>
      <c r="F267" s="642"/>
      <c r="G267" s="642"/>
      <c r="H267"/>
      <c r="I267"/>
      <c r="J267"/>
      <c r="K267"/>
      <c r="L267" s="642"/>
      <c r="M267" s="642"/>
      <c r="N267"/>
      <c r="O267"/>
      <c r="P267"/>
      <c r="Q267"/>
      <c r="R267"/>
      <c r="S267"/>
      <c r="T267"/>
      <c r="U267"/>
      <c r="V267"/>
      <c r="W267"/>
      <c r="X267" s="642"/>
      <c r="Y267" s="642"/>
      <c r="Z267" s="642"/>
      <c r="AA267" s="642"/>
      <c r="AB267"/>
      <c r="AC267"/>
      <c r="AD267"/>
      <c r="AE267"/>
      <c r="AF267"/>
      <c r="AG267"/>
      <c r="AH267" s="642"/>
      <c r="AI267" s="642"/>
      <c r="AJ267" s="642"/>
    </row>
    <row r="268" spans="1:36" x14ac:dyDescent="0.2">
      <c r="A268" s="642"/>
      <c r="B268" s="642"/>
      <c r="C268"/>
      <c r="D268" s="642"/>
      <c r="E268" s="642"/>
      <c r="F268" s="642"/>
      <c r="G268" s="642"/>
      <c r="H268"/>
      <c r="I268"/>
      <c r="J268"/>
      <c r="K268"/>
      <c r="L268" s="642"/>
      <c r="M268" s="642"/>
      <c r="N268"/>
      <c r="O268"/>
      <c r="P268"/>
      <c r="Q268"/>
      <c r="R268"/>
      <c r="S268"/>
      <c r="T268"/>
      <c r="U268"/>
      <c r="V268"/>
      <c r="W268"/>
      <c r="X268" s="642"/>
      <c r="Y268" s="642"/>
      <c r="Z268" s="642"/>
      <c r="AA268" s="642"/>
      <c r="AB268"/>
      <c r="AC268"/>
      <c r="AD268"/>
      <c r="AE268"/>
      <c r="AF268"/>
      <c r="AG268"/>
      <c r="AH268" s="642"/>
      <c r="AI268" s="642"/>
      <c r="AJ268" s="642"/>
    </row>
    <row r="269" spans="1:36" x14ac:dyDescent="0.2">
      <c r="A269" s="642"/>
      <c r="B269" s="642"/>
      <c r="C269"/>
      <c r="D269" s="642"/>
      <c r="E269" s="642"/>
      <c r="F269" s="642"/>
      <c r="G269" s="642"/>
      <c r="H269"/>
      <c r="I269"/>
      <c r="J269"/>
      <c r="K269"/>
      <c r="L269" s="642"/>
      <c r="M269" s="642"/>
      <c r="N269"/>
      <c r="O269"/>
      <c r="P269"/>
      <c r="Q269"/>
      <c r="R269"/>
      <c r="S269"/>
      <c r="T269"/>
      <c r="U269"/>
      <c r="V269"/>
      <c r="W269"/>
      <c r="X269" s="642"/>
      <c r="Y269" s="642"/>
      <c r="Z269" s="642"/>
      <c r="AA269" s="642"/>
      <c r="AB269"/>
      <c r="AC269"/>
      <c r="AD269"/>
      <c r="AE269"/>
      <c r="AF269"/>
      <c r="AG269"/>
      <c r="AH269" s="642"/>
      <c r="AI269" s="642"/>
      <c r="AJ269" s="642"/>
    </row>
    <row r="270" spans="1:36" x14ac:dyDescent="0.2">
      <c r="A270" s="642"/>
      <c r="B270" s="642"/>
      <c r="C270"/>
      <c r="D270" s="642"/>
      <c r="E270" s="642"/>
      <c r="F270" s="642"/>
      <c r="G270" s="642"/>
      <c r="H270"/>
      <c r="I270"/>
      <c r="J270"/>
      <c r="K270"/>
      <c r="L270" s="642"/>
      <c r="M270" s="642"/>
      <c r="N270"/>
      <c r="O270"/>
      <c r="P270"/>
      <c r="Q270"/>
      <c r="R270"/>
      <c r="S270"/>
      <c r="T270"/>
      <c r="U270"/>
      <c r="V270"/>
      <c r="W270"/>
      <c r="X270" s="642"/>
      <c r="Y270" s="642"/>
      <c r="Z270" s="642"/>
      <c r="AA270" s="642"/>
      <c r="AB270"/>
      <c r="AC270"/>
      <c r="AD270"/>
      <c r="AE270"/>
      <c r="AF270"/>
      <c r="AG270"/>
      <c r="AH270" s="642"/>
      <c r="AI270" s="642"/>
      <c r="AJ270" s="642"/>
    </row>
    <row r="271" spans="1:36" x14ac:dyDescent="0.2">
      <c r="A271" s="642"/>
      <c r="B271" s="642"/>
      <c r="C271"/>
      <c r="D271" s="642"/>
      <c r="E271" s="642"/>
      <c r="F271" s="642"/>
      <c r="G271" s="642"/>
      <c r="H271"/>
      <c r="I271"/>
      <c r="J271"/>
      <c r="K271"/>
      <c r="L271" s="642"/>
      <c r="M271" s="642"/>
      <c r="N271"/>
      <c r="O271"/>
      <c r="P271"/>
      <c r="Q271"/>
      <c r="R271"/>
      <c r="S271"/>
      <c r="T271"/>
      <c r="U271"/>
      <c r="V271"/>
      <c r="W271"/>
      <c r="X271" s="642"/>
      <c r="Y271" s="642"/>
      <c r="Z271" s="642"/>
      <c r="AA271" s="642"/>
      <c r="AB271"/>
      <c r="AC271"/>
      <c r="AD271"/>
      <c r="AE271"/>
      <c r="AF271"/>
      <c r="AG271"/>
      <c r="AH271" s="642"/>
      <c r="AI271" s="642"/>
      <c r="AJ271" s="642"/>
    </row>
    <row r="272" spans="1:36" x14ac:dyDescent="0.2">
      <c r="A272" s="642"/>
      <c r="B272" s="642"/>
      <c r="C272"/>
      <c r="D272" s="642"/>
      <c r="E272" s="642"/>
      <c r="F272" s="642"/>
      <c r="G272" s="642"/>
      <c r="H272"/>
      <c r="I272"/>
      <c r="J272"/>
      <c r="K272"/>
      <c r="L272" s="642"/>
      <c r="M272" s="642"/>
      <c r="N272"/>
      <c r="O272"/>
      <c r="P272"/>
      <c r="Q272"/>
      <c r="R272"/>
      <c r="S272"/>
      <c r="T272"/>
      <c r="U272"/>
      <c r="V272"/>
      <c r="W272"/>
      <c r="X272" s="642"/>
      <c r="Y272" s="642"/>
      <c r="Z272" s="642"/>
      <c r="AA272" s="642"/>
      <c r="AB272"/>
      <c r="AC272"/>
      <c r="AD272"/>
      <c r="AE272"/>
      <c r="AF272"/>
      <c r="AG272"/>
      <c r="AH272" s="642"/>
      <c r="AI272" s="642"/>
      <c r="AJ272" s="642"/>
    </row>
    <row r="273" spans="1:36" x14ac:dyDescent="0.2">
      <c r="A273" s="642"/>
      <c r="B273" s="642"/>
      <c r="C273"/>
      <c r="D273" s="642"/>
      <c r="E273" s="642"/>
      <c r="F273" s="642"/>
      <c r="G273" s="642"/>
      <c r="H273"/>
      <c r="I273"/>
      <c r="J273"/>
      <c r="K273"/>
      <c r="L273" s="642"/>
      <c r="M273" s="642"/>
      <c r="N273"/>
      <c r="O273"/>
      <c r="P273"/>
      <c r="Q273"/>
      <c r="R273"/>
      <c r="S273"/>
      <c r="T273"/>
      <c r="U273"/>
      <c r="V273"/>
      <c r="W273"/>
      <c r="X273" s="642"/>
      <c r="Y273" s="642"/>
      <c r="Z273" s="642"/>
      <c r="AA273" s="642"/>
      <c r="AB273"/>
      <c r="AC273"/>
      <c r="AD273"/>
      <c r="AE273"/>
      <c r="AF273"/>
      <c r="AG273"/>
      <c r="AH273" s="642"/>
      <c r="AI273" s="642"/>
      <c r="AJ273" s="642"/>
    </row>
    <row r="274" spans="1:36" x14ac:dyDescent="0.2">
      <c r="A274" s="642"/>
      <c r="B274" s="642"/>
      <c r="C274"/>
      <c r="D274" s="642"/>
      <c r="E274" s="642"/>
      <c r="F274" s="642"/>
      <c r="G274" s="642"/>
      <c r="H274"/>
      <c r="I274"/>
      <c r="J274"/>
      <c r="K274"/>
      <c r="L274" s="642"/>
      <c r="M274" s="642"/>
      <c r="N274"/>
      <c r="O274"/>
      <c r="P274"/>
      <c r="Q274"/>
      <c r="R274"/>
      <c r="S274"/>
      <c r="T274"/>
      <c r="U274"/>
      <c r="V274"/>
      <c r="W274"/>
      <c r="X274" s="642"/>
      <c r="Y274" s="642"/>
      <c r="Z274" s="642"/>
      <c r="AA274" s="642"/>
      <c r="AB274"/>
      <c r="AC274"/>
      <c r="AD274"/>
      <c r="AE274"/>
      <c r="AF274"/>
      <c r="AG274"/>
      <c r="AH274" s="642"/>
      <c r="AI274" s="642"/>
      <c r="AJ274" s="642"/>
    </row>
    <row r="275" spans="1:36" x14ac:dyDescent="0.2">
      <c r="A275" s="642"/>
      <c r="B275" s="642"/>
      <c r="C275"/>
      <c r="D275" s="642"/>
      <c r="E275" s="642"/>
      <c r="F275" s="642"/>
      <c r="G275" s="642"/>
      <c r="H275"/>
      <c r="I275"/>
      <c r="J275"/>
      <c r="K275"/>
      <c r="L275" s="642"/>
      <c r="M275" s="642"/>
      <c r="N275"/>
      <c r="O275"/>
      <c r="P275"/>
      <c r="Q275"/>
      <c r="R275"/>
      <c r="S275"/>
      <c r="T275"/>
      <c r="U275"/>
      <c r="V275"/>
      <c r="W275"/>
      <c r="X275" s="642"/>
      <c r="Y275" s="642"/>
      <c r="Z275" s="642"/>
      <c r="AA275" s="642"/>
      <c r="AB275"/>
      <c r="AC275"/>
      <c r="AD275"/>
      <c r="AE275"/>
      <c r="AF275"/>
      <c r="AG275"/>
      <c r="AH275" s="642"/>
      <c r="AI275" s="642"/>
      <c r="AJ275" s="642"/>
    </row>
    <row r="276" spans="1:36" x14ac:dyDescent="0.2">
      <c r="A276" s="642"/>
      <c r="B276" s="642"/>
      <c r="C276"/>
      <c r="D276" s="642"/>
      <c r="E276" s="642"/>
      <c r="F276" s="642"/>
      <c r="G276" s="642"/>
      <c r="H276"/>
      <c r="I276"/>
      <c r="J276"/>
      <c r="K276"/>
      <c r="L276" s="642"/>
      <c r="M276" s="642"/>
      <c r="N276"/>
      <c r="O276"/>
      <c r="P276"/>
      <c r="Q276"/>
      <c r="R276"/>
      <c r="S276"/>
      <c r="T276"/>
      <c r="U276"/>
      <c r="V276"/>
      <c r="W276"/>
      <c r="X276" s="642"/>
      <c r="Y276" s="642"/>
      <c r="Z276" s="642"/>
      <c r="AA276" s="642"/>
      <c r="AB276"/>
      <c r="AH276" s="642"/>
      <c r="AI276" s="642"/>
      <c r="AJ276" s="642"/>
    </row>
    <row r="277" spans="1:36" x14ac:dyDescent="0.2">
      <c r="A277" s="642"/>
      <c r="B277" s="642"/>
      <c r="C277"/>
      <c r="D277" s="642"/>
      <c r="E277" s="642"/>
      <c r="F277" s="642"/>
      <c r="G277" s="642"/>
      <c r="H277"/>
      <c r="I277"/>
      <c r="J277"/>
      <c r="K277"/>
      <c r="L277" s="642"/>
      <c r="M277" s="642"/>
      <c r="N277"/>
      <c r="O277"/>
      <c r="P277"/>
      <c r="Q277"/>
      <c r="R277"/>
      <c r="S277"/>
      <c r="T277"/>
      <c r="U277"/>
      <c r="V277"/>
      <c r="W277"/>
      <c r="X277" s="642"/>
      <c r="Y277" s="642"/>
      <c r="Z277" s="642"/>
      <c r="AA277" s="642"/>
      <c r="AB277"/>
      <c r="AC277"/>
      <c r="AD277"/>
      <c r="AE277"/>
      <c r="AF277"/>
      <c r="AG277"/>
      <c r="AH277" s="642"/>
      <c r="AI277" s="642"/>
      <c r="AJ277" s="642"/>
    </row>
    <row r="278" spans="1:36" x14ac:dyDescent="0.2">
      <c r="A278" s="642"/>
      <c r="B278" s="642"/>
      <c r="C278"/>
      <c r="D278" s="642"/>
      <c r="E278" s="642"/>
      <c r="F278" s="642"/>
      <c r="G278" s="642"/>
      <c r="H278"/>
      <c r="I278"/>
      <c r="J278"/>
      <c r="K278"/>
      <c r="L278" s="642"/>
      <c r="M278" s="642"/>
      <c r="N278"/>
      <c r="O278"/>
      <c r="P278"/>
      <c r="Q278"/>
      <c r="R278"/>
      <c r="S278"/>
      <c r="T278"/>
      <c r="U278"/>
      <c r="V278"/>
      <c r="W278"/>
      <c r="X278" s="642"/>
      <c r="Y278" s="642"/>
      <c r="Z278" s="642"/>
      <c r="AA278" s="642"/>
      <c r="AB278"/>
      <c r="AC278"/>
      <c r="AD278"/>
      <c r="AE278"/>
      <c r="AF278"/>
      <c r="AG278"/>
      <c r="AH278" s="642"/>
      <c r="AI278" s="642"/>
      <c r="AJ278" s="642"/>
    </row>
    <row r="279" spans="1:36" x14ac:dyDescent="0.2">
      <c r="A279" s="642"/>
      <c r="B279" s="642"/>
      <c r="C279"/>
      <c r="D279" s="642"/>
      <c r="E279" s="642"/>
      <c r="F279" s="642"/>
      <c r="G279" s="642"/>
      <c r="H279"/>
      <c r="I279"/>
      <c r="J279"/>
      <c r="K279"/>
      <c r="L279" s="642"/>
      <c r="M279" s="642"/>
      <c r="N279"/>
      <c r="O279"/>
      <c r="P279"/>
      <c r="Q279"/>
      <c r="R279"/>
      <c r="S279"/>
      <c r="T279"/>
      <c r="U279"/>
      <c r="V279"/>
      <c r="W279"/>
      <c r="X279" s="642"/>
      <c r="Y279" s="642"/>
      <c r="Z279" s="642"/>
      <c r="AA279" s="642"/>
      <c r="AB279"/>
      <c r="AC279"/>
      <c r="AD279"/>
      <c r="AE279"/>
      <c r="AF279"/>
      <c r="AG279"/>
      <c r="AH279" s="642"/>
      <c r="AI279" s="642"/>
      <c r="AJ279" s="642"/>
    </row>
    <row r="280" spans="1:36" x14ac:dyDescent="0.2">
      <c r="A280" s="642"/>
      <c r="B280" s="642"/>
      <c r="C280"/>
      <c r="D280" s="642"/>
      <c r="E280" s="642"/>
      <c r="F280" s="642"/>
      <c r="G280" s="642"/>
      <c r="H280"/>
      <c r="I280"/>
      <c r="J280"/>
      <c r="K280"/>
      <c r="L280" s="642"/>
      <c r="M280" s="642"/>
      <c r="N280"/>
      <c r="O280"/>
      <c r="P280"/>
      <c r="Q280"/>
      <c r="R280"/>
      <c r="S280"/>
      <c r="T280"/>
      <c r="U280"/>
      <c r="V280"/>
      <c r="W280"/>
      <c r="X280" s="642"/>
      <c r="Y280" s="642"/>
      <c r="Z280" s="642"/>
      <c r="AA280" s="642"/>
      <c r="AB280"/>
      <c r="AC280"/>
      <c r="AD280"/>
      <c r="AE280"/>
      <c r="AF280"/>
      <c r="AG280"/>
      <c r="AH280" s="642"/>
      <c r="AI280" s="642"/>
      <c r="AJ280" s="642"/>
    </row>
    <row r="281" spans="1:36" x14ac:dyDescent="0.2">
      <c r="A281" s="642"/>
      <c r="B281" s="642"/>
      <c r="C281"/>
      <c r="D281" s="642"/>
      <c r="E281" s="642"/>
      <c r="F281" s="642"/>
      <c r="G281" s="642"/>
      <c r="H281"/>
      <c r="I281"/>
      <c r="J281"/>
      <c r="K281"/>
      <c r="L281" s="642"/>
      <c r="M281" s="642"/>
      <c r="N281"/>
      <c r="O281"/>
      <c r="P281"/>
      <c r="Q281"/>
      <c r="R281"/>
      <c r="S281"/>
      <c r="T281"/>
      <c r="U281"/>
      <c r="V281"/>
      <c r="W281"/>
      <c r="X281" s="642"/>
      <c r="Y281" s="642"/>
      <c r="Z281" s="642"/>
      <c r="AA281" s="642"/>
      <c r="AB281"/>
      <c r="AC281"/>
      <c r="AD281"/>
      <c r="AE281"/>
      <c r="AF281"/>
      <c r="AG281"/>
      <c r="AH281" s="642"/>
      <c r="AI281" s="642"/>
      <c r="AJ281" s="642"/>
    </row>
    <row r="282" spans="1:36" x14ac:dyDescent="0.2">
      <c r="A282" s="642"/>
      <c r="B282" s="642"/>
      <c r="C282"/>
      <c r="D282" s="642"/>
      <c r="E282" s="642"/>
      <c r="F282" s="642"/>
      <c r="G282" s="642"/>
      <c r="H282"/>
      <c r="I282"/>
      <c r="J282"/>
      <c r="K282"/>
      <c r="L282" s="642"/>
      <c r="M282" s="642"/>
      <c r="N282"/>
      <c r="O282"/>
      <c r="P282"/>
      <c r="Q282"/>
      <c r="R282"/>
      <c r="S282"/>
      <c r="T282"/>
      <c r="U282"/>
      <c r="V282"/>
      <c r="W282"/>
      <c r="X282" s="642"/>
      <c r="Y282" s="642"/>
      <c r="Z282" s="642"/>
      <c r="AA282" s="642"/>
      <c r="AB282"/>
      <c r="AC282"/>
      <c r="AD282"/>
      <c r="AE282"/>
      <c r="AF282"/>
      <c r="AG282"/>
      <c r="AH282" s="642"/>
      <c r="AI282" s="642"/>
      <c r="AJ282" s="642"/>
    </row>
    <row r="283" spans="1:36" x14ac:dyDescent="0.2">
      <c r="A283" s="642"/>
      <c r="B283" s="642"/>
      <c r="C283"/>
      <c r="D283" s="642"/>
      <c r="E283" s="642"/>
      <c r="F283" s="642"/>
      <c r="G283" s="642"/>
      <c r="H283"/>
      <c r="I283"/>
      <c r="J283"/>
      <c r="K283"/>
      <c r="L283" s="642"/>
      <c r="M283" s="642"/>
      <c r="N283"/>
      <c r="O283"/>
      <c r="P283"/>
      <c r="Q283"/>
      <c r="R283"/>
      <c r="S283"/>
      <c r="T283"/>
      <c r="U283"/>
      <c r="V283"/>
      <c r="W283"/>
      <c r="X283" s="642"/>
      <c r="Y283" s="642"/>
      <c r="Z283" s="642"/>
      <c r="AA283" s="642"/>
      <c r="AB283"/>
      <c r="AC283"/>
      <c r="AD283"/>
      <c r="AE283"/>
      <c r="AF283"/>
      <c r="AG283"/>
      <c r="AH283" s="642"/>
      <c r="AI283" s="642"/>
      <c r="AJ283" s="642"/>
    </row>
    <row r="284" spans="1:36" x14ac:dyDescent="0.2">
      <c r="A284" s="642"/>
      <c r="B284" s="642"/>
      <c r="C284"/>
      <c r="D284" s="642"/>
      <c r="E284" s="642"/>
      <c r="F284" s="642"/>
      <c r="G284" s="642"/>
      <c r="H284"/>
      <c r="I284"/>
      <c r="J284"/>
      <c r="K284"/>
      <c r="L284" s="642"/>
      <c r="M284" s="642"/>
      <c r="N284"/>
      <c r="O284"/>
      <c r="P284"/>
      <c r="Q284"/>
      <c r="R284"/>
      <c r="S284"/>
      <c r="T284"/>
      <c r="U284"/>
      <c r="V284"/>
      <c r="W284"/>
      <c r="X284" s="642"/>
      <c r="Y284" s="642"/>
      <c r="Z284" s="642"/>
      <c r="AA284" s="642"/>
      <c r="AB284"/>
      <c r="AC284"/>
      <c r="AD284"/>
      <c r="AE284"/>
      <c r="AF284"/>
      <c r="AG284"/>
      <c r="AH284" s="642"/>
      <c r="AI284" s="642"/>
      <c r="AJ284" s="642"/>
    </row>
    <row r="285" spans="1:36" x14ac:dyDescent="0.2">
      <c r="A285" s="642"/>
      <c r="B285" s="642"/>
      <c r="C285"/>
      <c r="D285" s="642"/>
      <c r="E285" s="642"/>
      <c r="F285" s="642"/>
      <c r="G285" s="642"/>
      <c r="H285"/>
      <c r="I285"/>
      <c r="J285"/>
      <c r="K285"/>
      <c r="L285" s="642"/>
      <c r="M285" s="642"/>
      <c r="N285"/>
      <c r="O285"/>
      <c r="P285"/>
      <c r="Q285"/>
      <c r="R285"/>
      <c r="S285"/>
      <c r="T285"/>
      <c r="U285"/>
      <c r="V285"/>
      <c r="W285"/>
      <c r="X285" s="642"/>
      <c r="Y285" s="642"/>
      <c r="Z285" s="642"/>
      <c r="AA285" s="642"/>
      <c r="AB285"/>
      <c r="AC285"/>
      <c r="AD285"/>
      <c r="AE285"/>
      <c r="AF285"/>
      <c r="AG285"/>
      <c r="AH285" s="642"/>
      <c r="AI285" s="642"/>
      <c r="AJ285" s="642"/>
    </row>
    <row r="286" spans="1:36" x14ac:dyDescent="0.2">
      <c r="A286" s="642"/>
      <c r="B286" s="642"/>
      <c r="C286"/>
      <c r="D286" s="642"/>
      <c r="E286" s="642"/>
      <c r="F286" s="642"/>
      <c r="G286" s="642"/>
      <c r="H286"/>
      <c r="I286"/>
      <c r="J286"/>
      <c r="K286"/>
      <c r="L286" s="642"/>
      <c r="M286" s="642"/>
      <c r="N286"/>
      <c r="O286"/>
      <c r="P286"/>
      <c r="Q286"/>
      <c r="R286"/>
      <c r="S286"/>
      <c r="T286"/>
      <c r="U286"/>
      <c r="V286"/>
      <c r="W286"/>
      <c r="X286" s="642"/>
      <c r="Y286" s="642"/>
      <c r="Z286" s="642"/>
      <c r="AA286" s="642"/>
      <c r="AB286"/>
      <c r="AC286"/>
      <c r="AD286"/>
      <c r="AE286"/>
      <c r="AF286"/>
      <c r="AG286"/>
      <c r="AH286" s="642"/>
      <c r="AI286" s="642"/>
      <c r="AJ286" s="642"/>
    </row>
    <row r="287" spans="1:36" x14ac:dyDescent="0.2">
      <c r="A287" s="642"/>
      <c r="B287" s="642"/>
      <c r="C287"/>
      <c r="D287" s="642"/>
      <c r="E287" s="642"/>
      <c r="F287" s="642"/>
      <c r="G287" s="642"/>
      <c r="H287"/>
      <c r="I287"/>
      <c r="J287"/>
      <c r="K287"/>
      <c r="L287" s="642"/>
      <c r="M287" s="642"/>
      <c r="N287"/>
      <c r="O287"/>
      <c r="P287"/>
      <c r="Q287"/>
      <c r="R287"/>
      <c r="S287"/>
      <c r="T287"/>
      <c r="U287"/>
      <c r="V287"/>
      <c r="W287"/>
      <c r="X287" s="642"/>
      <c r="Y287" s="642"/>
      <c r="Z287" s="642"/>
      <c r="AA287" s="642"/>
      <c r="AB287"/>
      <c r="AC287"/>
      <c r="AD287"/>
      <c r="AE287"/>
      <c r="AF287"/>
      <c r="AG287"/>
      <c r="AH287" s="642"/>
      <c r="AI287" s="642"/>
      <c r="AJ287" s="642"/>
    </row>
    <row r="288" spans="1:36" x14ac:dyDescent="0.2">
      <c r="A288" s="642"/>
      <c r="B288" s="642"/>
      <c r="C288"/>
      <c r="D288" s="642"/>
      <c r="E288" s="642"/>
      <c r="F288" s="642"/>
      <c r="G288" s="642"/>
      <c r="H288"/>
      <c r="I288"/>
      <c r="J288"/>
      <c r="K288"/>
      <c r="L288" s="642"/>
      <c r="M288" s="642"/>
      <c r="N288"/>
      <c r="O288"/>
      <c r="P288"/>
      <c r="Q288"/>
      <c r="R288"/>
      <c r="S288"/>
      <c r="T288"/>
      <c r="U288"/>
      <c r="V288"/>
      <c r="W288"/>
      <c r="X288" s="642"/>
      <c r="Y288" s="642"/>
      <c r="Z288" s="642"/>
      <c r="AA288" s="642"/>
      <c r="AB288"/>
      <c r="AC288"/>
      <c r="AD288"/>
      <c r="AE288"/>
      <c r="AF288"/>
      <c r="AG288"/>
      <c r="AH288" s="642"/>
      <c r="AI288" s="642"/>
      <c r="AJ288" s="642"/>
    </row>
    <row r="289" spans="1:36" x14ac:dyDescent="0.2">
      <c r="A289" s="642"/>
      <c r="B289" s="642"/>
      <c r="C289"/>
      <c r="D289" s="642"/>
      <c r="E289" s="642"/>
      <c r="F289" s="642"/>
      <c r="G289" s="642"/>
      <c r="H289"/>
      <c r="I289"/>
      <c r="J289"/>
      <c r="K289"/>
      <c r="L289" s="642"/>
      <c r="M289" s="642"/>
      <c r="N289"/>
      <c r="O289"/>
      <c r="P289"/>
      <c r="Q289"/>
      <c r="R289"/>
      <c r="S289"/>
      <c r="T289"/>
      <c r="U289"/>
      <c r="V289"/>
      <c r="W289"/>
      <c r="X289" s="642"/>
      <c r="Y289" s="642"/>
      <c r="Z289" s="642"/>
      <c r="AA289" s="642"/>
      <c r="AB289"/>
      <c r="AC289"/>
      <c r="AD289"/>
      <c r="AE289"/>
      <c r="AF289"/>
      <c r="AG289"/>
      <c r="AH289" s="642"/>
      <c r="AI289" s="642"/>
      <c r="AJ289" s="642"/>
    </row>
    <row r="290" spans="1:36" x14ac:dyDescent="0.2">
      <c r="A290" s="642"/>
      <c r="B290" s="642"/>
      <c r="C290"/>
      <c r="D290" s="642"/>
      <c r="E290" s="642"/>
      <c r="F290" s="642"/>
      <c r="G290" s="642"/>
      <c r="H290"/>
      <c r="I290"/>
      <c r="J290"/>
      <c r="K290"/>
      <c r="L290" s="642"/>
      <c r="M290" s="642"/>
      <c r="N290"/>
      <c r="O290"/>
      <c r="P290"/>
      <c r="Q290"/>
      <c r="R290"/>
      <c r="S290"/>
      <c r="T290"/>
      <c r="U290"/>
      <c r="V290"/>
      <c r="W290"/>
      <c r="X290" s="642"/>
      <c r="Y290" s="642"/>
      <c r="Z290" s="642"/>
      <c r="AA290" s="642"/>
      <c r="AB290"/>
      <c r="AC290"/>
      <c r="AD290"/>
      <c r="AE290"/>
      <c r="AF290"/>
      <c r="AG290"/>
      <c r="AH290" s="642"/>
      <c r="AI290" s="642"/>
      <c r="AJ290" s="642"/>
    </row>
    <row r="291" spans="1:36" x14ac:dyDescent="0.2">
      <c r="A291" s="642"/>
      <c r="B291" s="642"/>
      <c r="C291"/>
      <c r="D291" s="642"/>
      <c r="E291" s="642"/>
      <c r="F291" s="642"/>
      <c r="G291" s="642"/>
      <c r="H291"/>
      <c r="I291"/>
      <c r="J291"/>
      <c r="K291"/>
      <c r="L291" s="642"/>
      <c r="M291" s="642"/>
      <c r="N291"/>
      <c r="O291"/>
      <c r="P291"/>
      <c r="Q291"/>
      <c r="R291"/>
      <c r="S291"/>
      <c r="T291"/>
      <c r="U291"/>
      <c r="V291"/>
      <c r="W291"/>
      <c r="X291" s="642"/>
      <c r="Y291" s="642"/>
      <c r="Z291" s="642"/>
      <c r="AA291" s="642"/>
      <c r="AB291"/>
      <c r="AC291"/>
      <c r="AD291"/>
      <c r="AE291"/>
      <c r="AF291"/>
      <c r="AG291"/>
      <c r="AH291" s="642"/>
      <c r="AI291" s="642"/>
      <c r="AJ291" s="642"/>
    </row>
    <row r="292" spans="1:36" x14ac:dyDescent="0.2">
      <c r="A292" s="642"/>
      <c r="B292" s="642"/>
      <c r="C292"/>
      <c r="D292" s="642"/>
      <c r="E292" s="642"/>
      <c r="F292" s="642"/>
      <c r="G292" s="642"/>
      <c r="H292"/>
      <c r="I292"/>
      <c r="J292"/>
      <c r="K292"/>
      <c r="L292" s="642"/>
      <c r="M292" s="642"/>
      <c r="N292"/>
      <c r="O292"/>
      <c r="P292"/>
      <c r="Q292"/>
      <c r="R292"/>
      <c r="S292"/>
      <c r="T292"/>
      <c r="U292"/>
      <c r="V292"/>
      <c r="W292"/>
      <c r="X292" s="642"/>
      <c r="Y292" s="642"/>
      <c r="Z292" s="642"/>
      <c r="AA292" s="642"/>
      <c r="AB292"/>
      <c r="AC292"/>
      <c r="AD292"/>
      <c r="AE292"/>
      <c r="AF292"/>
      <c r="AG292"/>
      <c r="AH292" s="642"/>
      <c r="AI292" s="642"/>
      <c r="AJ292" s="642"/>
    </row>
    <row r="293" spans="1:36" x14ac:dyDescent="0.2">
      <c r="A293" s="642"/>
      <c r="B293" s="642"/>
      <c r="C293"/>
      <c r="D293" s="642"/>
      <c r="E293" s="642"/>
      <c r="F293" s="642"/>
      <c r="G293" s="642"/>
      <c r="H293"/>
      <c r="I293"/>
      <c r="J293"/>
      <c r="K293"/>
      <c r="L293" s="642"/>
      <c r="M293" s="642"/>
      <c r="N293"/>
      <c r="O293"/>
      <c r="P293"/>
      <c r="Q293"/>
      <c r="R293"/>
      <c r="S293"/>
      <c r="T293"/>
      <c r="U293"/>
      <c r="V293"/>
      <c r="W293"/>
      <c r="X293" s="642"/>
      <c r="Y293" s="642"/>
      <c r="Z293" s="642"/>
      <c r="AA293" s="642"/>
      <c r="AB293"/>
      <c r="AC293"/>
      <c r="AD293"/>
      <c r="AE293"/>
      <c r="AF293"/>
      <c r="AG293"/>
      <c r="AH293" s="642"/>
      <c r="AI293" s="642"/>
      <c r="AJ293" s="642"/>
    </row>
    <row r="294" spans="1:36" x14ac:dyDescent="0.2">
      <c r="A294" s="642"/>
      <c r="B294" s="642"/>
      <c r="C294"/>
      <c r="D294" s="642"/>
      <c r="E294" s="642"/>
      <c r="F294" s="642"/>
      <c r="G294" s="642"/>
      <c r="H294"/>
      <c r="I294"/>
      <c r="J294"/>
      <c r="K294"/>
      <c r="L294" s="642"/>
      <c r="M294" s="642"/>
      <c r="N294"/>
      <c r="O294"/>
      <c r="P294"/>
      <c r="Q294"/>
      <c r="R294"/>
      <c r="S294"/>
      <c r="T294"/>
      <c r="U294"/>
      <c r="V294"/>
      <c r="W294"/>
      <c r="X294" s="642"/>
      <c r="Y294" s="642"/>
      <c r="Z294" s="642"/>
      <c r="AA294" s="642"/>
      <c r="AB294"/>
      <c r="AC294"/>
      <c r="AD294"/>
      <c r="AE294"/>
      <c r="AF294"/>
      <c r="AG294"/>
      <c r="AH294" s="642"/>
      <c r="AI294" s="642"/>
      <c r="AJ294" s="642"/>
    </row>
    <row r="295" spans="1:36" x14ac:dyDescent="0.2">
      <c r="A295" s="642"/>
      <c r="B295" s="642"/>
      <c r="C295"/>
      <c r="D295" s="642"/>
      <c r="E295" s="642"/>
      <c r="F295" s="642"/>
      <c r="G295" s="642"/>
      <c r="H295"/>
      <c r="I295"/>
      <c r="J295"/>
      <c r="K295"/>
      <c r="L295" s="642"/>
      <c r="M295" s="642"/>
      <c r="N295"/>
      <c r="O295"/>
      <c r="P295"/>
      <c r="Q295"/>
      <c r="R295"/>
      <c r="S295"/>
      <c r="T295"/>
      <c r="U295"/>
      <c r="V295"/>
      <c r="W295"/>
      <c r="X295" s="642"/>
      <c r="Y295" s="642"/>
      <c r="Z295" s="642"/>
      <c r="AA295" s="642"/>
      <c r="AB295"/>
      <c r="AC295"/>
      <c r="AD295"/>
      <c r="AE295"/>
      <c r="AF295"/>
      <c r="AG295"/>
      <c r="AH295" s="642"/>
      <c r="AI295" s="642"/>
      <c r="AJ295" s="642"/>
    </row>
    <row r="296" spans="1:36" x14ac:dyDescent="0.2">
      <c r="A296" s="642"/>
      <c r="B296" s="642"/>
      <c r="C296"/>
      <c r="D296" s="642"/>
      <c r="E296" s="642"/>
      <c r="F296" s="642"/>
      <c r="G296" s="642"/>
      <c r="H296"/>
      <c r="I296"/>
      <c r="J296"/>
      <c r="K296"/>
      <c r="L296" s="642"/>
      <c r="M296" s="642"/>
      <c r="N296"/>
      <c r="O296"/>
      <c r="P296"/>
      <c r="Q296"/>
      <c r="R296"/>
      <c r="S296"/>
      <c r="T296"/>
      <c r="U296"/>
      <c r="V296"/>
      <c r="W296"/>
      <c r="X296" s="642"/>
      <c r="Y296" s="642"/>
      <c r="Z296" s="642"/>
      <c r="AA296" s="642"/>
      <c r="AB296"/>
      <c r="AD296"/>
      <c r="AE296"/>
      <c r="AF296"/>
      <c r="AG296"/>
      <c r="AH296" s="642"/>
      <c r="AI296" s="642"/>
      <c r="AJ296" s="642"/>
    </row>
    <row r="297" spans="1:36" x14ac:dyDescent="0.2">
      <c r="A297" s="642"/>
      <c r="B297" s="642"/>
      <c r="C297"/>
      <c r="D297" s="642"/>
      <c r="E297" s="642"/>
      <c r="F297" s="642"/>
      <c r="G297" s="642"/>
      <c r="H297"/>
      <c r="I297"/>
      <c r="J297"/>
      <c r="K297"/>
      <c r="L297" s="642"/>
      <c r="M297" s="642"/>
      <c r="N297"/>
      <c r="O297"/>
      <c r="P297"/>
      <c r="Q297"/>
      <c r="R297"/>
      <c r="S297"/>
      <c r="T297"/>
      <c r="U297"/>
      <c r="V297"/>
      <c r="W297"/>
      <c r="X297" s="642"/>
      <c r="Y297" s="642"/>
      <c r="Z297" s="642"/>
      <c r="AA297" s="642"/>
      <c r="AB297"/>
      <c r="AC297"/>
      <c r="AD297"/>
      <c r="AE297"/>
      <c r="AF297"/>
      <c r="AG297"/>
      <c r="AH297" s="642"/>
      <c r="AI297" s="642"/>
      <c r="AJ297" s="642"/>
    </row>
    <row r="298" spans="1:36" x14ac:dyDescent="0.2">
      <c r="A298" s="642"/>
      <c r="B298" s="642"/>
      <c r="C298"/>
      <c r="D298" s="642"/>
      <c r="E298" s="642"/>
      <c r="F298" s="642"/>
      <c r="G298" s="642"/>
      <c r="H298"/>
      <c r="I298"/>
      <c r="J298"/>
      <c r="K298"/>
      <c r="L298" s="642"/>
      <c r="M298" s="642"/>
      <c r="N298"/>
      <c r="O298"/>
      <c r="P298"/>
      <c r="Q298"/>
      <c r="R298"/>
      <c r="S298"/>
      <c r="T298"/>
      <c r="U298"/>
      <c r="V298"/>
      <c r="W298"/>
      <c r="X298" s="642"/>
      <c r="Y298" s="642"/>
      <c r="Z298" s="642"/>
      <c r="AA298" s="642"/>
      <c r="AB298"/>
      <c r="AC298"/>
      <c r="AD298"/>
      <c r="AE298"/>
      <c r="AF298"/>
      <c r="AG298"/>
      <c r="AH298" s="642"/>
      <c r="AI298" s="642"/>
      <c r="AJ298" s="642"/>
    </row>
    <row r="299" spans="1:36" x14ac:dyDescent="0.2">
      <c r="A299" s="642"/>
      <c r="B299" s="642"/>
      <c r="C299"/>
      <c r="D299" s="642"/>
      <c r="E299" s="642"/>
      <c r="F299" s="642"/>
      <c r="G299" s="642"/>
      <c r="H299"/>
      <c r="I299"/>
      <c r="J299"/>
      <c r="K299"/>
      <c r="L299" s="642"/>
      <c r="M299" s="642"/>
      <c r="N299"/>
      <c r="O299"/>
      <c r="P299"/>
      <c r="Q299"/>
      <c r="R299"/>
      <c r="S299"/>
      <c r="T299"/>
      <c r="U299"/>
      <c r="V299"/>
      <c r="W299"/>
      <c r="X299" s="642"/>
      <c r="Y299" s="642"/>
      <c r="Z299" s="642"/>
      <c r="AA299" s="642"/>
      <c r="AB299"/>
      <c r="AC299"/>
      <c r="AD299"/>
      <c r="AE299"/>
      <c r="AF299"/>
      <c r="AG299"/>
      <c r="AH299" s="642"/>
      <c r="AI299" s="642"/>
      <c r="AJ299" s="642"/>
    </row>
    <row r="300" spans="1:36" x14ac:dyDescent="0.2">
      <c r="A300" s="642"/>
      <c r="B300" s="642"/>
      <c r="C300"/>
      <c r="D300" s="642"/>
      <c r="E300" s="642"/>
      <c r="F300" s="642"/>
      <c r="G300" s="642"/>
      <c r="H300"/>
      <c r="I300"/>
      <c r="J300"/>
      <c r="K300"/>
      <c r="L300" s="642"/>
      <c r="M300" s="642"/>
      <c r="N300"/>
      <c r="O300"/>
      <c r="P300"/>
      <c r="Q300"/>
      <c r="R300"/>
      <c r="S300"/>
      <c r="T300"/>
      <c r="U300"/>
      <c r="V300"/>
      <c r="W300"/>
      <c r="X300" s="642"/>
      <c r="Y300" s="642"/>
      <c r="Z300" s="642"/>
      <c r="AA300" s="642"/>
      <c r="AB300"/>
      <c r="AC300"/>
      <c r="AD300"/>
      <c r="AE300"/>
      <c r="AF300"/>
      <c r="AG300"/>
      <c r="AH300" s="642"/>
      <c r="AI300" s="642"/>
      <c r="AJ300" s="642"/>
    </row>
    <row r="301" spans="1:36" x14ac:dyDescent="0.2">
      <c r="A301" s="642"/>
      <c r="B301" s="642"/>
      <c r="C301"/>
      <c r="D301" s="642"/>
      <c r="E301" s="642"/>
      <c r="F301" s="642"/>
      <c r="G301" s="642"/>
      <c r="H301"/>
      <c r="I301"/>
      <c r="J301"/>
      <c r="K301"/>
      <c r="L301" s="642"/>
      <c r="M301" s="642"/>
      <c r="N301"/>
      <c r="O301"/>
      <c r="P301"/>
      <c r="Q301"/>
      <c r="R301"/>
      <c r="S301"/>
      <c r="T301"/>
      <c r="U301"/>
      <c r="V301"/>
      <c r="W301"/>
      <c r="X301" s="642"/>
      <c r="Y301" s="642"/>
      <c r="Z301" s="642"/>
      <c r="AA301" s="642"/>
      <c r="AB301"/>
      <c r="AC301"/>
      <c r="AD301"/>
      <c r="AE301"/>
      <c r="AF301"/>
      <c r="AG301"/>
      <c r="AH301" s="642"/>
      <c r="AI301" s="642"/>
      <c r="AJ301" s="642"/>
    </row>
    <row r="302" spans="1:36" x14ac:dyDescent="0.2">
      <c r="A302" s="642"/>
      <c r="B302" s="642"/>
      <c r="C302"/>
      <c r="D302" s="642"/>
      <c r="E302" s="642"/>
      <c r="F302" s="642"/>
      <c r="G302" s="642"/>
      <c r="H302"/>
      <c r="I302"/>
      <c r="J302"/>
      <c r="K302"/>
      <c r="L302" s="642"/>
      <c r="M302" s="642"/>
      <c r="N302"/>
      <c r="O302"/>
      <c r="P302"/>
      <c r="Q302"/>
      <c r="R302"/>
      <c r="S302"/>
      <c r="T302"/>
      <c r="U302"/>
      <c r="V302"/>
      <c r="W302"/>
      <c r="X302" s="642"/>
      <c r="Y302" s="642"/>
      <c r="Z302" s="642"/>
      <c r="AA302" s="642"/>
      <c r="AB302"/>
      <c r="AC302"/>
      <c r="AD302"/>
      <c r="AE302"/>
      <c r="AF302"/>
      <c r="AG302"/>
      <c r="AH302" s="642"/>
      <c r="AI302" s="642"/>
      <c r="AJ302" s="642"/>
    </row>
    <row r="303" spans="1:36" x14ac:dyDescent="0.2">
      <c r="A303" s="642"/>
      <c r="B303" s="642"/>
      <c r="C303"/>
      <c r="D303" s="642"/>
      <c r="E303" s="642"/>
      <c r="F303" s="642"/>
      <c r="G303" s="642"/>
      <c r="H303"/>
      <c r="I303"/>
      <c r="J303"/>
      <c r="K303"/>
      <c r="L303" s="642"/>
      <c r="M303" s="642"/>
      <c r="N303"/>
      <c r="O303"/>
      <c r="P303"/>
      <c r="Q303"/>
      <c r="R303"/>
      <c r="S303"/>
      <c r="T303"/>
      <c r="U303"/>
      <c r="V303"/>
      <c r="W303"/>
      <c r="X303" s="642"/>
      <c r="Y303" s="642"/>
      <c r="Z303" s="642"/>
      <c r="AA303" s="642"/>
      <c r="AB303"/>
      <c r="AC303"/>
      <c r="AD303"/>
      <c r="AE303"/>
      <c r="AF303"/>
      <c r="AG303"/>
      <c r="AH303" s="642"/>
      <c r="AI303" s="642"/>
      <c r="AJ303" s="642"/>
    </row>
    <row r="304" spans="1:36" x14ac:dyDescent="0.2">
      <c r="A304" s="642"/>
      <c r="B304" s="642"/>
      <c r="C304"/>
      <c r="D304" s="642"/>
      <c r="E304" s="642"/>
      <c r="F304" s="642"/>
      <c r="G304" s="642"/>
      <c r="H304"/>
      <c r="I304"/>
      <c r="J304"/>
      <c r="K304"/>
      <c r="L304" s="642"/>
      <c r="M304" s="642"/>
      <c r="N304"/>
      <c r="O304"/>
      <c r="P304"/>
      <c r="Q304"/>
      <c r="R304"/>
      <c r="S304"/>
      <c r="T304"/>
      <c r="U304"/>
      <c r="V304"/>
      <c r="W304"/>
      <c r="X304" s="642"/>
      <c r="Y304" s="642"/>
      <c r="Z304" s="642"/>
      <c r="AA304" s="642"/>
      <c r="AB304"/>
      <c r="AC304"/>
      <c r="AD304"/>
      <c r="AE304"/>
      <c r="AF304"/>
      <c r="AG304"/>
      <c r="AH304" s="642"/>
      <c r="AI304" s="642"/>
      <c r="AJ304" s="642"/>
    </row>
    <row r="305" spans="1:36" x14ac:dyDescent="0.2">
      <c r="A305" s="642"/>
      <c r="B305" s="642"/>
      <c r="C305"/>
      <c r="D305" s="642"/>
      <c r="E305" s="642"/>
      <c r="F305" s="642"/>
      <c r="G305" s="642"/>
      <c r="H305"/>
      <c r="I305"/>
      <c r="J305"/>
      <c r="K305"/>
      <c r="L305" s="642"/>
      <c r="M305" s="642"/>
      <c r="N305"/>
      <c r="O305"/>
      <c r="P305"/>
      <c r="Q305"/>
      <c r="R305"/>
      <c r="S305"/>
      <c r="T305"/>
      <c r="U305"/>
      <c r="V305"/>
      <c r="W305"/>
      <c r="X305" s="642"/>
      <c r="Y305" s="642"/>
      <c r="Z305" s="642"/>
      <c r="AA305" s="642"/>
      <c r="AB305"/>
      <c r="AC305"/>
      <c r="AD305"/>
      <c r="AE305"/>
      <c r="AH305" s="642"/>
      <c r="AI305" s="642"/>
      <c r="AJ305" s="642"/>
    </row>
    <row r="306" spans="1:36" x14ac:dyDescent="0.2">
      <c r="A306" s="642"/>
      <c r="B306" s="642"/>
      <c r="C306"/>
      <c r="D306" s="642"/>
      <c r="E306" s="642"/>
      <c r="F306" s="642"/>
      <c r="G306" s="642"/>
      <c r="H306"/>
      <c r="I306"/>
      <c r="J306"/>
      <c r="K306"/>
      <c r="L306" s="642"/>
      <c r="M306" s="642"/>
      <c r="N306"/>
      <c r="O306"/>
      <c r="P306"/>
      <c r="Q306"/>
      <c r="R306"/>
      <c r="S306"/>
      <c r="T306"/>
      <c r="U306"/>
      <c r="V306"/>
      <c r="W306"/>
      <c r="X306" s="642"/>
      <c r="Y306" s="642"/>
      <c r="Z306" s="642"/>
      <c r="AA306" s="642"/>
      <c r="AB306"/>
      <c r="AD306"/>
      <c r="AE306"/>
      <c r="AF306"/>
      <c r="AG306"/>
      <c r="AH306" s="642"/>
      <c r="AI306" s="642"/>
      <c r="AJ306" s="642"/>
    </row>
    <row r="307" spans="1:36" x14ac:dyDescent="0.2">
      <c r="A307" s="642"/>
      <c r="B307" s="642"/>
      <c r="C307"/>
      <c r="D307" s="642"/>
      <c r="E307" s="642"/>
      <c r="F307" s="642"/>
      <c r="G307" s="642"/>
      <c r="H307"/>
      <c r="I307"/>
      <c r="J307"/>
      <c r="K307"/>
      <c r="L307" s="642"/>
      <c r="M307" s="642"/>
      <c r="N307"/>
      <c r="O307"/>
      <c r="P307"/>
      <c r="Q307"/>
      <c r="R307"/>
      <c r="S307"/>
      <c r="T307"/>
      <c r="U307"/>
      <c r="V307"/>
      <c r="W307"/>
      <c r="X307" s="642"/>
      <c r="Y307" s="642"/>
      <c r="Z307" s="642"/>
      <c r="AA307" s="642"/>
      <c r="AB307"/>
      <c r="AC307"/>
      <c r="AD307"/>
      <c r="AE307"/>
      <c r="AF307"/>
      <c r="AG307"/>
      <c r="AH307" s="642"/>
      <c r="AI307" s="642"/>
      <c r="AJ307" s="642"/>
    </row>
    <row r="308" spans="1:36" x14ac:dyDescent="0.2">
      <c r="A308" s="642"/>
      <c r="B308" s="642"/>
      <c r="C308"/>
      <c r="D308" s="642"/>
      <c r="E308" s="642"/>
      <c r="F308" s="642"/>
      <c r="G308" s="642"/>
      <c r="H308"/>
      <c r="I308"/>
      <c r="J308"/>
      <c r="K308"/>
      <c r="L308" s="642"/>
      <c r="M308" s="642"/>
      <c r="N308"/>
      <c r="O308"/>
      <c r="P308"/>
      <c r="Q308"/>
      <c r="R308"/>
      <c r="S308"/>
      <c r="T308"/>
      <c r="U308"/>
      <c r="V308"/>
      <c r="W308"/>
      <c r="X308" s="642"/>
      <c r="Y308" s="642"/>
      <c r="Z308" s="642"/>
      <c r="AA308" s="642"/>
      <c r="AB308"/>
      <c r="AC308"/>
      <c r="AD308"/>
      <c r="AE308"/>
      <c r="AF308"/>
      <c r="AG308"/>
      <c r="AH308" s="642"/>
      <c r="AI308" s="642"/>
      <c r="AJ308" s="642"/>
    </row>
    <row r="309" spans="1:36" x14ac:dyDescent="0.2">
      <c r="A309" s="642"/>
      <c r="B309" s="642"/>
      <c r="C309"/>
      <c r="D309" s="642"/>
      <c r="E309" s="642"/>
      <c r="F309" s="642"/>
      <c r="G309" s="642"/>
      <c r="H309"/>
      <c r="I309"/>
      <c r="J309"/>
      <c r="K309"/>
      <c r="L309" s="642"/>
      <c r="M309" s="642"/>
      <c r="N309"/>
      <c r="O309"/>
      <c r="P309"/>
      <c r="Q309"/>
      <c r="R309"/>
      <c r="S309"/>
      <c r="T309"/>
      <c r="U309"/>
      <c r="V309"/>
      <c r="W309"/>
      <c r="X309" s="642"/>
      <c r="Y309" s="642"/>
      <c r="Z309" s="642"/>
      <c r="AA309" s="642"/>
      <c r="AB309"/>
      <c r="AC309"/>
      <c r="AD309"/>
      <c r="AE309"/>
      <c r="AF309"/>
      <c r="AG309"/>
      <c r="AH309" s="642"/>
      <c r="AI309" s="642"/>
      <c r="AJ309" s="642"/>
    </row>
    <row r="310" spans="1:36" x14ac:dyDescent="0.2">
      <c r="A310" s="642"/>
      <c r="B310" s="642"/>
      <c r="C310"/>
      <c r="D310" s="642"/>
      <c r="E310" s="642"/>
      <c r="F310" s="642"/>
      <c r="G310" s="642"/>
      <c r="H310"/>
      <c r="I310"/>
      <c r="J310"/>
      <c r="K310"/>
      <c r="L310" s="642"/>
      <c r="M310" s="642"/>
      <c r="N310"/>
      <c r="O310"/>
      <c r="P310"/>
      <c r="Q310"/>
      <c r="R310"/>
      <c r="S310"/>
      <c r="T310"/>
      <c r="U310"/>
      <c r="V310"/>
      <c r="W310"/>
      <c r="X310" s="642"/>
      <c r="Y310" s="642"/>
      <c r="Z310" s="642"/>
      <c r="AA310" s="642"/>
      <c r="AB310"/>
      <c r="AC310"/>
      <c r="AD310"/>
      <c r="AE310"/>
      <c r="AF310"/>
      <c r="AG310"/>
      <c r="AH310" s="642"/>
      <c r="AI310" s="642"/>
      <c r="AJ310" s="642"/>
    </row>
    <row r="311" spans="1:36" x14ac:dyDescent="0.2">
      <c r="A311" s="642"/>
      <c r="B311" s="642"/>
      <c r="C311"/>
      <c r="D311" s="642"/>
      <c r="E311" s="642"/>
      <c r="F311" s="642"/>
      <c r="G311" s="642"/>
      <c r="H311"/>
      <c r="I311"/>
      <c r="J311"/>
      <c r="K311"/>
      <c r="L311" s="642"/>
      <c r="M311" s="642"/>
      <c r="N311"/>
      <c r="O311"/>
      <c r="P311"/>
      <c r="Q311"/>
      <c r="R311"/>
      <c r="S311"/>
      <c r="T311"/>
      <c r="U311"/>
      <c r="V311"/>
      <c r="W311"/>
      <c r="X311" s="642"/>
      <c r="Y311" s="642"/>
      <c r="Z311" s="642"/>
      <c r="AA311" s="642"/>
      <c r="AB311"/>
      <c r="AC311"/>
      <c r="AD311"/>
      <c r="AE311"/>
      <c r="AF311"/>
      <c r="AG311"/>
      <c r="AH311" s="642"/>
      <c r="AI311" s="642"/>
      <c r="AJ311" s="642"/>
    </row>
    <row r="312" spans="1:36" x14ac:dyDescent="0.2">
      <c r="A312" s="642"/>
      <c r="B312" s="642"/>
      <c r="C312"/>
      <c r="D312" s="642"/>
      <c r="E312" s="642"/>
      <c r="F312" s="642"/>
      <c r="G312" s="642"/>
      <c r="H312"/>
      <c r="I312"/>
      <c r="J312"/>
      <c r="K312"/>
      <c r="L312" s="642"/>
      <c r="M312" s="642"/>
      <c r="N312"/>
      <c r="O312"/>
      <c r="P312"/>
      <c r="Q312"/>
      <c r="R312"/>
      <c r="S312"/>
      <c r="T312"/>
      <c r="U312"/>
      <c r="V312"/>
      <c r="W312"/>
      <c r="X312" s="642"/>
      <c r="Y312" s="642"/>
      <c r="Z312" s="642"/>
      <c r="AA312" s="642"/>
      <c r="AB312"/>
      <c r="AC312"/>
      <c r="AD312"/>
      <c r="AE312"/>
      <c r="AF312"/>
      <c r="AG312"/>
      <c r="AH312" s="642"/>
      <c r="AI312" s="642"/>
      <c r="AJ312" s="642"/>
    </row>
    <row r="313" spans="1:36" x14ac:dyDescent="0.2">
      <c r="A313" s="642"/>
      <c r="B313" s="642"/>
      <c r="C313"/>
      <c r="D313" s="642"/>
      <c r="E313" s="642"/>
      <c r="F313" s="642"/>
      <c r="G313" s="642"/>
      <c r="H313"/>
      <c r="I313"/>
      <c r="J313"/>
      <c r="K313"/>
      <c r="L313" s="642"/>
      <c r="M313" s="642"/>
      <c r="N313"/>
      <c r="O313"/>
      <c r="P313"/>
      <c r="Q313"/>
      <c r="R313"/>
      <c r="S313"/>
      <c r="T313"/>
      <c r="U313"/>
      <c r="V313"/>
      <c r="W313"/>
      <c r="X313" s="642"/>
      <c r="Y313" s="642"/>
      <c r="Z313" s="642"/>
      <c r="AA313" s="642"/>
      <c r="AB313"/>
      <c r="AC313"/>
      <c r="AD313"/>
      <c r="AE313"/>
      <c r="AF313"/>
      <c r="AG313"/>
      <c r="AH313" s="642"/>
      <c r="AI313" s="642"/>
      <c r="AJ313" s="642"/>
    </row>
    <row r="314" spans="1:36" x14ac:dyDescent="0.2">
      <c r="A314" s="642"/>
      <c r="B314" s="642"/>
      <c r="C314"/>
      <c r="D314" s="642"/>
      <c r="E314" s="642"/>
      <c r="F314" s="642"/>
      <c r="G314" s="642"/>
      <c r="H314"/>
      <c r="I314"/>
      <c r="J314"/>
      <c r="K314"/>
      <c r="L314" s="642"/>
      <c r="M314" s="642"/>
      <c r="N314"/>
      <c r="O314"/>
      <c r="P314"/>
      <c r="Q314"/>
      <c r="R314"/>
      <c r="S314"/>
      <c r="T314"/>
      <c r="U314"/>
      <c r="V314"/>
      <c r="W314"/>
      <c r="X314" s="642"/>
      <c r="Y314" s="642"/>
      <c r="Z314" s="642"/>
      <c r="AA314" s="642"/>
      <c r="AB314"/>
      <c r="AC314"/>
      <c r="AD314"/>
      <c r="AE314"/>
      <c r="AF314"/>
      <c r="AG314"/>
      <c r="AH314" s="642"/>
      <c r="AI314" s="642"/>
      <c r="AJ314" s="642"/>
    </row>
    <row r="315" spans="1:36" x14ac:dyDescent="0.2">
      <c r="A315" s="642"/>
      <c r="B315" s="642"/>
      <c r="C315"/>
      <c r="D315" s="642"/>
      <c r="E315" s="642"/>
      <c r="F315" s="642"/>
      <c r="G315" s="642"/>
      <c r="H315"/>
      <c r="I315"/>
      <c r="J315"/>
      <c r="K315"/>
      <c r="L315" s="642"/>
      <c r="M315" s="642"/>
      <c r="N315"/>
      <c r="O315"/>
      <c r="P315"/>
      <c r="Q315"/>
      <c r="R315"/>
      <c r="S315"/>
      <c r="T315"/>
      <c r="U315"/>
      <c r="V315"/>
      <c r="W315"/>
      <c r="X315" s="642"/>
      <c r="Y315" s="642"/>
      <c r="Z315" s="642"/>
      <c r="AA315" s="642"/>
      <c r="AB315"/>
      <c r="AC315"/>
      <c r="AD315"/>
      <c r="AE315"/>
      <c r="AF315"/>
      <c r="AG315"/>
      <c r="AH315" s="642"/>
      <c r="AI315" s="642"/>
      <c r="AJ315" s="642"/>
    </row>
    <row r="316" spans="1:36" x14ac:dyDescent="0.2">
      <c r="A316" s="642"/>
      <c r="B316" s="642"/>
      <c r="C316"/>
      <c r="D316" s="642"/>
      <c r="E316" s="642"/>
      <c r="F316" s="642"/>
      <c r="G316" s="642"/>
      <c r="H316"/>
      <c r="I316"/>
      <c r="J316"/>
      <c r="K316"/>
      <c r="L316" s="642"/>
      <c r="M316" s="642"/>
      <c r="N316"/>
      <c r="O316"/>
      <c r="P316"/>
      <c r="Q316"/>
      <c r="R316"/>
      <c r="S316"/>
      <c r="T316"/>
      <c r="U316"/>
      <c r="V316"/>
      <c r="W316"/>
      <c r="X316" s="642"/>
      <c r="Y316" s="642"/>
      <c r="Z316" s="642"/>
      <c r="AA316" s="642"/>
      <c r="AB316"/>
      <c r="AC316"/>
      <c r="AD316"/>
      <c r="AE316"/>
      <c r="AF316"/>
      <c r="AG316"/>
      <c r="AH316" s="642"/>
      <c r="AI316" s="642"/>
      <c r="AJ316" s="642"/>
    </row>
    <row r="317" spans="1:36" x14ac:dyDescent="0.2">
      <c r="A317" s="642"/>
      <c r="B317" s="642"/>
      <c r="C317"/>
      <c r="D317" s="642"/>
      <c r="E317" s="642"/>
      <c r="F317" s="642"/>
      <c r="G317" s="642"/>
      <c r="H317"/>
      <c r="I317"/>
      <c r="J317"/>
      <c r="K317"/>
      <c r="L317" s="642"/>
      <c r="M317" s="642"/>
      <c r="N317"/>
      <c r="O317"/>
      <c r="P317"/>
      <c r="Q317"/>
      <c r="R317"/>
      <c r="S317"/>
      <c r="T317"/>
      <c r="U317"/>
      <c r="V317"/>
      <c r="W317"/>
      <c r="X317" s="642"/>
      <c r="Y317" s="642"/>
      <c r="Z317" s="642"/>
      <c r="AA317" s="642"/>
      <c r="AB317"/>
      <c r="AH317" s="642"/>
      <c r="AI317" s="642"/>
      <c r="AJ317" s="642"/>
    </row>
    <row r="318" spans="1:36" x14ac:dyDescent="0.2">
      <c r="A318" s="642"/>
      <c r="B318" s="642"/>
      <c r="C318"/>
      <c r="D318" s="642"/>
      <c r="E318" s="642"/>
      <c r="F318" s="642"/>
      <c r="G318" s="642"/>
      <c r="H318"/>
      <c r="I318"/>
      <c r="J318"/>
      <c r="K318"/>
      <c r="L318" s="642"/>
      <c r="M318" s="642"/>
      <c r="N318"/>
      <c r="O318"/>
      <c r="P318"/>
      <c r="Q318"/>
      <c r="R318"/>
      <c r="S318"/>
      <c r="T318"/>
      <c r="U318"/>
      <c r="V318"/>
      <c r="W318"/>
      <c r="X318" s="642"/>
      <c r="Y318" s="642"/>
      <c r="Z318" s="642"/>
      <c r="AA318" s="642"/>
      <c r="AB318"/>
      <c r="AC318"/>
      <c r="AD318"/>
      <c r="AE318"/>
      <c r="AF318"/>
      <c r="AG318"/>
      <c r="AH318" s="642"/>
      <c r="AI318" s="642"/>
      <c r="AJ318" s="642"/>
    </row>
    <row r="319" spans="1:36" x14ac:dyDescent="0.2">
      <c r="A319" s="642"/>
      <c r="B319" s="642"/>
      <c r="C319"/>
      <c r="D319" s="642"/>
      <c r="E319" s="642"/>
      <c r="F319" s="642"/>
      <c r="G319" s="642"/>
      <c r="H319"/>
      <c r="I319"/>
      <c r="J319"/>
      <c r="K319"/>
      <c r="L319" s="642"/>
      <c r="M319" s="642"/>
      <c r="N319"/>
      <c r="O319"/>
      <c r="P319"/>
      <c r="Q319"/>
      <c r="R319"/>
      <c r="S319"/>
      <c r="T319"/>
      <c r="U319"/>
      <c r="V319"/>
      <c r="W319"/>
      <c r="X319" s="642"/>
      <c r="Y319" s="642"/>
      <c r="Z319" s="642"/>
      <c r="AA319" s="642"/>
      <c r="AB319"/>
      <c r="AC319"/>
      <c r="AD319"/>
      <c r="AE319"/>
      <c r="AF319"/>
      <c r="AG319"/>
      <c r="AH319" s="642"/>
      <c r="AI319" s="642"/>
      <c r="AJ319" s="642"/>
    </row>
    <row r="320" spans="1:36" x14ac:dyDescent="0.2">
      <c r="A320" s="642"/>
      <c r="B320" s="642"/>
      <c r="C320"/>
      <c r="D320" s="642"/>
      <c r="E320" s="642"/>
      <c r="F320" s="642"/>
      <c r="G320" s="642"/>
      <c r="H320"/>
      <c r="I320"/>
      <c r="J320"/>
      <c r="K320"/>
      <c r="L320" s="642"/>
      <c r="M320" s="642"/>
      <c r="N320"/>
      <c r="O320"/>
      <c r="P320"/>
      <c r="Q320"/>
      <c r="R320"/>
      <c r="S320"/>
      <c r="T320"/>
      <c r="U320"/>
      <c r="V320"/>
      <c r="W320"/>
      <c r="X320" s="642"/>
      <c r="Y320" s="642"/>
      <c r="Z320" s="642"/>
      <c r="AA320" s="642"/>
      <c r="AB320"/>
      <c r="AC320"/>
      <c r="AD320"/>
      <c r="AE320"/>
      <c r="AF320"/>
      <c r="AG320"/>
      <c r="AH320" s="642"/>
      <c r="AI320" s="642"/>
      <c r="AJ320" s="642"/>
    </row>
    <row r="321" spans="1:36" x14ac:dyDescent="0.2">
      <c r="A321" s="642"/>
      <c r="B321" s="642"/>
      <c r="C321"/>
      <c r="D321" s="642"/>
      <c r="E321" s="642"/>
      <c r="F321" s="642"/>
      <c r="G321" s="642"/>
      <c r="H321"/>
      <c r="I321"/>
      <c r="J321"/>
      <c r="K321"/>
      <c r="L321" s="642"/>
      <c r="M321" s="642"/>
      <c r="N321"/>
      <c r="O321"/>
      <c r="P321"/>
      <c r="Q321"/>
      <c r="R321"/>
      <c r="S321"/>
      <c r="T321"/>
      <c r="U321"/>
      <c r="V321"/>
      <c r="W321"/>
      <c r="X321" s="642"/>
      <c r="Y321" s="642"/>
      <c r="Z321" s="642"/>
      <c r="AA321" s="642"/>
      <c r="AB321"/>
      <c r="AC321"/>
      <c r="AD321"/>
      <c r="AE321"/>
      <c r="AF321"/>
      <c r="AG321"/>
      <c r="AH321" s="642"/>
      <c r="AI321" s="642"/>
      <c r="AJ321" s="642"/>
    </row>
    <row r="322" spans="1:36" x14ac:dyDescent="0.2">
      <c r="A322" s="642"/>
      <c r="B322" s="642"/>
      <c r="C322"/>
      <c r="D322" s="642"/>
      <c r="E322" s="642"/>
      <c r="F322" s="642"/>
      <c r="G322" s="642"/>
      <c r="H322"/>
      <c r="I322"/>
      <c r="J322"/>
      <c r="K322"/>
      <c r="L322" s="642"/>
      <c r="M322" s="642"/>
      <c r="N322"/>
      <c r="O322"/>
      <c r="P322"/>
      <c r="Q322"/>
      <c r="R322"/>
      <c r="S322"/>
      <c r="T322"/>
      <c r="U322"/>
      <c r="V322"/>
      <c r="W322"/>
      <c r="X322" s="642"/>
      <c r="Y322" s="642"/>
      <c r="Z322" s="642"/>
      <c r="AA322" s="642"/>
      <c r="AB322"/>
      <c r="AC322"/>
      <c r="AD322"/>
      <c r="AE322"/>
      <c r="AF322"/>
      <c r="AG322"/>
      <c r="AH322" s="642"/>
      <c r="AI322" s="642"/>
      <c r="AJ322" s="642"/>
    </row>
    <row r="323" spans="1:36" x14ac:dyDescent="0.2">
      <c r="A323" s="642"/>
      <c r="B323" s="642"/>
      <c r="C323"/>
      <c r="D323" s="642"/>
      <c r="E323" s="642"/>
      <c r="F323" s="642"/>
      <c r="G323" s="642"/>
      <c r="H323"/>
      <c r="I323"/>
      <c r="J323"/>
      <c r="K323"/>
      <c r="L323" s="642"/>
      <c r="M323" s="642"/>
      <c r="N323"/>
      <c r="O323"/>
      <c r="P323"/>
      <c r="Q323"/>
      <c r="R323"/>
      <c r="S323"/>
      <c r="T323"/>
      <c r="U323"/>
      <c r="V323"/>
      <c r="W323"/>
      <c r="X323" s="642"/>
      <c r="Y323" s="642"/>
      <c r="Z323" s="642"/>
      <c r="AA323" s="642"/>
      <c r="AB323"/>
      <c r="AC323"/>
      <c r="AD323"/>
      <c r="AE323"/>
      <c r="AF323"/>
      <c r="AG323"/>
      <c r="AH323" s="642"/>
      <c r="AI323" s="642"/>
      <c r="AJ323" s="642"/>
    </row>
    <row r="324" spans="1:36" x14ac:dyDescent="0.2">
      <c r="A324" s="642"/>
      <c r="B324" s="642"/>
      <c r="C324"/>
      <c r="D324" s="642"/>
      <c r="E324" s="642"/>
      <c r="F324" s="642"/>
      <c r="G324" s="642"/>
      <c r="H324"/>
      <c r="I324"/>
      <c r="J324"/>
      <c r="K324"/>
      <c r="L324" s="642"/>
      <c r="M324" s="642"/>
      <c r="N324"/>
      <c r="O324"/>
      <c r="P324"/>
      <c r="Q324"/>
      <c r="R324"/>
      <c r="S324"/>
      <c r="T324"/>
      <c r="U324"/>
      <c r="V324"/>
      <c r="W324"/>
      <c r="X324" s="642"/>
      <c r="Y324" s="642"/>
      <c r="Z324" s="642"/>
      <c r="AA324" s="642"/>
      <c r="AB324"/>
      <c r="AC324"/>
      <c r="AD324"/>
      <c r="AE324"/>
      <c r="AF324"/>
      <c r="AG324"/>
      <c r="AH324" s="642"/>
      <c r="AI324" s="642"/>
      <c r="AJ324" s="642"/>
    </row>
    <row r="325" spans="1:36" x14ac:dyDescent="0.2">
      <c r="A325" s="642"/>
      <c r="B325" s="642"/>
      <c r="C325"/>
      <c r="D325" s="642"/>
      <c r="E325" s="642"/>
      <c r="F325" s="642"/>
      <c r="G325" s="642"/>
      <c r="H325"/>
      <c r="I325"/>
      <c r="J325"/>
      <c r="K325"/>
      <c r="L325" s="642"/>
      <c r="M325" s="642"/>
      <c r="N325"/>
      <c r="O325"/>
      <c r="P325"/>
      <c r="Q325"/>
      <c r="R325"/>
      <c r="S325"/>
      <c r="T325"/>
      <c r="U325"/>
      <c r="V325"/>
      <c r="W325"/>
      <c r="X325" s="642"/>
      <c r="Y325" s="642"/>
      <c r="Z325" s="642"/>
      <c r="AA325" s="642"/>
      <c r="AB325"/>
      <c r="AC325"/>
      <c r="AD325"/>
      <c r="AE325"/>
      <c r="AF325"/>
      <c r="AG325"/>
      <c r="AH325" s="642"/>
      <c r="AI325" s="642"/>
      <c r="AJ325" s="642"/>
    </row>
    <row r="326" spans="1:36" x14ac:dyDescent="0.2">
      <c r="A326" s="642"/>
      <c r="B326" s="642"/>
      <c r="C326"/>
      <c r="D326" s="642"/>
      <c r="E326" s="642"/>
      <c r="F326" s="642"/>
      <c r="G326" s="642"/>
      <c r="H326"/>
      <c r="I326"/>
      <c r="J326"/>
      <c r="K326"/>
      <c r="L326" s="642"/>
      <c r="M326" s="642"/>
      <c r="N326"/>
      <c r="O326"/>
      <c r="P326"/>
      <c r="Q326"/>
      <c r="R326"/>
      <c r="S326"/>
      <c r="T326"/>
      <c r="U326"/>
      <c r="V326"/>
      <c r="W326"/>
      <c r="X326" s="642"/>
      <c r="Y326" s="642"/>
      <c r="Z326" s="642"/>
      <c r="AA326" s="642"/>
      <c r="AB326"/>
      <c r="AC326"/>
      <c r="AD326"/>
      <c r="AE326"/>
      <c r="AF326"/>
      <c r="AG326"/>
      <c r="AH326" s="642"/>
      <c r="AI326" s="642"/>
      <c r="AJ326" s="642"/>
    </row>
    <row r="327" spans="1:36" x14ac:dyDescent="0.2">
      <c r="A327" s="642"/>
      <c r="B327" s="642"/>
      <c r="C327"/>
      <c r="D327" s="642"/>
      <c r="E327" s="642"/>
      <c r="F327" s="642"/>
      <c r="G327" s="642"/>
      <c r="H327"/>
      <c r="I327"/>
      <c r="J327"/>
      <c r="K327"/>
      <c r="L327" s="642"/>
      <c r="M327" s="642"/>
      <c r="N327"/>
      <c r="O327"/>
      <c r="P327"/>
      <c r="Q327"/>
      <c r="R327"/>
      <c r="S327"/>
      <c r="T327"/>
      <c r="U327"/>
      <c r="V327"/>
      <c r="W327"/>
      <c r="X327" s="642"/>
      <c r="Y327" s="642"/>
      <c r="Z327" s="642"/>
      <c r="AA327" s="642"/>
      <c r="AB327"/>
      <c r="AC327"/>
      <c r="AD327"/>
      <c r="AE327"/>
      <c r="AF327"/>
      <c r="AG327"/>
      <c r="AH327" s="642"/>
      <c r="AI327" s="642"/>
      <c r="AJ327" s="642"/>
    </row>
    <row r="328" spans="1:36" x14ac:dyDescent="0.2">
      <c r="A328" s="642"/>
      <c r="B328" s="642"/>
      <c r="C328"/>
      <c r="D328" s="642"/>
      <c r="E328" s="642"/>
      <c r="F328" s="642"/>
      <c r="G328" s="642"/>
      <c r="H328"/>
      <c r="I328"/>
      <c r="J328"/>
      <c r="K328"/>
      <c r="L328" s="642"/>
      <c r="M328" s="642"/>
      <c r="N328"/>
      <c r="O328"/>
      <c r="P328"/>
      <c r="Q328"/>
      <c r="R328"/>
      <c r="S328"/>
      <c r="T328"/>
      <c r="U328"/>
      <c r="V328"/>
      <c r="W328"/>
      <c r="X328" s="642"/>
      <c r="Y328" s="642"/>
      <c r="Z328" s="642"/>
      <c r="AA328" s="642"/>
      <c r="AB328"/>
      <c r="AC328"/>
      <c r="AD328"/>
      <c r="AE328"/>
      <c r="AF328"/>
      <c r="AG328"/>
      <c r="AH328" s="642"/>
      <c r="AI328" s="642"/>
      <c r="AJ328" s="642"/>
    </row>
    <row r="329" spans="1:36" x14ac:dyDescent="0.2">
      <c r="A329" s="642"/>
      <c r="B329" s="642"/>
      <c r="C329"/>
      <c r="D329" s="642"/>
      <c r="E329" s="642"/>
      <c r="F329" s="642"/>
      <c r="G329" s="642"/>
      <c r="H329"/>
      <c r="I329"/>
      <c r="J329"/>
      <c r="K329"/>
      <c r="L329" s="642"/>
      <c r="M329" s="642"/>
      <c r="N329"/>
      <c r="O329"/>
      <c r="P329"/>
      <c r="Q329"/>
      <c r="R329"/>
      <c r="S329"/>
      <c r="T329"/>
      <c r="U329"/>
      <c r="V329"/>
      <c r="W329"/>
      <c r="X329" s="642"/>
      <c r="Y329" s="642"/>
      <c r="Z329" s="642"/>
      <c r="AA329" s="642"/>
      <c r="AB329"/>
      <c r="AC329"/>
      <c r="AD329"/>
      <c r="AE329"/>
      <c r="AF329"/>
      <c r="AG329"/>
      <c r="AH329" s="642"/>
      <c r="AI329" s="642"/>
      <c r="AJ329" s="642"/>
    </row>
    <row r="330" spans="1:36" x14ac:dyDescent="0.2">
      <c r="A330" s="642"/>
      <c r="B330" s="642"/>
      <c r="C330"/>
      <c r="D330" s="642"/>
      <c r="E330" s="642"/>
      <c r="F330" s="642"/>
      <c r="G330" s="642"/>
      <c r="H330"/>
      <c r="I330"/>
      <c r="J330"/>
      <c r="K330"/>
      <c r="L330" s="642"/>
      <c r="M330" s="642"/>
      <c r="N330"/>
      <c r="O330"/>
      <c r="P330"/>
      <c r="Q330"/>
      <c r="R330"/>
      <c r="S330"/>
      <c r="T330"/>
      <c r="U330"/>
      <c r="V330"/>
      <c r="W330"/>
      <c r="X330" s="642"/>
      <c r="Y330" s="642"/>
      <c r="Z330" s="642"/>
      <c r="AA330" s="642"/>
      <c r="AB330"/>
      <c r="AC330"/>
      <c r="AD330"/>
      <c r="AE330"/>
      <c r="AF330"/>
      <c r="AG330"/>
      <c r="AH330" s="642"/>
      <c r="AI330" s="642"/>
      <c r="AJ330" s="642"/>
    </row>
    <row r="331" spans="1:36" x14ac:dyDescent="0.2">
      <c r="A331" s="642"/>
      <c r="B331" s="642"/>
      <c r="C331"/>
      <c r="D331" s="642"/>
      <c r="E331" s="642"/>
      <c r="F331" s="642"/>
      <c r="G331" s="642"/>
      <c r="H331"/>
      <c r="I331"/>
      <c r="J331"/>
      <c r="K331"/>
      <c r="L331" s="642"/>
      <c r="M331" s="642"/>
      <c r="N331"/>
      <c r="O331"/>
      <c r="P331"/>
      <c r="Q331"/>
      <c r="R331"/>
      <c r="S331"/>
      <c r="T331"/>
      <c r="U331"/>
      <c r="V331"/>
      <c r="W331"/>
      <c r="X331" s="642"/>
      <c r="Y331" s="642"/>
      <c r="Z331" s="642"/>
      <c r="AA331" s="642"/>
      <c r="AB331"/>
      <c r="AC331"/>
      <c r="AD331"/>
      <c r="AE331"/>
      <c r="AF331"/>
      <c r="AG331"/>
      <c r="AH331" s="642"/>
      <c r="AI331" s="642"/>
      <c r="AJ331" s="642"/>
    </row>
    <row r="332" spans="1:36" x14ac:dyDescent="0.2">
      <c r="A332" s="642"/>
      <c r="B332" s="642"/>
      <c r="C332"/>
      <c r="D332" s="642"/>
      <c r="E332" s="642"/>
      <c r="F332" s="642"/>
      <c r="G332" s="642"/>
      <c r="H332"/>
      <c r="I332"/>
      <c r="J332"/>
      <c r="K332"/>
      <c r="L332" s="642"/>
      <c r="M332" s="642"/>
      <c r="N332"/>
      <c r="O332"/>
      <c r="P332"/>
      <c r="Q332"/>
      <c r="R332"/>
      <c r="S332"/>
      <c r="T332"/>
      <c r="U332"/>
      <c r="V332"/>
      <c r="W332"/>
      <c r="X332" s="642"/>
      <c r="Y332" s="642"/>
      <c r="Z332" s="642"/>
      <c r="AA332" s="642"/>
      <c r="AB332"/>
      <c r="AC332"/>
      <c r="AD332"/>
      <c r="AE332"/>
      <c r="AF332"/>
      <c r="AG332"/>
      <c r="AH332" s="642"/>
      <c r="AI332" s="642"/>
      <c r="AJ332" s="642"/>
    </row>
    <row r="333" spans="1:36" x14ac:dyDescent="0.2">
      <c r="A333" s="642"/>
      <c r="B333" s="642"/>
      <c r="C333"/>
      <c r="D333" s="642"/>
      <c r="E333" s="642"/>
      <c r="F333" s="642"/>
      <c r="G333" s="642"/>
      <c r="H333"/>
      <c r="I333"/>
      <c r="J333"/>
      <c r="K333"/>
      <c r="L333" s="642"/>
      <c r="M333" s="642"/>
      <c r="N333"/>
      <c r="O333"/>
      <c r="P333"/>
      <c r="Q333"/>
      <c r="R333"/>
      <c r="S333"/>
      <c r="T333"/>
      <c r="U333"/>
      <c r="V333"/>
      <c r="W333"/>
      <c r="X333" s="642"/>
      <c r="Y333" s="642"/>
      <c r="Z333" s="642"/>
      <c r="AA333" s="642"/>
      <c r="AB333"/>
      <c r="AC333"/>
      <c r="AD333"/>
      <c r="AE333"/>
      <c r="AF333"/>
      <c r="AG333"/>
      <c r="AH333" s="642"/>
      <c r="AI333" s="642"/>
      <c r="AJ333" s="642"/>
    </row>
    <row r="334" spans="1:36" x14ac:dyDescent="0.2">
      <c r="A334" s="642"/>
      <c r="B334" s="642"/>
      <c r="C334"/>
      <c r="D334" s="642"/>
      <c r="E334" s="642"/>
      <c r="F334" s="642"/>
      <c r="G334" s="642"/>
      <c r="H334"/>
      <c r="I334"/>
      <c r="J334"/>
      <c r="K334"/>
      <c r="L334" s="642"/>
      <c r="M334" s="642"/>
      <c r="N334"/>
      <c r="O334"/>
      <c r="P334"/>
      <c r="Q334"/>
      <c r="R334"/>
      <c r="S334"/>
      <c r="T334"/>
      <c r="U334"/>
      <c r="V334"/>
      <c r="W334"/>
      <c r="X334" s="642"/>
      <c r="Y334" s="642"/>
      <c r="Z334" s="642"/>
      <c r="AA334" s="642"/>
      <c r="AB334"/>
      <c r="AC334"/>
      <c r="AD334"/>
      <c r="AE334"/>
      <c r="AF334"/>
      <c r="AG334"/>
      <c r="AH334" s="642"/>
      <c r="AI334" s="642"/>
      <c r="AJ334" s="642"/>
    </row>
    <row r="335" spans="1:36" x14ac:dyDescent="0.2">
      <c r="A335" s="642"/>
      <c r="B335" s="642"/>
      <c r="C335"/>
      <c r="D335" s="642"/>
      <c r="E335" s="642"/>
      <c r="F335" s="642"/>
      <c r="G335" s="642"/>
      <c r="H335"/>
      <c r="I335"/>
      <c r="J335"/>
      <c r="K335"/>
      <c r="L335" s="642"/>
      <c r="M335" s="642"/>
      <c r="N335"/>
      <c r="O335"/>
      <c r="P335"/>
      <c r="Q335"/>
      <c r="R335"/>
      <c r="S335"/>
      <c r="T335"/>
      <c r="U335"/>
      <c r="V335"/>
      <c r="W335"/>
      <c r="X335" s="642"/>
      <c r="Y335" s="642"/>
      <c r="Z335" s="642"/>
      <c r="AA335" s="642"/>
      <c r="AB335"/>
      <c r="AC335"/>
      <c r="AD335"/>
      <c r="AE335"/>
      <c r="AF335"/>
      <c r="AG335"/>
      <c r="AH335" s="642"/>
      <c r="AI335" s="642"/>
      <c r="AJ335" s="642"/>
    </row>
    <row r="336" spans="1:36" x14ac:dyDescent="0.2">
      <c r="A336" s="642"/>
      <c r="B336" s="642"/>
      <c r="C336"/>
      <c r="D336" s="642"/>
      <c r="E336" s="642"/>
      <c r="F336" s="642"/>
      <c r="G336" s="642"/>
      <c r="H336"/>
      <c r="I336"/>
      <c r="J336"/>
      <c r="K336"/>
      <c r="L336" s="642"/>
      <c r="M336" s="642"/>
      <c r="N336"/>
      <c r="O336"/>
      <c r="P336"/>
      <c r="Q336"/>
      <c r="R336"/>
      <c r="S336"/>
      <c r="T336"/>
      <c r="U336"/>
      <c r="V336"/>
      <c r="W336"/>
      <c r="X336" s="642"/>
      <c r="Y336" s="642"/>
      <c r="Z336" s="642"/>
      <c r="AA336" s="642"/>
      <c r="AB336"/>
      <c r="AC336"/>
      <c r="AD336"/>
      <c r="AE336"/>
      <c r="AF336"/>
      <c r="AG336"/>
      <c r="AH336" s="642"/>
      <c r="AI336" s="642"/>
      <c r="AJ336" s="642"/>
    </row>
    <row r="337" spans="1:36" x14ac:dyDescent="0.2">
      <c r="A337" s="642"/>
      <c r="B337" s="642"/>
      <c r="C337"/>
      <c r="D337" s="642"/>
      <c r="E337" s="642"/>
      <c r="F337" s="642"/>
      <c r="G337" s="642"/>
      <c r="H337"/>
      <c r="I337"/>
      <c r="J337"/>
      <c r="K337"/>
      <c r="L337" s="642"/>
      <c r="M337" s="642"/>
      <c r="N337"/>
      <c r="O337"/>
      <c r="P337"/>
      <c r="Q337"/>
      <c r="R337"/>
      <c r="S337"/>
      <c r="T337"/>
      <c r="U337"/>
      <c r="V337"/>
      <c r="W337"/>
      <c r="X337" s="642"/>
      <c r="Y337" s="642"/>
      <c r="Z337" s="642"/>
      <c r="AA337" s="642"/>
      <c r="AB337"/>
      <c r="AC337"/>
      <c r="AD337"/>
      <c r="AE337"/>
      <c r="AF337"/>
      <c r="AG337"/>
      <c r="AH337" s="642"/>
      <c r="AI337" s="642"/>
      <c r="AJ337" s="642"/>
    </row>
    <row r="338" spans="1:36" x14ac:dyDescent="0.2">
      <c r="A338" s="642"/>
      <c r="B338" s="642"/>
      <c r="C338"/>
      <c r="D338" s="642"/>
      <c r="E338" s="642"/>
      <c r="F338" s="642"/>
      <c r="G338" s="642"/>
      <c r="H338"/>
      <c r="I338"/>
      <c r="J338"/>
      <c r="K338"/>
      <c r="L338" s="642"/>
      <c r="M338" s="642"/>
      <c r="N338"/>
      <c r="O338"/>
      <c r="P338"/>
      <c r="Q338"/>
      <c r="R338"/>
      <c r="S338"/>
      <c r="T338"/>
      <c r="U338"/>
      <c r="V338"/>
      <c r="W338"/>
      <c r="X338" s="642"/>
      <c r="Y338" s="642"/>
      <c r="Z338" s="642"/>
      <c r="AA338" s="642"/>
      <c r="AB338"/>
      <c r="AC338"/>
      <c r="AD338"/>
      <c r="AE338"/>
      <c r="AF338"/>
      <c r="AG338"/>
      <c r="AH338" s="642"/>
      <c r="AI338" s="642"/>
      <c r="AJ338" s="642"/>
    </row>
    <row r="339" spans="1:36" x14ac:dyDescent="0.2">
      <c r="A339" s="642"/>
      <c r="B339" s="642"/>
      <c r="C339"/>
      <c r="D339" s="642"/>
      <c r="E339" s="642"/>
      <c r="F339" s="642"/>
      <c r="G339" s="642"/>
      <c r="H339"/>
      <c r="I339"/>
      <c r="J339"/>
      <c r="K339"/>
      <c r="L339" s="642"/>
      <c r="M339" s="642"/>
      <c r="N339"/>
      <c r="O339"/>
      <c r="P339"/>
      <c r="Q339"/>
      <c r="R339"/>
      <c r="S339"/>
      <c r="T339"/>
      <c r="U339"/>
      <c r="V339"/>
      <c r="W339"/>
      <c r="X339" s="642"/>
      <c r="Y339" s="642"/>
      <c r="Z339" s="642"/>
      <c r="AA339" s="642"/>
      <c r="AB339"/>
      <c r="AC339"/>
      <c r="AD339"/>
      <c r="AE339"/>
      <c r="AF339"/>
      <c r="AG339"/>
      <c r="AH339" s="642"/>
      <c r="AI339" s="642"/>
      <c r="AJ339" s="642"/>
    </row>
    <row r="340" spans="1:36" x14ac:dyDescent="0.2">
      <c r="A340" s="642"/>
      <c r="B340" s="642"/>
      <c r="C340"/>
      <c r="D340" s="642"/>
      <c r="E340" s="642"/>
      <c r="F340" s="642"/>
      <c r="G340" s="642"/>
      <c r="H340"/>
      <c r="I340"/>
      <c r="J340"/>
      <c r="K340"/>
      <c r="L340" s="642"/>
      <c r="M340" s="642"/>
      <c r="N340"/>
      <c r="O340"/>
      <c r="P340"/>
      <c r="Q340"/>
      <c r="R340"/>
      <c r="S340"/>
      <c r="T340"/>
      <c r="U340"/>
      <c r="V340"/>
      <c r="W340"/>
      <c r="X340" s="642"/>
      <c r="Y340" s="642"/>
      <c r="Z340" s="642"/>
      <c r="AA340" s="642"/>
      <c r="AB340"/>
      <c r="AC340"/>
      <c r="AD340"/>
      <c r="AE340"/>
      <c r="AF340"/>
      <c r="AG340"/>
      <c r="AH340" s="642"/>
      <c r="AI340" s="642"/>
      <c r="AJ340" s="642"/>
    </row>
    <row r="341" spans="1:36" x14ac:dyDescent="0.2">
      <c r="A341" s="642"/>
      <c r="B341" s="642"/>
      <c r="C341"/>
      <c r="D341" s="642"/>
      <c r="E341" s="642"/>
      <c r="F341" s="642"/>
      <c r="G341" s="642"/>
      <c r="H341"/>
      <c r="I341"/>
      <c r="J341"/>
      <c r="K341"/>
      <c r="L341" s="642"/>
      <c r="M341" s="642"/>
      <c r="N341"/>
      <c r="O341"/>
      <c r="P341"/>
      <c r="Q341"/>
      <c r="R341"/>
      <c r="S341"/>
      <c r="T341"/>
      <c r="U341"/>
      <c r="V341"/>
      <c r="W341"/>
      <c r="X341" s="642"/>
      <c r="Y341" s="642"/>
      <c r="Z341" s="642"/>
      <c r="AA341" s="642"/>
      <c r="AB341"/>
      <c r="AC341"/>
      <c r="AD341"/>
      <c r="AE341"/>
      <c r="AF341"/>
      <c r="AG341"/>
      <c r="AH341" s="642"/>
      <c r="AI341" s="642"/>
      <c r="AJ341" s="642"/>
    </row>
    <row r="342" spans="1:36" x14ac:dyDescent="0.2">
      <c r="A342" s="642"/>
      <c r="B342" s="642"/>
      <c r="C342"/>
      <c r="D342" s="642"/>
      <c r="E342" s="642"/>
      <c r="F342" s="642"/>
      <c r="G342" s="642"/>
      <c r="H342"/>
      <c r="I342"/>
      <c r="J342"/>
      <c r="K342"/>
      <c r="L342" s="642"/>
      <c r="M342" s="642"/>
      <c r="N342"/>
      <c r="O342"/>
      <c r="P342"/>
      <c r="Q342"/>
      <c r="R342"/>
      <c r="S342"/>
      <c r="T342"/>
      <c r="U342"/>
      <c r="V342"/>
      <c r="W342"/>
      <c r="X342" s="642"/>
      <c r="Y342" s="642"/>
      <c r="Z342" s="642"/>
      <c r="AA342" s="642"/>
      <c r="AB342"/>
      <c r="AC342"/>
      <c r="AD342"/>
      <c r="AE342"/>
      <c r="AF342"/>
      <c r="AG342"/>
      <c r="AH342" s="642"/>
      <c r="AI342" s="642"/>
      <c r="AJ342" s="642"/>
    </row>
    <row r="343" spans="1:36" x14ac:dyDescent="0.2">
      <c r="A343" s="642"/>
      <c r="B343" s="642"/>
      <c r="C343"/>
      <c r="D343" s="642"/>
      <c r="E343" s="642"/>
      <c r="F343" s="642"/>
      <c r="G343" s="642"/>
      <c r="H343"/>
      <c r="I343"/>
      <c r="J343"/>
      <c r="K343"/>
      <c r="L343" s="642"/>
      <c r="M343" s="642"/>
      <c r="N343"/>
      <c r="P343"/>
      <c r="T343"/>
      <c r="X343" s="642"/>
      <c r="Y343" s="642"/>
      <c r="Z343" s="642"/>
      <c r="AA343" s="642"/>
      <c r="AB343"/>
      <c r="AC343"/>
      <c r="AD343"/>
      <c r="AE343"/>
      <c r="AF343"/>
      <c r="AG343"/>
      <c r="AH343" s="642"/>
      <c r="AI343" s="642"/>
      <c r="AJ343" s="642"/>
    </row>
    <row r="344" spans="1:36" x14ac:dyDescent="0.2">
      <c r="A344" s="642"/>
      <c r="B344" s="642"/>
      <c r="C344"/>
      <c r="D344" s="642"/>
      <c r="E344" s="642"/>
      <c r="F344" s="642"/>
      <c r="G344" s="642"/>
      <c r="H344"/>
      <c r="I344"/>
      <c r="J344"/>
      <c r="K344"/>
      <c r="L344" s="642"/>
      <c r="M344" s="642"/>
      <c r="N344"/>
      <c r="O344"/>
      <c r="P344"/>
      <c r="T344"/>
      <c r="X344" s="642"/>
      <c r="Y344" s="642"/>
      <c r="Z344" s="642"/>
      <c r="AA344" s="642"/>
      <c r="AB344"/>
      <c r="AC344"/>
      <c r="AD344"/>
      <c r="AE344"/>
      <c r="AF344"/>
      <c r="AG344"/>
      <c r="AH344" s="642"/>
      <c r="AI344" s="642"/>
      <c r="AJ344" s="642"/>
    </row>
    <row r="345" spans="1:36" x14ac:dyDescent="0.2">
      <c r="A345" s="642"/>
      <c r="B345" s="642"/>
      <c r="C345"/>
      <c r="D345" s="642"/>
      <c r="E345" s="642"/>
      <c r="F345" s="642"/>
      <c r="G345" s="642"/>
      <c r="H345"/>
      <c r="I345"/>
      <c r="J345"/>
      <c r="K345"/>
      <c r="L345" s="642"/>
      <c r="M345" s="642"/>
      <c r="N345"/>
      <c r="O345"/>
      <c r="P345"/>
      <c r="Q345"/>
      <c r="R345"/>
      <c r="S345"/>
      <c r="T345"/>
      <c r="U345"/>
      <c r="V345"/>
      <c r="W345"/>
      <c r="X345" s="642"/>
      <c r="Y345" s="642"/>
      <c r="Z345" s="642"/>
      <c r="AA345" s="642"/>
      <c r="AB345"/>
      <c r="AC345"/>
      <c r="AD345"/>
      <c r="AE345"/>
      <c r="AF345"/>
      <c r="AG345"/>
      <c r="AH345" s="642"/>
      <c r="AI345" s="642"/>
      <c r="AJ345" s="642"/>
    </row>
    <row r="346" spans="1:36" x14ac:dyDescent="0.2">
      <c r="A346" s="642"/>
      <c r="B346" s="642"/>
      <c r="C346"/>
      <c r="D346" s="642"/>
      <c r="E346" s="642"/>
      <c r="F346" s="642"/>
      <c r="G346" s="642"/>
      <c r="H346"/>
      <c r="I346"/>
      <c r="J346"/>
      <c r="K346"/>
      <c r="L346" s="642"/>
      <c r="M346" s="642"/>
      <c r="N346"/>
      <c r="O346"/>
      <c r="P346"/>
      <c r="Q346"/>
      <c r="R346"/>
      <c r="S346"/>
      <c r="T346"/>
      <c r="U346"/>
      <c r="V346"/>
      <c r="W346"/>
      <c r="X346" s="642"/>
      <c r="Y346" s="642"/>
      <c r="Z346" s="642"/>
      <c r="AA346" s="642"/>
      <c r="AB346"/>
      <c r="AC346"/>
      <c r="AD346"/>
      <c r="AE346"/>
      <c r="AF346"/>
      <c r="AG346"/>
      <c r="AH346" s="642"/>
      <c r="AI346" s="642"/>
      <c r="AJ346" s="642"/>
    </row>
    <row r="347" spans="1:36" x14ac:dyDescent="0.2">
      <c r="A347" s="642"/>
      <c r="B347" s="642"/>
      <c r="C347"/>
      <c r="D347" s="642"/>
      <c r="E347" s="642"/>
      <c r="F347" s="642"/>
      <c r="G347" s="642"/>
      <c r="H347"/>
      <c r="I347"/>
      <c r="J347"/>
      <c r="K347"/>
      <c r="L347" s="642"/>
      <c r="M347" s="642"/>
      <c r="N347"/>
      <c r="O347"/>
      <c r="P347"/>
      <c r="Q347"/>
      <c r="R347"/>
      <c r="S347"/>
      <c r="T347"/>
      <c r="U347"/>
      <c r="V347"/>
      <c r="W347"/>
      <c r="X347" s="642"/>
      <c r="Y347" s="642"/>
      <c r="Z347" s="642"/>
      <c r="AA347" s="642"/>
      <c r="AB347"/>
      <c r="AC347"/>
      <c r="AD347"/>
      <c r="AE347"/>
      <c r="AF347"/>
      <c r="AG347"/>
      <c r="AH347" s="642"/>
      <c r="AI347" s="642"/>
      <c r="AJ347" s="642"/>
    </row>
    <row r="348" spans="1:36" x14ac:dyDescent="0.2">
      <c r="A348" s="642"/>
      <c r="B348" s="642"/>
      <c r="C348"/>
      <c r="D348" s="642"/>
      <c r="E348" s="642"/>
      <c r="F348" s="642"/>
      <c r="G348" s="642"/>
      <c r="H348"/>
      <c r="I348"/>
      <c r="J348"/>
      <c r="K348"/>
      <c r="L348" s="642"/>
      <c r="M348" s="642"/>
      <c r="N348"/>
      <c r="O348"/>
      <c r="P348"/>
      <c r="Q348"/>
      <c r="R348"/>
      <c r="S348"/>
      <c r="T348"/>
      <c r="U348"/>
      <c r="V348"/>
      <c r="W348"/>
      <c r="X348" s="642"/>
      <c r="Y348" s="642"/>
      <c r="Z348" s="642"/>
      <c r="AA348" s="642"/>
      <c r="AB348"/>
      <c r="AC348"/>
      <c r="AD348"/>
      <c r="AE348"/>
      <c r="AF348"/>
      <c r="AG348"/>
      <c r="AH348" s="642"/>
      <c r="AI348" s="642"/>
      <c r="AJ348" s="642"/>
    </row>
    <row r="349" spans="1:36" x14ac:dyDescent="0.2">
      <c r="A349" s="642"/>
      <c r="B349" s="642"/>
      <c r="C349"/>
      <c r="D349" s="642"/>
      <c r="E349" s="642"/>
      <c r="F349" s="642"/>
      <c r="G349" s="642"/>
      <c r="H349"/>
      <c r="I349"/>
      <c r="J349"/>
      <c r="K349"/>
      <c r="L349" s="642"/>
      <c r="M349" s="642"/>
      <c r="N349"/>
      <c r="O349"/>
      <c r="P349"/>
      <c r="Q349"/>
      <c r="R349"/>
      <c r="S349"/>
      <c r="T349"/>
      <c r="U349"/>
      <c r="V349"/>
      <c r="W349"/>
      <c r="X349" s="642"/>
      <c r="Y349" s="642"/>
      <c r="Z349" s="642"/>
      <c r="AA349" s="642"/>
      <c r="AB349"/>
      <c r="AC349"/>
      <c r="AD349"/>
      <c r="AE349"/>
      <c r="AF349"/>
      <c r="AG349"/>
      <c r="AH349" s="642"/>
      <c r="AI349" s="642"/>
      <c r="AJ349" s="642"/>
    </row>
    <row r="350" spans="1:36" x14ac:dyDescent="0.2">
      <c r="A350" s="642"/>
      <c r="B350" s="642"/>
      <c r="C350"/>
      <c r="D350" s="642"/>
      <c r="E350" s="642"/>
      <c r="F350" s="642"/>
      <c r="G350" s="642"/>
      <c r="H350"/>
      <c r="I350"/>
      <c r="J350"/>
      <c r="K350"/>
      <c r="L350" s="642"/>
      <c r="M350" s="642"/>
      <c r="P350"/>
      <c r="T350"/>
      <c r="X350" s="642"/>
      <c r="Y350" s="642"/>
      <c r="Z350" s="642"/>
      <c r="AA350" s="642"/>
      <c r="AB350"/>
      <c r="AC350"/>
      <c r="AD350"/>
      <c r="AE350"/>
      <c r="AF350"/>
      <c r="AG350"/>
      <c r="AH350" s="642"/>
      <c r="AI350" s="642"/>
      <c r="AJ350" s="642"/>
    </row>
    <row r="351" spans="1:36" x14ac:dyDescent="0.2">
      <c r="A351" s="642"/>
      <c r="B351" s="642"/>
      <c r="C351"/>
      <c r="D351" s="642"/>
      <c r="E351" s="642"/>
      <c r="F351" s="642"/>
      <c r="G351" s="642"/>
      <c r="H351"/>
      <c r="I351"/>
      <c r="J351"/>
      <c r="K351"/>
      <c r="L351" s="642"/>
      <c r="M351" s="642"/>
      <c r="P351"/>
      <c r="T351"/>
      <c r="X351" s="642"/>
      <c r="Y351" s="642"/>
      <c r="Z351" s="642"/>
      <c r="AA351" s="642"/>
      <c r="AB351"/>
      <c r="AC351"/>
      <c r="AD351"/>
      <c r="AE351"/>
      <c r="AF351"/>
      <c r="AG351"/>
      <c r="AH351" s="642"/>
      <c r="AI351" s="642"/>
      <c r="AJ351" s="642"/>
    </row>
    <row r="352" spans="1:36" x14ac:dyDescent="0.2">
      <c r="A352" s="642"/>
      <c r="B352" s="642"/>
      <c r="C352"/>
      <c r="D352" s="642"/>
      <c r="E352" s="642"/>
      <c r="F352" s="642"/>
      <c r="G352" s="642"/>
      <c r="H352"/>
      <c r="I352"/>
      <c r="J352"/>
      <c r="K352"/>
      <c r="L352" s="642"/>
      <c r="M352" s="642"/>
      <c r="N352"/>
      <c r="O352"/>
      <c r="P352"/>
      <c r="Q352"/>
      <c r="R352"/>
      <c r="S352"/>
      <c r="T352"/>
      <c r="U352"/>
      <c r="V352"/>
      <c r="W352"/>
      <c r="X352" s="642"/>
      <c r="Y352" s="642"/>
      <c r="Z352" s="642"/>
      <c r="AA352" s="642"/>
      <c r="AB352"/>
      <c r="AC352"/>
      <c r="AD352"/>
      <c r="AE352"/>
      <c r="AF352"/>
      <c r="AG352"/>
      <c r="AH352" s="642"/>
      <c r="AI352" s="642"/>
      <c r="AJ352" s="642"/>
    </row>
    <row r="353" spans="1:36" x14ac:dyDescent="0.2">
      <c r="A353" s="642"/>
      <c r="B353" s="642"/>
      <c r="C353"/>
      <c r="D353" s="642"/>
      <c r="E353" s="642"/>
      <c r="F353" s="642"/>
      <c r="G353" s="642"/>
      <c r="H353"/>
      <c r="I353"/>
      <c r="J353"/>
      <c r="K353"/>
      <c r="L353" s="642"/>
      <c r="M353" s="642"/>
      <c r="N353"/>
      <c r="O353"/>
      <c r="P353"/>
      <c r="Q353"/>
      <c r="R353"/>
      <c r="S353"/>
      <c r="T353"/>
      <c r="U353"/>
      <c r="V353"/>
      <c r="W353"/>
      <c r="X353" s="642"/>
      <c r="Y353" s="642"/>
      <c r="Z353" s="642"/>
      <c r="AA353" s="642"/>
      <c r="AB353"/>
      <c r="AC353"/>
      <c r="AD353"/>
      <c r="AE353"/>
      <c r="AF353"/>
      <c r="AG353"/>
      <c r="AH353" s="642"/>
      <c r="AI353" s="642"/>
      <c r="AJ353" s="642"/>
    </row>
    <row r="354" spans="1:36" x14ac:dyDescent="0.2">
      <c r="A354" s="642"/>
      <c r="B354" s="642"/>
      <c r="C354"/>
      <c r="D354" s="642"/>
      <c r="E354" s="642"/>
      <c r="F354" s="642"/>
      <c r="G354" s="642"/>
      <c r="H354"/>
      <c r="I354"/>
      <c r="J354"/>
      <c r="K354"/>
      <c r="L354" s="642"/>
      <c r="M354" s="642"/>
      <c r="N354"/>
      <c r="O354"/>
      <c r="P354"/>
      <c r="Q354"/>
      <c r="R354"/>
      <c r="S354"/>
      <c r="T354"/>
      <c r="U354"/>
      <c r="V354"/>
      <c r="W354"/>
      <c r="X354" s="642"/>
      <c r="Y354" s="642"/>
      <c r="Z354" s="642"/>
      <c r="AA354" s="642"/>
      <c r="AB354"/>
      <c r="AC354"/>
      <c r="AD354"/>
      <c r="AE354"/>
      <c r="AF354"/>
      <c r="AG354"/>
      <c r="AH354" s="642"/>
      <c r="AI354" s="642"/>
      <c r="AJ354" s="642"/>
    </row>
    <row r="355" spans="1:36" x14ac:dyDescent="0.2">
      <c r="A355" s="642"/>
      <c r="B355" s="642"/>
      <c r="C355"/>
      <c r="D355" s="642"/>
      <c r="E355" s="642"/>
      <c r="F355" s="642"/>
      <c r="G355" s="642"/>
      <c r="H355"/>
      <c r="I355"/>
      <c r="J355"/>
      <c r="K355"/>
      <c r="L355" s="642"/>
      <c r="M355" s="642"/>
      <c r="N355"/>
      <c r="O355"/>
      <c r="P355"/>
      <c r="Q355"/>
      <c r="R355"/>
      <c r="S355"/>
      <c r="T355"/>
      <c r="U355"/>
      <c r="V355"/>
      <c r="W355"/>
      <c r="X355" s="642"/>
      <c r="Y355" s="642"/>
      <c r="Z355" s="642"/>
      <c r="AA355" s="642"/>
      <c r="AB355"/>
      <c r="AD355"/>
      <c r="AE355"/>
      <c r="AF355"/>
      <c r="AG355"/>
      <c r="AH355" s="642"/>
      <c r="AI355" s="642"/>
      <c r="AJ355" s="642"/>
    </row>
    <row r="356" spans="1:36" x14ac:dyDescent="0.2">
      <c r="A356" s="642"/>
      <c r="B356" s="642"/>
      <c r="C356"/>
      <c r="D356" s="642"/>
      <c r="E356" s="642"/>
      <c r="F356" s="642"/>
      <c r="G356" s="642"/>
      <c r="H356"/>
      <c r="I356"/>
      <c r="J356"/>
      <c r="K356"/>
      <c r="L356" s="642"/>
      <c r="M356" s="642"/>
      <c r="N356"/>
      <c r="O356"/>
      <c r="P356"/>
      <c r="Q356"/>
      <c r="R356"/>
      <c r="S356"/>
      <c r="T356"/>
      <c r="U356"/>
      <c r="V356"/>
      <c r="W356"/>
      <c r="X356" s="642"/>
      <c r="Y356" s="642"/>
      <c r="Z356" s="642"/>
      <c r="AA356" s="642"/>
      <c r="AB356"/>
      <c r="AC356"/>
      <c r="AD356"/>
      <c r="AE356"/>
      <c r="AF356"/>
      <c r="AG356"/>
      <c r="AH356" s="642"/>
      <c r="AI356" s="642"/>
      <c r="AJ356" s="642"/>
    </row>
    <row r="357" spans="1:36" x14ac:dyDescent="0.2">
      <c r="A357" s="642"/>
      <c r="B357" s="642"/>
      <c r="C357"/>
      <c r="D357" s="642"/>
      <c r="E357" s="642"/>
      <c r="F357" s="642"/>
      <c r="G357" s="642"/>
      <c r="H357"/>
      <c r="I357"/>
      <c r="J357"/>
      <c r="K357"/>
      <c r="L357" s="642"/>
      <c r="M357" s="642"/>
      <c r="N357"/>
      <c r="O357"/>
      <c r="P357"/>
      <c r="Q357"/>
      <c r="R357"/>
      <c r="S357"/>
      <c r="T357"/>
      <c r="U357"/>
      <c r="V357"/>
      <c r="W357"/>
      <c r="X357" s="642"/>
      <c r="Y357" s="642"/>
      <c r="Z357" s="642"/>
      <c r="AA357" s="642"/>
      <c r="AB357"/>
      <c r="AC357"/>
      <c r="AD357"/>
      <c r="AE357"/>
      <c r="AF357"/>
      <c r="AG357"/>
      <c r="AH357" s="642"/>
      <c r="AI357" s="642"/>
      <c r="AJ357" s="642"/>
    </row>
    <row r="358" spans="1:36" x14ac:dyDescent="0.2">
      <c r="A358" s="642"/>
      <c r="B358" s="642"/>
      <c r="C358"/>
      <c r="D358" s="642"/>
      <c r="E358" s="642"/>
      <c r="F358" s="642"/>
      <c r="G358" s="642"/>
      <c r="H358"/>
      <c r="I358"/>
      <c r="J358"/>
      <c r="K358"/>
      <c r="L358" s="642"/>
      <c r="M358" s="642"/>
      <c r="N358"/>
      <c r="O358"/>
      <c r="P358"/>
      <c r="Q358"/>
      <c r="R358"/>
      <c r="S358"/>
      <c r="T358"/>
      <c r="U358"/>
      <c r="V358"/>
      <c r="W358"/>
      <c r="X358" s="642"/>
      <c r="Y358" s="642"/>
      <c r="Z358" s="642"/>
      <c r="AA358" s="642"/>
      <c r="AB358"/>
      <c r="AC358"/>
      <c r="AD358"/>
      <c r="AE358"/>
      <c r="AF358"/>
      <c r="AG358"/>
      <c r="AH358" s="642"/>
      <c r="AI358" s="642"/>
      <c r="AJ358" s="642"/>
    </row>
    <row r="359" spans="1:36" x14ac:dyDescent="0.2">
      <c r="A359" s="642"/>
      <c r="B359" s="642"/>
      <c r="C359"/>
      <c r="D359" s="642"/>
      <c r="E359" s="642"/>
      <c r="F359" s="642"/>
      <c r="G359" s="642"/>
      <c r="H359"/>
      <c r="I359"/>
      <c r="J359"/>
      <c r="K359"/>
      <c r="L359" s="642"/>
      <c r="M359" s="642"/>
      <c r="N359"/>
      <c r="O359"/>
      <c r="P359"/>
      <c r="Q359"/>
      <c r="R359"/>
      <c r="S359"/>
      <c r="T359"/>
      <c r="U359"/>
      <c r="V359"/>
      <c r="W359"/>
      <c r="X359" s="642"/>
      <c r="Y359" s="642"/>
      <c r="Z359" s="642"/>
      <c r="AA359" s="642"/>
      <c r="AB359"/>
      <c r="AC359"/>
      <c r="AD359"/>
      <c r="AE359"/>
      <c r="AF359"/>
      <c r="AG359"/>
      <c r="AH359" s="642"/>
      <c r="AI359" s="642"/>
      <c r="AJ359" s="642"/>
    </row>
    <row r="360" spans="1:36" x14ac:dyDescent="0.2">
      <c r="A360" s="642"/>
      <c r="B360" s="642"/>
      <c r="C360"/>
      <c r="D360" s="642"/>
      <c r="E360" s="642"/>
      <c r="F360" s="642"/>
      <c r="G360" s="642"/>
      <c r="H360"/>
      <c r="I360"/>
      <c r="J360"/>
      <c r="K360"/>
      <c r="L360" s="642"/>
      <c r="M360" s="642"/>
      <c r="N360"/>
      <c r="O360"/>
      <c r="P360"/>
      <c r="Q360"/>
      <c r="R360"/>
      <c r="S360"/>
      <c r="T360"/>
      <c r="U360"/>
      <c r="V360"/>
      <c r="W360"/>
      <c r="X360" s="642"/>
      <c r="Y360" s="642"/>
      <c r="Z360" s="642"/>
      <c r="AA360" s="642"/>
      <c r="AB360"/>
      <c r="AC360"/>
      <c r="AD360"/>
      <c r="AE360"/>
      <c r="AF360"/>
      <c r="AG360"/>
      <c r="AH360" s="642"/>
      <c r="AI360" s="642"/>
      <c r="AJ360" s="642"/>
    </row>
    <row r="361" spans="1:36" x14ac:dyDescent="0.2">
      <c r="A361" s="642"/>
      <c r="B361" s="642"/>
      <c r="C361"/>
      <c r="D361" s="642"/>
      <c r="E361" s="642"/>
      <c r="F361" s="642"/>
      <c r="G361" s="642"/>
      <c r="H361"/>
      <c r="I361"/>
      <c r="J361"/>
      <c r="K361"/>
      <c r="L361" s="642"/>
      <c r="M361" s="642"/>
      <c r="N361"/>
      <c r="O361"/>
      <c r="P361"/>
      <c r="Q361"/>
      <c r="R361"/>
      <c r="S361"/>
      <c r="T361"/>
      <c r="U361"/>
      <c r="V361"/>
      <c r="W361"/>
      <c r="X361" s="642"/>
      <c r="Y361" s="642"/>
      <c r="Z361" s="642"/>
      <c r="AA361" s="642"/>
      <c r="AB361"/>
      <c r="AC361"/>
      <c r="AD361"/>
      <c r="AE361"/>
      <c r="AF361"/>
      <c r="AG361"/>
      <c r="AH361" s="642"/>
      <c r="AI361" s="642"/>
      <c r="AJ361" s="642"/>
    </row>
    <row r="362" spans="1:36" x14ac:dyDescent="0.2">
      <c r="A362" s="642"/>
      <c r="B362" s="642"/>
      <c r="C362"/>
      <c r="D362" s="642"/>
      <c r="E362" s="642"/>
      <c r="F362" s="642"/>
      <c r="G362" s="642"/>
      <c r="H362"/>
      <c r="I362"/>
      <c r="J362"/>
      <c r="K362"/>
      <c r="L362" s="642"/>
      <c r="M362" s="642"/>
      <c r="N362"/>
      <c r="O362"/>
      <c r="P362"/>
      <c r="Q362"/>
      <c r="R362"/>
      <c r="S362"/>
      <c r="T362"/>
      <c r="U362"/>
      <c r="V362"/>
      <c r="W362"/>
      <c r="X362" s="642"/>
      <c r="Y362" s="642"/>
      <c r="Z362" s="642"/>
      <c r="AA362" s="642"/>
      <c r="AB362"/>
      <c r="AC362"/>
      <c r="AD362"/>
      <c r="AE362"/>
      <c r="AF362"/>
      <c r="AG362"/>
      <c r="AH362" s="642"/>
      <c r="AI362" s="642"/>
      <c r="AJ362" s="642"/>
    </row>
    <row r="363" spans="1:36" x14ac:dyDescent="0.2">
      <c r="A363" s="642"/>
      <c r="B363" s="642"/>
      <c r="C363"/>
      <c r="D363" s="642"/>
      <c r="E363" s="642"/>
      <c r="F363" s="642"/>
      <c r="G363" s="642"/>
      <c r="H363"/>
      <c r="I363"/>
      <c r="J363"/>
      <c r="K363"/>
      <c r="L363" s="642"/>
      <c r="M363" s="642"/>
      <c r="N363"/>
      <c r="O363"/>
      <c r="P363"/>
      <c r="Q363"/>
      <c r="R363"/>
      <c r="S363"/>
      <c r="T363"/>
      <c r="U363"/>
      <c r="V363"/>
      <c r="W363"/>
      <c r="X363" s="642"/>
      <c r="Y363" s="642"/>
      <c r="Z363" s="642"/>
      <c r="AA363" s="642"/>
      <c r="AB363"/>
      <c r="AC363"/>
      <c r="AD363"/>
      <c r="AE363"/>
      <c r="AF363"/>
      <c r="AG363"/>
      <c r="AH363" s="642"/>
      <c r="AI363" s="642"/>
      <c r="AJ363" s="642"/>
    </row>
    <row r="364" spans="1:36" x14ac:dyDescent="0.2">
      <c r="A364" s="642"/>
      <c r="B364" s="642"/>
      <c r="C364"/>
      <c r="D364" s="642"/>
      <c r="E364" s="642"/>
      <c r="F364" s="642"/>
      <c r="G364" s="642"/>
      <c r="H364"/>
      <c r="I364"/>
      <c r="J364"/>
      <c r="K364"/>
      <c r="L364" s="642"/>
      <c r="M364" s="642"/>
      <c r="N364"/>
      <c r="O364"/>
      <c r="P364"/>
      <c r="Q364"/>
      <c r="R364"/>
      <c r="S364"/>
      <c r="T364"/>
      <c r="U364"/>
      <c r="V364"/>
      <c r="W364"/>
      <c r="X364" s="642"/>
      <c r="Y364" s="642"/>
      <c r="Z364" s="642"/>
      <c r="AA364" s="642"/>
      <c r="AB364"/>
      <c r="AC364"/>
      <c r="AD364"/>
      <c r="AE364"/>
      <c r="AF364"/>
      <c r="AG364"/>
      <c r="AH364" s="642"/>
      <c r="AI364" s="642"/>
      <c r="AJ364" s="642"/>
    </row>
    <row r="365" spans="1:36" x14ac:dyDescent="0.2">
      <c r="A365" s="642"/>
      <c r="B365" s="642"/>
      <c r="C365"/>
      <c r="D365" s="642"/>
      <c r="E365" s="642"/>
      <c r="F365" s="642"/>
      <c r="G365" s="642"/>
      <c r="H365"/>
      <c r="I365"/>
      <c r="J365"/>
      <c r="K365"/>
      <c r="L365" s="642"/>
      <c r="M365" s="642"/>
      <c r="N365"/>
      <c r="O365"/>
      <c r="P365"/>
      <c r="Q365"/>
      <c r="R365"/>
      <c r="S365"/>
      <c r="T365"/>
      <c r="U365"/>
      <c r="V365"/>
      <c r="W365"/>
      <c r="X365" s="642"/>
      <c r="Y365" s="642"/>
      <c r="Z365" s="642"/>
      <c r="AA365" s="642"/>
      <c r="AB365"/>
      <c r="AC365"/>
      <c r="AD365"/>
      <c r="AE365"/>
      <c r="AF365"/>
      <c r="AG365"/>
      <c r="AH365" s="642"/>
      <c r="AI365" s="642"/>
      <c r="AJ365" s="642"/>
    </row>
    <row r="366" spans="1:36" x14ac:dyDescent="0.2">
      <c r="A366" s="642"/>
      <c r="B366" s="642"/>
      <c r="C366"/>
      <c r="D366" s="642"/>
      <c r="E366" s="642"/>
      <c r="F366" s="642"/>
      <c r="G366" s="642"/>
      <c r="H366"/>
      <c r="I366"/>
      <c r="J366"/>
      <c r="K366"/>
      <c r="L366" s="642"/>
      <c r="M366" s="642"/>
      <c r="N366"/>
      <c r="O366"/>
      <c r="P366"/>
      <c r="Q366"/>
      <c r="R366"/>
      <c r="S366"/>
      <c r="T366"/>
      <c r="U366"/>
      <c r="V366"/>
      <c r="W366"/>
      <c r="X366" s="642"/>
      <c r="Y366" s="642"/>
      <c r="Z366" s="642"/>
      <c r="AA366" s="642"/>
      <c r="AB366"/>
      <c r="AC366"/>
      <c r="AD366"/>
      <c r="AE366"/>
      <c r="AF366"/>
      <c r="AG366"/>
      <c r="AH366" s="642"/>
      <c r="AI366" s="642"/>
      <c r="AJ366" s="642"/>
    </row>
    <row r="367" spans="1:36" x14ac:dyDescent="0.2">
      <c r="A367" s="642"/>
      <c r="B367" s="642"/>
      <c r="C367"/>
      <c r="D367" s="642"/>
      <c r="E367" s="642"/>
      <c r="F367" s="642"/>
      <c r="G367" s="642"/>
      <c r="H367"/>
      <c r="I367"/>
      <c r="J367"/>
      <c r="K367"/>
      <c r="L367" s="642"/>
      <c r="M367" s="642"/>
      <c r="N367"/>
      <c r="O367"/>
      <c r="P367"/>
      <c r="Q367"/>
      <c r="R367"/>
      <c r="S367"/>
      <c r="T367"/>
      <c r="U367"/>
      <c r="V367"/>
      <c r="W367"/>
      <c r="X367" s="642"/>
      <c r="Y367" s="642"/>
      <c r="Z367" s="642"/>
      <c r="AA367" s="642"/>
      <c r="AB367"/>
      <c r="AC367"/>
      <c r="AD367"/>
      <c r="AE367"/>
      <c r="AF367"/>
      <c r="AG367"/>
      <c r="AH367" s="642"/>
      <c r="AI367" s="642"/>
      <c r="AJ367" s="642"/>
    </row>
    <row r="368" spans="1:36" x14ac:dyDescent="0.2">
      <c r="A368" s="642"/>
      <c r="B368" s="642"/>
      <c r="C368"/>
      <c r="D368" s="642"/>
      <c r="E368" s="642"/>
      <c r="F368" s="642"/>
      <c r="G368" s="642"/>
      <c r="H368"/>
      <c r="I368"/>
      <c r="J368"/>
      <c r="K368"/>
      <c r="L368" s="642"/>
      <c r="M368" s="642"/>
      <c r="N368"/>
      <c r="O368"/>
      <c r="P368"/>
      <c r="Q368"/>
      <c r="R368"/>
      <c r="S368"/>
      <c r="T368"/>
      <c r="U368"/>
      <c r="V368"/>
      <c r="W368"/>
      <c r="X368" s="642"/>
      <c r="Y368" s="642"/>
      <c r="Z368" s="642"/>
      <c r="AA368" s="642"/>
      <c r="AB368"/>
      <c r="AC368"/>
      <c r="AD368"/>
      <c r="AE368"/>
      <c r="AF368"/>
      <c r="AG368"/>
      <c r="AH368" s="642"/>
      <c r="AI368" s="642"/>
      <c r="AJ368" s="642"/>
    </row>
    <row r="369" spans="1:36" x14ac:dyDescent="0.2">
      <c r="A369" s="642"/>
      <c r="B369" s="642"/>
      <c r="C369"/>
      <c r="D369" s="642"/>
      <c r="E369" s="642"/>
      <c r="F369" s="642"/>
      <c r="G369" s="642"/>
      <c r="H369"/>
      <c r="I369"/>
      <c r="J369"/>
      <c r="K369"/>
      <c r="L369" s="642"/>
      <c r="M369" s="642"/>
      <c r="N369"/>
      <c r="O369"/>
      <c r="P369"/>
      <c r="Q369"/>
      <c r="R369"/>
      <c r="S369"/>
      <c r="T369"/>
      <c r="U369"/>
      <c r="V369"/>
      <c r="W369"/>
      <c r="X369" s="642"/>
      <c r="Y369" s="642"/>
      <c r="Z369" s="642"/>
      <c r="AA369" s="642"/>
      <c r="AB369"/>
      <c r="AC369"/>
      <c r="AD369"/>
      <c r="AE369"/>
      <c r="AF369"/>
      <c r="AG369"/>
      <c r="AH369" s="642"/>
      <c r="AI369" s="642"/>
      <c r="AJ369" s="642"/>
    </row>
    <row r="370" spans="1:36" x14ac:dyDescent="0.2">
      <c r="A370" s="642"/>
      <c r="B370" s="642"/>
      <c r="C370"/>
      <c r="D370" s="642"/>
      <c r="E370" s="642"/>
      <c r="F370" s="642"/>
      <c r="G370" s="642"/>
      <c r="H370"/>
      <c r="I370"/>
      <c r="J370"/>
      <c r="K370"/>
      <c r="L370" s="642"/>
      <c r="M370" s="642"/>
      <c r="N370"/>
      <c r="O370"/>
      <c r="P370"/>
      <c r="Q370"/>
      <c r="R370"/>
      <c r="S370"/>
      <c r="T370"/>
      <c r="U370"/>
      <c r="V370"/>
      <c r="W370"/>
      <c r="X370" s="642"/>
      <c r="Y370" s="642"/>
      <c r="Z370" s="642"/>
      <c r="AA370" s="642"/>
      <c r="AB370"/>
      <c r="AC370"/>
      <c r="AD370"/>
      <c r="AE370"/>
      <c r="AF370"/>
      <c r="AG370"/>
      <c r="AH370" s="642"/>
      <c r="AI370" s="642"/>
      <c r="AJ370" s="642"/>
    </row>
    <row r="371" spans="1:36" x14ac:dyDescent="0.2">
      <c r="A371" s="642"/>
      <c r="B371" s="642"/>
      <c r="C371"/>
      <c r="D371" s="642"/>
      <c r="E371" s="642"/>
      <c r="F371" s="642"/>
      <c r="G371" s="642"/>
      <c r="H371"/>
      <c r="I371"/>
      <c r="J371"/>
      <c r="K371"/>
      <c r="L371" s="642"/>
      <c r="M371" s="642"/>
      <c r="N371"/>
      <c r="O371"/>
      <c r="P371"/>
      <c r="Q371"/>
      <c r="R371"/>
      <c r="S371"/>
      <c r="T371"/>
      <c r="U371"/>
      <c r="V371"/>
      <c r="W371"/>
      <c r="X371" s="642"/>
      <c r="Y371" s="642"/>
      <c r="Z371" s="642"/>
      <c r="AA371" s="642"/>
      <c r="AB371"/>
      <c r="AC371"/>
      <c r="AD371"/>
      <c r="AE371"/>
      <c r="AF371"/>
      <c r="AG371"/>
      <c r="AH371" s="642"/>
      <c r="AI371" s="642"/>
      <c r="AJ371" s="642"/>
    </row>
    <row r="372" spans="1:36" x14ac:dyDescent="0.2">
      <c r="A372" s="642"/>
      <c r="B372" s="642"/>
      <c r="C372"/>
      <c r="D372" s="642"/>
      <c r="E372" s="642"/>
      <c r="F372" s="642"/>
      <c r="G372" s="642"/>
      <c r="H372"/>
      <c r="I372"/>
      <c r="J372"/>
      <c r="K372"/>
      <c r="L372" s="642"/>
      <c r="M372" s="642"/>
      <c r="N372"/>
      <c r="O372"/>
      <c r="P372"/>
      <c r="Q372"/>
      <c r="R372"/>
      <c r="S372"/>
      <c r="T372"/>
      <c r="U372"/>
      <c r="V372"/>
      <c r="W372"/>
      <c r="X372" s="642"/>
      <c r="Y372" s="642"/>
      <c r="Z372" s="642"/>
      <c r="AA372" s="642"/>
      <c r="AB372"/>
      <c r="AC372"/>
      <c r="AD372"/>
      <c r="AE372"/>
      <c r="AF372"/>
      <c r="AG372"/>
      <c r="AH372" s="642"/>
      <c r="AI372" s="642"/>
      <c r="AJ372" s="642"/>
    </row>
    <row r="373" spans="1:36" x14ac:dyDescent="0.2">
      <c r="A373" s="642"/>
      <c r="B373" s="642"/>
      <c r="C373"/>
      <c r="D373" s="642"/>
      <c r="E373" s="642"/>
      <c r="F373" s="642"/>
      <c r="G373" s="642"/>
      <c r="H373"/>
      <c r="I373"/>
      <c r="J373"/>
      <c r="K373"/>
      <c r="L373" s="642"/>
      <c r="M373" s="642"/>
      <c r="N373"/>
      <c r="O373"/>
      <c r="P373"/>
      <c r="Q373"/>
      <c r="R373"/>
      <c r="S373"/>
      <c r="T373"/>
      <c r="U373"/>
      <c r="V373"/>
      <c r="W373"/>
      <c r="X373" s="642"/>
      <c r="Y373" s="642"/>
      <c r="Z373" s="642"/>
      <c r="AA373" s="642"/>
      <c r="AB373"/>
      <c r="AC373"/>
      <c r="AD373"/>
      <c r="AE373"/>
      <c r="AF373"/>
      <c r="AG373"/>
      <c r="AH373" s="642"/>
      <c r="AI373" s="642"/>
      <c r="AJ373" s="642"/>
    </row>
    <row r="374" spans="1:36" x14ac:dyDescent="0.2">
      <c r="A374" s="642"/>
      <c r="B374" s="642"/>
      <c r="C374"/>
      <c r="D374" s="642"/>
      <c r="E374" s="642"/>
      <c r="F374" s="642"/>
      <c r="G374" s="642"/>
      <c r="H374"/>
      <c r="I374"/>
      <c r="J374"/>
      <c r="K374"/>
      <c r="L374" s="642"/>
      <c r="M374" s="642"/>
      <c r="N374"/>
      <c r="O374"/>
      <c r="P374"/>
      <c r="Q374"/>
      <c r="R374"/>
      <c r="S374"/>
      <c r="T374"/>
      <c r="U374"/>
      <c r="V374"/>
      <c r="W374"/>
      <c r="X374" s="642"/>
      <c r="Y374" s="642"/>
      <c r="Z374" s="642"/>
      <c r="AA374" s="642"/>
      <c r="AB374"/>
      <c r="AC374"/>
      <c r="AD374"/>
      <c r="AE374"/>
      <c r="AF374"/>
      <c r="AG374"/>
      <c r="AH374" s="642"/>
      <c r="AI374" s="642"/>
      <c r="AJ374" s="642"/>
    </row>
    <row r="375" spans="1:36" x14ac:dyDescent="0.2">
      <c r="A375" s="642"/>
      <c r="B375" s="642"/>
      <c r="C375"/>
      <c r="D375" s="642"/>
      <c r="E375" s="642"/>
      <c r="F375" s="642"/>
      <c r="G375" s="642"/>
      <c r="H375"/>
      <c r="I375"/>
      <c r="J375"/>
      <c r="K375"/>
      <c r="L375" s="642"/>
      <c r="M375" s="642"/>
      <c r="O375"/>
      <c r="P375"/>
      <c r="Q375"/>
      <c r="R375"/>
      <c r="S375"/>
      <c r="T375"/>
      <c r="U375"/>
      <c r="V375"/>
      <c r="W375"/>
      <c r="X375" s="642"/>
      <c r="Y375" s="642"/>
      <c r="Z375" s="642"/>
      <c r="AA375" s="642"/>
      <c r="AB375"/>
      <c r="AC375"/>
      <c r="AD375"/>
      <c r="AE375"/>
      <c r="AF375"/>
      <c r="AG375"/>
      <c r="AH375" s="642"/>
      <c r="AI375" s="642"/>
      <c r="AJ375" s="642"/>
    </row>
    <row r="376" spans="1:36" x14ac:dyDescent="0.2">
      <c r="A376" s="642"/>
      <c r="B376" s="642"/>
      <c r="C376"/>
      <c r="D376" s="642"/>
      <c r="E376" s="642"/>
      <c r="F376" s="642"/>
      <c r="G376" s="642"/>
      <c r="H376"/>
      <c r="I376"/>
      <c r="J376"/>
      <c r="K376"/>
      <c r="L376" s="642"/>
      <c r="M376" s="642"/>
      <c r="N376"/>
      <c r="O376"/>
      <c r="P376"/>
      <c r="Q376"/>
      <c r="R376"/>
      <c r="S376"/>
      <c r="T376"/>
      <c r="U376"/>
      <c r="V376"/>
      <c r="W376"/>
      <c r="X376" s="642"/>
      <c r="Y376" s="642"/>
      <c r="Z376" s="642"/>
      <c r="AA376" s="642"/>
      <c r="AB376"/>
      <c r="AC376"/>
      <c r="AD376"/>
      <c r="AE376"/>
      <c r="AF376"/>
      <c r="AG376"/>
      <c r="AH376" s="642"/>
      <c r="AI376" s="642"/>
      <c r="AJ376" s="642"/>
    </row>
    <row r="377" spans="1:36" x14ac:dyDescent="0.2">
      <c r="A377" s="642"/>
      <c r="B377" s="642"/>
      <c r="C377"/>
      <c r="D377" s="642"/>
      <c r="E377" s="642"/>
      <c r="F377" s="642"/>
      <c r="G377" s="642"/>
      <c r="H377"/>
      <c r="I377"/>
      <c r="J377"/>
      <c r="K377"/>
      <c r="L377" s="642"/>
      <c r="M377" s="642"/>
      <c r="N377"/>
      <c r="O377"/>
      <c r="P377"/>
      <c r="Q377"/>
      <c r="R377"/>
      <c r="S377"/>
      <c r="T377"/>
      <c r="U377"/>
      <c r="V377"/>
      <c r="W377"/>
      <c r="X377" s="642"/>
      <c r="Y377" s="642"/>
      <c r="Z377" s="642"/>
      <c r="AA377" s="642"/>
      <c r="AB377"/>
      <c r="AC377"/>
      <c r="AD377"/>
      <c r="AE377"/>
      <c r="AF377"/>
      <c r="AG377"/>
      <c r="AH377" s="642"/>
      <c r="AI377" s="642"/>
      <c r="AJ377" s="642"/>
    </row>
    <row r="378" spans="1:36" x14ac:dyDescent="0.2">
      <c r="A378" s="642"/>
      <c r="B378" s="642"/>
      <c r="C378"/>
      <c r="D378" s="642"/>
      <c r="E378" s="642"/>
      <c r="F378" s="642"/>
      <c r="G378" s="642"/>
      <c r="H378"/>
      <c r="I378"/>
      <c r="J378"/>
      <c r="K378"/>
      <c r="L378" s="642"/>
      <c r="M378" s="642"/>
      <c r="N378"/>
      <c r="O378"/>
      <c r="P378"/>
      <c r="Q378"/>
      <c r="R378"/>
      <c r="S378"/>
      <c r="T378"/>
      <c r="U378"/>
      <c r="V378"/>
      <c r="W378"/>
      <c r="X378" s="642"/>
      <c r="Y378" s="642"/>
      <c r="Z378" s="642"/>
      <c r="AA378" s="642"/>
      <c r="AB378"/>
      <c r="AC378"/>
      <c r="AD378"/>
      <c r="AE378"/>
      <c r="AF378"/>
      <c r="AG378"/>
      <c r="AH378" s="642"/>
      <c r="AI378" s="642"/>
      <c r="AJ378" s="642"/>
    </row>
    <row r="379" spans="1:36" x14ac:dyDescent="0.2">
      <c r="A379" s="642"/>
      <c r="B379" s="642"/>
      <c r="C379"/>
      <c r="D379" s="642"/>
      <c r="E379" s="642"/>
      <c r="F379" s="642"/>
      <c r="G379" s="642"/>
      <c r="H379"/>
      <c r="I379"/>
      <c r="J379"/>
      <c r="K379"/>
      <c r="L379" s="642"/>
      <c r="M379" s="642"/>
      <c r="N379"/>
      <c r="O379"/>
      <c r="P379"/>
      <c r="Q379"/>
      <c r="R379"/>
      <c r="S379"/>
      <c r="T379"/>
      <c r="U379"/>
      <c r="V379"/>
      <c r="W379"/>
      <c r="X379" s="642"/>
      <c r="Y379" s="642"/>
      <c r="Z379" s="642"/>
      <c r="AA379" s="642"/>
      <c r="AB379"/>
      <c r="AC379"/>
      <c r="AD379"/>
      <c r="AE379"/>
      <c r="AF379"/>
      <c r="AG379"/>
      <c r="AH379" s="642"/>
      <c r="AI379" s="642"/>
      <c r="AJ379" s="642"/>
    </row>
    <row r="380" spans="1:36" x14ac:dyDescent="0.2">
      <c r="A380" s="642"/>
      <c r="B380" s="642"/>
      <c r="C380"/>
      <c r="D380" s="642"/>
      <c r="E380" s="642"/>
      <c r="F380" s="642"/>
      <c r="G380" s="642"/>
      <c r="H380"/>
      <c r="I380"/>
      <c r="J380"/>
      <c r="K380"/>
      <c r="L380" s="642"/>
      <c r="M380" s="642"/>
      <c r="N380"/>
      <c r="O380"/>
      <c r="P380"/>
      <c r="Q380"/>
      <c r="R380"/>
      <c r="S380"/>
      <c r="T380"/>
      <c r="U380"/>
      <c r="V380"/>
      <c r="W380"/>
      <c r="X380" s="642"/>
      <c r="Y380" s="642"/>
      <c r="Z380" s="642"/>
      <c r="AA380" s="642"/>
      <c r="AB380"/>
      <c r="AC380"/>
      <c r="AD380"/>
      <c r="AE380"/>
      <c r="AF380"/>
      <c r="AG380"/>
      <c r="AH380" s="642"/>
      <c r="AI380" s="642"/>
      <c r="AJ380" s="642"/>
    </row>
    <row r="381" spans="1:36" x14ac:dyDescent="0.2">
      <c r="A381" s="642"/>
      <c r="B381" s="642"/>
      <c r="C381"/>
      <c r="D381" s="642"/>
      <c r="E381" s="642"/>
      <c r="F381" s="642"/>
      <c r="G381" s="642"/>
      <c r="H381"/>
      <c r="I381"/>
      <c r="J381"/>
      <c r="K381"/>
      <c r="L381" s="642"/>
      <c r="M381" s="642"/>
      <c r="N381"/>
      <c r="O381"/>
      <c r="P381"/>
      <c r="Q381"/>
      <c r="R381"/>
      <c r="S381"/>
      <c r="T381"/>
      <c r="U381"/>
      <c r="V381"/>
      <c r="W381"/>
      <c r="X381" s="642"/>
      <c r="Y381" s="642"/>
      <c r="Z381" s="642"/>
      <c r="AA381" s="642"/>
      <c r="AB381"/>
      <c r="AC381"/>
      <c r="AD381"/>
      <c r="AE381"/>
      <c r="AF381"/>
      <c r="AG381"/>
      <c r="AH381" s="642"/>
      <c r="AI381" s="642"/>
      <c r="AJ381" s="642"/>
    </row>
    <row r="382" spans="1:36" x14ac:dyDescent="0.2">
      <c r="A382" s="642"/>
      <c r="B382" s="642"/>
      <c r="C382"/>
      <c r="D382" s="642"/>
      <c r="E382" s="642"/>
      <c r="F382" s="642"/>
      <c r="G382" s="642"/>
      <c r="H382"/>
      <c r="I382"/>
      <c r="J382"/>
      <c r="K382"/>
      <c r="L382" s="642"/>
      <c r="M382" s="642"/>
      <c r="N382"/>
      <c r="O382"/>
      <c r="P382"/>
      <c r="Q382"/>
      <c r="R382"/>
      <c r="S382"/>
      <c r="T382"/>
      <c r="U382"/>
      <c r="V382"/>
      <c r="W382"/>
      <c r="X382" s="642"/>
      <c r="Y382" s="642"/>
      <c r="Z382" s="642"/>
      <c r="AA382" s="642"/>
      <c r="AB382"/>
      <c r="AD382"/>
      <c r="AE382"/>
      <c r="AF382"/>
      <c r="AG382"/>
      <c r="AH382" s="642"/>
      <c r="AI382" s="642"/>
      <c r="AJ382" s="642"/>
    </row>
    <row r="383" spans="1:36" x14ac:dyDescent="0.2">
      <c r="A383" s="642"/>
      <c r="B383" s="642"/>
      <c r="C383"/>
      <c r="D383" s="642"/>
      <c r="E383" s="642"/>
      <c r="F383" s="642"/>
      <c r="G383" s="642"/>
      <c r="H383"/>
      <c r="I383"/>
      <c r="J383"/>
      <c r="K383"/>
      <c r="L383" s="642"/>
      <c r="M383" s="642"/>
      <c r="N383"/>
      <c r="O383"/>
      <c r="P383"/>
      <c r="Q383"/>
      <c r="R383"/>
      <c r="S383"/>
      <c r="T383"/>
      <c r="U383"/>
      <c r="V383"/>
      <c r="W383"/>
      <c r="X383" s="642"/>
      <c r="Y383" s="642"/>
      <c r="Z383" s="642"/>
      <c r="AA383" s="642"/>
      <c r="AB383"/>
      <c r="AD383"/>
      <c r="AE383"/>
      <c r="AF383"/>
      <c r="AG383"/>
      <c r="AH383" s="642"/>
      <c r="AI383" s="642"/>
      <c r="AJ383" s="642"/>
    </row>
    <row r="384" spans="1:36" x14ac:dyDescent="0.2">
      <c r="A384" s="642"/>
      <c r="B384" s="642"/>
      <c r="C384"/>
      <c r="D384" s="642"/>
      <c r="E384" s="642"/>
      <c r="F384" s="642"/>
      <c r="G384" s="642"/>
      <c r="H384"/>
      <c r="I384"/>
      <c r="J384"/>
      <c r="K384"/>
      <c r="L384" s="642"/>
      <c r="M384" s="642"/>
      <c r="N384"/>
      <c r="O384"/>
      <c r="P384"/>
      <c r="Q384"/>
      <c r="R384"/>
      <c r="S384"/>
      <c r="T384"/>
      <c r="U384"/>
      <c r="V384"/>
      <c r="W384"/>
      <c r="X384" s="642"/>
      <c r="Y384" s="642"/>
      <c r="Z384" s="642"/>
      <c r="AA384" s="642"/>
      <c r="AB384"/>
      <c r="AC384"/>
      <c r="AD384"/>
      <c r="AE384"/>
      <c r="AF384"/>
      <c r="AG384"/>
      <c r="AH384" s="642"/>
      <c r="AI384" s="642"/>
      <c r="AJ384" s="642"/>
    </row>
    <row r="385" spans="1:36" x14ac:dyDescent="0.2">
      <c r="A385" s="642"/>
      <c r="B385" s="642"/>
      <c r="C385"/>
      <c r="D385" s="642"/>
      <c r="E385" s="642"/>
      <c r="F385" s="642"/>
      <c r="G385" s="642"/>
      <c r="H385"/>
      <c r="I385"/>
      <c r="J385"/>
      <c r="K385"/>
      <c r="L385" s="642"/>
      <c r="M385" s="642"/>
      <c r="N385"/>
      <c r="O385"/>
      <c r="P385"/>
      <c r="Q385"/>
      <c r="R385"/>
      <c r="S385"/>
      <c r="T385"/>
      <c r="U385"/>
      <c r="V385"/>
      <c r="W385"/>
      <c r="X385" s="642"/>
      <c r="Y385" s="642"/>
      <c r="Z385" s="642"/>
      <c r="AA385" s="642"/>
      <c r="AB385"/>
      <c r="AC385"/>
      <c r="AD385"/>
      <c r="AE385"/>
      <c r="AF385"/>
      <c r="AG385"/>
      <c r="AH385" s="642"/>
      <c r="AI385" s="642"/>
      <c r="AJ385" s="642"/>
    </row>
    <row r="386" spans="1:36" x14ac:dyDescent="0.2">
      <c r="A386" s="642"/>
      <c r="B386" s="642"/>
      <c r="C386"/>
      <c r="D386" s="642"/>
      <c r="E386" s="642"/>
      <c r="F386" s="642"/>
      <c r="G386" s="642"/>
      <c r="H386"/>
      <c r="I386"/>
      <c r="J386"/>
      <c r="K386"/>
      <c r="L386" s="642"/>
      <c r="M386" s="642"/>
      <c r="N386"/>
      <c r="O386"/>
      <c r="P386"/>
      <c r="Q386"/>
      <c r="R386"/>
      <c r="S386"/>
      <c r="T386"/>
      <c r="U386"/>
      <c r="V386"/>
      <c r="W386"/>
      <c r="X386" s="642"/>
      <c r="Y386" s="642"/>
      <c r="Z386" s="642"/>
      <c r="AA386" s="642"/>
      <c r="AB386"/>
      <c r="AC386"/>
      <c r="AD386"/>
      <c r="AE386"/>
      <c r="AF386"/>
      <c r="AG386"/>
      <c r="AH386" s="642"/>
      <c r="AI386" s="642"/>
      <c r="AJ386" s="642"/>
    </row>
    <row r="387" spans="1:36" x14ac:dyDescent="0.2">
      <c r="A387" s="642"/>
      <c r="B387" s="642"/>
      <c r="C387"/>
      <c r="D387" s="642"/>
      <c r="E387" s="642"/>
      <c r="F387" s="642"/>
      <c r="G387" s="642"/>
      <c r="H387"/>
      <c r="I387"/>
      <c r="J387"/>
      <c r="K387"/>
      <c r="L387" s="642"/>
      <c r="M387" s="642"/>
      <c r="N387"/>
      <c r="O387"/>
      <c r="P387"/>
      <c r="Q387"/>
      <c r="R387"/>
      <c r="S387"/>
      <c r="T387"/>
      <c r="U387"/>
      <c r="V387"/>
      <c r="W387"/>
      <c r="X387" s="642"/>
      <c r="Y387" s="642"/>
      <c r="Z387" s="642"/>
      <c r="AA387" s="642"/>
      <c r="AB387"/>
      <c r="AC387"/>
      <c r="AD387"/>
      <c r="AE387"/>
      <c r="AF387"/>
      <c r="AG387"/>
      <c r="AH387" s="642"/>
      <c r="AI387" s="642"/>
      <c r="AJ387" s="642"/>
    </row>
    <row r="388" spans="1:36" x14ac:dyDescent="0.2">
      <c r="A388" s="642"/>
      <c r="B388" s="642"/>
      <c r="C388"/>
      <c r="D388" s="642"/>
      <c r="E388" s="642"/>
      <c r="F388" s="642"/>
      <c r="G388" s="642"/>
      <c r="H388"/>
      <c r="I388"/>
      <c r="J388"/>
      <c r="K388"/>
      <c r="L388" s="642"/>
      <c r="M388" s="642"/>
      <c r="N388"/>
      <c r="O388"/>
      <c r="P388"/>
      <c r="Q388"/>
      <c r="R388"/>
      <c r="S388"/>
      <c r="T388"/>
      <c r="U388"/>
      <c r="V388"/>
      <c r="W388"/>
      <c r="X388" s="642"/>
      <c r="Y388" s="642"/>
      <c r="Z388" s="642"/>
      <c r="AA388" s="642"/>
      <c r="AB388"/>
      <c r="AC388"/>
      <c r="AD388"/>
      <c r="AE388"/>
      <c r="AF388"/>
      <c r="AG388"/>
      <c r="AH388" s="642"/>
      <c r="AI388" s="642"/>
      <c r="AJ388" s="642"/>
    </row>
    <row r="389" spans="1:36" x14ac:dyDescent="0.2">
      <c r="A389" s="642"/>
      <c r="B389" s="642"/>
      <c r="C389"/>
      <c r="D389" s="642"/>
      <c r="E389" s="642"/>
      <c r="F389" s="642"/>
      <c r="G389" s="642"/>
      <c r="H389"/>
      <c r="I389"/>
      <c r="J389"/>
      <c r="K389"/>
      <c r="L389" s="642"/>
      <c r="M389" s="642"/>
      <c r="N389"/>
      <c r="O389"/>
      <c r="P389"/>
      <c r="Q389"/>
      <c r="R389"/>
      <c r="S389"/>
      <c r="T389"/>
      <c r="U389"/>
      <c r="V389"/>
      <c r="W389"/>
      <c r="X389" s="642"/>
      <c r="Y389" s="642"/>
      <c r="Z389" s="642"/>
      <c r="AA389" s="642"/>
      <c r="AB389"/>
      <c r="AC389"/>
      <c r="AD389"/>
      <c r="AE389"/>
      <c r="AF389"/>
      <c r="AG389"/>
      <c r="AH389" s="642"/>
      <c r="AI389" s="642"/>
      <c r="AJ389" s="642"/>
    </row>
    <row r="390" spans="1:36" x14ac:dyDescent="0.2">
      <c r="A390" s="642"/>
      <c r="B390" s="642"/>
      <c r="C390"/>
      <c r="D390" s="642"/>
      <c r="E390" s="642"/>
      <c r="F390" s="642"/>
      <c r="G390" s="642"/>
      <c r="H390"/>
      <c r="I390"/>
      <c r="J390"/>
      <c r="K390"/>
      <c r="L390" s="642"/>
      <c r="M390" s="642"/>
      <c r="N390"/>
      <c r="O390"/>
      <c r="P390"/>
      <c r="Q390"/>
      <c r="R390"/>
      <c r="S390"/>
      <c r="T390"/>
      <c r="U390"/>
      <c r="V390"/>
      <c r="W390"/>
      <c r="X390" s="642"/>
      <c r="Y390" s="642"/>
      <c r="Z390" s="642"/>
      <c r="AA390" s="642"/>
      <c r="AB390"/>
      <c r="AC390"/>
      <c r="AD390"/>
      <c r="AE390"/>
      <c r="AF390"/>
      <c r="AG390"/>
      <c r="AH390" s="642"/>
      <c r="AI390" s="642"/>
      <c r="AJ390" s="642"/>
    </row>
    <row r="391" spans="1:36" x14ac:dyDescent="0.2">
      <c r="A391" s="642"/>
      <c r="B391" s="642"/>
      <c r="C391"/>
      <c r="D391" s="642"/>
      <c r="E391" s="642"/>
      <c r="F391" s="642"/>
      <c r="G391" s="642"/>
      <c r="H391"/>
      <c r="I391"/>
      <c r="J391"/>
      <c r="K391"/>
      <c r="L391" s="642"/>
      <c r="M391" s="642"/>
      <c r="N391"/>
      <c r="O391"/>
      <c r="P391"/>
      <c r="Q391"/>
      <c r="R391"/>
      <c r="S391"/>
      <c r="T391"/>
      <c r="U391"/>
      <c r="V391"/>
      <c r="W391"/>
      <c r="X391" s="642"/>
      <c r="Y391" s="642"/>
      <c r="Z391" s="642"/>
      <c r="AA391" s="642"/>
      <c r="AB391"/>
      <c r="AC391"/>
      <c r="AD391"/>
      <c r="AE391"/>
      <c r="AF391"/>
      <c r="AG391"/>
      <c r="AH391" s="642"/>
      <c r="AI391" s="642"/>
      <c r="AJ391" s="642"/>
    </row>
    <row r="392" spans="1:36" x14ac:dyDescent="0.2">
      <c r="A392" s="642"/>
      <c r="B392" s="642"/>
      <c r="C392"/>
      <c r="D392" s="642"/>
      <c r="E392" s="642"/>
      <c r="F392" s="642"/>
      <c r="G392" s="642"/>
      <c r="H392"/>
      <c r="I392"/>
      <c r="J392"/>
      <c r="K392"/>
      <c r="L392" s="642"/>
      <c r="M392" s="642"/>
      <c r="N392"/>
      <c r="O392"/>
      <c r="P392"/>
      <c r="Q392"/>
      <c r="R392"/>
      <c r="S392"/>
      <c r="T392"/>
      <c r="U392"/>
      <c r="V392"/>
      <c r="W392"/>
      <c r="X392" s="642"/>
      <c r="Y392" s="642"/>
      <c r="Z392" s="642"/>
      <c r="AA392" s="642"/>
      <c r="AB392"/>
      <c r="AC392"/>
      <c r="AD392"/>
      <c r="AE392"/>
      <c r="AF392"/>
      <c r="AG392"/>
      <c r="AH392" s="642"/>
      <c r="AI392" s="642"/>
      <c r="AJ392" s="642"/>
    </row>
    <row r="393" spans="1:36" x14ac:dyDescent="0.2">
      <c r="A393" s="642"/>
      <c r="B393" s="642"/>
      <c r="C393"/>
      <c r="D393" s="642"/>
      <c r="E393" s="642"/>
      <c r="F393" s="642"/>
      <c r="G393" s="642"/>
      <c r="H393"/>
      <c r="I393"/>
      <c r="J393"/>
      <c r="K393"/>
      <c r="L393" s="642"/>
      <c r="M393" s="642"/>
      <c r="N393"/>
      <c r="O393"/>
      <c r="P393"/>
      <c r="Q393"/>
      <c r="R393"/>
      <c r="S393"/>
      <c r="T393"/>
      <c r="U393"/>
      <c r="V393"/>
      <c r="W393"/>
      <c r="X393" s="642"/>
      <c r="Y393" s="642"/>
      <c r="Z393" s="642"/>
      <c r="AA393" s="642"/>
      <c r="AB393"/>
      <c r="AC393"/>
      <c r="AD393"/>
      <c r="AE393"/>
      <c r="AF393"/>
      <c r="AG393"/>
      <c r="AH393" s="642"/>
      <c r="AI393" s="642"/>
      <c r="AJ393" s="642"/>
    </row>
    <row r="394" spans="1:36" x14ac:dyDescent="0.2">
      <c r="A394" s="642"/>
      <c r="B394" s="642"/>
      <c r="C394"/>
      <c r="D394" s="642"/>
      <c r="E394" s="642"/>
      <c r="F394" s="642"/>
      <c r="G394" s="642"/>
      <c r="H394"/>
      <c r="I394"/>
      <c r="J394"/>
      <c r="K394"/>
      <c r="L394" s="642"/>
      <c r="M394" s="642"/>
      <c r="N394"/>
      <c r="O394"/>
      <c r="P394"/>
      <c r="Q394"/>
      <c r="R394"/>
      <c r="S394"/>
      <c r="T394"/>
      <c r="U394"/>
      <c r="V394"/>
      <c r="W394"/>
      <c r="X394" s="642"/>
      <c r="Y394" s="642"/>
      <c r="Z394" s="642"/>
      <c r="AA394" s="642"/>
      <c r="AB394"/>
      <c r="AC394"/>
      <c r="AD394"/>
      <c r="AE394"/>
      <c r="AF394"/>
      <c r="AG394"/>
      <c r="AH394" s="642"/>
      <c r="AI394" s="642"/>
      <c r="AJ394" s="642"/>
    </row>
    <row r="395" spans="1:36" x14ac:dyDescent="0.2">
      <c r="A395" s="642"/>
      <c r="B395" s="642"/>
      <c r="C395"/>
      <c r="D395" s="642"/>
      <c r="E395" s="642"/>
      <c r="F395" s="642"/>
      <c r="G395" s="642"/>
      <c r="H395"/>
      <c r="I395"/>
      <c r="J395"/>
      <c r="K395"/>
      <c r="L395" s="642"/>
      <c r="M395" s="642"/>
      <c r="N395"/>
      <c r="O395"/>
      <c r="P395"/>
      <c r="Q395"/>
      <c r="R395"/>
      <c r="S395"/>
      <c r="T395"/>
      <c r="U395"/>
      <c r="V395"/>
      <c r="W395"/>
      <c r="X395" s="642"/>
      <c r="Y395" s="642"/>
      <c r="Z395" s="642"/>
      <c r="AA395" s="642"/>
      <c r="AB395"/>
      <c r="AC395"/>
      <c r="AD395"/>
      <c r="AE395"/>
      <c r="AF395"/>
      <c r="AG395"/>
      <c r="AH395" s="642"/>
      <c r="AI395" s="642"/>
      <c r="AJ395" s="642"/>
    </row>
    <row r="396" spans="1:36" x14ac:dyDescent="0.2">
      <c r="A396" s="642"/>
      <c r="B396" s="642"/>
      <c r="C396"/>
      <c r="D396" s="642"/>
      <c r="E396" s="642"/>
      <c r="F396" s="642"/>
      <c r="G396" s="642"/>
      <c r="H396"/>
      <c r="I396"/>
      <c r="J396"/>
      <c r="K396"/>
      <c r="L396" s="642"/>
      <c r="M396" s="642"/>
      <c r="N396"/>
      <c r="O396"/>
      <c r="P396"/>
      <c r="Q396"/>
      <c r="R396"/>
      <c r="S396"/>
      <c r="T396"/>
      <c r="U396"/>
      <c r="V396"/>
      <c r="W396"/>
      <c r="X396" s="642"/>
      <c r="Y396" s="642"/>
      <c r="Z396" s="642"/>
      <c r="AA396" s="642"/>
      <c r="AB396"/>
      <c r="AC396"/>
      <c r="AD396"/>
      <c r="AE396"/>
      <c r="AF396"/>
      <c r="AG396"/>
      <c r="AH396" s="642"/>
      <c r="AI396" s="642"/>
      <c r="AJ396" s="642"/>
    </row>
    <row r="397" spans="1:36" x14ac:dyDescent="0.2">
      <c r="A397" s="642"/>
      <c r="B397" s="642"/>
      <c r="C397"/>
      <c r="D397" s="642"/>
      <c r="E397" s="642"/>
      <c r="F397" s="642"/>
      <c r="G397" s="642"/>
      <c r="H397"/>
      <c r="I397"/>
      <c r="J397"/>
      <c r="K397"/>
      <c r="L397" s="642"/>
      <c r="M397" s="642"/>
      <c r="N397"/>
      <c r="O397"/>
      <c r="P397"/>
      <c r="Q397"/>
      <c r="R397"/>
      <c r="S397"/>
      <c r="T397"/>
      <c r="U397"/>
      <c r="V397"/>
      <c r="W397"/>
      <c r="X397" s="642"/>
      <c r="Y397" s="642"/>
      <c r="Z397" s="642"/>
      <c r="AA397" s="642"/>
      <c r="AB397"/>
      <c r="AC397"/>
      <c r="AD397"/>
      <c r="AE397"/>
      <c r="AF397"/>
      <c r="AG397"/>
      <c r="AH397" s="642"/>
      <c r="AI397" s="642"/>
      <c r="AJ397" s="642"/>
    </row>
    <row r="398" spans="1:36" x14ac:dyDescent="0.2">
      <c r="A398" s="642"/>
      <c r="B398" s="642"/>
      <c r="C398"/>
      <c r="D398" s="642"/>
      <c r="E398" s="642"/>
      <c r="F398" s="642"/>
      <c r="G398" s="642"/>
      <c r="H398"/>
      <c r="I398"/>
      <c r="J398"/>
      <c r="K398"/>
      <c r="L398" s="642"/>
      <c r="M398" s="642"/>
      <c r="N398"/>
      <c r="O398"/>
      <c r="P398"/>
      <c r="Q398"/>
      <c r="R398"/>
      <c r="S398"/>
      <c r="T398"/>
      <c r="U398"/>
      <c r="V398"/>
      <c r="W398"/>
      <c r="X398" s="642"/>
      <c r="Y398" s="642"/>
      <c r="Z398" s="642"/>
      <c r="AA398" s="642"/>
      <c r="AB398"/>
      <c r="AC398"/>
      <c r="AD398"/>
      <c r="AE398"/>
      <c r="AF398"/>
      <c r="AG398"/>
      <c r="AH398" s="642"/>
      <c r="AI398" s="642"/>
      <c r="AJ398" s="642"/>
    </row>
    <row r="399" spans="1:36" x14ac:dyDescent="0.2">
      <c r="A399" s="642"/>
      <c r="B399" s="642"/>
      <c r="C399"/>
      <c r="D399" s="642"/>
      <c r="E399" s="642"/>
      <c r="F399" s="642"/>
      <c r="G399" s="642"/>
      <c r="H399"/>
      <c r="I399"/>
      <c r="J399"/>
      <c r="K399"/>
      <c r="L399" s="642"/>
      <c r="M399" s="642"/>
      <c r="N399"/>
      <c r="O399"/>
      <c r="P399"/>
      <c r="Q399"/>
      <c r="R399"/>
      <c r="S399"/>
      <c r="T399"/>
      <c r="U399"/>
      <c r="V399"/>
      <c r="W399"/>
      <c r="X399" s="642"/>
      <c r="Y399" s="642"/>
      <c r="Z399" s="642"/>
      <c r="AA399" s="642"/>
      <c r="AB399"/>
      <c r="AC399"/>
      <c r="AD399"/>
      <c r="AE399"/>
      <c r="AF399"/>
      <c r="AG399"/>
      <c r="AH399" s="642"/>
      <c r="AI399" s="642"/>
      <c r="AJ399" s="642"/>
    </row>
    <row r="400" spans="1:36" x14ac:dyDescent="0.2">
      <c r="A400" s="642"/>
      <c r="B400" s="642"/>
      <c r="C400"/>
      <c r="D400" s="642"/>
      <c r="E400" s="642"/>
      <c r="F400" s="642"/>
      <c r="G400" s="642"/>
      <c r="H400"/>
      <c r="I400"/>
      <c r="J400"/>
      <c r="K400"/>
      <c r="L400" s="642"/>
      <c r="M400" s="642"/>
      <c r="N400"/>
      <c r="O400"/>
      <c r="P400"/>
      <c r="Q400"/>
      <c r="R400"/>
      <c r="S400"/>
      <c r="T400"/>
      <c r="U400"/>
      <c r="V400"/>
      <c r="W400"/>
      <c r="X400" s="642"/>
      <c r="Y400" s="642"/>
      <c r="Z400" s="642"/>
      <c r="AA400" s="642"/>
      <c r="AB400"/>
      <c r="AC400"/>
      <c r="AD400"/>
      <c r="AE400"/>
      <c r="AF400"/>
      <c r="AG400"/>
      <c r="AH400" s="642"/>
      <c r="AI400" s="642"/>
      <c r="AJ400" s="642"/>
    </row>
    <row r="401" spans="1:36" x14ac:dyDescent="0.2">
      <c r="A401" s="642"/>
      <c r="B401" s="642"/>
      <c r="C401"/>
      <c r="D401" s="642"/>
      <c r="E401" s="642"/>
      <c r="F401" s="642"/>
      <c r="G401" s="642"/>
      <c r="H401"/>
      <c r="I401"/>
      <c r="J401"/>
      <c r="K401"/>
      <c r="L401" s="642"/>
      <c r="M401" s="642"/>
      <c r="N401"/>
      <c r="O401"/>
      <c r="P401"/>
      <c r="Q401"/>
      <c r="R401"/>
      <c r="S401"/>
      <c r="T401"/>
      <c r="U401"/>
      <c r="V401"/>
      <c r="W401"/>
      <c r="X401" s="642"/>
      <c r="Y401" s="642"/>
      <c r="Z401" s="642"/>
      <c r="AA401" s="642"/>
      <c r="AB401"/>
      <c r="AC401"/>
      <c r="AD401"/>
      <c r="AE401"/>
      <c r="AF401"/>
      <c r="AG401"/>
      <c r="AH401" s="642"/>
      <c r="AI401" s="642"/>
      <c r="AJ401" s="642"/>
    </row>
    <row r="402" spans="1:36" x14ac:dyDescent="0.2">
      <c r="A402" s="642"/>
      <c r="B402" s="642"/>
      <c r="C402"/>
      <c r="D402" s="642"/>
      <c r="E402" s="642"/>
      <c r="F402" s="642"/>
      <c r="G402" s="642"/>
      <c r="H402"/>
      <c r="I402"/>
      <c r="J402"/>
      <c r="K402"/>
      <c r="L402" s="642"/>
      <c r="M402" s="642"/>
      <c r="N402"/>
      <c r="O402"/>
      <c r="P402"/>
      <c r="Q402"/>
      <c r="R402"/>
      <c r="S402"/>
      <c r="T402"/>
      <c r="U402"/>
      <c r="V402"/>
      <c r="W402"/>
      <c r="X402" s="642"/>
      <c r="Y402" s="642"/>
      <c r="Z402" s="642"/>
      <c r="AA402" s="642"/>
      <c r="AB402"/>
      <c r="AC402"/>
      <c r="AD402"/>
      <c r="AE402"/>
      <c r="AF402"/>
      <c r="AG402"/>
      <c r="AH402" s="642"/>
      <c r="AI402" s="642"/>
      <c r="AJ402" s="642"/>
    </row>
    <row r="403" spans="1:36" x14ac:dyDescent="0.2">
      <c r="A403" s="642"/>
      <c r="B403" s="642"/>
      <c r="C403"/>
      <c r="D403" s="642"/>
      <c r="E403" s="642"/>
      <c r="F403" s="642"/>
      <c r="G403" s="642"/>
      <c r="H403"/>
      <c r="I403"/>
      <c r="J403"/>
      <c r="K403"/>
      <c r="L403" s="642"/>
      <c r="M403" s="642"/>
      <c r="N403"/>
      <c r="O403"/>
      <c r="P403"/>
      <c r="Q403"/>
      <c r="R403"/>
      <c r="S403"/>
      <c r="T403"/>
      <c r="U403"/>
      <c r="V403"/>
      <c r="W403"/>
      <c r="X403" s="642"/>
      <c r="Y403" s="642"/>
      <c r="Z403" s="642"/>
      <c r="AA403" s="642"/>
      <c r="AB403"/>
      <c r="AC403"/>
      <c r="AD403"/>
      <c r="AE403"/>
      <c r="AF403"/>
      <c r="AG403"/>
      <c r="AH403" s="642"/>
      <c r="AI403" s="642"/>
      <c r="AJ403" s="642"/>
    </row>
    <row r="404" spans="1:36" x14ac:dyDescent="0.2">
      <c r="A404" s="642"/>
      <c r="B404" s="642"/>
      <c r="C404"/>
      <c r="D404" s="642"/>
      <c r="E404" s="642"/>
      <c r="F404" s="642"/>
      <c r="G404" s="642"/>
      <c r="H404"/>
      <c r="I404"/>
      <c r="J404"/>
      <c r="K404"/>
      <c r="L404" s="642"/>
      <c r="M404" s="642"/>
      <c r="N404"/>
      <c r="O404"/>
      <c r="P404"/>
      <c r="Q404"/>
      <c r="R404"/>
      <c r="S404"/>
      <c r="T404"/>
      <c r="U404"/>
      <c r="V404"/>
      <c r="W404"/>
      <c r="X404" s="642"/>
      <c r="Y404" s="642"/>
      <c r="Z404" s="642"/>
      <c r="AA404" s="642"/>
      <c r="AB404"/>
      <c r="AC404"/>
      <c r="AD404"/>
      <c r="AE404"/>
      <c r="AF404"/>
      <c r="AG404"/>
      <c r="AH404" s="642"/>
      <c r="AI404" s="642"/>
      <c r="AJ404" s="642"/>
    </row>
    <row r="405" spans="1:36" x14ac:dyDescent="0.2">
      <c r="A405" s="642"/>
      <c r="B405" s="642"/>
      <c r="C405"/>
      <c r="D405" s="642"/>
      <c r="E405" s="642"/>
      <c r="F405" s="642"/>
      <c r="G405" s="642"/>
      <c r="H405"/>
      <c r="I405"/>
      <c r="J405"/>
      <c r="K405"/>
      <c r="L405" s="642"/>
      <c r="M405" s="642"/>
      <c r="N405"/>
      <c r="O405"/>
      <c r="P405"/>
      <c r="Q405"/>
      <c r="R405"/>
      <c r="S405"/>
      <c r="T405"/>
      <c r="U405"/>
      <c r="V405"/>
      <c r="W405"/>
      <c r="X405" s="642"/>
      <c r="Y405" s="642"/>
      <c r="Z405" s="642"/>
      <c r="AA405" s="642"/>
      <c r="AB405"/>
      <c r="AC405"/>
      <c r="AD405"/>
      <c r="AE405"/>
      <c r="AF405"/>
      <c r="AG405"/>
      <c r="AH405" s="642"/>
      <c r="AI405" s="642"/>
      <c r="AJ405" s="642"/>
    </row>
    <row r="406" spans="1:36" x14ac:dyDescent="0.2">
      <c r="A406" s="642"/>
      <c r="B406" s="642"/>
      <c r="C406"/>
      <c r="D406" s="642"/>
      <c r="E406" s="642"/>
      <c r="F406" s="642"/>
      <c r="G406" s="642"/>
      <c r="H406"/>
      <c r="I406"/>
      <c r="J406"/>
      <c r="K406"/>
      <c r="L406" s="642"/>
      <c r="M406" s="642"/>
      <c r="N406"/>
      <c r="O406"/>
      <c r="P406"/>
      <c r="Q406"/>
      <c r="R406"/>
      <c r="S406"/>
      <c r="T406"/>
      <c r="U406"/>
      <c r="V406"/>
      <c r="W406"/>
      <c r="X406" s="642"/>
      <c r="Y406" s="642"/>
      <c r="Z406" s="642"/>
      <c r="AA406" s="642"/>
      <c r="AB406"/>
      <c r="AC406"/>
      <c r="AD406"/>
      <c r="AE406"/>
      <c r="AF406"/>
      <c r="AG406"/>
      <c r="AH406" s="642"/>
      <c r="AI406" s="642"/>
      <c r="AJ406" s="642"/>
    </row>
    <row r="407" spans="1:36" x14ac:dyDescent="0.2">
      <c r="A407" s="642"/>
      <c r="B407" s="642"/>
      <c r="C407"/>
      <c r="D407" s="642"/>
      <c r="E407" s="642"/>
      <c r="F407" s="642"/>
      <c r="G407" s="642"/>
      <c r="H407"/>
      <c r="I407"/>
      <c r="J407"/>
      <c r="K407"/>
      <c r="L407" s="642"/>
      <c r="M407" s="642"/>
      <c r="N407"/>
      <c r="O407"/>
      <c r="P407"/>
      <c r="Q407"/>
      <c r="R407"/>
      <c r="S407"/>
      <c r="T407"/>
      <c r="U407"/>
      <c r="V407"/>
      <c r="W407"/>
      <c r="X407" s="642"/>
      <c r="Y407" s="642"/>
      <c r="Z407" s="642"/>
      <c r="AA407" s="642"/>
      <c r="AB407"/>
      <c r="AC407"/>
      <c r="AD407"/>
      <c r="AE407"/>
      <c r="AF407"/>
      <c r="AG407"/>
      <c r="AH407" s="642"/>
      <c r="AI407" s="642"/>
      <c r="AJ407" s="642"/>
    </row>
    <row r="408" spans="1:36" x14ac:dyDescent="0.2">
      <c r="A408" s="642"/>
      <c r="B408" s="642"/>
      <c r="C408"/>
      <c r="D408" s="642"/>
      <c r="E408" s="642"/>
      <c r="F408" s="642"/>
      <c r="G408" s="642"/>
      <c r="H408"/>
      <c r="I408"/>
      <c r="J408"/>
      <c r="K408"/>
      <c r="L408" s="642"/>
      <c r="M408" s="642"/>
      <c r="N408"/>
      <c r="O408"/>
      <c r="P408"/>
      <c r="Q408"/>
      <c r="R408"/>
      <c r="S408"/>
      <c r="T408"/>
      <c r="U408"/>
      <c r="V408"/>
      <c r="W408"/>
      <c r="X408" s="642"/>
      <c r="Y408" s="642"/>
      <c r="Z408" s="642"/>
      <c r="AA408" s="642"/>
      <c r="AB408"/>
      <c r="AC408"/>
      <c r="AD408"/>
      <c r="AE408"/>
      <c r="AF408"/>
      <c r="AG408"/>
      <c r="AH408" s="642"/>
      <c r="AI408" s="642"/>
      <c r="AJ408" s="642"/>
    </row>
    <row r="409" spans="1:36" x14ac:dyDescent="0.2">
      <c r="A409" s="642"/>
      <c r="B409" s="642"/>
      <c r="C409"/>
      <c r="D409" s="642"/>
      <c r="E409" s="642"/>
      <c r="F409" s="642"/>
      <c r="G409" s="642"/>
      <c r="H409"/>
      <c r="I409"/>
      <c r="J409"/>
      <c r="K409"/>
      <c r="L409" s="642"/>
      <c r="M409" s="642"/>
      <c r="N409"/>
      <c r="O409"/>
      <c r="P409"/>
      <c r="Q409"/>
      <c r="R409"/>
      <c r="S409"/>
      <c r="T409"/>
      <c r="U409"/>
      <c r="V409"/>
      <c r="W409"/>
      <c r="X409" s="642"/>
      <c r="Y409" s="642"/>
      <c r="Z409" s="642"/>
      <c r="AA409" s="642"/>
      <c r="AB409"/>
      <c r="AC409"/>
      <c r="AD409"/>
      <c r="AE409"/>
      <c r="AF409"/>
      <c r="AG409"/>
      <c r="AH409" s="642"/>
      <c r="AI409" s="642"/>
      <c r="AJ409" s="642"/>
    </row>
    <row r="410" spans="1:36" x14ac:dyDescent="0.2">
      <c r="A410" s="642"/>
      <c r="B410" s="642"/>
      <c r="C410"/>
      <c r="D410" s="642"/>
      <c r="E410" s="642"/>
      <c r="F410" s="642"/>
      <c r="G410" s="642"/>
      <c r="H410"/>
      <c r="I410"/>
      <c r="J410"/>
      <c r="K410"/>
      <c r="L410" s="642"/>
      <c r="M410" s="642"/>
      <c r="N410"/>
      <c r="O410"/>
      <c r="P410"/>
      <c r="Q410"/>
      <c r="R410"/>
      <c r="S410"/>
      <c r="T410"/>
      <c r="U410"/>
      <c r="V410"/>
      <c r="W410"/>
      <c r="X410" s="642"/>
      <c r="Y410" s="642"/>
      <c r="Z410" s="642"/>
      <c r="AA410" s="642"/>
      <c r="AB410"/>
      <c r="AC410"/>
      <c r="AD410"/>
      <c r="AE410"/>
      <c r="AF410"/>
      <c r="AG410"/>
      <c r="AH410" s="642"/>
      <c r="AI410" s="642"/>
      <c r="AJ410" s="642"/>
    </row>
    <row r="411" spans="1:36" x14ac:dyDescent="0.2">
      <c r="A411" s="642"/>
      <c r="B411" s="642"/>
      <c r="C411"/>
      <c r="D411" s="642"/>
      <c r="E411" s="642"/>
      <c r="F411" s="642"/>
      <c r="G411" s="642"/>
      <c r="H411"/>
      <c r="I411"/>
      <c r="J411"/>
      <c r="K411"/>
      <c r="L411" s="642"/>
      <c r="M411" s="642"/>
      <c r="N411"/>
      <c r="O411"/>
      <c r="P411"/>
      <c r="Q411"/>
      <c r="R411"/>
      <c r="S411"/>
      <c r="T411"/>
      <c r="U411"/>
      <c r="V411"/>
      <c r="W411"/>
      <c r="X411" s="642"/>
      <c r="Y411" s="642"/>
      <c r="Z411" s="642"/>
      <c r="AA411" s="642"/>
      <c r="AH411" s="642"/>
      <c r="AI411" s="642"/>
      <c r="AJ411" s="642"/>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3"/>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643"/>
      <c r="H2" s="642"/>
      <c r="I2" s="642" t="str">
        <f>TEXT(UUTRangeTol[[#This Row],[TolMin]],SUBSTITUTE(UUTRangeTol[[#This Row],[TolResolution]],"1","0"))&amp;UUTRangeTol[[#This Row],[Unit]]</f>
        <v>-10°F</v>
      </c>
      <c r="J2" s="642" t="str">
        <f>TEXT(UUTRangeTol[[#This Row],[TolMax]],SUBSTITUTE(UUTRangeTol[[#This Row],[TolResolution]],"1","0"))&amp;UUTRangeTol[[#This Row],[Unit]]</f>
        <v>10°F</v>
      </c>
      <c r="K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s="642" t="str">
        <f>UUTRangeTol[[#This Row],[RangeMax]]&amp;UUTRangeTol[[#This Row],[Unit]]</f>
        <v>125°F</v>
      </c>
      <c r="M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s="642"/>
      <c r="H3" s="642"/>
      <c r="I3" s="642" t="str">
        <f>TEXT(UUTRangeTol[[#This Row],[TolMin]],SUBSTITUTE(UUTRangeTol[[#This Row],[TolResolution]],"1","0"))&amp;UUTRangeTol[[#This Row],[Unit]]</f>
        <v>-10.0°C</v>
      </c>
      <c r="J3" s="642" t="str">
        <f>TEXT(UUTRangeTol[[#This Row],[TolMax]],SUBSTITUTE(UUTRangeTol[[#This Row],[TolResolution]],"1","0"))&amp;UUTRangeTol[[#This Row],[Unit]]</f>
        <v>10.0°C</v>
      </c>
      <c r="K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s="642" t="str">
        <f>UUTRangeTol[[#This Row],[RangeMax]]&amp;UUTRangeTol[[#This Row],[Unit]]</f>
        <v>125°C</v>
      </c>
      <c r="M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s="642"/>
      <c r="H4" s="642"/>
      <c r="I4" s="642" t="str">
        <f>TEXT(UUTRangeTol[[#This Row],[TolMin]],SUBSTITUTE(UUTRangeTol[[#This Row],[TolResolution]],"1","0"))&amp;UUTRangeTol[[#This Row],[Unit]]</f>
        <v>-5.0°F</v>
      </c>
      <c r="J4" s="642" t="str">
        <f>TEXT(UUTRangeTol[[#This Row],[TolMax]],SUBSTITUTE(UUTRangeTol[[#This Row],[TolResolution]],"1","0"))&amp;UUTRangeTol[[#This Row],[Unit]]</f>
        <v>5.0°F</v>
      </c>
      <c r="K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s="642" t="str">
        <f>UUTRangeTol[[#This Row],[RangeMax]]&amp;UUTRangeTol[[#This Row],[Unit]]</f>
        <v>100°F</v>
      </c>
      <c r="M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s="642"/>
      <c r="H5" s="642"/>
      <c r="I5" s="642" t="str">
        <f>TEXT(UUTRangeTol[[#This Row],[TolMin]],SUBSTITUTE(UUTRangeTol[[#This Row],[TolResolution]],"1","0"))&amp;UUTRangeTol[[#This Row],[Unit]]</f>
        <v>-5.0°F</v>
      </c>
      <c r="J5" s="642" t="str">
        <f>TEXT(UUTRangeTol[[#This Row],[TolMax]],SUBSTITUTE(UUTRangeTol[[#This Row],[TolResolution]],"1","0"))&amp;UUTRangeTol[[#This Row],[Unit]]</f>
        <v>5.0°F</v>
      </c>
      <c r="K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s="642" t="str">
        <f>UUTRangeTol[[#This Row],[RangeMax]]&amp;UUTRangeTol[[#This Row],[Unit]]</f>
        <v>100°F</v>
      </c>
      <c r="M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s="642"/>
      <c r="H6" s="642"/>
      <c r="I6" s="642" t="str">
        <f>TEXT(UUTRangeTol[[#This Row],[TolMin]],SUBSTITUTE(UUTRangeTol[[#This Row],[TolResolution]],"1","0"))&amp;UUTRangeTol[[#This Row],[Unit]]</f>
        <v>-5.0°F</v>
      </c>
      <c r="J6" s="642" t="str">
        <f>TEXT(UUTRangeTol[[#This Row],[TolMax]],SUBSTITUTE(UUTRangeTol[[#This Row],[TolResolution]],"1","0"))&amp;UUTRangeTol[[#This Row],[Unit]]</f>
        <v>5.0°F</v>
      </c>
      <c r="K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s="642" t="str">
        <f>UUTRangeTol[[#This Row],[RangeMax]]&amp;UUTRangeTol[[#This Row],[Unit]]</f>
        <v>100°F</v>
      </c>
      <c r="M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s="642"/>
      <c r="H7" s="642"/>
      <c r="I7" s="642" t="str">
        <f>TEXT(UUTRangeTol[[#This Row],[TolMin]],SUBSTITUTE(UUTRangeTol[[#This Row],[TolResolution]],"1","0"))&amp;UUTRangeTol[[#This Row],[Unit]]</f>
        <v>-5.0°F</v>
      </c>
      <c r="J7" s="642" t="str">
        <f>TEXT(UUTRangeTol[[#This Row],[TolMax]],SUBSTITUTE(UUTRangeTol[[#This Row],[TolResolution]],"1","0"))&amp;UUTRangeTol[[#This Row],[Unit]]</f>
        <v>5.0°F</v>
      </c>
      <c r="K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s="642" t="str">
        <f>UUTRangeTol[[#This Row],[RangeMax]]&amp;UUTRangeTol[[#This Row],[Unit]]</f>
        <v>300°F</v>
      </c>
      <c r="M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2" x14ac:dyDescent="0.2">
      <c r="A8"/>
      <c r="B8"/>
      <c r="C8"/>
      <c r="D8"/>
      <c r="E8"/>
      <c r="F8"/>
      <c r="G8" s="642"/>
      <c r="H8" s="642"/>
      <c r="I8" s="642" t="str">
        <f>TEXT(UUTRangeTol[[#This Row],[TolMin]],SUBSTITUTE(UUTRangeTol[[#This Row],[TolResolution]],"1","0"))&amp;UUTRangeTol[[#This Row],[Unit]]</f>
        <v>-5.0°F</v>
      </c>
      <c r="J8" s="642" t="str">
        <f>TEXT(UUTRangeTol[[#This Row],[TolMax]],SUBSTITUTE(UUTRangeTol[[#This Row],[TolResolution]],"1","0"))&amp;UUTRangeTol[[#This Row],[Unit]]</f>
        <v>5.0°F</v>
      </c>
      <c r="K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s="642" t="str">
        <f>UUTRangeTol[[#This Row],[RangeMax]]&amp;UUTRangeTol[[#This Row],[Unit]]</f>
        <v>300°F</v>
      </c>
      <c r="M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s="642"/>
      <c r="H9" s="642"/>
      <c r="I9" s="642" t="str">
        <f>TEXT(UUTRangeTol[[#This Row],[TolMin]],SUBSTITUTE(UUTRangeTol[[#This Row],[TolResolution]],"1","0"))&amp;UUTRangeTol[[#This Row],[Unit]]</f>
        <v>-2.8°C</v>
      </c>
      <c r="J9" s="642" t="str">
        <f>TEXT(UUTRangeTol[[#This Row],[TolMax]],SUBSTITUTE(UUTRangeTol[[#This Row],[TolResolution]],"1","0"))&amp;UUTRangeTol[[#This Row],[Unit]]</f>
        <v>2.8°C</v>
      </c>
      <c r="K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s="642" t="str">
        <f>UUTRangeTol[[#This Row],[RangeMax]]&amp;UUTRangeTol[[#This Row],[Unit]]</f>
        <v>49°C</v>
      </c>
      <c r="M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s="642"/>
      <c r="H10" s="642"/>
      <c r="I10" s="642" t="str">
        <f>TEXT(UUTRangeTol[[#This Row],[TolMin]],SUBSTITUTE(UUTRangeTol[[#This Row],[TolResolution]],"1","0"))&amp;UUTRangeTol[[#This Row],[Unit]]</f>
        <v>-10.0°F</v>
      </c>
      <c r="J10" s="642" t="str">
        <f>TEXT(UUTRangeTol[[#This Row],[TolMax]],SUBSTITUTE(UUTRangeTol[[#This Row],[TolResolution]],"1","0"))&amp;UUTRangeTol[[#This Row],[Unit]]</f>
        <v>10.0°F</v>
      </c>
      <c r="K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s="642" t="str">
        <f>UUTRangeTol[[#This Row],[RangeMax]]&amp;UUTRangeTol[[#This Row],[Unit]]</f>
        <v>190°F</v>
      </c>
      <c r="M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s="642"/>
      <c r="H11" s="642"/>
      <c r="I11" s="642" t="str">
        <f>TEXT(UUTRangeTol[[#This Row],[TolMin]],SUBSTITUTE(UUTRangeTol[[#This Row],[TolResolution]],"1","0"))&amp;UUTRangeTol[[#This Row],[Unit]]</f>
        <v>-25.0°F</v>
      </c>
      <c r="J11" s="642" t="str">
        <f>TEXT(UUTRangeTol[[#This Row],[TolMax]],SUBSTITUTE(UUTRangeTol[[#This Row],[TolResolution]],"1","0"))&amp;UUTRangeTol[[#This Row],[Unit]]</f>
        <v>25.0°F</v>
      </c>
      <c r="K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s="642" t="str">
        <f>UUTRangeTol[[#This Row],[RangeMax]]&amp;UUTRangeTol[[#This Row],[Unit]]</f>
        <v>325°F</v>
      </c>
      <c r="M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s="642"/>
      <c r="H12" s="642"/>
      <c r="I12" s="642" t="str">
        <f>TEXT(UUTRangeTol[[#This Row],[TolMin]],SUBSTITUTE(UUTRangeTol[[#This Row],[TolResolution]],"1","0"))&amp;UUTRangeTol[[#This Row],[Unit]]</f>
        <v>-25.0°F</v>
      </c>
      <c r="J12" s="642" t="str">
        <f>TEXT(UUTRangeTol[[#This Row],[TolMax]],SUBSTITUTE(UUTRangeTol[[#This Row],[TolResolution]],"1","0"))&amp;UUTRangeTol[[#This Row],[Unit]]</f>
        <v>25.0°F</v>
      </c>
      <c r="K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s="642" t="str">
        <f>UUTRangeTol[[#This Row],[RangeMax]]&amp;UUTRangeTol[[#This Row],[Unit]]</f>
        <v>500°F</v>
      </c>
      <c r="M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s="642"/>
      <c r="H13" s="642"/>
      <c r="I13" s="642" t="str">
        <f>TEXT(UUTRangeTol[[#This Row],[TolMin]],SUBSTITUTE(UUTRangeTol[[#This Row],[TolResolution]],"1","0"))&amp;UUTRangeTol[[#This Row],[Unit]]</f>
        <v>-15.0°F</v>
      </c>
      <c r="J13" s="642" t="str">
        <f>TEXT(UUTRangeTol[[#This Row],[TolMax]],SUBSTITUTE(UUTRangeTol[[#This Row],[TolResolution]],"1","0"))&amp;UUTRangeTol[[#This Row],[Unit]]</f>
        <v>15.0°F</v>
      </c>
      <c r="K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s="642" t="str">
        <f>UUTRangeTol[[#This Row],[RangeMax]]&amp;UUTRangeTol[[#This Row],[Unit]]</f>
        <v>140°F</v>
      </c>
      <c r="M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s="642"/>
      <c r="H14" s="642"/>
      <c r="I14" s="642" t="str">
        <f>TEXT(UUTRangeTol[[#This Row],[TolMin]],SUBSTITUTE(UUTRangeTol[[#This Row],[TolResolution]],"1","0"))&amp;UUTRangeTol[[#This Row],[Unit]]</f>
        <v>-25.0°F</v>
      </c>
      <c r="J14" s="642" t="str">
        <f>TEXT(UUTRangeTol[[#This Row],[TolMax]],SUBSTITUTE(UUTRangeTol[[#This Row],[TolResolution]],"1","0"))&amp;UUTRangeTol[[#This Row],[Unit]]</f>
        <v>25.0°F</v>
      </c>
      <c r="K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s="642" t="str">
        <f>UUTRangeTol[[#This Row],[RangeMax]]&amp;UUTRangeTol[[#This Row],[Unit]]</f>
        <v>170°F</v>
      </c>
      <c r="M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s="642"/>
      <c r="H15" s="642"/>
      <c r="I15" s="642" t="str">
        <f>TEXT(UUTRangeTol[[#This Row],[TolMin]],SUBSTITUTE(UUTRangeTol[[#This Row],[TolResolution]],"1","0"))&amp;UUTRangeTol[[#This Row],[Unit]]</f>
        <v>-10.0°F</v>
      </c>
      <c r="J15" s="642" t="str">
        <f>TEXT(UUTRangeTol[[#This Row],[TolMax]],SUBSTITUTE(UUTRangeTol[[#This Row],[TolResolution]],"1","0"))&amp;UUTRangeTol[[#This Row],[Unit]]</f>
        <v>10.0°F</v>
      </c>
      <c r="K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s="642" t="str">
        <f>UUTRangeTol[[#This Row],[RangeMax]]&amp;UUTRangeTol[[#This Row],[Unit]]</f>
        <v>200°F</v>
      </c>
      <c r="M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s="642"/>
      <c r="H16" s="642"/>
      <c r="I16" s="642" t="str">
        <f>TEXT(UUTRangeTol[[#This Row],[TolMin]],SUBSTITUTE(UUTRangeTol[[#This Row],[TolResolution]],"1","0"))&amp;UUTRangeTol[[#This Row],[Unit]]</f>
        <v>-10.0°F</v>
      </c>
      <c r="J16" s="642" t="str">
        <f>TEXT(UUTRangeTol[[#This Row],[TolMax]],SUBSTITUTE(UUTRangeTol[[#This Row],[TolResolution]],"1","0"))&amp;UUTRangeTol[[#This Row],[Unit]]</f>
        <v>10.0°F</v>
      </c>
      <c r="K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s="642" t="str">
        <f>UUTRangeTol[[#This Row],[RangeMax]]&amp;UUTRangeTol[[#This Row],[Unit]]</f>
        <v>200°F</v>
      </c>
      <c r="M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s="642"/>
      <c r="H17" s="642"/>
      <c r="I17" s="642" t="str">
        <f>TEXT(UUTRangeTol[[#This Row],[TolMin]],SUBSTITUTE(UUTRangeTol[[#This Row],[TolResolution]],"1","0"))&amp;UUTRangeTol[[#This Row],[Unit]]</f>
        <v>-10.0°F</v>
      </c>
      <c r="J17" s="642" t="str">
        <f>TEXT(UUTRangeTol[[#This Row],[TolMax]],SUBSTITUTE(UUTRangeTol[[#This Row],[TolResolution]],"1","0"))&amp;UUTRangeTol[[#This Row],[Unit]]</f>
        <v>10.0°F</v>
      </c>
      <c r="K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s="642" t="str">
        <f>UUTRangeTol[[#This Row],[RangeMax]]&amp;UUTRangeTol[[#This Row],[Unit]]</f>
        <v>995°F</v>
      </c>
      <c r="M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s="642"/>
      <c r="H18" s="642"/>
      <c r="I18" s="642" t="str">
        <f>TEXT(UUTRangeTol[[#This Row],[TolMin]],SUBSTITUTE(UUTRangeTol[[#This Row],[TolResolution]],"1","0"))&amp;UUTRangeTol[[#This Row],[Unit]]</f>
        <v>-5.0°F</v>
      </c>
      <c r="J18" s="642" t="str">
        <f>TEXT(UUTRangeTol[[#This Row],[TolMax]],SUBSTITUTE(UUTRangeTol[[#This Row],[TolResolution]],"1","0"))&amp;UUTRangeTol[[#This Row],[Unit]]</f>
        <v>5.0°F</v>
      </c>
      <c r="K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s="642" t="str">
        <f>UUTRangeTol[[#This Row],[RangeMax]]&amp;UUTRangeTol[[#This Row],[Unit]]</f>
        <v>400°F</v>
      </c>
      <c r="M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s="642"/>
      <c r="H19" s="642"/>
      <c r="I19" s="642" t="str">
        <f>TEXT(UUTRangeTol[[#This Row],[TolMin]],SUBSTITUTE(UUTRangeTol[[#This Row],[TolResolution]],"1","0"))&amp;UUTRangeTol[[#This Row],[Unit]]</f>
        <v>-5.0°F</v>
      </c>
      <c r="J19" s="642" t="str">
        <f>TEXT(UUTRangeTol[[#This Row],[TolMax]],SUBSTITUTE(UUTRangeTol[[#This Row],[TolResolution]],"1","0"))&amp;UUTRangeTol[[#This Row],[Unit]]</f>
        <v>5.0°F</v>
      </c>
      <c r="K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s="642" t="str">
        <f>UUTRangeTol[[#This Row],[RangeMax]]&amp;UUTRangeTol[[#This Row],[Unit]]</f>
        <v>400°F</v>
      </c>
      <c r="M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s="642"/>
      <c r="H20" s="642"/>
      <c r="I20" s="642" t="str">
        <f>TEXT(UUTRangeTol[[#This Row],[TolMin]],SUBSTITUTE(UUTRangeTol[[#This Row],[TolResolution]],"1","0"))&amp;UUTRangeTol[[#This Row],[Unit]]</f>
        <v>-25.0°F</v>
      </c>
      <c r="J20" s="642" t="str">
        <f>TEXT(UUTRangeTol[[#This Row],[TolMax]],SUBSTITUTE(UUTRangeTol[[#This Row],[TolResolution]],"1","0"))&amp;UUTRangeTol[[#This Row],[Unit]]</f>
        <v>25.0°F</v>
      </c>
      <c r="K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s="642" t="str">
        <f>UUTRangeTol[[#This Row],[RangeMax]]&amp;UUTRangeTol[[#This Row],[Unit]]</f>
        <v>675°F</v>
      </c>
      <c r="M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s="642"/>
      <c r="H21" s="642"/>
      <c r="I21" s="642" t="str">
        <f>TEXT(UUTRangeTol[[#This Row],[TolMin]],SUBSTITUTE(UUTRangeTol[[#This Row],[TolResolution]],"1","0"))&amp;UUTRangeTol[[#This Row],[Unit]]</f>
        <v>-10.0°F</v>
      </c>
      <c r="J21" s="642" t="str">
        <f>TEXT(UUTRangeTol[[#This Row],[TolMax]],SUBSTITUTE(UUTRangeTol[[#This Row],[TolResolution]],"1","0"))&amp;UUTRangeTol[[#This Row],[Unit]]</f>
        <v>10.0°F</v>
      </c>
      <c r="K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s="642" t="str">
        <f>UUTRangeTol[[#This Row],[RangeMax]]&amp;UUTRangeTol[[#This Row],[Unit]]</f>
        <v>280°F</v>
      </c>
      <c r="M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s="642"/>
      <c r="H22" s="642"/>
      <c r="I22" s="642" t="str">
        <f>TEXT(UUTRangeTol[[#This Row],[TolMin]],SUBSTITUTE(UUTRangeTol[[#This Row],[TolResolution]],"1","0"))&amp;UUTRangeTol[[#This Row],[Unit]]</f>
        <v>-5.0°F</v>
      </c>
      <c r="J22" s="642" t="str">
        <f>TEXT(UUTRangeTol[[#This Row],[TolMax]],SUBSTITUTE(UUTRangeTol[[#This Row],[TolResolution]],"1","0"))&amp;UUTRangeTol[[#This Row],[Unit]]</f>
        <v>5.0°F</v>
      </c>
      <c r="K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s="642" t="str">
        <f>UUTRangeTol[[#This Row],[RangeMax]]&amp;UUTRangeTol[[#This Row],[Unit]]</f>
        <v>250°F</v>
      </c>
      <c r="M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s="642"/>
      <c r="H23" s="642"/>
      <c r="I23" s="642" t="str">
        <f>TEXT(UUTRangeTol[[#This Row],[TolMin]],SUBSTITUTE(UUTRangeTol[[#This Row],[TolResolution]],"1","0"))&amp;UUTRangeTol[[#This Row],[Unit]]</f>
        <v>-10.0°F</v>
      </c>
      <c r="J23" s="642" t="str">
        <f>TEXT(UUTRangeTol[[#This Row],[TolMax]],SUBSTITUTE(UUTRangeTol[[#This Row],[TolResolution]],"1","0"))&amp;UUTRangeTol[[#This Row],[Unit]]</f>
        <v>10.0°F</v>
      </c>
      <c r="K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s="642" t="str">
        <f>UUTRangeTol[[#This Row],[RangeMax]]&amp;UUTRangeTol[[#This Row],[Unit]]</f>
        <v>360°F</v>
      </c>
      <c r="M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s="642"/>
      <c r="H24" s="642"/>
      <c r="I24" s="642" t="str">
        <f>TEXT(UUTRangeTol[[#This Row],[TolMin]],SUBSTITUTE(UUTRangeTol[[#This Row],[TolResolution]],"1","0"))&amp;UUTRangeTol[[#This Row],[Unit]]</f>
        <v>-10.0°F</v>
      </c>
      <c r="J24" s="642" t="str">
        <f>TEXT(UUTRangeTol[[#This Row],[TolMax]],SUBSTITUTE(UUTRangeTol[[#This Row],[TolResolution]],"1","0"))&amp;UUTRangeTol[[#This Row],[Unit]]</f>
        <v>10.0°F</v>
      </c>
      <c r="K2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s="642" t="str">
        <f>UUTRangeTol[[#This Row],[RangeMax]]&amp;UUTRangeTol[[#This Row],[Unit]]</f>
        <v>360°F</v>
      </c>
      <c r="M2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s="642"/>
      <c r="H25" s="642"/>
      <c r="I25" s="642" t="str">
        <f>TEXT(UUTRangeTol[[#This Row],[TolMin]],SUBSTITUTE(UUTRangeTol[[#This Row],[TolResolution]],"1","0"))&amp;UUTRangeTol[[#This Row],[Unit]]</f>
        <v>-10.0°F</v>
      </c>
      <c r="J25" s="642" t="str">
        <f>TEXT(UUTRangeTol[[#This Row],[TolMax]],SUBSTITUTE(UUTRangeTol[[#This Row],[TolResolution]],"1","0"))&amp;UUTRangeTol[[#This Row],[Unit]]</f>
        <v>10.0°F</v>
      </c>
      <c r="K2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s="642" t="str">
        <f>UUTRangeTol[[#This Row],[RangeMax]]&amp;UUTRangeTol[[#This Row],[Unit]]</f>
        <v>995°F</v>
      </c>
      <c r="M2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s="642"/>
      <c r="H26" s="642"/>
      <c r="I26" s="642" t="str">
        <f>TEXT(UUTRangeTol[[#This Row],[TolMin]],SUBSTITUTE(UUTRangeTol[[#This Row],[TolResolution]],"1","0"))&amp;UUTRangeTol[[#This Row],[Unit]]</f>
        <v>-5.0°F</v>
      </c>
      <c r="J26" s="642" t="str">
        <f>TEXT(UUTRangeTol[[#This Row],[TolMax]],SUBSTITUTE(UUTRangeTol[[#This Row],[TolResolution]],"1","0"))&amp;UUTRangeTol[[#This Row],[Unit]]</f>
        <v>5.0°F</v>
      </c>
      <c r="K2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s="642" t="str">
        <f>UUTRangeTol[[#This Row],[RangeMax]]&amp;UUTRangeTol[[#This Row],[Unit]]</f>
        <v>375°F</v>
      </c>
      <c r="M2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s="642"/>
      <c r="H27" s="642"/>
      <c r="I27" s="642" t="str">
        <f>TEXT(UUTRangeTol[[#This Row],[TolMin]],SUBSTITUTE(UUTRangeTol[[#This Row],[TolResolution]],"1","0"))&amp;UUTRangeTol[[#This Row],[Unit]]</f>
        <v>-5.0°F</v>
      </c>
      <c r="J27" s="642" t="str">
        <f>TEXT(UUTRangeTol[[#This Row],[TolMax]],SUBSTITUTE(UUTRangeTol[[#This Row],[TolResolution]],"1","0"))&amp;UUTRangeTol[[#This Row],[Unit]]</f>
        <v>5.0°F</v>
      </c>
      <c r="K2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s="642" t="str">
        <f>UUTRangeTol[[#This Row],[RangeMax]]&amp;UUTRangeTol[[#This Row],[Unit]]</f>
        <v>375°F</v>
      </c>
      <c r="M2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s="642"/>
      <c r="H28" s="642"/>
      <c r="I28" s="642" t="str">
        <f>TEXT(UUTRangeTol[[#This Row],[TolMin]],SUBSTITUTE(UUTRangeTol[[#This Row],[TolResolution]],"1","0"))&amp;UUTRangeTol[[#This Row],[Unit]]</f>
        <v>-5.0°F</v>
      </c>
      <c r="J28" s="642" t="str">
        <f>TEXT(UUTRangeTol[[#This Row],[TolMax]],SUBSTITUTE(UUTRangeTol[[#This Row],[TolResolution]],"1","0"))&amp;UUTRangeTol[[#This Row],[Unit]]</f>
        <v>5.0°F</v>
      </c>
      <c r="K2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s="642" t="str">
        <f>UUTRangeTol[[#This Row],[RangeMax]]&amp;UUTRangeTol[[#This Row],[Unit]]</f>
        <v>350°F</v>
      </c>
      <c r="M2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s="642"/>
      <c r="H29" s="642"/>
      <c r="I29" s="642" t="str">
        <f>TEXT(UUTRangeTol[[#This Row],[TolMin]],SUBSTITUTE(UUTRangeTol[[#This Row],[TolResolution]],"1","0"))&amp;UUTRangeTol[[#This Row],[Unit]]</f>
        <v>-10.0°F</v>
      </c>
      <c r="J29" s="642" t="str">
        <f>TEXT(UUTRangeTol[[#This Row],[TolMax]],SUBSTITUTE(UUTRangeTol[[#This Row],[TolResolution]],"1","0"))&amp;UUTRangeTol[[#This Row],[Unit]]</f>
        <v>10.0°F</v>
      </c>
      <c r="K2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s="642" t="str">
        <f>UUTRangeTol[[#This Row],[RangeMax]]&amp;UUTRangeTol[[#This Row],[Unit]]</f>
        <v>375°F</v>
      </c>
      <c r="M2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s="642"/>
      <c r="H30" s="642"/>
      <c r="I30" s="642" t="str">
        <f>TEXT(UUTRangeTol[[#This Row],[TolMin]],SUBSTITUTE(UUTRangeTol[[#This Row],[TolResolution]],"1","0"))&amp;UUTRangeTol[[#This Row],[Unit]]</f>
        <v>-5.0°F</v>
      </c>
      <c r="J30" s="642" t="str">
        <f>TEXT(UUTRangeTol[[#This Row],[TolMax]],SUBSTITUTE(UUTRangeTol[[#This Row],[TolResolution]],"1","0"))&amp;UUTRangeTol[[#This Row],[Unit]]</f>
        <v>5.0°F</v>
      </c>
      <c r="K3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s="642" t="str">
        <f>UUTRangeTol[[#This Row],[RangeMax]]&amp;UUTRangeTol[[#This Row],[Unit]]</f>
        <v>375°F</v>
      </c>
      <c r="M3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s="642"/>
      <c r="H31" s="642"/>
      <c r="I31" s="642" t="str">
        <f>TEXT(UUTRangeTol[[#This Row],[TolMin]],SUBSTITUTE(UUTRangeTol[[#This Row],[TolResolution]],"1","0"))&amp;UUTRangeTol[[#This Row],[Unit]]</f>
        <v>-10.0°F</v>
      </c>
      <c r="J31" s="642" t="str">
        <f>TEXT(UUTRangeTol[[#This Row],[TolMax]],SUBSTITUTE(UUTRangeTol[[#This Row],[TolResolution]],"1","0"))&amp;UUTRangeTol[[#This Row],[Unit]]</f>
        <v>10.0°F</v>
      </c>
      <c r="K3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s="642" t="str">
        <f>UUTRangeTol[[#This Row],[RangeMax]]&amp;UUTRangeTol[[#This Row],[Unit]]</f>
        <v>995°F</v>
      </c>
      <c r="M3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s="642"/>
      <c r="H32" s="642"/>
      <c r="I32" s="642" t="str">
        <f>TEXT(UUTRangeTol[[#This Row],[TolMin]],SUBSTITUTE(UUTRangeTol[[#This Row],[TolResolution]],"1","0"))&amp;UUTRangeTol[[#This Row],[Unit]]</f>
        <v>-10°F</v>
      </c>
      <c r="J32" s="642" t="str">
        <f>TEXT(UUTRangeTol[[#This Row],[TolMax]],SUBSTITUTE(UUTRangeTol[[#This Row],[TolResolution]],"1","0"))&amp;UUTRangeTol[[#This Row],[Unit]]</f>
        <v>10°F</v>
      </c>
      <c r="K3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s="642" t="str">
        <f>UUTRangeTol[[#This Row],[RangeMax]]&amp;UUTRangeTol[[#This Row],[Unit]]</f>
        <v>350°F</v>
      </c>
      <c r="M3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s="642"/>
      <c r="H33" s="642"/>
      <c r="I33" s="642" t="str">
        <f>TEXT(UUTRangeTol[[#This Row],[TolMin]],SUBSTITUTE(UUTRangeTol[[#This Row],[TolResolution]],"1","0"))&amp;UUTRangeTol[[#This Row],[Unit]]</f>
        <v>-15°F</v>
      </c>
      <c r="J33" s="642" t="str">
        <f>TEXT(UUTRangeTol[[#This Row],[TolMax]],SUBSTITUTE(UUTRangeTol[[#This Row],[TolResolution]],"1","0"))&amp;UUTRangeTol[[#This Row],[Unit]]</f>
        <v>15°F</v>
      </c>
      <c r="K3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s="642" t="str">
        <f>UUTRangeTol[[#This Row],[RangeMax]]&amp;UUTRangeTol[[#This Row],[Unit]]</f>
        <v>400°F</v>
      </c>
      <c r="M3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s="642"/>
      <c r="H34" s="642"/>
      <c r="I34" s="642" t="str">
        <f>TEXT(UUTRangeTol[[#This Row],[TolMin]],SUBSTITUTE(UUTRangeTol[[#This Row],[TolResolution]],"1","0"))&amp;UUTRangeTol[[#This Row],[Unit]]</f>
        <v>-10°F</v>
      </c>
      <c r="J34" s="642" t="str">
        <f>TEXT(UUTRangeTol[[#This Row],[TolMax]],SUBSTITUTE(UUTRangeTol[[#This Row],[TolResolution]],"1","0"))&amp;UUTRangeTol[[#This Row],[Unit]]</f>
        <v>10°F</v>
      </c>
      <c r="K3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s="642" t="str">
        <f>UUTRangeTol[[#This Row],[RangeMax]]&amp;UUTRangeTol[[#This Row],[Unit]]</f>
        <v>350°F</v>
      </c>
      <c r="M3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s="642"/>
      <c r="H35" s="642"/>
      <c r="I35" s="642" t="str">
        <f>TEXT(UUTRangeTol[[#This Row],[TolMin]],SUBSTITUTE(UUTRangeTol[[#This Row],[TolResolution]],"1","0"))&amp;UUTRangeTol[[#This Row],[Unit]]</f>
        <v>-10°F</v>
      </c>
      <c r="J35" s="642" t="str">
        <f>TEXT(UUTRangeTol[[#This Row],[TolMax]],SUBSTITUTE(UUTRangeTol[[#This Row],[TolResolution]],"1","0"))&amp;UUTRangeTol[[#This Row],[Unit]]</f>
        <v>10°F</v>
      </c>
      <c r="K3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s="642" t="str">
        <f>UUTRangeTol[[#This Row],[RangeMax]]&amp;UUTRangeTol[[#This Row],[Unit]]</f>
        <v>450°F</v>
      </c>
      <c r="M3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s="642"/>
      <c r="H36" s="642"/>
      <c r="I36" s="642" t="str">
        <f>TEXT(UUTRangeTol[[#This Row],[TolMin]],SUBSTITUTE(UUTRangeTol[[#This Row],[TolResolution]],"1","0"))&amp;UUTRangeTol[[#This Row],[Unit]]</f>
        <v>-15.0°F</v>
      </c>
      <c r="J36" s="642" t="str">
        <f>TEXT(UUTRangeTol[[#This Row],[TolMax]],SUBSTITUTE(UUTRangeTol[[#This Row],[TolResolution]],"1","0"))&amp;UUTRangeTol[[#This Row],[Unit]]</f>
        <v>15.0°F</v>
      </c>
      <c r="K3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s="642" t="str">
        <f>UUTRangeTol[[#This Row],[RangeMax]]&amp;UUTRangeTol[[#This Row],[Unit]]</f>
        <v>550°F</v>
      </c>
      <c r="M3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s="642"/>
      <c r="H37" s="642"/>
      <c r="I37" s="642" t="str">
        <f>TEXT(UUTRangeTol[[#This Row],[TolMin]],SUBSTITUTE(UUTRangeTol[[#This Row],[TolResolution]],"1","0"))&amp;UUTRangeTol[[#This Row],[Unit]]</f>
        <v>-10.0°F</v>
      </c>
      <c r="J37" s="642" t="str">
        <f>TEXT(UUTRangeTol[[#This Row],[TolMax]],SUBSTITUTE(UUTRangeTol[[#This Row],[TolResolution]],"1","0"))&amp;UUTRangeTol[[#This Row],[Unit]]</f>
        <v>10.0°F</v>
      </c>
      <c r="K3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s="642" t="str">
        <f>UUTRangeTol[[#This Row],[RangeMax]]&amp;UUTRangeTol[[#This Row],[Unit]]</f>
        <v>500°F</v>
      </c>
      <c r="M3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s="642"/>
      <c r="H38" s="642"/>
      <c r="I38" s="642" t="str">
        <f>TEXT(UUTRangeTol[[#This Row],[TolMin]],SUBSTITUTE(UUTRangeTol[[#This Row],[TolResolution]],"1","0"))&amp;UUTRangeTol[[#This Row],[Unit]]</f>
        <v>-10.0°F</v>
      </c>
      <c r="J38" s="642" t="str">
        <f>TEXT(UUTRangeTol[[#This Row],[TolMax]],SUBSTITUTE(UUTRangeTol[[#This Row],[TolResolution]],"1","0"))&amp;UUTRangeTol[[#This Row],[Unit]]</f>
        <v>10.0°F</v>
      </c>
      <c r="K3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s="642" t="str">
        <f>UUTRangeTol[[#This Row],[RangeMax]]&amp;UUTRangeTol[[#This Row],[Unit]]</f>
        <v>550°F</v>
      </c>
      <c r="M3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s="642"/>
      <c r="H39" s="642"/>
      <c r="I39" s="642" t="str">
        <f>TEXT(UUTRangeTol[[#This Row],[TolMin]],SUBSTITUTE(UUTRangeTol[[#This Row],[TolResolution]],"1","0"))&amp;UUTRangeTol[[#This Row],[Unit]]</f>
        <v>-5.0°F</v>
      </c>
      <c r="J39" s="642" t="str">
        <f>TEXT(UUTRangeTol[[#This Row],[TolMax]],SUBSTITUTE(UUTRangeTol[[#This Row],[TolResolution]],"1","0"))&amp;UUTRangeTol[[#This Row],[Unit]]</f>
        <v>5.0°F</v>
      </c>
      <c r="K3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s="642" t="str">
        <f>UUTRangeTol[[#This Row],[RangeMax]]&amp;UUTRangeTol[[#This Row],[Unit]]</f>
        <v>125°F</v>
      </c>
      <c r="M3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s="642"/>
      <c r="H40" s="642"/>
      <c r="I40" s="642" t="str">
        <f>TEXT(UUTRangeTol[[#This Row],[TolMin]],SUBSTITUTE(UUTRangeTol[[#This Row],[TolResolution]],"1","0"))&amp;UUTRangeTol[[#This Row],[Unit]]</f>
        <v>-10.0°F</v>
      </c>
      <c r="J40" s="642" t="str">
        <f>TEXT(UUTRangeTol[[#This Row],[TolMax]],SUBSTITUTE(UUTRangeTol[[#This Row],[TolResolution]],"1","0"))&amp;UUTRangeTol[[#This Row],[Unit]]</f>
        <v>10.0°F</v>
      </c>
      <c r="K4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s="642" t="str">
        <f>UUTRangeTol[[#This Row],[RangeMax]]&amp;UUTRangeTol[[#This Row],[Unit]]</f>
        <v>375°F</v>
      </c>
      <c r="M4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s="642"/>
      <c r="H41" s="642"/>
      <c r="I41" s="642" t="str">
        <f>TEXT(UUTRangeTol[[#This Row],[TolMin]],SUBSTITUTE(UUTRangeTol[[#This Row],[TolResolution]],"1","0"))&amp;UUTRangeTol[[#This Row],[Unit]]</f>
        <v>-10.0°F</v>
      </c>
      <c r="J41" s="642" t="str">
        <f>TEXT(UUTRangeTol[[#This Row],[TolMax]],SUBSTITUTE(UUTRangeTol[[#This Row],[TolResolution]],"1","0"))&amp;UUTRangeTol[[#This Row],[Unit]]</f>
        <v>10.0°F</v>
      </c>
      <c r="K4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s="642" t="str">
        <f>UUTRangeTol[[#This Row],[RangeMax]]&amp;UUTRangeTol[[#This Row],[Unit]]</f>
        <v>375°F</v>
      </c>
      <c r="M4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s="642"/>
      <c r="H42" s="642"/>
      <c r="I42" s="642" t="str">
        <f>TEXT(UUTRangeTol[[#This Row],[TolMin]],SUBSTITUTE(UUTRangeTol[[#This Row],[TolResolution]],"1","0"))&amp;UUTRangeTol[[#This Row],[Unit]]</f>
        <v>-25.0°F</v>
      </c>
      <c r="J42" s="642" t="str">
        <f>TEXT(UUTRangeTol[[#This Row],[TolMax]],SUBSTITUTE(UUTRangeTol[[#This Row],[TolResolution]],"1","0"))&amp;UUTRangeTol[[#This Row],[Unit]]</f>
        <v>25.0°F</v>
      </c>
      <c r="K4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s="642" t="str">
        <f>UUTRangeTol[[#This Row],[RangeMax]]&amp;UUTRangeTol[[#This Row],[Unit]]</f>
        <v>375°F</v>
      </c>
      <c r="M4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s="642"/>
      <c r="H43" s="642"/>
      <c r="I43" s="642" t="str">
        <f>TEXT(UUTRangeTol[[#This Row],[TolMin]],SUBSTITUTE(UUTRangeTol[[#This Row],[TolResolution]],"1","0"))&amp;UUTRangeTol[[#This Row],[Unit]]</f>
        <v>-15.0°F</v>
      </c>
      <c r="J43" s="642" t="str">
        <f>TEXT(UUTRangeTol[[#This Row],[TolMax]],SUBSTITUTE(UUTRangeTol[[#This Row],[TolResolution]],"1","0"))&amp;UUTRangeTol[[#This Row],[Unit]]</f>
        <v>15.0°F</v>
      </c>
      <c r="K4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s="642" t="str">
        <f>UUTRangeTol[[#This Row],[RangeMax]]&amp;UUTRangeTol[[#This Row],[Unit]]</f>
        <v>140°F</v>
      </c>
      <c r="M4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s="642"/>
      <c r="H44" s="642"/>
      <c r="I44" s="642" t="str">
        <f>TEXT(UUTRangeTol[[#This Row],[TolMin]],SUBSTITUTE(UUTRangeTol[[#This Row],[TolResolution]],"1","0"))&amp;UUTRangeTol[[#This Row],[Unit]]</f>
        <v>-10.0°F</v>
      </c>
      <c r="J44" s="642" t="str">
        <f>TEXT(UUTRangeTol[[#This Row],[TolMax]],SUBSTITUTE(UUTRangeTol[[#This Row],[TolResolution]],"1","0"))&amp;UUTRangeTol[[#This Row],[Unit]]</f>
        <v>10.0°F</v>
      </c>
      <c r="K4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s="642" t="str">
        <f>UUTRangeTol[[#This Row],[RangeMax]]&amp;UUTRangeTol[[#This Row],[Unit]]</f>
        <v>250°F</v>
      </c>
      <c r="M4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s="642"/>
      <c r="H45" s="642"/>
      <c r="I45" s="642" t="str">
        <f>TEXT(UUTRangeTol[[#This Row],[TolMin]],SUBSTITUTE(UUTRangeTol[[#This Row],[TolResolution]],"1","0"))&amp;UUTRangeTol[[#This Row],[Unit]]</f>
        <v>-10.0°F</v>
      </c>
      <c r="J45" s="642" t="str">
        <f>TEXT(UUTRangeTol[[#This Row],[TolMax]],SUBSTITUTE(UUTRangeTol[[#This Row],[TolResolution]],"1","0"))&amp;UUTRangeTol[[#This Row],[Unit]]</f>
        <v>10.0°F</v>
      </c>
      <c r="K4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s="642" t="str">
        <f>UUTRangeTol[[#This Row],[RangeMax]]&amp;UUTRangeTol[[#This Row],[Unit]]</f>
        <v>250°F</v>
      </c>
      <c r="M4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s="642"/>
      <c r="H46" s="642"/>
      <c r="I46" s="642" t="str">
        <f>TEXT(UUTRangeTol[[#This Row],[TolMin]],SUBSTITUTE(UUTRangeTol[[#This Row],[TolResolution]],"1","0"))&amp;UUTRangeTol[[#This Row],[Unit]]</f>
        <v>-5°F</v>
      </c>
      <c r="J46" s="642" t="str">
        <f>TEXT(UUTRangeTol[[#This Row],[TolMax]],SUBSTITUTE(UUTRangeTol[[#This Row],[TolResolution]],"1","0"))&amp;UUTRangeTol[[#This Row],[Unit]]</f>
        <v>5°F</v>
      </c>
      <c r="K4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s="642" t="str">
        <f>UUTRangeTol[[#This Row],[RangeMax]]&amp;UUTRangeTol[[#This Row],[Unit]]</f>
        <v>130°F</v>
      </c>
      <c r="M4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s="642"/>
      <c r="H47" s="642"/>
      <c r="I47" s="642" t="str">
        <f>TEXT(UUTRangeTol[[#This Row],[TolMin]],SUBSTITUTE(UUTRangeTol[[#This Row],[TolResolution]],"1","0"))&amp;UUTRangeTol[[#This Row],[Unit]]</f>
        <v>-5°F</v>
      </c>
      <c r="J47" s="642" t="str">
        <f>TEXT(UUTRangeTol[[#This Row],[TolMax]],SUBSTITUTE(UUTRangeTol[[#This Row],[TolResolution]],"1","0"))&amp;UUTRangeTol[[#This Row],[Unit]]</f>
        <v>5°F</v>
      </c>
      <c r="K4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s="642" t="str">
        <f>UUTRangeTol[[#This Row],[RangeMax]]&amp;UUTRangeTol[[#This Row],[Unit]]</f>
        <v>118°F</v>
      </c>
      <c r="M4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s="642"/>
      <c r="H48" s="642"/>
      <c r="I48" s="642" t="str">
        <f>TEXT(UUTRangeTol[[#This Row],[TolMin]],SUBSTITUTE(UUTRangeTol[[#This Row],[TolResolution]],"1","0"))&amp;UUTRangeTol[[#This Row],[Unit]]</f>
        <v>-5°F</v>
      </c>
      <c r="J48" s="642" t="str">
        <f>TEXT(UUTRangeTol[[#This Row],[TolMax]],SUBSTITUTE(UUTRangeTol[[#This Row],[TolResolution]],"1","0"))&amp;UUTRangeTol[[#This Row],[Unit]]</f>
        <v>5°F</v>
      </c>
      <c r="K4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s="642" t="str">
        <f>UUTRangeTol[[#This Row],[RangeMax]]&amp;UUTRangeTol[[#This Row],[Unit]]</f>
        <v>199°F</v>
      </c>
      <c r="M4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s="642"/>
      <c r="H49" s="642"/>
      <c r="I49" s="642" t="str">
        <f>TEXT(UUTRangeTol[[#This Row],[TolMin]],SUBSTITUTE(UUTRangeTol[[#This Row],[TolResolution]],"1","0"))&amp;UUTRangeTol[[#This Row],[Unit]]</f>
        <v>-5°F</v>
      </c>
      <c r="J49" s="642" t="str">
        <f>TEXT(UUTRangeTol[[#This Row],[TolMax]],SUBSTITUTE(UUTRangeTol[[#This Row],[TolResolution]],"1","0"))&amp;UUTRangeTol[[#This Row],[Unit]]</f>
        <v>5°F</v>
      </c>
      <c r="K4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s="642" t="str">
        <f>UUTRangeTol[[#This Row],[RangeMax]]&amp;UUTRangeTol[[#This Row],[Unit]]</f>
        <v>100°F</v>
      </c>
      <c r="M4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s="642"/>
      <c r="H50" s="642"/>
      <c r="I50" s="642" t="str">
        <f>TEXT(UUTRangeTol[[#This Row],[TolMin]],SUBSTITUTE(UUTRangeTol[[#This Row],[TolResolution]],"1","0"))&amp;UUTRangeTol[[#This Row],[Unit]]</f>
        <v>-5°F</v>
      </c>
      <c r="J50" s="642" t="str">
        <f>TEXT(UUTRangeTol[[#This Row],[TolMax]],SUBSTITUTE(UUTRangeTol[[#This Row],[TolResolution]],"1","0"))&amp;UUTRangeTol[[#This Row],[Unit]]</f>
        <v>5°F</v>
      </c>
      <c r="K5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s="642" t="str">
        <f>UUTRangeTol[[#This Row],[RangeMax]]&amp;UUTRangeTol[[#This Row],[Unit]]</f>
        <v>125°F</v>
      </c>
      <c r="M5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s="642"/>
      <c r="H51" s="642"/>
      <c r="I51" s="642" t="str">
        <f>TEXT(UUTRangeTol[[#This Row],[TolMin]],SUBSTITUTE(UUTRangeTol[[#This Row],[TolResolution]],"1","0"))&amp;UUTRangeTol[[#This Row],[Unit]]</f>
        <v>-10°F</v>
      </c>
      <c r="J51" s="642" t="str">
        <f>TEXT(UUTRangeTol[[#This Row],[TolMax]],SUBSTITUTE(UUTRangeTol[[#This Row],[TolResolution]],"1","0"))&amp;UUTRangeTol[[#This Row],[Unit]]</f>
        <v>10°F</v>
      </c>
      <c r="K5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s="642" t="str">
        <f>UUTRangeTol[[#This Row],[RangeMax]]&amp;UUTRangeTol[[#This Row],[Unit]]</f>
        <v>400°F</v>
      </c>
      <c r="M5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s="642"/>
      <c r="H52" s="642"/>
      <c r="I52" s="642" t="str">
        <f>TEXT(UUTRangeTol[[#This Row],[TolMin]],SUBSTITUTE(UUTRangeTol[[#This Row],[TolResolution]],"1","0"))&amp;UUTRangeTol[[#This Row],[Unit]]</f>
        <v>-5.6°C</v>
      </c>
      <c r="J52" s="642" t="str">
        <f>TEXT(UUTRangeTol[[#This Row],[TolMax]],SUBSTITUTE(UUTRangeTol[[#This Row],[TolResolution]],"1","0"))&amp;UUTRangeTol[[#This Row],[Unit]]</f>
        <v>5.6°C</v>
      </c>
      <c r="K5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s="642" t="str">
        <f>UUTRangeTol[[#This Row],[RangeMax]]&amp;UUTRangeTol[[#This Row],[Unit]]</f>
        <v>185°C</v>
      </c>
      <c r="M5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s="642"/>
      <c r="H53" s="642"/>
      <c r="I53" s="642" t="str">
        <f>TEXT(UUTRangeTol[[#This Row],[TolMin]],SUBSTITUTE(UUTRangeTol[[#This Row],[TolResolution]],"1","0"))&amp;UUTRangeTol[[#This Row],[Unit]]</f>
        <v>-25.0°F</v>
      </c>
      <c r="J53" s="642" t="str">
        <f>TEXT(UUTRangeTol[[#This Row],[TolMax]],SUBSTITUTE(UUTRangeTol[[#This Row],[TolResolution]],"1","0"))&amp;UUTRangeTol[[#This Row],[Unit]]</f>
        <v>25.0°F</v>
      </c>
      <c r="K5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s="642" t="str">
        <f>UUTRangeTol[[#This Row],[RangeMax]]&amp;UUTRangeTol[[#This Row],[Unit]]</f>
        <v>550°F</v>
      </c>
      <c r="M5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s="642"/>
      <c r="H54" s="642"/>
      <c r="I54" s="642" t="str">
        <f>TEXT(UUTRangeTol[[#This Row],[TolMin]],SUBSTITUTE(UUTRangeTol[[#This Row],[TolResolution]],"1","0"))&amp;UUTRangeTol[[#This Row],[Unit]]</f>
        <v>-25°F</v>
      </c>
      <c r="J54" s="642" t="str">
        <f>TEXT(UUTRangeTol[[#This Row],[TolMax]],SUBSTITUTE(UUTRangeTol[[#This Row],[TolResolution]],"1","0"))&amp;UUTRangeTol[[#This Row],[Unit]]</f>
        <v>25°F</v>
      </c>
      <c r="K5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s="642" t="str">
        <f>UUTRangeTol[[#This Row],[RangeMax]]&amp;UUTRangeTol[[#This Row],[Unit]]</f>
        <v>250°F</v>
      </c>
      <c r="M5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s="642"/>
      <c r="H55" s="642"/>
      <c r="I55" s="642" t="str">
        <f>TEXT(UUTRangeTol[[#This Row],[TolMin]],SUBSTITUTE(UUTRangeTol[[#This Row],[TolResolution]],"1","0"))&amp;UUTRangeTol[[#This Row],[Unit]]</f>
        <v>-10°F</v>
      </c>
      <c r="J55" s="642" t="str">
        <f>TEXT(UUTRangeTol[[#This Row],[TolMax]],SUBSTITUTE(UUTRangeTol[[#This Row],[TolResolution]],"1","0"))&amp;UUTRangeTol[[#This Row],[Unit]]</f>
        <v>10°F</v>
      </c>
      <c r="K5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s="642" t="str">
        <f>UUTRangeTol[[#This Row],[RangeMax]]&amp;UUTRangeTol[[#This Row],[Unit]]</f>
        <v>200°F</v>
      </c>
      <c r="M5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s="642"/>
      <c r="H56" s="642"/>
      <c r="I56" s="642" t="str">
        <f>TEXT(UUTRangeTol[[#This Row],[TolMin]],SUBSTITUTE(UUTRangeTol[[#This Row],[TolResolution]],"1","0"))&amp;UUTRangeTol[[#This Row],[Unit]]</f>
        <v>-25°F</v>
      </c>
      <c r="J56" s="642" t="str">
        <f>TEXT(UUTRangeTol[[#This Row],[TolMax]],SUBSTITUTE(UUTRangeTol[[#This Row],[TolResolution]],"1","0"))&amp;UUTRangeTol[[#This Row],[Unit]]</f>
        <v>25°F</v>
      </c>
      <c r="K5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s="642" t="str">
        <f>UUTRangeTol[[#This Row],[RangeMax]]&amp;UUTRangeTol[[#This Row],[Unit]]</f>
        <v>550°F</v>
      </c>
      <c r="M5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s="642"/>
      <c r="H57" s="642"/>
      <c r="I57" s="642" t="str">
        <f>TEXT(UUTRangeTol[[#This Row],[TolMin]],SUBSTITUTE(UUTRangeTol[[#This Row],[TolResolution]],"1","0"))&amp;UUTRangeTol[[#This Row],[Unit]]</f>
        <v>-25°F</v>
      </c>
      <c r="J57" s="642" t="str">
        <f>TEXT(UUTRangeTol[[#This Row],[TolMax]],SUBSTITUTE(UUTRangeTol[[#This Row],[TolResolution]],"1","0"))&amp;UUTRangeTol[[#This Row],[Unit]]</f>
        <v>25°F</v>
      </c>
      <c r="K5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s="642" t="str">
        <f>UUTRangeTol[[#This Row],[RangeMax]]&amp;UUTRangeTol[[#This Row],[Unit]]</f>
        <v>450°F</v>
      </c>
      <c r="M5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s="642"/>
      <c r="H58" s="642"/>
      <c r="I58" s="642" t="str">
        <f>TEXT(UUTRangeTol[[#This Row],[TolMin]],SUBSTITUTE(UUTRangeTol[[#This Row],[TolResolution]],"1","0"))&amp;UUTRangeTol[[#This Row],[Unit]]</f>
        <v>-25°F</v>
      </c>
      <c r="J58" s="642" t="str">
        <f>TEXT(UUTRangeTol[[#This Row],[TolMax]],SUBSTITUTE(UUTRangeTol[[#This Row],[TolResolution]],"1","0"))&amp;UUTRangeTol[[#This Row],[Unit]]</f>
        <v>25°F</v>
      </c>
      <c r="K5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s="642" t="str">
        <f>UUTRangeTol[[#This Row],[RangeMax]]&amp;UUTRangeTol[[#This Row],[Unit]]</f>
        <v>350°F</v>
      </c>
      <c r="M5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s="642"/>
      <c r="H59" s="642"/>
      <c r="I59" s="642" t="str">
        <f>TEXT(UUTRangeTol[[#This Row],[TolMin]],SUBSTITUTE(UUTRangeTol[[#This Row],[TolResolution]],"1","0"))&amp;UUTRangeTol[[#This Row],[Unit]]</f>
        <v>-25°F</v>
      </c>
      <c r="J59" s="642" t="str">
        <f>TEXT(UUTRangeTol[[#This Row],[TolMax]],SUBSTITUTE(UUTRangeTol[[#This Row],[TolResolution]],"1","0"))&amp;UUTRangeTol[[#This Row],[Unit]]</f>
        <v>25°F</v>
      </c>
      <c r="K5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s="642" t="str">
        <f>UUTRangeTol[[#This Row],[RangeMax]]&amp;UUTRangeTol[[#This Row],[Unit]]</f>
        <v>400°F</v>
      </c>
      <c r="M5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s="642"/>
      <c r="H60" s="642"/>
      <c r="I60" s="642" t="str">
        <f>TEXT(UUTRangeTol[[#This Row],[TolMin]],SUBSTITUTE(UUTRangeTol[[#This Row],[TolResolution]],"1","0"))&amp;UUTRangeTol[[#This Row],[Unit]]</f>
        <v>-25°F</v>
      </c>
      <c r="J60" s="642" t="str">
        <f>TEXT(UUTRangeTol[[#This Row],[TolMax]],SUBSTITUTE(UUTRangeTol[[#This Row],[TolResolution]],"1","0"))&amp;UUTRangeTol[[#This Row],[Unit]]</f>
        <v>25°F</v>
      </c>
      <c r="K6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s="642" t="str">
        <f>UUTRangeTol[[#This Row],[RangeMax]]&amp;UUTRangeTol[[#This Row],[Unit]]</f>
        <v>325°F</v>
      </c>
      <c r="M6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s="642"/>
      <c r="H61" s="642"/>
      <c r="I61" s="642" t="str">
        <f>TEXT(UUTRangeTol[[#This Row],[TolMin]],SUBSTITUTE(UUTRangeTol[[#This Row],[TolResolution]],"1","0"))&amp;UUTRangeTol[[#This Row],[Unit]]</f>
        <v>-25°F</v>
      </c>
      <c r="J61" s="642" t="str">
        <f>TEXT(UUTRangeTol[[#This Row],[TolMax]],SUBSTITUTE(UUTRangeTol[[#This Row],[TolResolution]],"1","0"))&amp;UUTRangeTol[[#This Row],[Unit]]</f>
        <v>25°F</v>
      </c>
      <c r="K6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s="642" t="str">
        <f>UUTRangeTol[[#This Row],[RangeMax]]&amp;UUTRangeTol[[#This Row],[Unit]]</f>
        <v>200°F</v>
      </c>
      <c r="M6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s="642"/>
      <c r="H62" s="642"/>
      <c r="I62" s="642" t="str">
        <f>TEXT(UUTRangeTol[[#This Row],[TolMin]],SUBSTITUTE(UUTRangeTol[[#This Row],[TolResolution]],"1","0"))&amp;UUTRangeTol[[#This Row],[Unit]]</f>
        <v>-10.0°F</v>
      </c>
      <c r="J62" s="642" t="str">
        <f>TEXT(UUTRangeTol[[#This Row],[TolMax]],SUBSTITUTE(UUTRangeTol[[#This Row],[TolResolution]],"1","0"))&amp;UUTRangeTol[[#This Row],[Unit]]</f>
        <v>10.0°F</v>
      </c>
      <c r="K6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s="642" t="str">
        <f>UUTRangeTol[[#This Row],[RangeMax]]&amp;UUTRangeTol[[#This Row],[Unit]]</f>
        <v>300°F</v>
      </c>
      <c r="M6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s="642"/>
      <c r="H63" s="642"/>
      <c r="I63" s="642" t="str">
        <f>TEXT(UUTRangeTol[[#This Row],[TolMin]],SUBSTITUTE(UUTRangeTol[[#This Row],[TolResolution]],"1","0"))&amp;UUTRangeTol[[#This Row],[Unit]]</f>
        <v>-25.0°F</v>
      </c>
      <c r="J63" s="642" t="str">
        <f>TEXT(UUTRangeTol[[#This Row],[TolMax]],SUBSTITUTE(UUTRangeTol[[#This Row],[TolResolution]],"1","0"))&amp;UUTRangeTol[[#This Row],[Unit]]</f>
        <v>25.0°F</v>
      </c>
      <c r="K6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s="642" t="str">
        <f>UUTRangeTol[[#This Row],[RangeMax]]&amp;UUTRangeTol[[#This Row],[Unit]]</f>
        <v>1450°F</v>
      </c>
      <c r="M6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s="642"/>
      <c r="H64" s="642"/>
      <c r="I64" s="642" t="str">
        <f>TEXT(UUTRangeTol[[#This Row],[TolMin]],SUBSTITUTE(UUTRangeTol[[#This Row],[TolResolution]],"1","0"))&amp;UUTRangeTol[[#This Row],[Unit]]</f>
        <v>-25.0°F</v>
      </c>
      <c r="J64" s="642" t="str">
        <f>TEXT(UUTRangeTol[[#This Row],[TolMax]],SUBSTITUTE(UUTRangeTol[[#This Row],[TolResolution]],"1","0"))&amp;UUTRangeTol[[#This Row],[Unit]]</f>
        <v>25.0°F</v>
      </c>
      <c r="K6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s="642" t="str">
        <f>UUTRangeTol[[#This Row],[RangeMax]]&amp;UUTRangeTol[[#This Row],[Unit]]</f>
        <v>1450°F</v>
      </c>
      <c r="M6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s="642"/>
      <c r="H65" s="642"/>
      <c r="I65" s="642" t="str">
        <f>TEXT(UUTRangeTol[[#This Row],[TolMin]],SUBSTITUTE(UUTRangeTol[[#This Row],[TolResolution]],"1","0"))&amp;UUTRangeTol[[#This Row],[Unit]]</f>
        <v>-5°F</v>
      </c>
      <c r="J65" s="642" t="str">
        <f>TEXT(UUTRangeTol[[#This Row],[TolMax]],SUBSTITUTE(UUTRangeTol[[#This Row],[TolResolution]],"1","0"))&amp;UUTRangeTol[[#This Row],[Unit]]</f>
        <v>5°F</v>
      </c>
      <c r="K6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s="642" t="str">
        <f>UUTRangeTol[[#This Row],[RangeMax]]&amp;UUTRangeTol[[#This Row],[Unit]]</f>
        <v>55°F</v>
      </c>
      <c r="M6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s="642"/>
      <c r="H66" s="642"/>
      <c r="I66" s="642" t="str">
        <f>TEXT(UUTRangeTol[[#This Row],[TolMin]],SUBSTITUTE(UUTRangeTol[[#This Row],[TolResolution]],"1","0"))&amp;UUTRangeTol[[#This Row],[Unit]]</f>
        <v>-5°F</v>
      </c>
      <c r="J66" s="642" t="str">
        <f>TEXT(UUTRangeTol[[#This Row],[TolMax]],SUBSTITUTE(UUTRangeTol[[#This Row],[TolResolution]],"1","0"))&amp;UUTRangeTol[[#This Row],[Unit]]</f>
        <v>5°F</v>
      </c>
      <c r="K6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s="642" t="str">
        <f>UUTRangeTol[[#This Row],[RangeMax]]&amp;UUTRangeTol[[#This Row],[Unit]]</f>
        <v>250°F</v>
      </c>
      <c r="M6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s="642"/>
      <c r="H67" s="642"/>
      <c r="I67" s="642" t="str">
        <f>TEXT(UUTRangeTol[[#This Row],[TolMin]],SUBSTITUTE(UUTRangeTol[[#This Row],[TolResolution]],"1","0"))&amp;UUTRangeTol[[#This Row],[Unit]]</f>
        <v>-5°F</v>
      </c>
      <c r="J67" s="642" t="str">
        <f>TEXT(UUTRangeTol[[#This Row],[TolMax]],SUBSTITUTE(UUTRangeTol[[#This Row],[TolResolution]],"1","0"))&amp;UUTRangeTol[[#This Row],[Unit]]</f>
        <v>5°F</v>
      </c>
      <c r="K6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s="642" t="str">
        <f>UUTRangeTol[[#This Row],[RangeMax]]&amp;UUTRangeTol[[#This Row],[Unit]]</f>
        <v>550°F</v>
      </c>
      <c r="M6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s="642"/>
      <c r="H68" s="642"/>
      <c r="I68" s="642" t="str">
        <f>TEXT(UUTRangeTol[[#This Row],[TolMin]],SUBSTITUTE(UUTRangeTol[[#This Row],[TolResolution]],"1","0"))&amp;UUTRangeTol[[#This Row],[Unit]]</f>
        <v>0°F</v>
      </c>
      <c r="J68" s="642" t="str">
        <f>TEXT(UUTRangeTol[[#This Row],[TolMax]],SUBSTITUTE(UUTRangeTol[[#This Row],[TolResolution]],"1","0"))&amp;UUTRangeTol[[#This Row],[Unit]]</f>
        <v>40°F</v>
      </c>
      <c r="K6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s="642" t="str">
        <f>UUTRangeTol[[#This Row],[RangeMax]]&amp;UUTRangeTol[[#This Row],[Unit]]</f>
        <v>40°F</v>
      </c>
      <c r="M6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s="642"/>
      <c r="H69" s="642"/>
      <c r="I69" s="642" t="str">
        <f>TEXT(UUTRangeTol[[#This Row],[TolMin]],SUBSTITUTE(UUTRangeTol[[#This Row],[TolResolution]],"1","0"))&amp;UUTRangeTol[[#This Row],[Unit]]</f>
        <v>-25°F</v>
      </c>
      <c r="J69" s="642" t="str">
        <f>TEXT(UUTRangeTol[[#This Row],[TolMax]],SUBSTITUTE(UUTRangeTol[[#This Row],[TolResolution]],"1","0"))&amp;UUTRangeTol[[#This Row],[Unit]]</f>
        <v>25°F</v>
      </c>
      <c r="K6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s="642" t="str">
        <f>UUTRangeTol[[#This Row],[RangeMax]]&amp;UUTRangeTol[[#This Row],[Unit]]</f>
        <v>200°F</v>
      </c>
      <c r="M6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s="642"/>
      <c r="H70" s="642"/>
      <c r="I70" s="642" t="str">
        <f>TEXT(UUTRangeTol[[#This Row],[TolMin]],SUBSTITUTE(UUTRangeTol[[#This Row],[TolResolution]],"1","0"))&amp;UUTRangeTol[[#This Row],[Unit]]</f>
        <v>-10°F</v>
      </c>
      <c r="J70" s="642" t="str">
        <f>TEXT(UUTRangeTol[[#This Row],[TolMax]],SUBSTITUTE(UUTRangeTol[[#This Row],[TolResolution]],"1","0"))&amp;UUTRangeTol[[#This Row],[Unit]]</f>
        <v>10°F</v>
      </c>
      <c r="K7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s="642" t="str">
        <f>UUTRangeTol[[#This Row],[RangeMax]]&amp;UUTRangeTol[[#This Row],[Unit]]</f>
        <v>130°F</v>
      </c>
      <c r="M7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s="642"/>
      <c r="H71" s="642"/>
      <c r="I71" s="642" t="str">
        <f>TEXT(UUTRangeTol[[#This Row],[TolMin]],SUBSTITUTE(UUTRangeTol[[#This Row],[TolResolution]],"1","0"))&amp;UUTRangeTol[[#This Row],[Unit]]</f>
        <v>-5°F</v>
      </c>
      <c r="J71" s="642" t="str">
        <f>TEXT(UUTRangeTol[[#This Row],[TolMax]],SUBSTITUTE(UUTRangeTol[[#This Row],[TolResolution]],"1","0"))&amp;UUTRangeTol[[#This Row],[Unit]]</f>
        <v>5°F</v>
      </c>
      <c r="K7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s="642" t="str">
        <f>UUTRangeTol[[#This Row],[RangeMax]]&amp;UUTRangeTol[[#This Row],[Unit]]</f>
        <v>200°F</v>
      </c>
      <c r="M7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s="642"/>
      <c r="H72" s="642"/>
      <c r="I72" s="642" t="str">
        <f>TEXT(UUTRangeTol[[#This Row],[TolMin]],SUBSTITUTE(UUTRangeTol[[#This Row],[TolResolution]],"1","0"))&amp;UUTRangeTol[[#This Row],[Unit]]</f>
        <v>-5°F</v>
      </c>
      <c r="J72" s="642" t="str">
        <f>TEXT(UUTRangeTol[[#This Row],[TolMax]],SUBSTITUTE(UUTRangeTol[[#This Row],[TolResolution]],"1","0"))&amp;UUTRangeTol[[#This Row],[Unit]]</f>
        <v>5°F</v>
      </c>
      <c r="K7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s="642" t="str">
        <f>UUTRangeTol[[#This Row],[RangeMax]]&amp;UUTRangeTol[[#This Row],[Unit]]</f>
        <v>100°F</v>
      </c>
      <c r="M7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s="642"/>
      <c r="H73" s="642"/>
      <c r="I73" s="642" t="str">
        <f>TEXT(UUTRangeTol[[#This Row],[TolMin]],SUBSTITUTE(UUTRangeTol[[#This Row],[TolResolution]],"1","0"))&amp;UUTRangeTol[[#This Row],[Unit]]</f>
        <v>-5°F</v>
      </c>
      <c r="J73" s="642" t="str">
        <f>TEXT(UUTRangeTol[[#This Row],[TolMax]],SUBSTITUTE(UUTRangeTol[[#This Row],[TolResolution]],"1","0"))&amp;UUTRangeTol[[#This Row],[Unit]]</f>
        <v>5°F</v>
      </c>
      <c r="K7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s="642" t="str">
        <f>UUTRangeTol[[#This Row],[RangeMax]]&amp;UUTRangeTol[[#This Row],[Unit]]</f>
        <v>84°F</v>
      </c>
      <c r="M7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s="642"/>
      <c r="H74" s="642"/>
      <c r="I74" s="642" t="str">
        <f>TEXT(UUTRangeTol[[#This Row],[TolMin]],SUBSTITUTE(UUTRangeTol[[#This Row],[TolResolution]],"1","0"))&amp;UUTRangeTol[[#This Row],[Unit]]</f>
        <v>-5°F</v>
      </c>
      <c r="J74" s="642" t="str">
        <f>TEXT(UUTRangeTol[[#This Row],[TolMax]],SUBSTITUTE(UUTRangeTol[[#This Row],[TolResolution]],"1","0"))&amp;UUTRangeTol[[#This Row],[Unit]]</f>
        <v>5°F</v>
      </c>
      <c r="K7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s="642" t="str">
        <f>UUTRangeTol[[#This Row],[RangeMax]]&amp;UUTRangeTol[[#This Row],[Unit]]</f>
        <v>110°F</v>
      </c>
      <c r="M7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s="642"/>
      <c r="H75" s="642"/>
      <c r="I75" s="642" t="str">
        <f>TEXT(UUTRangeTol[[#This Row],[TolMin]],SUBSTITUTE(UUTRangeTol[[#This Row],[TolResolution]],"1","0"))&amp;UUTRangeTol[[#This Row],[Unit]]</f>
        <v>-5°F</v>
      </c>
      <c r="J75" s="642" t="str">
        <f>TEXT(UUTRangeTol[[#This Row],[TolMax]],SUBSTITUTE(UUTRangeTol[[#This Row],[TolResolution]],"1","0"))&amp;UUTRangeTol[[#This Row],[Unit]]</f>
        <v>5°F</v>
      </c>
      <c r="K7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s="642" t="str">
        <f>UUTRangeTol[[#This Row],[RangeMax]]&amp;UUTRangeTol[[#This Row],[Unit]]</f>
        <v>180°F</v>
      </c>
      <c r="M7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s="642"/>
      <c r="H76" s="642"/>
      <c r="I76" s="642" t="str">
        <f>TEXT(UUTRangeTol[[#This Row],[TolMin]],SUBSTITUTE(UUTRangeTol[[#This Row],[TolResolution]],"1","0"))&amp;UUTRangeTol[[#This Row],[Unit]]</f>
        <v>-5°F</v>
      </c>
      <c r="J76" s="642" t="str">
        <f>TEXT(UUTRangeTol[[#This Row],[TolMax]],SUBSTITUTE(UUTRangeTol[[#This Row],[TolResolution]],"1","0"))&amp;UUTRangeTol[[#This Row],[Unit]]</f>
        <v>5°F</v>
      </c>
      <c r="K7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s="642" t="str">
        <f>UUTRangeTol[[#This Row],[RangeMax]]&amp;UUTRangeTol[[#This Row],[Unit]]</f>
        <v>90°F</v>
      </c>
      <c r="M7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s="642"/>
      <c r="H77" s="642"/>
      <c r="I77" s="642" t="str">
        <f>TEXT(UUTRangeTol[[#This Row],[TolMin]],SUBSTITUTE(UUTRangeTol[[#This Row],[TolResolution]],"1","0"))&amp;UUTRangeTol[[#This Row],[Unit]]</f>
        <v>-10°F</v>
      </c>
      <c r="J77" s="642" t="str">
        <f>TEXT(UUTRangeTol[[#This Row],[TolMax]],SUBSTITUTE(UUTRangeTol[[#This Row],[TolResolution]],"1","0"))&amp;UUTRangeTol[[#This Row],[Unit]]</f>
        <v>10°F</v>
      </c>
      <c r="K7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s="642" t="str">
        <f>UUTRangeTol[[#This Row],[RangeMax]]&amp;UUTRangeTol[[#This Row],[Unit]]</f>
        <v>400°F</v>
      </c>
      <c r="M7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s="642"/>
      <c r="H78" s="642"/>
      <c r="I78" s="642" t="str">
        <f>TEXT(UUTRangeTol[[#This Row],[TolMin]],SUBSTITUTE(UUTRangeTol[[#This Row],[TolResolution]],"1","0"))&amp;UUTRangeTol[[#This Row],[Unit]]</f>
        <v>-10°F</v>
      </c>
      <c r="J78" s="642" t="str">
        <f>TEXT(UUTRangeTol[[#This Row],[TolMax]],SUBSTITUTE(UUTRangeTol[[#This Row],[TolResolution]],"1","0"))&amp;UUTRangeTol[[#This Row],[Unit]]</f>
        <v>10°F</v>
      </c>
      <c r="K7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s="642" t="str">
        <f>UUTRangeTol[[#This Row],[RangeMax]]&amp;UUTRangeTol[[#This Row],[Unit]]</f>
        <v>450°F</v>
      </c>
      <c r="M7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s="642"/>
      <c r="H79" s="642"/>
      <c r="I79" s="642" t="str">
        <f>TEXT(UUTRangeTol[[#This Row],[TolMin]],SUBSTITUTE(UUTRangeTol[[#This Row],[TolResolution]],"1","0"))&amp;UUTRangeTol[[#This Row],[Unit]]</f>
        <v>-8°C</v>
      </c>
      <c r="J79" s="642" t="str">
        <f>TEXT(UUTRangeTol[[#This Row],[TolMax]],SUBSTITUTE(UUTRangeTol[[#This Row],[TolResolution]],"1","0"))&amp;UUTRangeTol[[#This Row],[Unit]]</f>
        <v>8°C</v>
      </c>
      <c r="K7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s="642" t="str">
        <f>UUTRangeTol[[#This Row],[RangeMax]]&amp;UUTRangeTol[[#This Row],[Unit]]</f>
        <v>149°C</v>
      </c>
      <c r="M7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s="642"/>
      <c r="H80" s="642"/>
      <c r="I80" s="642" t="str">
        <f>TEXT(UUTRangeTol[[#This Row],[TolMin]],SUBSTITUTE(UUTRangeTol[[#This Row],[TolResolution]],"1","0"))&amp;UUTRangeTol[[#This Row],[Unit]]</f>
        <v>-10.0°F</v>
      </c>
      <c r="J80" s="642" t="str">
        <f>TEXT(UUTRangeTol[[#This Row],[TolMax]],SUBSTITUTE(UUTRangeTol[[#This Row],[TolResolution]],"1","0"))&amp;UUTRangeTol[[#This Row],[Unit]]</f>
        <v>10.0°F</v>
      </c>
      <c r="K8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s="642" t="str">
        <f>UUTRangeTol[[#This Row],[RangeMax]]&amp;UUTRangeTol[[#This Row],[Unit]]</f>
        <v>275°F</v>
      </c>
      <c r="M8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s="642"/>
      <c r="H81" s="642"/>
      <c r="I81" s="642" t="str">
        <f>TEXT(UUTRangeTol[[#This Row],[TolMin]],SUBSTITUTE(UUTRangeTol[[#This Row],[TolResolution]],"1","0"))&amp;UUTRangeTol[[#This Row],[Unit]]</f>
        <v>-15.0°F</v>
      </c>
      <c r="J81" s="642" t="str">
        <f>TEXT(UUTRangeTol[[#This Row],[TolMax]],SUBSTITUTE(UUTRangeTol[[#This Row],[TolResolution]],"1","0"))&amp;UUTRangeTol[[#This Row],[Unit]]</f>
        <v>15.0°F</v>
      </c>
      <c r="K8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s="642" t="str">
        <f>UUTRangeTol[[#This Row],[RangeMax]]&amp;UUTRangeTol[[#This Row],[Unit]]</f>
        <v>200°F</v>
      </c>
      <c r="M8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s="642"/>
      <c r="H82" s="642"/>
      <c r="I82" s="642" t="str">
        <f>TEXT(UUTRangeTol[[#This Row],[TolMin]],SUBSTITUTE(UUTRangeTol[[#This Row],[TolResolution]],"1","0"))&amp;UUTRangeTol[[#This Row],[Unit]]</f>
        <v>-10.0°F</v>
      </c>
      <c r="J82" s="642" t="str">
        <f>TEXT(UUTRangeTol[[#This Row],[TolMax]],SUBSTITUTE(UUTRangeTol[[#This Row],[TolResolution]],"1","0"))&amp;UUTRangeTol[[#This Row],[Unit]]</f>
        <v>10.0°F</v>
      </c>
      <c r="K8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s="642" t="str">
        <f>UUTRangeTol[[#This Row],[RangeMax]]&amp;UUTRangeTol[[#This Row],[Unit]]</f>
        <v>1100°F</v>
      </c>
      <c r="M8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s="642"/>
      <c r="H83" s="642"/>
      <c r="I83" s="642" t="str">
        <f>TEXT(UUTRangeTol[[#This Row],[TolMin]],SUBSTITUTE(UUTRangeTol[[#This Row],[TolResolution]],"1","0"))&amp;UUTRangeTol[[#This Row],[Unit]]</f>
        <v>-10.0°F</v>
      </c>
      <c r="J83" s="642" t="str">
        <f>TEXT(UUTRangeTol[[#This Row],[TolMax]],SUBSTITUTE(UUTRangeTol[[#This Row],[TolResolution]],"1","0"))&amp;UUTRangeTol[[#This Row],[Unit]]</f>
        <v>10.0°F</v>
      </c>
      <c r="K8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s="642" t="str">
        <f>UUTRangeTol[[#This Row],[RangeMax]]&amp;UUTRangeTol[[#This Row],[Unit]]</f>
        <v>400°F</v>
      </c>
      <c r="M8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s="642"/>
      <c r="H84" s="642"/>
      <c r="I84" s="642" t="str">
        <f>TEXT(UUTRangeTol[[#This Row],[TolMin]],SUBSTITUTE(UUTRangeTol[[#This Row],[TolResolution]],"1","0"))&amp;UUTRangeTol[[#This Row],[Unit]]</f>
        <v>-10.0°F</v>
      </c>
      <c r="J84" s="642" t="str">
        <f>TEXT(UUTRangeTol[[#This Row],[TolMax]],SUBSTITUTE(UUTRangeTol[[#This Row],[TolResolution]],"1","0"))&amp;UUTRangeTol[[#This Row],[Unit]]</f>
        <v>10.0°F</v>
      </c>
      <c r="K8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s="642" t="str">
        <f>UUTRangeTol[[#This Row],[RangeMax]]&amp;UUTRangeTol[[#This Row],[Unit]]</f>
        <v>400°F</v>
      </c>
      <c r="M8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s="642"/>
      <c r="H85" s="642"/>
      <c r="I85" s="642" t="str">
        <f>TEXT(UUTRangeTol[[#This Row],[TolMin]],SUBSTITUTE(UUTRangeTol[[#This Row],[TolResolution]],"1","0"))&amp;UUTRangeTol[[#This Row],[Unit]]</f>
        <v>-10.0°F</v>
      </c>
      <c r="J85" s="642" t="str">
        <f>TEXT(UUTRangeTol[[#This Row],[TolMax]],SUBSTITUTE(UUTRangeTol[[#This Row],[TolResolution]],"1","0"))&amp;UUTRangeTol[[#This Row],[Unit]]</f>
        <v>10.0°F</v>
      </c>
      <c r="K8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s="642" t="str">
        <f>UUTRangeTol[[#This Row],[RangeMax]]&amp;UUTRangeTol[[#This Row],[Unit]]</f>
        <v>400°F</v>
      </c>
      <c r="M8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s="642"/>
      <c r="H86" s="642"/>
      <c r="I86" s="642" t="str">
        <f>TEXT(UUTRangeTol[[#This Row],[TolMin]],SUBSTITUTE(UUTRangeTol[[#This Row],[TolResolution]],"1","0"))&amp;UUTRangeTol[[#This Row],[Unit]]</f>
        <v>-10.0°F</v>
      </c>
      <c r="J86" s="642" t="str">
        <f>TEXT(UUTRangeTol[[#This Row],[TolMax]],SUBSTITUTE(UUTRangeTol[[#This Row],[TolResolution]],"1","0"))&amp;UUTRangeTol[[#This Row],[Unit]]</f>
        <v>10.0°F</v>
      </c>
      <c r="K8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s="642" t="str">
        <f>UUTRangeTol[[#This Row],[RangeMax]]&amp;UUTRangeTol[[#This Row],[Unit]]</f>
        <v>400°F</v>
      </c>
      <c r="M8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s="642"/>
      <c r="H87" s="642"/>
      <c r="I87" s="642" t="str">
        <f>TEXT(UUTRangeTol[[#This Row],[TolMin]],SUBSTITUTE(UUTRangeTol[[#This Row],[TolResolution]],"1","0"))&amp;UUTRangeTol[[#This Row],[Unit]]</f>
        <v>-15.0°F</v>
      </c>
      <c r="J87" s="642" t="str">
        <f>TEXT(UUTRangeTol[[#This Row],[TolMax]],SUBSTITUTE(UUTRangeTol[[#This Row],[TolResolution]],"1","0"))&amp;UUTRangeTol[[#This Row],[Unit]]</f>
        <v>15.0°F</v>
      </c>
      <c r="K8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s="642" t="str">
        <f>UUTRangeTol[[#This Row],[RangeMax]]&amp;UUTRangeTol[[#This Row],[Unit]]</f>
        <v>400°F</v>
      </c>
      <c r="M8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s="642"/>
      <c r="H88" s="642"/>
      <c r="I88" s="642" t="str">
        <f>TEXT(UUTRangeTol[[#This Row],[TolMin]],SUBSTITUTE(UUTRangeTol[[#This Row],[TolResolution]],"1","0"))&amp;UUTRangeTol[[#This Row],[Unit]]</f>
        <v>-25.0°F</v>
      </c>
      <c r="J88" s="642" t="str">
        <f>TEXT(UUTRangeTol[[#This Row],[TolMax]],SUBSTITUTE(UUTRangeTol[[#This Row],[TolResolution]],"1","0"))&amp;UUTRangeTol[[#This Row],[Unit]]</f>
        <v>25.0°F</v>
      </c>
      <c r="K8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s="642" t="str">
        <f>UUTRangeTol[[#This Row],[RangeMax]]&amp;UUTRangeTol[[#This Row],[Unit]]</f>
        <v>600°F</v>
      </c>
      <c r="M8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s="642"/>
      <c r="H89" s="642"/>
      <c r="I89" s="642" t="str">
        <f>TEXT(UUTRangeTol[[#This Row],[TolMin]],SUBSTITUTE(UUTRangeTol[[#This Row],[TolResolution]],"1","0"))&amp;UUTRangeTol[[#This Row],[Unit]]</f>
        <v>-18.0°F</v>
      </c>
      <c r="J89" s="642" t="str">
        <f>TEXT(UUTRangeTol[[#This Row],[TolMax]],SUBSTITUTE(UUTRangeTol[[#This Row],[TolResolution]],"1","0"))&amp;UUTRangeTol[[#This Row],[Unit]]</f>
        <v>18.0°F</v>
      </c>
      <c r="K8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s="642" t="str">
        <f>UUTRangeTol[[#This Row],[RangeMax]]&amp;UUTRangeTol[[#This Row],[Unit]]</f>
        <v>950°F</v>
      </c>
      <c r="M8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s="642"/>
      <c r="H90" s="642"/>
      <c r="I90" s="642" t="str">
        <f>TEXT(UUTRangeTol[[#This Row],[TolMin]],SUBSTITUTE(UUTRangeTol[[#This Row],[TolResolution]],"1","0"))&amp;UUTRangeTol[[#This Row],[Unit]]</f>
        <v>-15.0°F</v>
      </c>
      <c r="J90" s="642" t="str">
        <f>TEXT(UUTRangeTol[[#This Row],[TolMax]],SUBSTITUTE(UUTRangeTol[[#This Row],[TolResolution]],"1","0"))&amp;UUTRangeTol[[#This Row],[Unit]]</f>
        <v>15.0°F</v>
      </c>
      <c r="K9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s="642" t="str">
        <f>UUTRangeTol[[#This Row],[RangeMax]]&amp;UUTRangeTol[[#This Row],[Unit]]</f>
        <v>635°F</v>
      </c>
      <c r="M9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s="642"/>
      <c r="H91" s="642"/>
      <c r="I91" s="642" t="str">
        <f>TEXT(UUTRangeTol[[#This Row],[TolMin]],SUBSTITUTE(UUTRangeTol[[#This Row],[TolResolution]],"1","0"))&amp;UUTRangeTol[[#This Row],[Unit]]</f>
        <v>-15.0°F</v>
      </c>
      <c r="J91" s="642" t="str">
        <f>TEXT(UUTRangeTol[[#This Row],[TolMax]],SUBSTITUTE(UUTRangeTol[[#This Row],[TolResolution]],"1","0"))&amp;UUTRangeTol[[#This Row],[Unit]]</f>
        <v>15.0°F</v>
      </c>
      <c r="K9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s="642" t="str">
        <f>UUTRangeTol[[#This Row],[RangeMax]]&amp;UUTRangeTol[[#This Row],[Unit]]</f>
        <v>160°F</v>
      </c>
      <c r="M9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s="642"/>
      <c r="H92" s="642"/>
      <c r="I92" s="642" t="str">
        <f>TEXT(UUTRangeTol[[#This Row],[TolMin]],SUBSTITUTE(UUTRangeTol[[#This Row],[TolResolution]],"1","0"))&amp;UUTRangeTol[[#This Row],[Unit]]</f>
        <v>-15.0°F</v>
      </c>
      <c r="J92" s="642" t="str">
        <f>TEXT(UUTRangeTol[[#This Row],[TolMax]],SUBSTITUTE(UUTRangeTol[[#This Row],[TolResolution]],"1","0"))&amp;UUTRangeTol[[#This Row],[Unit]]</f>
        <v>15.0°F</v>
      </c>
      <c r="K9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s="642" t="str">
        <f>UUTRangeTol[[#This Row],[RangeMax]]&amp;UUTRangeTol[[#This Row],[Unit]]</f>
        <v>250°F</v>
      </c>
      <c r="M9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s="642"/>
      <c r="H93" s="642"/>
      <c r="I93" s="642" t="str">
        <f>TEXT(UUTRangeTol[[#This Row],[TolMin]],SUBSTITUTE(UUTRangeTol[[#This Row],[TolResolution]],"1","0"))&amp;UUTRangeTol[[#This Row],[Unit]]</f>
        <v>-15.0°F</v>
      </c>
      <c r="J93" s="642" t="str">
        <f>TEXT(UUTRangeTol[[#This Row],[TolMax]],SUBSTITUTE(UUTRangeTol[[#This Row],[TolResolution]],"1","0"))&amp;UUTRangeTol[[#This Row],[Unit]]</f>
        <v>15.0°F</v>
      </c>
      <c r="K9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s="642" t="str">
        <f>UUTRangeTol[[#This Row],[RangeMax]]&amp;UUTRangeTol[[#This Row],[Unit]]</f>
        <v>300°F</v>
      </c>
      <c r="M9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s="642"/>
      <c r="H94" s="642"/>
      <c r="I94" s="642" t="str">
        <f>TEXT(UUTRangeTol[[#This Row],[TolMin]],SUBSTITUTE(UUTRangeTol[[#This Row],[TolResolution]],"1","0"))&amp;UUTRangeTol[[#This Row],[Unit]]</f>
        <v>-15.0°F</v>
      </c>
      <c r="J94" s="642" t="str">
        <f>TEXT(UUTRangeTol[[#This Row],[TolMax]],SUBSTITUTE(UUTRangeTol[[#This Row],[TolResolution]],"1","0"))&amp;UUTRangeTol[[#This Row],[Unit]]</f>
        <v>15.0°F</v>
      </c>
      <c r="K9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s="642" t="str">
        <f>UUTRangeTol[[#This Row],[RangeMax]]&amp;UUTRangeTol[[#This Row],[Unit]]</f>
        <v>200°F</v>
      </c>
      <c r="M9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s="642"/>
      <c r="H95" s="642"/>
      <c r="I95" s="642" t="str">
        <f>TEXT(UUTRangeTol[[#This Row],[TolMin]],SUBSTITUTE(UUTRangeTol[[#This Row],[TolResolution]],"1","0"))&amp;UUTRangeTol[[#This Row],[Unit]]</f>
        <v>-10.0°F</v>
      </c>
      <c r="J95" s="642" t="str">
        <f>TEXT(UUTRangeTol[[#This Row],[TolMax]],SUBSTITUTE(UUTRangeTol[[#This Row],[TolResolution]],"1","0"))&amp;UUTRangeTol[[#This Row],[Unit]]</f>
        <v>10.0°F</v>
      </c>
      <c r="K9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s="642" t="str">
        <f>UUTRangeTol[[#This Row],[RangeMax]]&amp;UUTRangeTol[[#This Row],[Unit]]</f>
        <v>450°F</v>
      </c>
      <c r="M9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s="642"/>
      <c r="H96" s="642"/>
      <c r="I96" s="642" t="str">
        <f>TEXT(UUTRangeTol[[#This Row],[TolMin]],SUBSTITUTE(UUTRangeTol[[#This Row],[TolResolution]],"1","0"))&amp;UUTRangeTol[[#This Row],[Unit]]</f>
        <v>-10.0°F</v>
      </c>
      <c r="J96" s="642" t="str">
        <f>TEXT(UUTRangeTol[[#This Row],[TolMax]],SUBSTITUTE(UUTRangeTol[[#This Row],[TolResolution]],"1","0"))&amp;UUTRangeTol[[#This Row],[Unit]]</f>
        <v>10.0°F</v>
      </c>
      <c r="K9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s="642" t="str">
        <f>UUTRangeTol[[#This Row],[RangeMax]]&amp;UUTRangeTol[[#This Row],[Unit]]</f>
        <v>160°F</v>
      </c>
      <c r="M9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s="642"/>
      <c r="H97" s="642"/>
      <c r="I97" s="642" t="str">
        <f>TEXT(UUTRangeTol[[#This Row],[TolMin]],SUBSTITUTE(UUTRangeTol[[#This Row],[TolResolution]],"1","0"))&amp;UUTRangeTol[[#This Row],[Unit]]</f>
        <v>-5.0°F</v>
      </c>
      <c r="J97" s="642" t="str">
        <f>TEXT(UUTRangeTol[[#This Row],[TolMax]],SUBSTITUTE(UUTRangeTol[[#This Row],[TolResolution]],"1","0"))&amp;UUTRangeTol[[#This Row],[Unit]]</f>
        <v>5.0°F</v>
      </c>
      <c r="K9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s="642" t="str">
        <f>UUTRangeTol[[#This Row],[RangeMax]]&amp;UUTRangeTol[[#This Row],[Unit]]</f>
        <v>375°F</v>
      </c>
      <c r="M9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s="642"/>
      <c r="H98" s="642"/>
      <c r="I98" s="642" t="str">
        <f>TEXT(UUTRangeTol[[#This Row],[TolMin]],SUBSTITUTE(UUTRangeTol[[#This Row],[TolResolution]],"1","0"))&amp;UUTRangeTol[[#This Row],[Unit]]</f>
        <v>-25°F</v>
      </c>
      <c r="J98" s="642" t="str">
        <f>TEXT(UUTRangeTol[[#This Row],[TolMax]],SUBSTITUTE(UUTRangeTol[[#This Row],[TolResolution]],"1","0"))&amp;UUTRangeTol[[#This Row],[Unit]]</f>
        <v>25°F</v>
      </c>
      <c r="K9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s="642" t="str">
        <f>UUTRangeTol[[#This Row],[RangeMax]]&amp;UUTRangeTol[[#This Row],[Unit]]</f>
        <v>1700°F</v>
      </c>
      <c r="M9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s="642"/>
      <c r="H99" s="642"/>
      <c r="I99" s="642" t="str">
        <f>TEXT(UUTRangeTol[[#This Row],[TolMin]],SUBSTITUTE(UUTRangeTol[[#This Row],[TolResolution]],"1","0"))&amp;UUTRangeTol[[#This Row],[Unit]]</f>
        <v>-15°F</v>
      </c>
      <c r="J99" s="642" t="str">
        <f>TEXT(UUTRangeTol[[#This Row],[TolMax]],SUBSTITUTE(UUTRangeTol[[#This Row],[TolResolution]],"1","0"))&amp;UUTRangeTol[[#This Row],[Unit]]</f>
        <v>15°F</v>
      </c>
      <c r="K9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s="642" t="str">
        <f>UUTRangeTol[[#This Row],[RangeMax]]&amp;UUTRangeTol[[#This Row],[Unit]]</f>
        <v>150°F</v>
      </c>
      <c r="M9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s="642"/>
      <c r="H100" s="642"/>
      <c r="I100" s="642" t="str">
        <f>TEXT(UUTRangeTol[[#This Row],[TolMin]],SUBSTITUTE(UUTRangeTol[[#This Row],[TolResolution]],"1","0"))&amp;UUTRangeTol[[#This Row],[Unit]]</f>
        <v>-5°F</v>
      </c>
      <c r="J100" s="642" t="str">
        <f>TEXT(UUTRangeTol[[#This Row],[TolMax]],SUBSTITUTE(UUTRangeTol[[#This Row],[TolResolution]],"1","0"))&amp;UUTRangeTol[[#This Row],[Unit]]</f>
        <v>5°F</v>
      </c>
      <c r="K10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s="642" t="str">
        <f>UUTRangeTol[[#This Row],[RangeMax]]&amp;UUTRangeTol[[#This Row],[Unit]]</f>
        <v>122°F</v>
      </c>
      <c r="M10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s="642"/>
      <c r="H101" s="642"/>
      <c r="I101" s="642" t="str">
        <f>TEXT(UUTRangeTol[[#This Row],[TolMin]],SUBSTITUTE(UUTRangeTol[[#This Row],[TolResolution]],"1","0"))&amp;UUTRangeTol[[#This Row],[Unit]]</f>
        <v>-5°F</v>
      </c>
      <c r="J101" s="642" t="str">
        <f>TEXT(UUTRangeTol[[#This Row],[TolMax]],SUBSTITUTE(UUTRangeTol[[#This Row],[TolResolution]],"1","0"))&amp;UUTRangeTol[[#This Row],[Unit]]</f>
        <v>5°F</v>
      </c>
      <c r="K10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s="642" t="str">
        <f>UUTRangeTol[[#This Row],[RangeMax]]&amp;UUTRangeTol[[#This Row],[Unit]]</f>
        <v>500°F</v>
      </c>
      <c r="M10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s="642"/>
      <c r="H102" s="642"/>
      <c r="I102" s="642" t="str">
        <f>TEXT(UUTRangeTol[[#This Row],[TolMin]],SUBSTITUTE(UUTRangeTol[[#This Row],[TolResolution]],"1","0"))&amp;UUTRangeTol[[#This Row],[Unit]]</f>
        <v>-5°F</v>
      </c>
      <c r="J102" s="642" t="str">
        <f>TEXT(UUTRangeTol[[#This Row],[TolMax]],SUBSTITUTE(UUTRangeTol[[#This Row],[TolResolution]],"1","0"))&amp;UUTRangeTol[[#This Row],[Unit]]</f>
        <v>5°F</v>
      </c>
      <c r="K10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s="642" t="str">
        <f>UUTRangeTol[[#This Row],[RangeMax]]&amp;UUTRangeTol[[#This Row],[Unit]]</f>
        <v>190°F</v>
      </c>
      <c r="M10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s="642"/>
      <c r="H103" s="642"/>
      <c r="I103" s="642" t="str">
        <f>TEXT(UUTRangeTol[[#This Row],[TolMin]],SUBSTITUTE(UUTRangeTol[[#This Row],[TolResolution]],"1","0"))&amp;UUTRangeTol[[#This Row],[Unit]]</f>
        <v>-5°F</v>
      </c>
      <c r="J103" s="642" t="str">
        <f>TEXT(UUTRangeTol[[#This Row],[TolMax]],SUBSTITUTE(UUTRangeTol[[#This Row],[TolResolution]],"1","0"))&amp;UUTRangeTol[[#This Row],[Unit]]</f>
        <v>5°F</v>
      </c>
      <c r="K10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s="642" t="str">
        <f>UUTRangeTol[[#This Row],[RangeMax]]&amp;UUTRangeTol[[#This Row],[Unit]]</f>
        <v>110°F</v>
      </c>
      <c r="M10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s="642"/>
      <c r="H104" s="642"/>
      <c r="I104" s="642" t="str">
        <f>TEXT(UUTRangeTol[[#This Row],[TolMin]],SUBSTITUTE(UUTRangeTol[[#This Row],[TolResolution]],"1","0"))&amp;UUTRangeTol[[#This Row],[Unit]]</f>
        <v>-25.0°F</v>
      </c>
      <c r="J104" s="642" t="str">
        <f>TEXT(UUTRangeTol[[#This Row],[TolMax]],SUBSTITUTE(UUTRangeTol[[#This Row],[TolResolution]],"1","0"))&amp;UUTRangeTol[[#This Row],[Unit]]</f>
        <v>25.0°F</v>
      </c>
      <c r="K10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s="642" t="str">
        <f>UUTRangeTol[[#This Row],[RangeMax]]&amp;UUTRangeTol[[#This Row],[Unit]]</f>
        <v>1700°F</v>
      </c>
      <c r="M10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s="642"/>
      <c r="H105" s="642"/>
      <c r="I105" s="642" t="str">
        <f>TEXT(UUTRangeTol[[#This Row],[TolMin]],SUBSTITUTE(UUTRangeTol[[#This Row],[TolResolution]],"1","0"))&amp;UUTRangeTol[[#This Row],[Unit]]</f>
        <v>-10.0°F</v>
      </c>
      <c r="J105" s="642" t="str">
        <f>TEXT(UUTRangeTol[[#This Row],[TolMax]],SUBSTITUTE(UUTRangeTol[[#This Row],[TolResolution]],"1","0"))&amp;UUTRangeTol[[#This Row],[Unit]]</f>
        <v>10.0°F</v>
      </c>
      <c r="K10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s="642" t="str">
        <f>UUTRangeTol[[#This Row],[RangeMax]]&amp;UUTRangeTol[[#This Row],[Unit]]</f>
        <v>1250°F</v>
      </c>
      <c r="M10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s="642"/>
      <c r="H106" s="642"/>
      <c r="I106" s="642" t="str">
        <f>TEXT(UUTRangeTol[[#This Row],[TolMin]],SUBSTITUTE(UUTRangeTol[[#This Row],[TolResolution]],"1","0"))&amp;UUTRangeTol[[#This Row],[Unit]]</f>
        <v>-25.0°F</v>
      </c>
      <c r="J106" s="642" t="str">
        <f>TEXT(UUTRangeTol[[#This Row],[TolMax]],SUBSTITUTE(UUTRangeTol[[#This Row],[TolResolution]],"1","0"))&amp;UUTRangeTol[[#This Row],[Unit]]</f>
        <v>25.0°F</v>
      </c>
      <c r="K10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s="642" t="str">
        <f>UUTRangeTol[[#This Row],[RangeMax]]&amp;UUTRangeTol[[#This Row],[Unit]]</f>
        <v>1400°F</v>
      </c>
      <c r="M10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s="642"/>
      <c r="H107" s="642"/>
      <c r="I107" s="642" t="str">
        <f>TEXT(UUTRangeTol[[#This Row],[TolMin]],SUBSTITUTE(UUTRangeTol[[#This Row],[TolResolution]],"1","0"))&amp;UUTRangeTol[[#This Row],[Unit]]</f>
        <v>-10.0°F</v>
      </c>
      <c r="J107" s="642" t="str">
        <f>TEXT(UUTRangeTol[[#This Row],[TolMax]],SUBSTITUTE(UUTRangeTol[[#This Row],[TolResolution]],"1","0"))&amp;UUTRangeTol[[#This Row],[Unit]]</f>
        <v>10.0°F</v>
      </c>
      <c r="K10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s="642" t="str">
        <f>UUTRangeTol[[#This Row],[RangeMax]]&amp;UUTRangeTol[[#This Row],[Unit]]</f>
        <v>1250°F</v>
      </c>
      <c r="M10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s="642"/>
      <c r="H108" s="642"/>
      <c r="I108" s="642" t="str">
        <f>TEXT(UUTRangeTol[[#This Row],[TolMin]],SUBSTITUTE(UUTRangeTol[[#This Row],[TolResolution]],"1","0"))&amp;UUTRangeTol[[#This Row],[Unit]]</f>
        <v>-25.0°F</v>
      </c>
      <c r="J108" s="642" t="str">
        <f>TEXT(UUTRangeTol[[#This Row],[TolMax]],SUBSTITUTE(UUTRangeTol[[#This Row],[TolResolution]],"1","0"))&amp;UUTRangeTol[[#This Row],[Unit]]</f>
        <v>25.0°F</v>
      </c>
      <c r="K10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s="642" t="str">
        <f>UUTRangeTol[[#This Row],[RangeMax]]&amp;UUTRangeTol[[#This Row],[Unit]]</f>
        <v>1400°F</v>
      </c>
      <c r="M10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s="642"/>
      <c r="H109" s="642"/>
      <c r="I109" s="642" t="str">
        <f>TEXT(UUTRangeTol[[#This Row],[TolMin]],SUBSTITUTE(UUTRangeTol[[#This Row],[TolResolution]],"1","0"))&amp;UUTRangeTol[[#This Row],[Unit]]</f>
        <v>-10.0°F</v>
      </c>
      <c r="J109" s="642" t="str">
        <f>TEXT(UUTRangeTol[[#This Row],[TolMax]],SUBSTITUTE(UUTRangeTol[[#This Row],[TolResolution]],"1","0"))&amp;UUTRangeTol[[#This Row],[Unit]]</f>
        <v>10.0°F</v>
      </c>
      <c r="K10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s="642" t="str">
        <f>UUTRangeTol[[#This Row],[RangeMax]]&amp;UUTRangeTol[[#This Row],[Unit]]</f>
        <v>1000°F</v>
      </c>
      <c r="M10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s="642"/>
      <c r="H110" s="642"/>
      <c r="I110" s="642" t="str">
        <f>TEXT(UUTRangeTol[[#This Row],[TolMin]],SUBSTITUTE(UUTRangeTol[[#This Row],[TolResolution]],"1","0"))&amp;UUTRangeTol[[#This Row],[Unit]]</f>
        <v>-25.0°F</v>
      </c>
      <c r="J110" s="642" t="str">
        <f>TEXT(UUTRangeTol[[#This Row],[TolMax]],SUBSTITUTE(UUTRangeTol[[#This Row],[TolResolution]],"1","0"))&amp;UUTRangeTol[[#This Row],[Unit]]</f>
        <v>25.0°F</v>
      </c>
      <c r="K1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s="642" t="str">
        <f>UUTRangeTol[[#This Row],[RangeMax]]&amp;UUTRangeTol[[#This Row],[Unit]]</f>
        <v>775°F</v>
      </c>
      <c r="M1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s="642"/>
      <c r="H111" s="642"/>
      <c r="I111" s="642" t="str">
        <f>TEXT(UUTRangeTol[[#This Row],[TolMin]],SUBSTITUTE(UUTRangeTol[[#This Row],[TolResolution]],"1","0"))&amp;UUTRangeTol[[#This Row],[Unit]]</f>
        <v>-10.0°F</v>
      </c>
      <c r="J111" s="642" t="str">
        <f>TEXT(UUTRangeTol[[#This Row],[TolMax]],SUBSTITUTE(UUTRangeTol[[#This Row],[TolResolution]],"1","0"))&amp;UUTRangeTol[[#This Row],[Unit]]</f>
        <v>10.0°F</v>
      </c>
      <c r="K1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s="642" t="str">
        <f>UUTRangeTol[[#This Row],[RangeMax]]&amp;UUTRangeTol[[#This Row],[Unit]]</f>
        <v>400°F</v>
      </c>
      <c r="M1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s="642"/>
      <c r="H112" s="642"/>
      <c r="I112" s="642" t="str">
        <f>TEXT(UUTRangeTol[[#This Row],[TolMin]],SUBSTITUTE(UUTRangeTol[[#This Row],[TolResolution]],"1","0"))&amp;UUTRangeTol[[#This Row],[Unit]]</f>
        <v>-15.0°F</v>
      </c>
      <c r="J112" s="642" t="str">
        <f>TEXT(UUTRangeTol[[#This Row],[TolMax]],SUBSTITUTE(UUTRangeTol[[#This Row],[TolResolution]],"1","0"))&amp;UUTRangeTol[[#This Row],[Unit]]</f>
        <v>15.0°F</v>
      </c>
      <c r="K1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s="642" t="str">
        <f>UUTRangeTol[[#This Row],[RangeMax]]&amp;UUTRangeTol[[#This Row],[Unit]]</f>
        <v>800°F</v>
      </c>
      <c r="M1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s="642"/>
      <c r="H113" s="642"/>
      <c r="I113" s="642" t="str">
        <f>TEXT(UUTRangeTol[[#This Row],[TolMin]],SUBSTITUTE(UUTRangeTol[[#This Row],[TolResolution]],"1","0"))&amp;UUTRangeTol[[#This Row],[Unit]]</f>
        <v>-10°F</v>
      </c>
      <c r="J113" s="642" t="str">
        <f>TEXT(UUTRangeTol[[#This Row],[TolMax]],SUBSTITUTE(UUTRangeTol[[#This Row],[TolResolution]],"1","0"))&amp;UUTRangeTol[[#This Row],[Unit]]</f>
        <v>10°F</v>
      </c>
      <c r="K1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s="642" t="str">
        <f>UUTRangeTol[[#This Row],[RangeMax]]&amp;UUTRangeTol[[#This Row],[Unit]]</f>
        <v>190°F</v>
      </c>
      <c r="M1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s="642"/>
      <c r="H114" s="642"/>
      <c r="I114" s="642" t="str">
        <f>TEXT(UUTRangeTol[[#This Row],[TolMin]],SUBSTITUTE(UUTRangeTol[[#This Row],[TolResolution]],"1","0"))&amp;UUTRangeTol[[#This Row],[Unit]]</f>
        <v>-15°F</v>
      </c>
      <c r="J114" s="642" t="str">
        <f>TEXT(UUTRangeTol[[#This Row],[TolMax]],SUBSTITUTE(UUTRangeTol[[#This Row],[TolResolution]],"1","0"))&amp;UUTRangeTol[[#This Row],[Unit]]</f>
        <v>15°F</v>
      </c>
      <c r="K1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s="642" t="str">
        <f>UUTRangeTol[[#This Row],[RangeMax]]&amp;UUTRangeTol[[#This Row],[Unit]]</f>
        <v>120°F</v>
      </c>
      <c r="M1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s="642"/>
      <c r="H115" s="642"/>
      <c r="I115" s="642" t="str">
        <f>TEXT(UUTRangeTol[[#This Row],[TolMin]],SUBSTITUTE(UUTRangeTol[[#This Row],[TolResolution]],"1","0"))&amp;UUTRangeTol[[#This Row],[Unit]]</f>
        <v>-15°F</v>
      </c>
      <c r="J115" s="642" t="str">
        <f>TEXT(UUTRangeTol[[#This Row],[TolMax]],SUBSTITUTE(UUTRangeTol[[#This Row],[TolResolution]],"1","0"))&amp;UUTRangeTol[[#This Row],[Unit]]</f>
        <v>15°F</v>
      </c>
      <c r="K1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s="642" t="str">
        <f>UUTRangeTol[[#This Row],[RangeMax]]&amp;UUTRangeTol[[#This Row],[Unit]]</f>
        <v>190°F</v>
      </c>
      <c r="M1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s="642"/>
      <c r="H116" s="642"/>
      <c r="I116" s="642" t="str">
        <f>TEXT(UUTRangeTol[[#This Row],[TolMin]],SUBSTITUTE(UUTRangeTol[[#This Row],[TolResolution]],"1","0"))&amp;UUTRangeTol[[#This Row],[Unit]]</f>
        <v>-15°F</v>
      </c>
      <c r="J116" s="642" t="str">
        <f>TEXT(UUTRangeTol[[#This Row],[TolMax]],SUBSTITUTE(UUTRangeTol[[#This Row],[TolResolution]],"1","0"))&amp;UUTRangeTol[[#This Row],[Unit]]</f>
        <v>15°F</v>
      </c>
      <c r="K1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s="642" t="str">
        <f>UUTRangeTol[[#This Row],[RangeMax]]&amp;UUTRangeTol[[#This Row],[Unit]]</f>
        <v>200°F</v>
      </c>
      <c r="M1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s="642"/>
      <c r="H117" s="642"/>
      <c r="I117" s="642" t="str">
        <f>TEXT(UUTRangeTol[[#This Row],[TolMin]],SUBSTITUTE(UUTRangeTol[[#This Row],[TolResolution]],"1","0"))&amp;UUTRangeTol[[#This Row],[Unit]]</f>
        <v>-10°F</v>
      </c>
      <c r="J117" s="642" t="str">
        <f>TEXT(UUTRangeTol[[#This Row],[TolMax]],SUBSTITUTE(UUTRangeTol[[#This Row],[TolResolution]],"1","0"))&amp;UUTRangeTol[[#This Row],[Unit]]</f>
        <v>10°F</v>
      </c>
      <c r="K1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s="642" t="str">
        <f>UUTRangeTol[[#This Row],[RangeMax]]&amp;UUTRangeTol[[#This Row],[Unit]]</f>
        <v>160°F</v>
      </c>
      <c r="M1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s="642"/>
      <c r="H118" s="642"/>
      <c r="I118" s="642" t="str">
        <f>TEXT(UUTRangeTol[[#This Row],[TolMin]],SUBSTITUTE(UUTRangeTol[[#This Row],[TolResolution]],"1","0"))&amp;UUTRangeTol[[#This Row],[Unit]]</f>
        <v>-5°F</v>
      </c>
      <c r="J118" s="642" t="str">
        <f>TEXT(UUTRangeTol[[#This Row],[TolMax]],SUBSTITUTE(UUTRangeTol[[#This Row],[TolResolution]],"1","0"))&amp;UUTRangeTol[[#This Row],[Unit]]</f>
        <v>5°F</v>
      </c>
      <c r="K1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s="642" t="str">
        <f>UUTRangeTol[[#This Row],[RangeMax]]&amp;UUTRangeTol[[#This Row],[Unit]]</f>
        <v>210°F</v>
      </c>
      <c r="M1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s="642"/>
      <c r="H119" s="642"/>
      <c r="I119" s="642" t="str">
        <f>TEXT(UUTRangeTol[[#This Row],[TolMin]],SUBSTITUTE(UUTRangeTol[[#This Row],[TolResolution]],"1","0"))&amp;UUTRangeTol[[#This Row],[Unit]]</f>
        <v>-5°F</v>
      </c>
      <c r="J119" s="642" t="str">
        <f>TEXT(UUTRangeTol[[#This Row],[TolMax]],SUBSTITUTE(UUTRangeTol[[#This Row],[TolResolution]],"1","0"))&amp;UUTRangeTol[[#This Row],[Unit]]</f>
        <v>5°F</v>
      </c>
      <c r="K1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s="642" t="str">
        <f>UUTRangeTol[[#This Row],[RangeMax]]&amp;UUTRangeTol[[#This Row],[Unit]]</f>
        <v>200°F</v>
      </c>
      <c r="M1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s="642"/>
      <c r="H120" s="642"/>
      <c r="I120" s="642" t="str">
        <f>TEXT(UUTRangeTol[[#This Row],[TolMin]],SUBSTITUTE(UUTRangeTol[[#This Row],[TolResolution]],"1","0"))&amp;UUTRangeTol[[#This Row],[Unit]]</f>
        <v>0°F</v>
      </c>
      <c r="J120" s="642" t="str">
        <f>TEXT(UUTRangeTol[[#This Row],[TolMax]],SUBSTITUTE(UUTRangeTol[[#This Row],[TolResolution]],"1","0"))&amp;UUTRangeTol[[#This Row],[Unit]]</f>
        <v>150°F</v>
      </c>
      <c r="K1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s="642" t="str">
        <f>UUTRangeTol[[#This Row],[RangeMax]]&amp;UUTRangeTol[[#This Row],[Unit]]</f>
        <v>150°F</v>
      </c>
      <c r="M1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s="642"/>
      <c r="H121" s="642"/>
      <c r="I121" s="642" t="str">
        <f>TEXT(UUTRangeTol[[#This Row],[TolMin]],SUBSTITUTE(UUTRangeTol[[#This Row],[TolResolution]],"1","0"))&amp;UUTRangeTol[[#This Row],[Unit]]</f>
        <v>-3°C</v>
      </c>
      <c r="J121" s="642" t="str">
        <f>TEXT(UUTRangeTol[[#This Row],[TolMax]],SUBSTITUTE(UUTRangeTol[[#This Row],[TolResolution]],"1","0"))&amp;UUTRangeTol[[#This Row],[Unit]]</f>
        <v>3°C</v>
      </c>
      <c r="K1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s="642" t="str">
        <f>UUTRangeTol[[#This Row],[RangeMax]]&amp;UUTRangeTol[[#This Row],[Unit]]</f>
        <v>100°C</v>
      </c>
      <c r="M1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s="642"/>
      <c r="H122" s="642"/>
      <c r="I122" s="642" t="str">
        <f>TEXT(UUTRangeTol[[#This Row],[TolMin]],SUBSTITUTE(UUTRangeTol[[#This Row],[TolResolution]],"1","0"))&amp;UUTRangeTol[[#This Row],[Unit]]</f>
        <v>-10.0°F</v>
      </c>
      <c r="J122" s="642" t="str">
        <f>TEXT(UUTRangeTol[[#This Row],[TolMax]],SUBSTITUTE(UUTRangeTol[[#This Row],[TolResolution]],"1","0"))&amp;UUTRangeTol[[#This Row],[Unit]]</f>
        <v>10.0°F</v>
      </c>
      <c r="K1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s="642" t="str">
        <f>UUTRangeTol[[#This Row],[RangeMax]]&amp;UUTRangeTol[[#This Row],[Unit]]</f>
        <v>350°F</v>
      </c>
      <c r="M1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s="642"/>
      <c r="H123" s="642"/>
      <c r="I123" s="642" t="str">
        <f>TEXT(UUTRangeTol[[#This Row],[TolMin]],SUBSTITUTE(UUTRangeTol[[#This Row],[TolResolution]],"1","0"))&amp;UUTRangeTol[[#This Row],[Unit]]</f>
        <v>0°F</v>
      </c>
      <c r="J123" s="642" t="str">
        <f>TEXT(UUTRangeTol[[#This Row],[TolMax]],SUBSTITUTE(UUTRangeTol[[#This Row],[TolResolution]],"1","0"))&amp;UUTRangeTol[[#This Row],[Unit]]</f>
        <v>0°F</v>
      </c>
      <c r="K1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s="642" t="str">
        <f>UUTRangeTol[[#This Row],[RangeMax]]&amp;UUTRangeTol[[#This Row],[Unit]]</f>
        <v>0°F</v>
      </c>
      <c r="M1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s="642"/>
      <c r="H124" s="642"/>
      <c r="I124" s="642" t="str">
        <f>TEXT(UUTRangeTol[[#This Row],[TolMin]],SUBSTITUTE(UUTRangeTol[[#This Row],[TolResolution]],"1","0"))&amp;UUTRangeTol[[#This Row],[Unit]]</f>
        <v>0°F</v>
      </c>
      <c r="J124" s="642" t="str">
        <f>TEXT(UUTRangeTol[[#This Row],[TolMax]],SUBSTITUTE(UUTRangeTol[[#This Row],[TolResolution]],"1","0"))&amp;UUTRangeTol[[#This Row],[Unit]]</f>
        <v>0°F</v>
      </c>
      <c r="K12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s="642" t="str">
        <f>UUTRangeTol[[#This Row],[RangeMax]]&amp;UUTRangeTol[[#This Row],[Unit]]</f>
        <v>0°F</v>
      </c>
      <c r="M12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s="642"/>
      <c r="H125" s="642"/>
      <c r="I125" s="642" t="str">
        <f>TEXT(UUTRangeTol[[#This Row],[TolMin]],SUBSTITUTE(UUTRangeTol[[#This Row],[TolResolution]],"1","0"))&amp;UUTRangeTol[[#This Row],[Unit]]</f>
        <v>-10.0°F</v>
      </c>
      <c r="J125" s="642" t="str">
        <f>TEXT(UUTRangeTol[[#This Row],[TolMax]],SUBSTITUTE(UUTRangeTol[[#This Row],[TolResolution]],"1","0"))&amp;UUTRangeTol[[#This Row],[Unit]]</f>
        <v>10.0°F</v>
      </c>
      <c r="K12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s="642" t="str">
        <f>UUTRangeTol[[#This Row],[RangeMax]]&amp;UUTRangeTol[[#This Row],[Unit]]</f>
        <v>350°F</v>
      </c>
      <c r="M12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s="642"/>
      <c r="H126" s="642"/>
      <c r="I126" s="642" t="str">
        <f>TEXT(UUTRangeTol[[#This Row],[TolMin]],SUBSTITUTE(UUTRangeTol[[#This Row],[TolResolution]],"1","0"))&amp;UUTRangeTol[[#This Row],[Unit]]</f>
        <v>-10.0°F</v>
      </c>
      <c r="J126" s="642" t="str">
        <f>TEXT(UUTRangeTol[[#This Row],[TolMax]],SUBSTITUTE(UUTRangeTol[[#This Row],[TolResolution]],"1","0"))&amp;UUTRangeTol[[#This Row],[Unit]]</f>
        <v>10.0°F</v>
      </c>
      <c r="K12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s="642" t="str">
        <f>UUTRangeTol[[#This Row],[RangeMax]]&amp;UUTRangeTol[[#This Row],[Unit]]</f>
        <v>270°F</v>
      </c>
      <c r="M12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s="642"/>
      <c r="H127" s="642"/>
      <c r="I127" s="642" t="str">
        <f>TEXT(UUTRangeTol[[#This Row],[TolMin]],SUBSTITUTE(UUTRangeTol[[#This Row],[TolResolution]],"1","0"))&amp;UUTRangeTol[[#This Row],[Unit]]</f>
        <v>-10.0°F</v>
      </c>
      <c r="J127" s="642" t="str">
        <f>TEXT(UUTRangeTol[[#This Row],[TolMax]],SUBSTITUTE(UUTRangeTol[[#This Row],[TolResolution]],"1","0"))&amp;UUTRangeTol[[#This Row],[Unit]]</f>
        <v>10.0°F</v>
      </c>
      <c r="K12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s="642" t="str">
        <f>UUTRangeTol[[#This Row],[RangeMax]]&amp;UUTRangeTol[[#This Row],[Unit]]</f>
        <v>480°F</v>
      </c>
      <c r="M12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s="642"/>
      <c r="H128" s="642"/>
      <c r="I128" s="642" t="str">
        <f>TEXT(UUTRangeTol[[#This Row],[TolMin]],SUBSTITUTE(UUTRangeTol[[#This Row],[TolResolution]],"1","0"))&amp;UUTRangeTol[[#This Row],[Unit]]</f>
        <v>-10.0°F</v>
      </c>
      <c r="J128" s="642" t="str">
        <f>TEXT(UUTRangeTol[[#This Row],[TolMax]],SUBSTITUTE(UUTRangeTol[[#This Row],[TolResolution]],"1","0"))&amp;UUTRangeTol[[#This Row],[Unit]]</f>
        <v>10.0°F</v>
      </c>
      <c r="K12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s="642" t="str">
        <f>UUTRangeTol[[#This Row],[RangeMax]]&amp;UUTRangeTol[[#This Row],[Unit]]</f>
        <v>300°F</v>
      </c>
      <c r="M12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s="642"/>
      <c r="H129" s="642"/>
      <c r="I129" s="642" t="str">
        <f>TEXT(UUTRangeTol[[#This Row],[TolMin]],SUBSTITUTE(UUTRangeTol[[#This Row],[TolResolution]],"1","0"))&amp;UUTRangeTol[[#This Row],[Unit]]</f>
        <v>-5°F</v>
      </c>
      <c r="J129" s="642" t="str">
        <f>TEXT(UUTRangeTol[[#This Row],[TolMax]],SUBSTITUTE(UUTRangeTol[[#This Row],[TolResolution]],"1","0"))&amp;UUTRangeTol[[#This Row],[Unit]]</f>
        <v>5°F</v>
      </c>
      <c r="K12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s="642" t="str">
        <f>UUTRangeTol[[#This Row],[RangeMax]]&amp;UUTRangeTol[[#This Row],[Unit]]</f>
        <v>170°F</v>
      </c>
      <c r="M12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s="642"/>
      <c r="H130" s="642"/>
      <c r="I130" s="642" t="str">
        <f>TEXT(UUTRangeTol[[#This Row],[TolMin]],SUBSTITUTE(UUTRangeTol[[#This Row],[TolResolution]],"1","0"))&amp;UUTRangeTol[[#This Row],[Unit]]</f>
        <v>-10°F</v>
      </c>
      <c r="J130" s="642" t="str">
        <f>TEXT(UUTRangeTol[[#This Row],[TolMax]],SUBSTITUTE(UUTRangeTol[[#This Row],[TolResolution]],"1","0"))&amp;UUTRangeTol[[#This Row],[Unit]]</f>
        <v>10°F</v>
      </c>
      <c r="K13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s="642" t="str">
        <f>UUTRangeTol[[#This Row],[RangeMax]]&amp;UUTRangeTol[[#This Row],[Unit]]</f>
        <v>150°F</v>
      </c>
      <c r="M13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s="642"/>
      <c r="H131" s="642"/>
      <c r="I131" s="642" t="str">
        <f>TEXT(UUTRangeTol[[#This Row],[TolMin]],SUBSTITUTE(UUTRangeTol[[#This Row],[TolResolution]],"1","0"))&amp;UUTRangeTol[[#This Row],[Unit]]</f>
        <v>-15.0°F</v>
      </c>
      <c r="J131" s="642" t="str">
        <f>TEXT(UUTRangeTol[[#This Row],[TolMax]],SUBSTITUTE(UUTRangeTol[[#This Row],[TolResolution]],"1","0"))&amp;UUTRangeTol[[#This Row],[Unit]]</f>
        <v>15.0°F</v>
      </c>
      <c r="K13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s="642" t="str">
        <f>UUTRangeTol[[#This Row],[RangeMax]]&amp;UUTRangeTol[[#This Row],[Unit]]</f>
        <v>2200°F</v>
      </c>
      <c r="M13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s="642"/>
      <c r="H132" s="642"/>
      <c r="I132" s="642" t="str">
        <f>TEXT(UUTRangeTol[[#This Row],[TolMin]],SUBSTITUTE(UUTRangeTol[[#This Row],[TolResolution]],"1","0"))&amp;UUTRangeTol[[#This Row],[Unit]]</f>
        <v>-10.0°F</v>
      </c>
      <c r="J132" s="642" t="str">
        <f>TEXT(UUTRangeTol[[#This Row],[TolMax]],SUBSTITUTE(UUTRangeTol[[#This Row],[TolResolution]],"1","0"))&amp;UUTRangeTol[[#This Row],[Unit]]</f>
        <v>10.0°F</v>
      </c>
      <c r="K13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s="642" t="str">
        <f>UUTRangeTol[[#This Row],[RangeMax]]&amp;UUTRangeTol[[#This Row],[Unit]]</f>
        <v>1600°F</v>
      </c>
      <c r="M13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s="642"/>
      <c r="H133" s="642"/>
      <c r="I133" s="642" t="str">
        <f>TEXT(UUTRangeTol[[#This Row],[TolMin]],SUBSTITUTE(UUTRangeTol[[#This Row],[TolResolution]],"1","0"))&amp;UUTRangeTol[[#This Row],[Unit]]</f>
        <v>-15.0°F</v>
      </c>
      <c r="J133" s="642" t="str">
        <f>TEXT(UUTRangeTol[[#This Row],[TolMax]],SUBSTITUTE(UUTRangeTol[[#This Row],[TolResolution]],"1","0"))&amp;UUTRangeTol[[#This Row],[Unit]]</f>
        <v>15.0°F</v>
      </c>
      <c r="K13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s="642" t="str">
        <f>UUTRangeTol[[#This Row],[RangeMax]]&amp;UUTRangeTol[[#This Row],[Unit]]</f>
        <v>2150°F</v>
      </c>
      <c r="M13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s="642"/>
      <c r="H134" s="642"/>
      <c r="I134" s="642" t="str">
        <f>TEXT(UUTRangeTol[[#This Row],[TolMin]],SUBSTITUTE(UUTRangeTol[[#This Row],[TolResolution]],"1","0"))&amp;UUTRangeTol[[#This Row],[Unit]]</f>
        <v>-15.0°F</v>
      </c>
      <c r="J134" s="642" t="str">
        <f>TEXT(UUTRangeTol[[#This Row],[TolMax]],SUBSTITUTE(UUTRangeTol[[#This Row],[TolResolution]],"1","0"))&amp;UUTRangeTol[[#This Row],[Unit]]</f>
        <v>15.0°F</v>
      </c>
      <c r="K13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s="642" t="str">
        <f>UUTRangeTol[[#This Row],[RangeMax]]&amp;UUTRangeTol[[#This Row],[Unit]]</f>
        <v>125°F</v>
      </c>
      <c r="M13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s="642"/>
      <c r="H135" s="642"/>
      <c r="I135" s="642" t="str">
        <f>TEXT(UUTRangeTol[[#This Row],[TolMin]],SUBSTITUTE(UUTRangeTol[[#This Row],[TolResolution]],"1","0"))&amp;UUTRangeTol[[#This Row],[Unit]]</f>
        <v>-10.0°F</v>
      </c>
      <c r="J135" s="642" t="str">
        <f>TEXT(UUTRangeTol[[#This Row],[TolMax]],SUBSTITUTE(UUTRangeTol[[#This Row],[TolResolution]],"1","0"))&amp;UUTRangeTol[[#This Row],[Unit]]</f>
        <v>10.0°F</v>
      </c>
      <c r="K13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s="642" t="str">
        <f>UUTRangeTol[[#This Row],[RangeMax]]&amp;UUTRangeTol[[#This Row],[Unit]]</f>
        <v>1055°F</v>
      </c>
      <c r="M13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s="642"/>
      <c r="H136" s="642"/>
      <c r="I136" s="642" t="str">
        <f>TEXT(UUTRangeTol[[#This Row],[TolMin]],SUBSTITUTE(UUTRangeTol[[#This Row],[TolResolution]],"1","0"))&amp;UUTRangeTol[[#This Row],[Unit]]</f>
        <v>-10.0°F</v>
      </c>
      <c r="J136" s="642" t="str">
        <f>TEXT(UUTRangeTol[[#This Row],[TolMax]],SUBSTITUTE(UUTRangeTol[[#This Row],[TolResolution]],"1","0"))&amp;UUTRangeTol[[#This Row],[Unit]]</f>
        <v>10.0°F</v>
      </c>
      <c r="K13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s="642" t="str">
        <f>UUTRangeTol[[#This Row],[RangeMax]]&amp;UUTRangeTol[[#This Row],[Unit]]</f>
        <v>1080°F</v>
      </c>
      <c r="M13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s="642"/>
      <c r="H137" s="642"/>
      <c r="I137" s="642" t="str">
        <f>TEXT(UUTRangeTol[[#This Row],[TolMin]],SUBSTITUTE(UUTRangeTol[[#This Row],[TolResolution]],"1","0"))&amp;UUTRangeTol[[#This Row],[Unit]]</f>
        <v>-5.0°F</v>
      </c>
      <c r="J137" s="642" t="str">
        <f>TEXT(UUTRangeTol[[#This Row],[TolMax]],SUBSTITUTE(UUTRangeTol[[#This Row],[TolResolution]],"1","0"))&amp;UUTRangeTol[[#This Row],[Unit]]</f>
        <v>5.0°F</v>
      </c>
      <c r="K13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s="642" t="str">
        <f>UUTRangeTol[[#This Row],[RangeMax]]&amp;UUTRangeTol[[#This Row],[Unit]]</f>
        <v>400°F</v>
      </c>
      <c r="M13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s="642"/>
      <c r="H138" s="642"/>
      <c r="I138" s="642" t="str">
        <f>TEXT(UUTRangeTol[[#This Row],[TolMin]],SUBSTITUTE(UUTRangeTol[[#This Row],[TolResolution]],"1","0"))&amp;UUTRangeTol[[#This Row],[Unit]]</f>
        <v>-15.0°F</v>
      </c>
      <c r="J138" s="642" t="str">
        <f>TEXT(UUTRangeTol[[#This Row],[TolMax]],SUBSTITUTE(UUTRangeTol[[#This Row],[TolResolution]],"1","0"))&amp;UUTRangeTol[[#This Row],[Unit]]</f>
        <v>15.0°F</v>
      </c>
      <c r="K13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s="642" t="str">
        <f>UUTRangeTol[[#This Row],[RangeMax]]&amp;UUTRangeTol[[#This Row],[Unit]]</f>
        <v>800°F</v>
      </c>
      <c r="M13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s="642"/>
      <c r="H139" s="642"/>
      <c r="I139" s="642" t="str">
        <f>TEXT(UUTRangeTol[[#This Row],[TolMin]],SUBSTITUTE(UUTRangeTol[[#This Row],[TolResolution]],"1","0"))&amp;UUTRangeTol[[#This Row],[Unit]]</f>
        <v>-5.0°F</v>
      </c>
      <c r="J139" s="642" t="str">
        <f>TEXT(UUTRangeTol[[#This Row],[TolMax]],SUBSTITUTE(UUTRangeTol[[#This Row],[TolResolution]],"1","0"))&amp;UUTRangeTol[[#This Row],[Unit]]</f>
        <v>5.0°F</v>
      </c>
      <c r="K13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s="642" t="str">
        <f>UUTRangeTol[[#This Row],[RangeMax]]&amp;UUTRangeTol[[#This Row],[Unit]]</f>
        <v>400°F</v>
      </c>
      <c r="M13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s="642"/>
      <c r="H140" s="642"/>
      <c r="I140" s="642" t="str">
        <f>TEXT(UUTRangeTol[[#This Row],[TolMin]],SUBSTITUTE(UUTRangeTol[[#This Row],[TolResolution]],"1","0"))&amp;UUTRangeTol[[#This Row],[Unit]]</f>
        <v>-15.0°F</v>
      </c>
      <c r="J140" s="642" t="str">
        <f>TEXT(UUTRangeTol[[#This Row],[TolMax]],SUBSTITUTE(UUTRangeTol[[#This Row],[TolResolution]],"1","0"))&amp;UUTRangeTol[[#This Row],[Unit]]</f>
        <v>15.0°F</v>
      </c>
      <c r="K14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s="642" t="str">
        <f>UUTRangeTol[[#This Row],[RangeMax]]&amp;UUTRangeTol[[#This Row],[Unit]]</f>
        <v>700°F</v>
      </c>
      <c r="M14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s="642"/>
      <c r="H141" s="642"/>
      <c r="I141" s="642" t="str">
        <f>TEXT(UUTRangeTol[[#This Row],[TolMin]],SUBSTITUTE(UUTRangeTol[[#This Row],[TolResolution]],"1","0"))&amp;UUTRangeTol[[#This Row],[Unit]]</f>
        <v>-5.0°F</v>
      </c>
      <c r="J141" s="642" t="str">
        <f>TEXT(UUTRangeTol[[#This Row],[TolMax]],SUBSTITUTE(UUTRangeTol[[#This Row],[TolResolution]],"1","0"))&amp;UUTRangeTol[[#This Row],[Unit]]</f>
        <v>5.0°F</v>
      </c>
      <c r="K14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s="642" t="str">
        <f>UUTRangeTol[[#This Row],[RangeMax]]&amp;UUTRangeTol[[#This Row],[Unit]]</f>
        <v>400°F</v>
      </c>
      <c r="M14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s="642"/>
      <c r="H142" s="642"/>
      <c r="I142" s="642" t="str">
        <f>TEXT(UUTRangeTol[[#This Row],[TolMin]],SUBSTITUTE(UUTRangeTol[[#This Row],[TolResolution]],"1","0"))&amp;UUTRangeTol[[#This Row],[Unit]]</f>
        <v>-5.0°F</v>
      </c>
      <c r="J142" s="642" t="str">
        <f>TEXT(UUTRangeTol[[#This Row],[TolMax]],SUBSTITUTE(UUTRangeTol[[#This Row],[TolResolution]],"1","0"))&amp;UUTRangeTol[[#This Row],[Unit]]</f>
        <v>5.0°F</v>
      </c>
      <c r="K14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s="642" t="str">
        <f>UUTRangeTol[[#This Row],[RangeMax]]&amp;UUTRangeTol[[#This Row],[Unit]]</f>
        <v>375°F</v>
      </c>
      <c r="M14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s="642"/>
      <c r="H143" s="642"/>
      <c r="I143" s="642" t="str">
        <f>TEXT(UUTRangeTol[[#This Row],[TolMin]],SUBSTITUTE(UUTRangeTol[[#This Row],[TolResolution]],"1","0"))&amp;UUTRangeTol[[#This Row],[Unit]]</f>
        <v>-5.0°F</v>
      </c>
      <c r="J143" s="642" t="str">
        <f>TEXT(UUTRangeTol[[#This Row],[TolMax]],SUBSTITUTE(UUTRangeTol[[#This Row],[TolResolution]],"1","0"))&amp;UUTRangeTol[[#This Row],[Unit]]</f>
        <v>5.0°F</v>
      </c>
      <c r="K14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s="642" t="str">
        <f>UUTRangeTol[[#This Row],[RangeMax]]&amp;UUTRangeTol[[#This Row],[Unit]]</f>
        <v>400°F</v>
      </c>
      <c r="M14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s="642"/>
      <c r="H144" s="642"/>
      <c r="I144" s="642" t="str">
        <f>TEXT(UUTRangeTol[[#This Row],[TolMin]],SUBSTITUTE(UUTRangeTol[[#This Row],[TolResolution]],"1","0"))&amp;UUTRangeTol[[#This Row],[Unit]]</f>
        <v>-10°F</v>
      </c>
      <c r="J144" s="642" t="str">
        <f>TEXT(UUTRangeTol[[#This Row],[TolMax]],SUBSTITUTE(UUTRangeTol[[#This Row],[TolResolution]],"1","0"))&amp;UUTRangeTol[[#This Row],[Unit]]</f>
        <v>10°F</v>
      </c>
      <c r="K14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s="642" t="str">
        <f>UUTRangeTol[[#This Row],[RangeMax]]&amp;UUTRangeTol[[#This Row],[Unit]]</f>
        <v>130°F</v>
      </c>
      <c r="M14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s="642"/>
      <c r="H145" s="642"/>
      <c r="I145" s="642" t="str">
        <f>TEXT(UUTRangeTol[[#This Row],[TolMin]],SUBSTITUTE(UUTRangeTol[[#This Row],[TolResolution]],"1","0"))&amp;UUTRangeTol[[#This Row],[Unit]]</f>
        <v>-25°F</v>
      </c>
      <c r="J145" s="642" t="str">
        <f>TEXT(UUTRangeTol[[#This Row],[TolMax]],SUBSTITUTE(UUTRangeTol[[#This Row],[TolResolution]],"1","0"))&amp;UUTRangeTol[[#This Row],[Unit]]</f>
        <v>25°F</v>
      </c>
      <c r="K14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s="642" t="str">
        <f>UUTRangeTol[[#This Row],[RangeMax]]&amp;UUTRangeTol[[#This Row],[Unit]]</f>
        <v>165°F</v>
      </c>
      <c r="M14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s="642"/>
      <c r="H146" s="642"/>
      <c r="I146" s="642" t="str">
        <f>TEXT(UUTRangeTol[[#This Row],[TolMin]],SUBSTITUTE(UUTRangeTol[[#This Row],[TolResolution]],"1","0"))&amp;UUTRangeTol[[#This Row],[Unit]]</f>
        <v>-10.0°F</v>
      </c>
      <c r="J146" s="642" t="str">
        <f>TEXT(UUTRangeTol[[#This Row],[TolMax]],SUBSTITUTE(UUTRangeTol[[#This Row],[TolResolution]],"1","0"))&amp;UUTRangeTol[[#This Row],[Unit]]</f>
        <v>10.0°F</v>
      </c>
      <c r="K14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s="642" t="str">
        <f>UUTRangeTol[[#This Row],[RangeMax]]&amp;UUTRangeTol[[#This Row],[Unit]]</f>
        <v>1900°F</v>
      </c>
      <c r="M14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s="642"/>
      <c r="H147" s="642"/>
      <c r="I147" s="642" t="str">
        <f>TEXT(UUTRangeTol[[#This Row],[TolMin]],SUBSTITUTE(UUTRangeTol[[#This Row],[TolResolution]],"1","0"))&amp;UUTRangeTol[[#This Row],[Unit]]</f>
        <v>-5°F</v>
      </c>
      <c r="J147" s="642" t="str">
        <f>TEXT(UUTRangeTol[[#This Row],[TolMax]],SUBSTITUTE(UUTRangeTol[[#This Row],[TolResolution]],"1","0"))&amp;UUTRangeTol[[#This Row],[Unit]]</f>
        <v>5°F</v>
      </c>
      <c r="K14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s="642" t="str">
        <f>UUTRangeTol[[#This Row],[RangeMax]]&amp;UUTRangeTol[[#This Row],[Unit]]</f>
        <v>145°F</v>
      </c>
      <c r="M14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s="642"/>
      <c r="H148" s="642"/>
      <c r="I148" s="642" t="str">
        <f>TEXT(UUTRangeTol[[#This Row],[TolMin]],SUBSTITUTE(UUTRangeTol[[#This Row],[TolResolution]],"1","0"))&amp;UUTRangeTol[[#This Row],[Unit]]</f>
        <v>-10°F</v>
      </c>
      <c r="J148" s="642" t="str">
        <f>TEXT(UUTRangeTol[[#This Row],[TolMax]],SUBSTITUTE(UUTRangeTol[[#This Row],[TolResolution]],"1","0"))&amp;UUTRangeTol[[#This Row],[Unit]]</f>
        <v>10°F</v>
      </c>
      <c r="K14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s="642" t="str">
        <f>UUTRangeTol[[#This Row],[RangeMax]]&amp;UUTRangeTol[[#This Row],[Unit]]</f>
        <v>190°F</v>
      </c>
      <c r="M14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s="642"/>
      <c r="H149" s="642"/>
      <c r="I149" s="642" t="str">
        <f>TEXT(UUTRangeTol[[#This Row],[TolMin]],SUBSTITUTE(UUTRangeTol[[#This Row],[TolResolution]],"1","0"))&amp;UUTRangeTol[[#This Row],[Unit]]</f>
        <v>-10°F</v>
      </c>
      <c r="J149" s="642" t="str">
        <f>TEXT(UUTRangeTol[[#This Row],[TolMax]],SUBSTITUTE(UUTRangeTol[[#This Row],[TolResolution]],"1","0"))&amp;UUTRangeTol[[#This Row],[Unit]]</f>
        <v>10°F</v>
      </c>
      <c r="K14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s="642" t="str">
        <f>UUTRangeTol[[#This Row],[RangeMax]]&amp;UUTRangeTol[[#This Row],[Unit]]</f>
        <v>375°F</v>
      </c>
      <c r="M14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s="642"/>
      <c r="H150" s="642"/>
      <c r="I150" s="642" t="str">
        <f>TEXT(UUTRangeTol[[#This Row],[TolMin]],SUBSTITUTE(UUTRangeTol[[#This Row],[TolResolution]],"1","0"))&amp;UUTRangeTol[[#This Row],[Unit]]</f>
        <v>-0.5°F</v>
      </c>
      <c r="J150" s="642" t="str">
        <f>TEXT(UUTRangeTol[[#This Row],[TolMax]],SUBSTITUTE(UUTRangeTol[[#This Row],[TolResolution]],"1","0"))&amp;UUTRangeTol[[#This Row],[Unit]]</f>
        <v>0.5°F</v>
      </c>
      <c r="K15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s="642" t="str">
        <f>UUTRangeTol[[#This Row],[RangeMax]]&amp;UUTRangeTol[[#This Row],[Unit]]</f>
        <v>120°F</v>
      </c>
      <c r="M15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s="642"/>
      <c r="H151" s="642"/>
      <c r="I151" s="642" t="str">
        <f>TEXT(UUTRangeTol[[#This Row],[TolMin]],SUBSTITUTE(UUTRangeTol[[#This Row],[TolResolution]],"1","0"))&amp;UUTRangeTol[[#This Row],[Unit]]</f>
        <v>-10°F</v>
      </c>
      <c r="J151" s="642" t="str">
        <f>TEXT(UUTRangeTol[[#This Row],[TolMax]],SUBSTITUTE(UUTRangeTol[[#This Row],[TolResolution]],"1","0"))&amp;UUTRangeTol[[#This Row],[Unit]]</f>
        <v>10°F</v>
      </c>
      <c r="K15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s="642" t="str">
        <f>UUTRangeTol[[#This Row],[RangeMax]]&amp;UUTRangeTol[[#This Row],[Unit]]</f>
        <v>500°F</v>
      </c>
      <c r="M15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s="642"/>
      <c r="H152" s="642"/>
      <c r="I152" s="642" t="str">
        <f>TEXT(UUTRangeTol[[#This Row],[TolMin]],SUBSTITUTE(UUTRangeTol[[#This Row],[TolResolution]],"1","0"))&amp;UUTRangeTol[[#This Row],[Unit]]</f>
        <v>-5.0°F</v>
      </c>
      <c r="J152" s="642" t="str">
        <f>TEXT(UUTRangeTol[[#This Row],[TolMax]],SUBSTITUTE(UUTRangeTol[[#This Row],[TolResolution]],"1","0"))&amp;UUTRangeTol[[#This Row],[Unit]]</f>
        <v>10.0°F</v>
      </c>
      <c r="K15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s="642" t="str">
        <f>UUTRangeTol[[#This Row],[RangeMax]]&amp;UUTRangeTol[[#This Row],[Unit]]</f>
        <v>400°F</v>
      </c>
      <c r="M15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s="642"/>
      <c r="H153" s="642"/>
      <c r="I153" s="642" t="str">
        <f>TEXT(UUTRangeTol[[#This Row],[TolMin]],SUBSTITUTE(UUTRangeTol[[#This Row],[TolResolution]],"1","0"))&amp;UUTRangeTol[[#This Row],[Unit]]</f>
        <v>-10°F</v>
      </c>
      <c r="J153" s="642" t="str">
        <f>TEXT(UUTRangeTol[[#This Row],[TolMax]],SUBSTITUTE(UUTRangeTol[[#This Row],[TolResolution]],"1","0"))&amp;UUTRangeTol[[#This Row],[Unit]]</f>
        <v>10°F</v>
      </c>
      <c r="K15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s="642" t="str">
        <f>UUTRangeTol[[#This Row],[RangeMax]]&amp;UUTRangeTol[[#This Row],[Unit]]</f>
        <v>375°F</v>
      </c>
      <c r="M15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s="642"/>
      <c r="H154" s="642"/>
      <c r="I154" s="642" t="str">
        <f>TEXT(UUTRangeTol[[#This Row],[TolMin]],SUBSTITUTE(UUTRangeTol[[#This Row],[TolResolution]],"1","0"))&amp;UUTRangeTol[[#This Row],[Unit]]</f>
        <v>-10°F</v>
      </c>
      <c r="J154" s="642" t="str">
        <f>TEXT(UUTRangeTol[[#This Row],[TolMax]],SUBSTITUTE(UUTRangeTol[[#This Row],[TolResolution]],"1","0"))&amp;UUTRangeTol[[#This Row],[Unit]]</f>
        <v>10°F</v>
      </c>
      <c r="K15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s="642" t="str">
        <f>UUTRangeTol[[#This Row],[RangeMax]]&amp;UUTRangeTol[[#This Row],[Unit]]</f>
        <v>500°F</v>
      </c>
      <c r="M15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s="642"/>
      <c r="H155" s="642"/>
      <c r="I155" s="642" t="str">
        <f>TEXT(UUTRangeTol[[#This Row],[TolMin]],SUBSTITUTE(UUTRangeTol[[#This Row],[TolResolution]],"1","0"))&amp;UUTRangeTol[[#This Row],[Unit]]</f>
        <v>-10°F</v>
      </c>
      <c r="J155" s="642" t="str">
        <f>TEXT(UUTRangeTol[[#This Row],[TolMax]],SUBSTITUTE(UUTRangeTol[[#This Row],[TolResolution]],"1","0"))&amp;UUTRangeTol[[#This Row],[Unit]]</f>
        <v>10°F</v>
      </c>
      <c r="K15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s="642" t="str">
        <f>UUTRangeTol[[#This Row],[RangeMax]]&amp;UUTRangeTol[[#This Row],[Unit]]</f>
        <v>500°F</v>
      </c>
      <c r="M15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s="642"/>
      <c r="H156" s="642"/>
      <c r="I156" s="642" t="str">
        <f>TEXT(UUTRangeTol[[#This Row],[TolMin]],SUBSTITUTE(UUTRangeTol[[#This Row],[TolResolution]],"1","0"))&amp;UUTRangeTol[[#This Row],[Unit]]</f>
        <v>-10°F</v>
      </c>
      <c r="J156" s="642" t="str">
        <f>TEXT(UUTRangeTol[[#This Row],[TolMax]],SUBSTITUTE(UUTRangeTol[[#This Row],[TolResolution]],"1","0"))&amp;UUTRangeTol[[#This Row],[Unit]]</f>
        <v>10°F</v>
      </c>
      <c r="K15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s="642" t="str">
        <f>UUTRangeTol[[#This Row],[RangeMax]]&amp;UUTRangeTol[[#This Row],[Unit]]</f>
        <v>275°F</v>
      </c>
      <c r="M15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s="642"/>
      <c r="H157" s="642"/>
      <c r="I157" s="642" t="str">
        <f>TEXT(UUTRangeTol[[#This Row],[TolMin]],SUBSTITUTE(UUTRangeTol[[#This Row],[TolResolution]],"1","0"))&amp;UUTRangeTol[[#This Row],[Unit]]</f>
        <v>-10°F</v>
      </c>
      <c r="J157" s="642" t="str">
        <f>TEXT(UUTRangeTol[[#This Row],[TolMax]],SUBSTITUTE(UUTRangeTol[[#This Row],[TolResolution]],"1","0"))&amp;UUTRangeTol[[#This Row],[Unit]]</f>
        <v>10°F</v>
      </c>
      <c r="K15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s="642" t="str">
        <f>UUTRangeTol[[#This Row],[RangeMax]]&amp;UUTRangeTol[[#This Row],[Unit]]</f>
        <v>400°F</v>
      </c>
      <c r="M15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s="642"/>
      <c r="H158" s="642"/>
      <c r="I158" s="642" t="str">
        <f>TEXT(UUTRangeTol[[#This Row],[TolMin]],SUBSTITUTE(UUTRangeTol[[#This Row],[TolResolution]],"1","0"))&amp;UUTRangeTol[[#This Row],[Unit]]</f>
        <v>-10°F</v>
      </c>
      <c r="J158" s="642" t="str">
        <f>TEXT(UUTRangeTol[[#This Row],[TolMax]],SUBSTITUTE(UUTRangeTol[[#This Row],[TolResolution]],"1","0"))&amp;UUTRangeTol[[#This Row],[Unit]]</f>
        <v>10°F</v>
      </c>
      <c r="K15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s="642" t="str">
        <f>UUTRangeTol[[#This Row],[RangeMax]]&amp;UUTRangeTol[[#This Row],[Unit]]</f>
        <v>300°F</v>
      </c>
      <c r="M15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s="642"/>
      <c r="H159" s="642"/>
      <c r="I159" s="642" t="str">
        <f>TEXT(UUTRangeTol[[#This Row],[TolMin]],SUBSTITUTE(UUTRangeTol[[#This Row],[TolResolution]],"1","0"))&amp;UUTRangeTol[[#This Row],[Unit]]</f>
        <v>-10°F</v>
      </c>
      <c r="J159" s="642" t="str">
        <f>TEXT(UUTRangeTol[[#This Row],[TolMax]],SUBSTITUTE(UUTRangeTol[[#This Row],[TolResolution]],"1","0"))&amp;UUTRangeTol[[#This Row],[Unit]]</f>
        <v>10°F</v>
      </c>
      <c r="K15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s="642" t="str">
        <f>UUTRangeTol[[#This Row],[RangeMax]]&amp;UUTRangeTol[[#This Row],[Unit]]</f>
        <v>450°F</v>
      </c>
      <c r="M15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s="642"/>
      <c r="H160" s="642"/>
      <c r="I160" s="642" t="str">
        <f>TEXT(UUTRangeTol[[#This Row],[TolMin]],SUBSTITUTE(UUTRangeTol[[#This Row],[TolResolution]],"1","0"))&amp;UUTRangeTol[[#This Row],[Unit]]</f>
        <v>-10°F</v>
      </c>
      <c r="J160" s="642" t="str">
        <f>TEXT(UUTRangeTol[[#This Row],[TolMax]],SUBSTITUTE(UUTRangeTol[[#This Row],[TolResolution]],"1","0"))&amp;UUTRangeTol[[#This Row],[Unit]]</f>
        <v>10°F</v>
      </c>
      <c r="K16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s="642" t="str">
        <f>UUTRangeTol[[#This Row],[RangeMax]]&amp;UUTRangeTol[[#This Row],[Unit]]</f>
        <v>180°F</v>
      </c>
      <c r="M16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s="642"/>
      <c r="H161" s="642"/>
      <c r="I161" s="642" t="str">
        <f>TEXT(UUTRangeTol[[#This Row],[TolMin]],SUBSTITUTE(UUTRangeTol[[#This Row],[TolResolution]],"1","0"))&amp;UUTRangeTol[[#This Row],[Unit]]</f>
        <v>-15°F</v>
      </c>
      <c r="J161" s="642" t="str">
        <f>TEXT(UUTRangeTol[[#This Row],[TolMax]],SUBSTITUTE(UUTRangeTol[[#This Row],[TolResolution]],"1","0"))&amp;UUTRangeTol[[#This Row],[Unit]]</f>
        <v>15°F</v>
      </c>
      <c r="K16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s="642" t="str">
        <f>UUTRangeTol[[#This Row],[RangeMax]]&amp;UUTRangeTol[[#This Row],[Unit]]</f>
        <v>145°F</v>
      </c>
      <c r="M16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s="642"/>
      <c r="H162" s="642"/>
      <c r="I162" s="642" t="str">
        <f>TEXT(UUTRangeTol[[#This Row],[TolMin]],SUBSTITUTE(UUTRangeTol[[#This Row],[TolResolution]],"1","0"))&amp;UUTRangeTol[[#This Row],[Unit]]</f>
        <v>-15°F</v>
      </c>
      <c r="J162" s="642" t="str">
        <f>TEXT(UUTRangeTol[[#This Row],[TolMax]],SUBSTITUTE(UUTRangeTol[[#This Row],[TolResolution]],"1","0"))&amp;UUTRangeTol[[#This Row],[Unit]]</f>
        <v>15°F</v>
      </c>
      <c r="K16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s="642" t="str">
        <f>UUTRangeTol[[#This Row],[RangeMax]]&amp;UUTRangeTol[[#This Row],[Unit]]</f>
        <v>145°F</v>
      </c>
      <c r="M16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s="642"/>
      <c r="H163" s="642"/>
      <c r="I163" s="642" t="str">
        <f>TEXT(UUTRangeTol[[#This Row],[TolMin]],SUBSTITUTE(UUTRangeTol[[#This Row],[TolResolution]],"1","0"))&amp;UUTRangeTol[[#This Row],[Unit]]</f>
        <v>-10°F</v>
      </c>
      <c r="J163" s="642" t="str">
        <f>TEXT(UUTRangeTol[[#This Row],[TolMax]],SUBSTITUTE(UUTRangeTol[[#This Row],[TolResolution]],"1","0"))&amp;UUTRangeTol[[#This Row],[Unit]]</f>
        <v>10°F</v>
      </c>
      <c r="K16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s="642" t="str">
        <f>UUTRangeTol[[#This Row],[RangeMax]]&amp;UUTRangeTol[[#This Row],[Unit]]</f>
        <v>140°F</v>
      </c>
      <c r="M16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s="642"/>
      <c r="H164" s="642"/>
      <c r="I164" s="642" t="str">
        <f>TEXT(UUTRangeTol[[#This Row],[TolMin]],SUBSTITUTE(UUTRangeTol[[#This Row],[TolResolution]],"1","0"))&amp;UUTRangeTol[[#This Row],[Unit]]</f>
        <v>-10°F</v>
      </c>
      <c r="J164" s="642" t="str">
        <f>TEXT(UUTRangeTol[[#This Row],[TolMax]],SUBSTITUTE(UUTRangeTol[[#This Row],[TolResolution]],"1","0"))&amp;UUTRangeTol[[#This Row],[Unit]]</f>
        <v>10°F</v>
      </c>
      <c r="K16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s="642" t="str">
        <f>UUTRangeTol[[#This Row],[RangeMax]]&amp;UUTRangeTol[[#This Row],[Unit]]</f>
        <v>140°F</v>
      </c>
      <c r="M16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s="642"/>
      <c r="H165" s="642"/>
      <c r="I165" s="642" t="str">
        <f>TEXT(UUTRangeTol[[#This Row],[TolMin]],SUBSTITUTE(UUTRangeTol[[#This Row],[TolResolution]],"1","0"))&amp;UUTRangeTol[[#This Row],[Unit]]</f>
        <v>-15°F</v>
      </c>
      <c r="J165" s="642" t="str">
        <f>TEXT(UUTRangeTol[[#This Row],[TolMax]],SUBSTITUTE(UUTRangeTol[[#This Row],[TolResolution]],"1","0"))&amp;UUTRangeTol[[#This Row],[Unit]]</f>
        <v>15°F</v>
      </c>
      <c r="K16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s="642" t="str">
        <f>UUTRangeTol[[#This Row],[RangeMax]]&amp;UUTRangeTol[[#This Row],[Unit]]</f>
        <v>84°F</v>
      </c>
      <c r="M16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s="642"/>
      <c r="H166" s="642"/>
      <c r="I166" s="642" t="str">
        <f>TEXT(UUTRangeTol[[#This Row],[TolMin]],SUBSTITUTE(UUTRangeTol[[#This Row],[TolResolution]],"1","0"))&amp;UUTRangeTol[[#This Row],[Unit]]</f>
        <v>-15°F</v>
      </c>
      <c r="J166" s="642" t="str">
        <f>TEXT(UUTRangeTol[[#This Row],[TolMax]],SUBSTITUTE(UUTRangeTol[[#This Row],[TolResolution]],"1","0"))&amp;UUTRangeTol[[#This Row],[Unit]]</f>
        <v>15°F</v>
      </c>
      <c r="K16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s="642" t="str">
        <f>UUTRangeTol[[#This Row],[RangeMax]]&amp;UUTRangeTol[[#This Row],[Unit]]</f>
        <v>145°F</v>
      </c>
      <c r="M16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s="642"/>
      <c r="H167" s="642"/>
      <c r="I167" s="642" t="str">
        <f>TEXT(UUTRangeTol[[#This Row],[TolMin]],SUBSTITUTE(UUTRangeTol[[#This Row],[TolResolution]],"1","0"))&amp;UUTRangeTol[[#This Row],[Unit]]</f>
        <v>-10.0°F</v>
      </c>
      <c r="J167" s="642" t="str">
        <f>TEXT(UUTRangeTol[[#This Row],[TolMax]],SUBSTITUTE(UUTRangeTol[[#This Row],[TolResolution]],"1","0"))&amp;UUTRangeTol[[#This Row],[Unit]]</f>
        <v>10.0°F</v>
      </c>
      <c r="K16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s="642" t="str">
        <f>UUTRangeTol[[#This Row],[RangeMax]]&amp;UUTRangeTol[[#This Row],[Unit]]</f>
        <v>995°F</v>
      </c>
      <c r="M16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s="642"/>
      <c r="H168" s="642"/>
      <c r="I168" s="642" t="str">
        <f>TEXT(UUTRangeTol[[#This Row],[TolMin]],SUBSTITUTE(UUTRangeTol[[#This Row],[TolResolution]],"1","0"))&amp;UUTRangeTol[[#This Row],[Unit]]</f>
        <v>-10.0°F</v>
      </c>
      <c r="J168" s="642" t="str">
        <f>TEXT(UUTRangeTol[[#This Row],[TolMax]],SUBSTITUTE(UUTRangeTol[[#This Row],[TolResolution]],"1","0"))&amp;UUTRangeTol[[#This Row],[Unit]]</f>
        <v>10.0°F</v>
      </c>
      <c r="K16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s="642" t="str">
        <f>UUTRangeTol[[#This Row],[RangeMax]]&amp;UUTRangeTol[[#This Row],[Unit]]</f>
        <v>400°F</v>
      </c>
      <c r="M16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s="642"/>
      <c r="H169" s="642"/>
      <c r="I169" s="642" t="str">
        <f>TEXT(UUTRangeTol[[#This Row],[TolMin]],SUBSTITUTE(UUTRangeTol[[#This Row],[TolResolution]],"1","0"))&amp;UUTRangeTol[[#This Row],[Unit]]</f>
        <v>-25°F</v>
      </c>
      <c r="J169" s="642" t="str">
        <f>TEXT(UUTRangeTol[[#This Row],[TolMax]],SUBSTITUTE(UUTRangeTol[[#This Row],[TolResolution]],"1","0"))&amp;UUTRangeTol[[#This Row],[Unit]]</f>
        <v>25°F</v>
      </c>
      <c r="K16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s="642" t="str">
        <f>UUTRangeTol[[#This Row],[RangeMax]]&amp;UUTRangeTol[[#This Row],[Unit]]</f>
        <v>180°F</v>
      </c>
      <c r="M16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s="642"/>
      <c r="H170" s="642"/>
      <c r="I170" s="642" t="str">
        <f>TEXT(UUTRangeTol[[#This Row],[TolMin]],SUBSTITUTE(UUTRangeTol[[#This Row],[TolResolution]],"1","0"))&amp;UUTRangeTol[[#This Row],[Unit]]</f>
        <v>-15°F</v>
      </c>
      <c r="J170" s="642" t="str">
        <f>TEXT(UUTRangeTol[[#This Row],[TolMax]],SUBSTITUTE(UUTRangeTol[[#This Row],[TolResolution]],"1","0"))&amp;UUTRangeTol[[#This Row],[Unit]]</f>
        <v>15°F</v>
      </c>
      <c r="K17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s="642" t="str">
        <f>UUTRangeTol[[#This Row],[RangeMax]]&amp;UUTRangeTol[[#This Row],[Unit]]</f>
        <v>140°F</v>
      </c>
      <c r="M17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s="642"/>
      <c r="H171" s="642"/>
      <c r="I171" s="642" t="str">
        <f>TEXT(UUTRangeTol[[#This Row],[TolMin]],SUBSTITUTE(UUTRangeTol[[#This Row],[TolResolution]],"1","0"))&amp;UUTRangeTol[[#This Row],[Unit]]</f>
        <v>-15°F</v>
      </c>
      <c r="J171" s="642" t="str">
        <f>TEXT(UUTRangeTol[[#This Row],[TolMax]],SUBSTITUTE(UUTRangeTol[[#This Row],[TolResolution]],"1","0"))&amp;UUTRangeTol[[#This Row],[Unit]]</f>
        <v>15°F</v>
      </c>
      <c r="K17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s="642" t="str">
        <f>UUTRangeTol[[#This Row],[RangeMax]]&amp;UUTRangeTol[[#This Row],[Unit]]</f>
        <v>140°F</v>
      </c>
      <c r="M17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s="642"/>
      <c r="H172" s="642"/>
      <c r="I172" s="642" t="str">
        <f>TEXT(UUTRangeTol[[#This Row],[TolMin]],SUBSTITUTE(UUTRangeTol[[#This Row],[TolResolution]],"1","0"))&amp;UUTRangeTol[[#This Row],[Unit]]</f>
        <v>-14°C</v>
      </c>
      <c r="J172" s="642" t="str">
        <f>TEXT(UUTRangeTol[[#This Row],[TolMax]],SUBSTITUTE(UUTRangeTol[[#This Row],[TolResolution]],"1","0"))&amp;UUTRangeTol[[#This Row],[Unit]]</f>
        <v>14°C</v>
      </c>
      <c r="K17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s="642" t="str">
        <f>UUTRangeTol[[#This Row],[RangeMax]]&amp;UUTRangeTol[[#This Row],[Unit]]</f>
        <v>66°C</v>
      </c>
      <c r="M17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s="642"/>
      <c r="H173" s="642"/>
      <c r="I173" s="642" t="str">
        <f>TEXT(UUTRangeTol[[#This Row],[TolMin]],SUBSTITUTE(UUTRangeTol[[#This Row],[TolResolution]],"1","0"))&amp;UUTRangeTol[[#This Row],[Unit]]</f>
        <v>-25°F</v>
      </c>
      <c r="J173" s="642" t="str">
        <f>TEXT(UUTRangeTol[[#This Row],[TolMax]],SUBSTITUTE(UUTRangeTol[[#This Row],[TolResolution]],"1","0"))&amp;UUTRangeTol[[#This Row],[Unit]]</f>
        <v>25°F</v>
      </c>
      <c r="K17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s="642" t="str">
        <f>UUTRangeTol[[#This Row],[RangeMax]]&amp;UUTRangeTol[[#This Row],[Unit]]</f>
        <v>180°F</v>
      </c>
      <c r="M17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s="642"/>
      <c r="H174" s="642"/>
      <c r="I174" s="642" t="str">
        <f>TEXT(UUTRangeTol[[#This Row],[TolMin]],SUBSTITUTE(UUTRangeTol[[#This Row],[TolResolution]],"1","0"))&amp;UUTRangeTol[[#This Row],[Unit]]</f>
        <v>-25°F</v>
      </c>
      <c r="J174" s="642" t="str">
        <f>TEXT(UUTRangeTol[[#This Row],[TolMax]],SUBSTITUTE(UUTRangeTol[[#This Row],[TolResolution]],"1","0"))&amp;UUTRangeTol[[#This Row],[Unit]]</f>
        <v>25°F</v>
      </c>
      <c r="K17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s="642" t="str">
        <f>UUTRangeTol[[#This Row],[RangeMax]]&amp;UUTRangeTol[[#This Row],[Unit]]</f>
        <v>180°F</v>
      </c>
      <c r="M17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s="642"/>
      <c r="H175" s="642"/>
      <c r="I175" s="642" t="str">
        <f>TEXT(UUTRangeTol[[#This Row],[TolMin]],SUBSTITUTE(UUTRangeTol[[#This Row],[TolResolution]],"1","0"))&amp;UUTRangeTol[[#This Row],[Unit]]</f>
        <v>-25°F</v>
      </c>
      <c r="J175" s="642" t="str">
        <f>TEXT(UUTRangeTol[[#This Row],[TolMax]],SUBSTITUTE(UUTRangeTol[[#This Row],[TolResolution]],"1","0"))&amp;UUTRangeTol[[#This Row],[Unit]]</f>
        <v>25°F</v>
      </c>
      <c r="K17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s="642" t="str">
        <f>UUTRangeTol[[#This Row],[RangeMax]]&amp;UUTRangeTol[[#This Row],[Unit]]</f>
        <v>180°F</v>
      </c>
      <c r="M17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s="642"/>
      <c r="H176" s="642"/>
      <c r="I176" s="642" t="str">
        <f>TEXT(UUTRangeTol[[#This Row],[TolMin]],SUBSTITUTE(UUTRangeTol[[#This Row],[TolResolution]],"1","0"))&amp;UUTRangeTol[[#This Row],[Unit]]</f>
        <v>-25°F</v>
      </c>
      <c r="J176" s="642" t="str">
        <f>TEXT(UUTRangeTol[[#This Row],[TolMax]],SUBSTITUTE(UUTRangeTol[[#This Row],[TolResolution]],"1","0"))&amp;UUTRangeTol[[#This Row],[Unit]]</f>
        <v>25°F</v>
      </c>
      <c r="K17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s="642" t="str">
        <f>UUTRangeTol[[#This Row],[RangeMax]]&amp;UUTRangeTol[[#This Row],[Unit]]</f>
        <v>250°F</v>
      </c>
      <c r="M17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s="642"/>
      <c r="H177" s="642"/>
      <c r="I177" s="642" t="str">
        <f>TEXT(UUTRangeTol[[#This Row],[TolMin]],SUBSTITUTE(UUTRangeTol[[#This Row],[TolResolution]],"1","0"))&amp;UUTRangeTol[[#This Row],[Unit]]</f>
        <v>-25.0°F</v>
      </c>
      <c r="J177" s="642" t="str">
        <f>TEXT(UUTRangeTol[[#This Row],[TolMax]],SUBSTITUTE(UUTRangeTol[[#This Row],[TolResolution]],"1","0"))&amp;UUTRangeTol[[#This Row],[Unit]]</f>
        <v>25.0°F</v>
      </c>
      <c r="K17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s="642" t="str">
        <f>UUTRangeTol[[#This Row],[RangeMax]]&amp;UUTRangeTol[[#This Row],[Unit]]</f>
        <v>1000°F</v>
      </c>
      <c r="M17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s="642"/>
      <c r="H178" s="642"/>
      <c r="I178" s="642" t="str">
        <f>TEXT(UUTRangeTol[[#This Row],[TolMin]],SUBSTITUTE(UUTRangeTol[[#This Row],[TolResolution]],"1","0"))&amp;UUTRangeTol[[#This Row],[Unit]]</f>
        <v>-5°F</v>
      </c>
      <c r="J178" s="642" t="str">
        <f>TEXT(UUTRangeTol[[#This Row],[TolMax]],SUBSTITUTE(UUTRangeTol[[#This Row],[TolResolution]],"1","0"))&amp;UUTRangeTol[[#This Row],[Unit]]</f>
        <v>5°F</v>
      </c>
      <c r="K17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s="642" t="str">
        <f>UUTRangeTol[[#This Row],[RangeMax]]&amp;UUTRangeTol[[#This Row],[Unit]]</f>
        <v>130°F</v>
      </c>
      <c r="M17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s="642"/>
      <c r="H179" s="642"/>
      <c r="I179" s="642" t="str">
        <f>TEXT(UUTRangeTol[[#This Row],[TolMin]],SUBSTITUTE(UUTRangeTol[[#This Row],[TolResolution]],"1","0"))&amp;UUTRangeTol[[#This Row],[Unit]]</f>
        <v>-10.0°F</v>
      </c>
      <c r="J179" s="642" t="str">
        <f>TEXT(UUTRangeTol[[#This Row],[TolMax]],SUBSTITUTE(UUTRangeTol[[#This Row],[TolResolution]],"1","0"))&amp;UUTRangeTol[[#This Row],[Unit]]</f>
        <v>10.0°F</v>
      </c>
      <c r="K17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s="642" t="str">
        <f>UUTRangeTol[[#This Row],[RangeMax]]&amp;UUTRangeTol[[#This Row],[Unit]]</f>
        <v>160°F</v>
      </c>
      <c r="M17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s="642"/>
      <c r="H180" s="642"/>
      <c r="I180" s="642" t="str">
        <f>TEXT(UUTRangeTol[[#This Row],[TolMin]],SUBSTITUTE(UUTRangeTol[[#This Row],[TolResolution]],"1","0"))&amp;UUTRangeTol[[#This Row],[Unit]]</f>
        <v>-5°F</v>
      </c>
      <c r="J180" s="642" t="str">
        <f>TEXT(UUTRangeTol[[#This Row],[TolMax]],SUBSTITUTE(UUTRangeTol[[#This Row],[TolResolution]],"1","0"))&amp;UUTRangeTol[[#This Row],[Unit]]</f>
        <v>5°F</v>
      </c>
      <c r="K18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s="642" t="str">
        <f>UUTRangeTol[[#This Row],[RangeMax]]&amp;UUTRangeTol[[#This Row],[Unit]]</f>
        <v>100°F</v>
      </c>
      <c r="M18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s="642"/>
      <c r="H181" s="642"/>
      <c r="I181" s="642" t="str">
        <f>TEXT(UUTRangeTol[[#This Row],[TolMin]],SUBSTITUTE(UUTRangeTol[[#This Row],[TolResolution]],"1","0"))&amp;UUTRangeTol[[#This Row],[Unit]]</f>
        <v>-10°F</v>
      </c>
      <c r="J181" s="642" t="str">
        <f>TEXT(UUTRangeTol[[#This Row],[TolMax]],SUBSTITUTE(UUTRangeTol[[#This Row],[TolResolution]],"1","0"))&amp;UUTRangeTol[[#This Row],[Unit]]</f>
        <v>10°F</v>
      </c>
      <c r="K18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s="642" t="str">
        <f>UUTRangeTol[[#This Row],[RangeMax]]&amp;UUTRangeTol[[#This Row],[Unit]]</f>
        <v>145°F</v>
      </c>
      <c r="M18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s="642"/>
      <c r="H182" s="642"/>
      <c r="I182" s="642" t="str">
        <f>TEXT(UUTRangeTol[[#This Row],[TolMin]],SUBSTITUTE(UUTRangeTol[[#This Row],[TolResolution]],"1","0"))&amp;UUTRangeTol[[#This Row],[Unit]]</f>
        <v>-25°F</v>
      </c>
      <c r="J182" s="642" t="str">
        <f>TEXT(UUTRangeTol[[#This Row],[TolMax]],SUBSTITUTE(UUTRangeTol[[#This Row],[TolResolution]],"1","0"))&amp;UUTRangeTol[[#This Row],[Unit]]</f>
        <v>25°F</v>
      </c>
      <c r="K18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s="642" t="str">
        <f>UUTRangeTol[[#This Row],[RangeMax]]&amp;UUTRangeTol[[#This Row],[Unit]]</f>
        <v>150°F</v>
      </c>
      <c r="M18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s="642"/>
      <c r="H183" s="642"/>
      <c r="I183" s="642" t="str">
        <f>TEXT(UUTRangeTol[[#This Row],[TolMin]],SUBSTITUTE(UUTRangeTol[[#This Row],[TolResolution]],"1","0"))&amp;UUTRangeTol[[#This Row],[Unit]]</f>
        <v>-25.0°F</v>
      </c>
      <c r="J183" s="642" t="str">
        <f>TEXT(UUTRangeTol[[#This Row],[TolMax]],SUBSTITUTE(UUTRangeTol[[#This Row],[TolResolution]],"1","0"))&amp;UUTRangeTol[[#This Row],[Unit]]</f>
        <v>25.0°F</v>
      </c>
      <c r="K18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s="642" t="str">
        <f>UUTRangeTol[[#This Row],[RangeMax]]&amp;UUTRangeTol[[#This Row],[Unit]]</f>
        <v>275°F</v>
      </c>
      <c r="M18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s="642"/>
      <c r="H184" s="642"/>
      <c r="I184" s="642" t="str">
        <f>TEXT(UUTRangeTol[[#This Row],[TolMin]],SUBSTITUTE(UUTRangeTol[[#This Row],[TolResolution]],"1","0"))&amp;UUTRangeTol[[#This Row],[Unit]]</f>
        <v>-25.0°F</v>
      </c>
      <c r="J184" s="642" t="str">
        <f>TEXT(UUTRangeTol[[#This Row],[TolMax]],SUBSTITUTE(UUTRangeTol[[#This Row],[TolResolution]],"1","0"))&amp;UUTRangeTol[[#This Row],[Unit]]</f>
        <v>25.0°F</v>
      </c>
      <c r="K18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s="642" t="str">
        <f>UUTRangeTol[[#This Row],[RangeMax]]&amp;UUTRangeTol[[#This Row],[Unit]]</f>
        <v>275°F</v>
      </c>
      <c r="M18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s="642"/>
      <c r="H185" s="642"/>
      <c r="I185" s="642" t="str">
        <f>TEXT(UUTRangeTol[[#This Row],[TolMin]],SUBSTITUTE(UUTRangeTol[[#This Row],[TolResolution]],"1","0"))&amp;UUTRangeTol[[#This Row],[Unit]]</f>
        <v>-25.0°F</v>
      </c>
      <c r="J185" s="642" t="str">
        <f>TEXT(UUTRangeTol[[#This Row],[TolMax]],SUBSTITUTE(UUTRangeTol[[#This Row],[TolResolution]],"1","0"))&amp;UUTRangeTol[[#This Row],[Unit]]</f>
        <v>25.0°F</v>
      </c>
      <c r="K18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s="642" t="str">
        <f>UUTRangeTol[[#This Row],[RangeMax]]&amp;UUTRangeTol[[#This Row],[Unit]]</f>
        <v>1300°F</v>
      </c>
      <c r="M18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s="642"/>
      <c r="H186" s="642"/>
      <c r="I186" s="642" t="str">
        <f>TEXT(UUTRangeTol[[#This Row],[TolMin]],SUBSTITUTE(UUTRangeTol[[#This Row],[TolResolution]],"1","0"))&amp;UUTRangeTol[[#This Row],[Unit]]</f>
        <v>-25.0°F</v>
      </c>
      <c r="J186" s="642" t="str">
        <f>TEXT(UUTRangeTol[[#This Row],[TolMax]],SUBSTITUTE(UUTRangeTol[[#This Row],[TolResolution]],"1","0"))&amp;UUTRangeTol[[#This Row],[Unit]]</f>
        <v>25.0°F</v>
      </c>
      <c r="K18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s="642" t="str">
        <f>UUTRangeTol[[#This Row],[RangeMax]]&amp;UUTRangeTol[[#This Row],[Unit]]</f>
        <v>1250°F</v>
      </c>
      <c r="M18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s="642"/>
      <c r="H187" s="642"/>
      <c r="I187" s="642" t="str">
        <f>TEXT(UUTRangeTol[[#This Row],[TolMin]],SUBSTITUTE(UUTRangeTol[[#This Row],[TolResolution]],"1","0"))&amp;UUTRangeTol[[#This Row],[Unit]]</f>
        <v>-25.0°F</v>
      </c>
      <c r="J187" s="642" t="str">
        <f>TEXT(UUTRangeTol[[#This Row],[TolMax]],SUBSTITUTE(UUTRangeTol[[#This Row],[TolResolution]],"1","0"))&amp;UUTRangeTol[[#This Row],[Unit]]</f>
        <v>25.0°F</v>
      </c>
      <c r="K18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s="642" t="str">
        <f>UUTRangeTol[[#This Row],[RangeMax]]&amp;UUTRangeTol[[#This Row],[Unit]]</f>
        <v>1300°F</v>
      </c>
      <c r="M18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s="642"/>
      <c r="H188" s="642"/>
      <c r="I188" s="642" t="str">
        <f>TEXT(UUTRangeTol[[#This Row],[TolMin]],SUBSTITUTE(UUTRangeTol[[#This Row],[TolResolution]],"1","0"))&amp;UUTRangeTol[[#This Row],[Unit]]</f>
        <v>-10°F</v>
      </c>
      <c r="J188" s="642" t="str">
        <f>TEXT(UUTRangeTol[[#This Row],[TolMax]],SUBSTITUTE(UUTRangeTol[[#This Row],[TolResolution]],"1","0"))&amp;UUTRangeTol[[#This Row],[Unit]]</f>
        <v>10°F</v>
      </c>
      <c r="K18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s="642" t="str">
        <f>UUTRangeTol[[#This Row],[RangeMax]]&amp;UUTRangeTol[[#This Row],[Unit]]</f>
        <v>500°F</v>
      </c>
      <c r="M18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s="642"/>
      <c r="H189" s="642"/>
      <c r="I189" s="642" t="str">
        <f>TEXT(UUTRangeTol[[#This Row],[TolMin]],SUBSTITUTE(UUTRangeTol[[#This Row],[TolResolution]],"1","0"))&amp;UUTRangeTol[[#This Row],[Unit]]</f>
        <v>-10°F</v>
      </c>
      <c r="J189" s="642" t="str">
        <f>TEXT(UUTRangeTol[[#This Row],[TolMax]],SUBSTITUTE(UUTRangeTol[[#This Row],[TolResolution]],"1","0"))&amp;UUTRangeTol[[#This Row],[Unit]]</f>
        <v>10°F</v>
      </c>
      <c r="K18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s="642" t="str">
        <f>UUTRangeTol[[#This Row],[RangeMax]]&amp;UUTRangeTol[[#This Row],[Unit]]</f>
        <v>270°F</v>
      </c>
      <c r="M18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s="642"/>
      <c r="H190" s="642"/>
      <c r="I190" s="642" t="str">
        <f>TEXT(UUTRangeTol[[#This Row],[TolMin]],SUBSTITUTE(UUTRangeTol[[#This Row],[TolResolution]],"1","0"))&amp;UUTRangeTol[[#This Row],[Unit]]</f>
        <v>0°F</v>
      </c>
      <c r="J190" s="642" t="str">
        <f>TEXT(UUTRangeTol[[#This Row],[TolMax]],SUBSTITUTE(UUTRangeTol[[#This Row],[TolResolution]],"1","0"))&amp;UUTRangeTol[[#This Row],[Unit]]</f>
        <v>0°F</v>
      </c>
      <c r="K19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s="642" t="str">
        <f>UUTRangeTol[[#This Row],[RangeMax]]&amp;UUTRangeTol[[#This Row],[Unit]]</f>
        <v>0°F</v>
      </c>
      <c r="M19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s="642"/>
      <c r="H191" s="642"/>
      <c r="I191" s="642" t="str">
        <f>TEXT(UUTRangeTol[[#This Row],[TolMin]],SUBSTITUTE(UUTRangeTol[[#This Row],[TolResolution]],"1","0"))&amp;UUTRangeTol[[#This Row],[Unit]]</f>
        <v>-10°F</v>
      </c>
      <c r="J191" s="642" t="str">
        <f>TEXT(UUTRangeTol[[#This Row],[TolMax]],SUBSTITUTE(UUTRangeTol[[#This Row],[TolResolution]],"1","0"))&amp;UUTRangeTol[[#This Row],[Unit]]</f>
        <v>10°F</v>
      </c>
      <c r="K19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s="642" t="str">
        <f>UUTRangeTol[[#This Row],[RangeMax]]&amp;UUTRangeTol[[#This Row],[Unit]]</f>
        <v>375°F</v>
      </c>
      <c r="M19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s="642"/>
      <c r="H192" s="642"/>
      <c r="I192" s="642" t="str">
        <f>TEXT(UUTRangeTol[[#This Row],[TolMin]],SUBSTITUTE(UUTRangeTol[[#This Row],[TolResolution]],"1","0"))&amp;UUTRangeTol[[#This Row],[Unit]]</f>
        <v>-10.0°F</v>
      </c>
      <c r="J192" s="642" t="str">
        <f>TEXT(UUTRangeTol[[#This Row],[TolMax]],SUBSTITUTE(UUTRangeTol[[#This Row],[TolResolution]],"1","0"))&amp;UUTRangeTol[[#This Row],[Unit]]</f>
        <v>10.0°F</v>
      </c>
      <c r="K19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s="642" t="str">
        <f>UUTRangeTol[[#This Row],[RangeMax]]&amp;UUTRangeTol[[#This Row],[Unit]]</f>
        <v>375°F</v>
      </c>
      <c r="M19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s="642"/>
      <c r="H193" s="642"/>
      <c r="I193" s="642" t="str">
        <f>TEXT(UUTRangeTol[[#This Row],[TolMin]],SUBSTITUTE(UUTRangeTol[[#This Row],[TolResolution]],"1","0"))&amp;UUTRangeTol[[#This Row],[Unit]]</f>
        <v>-10.0°F</v>
      </c>
      <c r="J193" s="642" t="str">
        <f>TEXT(UUTRangeTol[[#This Row],[TolMax]],SUBSTITUTE(UUTRangeTol[[#This Row],[TolResolution]],"1","0"))&amp;UUTRangeTol[[#This Row],[Unit]]</f>
        <v>10.0°F</v>
      </c>
      <c r="K19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s="642" t="str">
        <f>UUTRangeTol[[#This Row],[RangeMax]]&amp;UUTRangeTol[[#This Row],[Unit]]</f>
        <v>1000°F</v>
      </c>
      <c r="M19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s="642"/>
      <c r="H194" s="642"/>
      <c r="I194" s="642" t="str">
        <f>TEXT(UUTRangeTol[[#This Row],[TolMin]],SUBSTITUTE(UUTRangeTol[[#This Row],[TolResolution]],"1","0"))&amp;UUTRangeTol[[#This Row],[Unit]]</f>
        <v>-25°F</v>
      </c>
      <c r="J194" s="642" t="str">
        <f>TEXT(UUTRangeTol[[#This Row],[TolMax]],SUBSTITUTE(UUTRangeTol[[#This Row],[TolResolution]],"1","0"))&amp;UUTRangeTol[[#This Row],[Unit]]</f>
        <v>25°F</v>
      </c>
      <c r="K19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s="642" t="str">
        <f>UUTRangeTol[[#This Row],[RangeMax]]&amp;UUTRangeTol[[#This Row],[Unit]]</f>
        <v>165°F</v>
      </c>
      <c r="M19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s="642"/>
      <c r="H195" s="642"/>
      <c r="I195" s="642" t="str">
        <f>TEXT(UUTRangeTol[[#This Row],[TolMin]],SUBSTITUTE(UUTRangeTol[[#This Row],[TolResolution]],"1","0"))&amp;UUTRangeTol[[#This Row],[Unit]]</f>
        <v>-15°F</v>
      </c>
      <c r="J195" s="642" t="str">
        <f>TEXT(UUTRangeTol[[#This Row],[TolMax]],SUBSTITUTE(UUTRangeTol[[#This Row],[TolResolution]],"1","0"))&amp;UUTRangeTol[[#This Row],[Unit]]</f>
        <v>15°F</v>
      </c>
      <c r="K19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s="642" t="str">
        <f>UUTRangeTol[[#This Row],[RangeMax]]&amp;UUTRangeTol[[#This Row],[Unit]]</f>
        <v>375°F</v>
      </c>
      <c r="M19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s="642"/>
      <c r="H196" s="642"/>
      <c r="I196" s="642" t="str">
        <f>TEXT(UUTRangeTol[[#This Row],[TolMin]],SUBSTITUTE(UUTRangeTol[[#This Row],[TolResolution]],"1","0"))&amp;UUTRangeTol[[#This Row],[Unit]]</f>
        <v>-10°F</v>
      </c>
      <c r="J196" s="642" t="str">
        <f>TEXT(UUTRangeTol[[#This Row],[TolMax]],SUBSTITUTE(UUTRangeTol[[#This Row],[TolResolution]],"1","0"))&amp;UUTRangeTol[[#This Row],[Unit]]</f>
        <v>10°F</v>
      </c>
      <c r="K19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s="642" t="str">
        <f>UUTRangeTol[[#This Row],[RangeMax]]&amp;UUTRangeTol[[#This Row],[Unit]]</f>
        <v>205°F</v>
      </c>
      <c r="M19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s="642"/>
      <c r="H197" s="642"/>
      <c r="I197" s="642" t="str">
        <f>TEXT(UUTRangeTol[[#This Row],[TolMin]],SUBSTITUTE(UUTRangeTol[[#This Row],[TolResolution]],"1","0"))&amp;UUTRangeTol[[#This Row],[Unit]]</f>
        <v>-10°F</v>
      </c>
      <c r="J197" s="642" t="str">
        <f>TEXT(UUTRangeTol[[#This Row],[TolMax]],SUBSTITUTE(UUTRangeTol[[#This Row],[TolResolution]],"1","0"))&amp;UUTRangeTol[[#This Row],[Unit]]</f>
        <v>10°F</v>
      </c>
      <c r="K19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s="642" t="str">
        <f>UUTRangeTol[[#This Row],[RangeMax]]&amp;UUTRangeTol[[#This Row],[Unit]]</f>
        <v>400°F</v>
      </c>
      <c r="M19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s="642"/>
      <c r="H198" s="642"/>
      <c r="I198" s="642" t="str">
        <f>TEXT(UUTRangeTol[[#This Row],[TolMin]],SUBSTITUTE(UUTRangeTol[[#This Row],[TolResolution]],"1","0"))&amp;UUTRangeTol[[#This Row],[Unit]]</f>
        <v>-10°F</v>
      </c>
      <c r="J198" s="642" t="str">
        <f>TEXT(UUTRangeTol[[#This Row],[TolMax]],SUBSTITUTE(UUTRangeTol[[#This Row],[TolResolution]],"1","0"))&amp;UUTRangeTol[[#This Row],[Unit]]</f>
        <v>10°F</v>
      </c>
      <c r="K19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s="642" t="str">
        <f>UUTRangeTol[[#This Row],[RangeMax]]&amp;UUTRangeTol[[#This Row],[Unit]]</f>
        <v>400°F</v>
      </c>
      <c r="M19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s="642"/>
      <c r="H199" s="642"/>
      <c r="I199" s="642" t="str">
        <f>TEXT(UUTRangeTol[[#This Row],[TolMin]],SUBSTITUTE(UUTRangeTol[[#This Row],[TolResolution]],"1","0"))&amp;UUTRangeTol[[#This Row],[Unit]]</f>
        <v>-25.0°F</v>
      </c>
      <c r="J199" s="642" t="str">
        <f>TEXT(UUTRangeTol[[#This Row],[TolMax]],SUBSTITUTE(UUTRangeTol[[#This Row],[TolResolution]],"1","0"))&amp;UUTRangeTol[[#This Row],[Unit]]</f>
        <v>25.0°F</v>
      </c>
      <c r="K19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s="642" t="str">
        <f>UUTRangeTol[[#This Row],[RangeMax]]&amp;UUTRangeTol[[#This Row],[Unit]]</f>
        <v>975°F</v>
      </c>
      <c r="M19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s="642"/>
      <c r="H200" s="642"/>
      <c r="I200" s="642" t="str">
        <f>TEXT(UUTRangeTol[[#This Row],[TolMin]],SUBSTITUTE(UUTRangeTol[[#This Row],[TolResolution]],"1","0"))&amp;UUTRangeTol[[#This Row],[Unit]]</f>
        <v>-10°F</v>
      </c>
      <c r="J200" s="642" t="str">
        <f>TEXT(UUTRangeTol[[#This Row],[TolMax]],SUBSTITUTE(UUTRangeTol[[#This Row],[TolResolution]],"1","0"))&amp;UUTRangeTol[[#This Row],[Unit]]</f>
        <v>10°F</v>
      </c>
      <c r="K20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s="642" t="str">
        <f>UUTRangeTol[[#This Row],[RangeMax]]&amp;UUTRangeTol[[#This Row],[Unit]]</f>
        <v>375°F</v>
      </c>
      <c r="M20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s="642"/>
      <c r="H201" s="642"/>
      <c r="I201" s="642" t="str">
        <f>TEXT(UUTRangeTol[[#This Row],[TolMin]],SUBSTITUTE(UUTRangeTol[[#This Row],[TolResolution]],"1","0"))&amp;UUTRangeTol[[#This Row],[Unit]]</f>
        <v>-10°F</v>
      </c>
      <c r="J201" s="642" t="str">
        <f>TEXT(UUTRangeTol[[#This Row],[TolMax]],SUBSTITUTE(UUTRangeTol[[#This Row],[TolResolution]],"1","0"))&amp;UUTRangeTol[[#This Row],[Unit]]</f>
        <v>10°F</v>
      </c>
      <c r="K20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s="642" t="str">
        <f>UUTRangeTol[[#This Row],[RangeMax]]&amp;UUTRangeTol[[#This Row],[Unit]]</f>
        <v>375°F</v>
      </c>
      <c r="M20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s="642"/>
      <c r="H202" s="642"/>
      <c r="I202" s="642" t="str">
        <f>TEXT(UUTRangeTol[[#This Row],[TolMin]],SUBSTITUTE(UUTRangeTol[[#This Row],[TolResolution]],"1","0"))&amp;UUTRangeTol[[#This Row],[Unit]]</f>
        <v>-25.0°F</v>
      </c>
      <c r="J202" s="642" t="str">
        <f>TEXT(UUTRangeTol[[#This Row],[TolMax]],SUBSTITUTE(UUTRangeTol[[#This Row],[TolResolution]],"1","0"))&amp;UUTRangeTol[[#This Row],[Unit]]</f>
        <v>25.0°F</v>
      </c>
      <c r="K20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s="642" t="str">
        <f>UUTRangeTol[[#This Row],[RangeMax]]&amp;UUTRangeTol[[#This Row],[Unit]]</f>
        <v>250°F</v>
      </c>
      <c r="M20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s="642"/>
      <c r="H203" s="642"/>
      <c r="I203" s="642" t="str">
        <f>TEXT(UUTRangeTol[[#This Row],[TolMin]],SUBSTITUTE(UUTRangeTol[[#This Row],[TolResolution]],"1","0"))&amp;UUTRangeTol[[#This Row],[Unit]]</f>
        <v>-25.0°F</v>
      </c>
      <c r="J203" s="642" t="str">
        <f>TEXT(UUTRangeTol[[#This Row],[TolMax]],SUBSTITUTE(UUTRangeTol[[#This Row],[TolResolution]],"1","0"))&amp;UUTRangeTol[[#This Row],[Unit]]</f>
        <v>25.0°F</v>
      </c>
      <c r="K20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s="642" t="str">
        <f>UUTRangeTol[[#This Row],[RangeMax]]&amp;UUTRangeTol[[#This Row],[Unit]]</f>
        <v>250°F</v>
      </c>
      <c r="M20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s="642"/>
      <c r="H204" s="642"/>
      <c r="I204" s="642" t="str">
        <f>TEXT(UUTRangeTol[[#This Row],[TolMin]],SUBSTITUTE(UUTRangeTol[[#This Row],[TolResolution]],"1","0"))&amp;UUTRangeTol[[#This Row],[Unit]]</f>
        <v>-10°F</v>
      </c>
      <c r="J204" s="642" t="str">
        <f>TEXT(UUTRangeTol[[#This Row],[TolMax]],SUBSTITUTE(UUTRangeTol[[#This Row],[TolResolution]],"1","0"))&amp;UUTRangeTol[[#This Row],[Unit]]</f>
        <v>10°F</v>
      </c>
      <c r="K20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s="642" t="str">
        <f>UUTRangeTol[[#This Row],[RangeMax]]&amp;UUTRangeTol[[#This Row],[Unit]]</f>
        <v>84°F</v>
      </c>
      <c r="M20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s="642"/>
      <c r="H205" s="642"/>
      <c r="I205" s="642" t="str">
        <f>TEXT(UUTRangeTol[[#This Row],[TolMin]],SUBSTITUTE(UUTRangeTol[[#This Row],[TolResolution]],"1","0"))&amp;UUTRangeTol[[#This Row],[Unit]]</f>
        <v>-15°F</v>
      </c>
      <c r="J205" s="642" t="str">
        <f>TEXT(UUTRangeTol[[#This Row],[TolMax]],SUBSTITUTE(UUTRangeTol[[#This Row],[TolResolution]],"1","0"))&amp;UUTRangeTol[[#This Row],[Unit]]</f>
        <v>15°F</v>
      </c>
      <c r="K20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s="642" t="str">
        <f>UUTRangeTol[[#This Row],[RangeMax]]&amp;UUTRangeTol[[#This Row],[Unit]]</f>
        <v>155°F</v>
      </c>
      <c r="M20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s="642"/>
      <c r="H206" s="642"/>
      <c r="I206" s="642" t="str">
        <f>TEXT(UUTRangeTol[[#This Row],[TolMin]],SUBSTITUTE(UUTRangeTol[[#This Row],[TolResolution]],"1","0"))&amp;UUTRangeTol[[#This Row],[Unit]]</f>
        <v>-15°F</v>
      </c>
      <c r="J206" s="642" t="str">
        <f>TEXT(UUTRangeTol[[#This Row],[TolMax]],SUBSTITUTE(UUTRangeTol[[#This Row],[TolResolution]],"1","0"))&amp;UUTRangeTol[[#This Row],[Unit]]</f>
        <v>15°F</v>
      </c>
      <c r="K20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s="642" t="str">
        <f>UUTRangeTol[[#This Row],[RangeMax]]&amp;UUTRangeTol[[#This Row],[Unit]]</f>
        <v>155°F</v>
      </c>
      <c r="M20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s="642"/>
      <c r="H207" s="642"/>
      <c r="I207" s="642" t="str">
        <f>TEXT(UUTRangeTol[[#This Row],[TolMin]],SUBSTITUTE(UUTRangeTol[[#This Row],[TolResolution]],"1","0"))&amp;UUTRangeTol[[#This Row],[Unit]]</f>
        <v>-15.0°F</v>
      </c>
      <c r="J207" s="642" t="str">
        <f>TEXT(UUTRangeTol[[#This Row],[TolMax]],SUBSTITUTE(UUTRangeTol[[#This Row],[TolResolution]],"1","0"))&amp;UUTRangeTol[[#This Row],[Unit]]</f>
        <v>15.0°F</v>
      </c>
      <c r="K20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s="642" t="str">
        <f>UUTRangeTol[[#This Row],[RangeMax]]&amp;UUTRangeTol[[#This Row],[Unit]]</f>
        <v>550°F</v>
      </c>
      <c r="M20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s="642"/>
      <c r="H208" s="642"/>
      <c r="I208" s="642" t="str">
        <f>TEXT(UUTRangeTol[[#This Row],[TolMin]],SUBSTITUTE(UUTRangeTol[[#This Row],[TolResolution]],"1","0"))&amp;UUTRangeTol[[#This Row],[Unit]]</f>
        <v>-10°F</v>
      </c>
      <c r="J208" s="642" t="str">
        <f>TEXT(UUTRangeTol[[#This Row],[TolMax]],SUBSTITUTE(UUTRangeTol[[#This Row],[TolResolution]],"1","0"))&amp;UUTRangeTol[[#This Row],[Unit]]</f>
        <v>10°F</v>
      </c>
      <c r="K20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s="642" t="str">
        <f>UUTRangeTol[[#This Row],[RangeMax]]&amp;UUTRangeTol[[#This Row],[Unit]]</f>
        <v>400°F</v>
      </c>
      <c r="M20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s="642"/>
      <c r="H209" s="642"/>
      <c r="I209" s="642" t="str">
        <f>TEXT(UUTRangeTol[[#This Row],[TolMin]],SUBSTITUTE(UUTRangeTol[[#This Row],[TolResolution]],"1","0"))&amp;UUTRangeTol[[#This Row],[Unit]]</f>
        <v>-32°C</v>
      </c>
      <c r="J209" s="642" t="str">
        <f>TEXT(UUTRangeTol[[#This Row],[TolMax]],SUBSTITUTE(UUTRangeTol[[#This Row],[TolResolution]],"1","0"))&amp;UUTRangeTol[[#This Row],[Unit]]</f>
        <v>9°C</v>
      </c>
      <c r="K20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s="642" t="str">
        <f>UUTRangeTol[[#This Row],[RangeMax]]&amp;UUTRangeTol[[#This Row],[Unit]]</f>
        <v>195°C</v>
      </c>
      <c r="M20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s="642"/>
      <c r="H210" s="642"/>
      <c r="I210" s="642" t="str">
        <f>TEXT(UUTRangeTol[[#This Row],[TolMin]],SUBSTITUTE(UUTRangeTol[[#This Row],[TolResolution]],"1","0"))&amp;UUTRangeTol[[#This Row],[Unit]]</f>
        <v>-32°C</v>
      </c>
      <c r="J210" s="642" t="str">
        <f>TEXT(UUTRangeTol[[#This Row],[TolMax]],SUBSTITUTE(UUTRangeTol[[#This Row],[TolResolution]],"1","0"))&amp;UUTRangeTol[[#This Row],[Unit]]</f>
        <v>9°C</v>
      </c>
      <c r="K2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s="642" t="str">
        <f>UUTRangeTol[[#This Row],[RangeMax]]&amp;UUTRangeTol[[#This Row],[Unit]]</f>
        <v>195°C</v>
      </c>
      <c r="M2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s="642"/>
      <c r="H211" s="642"/>
      <c r="I211" s="642" t="str">
        <f>TEXT(UUTRangeTol[[#This Row],[TolMin]],SUBSTITUTE(UUTRangeTol[[#This Row],[TolResolution]],"1","0"))&amp;UUTRangeTol[[#This Row],[Unit]]</f>
        <v>-32°C</v>
      </c>
      <c r="J211" s="642" t="str">
        <f>TEXT(UUTRangeTol[[#This Row],[TolMax]],SUBSTITUTE(UUTRangeTol[[#This Row],[TolResolution]],"1","0"))&amp;UUTRangeTol[[#This Row],[Unit]]</f>
        <v>9°C</v>
      </c>
      <c r="K2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s="642" t="str">
        <f>UUTRangeTol[[#This Row],[RangeMax]]&amp;UUTRangeTol[[#This Row],[Unit]]</f>
        <v>195°C</v>
      </c>
      <c r="M2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s="642"/>
      <c r="H212" s="642"/>
      <c r="I212" s="642" t="str">
        <f>TEXT(UUTRangeTol[[#This Row],[TolMin]],SUBSTITUTE(UUTRangeTol[[#This Row],[TolResolution]],"1","0"))&amp;UUTRangeTol[[#This Row],[Unit]]</f>
        <v>-32°C</v>
      </c>
      <c r="J212" s="642" t="str">
        <f>TEXT(UUTRangeTol[[#This Row],[TolMax]],SUBSTITUTE(UUTRangeTol[[#This Row],[TolResolution]],"1","0"))&amp;UUTRangeTol[[#This Row],[Unit]]</f>
        <v>9°C</v>
      </c>
      <c r="K2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s="642" t="str">
        <f>UUTRangeTol[[#This Row],[RangeMax]]&amp;UUTRangeTol[[#This Row],[Unit]]</f>
        <v>195°C</v>
      </c>
      <c r="M2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s="642"/>
      <c r="H213" s="642"/>
      <c r="I213" s="642" t="str">
        <f>TEXT(UUTRangeTol[[#This Row],[TolMin]],SUBSTITUTE(UUTRangeTol[[#This Row],[TolResolution]],"1","0"))&amp;UUTRangeTol[[#This Row],[Unit]]</f>
        <v>-32°C</v>
      </c>
      <c r="J213" s="642" t="str">
        <f>TEXT(UUTRangeTol[[#This Row],[TolMax]],SUBSTITUTE(UUTRangeTol[[#This Row],[TolResolution]],"1","0"))&amp;UUTRangeTol[[#This Row],[Unit]]</f>
        <v>9°C</v>
      </c>
      <c r="K2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s="642" t="str">
        <f>UUTRangeTol[[#This Row],[RangeMax]]&amp;UUTRangeTol[[#This Row],[Unit]]</f>
        <v>195°C</v>
      </c>
      <c r="M2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s="642"/>
      <c r="H214" s="642"/>
      <c r="I214" s="642" t="str">
        <f>TEXT(UUTRangeTol[[#This Row],[TolMin]],SUBSTITUTE(UUTRangeTol[[#This Row],[TolResolution]],"1","0"))&amp;UUTRangeTol[[#This Row],[Unit]]</f>
        <v>-11°C</v>
      </c>
      <c r="J214" s="642" t="str">
        <f>TEXT(UUTRangeTol[[#This Row],[TolMax]],SUBSTITUTE(UUTRangeTol[[#This Row],[TolResolution]],"1","0"))&amp;UUTRangeTol[[#This Row],[Unit]]</f>
        <v>4°C</v>
      </c>
      <c r="K2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s="642" t="str">
        <f>UUTRangeTol[[#This Row],[RangeMax]]&amp;UUTRangeTol[[#This Row],[Unit]]</f>
        <v>185°C</v>
      </c>
      <c r="M2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s="642"/>
      <c r="H215" s="642"/>
      <c r="I215" s="642" t="str">
        <f>TEXT(UUTRangeTol[[#This Row],[TolMin]],SUBSTITUTE(UUTRangeTol[[#This Row],[TolResolution]],"1","0"))&amp;UUTRangeTol[[#This Row],[Unit]]</f>
        <v>-11°C</v>
      </c>
      <c r="J215" s="642" t="str">
        <f>TEXT(UUTRangeTol[[#This Row],[TolMax]],SUBSTITUTE(UUTRangeTol[[#This Row],[TolResolution]],"1","0"))&amp;UUTRangeTol[[#This Row],[Unit]]</f>
        <v>4°C</v>
      </c>
      <c r="K2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s="642" t="str">
        <f>UUTRangeTol[[#This Row],[RangeMax]]&amp;UUTRangeTol[[#This Row],[Unit]]</f>
        <v>185°C</v>
      </c>
      <c r="M2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s="642"/>
      <c r="H216" s="642"/>
      <c r="I216" s="642" t="str">
        <f>TEXT(UUTRangeTol[[#This Row],[TolMin]],SUBSTITUTE(UUTRangeTol[[#This Row],[TolResolution]],"1","0"))&amp;UUTRangeTol[[#This Row],[Unit]]</f>
        <v>-11°C</v>
      </c>
      <c r="J216" s="642" t="str">
        <f>TEXT(UUTRangeTol[[#This Row],[TolMax]],SUBSTITUTE(UUTRangeTol[[#This Row],[TolResolution]],"1","0"))&amp;UUTRangeTol[[#This Row],[Unit]]</f>
        <v>4°C</v>
      </c>
      <c r="K2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s="642" t="str">
        <f>UUTRangeTol[[#This Row],[RangeMax]]&amp;UUTRangeTol[[#This Row],[Unit]]</f>
        <v>185°C</v>
      </c>
      <c r="M2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s="642"/>
      <c r="H217" s="642"/>
      <c r="I217" s="642" t="str">
        <f>TEXT(UUTRangeTol[[#This Row],[TolMin]],SUBSTITUTE(UUTRangeTol[[#This Row],[TolResolution]],"1","0"))&amp;UUTRangeTol[[#This Row],[Unit]]</f>
        <v>-10°F</v>
      </c>
      <c r="J217" s="642" t="str">
        <f>TEXT(UUTRangeTol[[#This Row],[TolMax]],SUBSTITUTE(UUTRangeTol[[#This Row],[TolResolution]],"1","0"))&amp;UUTRangeTol[[#This Row],[Unit]]</f>
        <v>10°F</v>
      </c>
      <c r="K2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s="642" t="str">
        <f>UUTRangeTol[[#This Row],[RangeMax]]&amp;UUTRangeTol[[#This Row],[Unit]]</f>
        <v>350°F</v>
      </c>
      <c r="M2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s="642"/>
      <c r="H218" s="642"/>
      <c r="I218" s="642" t="str">
        <f>TEXT(UUTRangeTol[[#This Row],[TolMin]],SUBSTITUTE(UUTRangeTol[[#This Row],[TolResolution]],"1","0"))&amp;UUTRangeTol[[#This Row],[Unit]]</f>
        <v>-10°F</v>
      </c>
      <c r="J218" s="642" t="str">
        <f>TEXT(UUTRangeTol[[#This Row],[TolMax]],SUBSTITUTE(UUTRangeTol[[#This Row],[TolResolution]],"1","0"))&amp;UUTRangeTol[[#This Row],[Unit]]</f>
        <v>10°F</v>
      </c>
      <c r="K2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s="642" t="str">
        <f>UUTRangeTol[[#This Row],[RangeMax]]&amp;UUTRangeTol[[#This Row],[Unit]]</f>
        <v>220°F</v>
      </c>
      <c r="M2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s="642"/>
      <c r="H219" s="642"/>
      <c r="I219" s="642" t="str">
        <f>TEXT(UUTRangeTol[[#This Row],[TolMin]],SUBSTITUTE(UUTRangeTol[[#This Row],[TolResolution]],"1","0"))&amp;UUTRangeTol[[#This Row],[Unit]]</f>
        <v>-11°C</v>
      </c>
      <c r="J219" s="642" t="str">
        <f>TEXT(UUTRangeTol[[#This Row],[TolMax]],SUBSTITUTE(UUTRangeTol[[#This Row],[TolResolution]],"1","0"))&amp;UUTRangeTol[[#This Row],[Unit]]</f>
        <v>4°C</v>
      </c>
      <c r="K2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s="642" t="str">
        <f>UUTRangeTol[[#This Row],[RangeMax]]&amp;UUTRangeTol[[#This Row],[Unit]]</f>
        <v>185°C</v>
      </c>
      <c r="M2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s="642"/>
      <c r="H220" s="642"/>
      <c r="I220" s="642" t="str">
        <f>TEXT(UUTRangeTol[[#This Row],[TolMin]],SUBSTITUTE(UUTRangeTol[[#This Row],[TolResolution]],"1","0"))&amp;UUTRangeTol[[#This Row],[Unit]]</f>
        <v>-25°F</v>
      </c>
      <c r="J220" s="642" t="str">
        <f>TEXT(UUTRangeTol[[#This Row],[TolMax]],SUBSTITUTE(UUTRangeTol[[#This Row],[TolResolution]],"1","0"))&amp;UUTRangeTol[[#This Row],[Unit]]</f>
        <v>25°F</v>
      </c>
      <c r="K2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s="642" t="str">
        <f>UUTRangeTol[[#This Row],[RangeMax]]&amp;UUTRangeTol[[#This Row],[Unit]]</f>
        <v>450°F</v>
      </c>
      <c r="M2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s="642"/>
      <c r="H221" s="642"/>
      <c r="I221" s="642" t="str">
        <f>TEXT(UUTRangeTol[[#This Row],[TolMin]],SUBSTITUTE(UUTRangeTol[[#This Row],[TolResolution]],"1","0"))&amp;UUTRangeTol[[#This Row],[Unit]]</f>
        <v>-32°C</v>
      </c>
      <c r="J221" s="642" t="str">
        <f>TEXT(UUTRangeTol[[#This Row],[TolMax]],SUBSTITUTE(UUTRangeTol[[#This Row],[TolResolution]],"1","0"))&amp;UUTRangeTol[[#This Row],[Unit]]</f>
        <v>9°C</v>
      </c>
      <c r="K2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s="642" t="str">
        <f>UUTRangeTol[[#This Row],[RangeMax]]&amp;UUTRangeTol[[#This Row],[Unit]]</f>
        <v>195°C</v>
      </c>
      <c r="M2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s="642"/>
      <c r="H222" s="642"/>
      <c r="I222" s="642" t="str">
        <f>TEXT(UUTRangeTol[[#This Row],[TolMin]],SUBSTITUTE(UUTRangeTol[[#This Row],[TolResolution]],"1","0"))&amp;UUTRangeTol[[#This Row],[Unit]]</f>
        <v>-3°C</v>
      </c>
      <c r="J222" s="642" t="str">
        <f>TEXT(UUTRangeTol[[#This Row],[TolMax]],SUBSTITUTE(UUTRangeTol[[#This Row],[TolResolution]],"1","0"))&amp;UUTRangeTol[[#This Row],[Unit]]</f>
        <v>16°C</v>
      </c>
      <c r="K2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s="642" t="str">
        <f>UUTRangeTol[[#This Row],[RangeMax]]&amp;UUTRangeTol[[#This Row],[Unit]]</f>
        <v>170°C</v>
      </c>
      <c r="M2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s="642"/>
      <c r="H223" s="642"/>
      <c r="I223" s="642" t="str">
        <f>TEXT(UUTRangeTol[[#This Row],[TolMin]],SUBSTITUTE(UUTRangeTol[[#This Row],[TolResolution]],"1","0"))&amp;UUTRangeTol[[#This Row],[Unit]]</f>
        <v>-15°F</v>
      </c>
      <c r="J223" s="642" t="str">
        <f>TEXT(UUTRangeTol[[#This Row],[TolMax]],SUBSTITUTE(UUTRangeTol[[#This Row],[TolResolution]],"1","0"))&amp;UUTRangeTol[[#This Row],[Unit]]</f>
        <v>15°F</v>
      </c>
      <c r="K2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s="642" t="str">
        <f>UUTRangeTol[[#This Row],[RangeMax]]&amp;UUTRangeTol[[#This Row],[Unit]]</f>
        <v>140°F</v>
      </c>
      <c r="M2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s="642"/>
      <c r="H224" s="642"/>
      <c r="I224" s="642" t="str">
        <f>TEXT(UUTRangeTol[[#This Row],[TolMin]],SUBSTITUTE(UUTRangeTol[[#This Row],[TolResolution]],"1","0"))&amp;UUTRangeTol[[#This Row],[Unit]]</f>
        <v>-10°F</v>
      </c>
      <c r="J224" s="642" t="str">
        <f>TEXT(UUTRangeTol[[#This Row],[TolMax]],SUBSTITUTE(UUTRangeTol[[#This Row],[TolResolution]],"1","0"))&amp;UUTRangeTol[[#This Row],[Unit]]</f>
        <v>10°F</v>
      </c>
      <c r="K22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s="642" t="str">
        <f>UUTRangeTol[[#This Row],[RangeMax]]&amp;UUTRangeTol[[#This Row],[Unit]]</f>
        <v>170°F</v>
      </c>
      <c r="M22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s="642"/>
      <c r="H225" s="642"/>
      <c r="I225" s="642" t="str">
        <f>TEXT(UUTRangeTol[[#This Row],[TolMin]],SUBSTITUTE(UUTRangeTol[[#This Row],[TolResolution]],"1","0"))&amp;UUTRangeTol[[#This Row],[Unit]]</f>
        <v>-10°F</v>
      </c>
      <c r="J225" s="642" t="str">
        <f>TEXT(UUTRangeTol[[#This Row],[TolMax]],SUBSTITUTE(UUTRangeTol[[#This Row],[TolResolution]],"1","0"))&amp;UUTRangeTol[[#This Row],[Unit]]</f>
        <v>10°F</v>
      </c>
      <c r="K22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s="642" t="str">
        <f>UUTRangeTol[[#This Row],[RangeMax]]&amp;UUTRangeTol[[#This Row],[Unit]]</f>
        <v>400°F</v>
      </c>
      <c r="M22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s="642"/>
      <c r="H226" s="642"/>
      <c r="I226" s="642" t="str">
        <f>TEXT(UUTRangeTol[[#This Row],[TolMin]],SUBSTITUTE(UUTRangeTol[[#This Row],[TolResolution]],"1","0"))&amp;UUTRangeTol[[#This Row],[Unit]]</f>
        <v>-20°F</v>
      </c>
      <c r="J226" s="642" t="str">
        <f>TEXT(UUTRangeTol[[#This Row],[TolMax]],SUBSTITUTE(UUTRangeTol[[#This Row],[TolResolution]],"1","0"))&amp;UUTRangeTol[[#This Row],[Unit]]</f>
        <v>20°F</v>
      </c>
      <c r="K22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s="642" t="str">
        <f>UUTRangeTol[[#This Row],[RangeMax]]&amp;UUTRangeTol[[#This Row],[Unit]]</f>
        <v>250°F</v>
      </c>
      <c r="M22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s="642"/>
      <c r="H227" s="642"/>
      <c r="I227" s="642" t="str">
        <f>TEXT(UUTRangeTol[[#This Row],[TolMin]],SUBSTITUTE(UUTRangeTol[[#This Row],[TolResolution]],"1","0"))&amp;UUTRangeTol[[#This Row],[Unit]]</f>
        <v>-5.5°F</v>
      </c>
      <c r="J227" s="642" t="str">
        <f>TEXT(UUTRangeTol[[#This Row],[TolMax]],SUBSTITUTE(UUTRangeTol[[#This Row],[TolResolution]],"1","0"))&amp;UUTRangeTol[[#This Row],[Unit]]</f>
        <v>5.5°F</v>
      </c>
      <c r="K22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s="642" t="str">
        <f>UUTRangeTol[[#This Row],[RangeMax]]&amp;UUTRangeTol[[#This Row],[Unit]]</f>
        <v>500°F</v>
      </c>
      <c r="M22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s="642"/>
      <c r="H228" s="642"/>
      <c r="I228" s="642" t="str">
        <f>TEXT(UUTRangeTol[[#This Row],[TolMin]],SUBSTITUTE(UUTRangeTol[[#This Row],[TolResolution]],"1","0"))&amp;UUTRangeTol[[#This Row],[Unit]]</f>
        <v>-10°F</v>
      </c>
      <c r="J228" s="642" t="str">
        <f>TEXT(UUTRangeTol[[#This Row],[TolMax]],SUBSTITUTE(UUTRangeTol[[#This Row],[TolResolution]],"1","0"))&amp;UUTRangeTol[[#This Row],[Unit]]</f>
        <v>10°F</v>
      </c>
      <c r="K22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s="642" t="str">
        <f>UUTRangeTol[[#This Row],[RangeMax]]&amp;UUTRangeTol[[#This Row],[Unit]]</f>
        <v>240°F</v>
      </c>
      <c r="M22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s="642"/>
      <c r="H229" s="642"/>
      <c r="I229" s="642" t="str">
        <f>TEXT(UUTRangeTol[[#This Row],[TolMin]],SUBSTITUTE(UUTRangeTol[[#This Row],[TolResolution]],"1","0"))&amp;UUTRangeTol[[#This Row],[Unit]]</f>
        <v>-10°F</v>
      </c>
      <c r="J229" s="642" t="str">
        <f>TEXT(UUTRangeTol[[#This Row],[TolMax]],SUBSTITUTE(UUTRangeTol[[#This Row],[TolResolution]],"1","0"))&amp;UUTRangeTol[[#This Row],[Unit]]</f>
        <v>10°F</v>
      </c>
      <c r="K22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s="642" t="str">
        <f>UUTRangeTol[[#This Row],[RangeMax]]&amp;UUTRangeTol[[#This Row],[Unit]]</f>
        <v>350°F</v>
      </c>
      <c r="M22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s="642"/>
      <c r="H230" s="642"/>
      <c r="I230" s="642" t="str">
        <f>TEXT(UUTRangeTol[[#This Row],[TolMin]],SUBSTITUTE(UUTRangeTol[[#This Row],[TolResolution]],"1","0"))&amp;UUTRangeTol[[#This Row],[Unit]]</f>
        <v>0°C</v>
      </c>
      <c r="J230" s="642" t="str">
        <f>TEXT(UUTRangeTol[[#This Row],[TolMax]],SUBSTITUTE(UUTRangeTol[[#This Row],[TolResolution]],"1","0"))&amp;UUTRangeTol[[#This Row],[Unit]]</f>
        <v>-55°C</v>
      </c>
      <c r="K23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s="642" t="str">
        <f>UUTRangeTol[[#This Row],[RangeMax]]&amp;UUTRangeTol[[#This Row],[Unit]]</f>
        <v>-55°C</v>
      </c>
      <c r="M23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s="642"/>
      <c r="H231" s="642"/>
      <c r="I231" s="642" t="str">
        <f>TEXT(UUTRangeTol[[#This Row],[TolMin]],SUBSTITUTE(UUTRangeTol[[#This Row],[TolResolution]],"1","0"))&amp;UUTRangeTol[[#This Row],[Unit]]</f>
        <v>0°C</v>
      </c>
      <c r="J231" s="642" t="str">
        <f>TEXT(UUTRangeTol[[#This Row],[TolMax]],SUBSTITUTE(UUTRangeTol[[#This Row],[TolResolution]],"1","0"))&amp;UUTRangeTol[[#This Row],[Unit]]</f>
        <v>-55°C</v>
      </c>
      <c r="K23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s="642" t="str">
        <f>UUTRangeTol[[#This Row],[RangeMax]]&amp;UUTRangeTol[[#This Row],[Unit]]</f>
        <v>-60°C</v>
      </c>
      <c r="M23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s="642"/>
      <c r="H232" s="642"/>
      <c r="I232" s="642" t="str">
        <f>TEXT(UUTRangeTol[[#This Row],[TolMin]],SUBSTITUTE(UUTRangeTol[[#This Row],[TolResolution]],"1","0"))&amp;UUTRangeTol[[#This Row],[Unit]]</f>
        <v>-10.0°F</v>
      </c>
      <c r="J232" s="642" t="str">
        <f>TEXT(UUTRangeTol[[#This Row],[TolMax]],SUBSTITUTE(UUTRangeTol[[#This Row],[TolResolution]],"1","0"))&amp;UUTRangeTol[[#This Row],[Unit]]</f>
        <v>10.0°F</v>
      </c>
      <c r="K23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s="642" t="str">
        <f>UUTRangeTol[[#This Row],[RangeMax]]&amp;UUTRangeTol[[#This Row],[Unit]]</f>
        <v>375°F</v>
      </c>
      <c r="M23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s="642"/>
      <c r="H233" s="642"/>
      <c r="I233" s="642" t="str">
        <f>TEXT(UUTRangeTol[[#This Row],[TolMin]],SUBSTITUTE(UUTRangeTol[[#This Row],[TolResolution]],"1","0"))&amp;UUTRangeTol[[#This Row],[Unit]]</f>
        <v>-20.0°F</v>
      </c>
      <c r="J233" s="642" t="str">
        <f>TEXT(UUTRangeTol[[#This Row],[TolMax]],SUBSTITUTE(UUTRangeTol[[#This Row],[TolResolution]],"1","0"))&amp;UUTRangeTol[[#This Row],[Unit]]</f>
        <v>20.0°F</v>
      </c>
      <c r="K23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s="642" t="str">
        <f>UUTRangeTol[[#This Row],[RangeMax]]&amp;UUTRangeTol[[#This Row],[Unit]]</f>
        <v>200°F</v>
      </c>
      <c r="M23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s="642"/>
      <c r="H234" s="642"/>
      <c r="I234" s="642" t="str">
        <f>TEXT(UUTRangeTol[[#This Row],[TolMin]],SUBSTITUTE(UUTRangeTol[[#This Row],[TolResolution]],"1","0"))&amp;UUTRangeTol[[#This Row],[Unit]]</f>
        <v>-10.0°F</v>
      </c>
      <c r="J234" s="642" t="str">
        <f>TEXT(UUTRangeTol[[#This Row],[TolMax]],SUBSTITUTE(UUTRangeTol[[#This Row],[TolResolution]],"1","0"))&amp;UUTRangeTol[[#This Row],[Unit]]</f>
        <v>10.0°F</v>
      </c>
      <c r="K23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s="642" t="str">
        <f>UUTRangeTol[[#This Row],[RangeMax]]&amp;UUTRangeTol[[#This Row],[Unit]]</f>
        <v>250°F</v>
      </c>
      <c r="M23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s="642"/>
      <c r="H235" s="642"/>
      <c r="I235" s="642" t="str">
        <f>TEXT(UUTRangeTol[[#This Row],[TolMin]],SUBSTITUTE(UUTRangeTol[[#This Row],[TolResolution]],"1","0"))&amp;UUTRangeTol[[#This Row],[Unit]]</f>
        <v>-20°F</v>
      </c>
      <c r="J235" s="642" t="str">
        <f>TEXT(UUTRangeTol[[#This Row],[TolMax]],SUBSTITUTE(UUTRangeTol[[#This Row],[TolResolution]],"1","0"))&amp;UUTRangeTol[[#This Row],[Unit]]</f>
        <v>20°F</v>
      </c>
      <c r="K23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s="642" t="str">
        <f>UUTRangeTol[[#This Row],[RangeMax]]&amp;UUTRangeTol[[#This Row],[Unit]]</f>
        <v>400°F</v>
      </c>
      <c r="M23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s="642"/>
      <c r="H236" s="642"/>
      <c r="I236" s="642" t="str">
        <f>TEXT(UUTRangeTol[[#This Row],[TolMin]],SUBSTITUTE(UUTRangeTol[[#This Row],[TolResolution]],"1","0"))&amp;UUTRangeTol[[#This Row],[Unit]]</f>
        <v>-15°F</v>
      </c>
      <c r="J236" s="642" t="str">
        <f>TEXT(UUTRangeTol[[#This Row],[TolMax]],SUBSTITUTE(UUTRangeTol[[#This Row],[TolResolution]],"1","0"))&amp;UUTRangeTol[[#This Row],[Unit]]</f>
        <v>15°F</v>
      </c>
      <c r="K23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s="642" t="str">
        <f>UUTRangeTol[[#This Row],[RangeMax]]&amp;UUTRangeTol[[#This Row],[Unit]]</f>
        <v>400°F</v>
      </c>
      <c r="M23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s="642"/>
      <c r="H237" s="642"/>
      <c r="I237" s="642" t="str">
        <f>TEXT(UUTRangeTol[[#This Row],[TolMin]],SUBSTITUTE(UUTRangeTol[[#This Row],[TolResolution]],"1","0"))&amp;UUTRangeTol[[#This Row],[Unit]]</f>
        <v>-25°F</v>
      </c>
      <c r="J237" s="642" t="str">
        <f>TEXT(UUTRangeTol[[#This Row],[TolMax]],SUBSTITUTE(UUTRangeTol[[#This Row],[TolResolution]],"1","0"))&amp;UUTRangeTol[[#This Row],[Unit]]</f>
        <v>25°F</v>
      </c>
      <c r="K23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s="642" t="str">
        <f>UUTRangeTol[[#This Row],[RangeMax]]&amp;UUTRangeTol[[#This Row],[Unit]]</f>
        <v>145°F</v>
      </c>
      <c r="M23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s="642"/>
      <c r="H238" s="642"/>
      <c r="I238" s="642" t="str">
        <f>TEXT(UUTRangeTol[[#This Row],[TolMin]],SUBSTITUTE(UUTRangeTol[[#This Row],[TolResolution]],"1","0"))&amp;UUTRangeTol[[#This Row],[Unit]]</f>
        <v>-25°F</v>
      </c>
      <c r="J238" s="642" t="str">
        <f>TEXT(UUTRangeTol[[#This Row],[TolMax]],SUBSTITUTE(UUTRangeTol[[#This Row],[TolResolution]],"1","0"))&amp;UUTRangeTol[[#This Row],[Unit]]</f>
        <v>25°F</v>
      </c>
      <c r="K23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s="642" t="str">
        <f>UUTRangeTol[[#This Row],[RangeMax]]&amp;UUTRangeTol[[#This Row],[Unit]]</f>
        <v>145°F</v>
      </c>
      <c r="M23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s="642"/>
      <c r="H239" s="642"/>
      <c r="I239" s="642" t="str">
        <f>TEXT(UUTRangeTol[[#This Row],[TolMin]],SUBSTITUTE(UUTRangeTol[[#This Row],[TolResolution]],"1","0"))&amp;UUTRangeTol[[#This Row],[Unit]]</f>
        <v>-10°F</v>
      </c>
      <c r="J239" s="642" t="str">
        <f>TEXT(UUTRangeTol[[#This Row],[TolMax]],SUBSTITUTE(UUTRangeTol[[#This Row],[TolResolution]],"1","0"))&amp;UUTRangeTol[[#This Row],[Unit]]</f>
        <v>10°F</v>
      </c>
      <c r="K23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s="642" t="str">
        <f>UUTRangeTol[[#This Row],[RangeMax]]&amp;UUTRangeTol[[#This Row],[Unit]]</f>
        <v>400°F</v>
      </c>
      <c r="M23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s="642"/>
      <c r="H240" s="642"/>
      <c r="I240" s="642" t="str">
        <f>TEXT(UUTRangeTol[[#This Row],[TolMin]],SUBSTITUTE(UUTRangeTol[[#This Row],[TolResolution]],"1","0"))&amp;UUTRangeTol[[#This Row],[Unit]]</f>
        <v>-25°F</v>
      </c>
      <c r="J240" s="642" t="str">
        <f>TEXT(UUTRangeTol[[#This Row],[TolMax]],SUBSTITUTE(UUTRangeTol[[#This Row],[TolResolution]],"1","0"))&amp;UUTRangeTol[[#This Row],[Unit]]</f>
        <v>25°F</v>
      </c>
      <c r="K24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s="642" t="str">
        <f>UUTRangeTol[[#This Row],[RangeMax]]&amp;UUTRangeTol[[#This Row],[Unit]]</f>
        <v>450°F</v>
      </c>
      <c r="M24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s="642"/>
      <c r="H241" s="642"/>
      <c r="I241" s="642" t="str">
        <f>TEXT(UUTRangeTol[[#This Row],[TolMin]],SUBSTITUTE(UUTRangeTol[[#This Row],[TolResolution]],"1","0"))&amp;UUTRangeTol[[#This Row],[Unit]]</f>
        <v>-15°F</v>
      </c>
      <c r="J241" s="642" t="str">
        <f>TEXT(UUTRangeTol[[#This Row],[TolMax]],SUBSTITUTE(UUTRangeTol[[#This Row],[TolResolution]],"1","0"))&amp;UUTRangeTol[[#This Row],[Unit]]</f>
        <v>15°F</v>
      </c>
      <c r="K24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s="642" t="str">
        <f>UUTRangeTol[[#This Row],[RangeMax]]&amp;UUTRangeTol[[#This Row],[Unit]]</f>
        <v>400°F</v>
      </c>
      <c r="M24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s="642"/>
      <c r="H242" s="642"/>
      <c r="I242" s="642" t="str">
        <f>TEXT(UUTRangeTol[[#This Row],[TolMin]],SUBSTITUTE(UUTRangeTol[[#This Row],[TolResolution]],"1","0"))&amp;UUTRangeTol[[#This Row],[Unit]]</f>
        <v>-25°F</v>
      </c>
      <c r="J242" s="642" t="str">
        <f>TEXT(UUTRangeTol[[#This Row],[TolMax]],SUBSTITUTE(UUTRangeTol[[#This Row],[TolResolution]],"1","0"))&amp;UUTRangeTol[[#This Row],[Unit]]</f>
        <v>25°F</v>
      </c>
      <c r="K24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s="642" t="str">
        <f>UUTRangeTol[[#This Row],[RangeMax]]&amp;UUTRangeTol[[#This Row],[Unit]]</f>
        <v>1000°F</v>
      </c>
      <c r="M24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s="642"/>
      <c r="H243" s="642"/>
      <c r="I243" s="642" t="str">
        <f>TEXT(UUTRangeTol[[#This Row],[TolMin]],SUBSTITUTE(UUTRangeTol[[#This Row],[TolResolution]],"1","0"))&amp;UUTRangeTol[[#This Row],[Unit]]</f>
        <v>-15°F</v>
      </c>
      <c r="J243" s="642" t="str">
        <f>TEXT(UUTRangeTol[[#This Row],[TolMax]],SUBSTITUTE(UUTRangeTol[[#This Row],[TolResolution]],"1","0"))&amp;UUTRangeTol[[#This Row],[Unit]]</f>
        <v>15°F</v>
      </c>
      <c r="K24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s="642" t="str">
        <f>UUTRangeTol[[#This Row],[RangeMax]]&amp;UUTRangeTol[[#This Row],[Unit]]</f>
        <v>400°F</v>
      </c>
      <c r="M24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s="642"/>
      <c r="H244" s="642"/>
      <c r="I244" s="642" t="str">
        <f>TEXT(UUTRangeTol[[#This Row],[TolMin]],SUBSTITUTE(UUTRangeTol[[#This Row],[TolResolution]],"1","0"))&amp;UUTRangeTol[[#This Row],[Unit]]</f>
        <v>-25°F</v>
      </c>
      <c r="J244" s="642" t="str">
        <f>TEXT(UUTRangeTol[[#This Row],[TolMax]],SUBSTITUTE(UUTRangeTol[[#This Row],[TolResolution]],"1","0"))&amp;UUTRangeTol[[#This Row],[Unit]]</f>
        <v>25°F</v>
      </c>
      <c r="K24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s="642" t="str">
        <f>UUTRangeTol[[#This Row],[RangeMax]]&amp;UUTRangeTol[[#This Row],[Unit]]</f>
        <v>800°F</v>
      </c>
      <c r="M24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s="642"/>
      <c r="H245" s="642"/>
      <c r="I245" s="642" t="str">
        <f>TEXT(UUTRangeTol[[#This Row],[TolMin]],SUBSTITUTE(UUTRangeTol[[#This Row],[TolResolution]],"1","0"))&amp;UUTRangeTol[[#This Row],[Unit]]</f>
        <v>-15°F</v>
      </c>
      <c r="J245" s="642" t="str">
        <f>TEXT(UUTRangeTol[[#This Row],[TolMax]],SUBSTITUTE(UUTRangeTol[[#This Row],[TolResolution]],"1","0"))&amp;UUTRangeTol[[#This Row],[Unit]]</f>
        <v>15°F</v>
      </c>
      <c r="K24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s="642" t="str">
        <f>UUTRangeTol[[#This Row],[RangeMax]]&amp;UUTRangeTol[[#This Row],[Unit]]</f>
        <v>450°F</v>
      </c>
      <c r="M24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s="642"/>
      <c r="H246" s="642"/>
      <c r="I246" s="642" t="str">
        <f>TEXT(UUTRangeTol[[#This Row],[TolMin]],SUBSTITUTE(UUTRangeTol[[#This Row],[TolResolution]],"1","0"))&amp;UUTRangeTol[[#This Row],[Unit]]</f>
        <v>-10°F</v>
      </c>
      <c r="J246" s="642" t="str">
        <f>TEXT(UUTRangeTol[[#This Row],[TolMax]],SUBSTITUTE(UUTRangeTol[[#This Row],[TolResolution]],"1","0"))&amp;UUTRangeTol[[#This Row],[Unit]]</f>
        <v>10°F</v>
      </c>
      <c r="K24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s="642" t="str">
        <f>UUTRangeTol[[#This Row],[RangeMax]]&amp;UUTRangeTol[[#This Row],[Unit]]</f>
        <v>350°F</v>
      </c>
      <c r="M24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s="642"/>
      <c r="H247" s="642"/>
      <c r="I247" s="642" t="str">
        <f>TEXT(UUTRangeTol[[#This Row],[TolMin]],SUBSTITUTE(UUTRangeTol[[#This Row],[TolResolution]],"1","0"))&amp;UUTRangeTol[[#This Row],[Unit]]</f>
        <v>-14°C</v>
      </c>
      <c r="J247" s="642" t="str">
        <f>TEXT(UUTRangeTol[[#This Row],[TolMax]],SUBSTITUTE(UUTRangeTol[[#This Row],[TolResolution]],"1","0"))&amp;UUTRangeTol[[#This Row],[Unit]]</f>
        <v>14°C</v>
      </c>
      <c r="K24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s="642" t="str">
        <f>UUTRangeTol[[#This Row],[RangeMax]]&amp;UUTRangeTol[[#This Row],[Unit]]</f>
        <v>93°C</v>
      </c>
      <c r="M24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s="642"/>
      <c r="H248" s="642"/>
      <c r="I248" s="642" t="str">
        <f>TEXT(UUTRangeTol[[#This Row],[TolMin]],SUBSTITUTE(UUTRangeTol[[#This Row],[TolResolution]],"1","0"))&amp;UUTRangeTol[[#This Row],[Unit]]</f>
        <v>0°F</v>
      </c>
      <c r="J248" s="642" t="str">
        <f>TEXT(UUTRangeTol[[#This Row],[TolMax]],SUBSTITUTE(UUTRangeTol[[#This Row],[TolResolution]],"1","0"))&amp;UUTRangeTol[[#This Row],[Unit]]</f>
        <v>40°F</v>
      </c>
      <c r="K24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s="642" t="str">
        <f>UUTRangeTol[[#This Row],[RangeMax]]&amp;UUTRangeTol[[#This Row],[Unit]]</f>
        <v>40°F</v>
      </c>
      <c r="M24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s="642"/>
      <c r="H249" s="642"/>
      <c r="I249" s="642" t="str">
        <f>TEXT(UUTRangeTol[[#This Row],[TolMin]],SUBSTITUTE(UUTRangeTol[[#This Row],[TolResolution]],"1","0"))&amp;UUTRangeTol[[#This Row],[Unit]]</f>
        <v>-9°F</v>
      </c>
      <c r="J249" s="642" t="str">
        <f>TEXT(UUTRangeTol[[#This Row],[TolMax]],SUBSTITUTE(UUTRangeTol[[#This Row],[TolResolution]],"1","0"))&amp;UUTRangeTol[[#This Row],[Unit]]</f>
        <v>9°F</v>
      </c>
      <c r="K24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s="642" t="str">
        <f>UUTRangeTol[[#This Row],[RangeMax]]&amp;UUTRangeTol[[#This Row],[Unit]]</f>
        <v>400°F</v>
      </c>
      <c r="M24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s="642"/>
      <c r="H250" s="642"/>
      <c r="I250" s="642" t="str">
        <f>TEXT(UUTRangeTol[[#This Row],[TolMin]],SUBSTITUTE(UUTRangeTol[[#This Row],[TolResolution]],"1","0"))&amp;UUTRangeTol[[#This Row],[Unit]]</f>
        <v>-10.0°F</v>
      </c>
      <c r="J250" s="642" t="str">
        <f>TEXT(UUTRangeTol[[#This Row],[TolMax]],SUBSTITUTE(UUTRangeTol[[#This Row],[TolResolution]],"1","0"))&amp;UUTRangeTol[[#This Row],[Unit]]</f>
        <v>10.0°F</v>
      </c>
      <c r="K25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s="642" t="str">
        <f>UUTRangeTol[[#This Row],[RangeMax]]&amp;UUTRangeTol[[#This Row],[Unit]]</f>
        <v>400°F</v>
      </c>
      <c r="M25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s="642"/>
      <c r="H251" s="642"/>
      <c r="I251" s="642" t="str">
        <f>TEXT(UUTRangeTol[[#This Row],[TolMin]],SUBSTITUTE(UUTRangeTol[[#This Row],[TolResolution]],"1","0"))&amp;UUTRangeTol[[#This Row],[Unit]]</f>
        <v>-25.0°F</v>
      </c>
      <c r="J251" s="642" t="str">
        <f>TEXT(UUTRangeTol[[#This Row],[TolMax]],SUBSTITUTE(UUTRangeTol[[#This Row],[TolResolution]],"1","0"))&amp;UUTRangeTol[[#This Row],[Unit]]</f>
        <v>25.0°F</v>
      </c>
      <c r="K25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s="642" t="str">
        <f>UUTRangeTol[[#This Row],[RangeMax]]&amp;UUTRangeTol[[#This Row],[Unit]]</f>
        <v>800°F</v>
      </c>
      <c r="M25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s="642"/>
      <c r="H252" s="642"/>
      <c r="I252" s="642" t="str">
        <f>TEXT(UUTRangeTol[[#This Row],[TolMin]],SUBSTITUTE(UUTRangeTol[[#This Row],[TolResolution]],"1","0"))&amp;UUTRangeTol[[#This Row],[Unit]]</f>
        <v>-10.0°F</v>
      </c>
      <c r="J252" s="642" t="str">
        <f>TEXT(UUTRangeTol[[#This Row],[TolMax]],SUBSTITUTE(UUTRangeTol[[#This Row],[TolResolution]],"1","0"))&amp;UUTRangeTol[[#This Row],[Unit]]</f>
        <v>10.0°F</v>
      </c>
      <c r="K25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s="642" t="str">
        <f>UUTRangeTol[[#This Row],[RangeMax]]&amp;UUTRangeTol[[#This Row],[Unit]]</f>
        <v>1050°F</v>
      </c>
      <c r="M25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s="642"/>
      <c r="H253" s="642"/>
      <c r="I253" s="642" t="str">
        <f>TEXT(UUTRangeTol[[#This Row],[TolMin]],SUBSTITUTE(UUTRangeTol[[#This Row],[TolResolution]],"1","0"))&amp;UUTRangeTol[[#This Row],[Unit]]</f>
        <v>-10.0°F</v>
      </c>
      <c r="J253" s="642" t="str">
        <f>TEXT(UUTRangeTol[[#This Row],[TolMax]],SUBSTITUTE(UUTRangeTol[[#This Row],[TolResolution]],"1","0"))&amp;UUTRangeTol[[#This Row],[Unit]]</f>
        <v>10.0°F</v>
      </c>
      <c r="K25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s="642" t="str">
        <f>UUTRangeTol[[#This Row],[RangeMax]]&amp;UUTRangeTol[[#This Row],[Unit]]</f>
        <v>650°F</v>
      </c>
      <c r="M25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s="642"/>
      <c r="H254" s="642"/>
      <c r="I254" s="642" t="str">
        <f>TEXT(UUTRangeTol[[#This Row],[TolMin]],SUBSTITUTE(UUTRangeTol[[#This Row],[TolResolution]],"1","0"))&amp;UUTRangeTol[[#This Row],[Unit]]</f>
        <v>0°F</v>
      </c>
      <c r="J254" s="642" t="str">
        <f>TEXT(UUTRangeTol[[#This Row],[TolMax]],SUBSTITUTE(UUTRangeTol[[#This Row],[TolResolution]],"1","0"))&amp;UUTRangeTol[[#This Row],[Unit]]</f>
        <v>0°F</v>
      </c>
      <c r="K25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s="642" t="str">
        <f>UUTRangeTol[[#This Row],[RangeMax]]&amp;UUTRangeTol[[#This Row],[Unit]]</f>
        <v>0°F</v>
      </c>
      <c r="M25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s="642"/>
      <c r="H255" s="642"/>
      <c r="I255" s="642" t="str">
        <f>TEXT(UUTRangeTol[[#This Row],[TolMin]],SUBSTITUTE(UUTRangeTol[[#This Row],[TolResolution]],"1","0"))&amp;UUTRangeTol[[#This Row],[Unit]]</f>
        <v>0°F</v>
      </c>
      <c r="J255" s="642" t="str">
        <f>TEXT(UUTRangeTol[[#This Row],[TolMax]],SUBSTITUTE(UUTRangeTol[[#This Row],[TolResolution]],"1","0"))&amp;UUTRangeTol[[#This Row],[Unit]]</f>
        <v>45°F</v>
      </c>
      <c r="K25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s="642" t="str">
        <f>UUTRangeTol[[#This Row],[RangeMax]]&amp;UUTRangeTol[[#This Row],[Unit]]</f>
        <v>45°F</v>
      </c>
      <c r="M25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s="642"/>
      <c r="H256" s="642"/>
      <c r="I256" s="642" t="str">
        <f>TEXT(UUTRangeTol[[#This Row],[TolMin]],SUBSTITUTE(UUTRangeTol[[#This Row],[TolResolution]],"1","0"))&amp;UUTRangeTol[[#This Row],[Unit]]</f>
        <v>-5°F</v>
      </c>
      <c r="J256" s="642" t="str">
        <f>TEXT(UUTRangeTol[[#This Row],[TolMax]],SUBSTITUTE(UUTRangeTol[[#This Row],[TolResolution]],"1","0"))&amp;UUTRangeTol[[#This Row],[Unit]]</f>
        <v>10°F</v>
      </c>
      <c r="K25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s="642" t="str">
        <f>UUTRangeTol[[#This Row],[RangeMax]]&amp;UUTRangeTol[[#This Row],[Unit]]</f>
        <v>350°F</v>
      </c>
      <c r="M25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s="642"/>
      <c r="H257" s="642"/>
      <c r="I257" s="642" t="str">
        <f>TEXT(UUTRangeTol[[#This Row],[TolMin]],SUBSTITUTE(UUTRangeTol[[#This Row],[TolResolution]],"1","0"))&amp;UUTRangeTol[[#This Row],[Unit]]</f>
        <v>-5°F</v>
      </c>
      <c r="J257" s="642" t="str">
        <f>TEXT(UUTRangeTol[[#This Row],[TolMax]],SUBSTITUTE(UUTRangeTol[[#This Row],[TolResolution]],"1","0"))&amp;UUTRangeTol[[#This Row],[Unit]]</f>
        <v>5°F</v>
      </c>
      <c r="K25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s="642" t="str">
        <f>UUTRangeTol[[#This Row],[RangeMax]]&amp;UUTRangeTol[[#This Row],[Unit]]</f>
        <v>99°F</v>
      </c>
      <c r="M25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s="642"/>
      <c r="H258" s="642"/>
      <c r="I258" s="642" t="str">
        <f>TEXT(UUTRangeTol[[#This Row],[TolMin]],SUBSTITUTE(UUTRangeTol[[#This Row],[TolResolution]],"1","0"))&amp;UUTRangeTol[[#This Row],[Unit]]</f>
        <v>-5°F</v>
      </c>
      <c r="J258" s="642" t="str">
        <f>TEXT(UUTRangeTol[[#This Row],[TolMax]],SUBSTITUTE(UUTRangeTol[[#This Row],[TolResolution]],"1","0"))&amp;UUTRangeTol[[#This Row],[Unit]]</f>
        <v>5°F</v>
      </c>
      <c r="K25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s="642" t="str">
        <f>UUTRangeTol[[#This Row],[RangeMax]]&amp;UUTRangeTol[[#This Row],[Unit]]</f>
        <v>104°F</v>
      </c>
      <c r="M25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s="642"/>
      <c r="H259" s="642"/>
      <c r="I259" s="642" t="str">
        <f>TEXT(UUTRangeTol[[#This Row],[TolMin]],SUBSTITUTE(UUTRangeTol[[#This Row],[TolResolution]],"1","0"))&amp;UUTRangeTol[[#This Row],[Unit]]</f>
        <v>-5°F</v>
      </c>
      <c r="J259" s="642" t="str">
        <f>TEXT(UUTRangeTol[[#This Row],[TolMax]],SUBSTITUTE(UUTRangeTol[[#This Row],[TolResolution]],"1","0"))&amp;UUTRangeTol[[#This Row],[Unit]]</f>
        <v>5°F</v>
      </c>
      <c r="K25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s="642" t="str">
        <f>UUTRangeTol[[#This Row],[RangeMax]]&amp;UUTRangeTol[[#This Row],[Unit]]</f>
        <v>128°F</v>
      </c>
      <c r="M25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s="642"/>
      <c r="H260" s="642"/>
      <c r="I260" s="642" t="str">
        <f>TEXT(UUTRangeTol[[#This Row],[TolMin]],SUBSTITUTE(UUTRangeTol[[#This Row],[TolResolution]],"1","0"))&amp;UUTRangeTol[[#This Row],[Unit]]</f>
        <v>-5°F</v>
      </c>
      <c r="J260" s="642" t="str">
        <f>TEXT(UUTRangeTol[[#This Row],[TolMax]],SUBSTITUTE(UUTRangeTol[[#This Row],[TolResolution]],"1","0"))&amp;UUTRangeTol[[#This Row],[Unit]]</f>
        <v>5°F</v>
      </c>
      <c r="K26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s="642" t="str">
        <f>UUTRangeTol[[#This Row],[RangeMax]]&amp;UUTRangeTol[[#This Row],[Unit]]</f>
        <v>155°F</v>
      </c>
      <c r="M26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s="642"/>
      <c r="H261" s="642"/>
      <c r="I261" s="642" t="str">
        <f>TEXT(UUTRangeTol[[#This Row],[TolMin]],SUBSTITUTE(UUTRangeTol[[#This Row],[TolResolution]],"1","0"))&amp;UUTRangeTol[[#This Row],[Unit]]</f>
        <v>-10.0°F</v>
      </c>
      <c r="J261" s="642" t="str">
        <f>TEXT(UUTRangeTol[[#This Row],[TolMax]],SUBSTITUTE(UUTRangeTol[[#This Row],[TolResolution]],"1","0"))&amp;UUTRangeTol[[#This Row],[Unit]]</f>
        <v>10.0°F</v>
      </c>
      <c r="K26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s="642" t="str">
        <f>UUTRangeTol[[#This Row],[RangeMax]]&amp;UUTRangeTol[[#This Row],[Unit]]</f>
        <v>350°F</v>
      </c>
      <c r="M26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s="642"/>
      <c r="H262" s="642"/>
      <c r="I262" s="642" t="str">
        <f>TEXT(UUTRangeTol[[#This Row],[TolMin]],SUBSTITUTE(UUTRangeTol[[#This Row],[TolResolution]],"1","0"))&amp;UUTRangeTol[[#This Row],[Unit]]</f>
        <v>-10.0°F</v>
      </c>
      <c r="J262" s="642" t="str">
        <f>TEXT(UUTRangeTol[[#This Row],[TolMax]],SUBSTITUTE(UUTRangeTol[[#This Row],[TolResolution]],"1","0"))&amp;UUTRangeTol[[#This Row],[Unit]]</f>
        <v>10.0°F</v>
      </c>
      <c r="K26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s="642" t="str">
        <f>UUTRangeTol[[#This Row],[RangeMax]]&amp;UUTRangeTol[[#This Row],[Unit]]</f>
        <v>350°F</v>
      </c>
      <c r="M26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s="642"/>
      <c r="H263" s="642"/>
      <c r="I263" s="642" t="str">
        <f>TEXT(UUTRangeTol[[#This Row],[TolMin]],SUBSTITUTE(UUTRangeTol[[#This Row],[TolResolution]],"1","0"))&amp;UUTRangeTol[[#This Row],[Unit]]</f>
        <v>-10.0°F</v>
      </c>
      <c r="J263" s="642" t="str">
        <f>TEXT(UUTRangeTol[[#This Row],[TolMax]],SUBSTITUTE(UUTRangeTol[[#This Row],[TolResolution]],"1","0"))&amp;UUTRangeTol[[#This Row],[Unit]]</f>
        <v>10.0°F</v>
      </c>
      <c r="K26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s="642" t="str">
        <f>UUTRangeTol[[#This Row],[RangeMax]]&amp;UUTRangeTol[[#This Row],[Unit]]</f>
        <v>600°F</v>
      </c>
      <c r="M26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s="642"/>
      <c r="H264" s="642"/>
      <c r="I264" s="642" t="str">
        <f>TEXT(UUTRangeTol[[#This Row],[TolMin]],SUBSTITUTE(UUTRangeTol[[#This Row],[TolResolution]],"1","0"))&amp;UUTRangeTol[[#This Row],[Unit]]</f>
        <v>-10.0°F</v>
      </c>
      <c r="J264" s="642" t="str">
        <f>TEXT(UUTRangeTol[[#This Row],[TolMax]],SUBSTITUTE(UUTRangeTol[[#This Row],[TolResolution]],"1","0"))&amp;UUTRangeTol[[#This Row],[Unit]]</f>
        <v>10.0°F</v>
      </c>
      <c r="K26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s="642" t="str">
        <f>UUTRangeTol[[#This Row],[RangeMax]]&amp;UUTRangeTol[[#This Row],[Unit]]</f>
        <v>450°F</v>
      </c>
      <c r="M26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s="642"/>
      <c r="H265" s="642"/>
      <c r="I265" s="642" t="str">
        <f>TEXT(UUTRangeTol[[#This Row],[TolMin]],SUBSTITUTE(UUTRangeTol[[#This Row],[TolResolution]],"1","0"))&amp;UUTRangeTol[[#This Row],[Unit]]</f>
        <v>-10.0°F</v>
      </c>
      <c r="J265" s="642" t="str">
        <f>TEXT(UUTRangeTol[[#This Row],[TolMax]],SUBSTITUTE(UUTRangeTol[[#This Row],[TolResolution]],"1","0"))&amp;UUTRangeTol[[#This Row],[Unit]]</f>
        <v>10.0°F</v>
      </c>
      <c r="K26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s="642" t="str">
        <f>UUTRangeTol[[#This Row],[RangeMax]]&amp;UUTRangeTol[[#This Row],[Unit]]</f>
        <v>400°F</v>
      </c>
      <c r="M26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s="642"/>
      <c r="H266" s="642"/>
      <c r="I266" s="642" t="str">
        <f>TEXT(UUTRangeTol[[#This Row],[TolMin]],SUBSTITUTE(UUTRangeTol[[#This Row],[TolResolution]],"1","0"))&amp;UUTRangeTol[[#This Row],[Unit]]</f>
        <v>-10.0°F</v>
      </c>
      <c r="J266" s="642" t="str">
        <f>TEXT(UUTRangeTol[[#This Row],[TolMax]],SUBSTITUTE(UUTRangeTol[[#This Row],[TolResolution]],"1","0"))&amp;UUTRangeTol[[#This Row],[Unit]]</f>
        <v>10.0°F</v>
      </c>
      <c r="K26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s="642" t="str">
        <f>UUTRangeTol[[#This Row],[RangeMax]]&amp;UUTRangeTol[[#This Row],[Unit]]</f>
        <v>500°F</v>
      </c>
      <c r="M26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s="642"/>
      <c r="H267" s="642"/>
      <c r="I267" s="642" t="str">
        <f>TEXT(UUTRangeTol[[#This Row],[TolMin]],SUBSTITUTE(UUTRangeTol[[#This Row],[TolResolution]],"1","0"))&amp;UUTRangeTol[[#This Row],[Unit]]</f>
        <v>-15.0°F</v>
      </c>
      <c r="J267" s="642" t="str">
        <f>TEXT(UUTRangeTol[[#This Row],[TolMax]],SUBSTITUTE(UUTRangeTol[[#This Row],[TolResolution]],"1","0"))&amp;UUTRangeTol[[#This Row],[Unit]]</f>
        <v>15.0°F</v>
      </c>
      <c r="K26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s="642" t="str">
        <f>UUTRangeTol[[#This Row],[RangeMax]]&amp;UUTRangeTol[[#This Row],[Unit]]</f>
        <v>100°F</v>
      </c>
      <c r="M26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s="642"/>
      <c r="H268" s="642"/>
      <c r="I268" s="642" t="str">
        <f>TEXT(UUTRangeTol[[#This Row],[TolMin]],SUBSTITUTE(UUTRangeTol[[#This Row],[TolResolution]],"1","0"))&amp;UUTRangeTol[[#This Row],[Unit]]</f>
        <v>-15.0°F</v>
      </c>
      <c r="J268" s="642" t="str">
        <f>TEXT(UUTRangeTol[[#This Row],[TolMax]],SUBSTITUTE(UUTRangeTol[[#This Row],[TolResolution]],"1","0"))&amp;UUTRangeTol[[#This Row],[Unit]]</f>
        <v>15.0°F</v>
      </c>
      <c r="K26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s="642" t="str">
        <f>UUTRangeTol[[#This Row],[RangeMax]]&amp;UUTRangeTol[[#This Row],[Unit]]</f>
        <v>125°F</v>
      </c>
      <c r="M26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s="642"/>
      <c r="H269" s="642"/>
      <c r="I269" s="642" t="str">
        <f>TEXT(UUTRangeTol[[#This Row],[TolMin]],SUBSTITUTE(UUTRangeTol[[#This Row],[TolResolution]],"1","0"))&amp;UUTRangeTol[[#This Row],[Unit]]</f>
        <v>-15.0°F</v>
      </c>
      <c r="J269" s="642" t="str">
        <f>TEXT(UUTRangeTol[[#This Row],[TolMax]],SUBSTITUTE(UUTRangeTol[[#This Row],[TolResolution]],"1","0"))&amp;UUTRangeTol[[#This Row],[Unit]]</f>
        <v>15.0°F</v>
      </c>
      <c r="K26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s="642" t="str">
        <f>UUTRangeTol[[#This Row],[RangeMax]]&amp;UUTRangeTol[[#This Row],[Unit]]</f>
        <v>140°F</v>
      </c>
      <c r="M26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s="642"/>
      <c r="H270" s="642"/>
      <c r="I270" s="642" t="str">
        <f>TEXT(UUTRangeTol[[#This Row],[TolMin]],SUBSTITUTE(UUTRangeTol[[#This Row],[TolResolution]],"1","0"))&amp;UUTRangeTol[[#This Row],[Unit]]</f>
        <v>-25°F</v>
      </c>
      <c r="J270" s="642" t="str">
        <f>TEXT(UUTRangeTol[[#This Row],[TolMax]],SUBSTITUTE(UUTRangeTol[[#This Row],[TolResolution]],"1","0"))&amp;UUTRangeTol[[#This Row],[Unit]]</f>
        <v>25°F</v>
      </c>
      <c r="K27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s="642" t="str">
        <f>UUTRangeTol[[#This Row],[RangeMax]]&amp;UUTRangeTol[[#This Row],[Unit]]</f>
        <v>1750°F</v>
      </c>
      <c r="M27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s="642"/>
      <c r="H271" s="642"/>
      <c r="I271" s="642" t="str">
        <f>TEXT(UUTRangeTol[[#This Row],[TolMin]],SUBSTITUTE(UUTRangeTol[[#This Row],[TolResolution]],"1","0"))&amp;UUTRangeTol[[#This Row],[Unit]]</f>
        <v>-25°F</v>
      </c>
      <c r="J271" s="642" t="str">
        <f>TEXT(UUTRangeTol[[#This Row],[TolMax]],SUBSTITUTE(UUTRangeTol[[#This Row],[TolResolution]],"1","0"))&amp;UUTRangeTol[[#This Row],[Unit]]</f>
        <v>25°F</v>
      </c>
      <c r="K27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s="642" t="str">
        <f>UUTRangeTol[[#This Row],[RangeMax]]&amp;UUTRangeTol[[#This Row],[Unit]]</f>
        <v>1700°F</v>
      </c>
      <c r="M27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s="642"/>
      <c r="H272" s="642"/>
      <c r="I272" s="642" t="str">
        <f>TEXT(UUTRangeTol[[#This Row],[TolMin]],SUBSTITUTE(UUTRangeTol[[#This Row],[TolResolution]],"1","0"))&amp;UUTRangeTol[[#This Row],[Unit]]</f>
        <v>-25°F</v>
      </c>
      <c r="J272" s="642" t="str">
        <f>TEXT(UUTRangeTol[[#This Row],[TolMax]],SUBSTITUTE(UUTRangeTol[[#This Row],[TolResolution]],"1","0"))&amp;UUTRangeTol[[#This Row],[Unit]]</f>
        <v>25°F</v>
      </c>
      <c r="K27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s="642" t="str">
        <f>UUTRangeTol[[#This Row],[RangeMax]]&amp;UUTRangeTol[[#This Row],[Unit]]</f>
        <v>1675°F</v>
      </c>
      <c r="M27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s="642"/>
      <c r="H273" s="642"/>
      <c r="I273" s="642" t="str">
        <f>TEXT(UUTRangeTol[[#This Row],[TolMin]],SUBSTITUTE(UUTRangeTol[[#This Row],[TolResolution]],"1","0"))&amp;UUTRangeTol[[#This Row],[Unit]]</f>
        <v>-25°F</v>
      </c>
      <c r="J273" s="642" t="str">
        <f>TEXT(UUTRangeTol[[#This Row],[TolMax]],SUBSTITUTE(UUTRangeTol[[#This Row],[TolResolution]],"1","0"))&amp;UUTRangeTol[[#This Row],[Unit]]</f>
        <v>25°F</v>
      </c>
      <c r="K27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s="642" t="str">
        <f>UUTRangeTol[[#This Row],[RangeMax]]&amp;UUTRangeTol[[#This Row],[Unit]]</f>
        <v>1700°F</v>
      </c>
      <c r="M27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s="642"/>
      <c r="H274" s="642"/>
      <c r="I274" s="642" t="str">
        <f>TEXT(UUTRangeTol[[#This Row],[TolMin]],SUBSTITUTE(UUTRangeTol[[#This Row],[TolResolution]],"1","0"))&amp;UUTRangeTol[[#This Row],[Unit]]</f>
        <v>-10°F</v>
      </c>
      <c r="J274" s="642" t="str">
        <f>TEXT(UUTRangeTol[[#This Row],[TolMax]],SUBSTITUTE(UUTRangeTol[[#This Row],[TolResolution]],"1","0"))&amp;UUTRangeTol[[#This Row],[Unit]]</f>
        <v>10°F</v>
      </c>
      <c r="K27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s="642" t="str">
        <f>UUTRangeTol[[#This Row],[RangeMax]]&amp;UUTRangeTol[[#This Row],[Unit]]</f>
        <v>400°F</v>
      </c>
      <c r="M27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s="642"/>
      <c r="H275" s="642"/>
      <c r="I275" s="642" t="str">
        <f>TEXT(UUTRangeTol[[#This Row],[TolMin]],SUBSTITUTE(UUTRangeTol[[#This Row],[TolResolution]],"1","0"))&amp;UUTRangeTol[[#This Row],[Unit]]</f>
        <v>-10°F</v>
      </c>
      <c r="J275" s="642" t="str">
        <f>TEXT(UUTRangeTol[[#This Row],[TolMax]],SUBSTITUTE(UUTRangeTol[[#This Row],[TolResolution]],"1","0"))&amp;UUTRangeTol[[#This Row],[Unit]]</f>
        <v>10°F</v>
      </c>
      <c r="K27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s="642" t="str">
        <f>UUTRangeTol[[#This Row],[RangeMax]]&amp;UUTRangeTol[[#This Row],[Unit]]</f>
        <v>160°F</v>
      </c>
      <c r="M27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s="642"/>
      <c r="H276" s="642"/>
      <c r="I276" s="642" t="str">
        <f>TEXT(UUTRangeTol[[#This Row],[TolMin]],SUBSTITUTE(UUTRangeTol[[#This Row],[TolResolution]],"1","0"))&amp;UUTRangeTol[[#This Row],[Unit]]</f>
        <v>-10°F</v>
      </c>
      <c r="J276" s="642" t="str">
        <f>TEXT(UUTRangeTol[[#This Row],[TolMax]],SUBSTITUTE(UUTRangeTol[[#This Row],[TolResolution]],"1","0"))&amp;UUTRangeTol[[#This Row],[Unit]]</f>
        <v>10°F</v>
      </c>
      <c r="K27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s="642" t="str">
        <f>UUTRangeTol[[#This Row],[RangeMax]]&amp;UUTRangeTol[[#This Row],[Unit]]</f>
        <v>500°F</v>
      </c>
      <c r="M27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s="642"/>
      <c r="H277" s="642"/>
      <c r="I277" s="642" t="str">
        <f>TEXT(UUTRangeTol[[#This Row],[TolMin]],SUBSTITUTE(UUTRangeTol[[#This Row],[TolResolution]],"1","0"))&amp;UUTRangeTol[[#This Row],[Unit]]</f>
        <v>-25°F</v>
      </c>
      <c r="J277" s="642" t="str">
        <f>TEXT(UUTRangeTol[[#This Row],[TolMax]],SUBSTITUTE(UUTRangeTol[[#This Row],[TolResolution]],"1","0"))&amp;UUTRangeTol[[#This Row],[Unit]]</f>
        <v>25°F</v>
      </c>
      <c r="K27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s="642" t="str">
        <f>UUTRangeTol[[#This Row],[RangeMax]]&amp;UUTRangeTol[[#This Row],[Unit]]</f>
        <v>1050°F</v>
      </c>
      <c r="M27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s="642"/>
      <c r="H278" s="642"/>
      <c r="I278" s="642" t="str">
        <f>TEXT(UUTRangeTol[[#This Row],[TolMin]],SUBSTITUTE(UUTRangeTol[[#This Row],[TolResolution]],"1","0"))&amp;UUTRangeTol[[#This Row],[Unit]]</f>
        <v>-15°F</v>
      </c>
      <c r="J278" s="642" t="str">
        <f>TEXT(UUTRangeTol[[#This Row],[TolMax]],SUBSTITUTE(UUTRangeTol[[#This Row],[TolResolution]],"1","0"))&amp;UUTRangeTol[[#This Row],[Unit]]</f>
        <v>15°F</v>
      </c>
      <c r="K27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s="642" t="str">
        <f>UUTRangeTol[[#This Row],[RangeMax]]&amp;UUTRangeTol[[#This Row],[Unit]]</f>
        <v>375°F</v>
      </c>
      <c r="M27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s="642"/>
      <c r="H279" s="642"/>
      <c r="I279" s="642" t="str">
        <f>TEXT(UUTRangeTol[[#This Row],[TolMin]],SUBSTITUTE(UUTRangeTol[[#This Row],[TolResolution]],"1","0"))&amp;UUTRangeTol[[#This Row],[Unit]]</f>
        <v>-15°F</v>
      </c>
      <c r="J279" s="642" t="str">
        <f>TEXT(UUTRangeTol[[#This Row],[TolMax]],SUBSTITUTE(UUTRangeTol[[#This Row],[TolResolution]],"1","0"))&amp;UUTRangeTol[[#This Row],[Unit]]</f>
        <v>15°F</v>
      </c>
      <c r="K27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s="642" t="str">
        <f>UUTRangeTol[[#This Row],[RangeMax]]&amp;UUTRangeTol[[#This Row],[Unit]]</f>
        <v>374°F</v>
      </c>
      <c r="M27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s="642"/>
      <c r="H280" s="642"/>
      <c r="I280" s="642" t="str">
        <f>TEXT(UUTRangeTol[[#This Row],[TolMin]],SUBSTITUTE(UUTRangeTol[[#This Row],[TolResolution]],"1","0"))&amp;UUTRangeTol[[#This Row],[Unit]]</f>
        <v>-10°F</v>
      </c>
      <c r="J280" s="642" t="str">
        <f>TEXT(UUTRangeTol[[#This Row],[TolMax]],SUBSTITUTE(UUTRangeTol[[#This Row],[TolResolution]],"1","0"))&amp;UUTRangeTol[[#This Row],[Unit]]</f>
        <v>10°F</v>
      </c>
      <c r="K28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s="642" t="str">
        <f>UUTRangeTol[[#This Row],[RangeMax]]&amp;UUTRangeTol[[#This Row],[Unit]]</f>
        <v>375°F</v>
      </c>
      <c r="M28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s="642"/>
      <c r="H281" s="642"/>
      <c r="I281" s="642" t="str">
        <f>TEXT(UUTRangeTol[[#This Row],[TolMin]],SUBSTITUTE(UUTRangeTol[[#This Row],[TolResolution]],"1","0"))&amp;UUTRangeTol[[#This Row],[Unit]]</f>
        <v>-10°F</v>
      </c>
      <c r="J281" s="642" t="str">
        <f>TEXT(UUTRangeTol[[#This Row],[TolMax]],SUBSTITUTE(UUTRangeTol[[#This Row],[TolResolution]],"1","0"))&amp;UUTRangeTol[[#This Row],[Unit]]</f>
        <v>10°F</v>
      </c>
      <c r="K28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s="642" t="str">
        <f>UUTRangeTol[[#This Row],[RangeMax]]&amp;UUTRangeTol[[#This Row],[Unit]]</f>
        <v>140°F</v>
      </c>
      <c r="M28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s="642"/>
      <c r="H282" s="642"/>
      <c r="I282" s="642" t="str">
        <f>TEXT(UUTRangeTol[[#This Row],[TolMin]],SUBSTITUTE(UUTRangeTol[[#This Row],[TolResolution]],"1","0"))&amp;UUTRangeTol[[#This Row],[Unit]]</f>
        <v>-10°F</v>
      </c>
      <c r="J282" s="642" t="str">
        <f>TEXT(UUTRangeTol[[#This Row],[TolMax]],SUBSTITUTE(UUTRangeTol[[#This Row],[TolResolution]],"1","0"))&amp;UUTRangeTol[[#This Row],[Unit]]</f>
        <v>10°F</v>
      </c>
      <c r="K28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s="642" t="str">
        <f>UUTRangeTol[[#This Row],[RangeMax]]&amp;UUTRangeTol[[#This Row],[Unit]]</f>
        <v>375°F</v>
      </c>
      <c r="M28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s="642"/>
      <c r="H283" s="642"/>
      <c r="I283" s="642" t="str">
        <f>TEXT(UUTRangeTol[[#This Row],[TolMin]],SUBSTITUTE(UUTRangeTol[[#This Row],[TolResolution]],"1","0"))&amp;UUTRangeTol[[#This Row],[Unit]]</f>
        <v>-5°F</v>
      </c>
      <c r="J283" s="642" t="str">
        <f>TEXT(UUTRangeTol[[#This Row],[TolMax]],SUBSTITUTE(UUTRangeTol[[#This Row],[TolResolution]],"1","0"))&amp;UUTRangeTol[[#This Row],[Unit]]</f>
        <v>5°F</v>
      </c>
      <c r="K28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s="642" t="str">
        <f>UUTRangeTol[[#This Row],[RangeMax]]&amp;UUTRangeTol[[#This Row],[Unit]]</f>
        <v>0°F</v>
      </c>
      <c r="M28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s="642"/>
      <c r="H284" s="642"/>
      <c r="I284" s="642" t="str">
        <f>TEXT(UUTRangeTol[[#This Row],[TolMin]],SUBSTITUTE(UUTRangeTol[[#This Row],[TolResolution]],"1","0"))&amp;UUTRangeTol[[#This Row],[Unit]]</f>
        <v>-5°F</v>
      </c>
      <c r="J284" s="642" t="str">
        <f>TEXT(UUTRangeTol[[#This Row],[TolMax]],SUBSTITUTE(UUTRangeTol[[#This Row],[TolResolution]],"1","0"))&amp;UUTRangeTol[[#This Row],[Unit]]</f>
        <v>5°F</v>
      </c>
      <c r="K28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s="642" t="str">
        <f>UUTRangeTol[[#This Row],[RangeMax]]&amp;UUTRangeTol[[#This Row],[Unit]]</f>
        <v>0°F</v>
      </c>
      <c r="M28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s="642"/>
      <c r="H285" s="642"/>
      <c r="I285" s="642" t="str">
        <f>TEXT(UUTRangeTol[[#This Row],[TolMin]],SUBSTITUTE(UUTRangeTol[[#This Row],[TolResolution]],"1","0"))&amp;UUTRangeTol[[#This Row],[Unit]]</f>
        <v>-5°F</v>
      </c>
      <c r="J285" s="642" t="str">
        <f>TEXT(UUTRangeTol[[#This Row],[TolMax]],SUBSTITUTE(UUTRangeTol[[#This Row],[TolResolution]],"1","0"))&amp;UUTRangeTol[[#This Row],[Unit]]</f>
        <v>5°F</v>
      </c>
      <c r="K28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s="642" t="str">
        <f>UUTRangeTol[[#This Row],[RangeMax]]&amp;UUTRangeTol[[#This Row],[Unit]]</f>
        <v>0°F</v>
      </c>
      <c r="M28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s="642"/>
      <c r="H286" s="642"/>
      <c r="I286" s="642" t="str">
        <f>TEXT(UUTRangeTol[[#This Row],[TolMin]],SUBSTITUTE(UUTRangeTol[[#This Row],[TolResolution]],"1","0"))&amp;UUTRangeTol[[#This Row],[Unit]]</f>
        <v>-10°F</v>
      </c>
      <c r="J286" s="642" t="str">
        <f>TEXT(UUTRangeTol[[#This Row],[TolMax]],SUBSTITUTE(UUTRangeTol[[#This Row],[TolResolution]],"1","0"))&amp;UUTRangeTol[[#This Row],[Unit]]</f>
        <v>10°F</v>
      </c>
      <c r="K28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s="642" t="str">
        <f>UUTRangeTol[[#This Row],[RangeMax]]&amp;UUTRangeTol[[#This Row],[Unit]]</f>
        <v>375°F</v>
      </c>
      <c r="M28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s="642"/>
      <c r="H287" s="642"/>
      <c r="I287" s="642" t="str">
        <f>TEXT(UUTRangeTol[[#This Row],[TolMin]],SUBSTITUTE(UUTRangeTol[[#This Row],[TolResolution]],"1","0"))&amp;UUTRangeTol[[#This Row],[Unit]]</f>
        <v>-5°F</v>
      </c>
      <c r="J287" s="642" t="str">
        <f>TEXT(UUTRangeTol[[#This Row],[TolMax]],SUBSTITUTE(UUTRangeTol[[#This Row],[TolResolution]],"1","0"))&amp;UUTRangeTol[[#This Row],[Unit]]</f>
        <v>5°F</v>
      </c>
      <c r="K28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s="642" t="str">
        <f>UUTRangeTol[[#This Row],[RangeMax]]&amp;UUTRangeTol[[#This Row],[Unit]]</f>
        <v>250°F</v>
      </c>
      <c r="M28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s="642"/>
      <c r="H288" s="642"/>
      <c r="I288" s="642" t="str">
        <f>TEXT(UUTRangeTol[[#This Row],[TolMin]],SUBSTITUTE(UUTRangeTol[[#This Row],[TolResolution]],"1","0"))&amp;UUTRangeTol[[#This Row],[Unit]]</f>
        <v>-10°F</v>
      </c>
      <c r="J288" s="642" t="str">
        <f>TEXT(UUTRangeTol[[#This Row],[TolMax]],SUBSTITUTE(UUTRangeTol[[#This Row],[TolResolution]],"1","0"))&amp;UUTRangeTol[[#This Row],[Unit]]</f>
        <v>10°F</v>
      </c>
      <c r="K28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s="642" t="str">
        <f>UUTRangeTol[[#This Row],[RangeMax]]&amp;UUTRangeTol[[#This Row],[Unit]]</f>
        <v>375°F</v>
      </c>
      <c r="M28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s="642"/>
      <c r="H289" s="642"/>
      <c r="I289" s="642" t="str">
        <f>TEXT(UUTRangeTol[[#This Row],[TolMin]],SUBSTITUTE(UUTRangeTol[[#This Row],[TolResolution]],"1","0"))&amp;UUTRangeTol[[#This Row],[Unit]]</f>
        <v>-10°F</v>
      </c>
      <c r="J289" s="642" t="str">
        <f>TEXT(UUTRangeTol[[#This Row],[TolMax]],SUBSTITUTE(UUTRangeTol[[#This Row],[TolResolution]],"1","0"))&amp;UUTRangeTol[[#This Row],[Unit]]</f>
        <v>10°F</v>
      </c>
      <c r="K28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s="642" t="str">
        <f>UUTRangeTol[[#This Row],[RangeMax]]&amp;UUTRangeTol[[#This Row],[Unit]]</f>
        <v>375°F</v>
      </c>
      <c r="M28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s="642"/>
      <c r="H290" s="642"/>
      <c r="I290" s="642" t="str">
        <f>TEXT(UUTRangeTol[[#This Row],[TolMin]],SUBSTITUTE(UUTRangeTol[[#This Row],[TolResolution]],"1","0"))&amp;UUTRangeTol[[#This Row],[Unit]]</f>
        <v>-5°F</v>
      </c>
      <c r="J290" s="642" t="str">
        <f>TEXT(UUTRangeTol[[#This Row],[TolMax]],SUBSTITUTE(UUTRangeTol[[#This Row],[TolResolution]],"1","0"))&amp;UUTRangeTol[[#This Row],[Unit]]</f>
        <v>5°F</v>
      </c>
      <c r="K29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s="642" t="str">
        <f>UUTRangeTol[[#This Row],[RangeMax]]&amp;UUTRangeTol[[#This Row],[Unit]]</f>
        <v>450°F</v>
      </c>
      <c r="M29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s="642"/>
      <c r="H291" s="642"/>
      <c r="I291" s="642" t="str">
        <f>TEXT(UUTRangeTol[[#This Row],[TolMin]],SUBSTITUTE(UUTRangeTol[[#This Row],[TolResolution]],"1","0"))&amp;UUTRangeTol[[#This Row],[Unit]]</f>
        <v>-5.0°F</v>
      </c>
      <c r="J291" s="642" t="str">
        <f>TEXT(UUTRangeTol[[#This Row],[TolMax]],SUBSTITUTE(UUTRangeTol[[#This Row],[TolResolution]],"1","0"))&amp;UUTRangeTol[[#This Row],[Unit]]</f>
        <v>10.0°F</v>
      </c>
      <c r="K29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s="642" t="str">
        <f>UUTRangeTol[[#This Row],[RangeMax]]&amp;UUTRangeTol[[#This Row],[Unit]]</f>
        <v>350°F</v>
      </c>
      <c r="M29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s="642"/>
      <c r="H292" s="642"/>
      <c r="I292" s="642" t="str">
        <f>TEXT(UUTRangeTol[[#This Row],[TolMin]],SUBSTITUTE(UUTRangeTol[[#This Row],[TolResolution]],"1","0"))&amp;UUTRangeTol[[#This Row],[Unit]]</f>
        <v>-10°F</v>
      </c>
      <c r="J292" s="642" t="str">
        <f>TEXT(UUTRangeTol[[#This Row],[TolMax]],SUBSTITUTE(UUTRangeTol[[#This Row],[TolResolution]],"1","0"))&amp;UUTRangeTol[[#This Row],[Unit]]</f>
        <v>10°F</v>
      </c>
      <c r="K29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s="642" t="str">
        <f>UUTRangeTol[[#This Row],[RangeMax]]&amp;UUTRangeTol[[#This Row],[Unit]]</f>
        <v>400°F</v>
      </c>
      <c r="M29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s="642"/>
      <c r="H293" s="642"/>
      <c r="I293" s="642" t="str">
        <f>TEXT(UUTRangeTol[[#This Row],[TolMin]],SUBSTITUTE(UUTRangeTol[[#This Row],[TolResolution]],"1","0"))&amp;UUTRangeTol[[#This Row],[Unit]]</f>
        <v>-10.0°F</v>
      </c>
      <c r="J293" s="642" t="str">
        <f>TEXT(UUTRangeTol[[#This Row],[TolMax]],SUBSTITUTE(UUTRangeTol[[#This Row],[TolResolution]],"1","0"))&amp;UUTRangeTol[[#This Row],[Unit]]</f>
        <v>10.0°F</v>
      </c>
      <c r="K29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s="642" t="str">
        <f>UUTRangeTol[[#This Row],[RangeMax]]&amp;UUTRangeTol[[#This Row],[Unit]]</f>
        <v>250°F</v>
      </c>
      <c r="M29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s="642"/>
      <c r="H294" s="642"/>
      <c r="I294" s="642" t="str">
        <f>TEXT(UUTRangeTol[[#This Row],[TolMin]],SUBSTITUTE(UUTRangeTol[[#This Row],[TolResolution]],"1","0"))&amp;UUTRangeTol[[#This Row],[Unit]]</f>
        <v>-10°F</v>
      </c>
      <c r="J294" s="642" t="str">
        <f>TEXT(UUTRangeTol[[#This Row],[TolMax]],SUBSTITUTE(UUTRangeTol[[#This Row],[TolResolution]],"1","0"))&amp;UUTRangeTol[[#This Row],[Unit]]</f>
        <v>10°F</v>
      </c>
      <c r="K29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s="642" t="str">
        <f>UUTRangeTol[[#This Row],[RangeMax]]&amp;UUTRangeTol[[#This Row],[Unit]]</f>
        <v>430°F</v>
      </c>
      <c r="M29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s="642"/>
      <c r="H295" s="642"/>
      <c r="I295" s="642" t="str">
        <f>TEXT(UUTRangeTol[[#This Row],[TolMin]],SUBSTITUTE(UUTRangeTol[[#This Row],[TolResolution]],"1","0"))&amp;UUTRangeTol[[#This Row],[Unit]]</f>
        <v>-15°F</v>
      </c>
      <c r="J295" s="642" t="str">
        <f>TEXT(UUTRangeTol[[#This Row],[TolMax]],SUBSTITUTE(UUTRangeTol[[#This Row],[TolResolution]],"1","0"))&amp;UUTRangeTol[[#This Row],[Unit]]</f>
        <v>15°F</v>
      </c>
      <c r="K29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s="642" t="str">
        <f>UUTRangeTol[[#This Row],[RangeMax]]&amp;UUTRangeTol[[#This Row],[Unit]]</f>
        <v>140°F</v>
      </c>
      <c r="M29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s="642"/>
      <c r="H296" s="642"/>
      <c r="I296" s="642" t="str">
        <f>TEXT(UUTRangeTol[[#This Row],[TolMin]],SUBSTITUTE(UUTRangeTol[[#This Row],[TolResolution]],"1","0"))&amp;UUTRangeTol[[#This Row],[Unit]]</f>
        <v>-15°F</v>
      </c>
      <c r="J296" s="642" t="str">
        <f>TEXT(UUTRangeTol[[#This Row],[TolMax]],SUBSTITUTE(UUTRangeTol[[#This Row],[TolResolution]],"1","0"))&amp;UUTRangeTol[[#This Row],[Unit]]</f>
        <v>15°F</v>
      </c>
      <c r="K29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s="642" t="str">
        <f>UUTRangeTol[[#This Row],[RangeMax]]&amp;UUTRangeTol[[#This Row],[Unit]]</f>
        <v>160°F</v>
      </c>
      <c r="M29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s="642"/>
      <c r="H297" s="642"/>
      <c r="I297" s="642" t="str">
        <f>TEXT(UUTRangeTol[[#This Row],[TolMin]],SUBSTITUTE(UUTRangeTol[[#This Row],[TolResolution]],"1","0"))&amp;UUTRangeTol[[#This Row],[Unit]]</f>
        <v>-5°F</v>
      </c>
      <c r="J297" s="642" t="str">
        <f>TEXT(UUTRangeTol[[#This Row],[TolMax]],SUBSTITUTE(UUTRangeTol[[#This Row],[TolResolution]],"1","0"))&amp;UUTRangeTol[[#This Row],[Unit]]</f>
        <v>5°F</v>
      </c>
      <c r="K29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s="642" t="str">
        <f>UUTRangeTol[[#This Row],[RangeMax]]&amp;UUTRangeTol[[#This Row],[Unit]]</f>
        <v>210°F</v>
      </c>
      <c r="M29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s="642"/>
      <c r="H298" s="642"/>
      <c r="I298" s="642" t="str">
        <f>TEXT(UUTRangeTol[[#This Row],[TolMin]],SUBSTITUTE(UUTRangeTol[[#This Row],[TolResolution]],"1","0"))&amp;UUTRangeTol[[#This Row],[Unit]]</f>
        <v>-10°F</v>
      </c>
      <c r="J298" s="642" t="str">
        <f>TEXT(UUTRangeTol[[#This Row],[TolMax]],SUBSTITUTE(UUTRangeTol[[#This Row],[TolResolution]],"1","0"))&amp;UUTRangeTol[[#This Row],[Unit]]</f>
        <v>10°F</v>
      </c>
      <c r="K29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s="642" t="str">
        <f>UUTRangeTol[[#This Row],[RangeMax]]&amp;UUTRangeTol[[#This Row],[Unit]]</f>
        <v>375°F</v>
      </c>
      <c r="M29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s="642"/>
      <c r="H299" s="642"/>
      <c r="I299" s="642" t="str">
        <f>TEXT(UUTRangeTol[[#This Row],[TolMin]],SUBSTITUTE(UUTRangeTol[[#This Row],[TolResolution]],"1","0"))&amp;UUTRangeTol[[#This Row],[Unit]]</f>
        <v>-10°F</v>
      </c>
      <c r="J299" s="642" t="str">
        <f>TEXT(UUTRangeTol[[#This Row],[TolMax]],SUBSTITUTE(UUTRangeTol[[#This Row],[TolResolution]],"1","0"))&amp;UUTRangeTol[[#This Row],[Unit]]</f>
        <v>10°F</v>
      </c>
      <c r="K29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s="642" t="str">
        <f>UUTRangeTol[[#This Row],[RangeMax]]&amp;UUTRangeTol[[#This Row],[Unit]]</f>
        <v>375°F</v>
      </c>
      <c r="M29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s="642"/>
      <c r="H300" s="642"/>
      <c r="I300" s="642" t="str">
        <f>TEXT(UUTRangeTol[[#This Row],[TolMin]],SUBSTITUTE(UUTRangeTol[[#This Row],[TolResolution]],"1","0"))&amp;UUTRangeTol[[#This Row],[Unit]]</f>
        <v>-25.0°F</v>
      </c>
      <c r="J300" s="642" t="str">
        <f>TEXT(UUTRangeTol[[#This Row],[TolMax]],SUBSTITUTE(UUTRangeTol[[#This Row],[TolResolution]],"1","0"))&amp;UUTRangeTol[[#This Row],[Unit]]</f>
        <v>25.0°F</v>
      </c>
      <c r="K30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s="642" t="str">
        <f>UUTRangeTol[[#This Row],[RangeMax]]&amp;UUTRangeTol[[#This Row],[Unit]]</f>
        <v>250°F</v>
      </c>
      <c r="M30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s="642"/>
      <c r="H301" s="642"/>
      <c r="I301" s="642" t="str">
        <f>TEXT(UUTRangeTol[[#This Row],[TolMin]],SUBSTITUTE(UUTRangeTol[[#This Row],[TolResolution]],"1","0"))&amp;UUTRangeTol[[#This Row],[Unit]]</f>
        <v>-25°F</v>
      </c>
      <c r="J301" s="642" t="str">
        <f>TEXT(UUTRangeTol[[#This Row],[TolMax]],SUBSTITUTE(UUTRangeTol[[#This Row],[TolResolution]],"1","0"))&amp;UUTRangeTol[[#This Row],[Unit]]</f>
        <v>25°F</v>
      </c>
      <c r="K30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s="642" t="str">
        <f>UUTRangeTol[[#This Row],[RangeMax]]&amp;UUTRangeTol[[#This Row],[Unit]]</f>
        <v>120°F</v>
      </c>
      <c r="M30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s="642"/>
      <c r="H302" s="642"/>
      <c r="I302" s="642" t="str">
        <f>TEXT(UUTRangeTol[[#This Row],[TolMin]],SUBSTITUTE(UUTRangeTol[[#This Row],[TolResolution]],"1","0"))&amp;UUTRangeTol[[#This Row],[Unit]]</f>
        <v>-10°F</v>
      </c>
      <c r="J302" s="642" t="str">
        <f>TEXT(UUTRangeTol[[#This Row],[TolMax]],SUBSTITUTE(UUTRangeTol[[#This Row],[TolResolution]],"1","0"))&amp;UUTRangeTol[[#This Row],[Unit]]</f>
        <v>10°F</v>
      </c>
      <c r="K30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s="642" t="str">
        <f>UUTRangeTol[[#This Row],[RangeMax]]&amp;UUTRangeTol[[#This Row],[Unit]]</f>
        <v>250°F</v>
      </c>
      <c r="M30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s="642"/>
      <c r="H303" s="642"/>
      <c r="I303" s="642" t="str">
        <f>TEXT(UUTRangeTol[[#This Row],[TolMin]],SUBSTITUTE(UUTRangeTol[[#This Row],[TolResolution]],"1","0"))&amp;UUTRangeTol[[#This Row],[Unit]]</f>
        <v>-25.0°F</v>
      </c>
      <c r="J303" s="642" t="str">
        <f>TEXT(UUTRangeTol[[#This Row],[TolMax]],SUBSTITUTE(UUTRangeTol[[#This Row],[TolResolution]],"1","0"))&amp;UUTRangeTol[[#This Row],[Unit]]</f>
        <v>25.0°F</v>
      </c>
      <c r="K30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s="642" t="str">
        <f>UUTRangeTol[[#This Row],[RangeMax]]&amp;UUTRangeTol[[#This Row],[Unit]]</f>
        <v>180°F</v>
      </c>
      <c r="M30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s="642"/>
      <c r="H304" s="642"/>
      <c r="I304" s="642" t="str">
        <f>TEXT(UUTRangeTol[[#This Row],[TolMin]],SUBSTITUTE(UUTRangeTol[[#This Row],[TolResolution]],"1","0"))&amp;UUTRangeTol[[#This Row],[Unit]]</f>
        <v>-10°F</v>
      </c>
      <c r="J304" s="642" t="str">
        <f>TEXT(UUTRangeTol[[#This Row],[TolMax]],SUBSTITUTE(UUTRangeTol[[#This Row],[TolResolution]],"1","0"))&amp;UUTRangeTol[[#This Row],[Unit]]</f>
        <v>10°F</v>
      </c>
      <c r="K30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s="642" t="str">
        <f>UUTRangeTol[[#This Row],[RangeMax]]&amp;UUTRangeTol[[#This Row],[Unit]]</f>
        <v>310°F</v>
      </c>
      <c r="M30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s="642"/>
      <c r="H305" s="642"/>
      <c r="I305" s="642" t="str">
        <f>TEXT(UUTRangeTol[[#This Row],[TolMin]],SUBSTITUTE(UUTRangeTol[[#This Row],[TolResolution]],"1","0"))&amp;UUTRangeTol[[#This Row],[Unit]]</f>
        <v>0°F</v>
      </c>
      <c r="J305" s="642" t="str">
        <f>TEXT(UUTRangeTol[[#This Row],[TolMax]],SUBSTITUTE(UUTRangeTol[[#This Row],[TolResolution]],"1","0"))&amp;UUTRangeTol[[#This Row],[Unit]]</f>
        <v>10°F</v>
      </c>
      <c r="K30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s="642" t="str">
        <f>UUTRangeTol[[#This Row],[RangeMax]]&amp;UUTRangeTol[[#This Row],[Unit]]</f>
        <v>10°F</v>
      </c>
      <c r="M30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s="642"/>
      <c r="H306" s="642"/>
      <c r="I306" s="642" t="str">
        <f>TEXT(UUTRangeTol[[#This Row],[TolMin]],SUBSTITUTE(UUTRangeTol[[#This Row],[TolResolution]],"1","0"))&amp;UUTRangeTol[[#This Row],[Unit]]</f>
        <v>-10°F</v>
      </c>
      <c r="J306" s="642" t="str">
        <f>TEXT(UUTRangeTol[[#This Row],[TolMax]],SUBSTITUTE(UUTRangeTol[[#This Row],[TolResolution]],"1","0"))&amp;UUTRangeTol[[#This Row],[Unit]]</f>
        <v>10°F</v>
      </c>
      <c r="K30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s="642" t="str">
        <f>UUTRangeTol[[#This Row],[RangeMax]]&amp;UUTRangeTol[[#This Row],[Unit]]</f>
        <v>400°F</v>
      </c>
      <c r="M30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s="642"/>
      <c r="H307" s="642"/>
      <c r="I307" s="642" t="str">
        <f>TEXT(UUTRangeTol[[#This Row],[TolMin]],SUBSTITUTE(UUTRangeTol[[#This Row],[TolResolution]],"1","0"))&amp;UUTRangeTol[[#This Row],[Unit]]</f>
        <v>-10°F</v>
      </c>
      <c r="J307" s="642" t="str">
        <f>TEXT(UUTRangeTol[[#This Row],[TolMax]],SUBSTITUTE(UUTRangeTol[[#This Row],[TolResolution]],"1","0"))&amp;UUTRangeTol[[#This Row],[Unit]]</f>
        <v>10°F</v>
      </c>
      <c r="K30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s="642" t="str">
        <f>UUTRangeTol[[#This Row],[RangeMax]]&amp;UUTRangeTol[[#This Row],[Unit]]</f>
        <v>0°F</v>
      </c>
      <c r="M30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s="642"/>
      <c r="H308" s="642"/>
      <c r="I308" s="642" t="str">
        <f>TEXT(UUTRangeTol[[#This Row],[TolMin]],SUBSTITUTE(UUTRangeTol[[#This Row],[TolResolution]],"1","0"))&amp;UUTRangeTol[[#This Row],[Unit]]</f>
        <v>-10°F</v>
      </c>
      <c r="J308" s="642" t="str">
        <f>TEXT(UUTRangeTol[[#This Row],[TolMax]],SUBSTITUTE(UUTRangeTol[[#This Row],[TolResolution]],"1","0"))&amp;UUTRangeTol[[#This Row],[Unit]]</f>
        <v>10°F</v>
      </c>
      <c r="K30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s="642" t="str">
        <f>UUTRangeTol[[#This Row],[RangeMax]]&amp;UUTRangeTol[[#This Row],[Unit]]</f>
        <v>375°F</v>
      </c>
      <c r="M30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s="642"/>
      <c r="H309" s="642"/>
      <c r="I309" s="642" t="str">
        <f>TEXT(UUTRangeTol[[#This Row],[TolMin]],SUBSTITUTE(UUTRangeTol[[#This Row],[TolResolution]],"1","0"))&amp;UUTRangeTol[[#This Row],[Unit]]</f>
        <v>-10°F</v>
      </c>
      <c r="J309" s="642" t="str">
        <f>TEXT(UUTRangeTol[[#This Row],[TolMax]],SUBSTITUTE(UUTRangeTol[[#This Row],[TolResolution]],"1","0"))&amp;UUTRangeTol[[#This Row],[Unit]]</f>
        <v>10°F</v>
      </c>
      <c r="K30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s="642" t="str">
        <f>UUTRangeTol[[#This Row],[RangeMax]]&amp;UUTRangeTol[[#This Row],[Unit]]</f>
        <v>350°F</v>
      </c>
      <c r="M30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s="642"/>
      <c r="H310" s="642"/>
      <c r="I310" s="642" t="str">
        <f>TEXT(UUTRangeTol[[#This Row],[TolMin]],SUBSTITUTE(UUTRangeTol[[#This Row],[TolResolution]],"1","0"))&amp;UUTRangeTol[[#This Row],[Unit]]</f>
        <v>-25°F</v>
      </c>
      <c r="J310" s="642" t="str">
        <f>TEXT(UUTRangeTol[[#This Row],[TolMax]],SUBSTITUTE(UUTRangeTol[[#This Row],[TolResolution]],"1","0"))&amp;UUTRangeTol[[#This Row],[Unit]]</f>
        <v>25°F</v>
      </c>
      <c r="K3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s="642" t="str">
        <f>UUTRangeTol[[#This Row],[RangeMax]]&amp;UUTRangeTol[[#This Row],[Unit]]</f>
        <v>500°F</v>
      </c>
      <c r="M3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s="642"/>
      <c r="H311" s="642"/>
      <c r="I311" s="642" t="str">
        <f>TEXT(UUTRangeTol[[#This Row],[TolMin]],SUBSTITUTE(UUTRangeTol[[#This Row],[TolResolution]],"1","0"))&amp;UUTRangeTol[[#This Row],[Unit]]</f>
        <v>0°C</v>
      </c>
      <c r="J311" s="642" t="str">
        <f>TEXT(UUTRangeTol[[#This Row],[TolMax]],SUBSTITUTE(UUTRangeTol[[#This Row],[TolResolution]],"1","0"))&amp;UUTRangeTol[[#This Row],[Unit]]</f>
        <v>-55°C</v>
      </c>
      <c r="K3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s="642" t="str">
        <f>UUTRangeTol[[#This Row],[RangeMax]]&amp;UUTRangeTol[[#This Row],[Unit]]</f>
        <v>-60°C</v>
      </c>
      <c r="M3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s="642"/>
      <c r="H312" s="642"/>
      <c r="I312" s="642" t="str">
        <f>TEXT(UUTRangeTol[[#This Row],[TolMin]],SUBSTITUTE(UUTRangeTol[[#This Row],[TolResolution]],"1","0"))&amp;UUTRangeTol[[#This Row],[Unit]]</f>
        <v>0°C</v>
      </c>
      <c r="J312" s="642" t="str">
        <f>TEXT(UUTRangeTol[[#This Row],[TolMax]],SUBSTITUTE(UUTRangeTol[[#This Row],[TolResolution]],"1","0"))&amp;UUTRangeTol[[#This Row],[Unit]]</f>
        <v>-55°C</v>
      </c>
      <c r="K3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s="642" t="str">
        <f>UUTRangeTol[[#This Row],[RangeMax]]&amp;UUTRangeTol[[#This Row],[Unit]]</f>
        <v>-60°C</v>
      </c>
      <c r="M3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s="642"/>
      <c r="H313" s="642"/>
      <c r="I313" s="642" t="str">
        <f>TEXT(UUTRangeTol[[#This Row],[TolMin]],SUBSTITUTE(UUTRangeTol[[#This Row],[TolResolution]],"1","0"))&amp;UUTRangeTol[[#This Row],[Unit]]</f>
        <v>-2.8°C</v>
      </c>
      <c r="J313" s="642" t="str">
        <f>TEXT(UUTRangeTol[[#This Row],[TolMax]],SUBSTITUTE(UUTRangeTol[[#This Row],[TolResolution]],"1","0"))&amp;UUTRangeTol[[#This Row],[Unit]]</f>
        <v>2.8°C</v>
      </c>
      <c r="K3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s="642" t="str">
        <f>UUTRangeTol[[#This Row],[RangeMax]]&amp;UUTRangeTol[[#This Row],[Unit]]</f>
        <v>52°C</v>
      </c>
      <c r="M3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s="642"/>
      <c r="H314" s="642"/>
      <c r="I314" s="642" t="str">
        <f>TEXT(UUTRangeTol[[#This Row],[TolMin]],SUBSTITUTE(UUTRangeTol[[#This Row],[TolResolution]],"1","0"))&amp;UUTRangeTol[[#This Row],[Unit]]</f>
        <v>0°C</v>
      </c>
      <c r="J314" s="642" t="str">
        <f>TEXT(UUTRangeTol[[#This Row],[TolMax]],SUBSTITUTE(UUTRangeTol[[#This Row],[TolResolution]],"1","0"))&amp;UUTRangeTol[[#This Row],[Unit]]</f>
        <v>-55°C</v>
      </c>
      <c r="K3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s="642" t="str">
        <f>UUTRangeTol[[#This Row],[RangeMax]]&amp;UUTRangeTol[[#This Row],[Unit]]</f>
        <v>-55°C</v>
      </c>
      <c r="M3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s="642"/>
      <c r="H315" s="642"/>
      <c r="I315" s="642" t="str">
        <f>TEXT(UUTRangeTol[[#This Row],[TolMin]],SUBSTITUTE(UUTRangeTol[[#This Row],[TolResolution]],"1","0"))&amp;UUTRangeTol[[#This Row],[Unit]]</f>
        <v>0°C</v>
      </c>
      <c r="J315" s="642" t="str">
        <f>TEXT(UUTRangeTol[[#This Row],[TolMax]],SUBSTITUTE(UUTRangeTol[[#This Row],[TolResolution]],"1","0"))&amp;UUTRangeTol[[#This Row],[Unit]]</f>
        <v>0°C</v>
      </c>
      <c r="K3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s="642" t="str">
        <f>UUTRangeTol[[#This Row],[RangeMax]]&amp;UUTRangeTol[[#This Row],[Unit]]</f>
        <v>0°C</v>
      </c>
      <c r="M3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s="642"/>
      <c r="H316" s="642"/>
      <c r="I316" s="642" t="str">
        <f>TEXT(UUTRangeTol[[#This Row],[TolMin]],SUBSTITUTE(UUTRangeTol[[#This Row],[TolResolution]],"1","0"))&amp;UUTRangeTol[[#This Row],[Unit]]</f>
        <v>0°F</v>
      </c>
      <c r="J316" s="642" t="str">
        <f>TEXT(UUTRangeTol[[#This Row],[TolMax]],SUBSTITUTE(UUTRangeTol[[#This Row],[TolResolution]],"1","0"))&amp;UUTRangeTol[[#This Row],[Unit]]</f>
        <v>-10°F</v>
      </c>
      <c r="K3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s="642" t="str">
        <f>UUTRangeTol[[#This Row],[RangeMax]]&amp;UUTRangeTol[[#This Row],[Unit]]</f>
        <v>-10°F</v>
      </c>
      <c r="M3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s="642"/>
      <c r="H317" s="642"/>
      <c r="I317" s="642" t="str">
        <f>TEXT(UUTRangeTol[[#This Row],[TolMin]],SUBSTITUTE(UUTRangeTol[[#This Row],[TolResolution]],"1","0"))&amp;UUTRangeTol[[#This Row],[Unit]]</f>
        <v>0°C</v>
      </c>
      <c r="J317" s="642" t="str">
        <f>TEXT(UUTRangeTol[[#This Row],[TolMax]],SUBSTITUTE(UUTRangeTol[[#This Row],[TolResolution]],"1","0"))&amp;UUTRangeTol[[#This Row],[Unit]]</f>
        <v>-40°C</v>
      </c>
      <c r="K3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s="642" t="str">
        <f>UUTRangeTol[[#This Row],[RangeMax]]&amp;UUTRangeTol[[#This Row],[Unit]]</f>
        <v>-40°C</v>
      </c>
      <c r="M3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s="642"/>
      <c r="H318" s="642"/>
      <c r="I318" s="642" t="str">
        <f>TEXT(UUTRangeTol[[#This Row],[TolMin]],SUBSTITUTE(UUTRangeTol[[#This Row],[TolResolution]],"1","0"))&amp;UUTRangeTol[[#This Row],[Unit]]</f>
        <v>-32°C</v>
      </c>
      <c r="J318" s="642" t="str">
        <f>TEXT(UUTRangeTol[[#This Row],[TolMax]],SUBSTITUTE(UUTRangeTol[[#This Row],[TolResolution]],"1","0"))&amp;UUTRangeTol[[#This Row],[Unit]]</f>
        <v>9°C</v>
      </c>
      <c r="K3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s="642" t="str">
        <f>UUTRangeTol[[#This Row],[RangeMax]]&amp;UUTRangeTol[[#This Row],[Unit]]</f>
        <v>195°C</v>
      </c>
      <c r="M3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s="642"/>
      <c r="H319" s="642"/>
      <c r="I319" s="642" t="str">
        <f>TEXT(UUTRangeTol[[#This Row],[TolMin]],SUBSTITUTE(UUTRangeTol[[#This Row],[TolResolution]],"1","0"))&amp;UUTRangeTol[[#This Row],[Unit]]</f>
        <v>-32°C</v>
      </c>
      <c r="J319" s="642" t="str">
        <f>TEXT(UUTRangeTol[[#This Row],[TolMax]],SUBSTITUTE(UUTRangeTol[[#This Row],[TolResolution]],"1","0"))&amp;UUTRangeTol[[#This Row],[Unit]]</f>
        <v>9°C</v>
      </c>
      <c r="K3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s="642" t="str">
        <f>UUTRangeTol[[#This Row],[RangeMax]]&amp;UUTRangeTol[[#This Row],[Unit]]</f>
        <v>195°C</v>
      </c>
      <c r="M3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s="642"/>
      <c r="H320" s="642"/>
      <c r="I320" s="642" t="str">
        <f>TEXT(UUTRangeTol[[#This Row],[TolMin]],SUBSTITUTE(UUTRangeTol[[#This Row],[TolResolution]],"1","0"))&amp;UUTRangeTol[[#This Row],[Unit]]</f>
        <v>-11°C</v>
      </c>
      <c r="J320" s="642" t="str">
        <f>TEXT(UUTRangeTol[[#This Row],[TolMax]],SUBSTITUTE(UUTRangeTol[[#This Row],[TolResolution]],"1","0"))&amp;UUTRangeTol[[#This Row],[Unit]]</f>
        <v>4°C</v>
      </c>
      <c r="K3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s="642" t="str">
        <f>UUTRangeTol[[#This Row],[RangeMax]]&amp;UUTRangeTol[[#This Row],[Unit]]</f>
        <v>185°C</v>
      </c>
      <c r="M3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s="642"/>
      <c r="H321" s="642"/>
      <c r="I321" s="642" t="str">
        <f>TEXT(UUTRangeTol[[#This Row],[TolMin]],SUBSTITUTE(UUTRangeTol[[#This Row],[TolResolution]],"1","0"))&amp;UUTRangeTol[[#This Row],[Unit]]</f>
        <v>-11°C</v>
      </c>
      <c r="J321" s="642" t="str">
        <f>TEXT(UUTRangeTol[[#This Row],[TolMax]],SUBSTITUTE(UUTRangeTol[[#This Row],[TolResolution]],"1","0"))&amp;UUTRangeTol[[#This Row],[Unit]]</f>
        <v>4°C</v>
      </c>
      <c r="K3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s="642" t="str">
        <f>UUTRangeTol[[#This Row],[RangeMax]]&amp;UUTRangeTol[[#This Row],[Unit]]</f>
        <v>185°C</v>
      </c>
      <c r="M3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s="642"/>
      <c r="H322" s="642"/>
      <c r="I322" s="642" t="str">
        <f>TEXT(UUTRangeTol[[#This Row],[TolMin]],SUBSTITUTE(UUTRangeTol[[#This Row],[TolResolution]],"1","0"))&amp;UUTRangeTol[[#This Row],[Unit]]</f>
        <v>-32°C</v>
      </c>
      <c r="J322" s="642" t="str">
        <f>TEXT(UUTRangeTol[[#This Row],[TolMax]],SUBSTITUTE(UUTRangeTol[[#This Row],[TolResolution]],"1","0"))&amp;UUTRangeTol[[#This Row],[Unit]]</f>
        <v>9°C</v>
      </c>
      <c r="K3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s="642" t="str">
        <f>UUTRangeTol[[#This Row],[RangeMax]]&amp;UUTRangeTol[[#This Row],[Unit]]</f>
        <v>195°C</v>
      </c>
      <c r="M3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s="642"/>
      <c r="H323" s="642"/>
      <c r="I323" s="642" t="str">
        <f>TEXT(UUTRangeTol[[#This Row],[TolMin]],SUBSTITUTE(UUTRangeTol[[#This Row],[TolResolution]],"1","0"))&amp;UUTRangeTol[[#This Row],[Unit]]</f>
        <v>-32°C</v>
      </c>
      <c r="J323" s="642" t="str">
        <f>TEXT(UUTRangeTol[[#This Row],[TolMax]],SUBSTITUTE(UUTRangeTol[[#This Row],[TolResolution]],"1","0"))&amp;UUTRangeTol[[#This Row],[Unit]]</f>
        <v>9°C</v>
      </c>
      <c r="K3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s="642" t="str">
        <f>UUTRangeTol[[#This Row],[RangeMax]]&amp;UUTRangeTol[[#This Row],[Unit]]</f>
        <v>195°C</v>
      </c>
      <c r="M3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s="642"/>
      <c r="H324" s="642"/>
      <c r="I324" s="642" t="str">
        <f>TEXT(UUTRangeTol[[#This Row],[TolMin]],SUBSTITUTE(UUTRangeTol[[#This Row],[TolResolution]],"1","0"))&amp;UUTRangeTol[[#This Row],[Unit]]</f>
        <v>-32°C</v>
      </c>
      <c r="J324" s="642" t="str">
        <f>TEXT(UUTRangeTol[[#This Row],[TolMax]],SUBSTITUTE(UUTRangeTol[[#This Row],[TolResolution]],"1","0"))&amp;UUTRangeTol[[#This Row],[Unit]]</f>
        <v>9°C</v>
      </c>
      <c r="K32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s="642" t="str">
        <f>UUTRangeTol[[#This Row],[RangeMax]]&amp;UUTRangeTol[[#This Row],[Unit]]</f>
        <v>195°C</v>
      </c>
      <c r="M32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s="642"/>
      <c r="H325" s="642"/>
      <c r="I325" s="642" t="str">
        <f>TEXT(UUTRangeTol[[#This Row],[TolMin]],SUBSTITUTE(UUTRangeTol[[#This Row],[TolResolution]],"1","0"))&amp;UUTRangeTol[[#This Row],[Unit]]</f>
        <v>-32°C</v>
      </c>
      <c r="J325" s="642" t="str">
        <f>TEXT(UUTRangeTol[[#This Row],[TolMax]],SUBSTITUTE(UUTRangeTol[[#This Row],[TolResolution]],"1","0"))&amp;UUTRangeTol[[#This Row],[Unit]]</f>
        <v>9°C</v>
      </c>
      <c r="K32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s="642" t="str">
        <f>UUTRangeTol[[#This Row],[RangeMax]]&amp;UUTRangeTol[[#This Row],[Unit]]</f>
        <v>195°C</v>
      </c>
      <c r="M32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s="642"/>
      <c r="H326" s="642"/>
      <c r="I326" s="642" t="str">
        <f>TEXT(UUTRangeTol[[#This Row],[TolMin]],SUBSTITUTE(UUTRangeTol[[#This Row],[TolResolution]],"1","0"))&amp;UUTRangeTol[[#This Row],[Unit]]</f>
        <v>-32°C</v>
      </c>
      <c r="J326" s="642" t="str">
        <f>TEXT(UUTRangeTol[[#This Row],[TolMax]],SUBSTITUTE(UUTRangeTol[[#This Row],[TolResolution]],"1","0"))&amp;UUTRangeTol[[#This Row],[Unit]]</f>
        <v>9°C</v>
      </c>
      <c r="K32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s="642" t="str">
        <f>UUTRangeTol[[#This Row],[RangeMax]]&amp;UUTRangeTol[[#This Row],[Unit]]</f>
        <v>195°C</v>
      </c>
      <c r="M32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s="642"/>
      <c r="H327" s="642"/>
      <c r="I327" s="642" t="str">
        <f>TEXT(UUTRangeTol[[#This Row],[TolMin]],SUBSTITUTE(UUTRangeTol[[#This Row],[TolResolution]],"1","0"))&amp;UUTRangeTol[[#This Row],[Unit]]</f>
        <v>-3°C</v>
      </c>
      <c r="J327" s="642" t="str">
        <f>TEXT(UUTRangeTol[[#This Row],[TolMax]],SUBSTITUTE(UUTRangeTol[[#This Row],[TolResolution]],"1","0"))&amp;UUTRangeTol[[#This Row],[Unit]]</f>
        <v>3°C</v>
      </c>
      <c r="K32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s="642" t="str">
        <f>UUTRangeTol[[#This Row],[RangeMax]]&amp;UUTRangeTol[[#This Row],[Unit]]</f>
        <v>100°C</v>
      </c>
      <c r="M32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s="642"/>
      <c r="H328" s="642"/>
      <c r="I328" s="642" t="str">
        <f>TEXT(UUTRangeTol[[#This Row],[TolMin]],SUBSTITUTE(UUTRangeTol[[#This Row],[TolResolution]],"1","0"))&amp;UUTRangeTol[[#This Row],[Unit]]</f>
        <v>-25°F</v>
      </c>
      <c r="J328" s="642" t="str">
        <f>TEXT(UUTRangeTol[[#This Row],[TolMax]],SUBSTITUTE(UUTRangeTol[[#This Row],[TolResolution]],"1","0"))&amp;UUTRangeTol[[#This Row],[Unit]]</f>
        <v>25°F</v>
      </c>
      <c r="K32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s="642" t="str">
        <f>UUTRangeTol[[#This Row],[RangeMax]]&amp;UUTRangeTol[[#This Row],[Unit]]</f>
        <v>375°F</v>
      </c>
      <c r="M32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s="642"/>
      <c r="H329" s="642"/>
      <c r="I329" s="642" t="str">
        <f>TEXT(UUTRangeTol[[#This Row],[TolMin]],SUBSTITUTE(UUTRangeTol[[#This Row],[TolResolution]],"1","0"))&amp;UUTRangeTol[[#This Row],[Unit]]</f>
        <v>-10°F</v>
      </c>
      <c r="J329" s="642" t="str">
        <f>TEXT(UUTRangeTol[[#This Row],[TolMax]],SUBSTITUTE(UUTRangeTol[[#This Row],[TolResolution]],"1","0"))&amp;UUTRangeTol[[#This Row],[Unit]]</f>
        <v>10°F</v>
      </c>
      <c r="K32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s="642" t="str">
        <f>UUTRangeTol[[#This Row],[RangeMax]]&amp;UUTRangeTol[[#This Row],[Unit]]</f>
        <v>350°F</v>
      </c>
      <c r="M32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s="642"/>
      <c r="H330" s="642"/>
      <c r="I330" s="642" t="str">
        <f>TEXT(UUTRangeTol[[#This Row],[TolMin]],SUBSTITUTE(UUTRangeTol[[#This Row],[TolResolution]],"1","0"))&amp;UUTRangeTol[[#This Row],[Unit]]</f>
        <v>0°C</v>
      </c>
      <c r="J330" s="642" t="str">
        <f>TEXT(UUTRangeTol[[#This Row],[TolMax]],SUBSTITUTE(UUTRangeTol[[#This Row],[TolResolution]],"1","0"))&amp;UUTRangeTol[[#This Row],[Unit]]</f>
        <v>-40°C</v>
      </c>
      <c r="K33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s="642" t="str">
        <f>UUTRangeTol[[#This Row],[RangeMax]]&amp;UUTRangeTol[[#This Row],[Unit]]</f>
        <v>-40°C</v>
      </c>
      <c r="M33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s="642"/>
      <c r="H331" s="642"/>
      <c r="I331" s="642" t="str">
        <f>TEXT(UUTRangeTol[[#This Row],[TolMin]],SUBSTITUTE(UUTRangeTol[[#This Row],[TolResolution]],"1","0"))&amp;UUTRangeTol[[#This Row],[Unit]]</f>
        <v>-10°F</v>
      </c>
      <c r="J331" s="642" t="str">
        <f>TEXT(UUTRangeTol[[#This Row],[TolMax]],SUBSTITUTE(UUTRangeTol[[#This Row],[TolResolution]],"1","0"))&amp;UUTRangeTol[[#This Row],[Unit]]</f>
        <v>10°F</v>
      </c>
      <c r="K33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s="642" t="str">
        <f>UUTRangeTol[[#This Row],[RangeMax]]&amp;UUTRangeTol[[#This Row],[Unit]]</f>
        <v>500°F</v>
      </c>
      <c r="M33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s="642"/>
      <c r="H332" s="642"/>
      <c r="I332" s="642" t="str">
        <f>TEXT(UUTRangeTol[[#This Row],[TolMin]],SUBSTITUTE(UUTRangeTol[[#This Row],[TolResolution]],"1","0"))&amp;UUTRangeTol[[#This Row],[Unit]]</f>
        <v>0°F</v>
      </c>
      <c r="J332" s="642" t="str">
        <f>TEXT(UUTRangeTol[[#This Row],[TolMax]],SUBSTITUTE(UUTRangeTol[[#This Row],[TolResolution]],"1","0"))&amp;UUTRangeTol[[#This Row],[Unit]]</f>
        <v>0°F</v>
      </c>
      <c r="K33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s="642" t="str">
        <f>UUTRangeTol[[#This Row],[RangeMax]]&amp;UUTRangeTol[[#This Row],[Unit]]</f>
        <v>0°F</v>
      </c>
      <c r="M33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s="642"/>
      <c r="H333" s="642"/>
      <c r="I333" s="642" t="str">
        <f>TEXT(UUTRangeTol[[#This Row],[TolMin]],SUBSTITUTE(UUTRangeTol[[#This Row],[TolResolution]],"1","0"))&amp;UUTRangeTol[[#This Row],[Unit]]</f>
        <v>-5°F</v>
      </c>
      <c r="J333" s="642" t="str">
        <f>TEXT(UUTRangeTol[[#This Row],[TolMax]],SUBSTITUTE(UUTRangeTol[[#This Row],[TolResolution]],"1","0"))&amp;UUTRangeTol[[#This Row],[Unit]]</f>
        <v>10°F</v>
      </c>
      <c r="K33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s="642" t="str">
        <f>UUTRangeTol[[#This Row],[RangeMax]]&amp;UUTRangeTol[[#This Row],[Unit]]</f>
        <v>355°F</v>
      </c>
      <c r="M33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s="642"/>
      <c r="H334" s="642"/>
      <c r="I334" s="642" t="str">
        <f>TEXT(UUTRangeTol[[#This Row],[TolMin]],SUBSTITUTE(UUTRangeTol[[#This Row],[TolResolution]],"1","0"))&amp;UUTRangeTol[[#This Row],[Unit]]</f>
        <v>-10°F</v>
      </c>
      <c r="J334" s="642" t="str">
        <f>TEXT(UUTRangeTol[[#This Row],[TolMax]],SUBSTITUTE(UUTRangeTol[[#This Row],[TolResolution]],"1","0"))&amp;UUTRangeTol[[#This Row],[Unit]]</f>
        <v>10°F</v>
      </c>
      <c r="K33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s="642" t="str">
        <f>UUTRangeTol[[#This Row],[RangeMax]]&amp;UUTRangeTol[[#This Row],[Unit]]</f>
        <v>120°F</v>
      </c>
      <c r="M33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s="642"/>
      <c r="H335" s="642"/>
      <c r="I335" s="642" t="str">
        <f>TEXT(UUTRangeTol[[#This Row],[TolMin]],SUBSTITUTE(UUTRangeTol[[#This Row],[TolResolution]],"1","0"))&amp;UUTRangeTol[[#This Row],[Unit]]</f>
        <v>-10.0°F</v>
      </c>
      <c r="J335" s="642" t="str">
        <f>TEXT(UUTRangeTol[[#This Row],[TolMax]],SUBSTITUTE(UUTRangeTol[[#This Row],[TolResolution]],"1","0"))&amp;UUTRangeTol[[#This Row],[Unit]]</f>
        <v>10.0°F</v>
      </c>
      <c r="K33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s="642" t="str">
        <f>UUTRangeTol[[#This Row],[RangeMax]]&amp;UUTRangeTol[[#This Row],[Unit]]</f>
        <v>995°F</v>
      </c>
      <c r="M33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s="642"/>
      <c r="H336" s="642"/>
      <c r="I336" s="642" t="str">
        <f>TEXT(UUTRangeTol[[#This Row],[TolMin]],SUBSTITUTE(UUTRangeTol[[#This Row],[TolResolution]],"1","0"))&amp;UUTRangeTol[[#This Row],[Unit]]</f>
        <v>-10.0°F</v>
      </c>
      <c r="J336" s="642" t="str">
        <f>TEXT(UUTRangeTol[[#This Row],[TolMax]],SUBSTITUTE(UUTRangeTol[[#This Row],[TolResolution]],"1","0"))&amp;UUTRangeTol[[#This Row],[Unit]]</f>
        <v>10.0°F</v>
      </c>
      <c r="K33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s="642" t="str">
        <f>UUTRangeTol[[#This Row],[RangeMax]]&amp;UUTRangeTol[[#This Row],[Unit]]</f>
        <v>850°F</v>
      </c>
      <c r="M33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s="642"/>
      <c r="H337" s="642"/>
      <c r="I337" s="642" t="str">
        <f>TEXT(UUTRangeTol[[#This Row],[TolMin]],SUBSTITUTE(UUTRangeTol[[#This Row],[TolResolution]],"1","0"))&amp;UUTRangeTol[[#This Row],[Unit]]</f>
        <v>-10.0°F</v>
      </c>
      <c r="J337" s="642" t="str">
        <f>TEXT(UUTRangeTol[[#This Row],[TolMax]],SUBSTITUTE(UUTRangeTol[[#This Row],[TolResolution]],"1","0"))&amp;UUTRangeTol[[#This Row],[Unit]]</f>
        <v>10.0°F</v>
      </c>
      <c r="K33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s="642" t="str">
        <f>UUTRangeTol[[#This Row],[RangeMax]]&amp;UUTRangeTol[[#This Row],[Unit]]</f>
        <v>450°F</v>
      </c>
      <c r="M33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s="642"/>
      <c r="H338" s="642"/>
      <c r="I338" s="642" t="str">
        <f>TEXT(UUTRangeTol[[#This Row],[TolMin]],SUBSTITUTE(UUTRangeTol[[#This Row],[TolResolution]],"1","0"))&amp;UUTRangeTol[[#This Row],[Unit]]</f>
        <v>-10.0°F</v>
      </c>
      <c r="J338" s="642" t="str">
        <f>TEXT(UUTRangeTol[[#This Row],[TolMax]],SUBSTITUTE(UUTRangeTol[[#This Row],[TolResolution]],"1","0"))&amp;UUTRangeTol[[#This Row],[Unit]]</f>
        <v>10.0°F</v>
      </c>
      <c r="K33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s="642" t="str">
        <f>UUTRangeTol[[#This Row],[RangeMax]]&amp;UUTRangeTol[[#This Row],[Unit]]</f>
        <v>120°F</v>
      </c>
      <c r="M33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s="642"/>
      <c r="H339" s="642"/>
      <c r="I339" s="642" t="str">
        <f>TEXT(UUTRangeTol[[#This Row],[TolMin]],SUBSTITUTE(UUTRangeTol[[#This Row],[TolResolution]],"1","0"))&amp;UUTRangeTol[[#This Row],[Unit]]</f>
        <v>-10°F</v>
      </c>
      <c r="J339" s="642" t="str">
        <f>TEXT(UUTRangeTol[[#This Row],[TolMax]],SUBSTITUTE(UUTRangeTol[[#This Row],[TolResolution]],"1","0"))&amp;UUTRangeTol[[#This Row],[Unit]]</f>
        <v>10°F</v>
      </c>
      <c r="K33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s="642" t="str">
        <f>UUTRangeTol[[#This Row],[RangeMax]]&amp;UUTRangeTol[[#This Row],[Unit]]</f>
        <v>120°F</v>
      </c>
      <c r="M33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s="642"/>
      <c r="H340" s="642"/>
      <c r="I340" s="642" t="str">
        <f>TEXT(UUTRangeTol[[#This Row],[TolMin]],SUBSTITUTE(UUTRangeTol[[#This Row],[TolResolution]],"1","0"))&amp;UUTRangeTol[[#This Row],[Unit]]</f>
        <v>0°F</v>
      </c>
      <c r="J340" s="642" t="str">
        <f>TEXT(UUTRangeTol[[#This Row],[TolMax]],SUBSTITUTE(UUTRangeTol[[#This Row],[TolResolution]],"1","0"))&amp;UUTRangeTol[[#This Row],[Unit]]</f>
        <v>0°F</v>
      </c>
      <c r="K34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s="642" t="str">
        <f>UUTRangeTol[[#This Row],[RangeMax]]&amp;UUTRangeTol[[#This Row],[Unit]]</f>
        <v>0°F</v>
      </c>
      <c r="M34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s="642"/>
      <c r="H341" s="642"/>
      <c r="I341" s="642" t="str">
        <f>TEXT(UUTRangeTol[[#This Row],[TolMin]],SUBSTITUTE(UUTRangeTol[[#This Row],[TolResolution]],"1","0"))&amp;UUTRangeTol[[#This Row],[Unit]]</f>
        <v>-25.0°F</v>
      </c>
      <c r="J341" s="642" t="str">
        <f>TEXT(UUTRangeTol[[#This Row],[TolMax]],SUBSTITUTE(UUTRangeTol[[#This Row],[TolResolution]],"1","0"))&amp;UUTRangeTol[[#This Row],[Unit]]</f>
        <v>25.0°F</v>
      </c>
      <c r="K34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s="642" t="str">
        <f>UUTRangeTol[[#This Row],[RangeMax]]&amp;UUTRangeTol[[#This Row],[Unit]]</f>
        <v>250°F</v>
      </c>
      <c r="M34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s="642"/>
      <c r="H342" s="642"/>
      <c r="I342" s="642" t="str">
        <f>TEXT(UUTRangeTol[[#This Row],[TolMin]],SUBSTITUTE(UUTRangeTol[[#This Row],[TolResolution]],"1","0"))&amp;UUTRangeTol[[#This Row],[Unit]]</f>
        <v>-10.0°F</v>
      </c>
      <c r="J342" s="642" t="str">
        <f>TEXT(UUTRangeTol[[#This Row],[TolMax]],SUBSTITUTE(UUTRangeTol[[#This Row],[TolResolution]],"1","0"))&amp;UUTRangeTol[[#This Row],[Unit]]</f>
        <v>10.0°F</v>
      </c>
      <c r="K34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s="642" t="str">
        <f>UUTRangeTol[[#This Row],[RangeMax]]&amp;UUTRangeTol[[#This Row],[Unit]]</f>
        <v>1250°F</v>
      </c>
      <c r="M34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s="642"/>
      <c r="H343" s="642"/>
      <c r="I343" s="642" t="str">
        <f>TEXT(UUTRangeTol[[#This Row],[TolMin]],SUBSTITUTE(UUTRangeTol[[#This Row],[TolResolution]],"1","0"))&amp;UUTRangeTol[[#This Row],[Unit]]</f>
        <v>-25.0°F</v>
      </c>
      <c r="J343" s="642" t="str">
        <f>TEXT(UUTRangeTol[[#This Row],[TolMax]],SUBSTITUTE(UUTRangeTol[[#This Row],[TolResolution]],"1","0"))&amp;UUTRangeTol[[#This Row],[Unit]]</f>
        <v>25.0°F</v>
      </c>
      <c r="K34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s="642" t="str">
        <f>UUTRangeTol[[#This Row],[RangeMax]]&amp;UUTRangeTol[[#This Row],[Unit]]</f>
        <v>1400°F</v>
      </c>
      <c r="M34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s="642"/>
      <c r="H344" s="642"/>
      <c r="I344" s="642" t="str">
        <f>TEXT(UUTRangeTol[[#This Row],[TolMin]],SUBSTITUTE(UUTRangeTol[[#This Row],[TolResolution]],"1","0"))&amp;UUTRangeTol[[#This Row],[Unit]]</f>
        <v>-25°F</v>
      </c>
      <c r="J344" s="642" t="str">
        <f>TEXT(UUTRangeTol[[#This Row],[TolMax]],SUBSTITUTE(UUTRangeTol[[#This Row],[TolResolution]],"1","0"))&amp;UUTRangeTol[[#This Row],[Unit]]</f>
        <v>25°F</v>
      </c>
      <c r="K34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s="642" t="str">
        <f>UUTRangeTol[[#This Row],[RangeMax]]&amp;UUTRangeTol[[#This Row],[Unit]]</f>
        <v>145°F</v>
      </c>
      <c r="M34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s="642"/>
      <c r="H345" s="642"/>
      <c r="I345" s="642" t="str">
        <f>TEXT(UUTRangeTol[[#This Row],[TolMin]],SUBSTITUTE(UUTRangeTol[[#This Row],[TolResolution]],"1","0"))&amp;UUTRangeTol[[#This Row],[Unit]]</f>
        <v>-10°F</v>
      </c>
      <c r="J345" s="642" t="str">
        <f>TEXT(UUTRangeTol[[#This Row],[TolMax]],SUBSTITUTE(UUTRangeTol[[#This Row],[TolResolution]],"1","0"))&amp;UUTRangeTol[[#This Row],[Unit]]</f>
        <v>10°F</v>
      </c>
      <c r="K34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s="642" t="str">
        <f>UUTRangeTol[[#This Row],[RangeMax]]&amp;UUTRangeTol[[#This Row],[Unit]]</f>
        <v>375°F</v>
      </c>
      <c r="M34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s="642"/>
      <c r="H346" s="642"/>
      <c r="I346" s="642" t="str">
        <f>TEXT(UUTRangeTol[[#This Row],[TolMin]],SUBSTITUTE(UUTRangeTol[[#This Row],[TolResolution]],"1","0"))&amp;UUTRangeTol[[#This Row],[Unit]]</f>
        <v>-25.0°F</v>
      </c>
      <c r="J346" s="642" t="str">
        <f>TEXT(UUTRangeTol[[#This Row],[TolMax]],SUBSTITUTE(UUTRangeTol[[#This Row],[TolResolution]],"1","0"))&amp;UUTRangeTol[[#This Row],[Unit]]</f>
        <v>25.0°F</v>
      </c>
      <c r="K34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s="642" t="str">
        <f>UUTRangeTol[[#This Row],[RangeMax]]&amp;UUTRangeTol[[#This Row],[Unit]]</f>
        <v>1450°F</v>
      </c>
      <c r="M34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s="642"/>
      <c r="H347" s="642"/>
      <c r="I347" s="642" t="str">
        <f>TEXT(UUTRangeTol[[#This Row],[TolMin]],SUBSTITUTE(UUTRangeTol[[#This Row],[TolResolution]],"1","0"))&amp;UUTRangeTol[[#This Row],[Unit]]</f>
        <v>-10°F</v>
      </c>
      <c r="J347" s="642" t="str">
        <f>TEXT(UUTRangeTol[[#This Row],[TolMax]],SUBSTITUTE(UUTRangeTol[[#This Row],[TolResolution]],"1","0"))&amp;UUTRangeTol[[#This Row],[Unit]]</f>
        <v>10°F</v>
      </c>
      <c r="K34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s="642" t="str">
        <f>UUTRangeTol[[#This Row],[RangeMax]]&amp;UUTRangeTol[[#This Row],[Unit]]</f>
        <v>150°F</v>
      </c>
      <c r="M34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s="642"/>
      <c r="H348" s="642"/>
      <c r="I348" s="642" t="str">
        <f>TEXT(UUTRangeTol[[#This Row],[TolMin]],SUBSTITUTE(UUTRangeTol[[#This Row],[TolResolution]],"1","0"))&amp;UUTRangeTol[[#This Row],[Unit]]</f>
        <v>-15°F</v>
      </c>
      <c r="J348" s="642" t="str">
        <f>TEXT(UUTRangeTol[[#This Row],[TolMax]],SUBSTITUTE(UUTRangeTol[[#This Row],[TolResolution]],"1","0"))&amp;UUTRangeTol[[#This Row],[Unit]]</f>
        <v>15°F</v>
      </c>
      <c r="K34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s="642" t="str">
        <f>UUTRangeTol[[#This Row],[RangeMax]]&amp;UUTRangeTol[[#This Row],[Unit]]</f>
        <v>130°F</v>
      </c>
      <c r="M34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s="642"/>
      <c r="H349" s="642"/>
      <c r="I349" s="642" t="str">
        <f>TEXT(UUTRangeTol[[#This Row],[TolMin]],SUBSTITUTE(UUTRangeTol[[#This Row],[TolResolution]],"1","0"))&amp;UUTRangeTol[[#This Row],[Unit]]</f>
        <v>-15°F</v>
      </c>
      <c r="J349" s="642" t="str">
        <f>TEXT(UUTRangeTol[[#This Row],[TolMax]],SUBSTITUTE(UUTRangeTol[[#This Row],[TolResolution]],"1","0"))&amp;UUTRangeTol[[#This Row],[Unit]]</f>
        <v>15°F</v>
      </c>
      <c r="K34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s="642" t="str">
        <f>UUTRangeTol[[#This Row],[RangeMax]]&amp;UUTRangeTol[[#This Row],[Unit]]</f>
        <v>100°F</v>
      </c>
      <c r="M34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s="642"/>
      <c r="H350" s="642"/>
      <c r="I350" s="642" t="str">
        <f>TEXT(UUTRangeTol[[#This Row],[TolMin]],SUBSTITUTE(UUTRangeTol[[#This Row],[TolResolution]],"1","0"))&amp;UUTRangeTol[[#This Row],[Unit]]</f>
        <v>-15°F</v>
      </c>
      <c r="J350" s="642" t="str">
        <f>TEXT(UUTRangeTol[[#This Row],[TolMax]],SUBSTITUTE(UUTRangeTol[[#This Row],[TolResolution]],"1","0"))&amp;UUTRangeTol[[#This Row],[Unit]]</f>
        <v>15°F</v>
      </c>
      <c r="K35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s="642" t="str">
        <f>UUTRangeTol[[#This Row],[RangeMax]]&amp;UUTRangeTol[[#This Row],[Unit]]</f>
        <v>100°F</v>
      </c>
      <c r="M35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s="642"/>
      <c r="H351" s="642"/>
      <c r="I351" s="642" t="str">
        <f>TEXT(UUTRangeTol[[#This Row],[TolMin]],SUBSTITUTE(UUTRangeTol[[#This Row],[TolResolution]],"1","0"))&amp;UUTRangeTol[[#This Row],[Unit]]</f>
        <v>0°F</v>
      </c>
      <c r="J351" s="642" t="str">
        <f>TEXT(UUTRangeTol[[#This Row],[TolMax]],SUBSTITUTE(UUTRangeTol[[#This Row],[TolResolution]],"1","0"))&amp;UUTRangeTol[[#This Row],[Unit]]</f>
        <v>0°F</v>
      </c>
      <c r="K35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s="642" t="str">
        <f>UUTRangeTol[[#This Row],[RangeMax]]&amp;UUTRangeTol[[#This Row],[Unit]]</f>
        <v>0°F</v>
      </c>
      <c r="M35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s="642"/>
      <c r="H352" s="642"/>
      <c r="I352" s="642" t="str">
        <f>TEXT(UUTRangeTol[[#This Row],[TolMin]],SUBSTITUTE(UUTRangeTol[[#This Row],[TolResolution]],"1","0"))&amp;UUTRangeTol[[#This Row],[Unit]]</f>
        <v>0°F</v>
      </c>
      <c r="J352" s="642" t="str">
        <f>TEXT(UUTRangeTol[[#This Row],[TolMax]],SUBSTITUTE(UUTRangeTol[[#This Row],[TolResolution]],"1","0"))&amp;UUTRangeTol[[#This Row],[Unit]]</f>
        <v>150°F</v>
      </c>
      <c r="K35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s="642" t="str">
        <f>UUTRangeTol[[#This Row],[RangeMax]]&amp;UUTRangeTol[[#This Row],[Unit]]</f>
        <v>150°F</v>
      </c>
      <c r="M35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s="642"/>
      <c r="H353" s="642"/>
      <c r="I353" s="642" t="str">
        <f>TEXT(UUTRangeTol[[#This Row],[TolMin]],SUBSTITUTE(UUTRangeTol[[#This Row],[TolResolution]],"1","0"))&amp;UUTRangeTol[[#This Row],[Unit]]</f>
        <v>0°F</v>
      </c>
      <c r="J353" s="642" t="str">
        <f>TEXT(UUTRangeTol[[#This Row],[TolMax]],SUBSTITUTE(UUTRangeTol[[#This Row],[TolResolution]],"1","0"))&amp;UUTRangeTol[[#This Row],[Unit]]</f>
        <v>150°F</v>
      </c>
      <c r="K35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s="642" t="str">
        <f>UUTRangeTol[[#This Row],[RangeMax]]&amp;UUTRangeTol[[#This Row],[Unit]]</f>
        <v>150°F</v>
      </c>
      <c r="M35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s="642"/>
      <c r="H354" s="642"/>
      <c r="I354" s="642" t="str">
        <f>TEXT(UUTRangeTol[[#This Row],[TolMin]],SUBSTITUTE(UUTRangeTol[[#This Row],[TolResolution]],"1","0"))&amp;UUTRangeTol[[#This Row],[Unit]]</f>
        <v>-10.0°F</v>
      </c>
      <c r="J354" s="642" t="str">
        <f>TEXT(UUTRangeTol[[#This Row],[TolMax]],SUBSTITUTE(UUTRangeTol[[#This Row],[TolResolution]],"1","0"))&amp;UUTRangeTol[[#This Row],[Unit]]</f>
        <v>10.0°F</v>
      </c>
      <c r="K35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s="642" t="str">
        <f>UUTRangeTol[[#This Row],[RangeMax]]&amp;UUTRangeTol[[#This Row],[Unit]]</f>
        <v>400°F</v>
      </c>
      <c r="M35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s="642"/>
      <c r="H355" s="642"/>
      <c r="I355" s="642" t="str">
        <f>TEXT(UUTRangeTol[[#This Row],[TolMin]],SUBSTITUTE(UUTRangeTol[[#This Row],[TolResolution]],"1","0"))&amp;UUTRangeTol[[#This Row],[Unit]]</f>
        <v>-10°F</v>
      </c>
      <c r="J355" s="642" t="str">
        <f>TEXT(UUTRangeTol[[#This Row],[TolMax]],SUBSTITUTE(UUTRangeTol[[#This Row],[TolResolution]],"1","0"))&amp;UUTRangeTol[[#This Row],[Unit]]</f>
        <v>10°F</v>
      </c>
      <c r="K35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s="642" t="str">
        <f>UUTRangeTol[[#This Row],[RangeMax]]&amp;UUTRangeTol[[#This Row],[Unit]]</f>
        <v>400°F</v>
      </c>
      <c r="M35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s="642"/>
      <c r="H356" s="642"/>
      <c r="I356" s="642" t="str">
        <f>TEXT(UUTRangeTol[[#This Row],[TolMin]],SUBSTITUTE(UUTRangeTol[[#This Row],[TolResolution]],"1","0"))&amp;UUTRangeTol[[#This Row],[Unit]]</f>
        <v>-5°F</v>
      </c>
      <c r="J356" s="642" t="str">
        <f>TEXT(UUTRangeTol[[#This Row],[TolMax]],SUBSTITUTE(UUTRangeTol[[#This Row],[TolResolution]],"1","0"))&amp;UUTRangeTol[[#This Row],[Unit]]</f>
        <v>5°F</v>
      </c>
      <c r="K35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s="642" t="str">
        <f>UUTRangeTol[[#This Row],[RangeMax]]&amp;UUTRangeTol[[#This Row],[Unit]]</f>
        <v>500°F</v>
      </c>
      <c r="M35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s="642"/>
      <c r="H357" s="642"/>
      <c r="I357" s="642" t="str">
        <f>TEXT(UUTRangeTol[[#This Row],[TolMin]],SUBSTITUTE(UUTRangeTol[[#This Row],[TolResolution]],"1","0"))&amp;UUTRangeTol[[#This Row],[Unit]]</f>
        <v>-25°F</v>
      </c>
      <c r="J357" s="642" t="str">
        <f>TEXT(UUTRangeTol[[#This Row],[TolMax]],SUBSTITUTE(UUTRangeTol[[#This Row],[TolResolution]],"1","0"))&amp;UUTRangeTol[[#This Row],[Unit]]</f>
        <v>25°F</v>
      </c>
      <c r="K35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s="642" t="str">
        <f>UUTRangeTol[[#This Row],[RangeMax]]&amp;UUTRangeTol[[#This Row],[Unit]]</f>
        <v>1750°F</v>
      </c>
      <c r="M35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s="642"/>
      <c r="H358" s="642"/>
      <c r="I358" s="642" t="str">
        <f>TEXT(UUTRangeTol[[#This Row],[TolMin]],SUBSTITUTE(UUTRangeTol[[#This Row],[TolResolution]],"1","0"))&amp;UUTRangeTol[[#This Row],[Unit]]</f>
        <v>-10.0°F</v>
      </c>
      <c r="J358" s="642" t="str">
        <f>TEXT(UUTRangeTol[[#This Row],[TolMax]],SUBSTITUTE(UUTRangeTol[[#This Row],[TolResolution]],"1","0"))&amp;UUTRangeTol[[#This Row],[Unit]]</f>
        <v>10.0°F</v>
      </c>
      <c r="K35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s="642" t="str">
        <f>UUTRangeTol[[#This Row],[RangeMax]]&amp;UUTRangeTol[[#This Row],[Unit]]</f>
        <v>190°F</v>
      </c>
      <c r="M35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s="642"/>
      <c r="H359" s="642"/>
      <c r="I359" s="642" t="str">
        <f>TEXT(UUTRangeTol[[#This Row],[TolMin]],SUBSTITUTE(UUTRangeTol[[#This Row],[TolResolution]],"1","0"))&amp;UUTRangeTol[[#This Row],[Unit]]</f>
        <v>-10°F</v>
      </c>
      <c r="J359" s="642" t="str">
        <f>TEXT(UUTRangeTol[[#This Row],[TolMax]],SUBSTITUTE(UUTRangeTol[[#This Row],[TolResolution]],"1","0"))&amp;UUTRangeTol[[#This Row],[Unit]]</f>
        <v>10°F</v>
      </c>
      <c r="K35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s="642" t="str">
        <f>UUTRangeTol[[#This Row],[RangeMax]]&amp;UUTRangeTol[[#This Row],[Unit]]</f>
        <v>190°F</v>
      </c>
      <c r="M35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s="642"/>
      <c r="H360" s="642"/>
      <c r="I360" s="642" t="str">
        <f>TEXT(UUTRangeTol[[#This Row],[TolMin]],SUBSTITUTE(UUTRangeTol[[#This Row],[TolResolution]],"1","0"))&amp;UUTRangeTol[[#This Row],[Unit]]</f>
        <v>-10°F</v>
      </c>
      <c r="J360" s="642" t="str">
        <f>TEXT(UUTRangeTol[[#This Row],[TolMax]],SUBSTITUTE(UUTRangeTol[[#This Row],[TolResolution]],"1","0"))&amp;UUTRangeTol[[#This Row],[Unit]]</f>
        <v>10°F</v>
      </c>
      <c r="K36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s="642" t="str">
        <f>UUTRangeTol[[#This Row],[RangeMax]]&amp;UUTRangeTol[[#This Row],[Unit]]</f>
        <v>400°F</v>
      </c>
      <c r="M36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s="642"/>
      <c r="H361" s="642"/>
      <c r="I361" s="642" t="str">
        <f>TEXT(UUTRangeTol[[#This Row],[TolMin]],SUBSTITUTE(UUTRangeTol[[#This Row],[TolResolution]],"1","0"))&amp;UUTRangeTol[[#This Row],[Unit]]</f>
        <v>-10°F</v>
      </c>
      <c r="J361" s="642" t="str">
        <f>TEXT(UUTRangeTol[[#This Row],[TolMax]],SUBSTITUTE(UUTRangeTol[[#This Row],[TolResolution]],"1","0"))&amp;UUTRangeTol[[#This Row],[Unit]]</f>
        <v>10°F</v>
      </c>
      <c r="K36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s="642" t="str">
        <f>UUTRangeTol[[#This Row],[RangeMax]]&amp;UUTRangeTol[[#This Row],[Unit]]</f>
        <v>350°F</v>
      </c>
      <c r="M36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s="642"/>
      <c r="H362" s="642"/>
      <c r="I362" s="642" t="str">
        <f>TEXT(UUTRangeTol[[#This Row],[TolMin]],SUBSTITUTE(UUTRangeTol[[#This Row],[TolResolution]],"1","0"))&amp;UUTRangeTol[[#This Row],[Unit]]</f>
        <v>-10°F</v>
      </c>
      <c r="J362" s="642" t="str">
        <f>TEXT(UUTRangeTol[[#This Row],[TolMax]],SUBSTITUTE(UUTRangeTol[[#This Row],[TolResolution]],"1","0"))&amp;UUTRangeTol[[#This Row],[Unit]]</f>
        <v>10°F</v>
      </c>
      <c r="K36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s="642" t="str">
        <f>UUTRangeTol[[#This Row],[RangeMax]]&amp;UUTRangeTol[[#This Row],[Unit]]</f>
        <v>270°F</v>
      </c>
      <c r="M36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s="642"/>
      <c r="H363" s="642"/>
      <c r="I363" s="642" t="str">
        <f>TEXT(UUTRangeTol[[#This Row],[TolMin]],SUBSTITUTE(UUTRangeTol[[#This Row],[TolResolution]],"1","0"))&amp;UUTRangeTol[[#This Row],[Unit]]</f>
        <v>-50°F</v>
      </c>
      <c r="J363" s="642" t="str">
        <f>TEXT(UUTRangeTol[[#This Row],[TolMax]],SUBSTITUTE(UUTRangeTol[[#This Row],[TolResolution]],"1","0"))&amp;UUTRangeTol[[#This Row],[Unit]]</f>
        <v>50°F</v>
      </c>
      <c r="K36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s="642" t="str">
        <f>UUTRangeTol[[#This Row],[RangeMax]]&amp;UUTRangeTol[[#This Row],[Unit]]</f>
        <v>375°F</v>
      </c>
      <c r="M36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s="642"/>
      <c r="H364" s="642"/>
      <c r="I364" s="642" t="str">
        <f>TEXT(UUTRangeTol[[#This Row],[TolMin]],SUBSTITUTE(UUTRangeTol[[#This Row],[TolResolution]],"1","0"))&amp;UUTRangeTol[[#This Row],[Unit]]</f>
        <v>-10.0°F</v>
      </c>
      <c r="J364" s="642" t="str">
        <f>TEXT(UUTRangeTol[[#This Row],[TolMax]],SUBSTITUTE(UUTRangeTol[[#This Row],[TolResolution]],"1","0"))&amp;UUTRangeTol[[#This Row],[Unit]]</f>
        <v>10.0°F</v>
      </c>
      <c r="K36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s="642" t="str">
        <f>UUTRangeTol[[#This Row],[RangeMax]]&amp;UUTRangeTol[[#This Row],[Unit]]</f>
        <v>450°F</v>
      </c>
      <c r="M36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s="642"/>
      <c r="H365" s="642"/>
      <c r="I365" s="642" t="str">
        <f>TEXT(UUTRangeTol[[#This Row],[TolMin]],SUBSTITUTE(UUTRangeTol[[#This Row],[TolResolution]],"1","0"))&amp;UUTRangeTol[[#This Row],[Unit]]</f>
        <v>-10°F</v>
      </c>
      <c r="J365" s="642" t="str">
        <f>TEXT(UUTRangeTol[[#This Row],[TolMax]],SUBSTITUTE(UUTRangeTol[[#This Row],[TolResolution]],"1","0"))&amp;UUTRangeTol[[#This Row],[Unit]]</f>
        <v>10°F</v>
      </c>
      <c r="K36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s="642" t="str">
        <f>UUTRangeTol[[#This Row],[RangeMax]]&amp;UUTRangeTol[[#This Row],[Unit]]</f>
        <v>390°F</v>
      </c>
      <c r="M36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s="642"/>
      <c r="H366" s="642"/>
      <c r="I366" s="642" t="str">
        <f>TEXT(UUTRangeTol[[#This Row],[TolMin]],SUBSTITUTE(UUTRangeTol[[#This Row],[TolResolution]],"1","0"))&amp;UUTRangeTol[[#This Row],[Unit]]</f>
        <v>0°F</v>
      </c>
      <c r="J366" s="642" t="str">
        <f>TEXT(UUTRangeTol[[#This Row],[TolMax]],SUBSTITUTE(UUTRangeTol[[#This Row],[TolResolution]],"1","0"))&amp;UUTRangeTol[[#This Row],[Unit]]</f>
        <v>160°F</v>
      </c>
      <c r="K36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s="642" t="str">
        <f>UUTRangeTol[[#This Row],[RangeMax]]&amp;UUTRangeTol[[#This Row],[Unit]]</f>
        <v>150°F</v>
      </c>
      <c r="M36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s="642"/>
      <c r="H367" s="642"/>
      <c r="I367" s="642" t="str">
        <f>TEXT(UUTRangeTol[[#This Row],[TolMin]],SUBSTITUTE(UUTRangeTol[[#This Row],[TolResolution]],"1","0"))&amp;UUTRangeTol[[#This Row],[Unit]]</f>
        <v>-15°F</v>
      </c>
      <c r="J367" s="642" t="str">
        <f>TEXT(UUTRangeTol[[#This Row],[TolMax]],SUBSTITUTE(UUTRangeTol[[#This Row],[TolResolution]],"1","0"))&amp;UUTRangeTol[[#This Row],[Unit]]</f>
        <v>15°F</v>
      </c>
      <c r="K36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s="642" t="str">
        <f>UUTRangeTol[[#This Row],[RangeMax]]&amp;UUTRangeTol[[#This Row],[Unit]]</f>
        <v>130°F</v>
      </c>
      <c r="M36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s="642"/>
      <c r="H368" s="642"/>
      <c r="I368" s="642" t="str">
        <f>TEXT(UUTRangeTol[[#This Row],[TolMin]],SUBSTITUTE(UUTRangeTol[[#This Row],[TolResolution]],"1","0"))&amp;UUTRangeTol[[#This Row],[Unit]]</f>
        <v>-15°F</v>
      </c>
      <c r="J368" s="642" t="str">
        <f>TEXT(UUTRangeTol[[#This Row],[TolMax]],SUBSTITUTE(UUTRangeTol[[#This Row],[TolResolution]],"1","0"))&amp;UUTRangeTol[[#This Row],[Unit]]</f>
        <v>15°F</v>
      </c>
      <c r="K36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s="642" t="str">
        <f>UUTRangeTol[[#This Row],[RangeMax]]&amp;UUTRangeTol[[#This Row],[Unit]]</f>
        <v>85°F</v>
      </c>
      <c r="M36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s="642"/>
      <c r="H369" s="642"/>
      <c r="I369" s="642" t="str">
        <f>TEXT(UUTRangeTol[[#This Row],[TolMin]],SUBSTITUTE(UUTRangeTol[[#This Row],[TolResolution]],"1","0"))&amp;UUTRangeTol[[#This Row],[Unit]]</f>
        <v>-25.0°F</v>
      </c>
      <c r="J369" s="642" t="str">
        <f>TEXT(UUTRangeTol[[#This Row],[TolMax]],SUBSTITUTE(UUTRangeTol[[#This Row],[TolResolution]],"1","0"))&amp;UUTRangeTol[[#This Row],[Unit]]</f>
        <v>25.0°F</v>
      </c>
      <c r="K36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s="642" t="str">
        <f>UUTRangeTol[[#This Row],[RangeMax]]&amp;UUTRangeTol[[#This Row],[Unit]]</f>
        <v>1150°F</v>
      </c>
      <c r="M36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s="642"/>
      <c r="H370" s="642"/>
      <c r="I370" s="642" t="str">
        <f>TEXT(UUTRangeTol[[#This Row],[TolMin]],SUBSTITUTE(UUTRangeTol[[#This Row],[TolResolution]],"1","0"))&amp;UUTRangeTol[[#This Row],[Unit]]</f>
        <v>-10°F</v>
      </c>
      <c r="J370" s="642" t="str">
        <f>TEXT(UUTRangeTol[[#This Row],[TolMax]],SUBSTITUTE(UUTRangeTol[[#This Row],[TolResolution]],"1","0"))&amp;UUTRangeTol[[#This Row],[Unit]]</f>
        <v>10°F</v>
      </c>
      <c r="K37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s="642" t="str">
        <f>UUTRangeTol[[#This Row],[RangeMax]]&amp;UUTRangeTol[[#This Row],[Unit]]</f>
        <v>450°F</v>
      </c>
      <c r="M37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s="642"/>
      <c r="H371" s="642"/>
      <c r="I371" s="642" t="str">
        <f>TEXT(UUTRangeTol[[#This Row],[TolMin]],SUBSTITUTE(UUTRangeTol[[#This Row],[TolResolution]],"1","0"))&amp;UUTRangeTol[[#This Row],[Unit]]</f>
        <v>-10°F</v>
      </c>
      <c r="J371" s="642" t="str">
        <f>TEXT(UUTRangeTol[[#This Row],[TolMax]],SUBSTITUTE(UUTRangeTol[[#This Row],[TolResolution]],"1","0"))&amp;UUTRangeTol[[#This Row],[Unit]]</f>
        <v>10°F</v>
      </c>
      <c r="K37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s="642" t="str">
        <f>UUTRangeTol[[#This Row],[RangeMax]]&amp;UUTRangeTol[[#This Row],[Unit]]</f>
        <v>375°F</v>
      </c>
      <c r="M37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s="642"/>
      <c r="H372" s="642"/>
      <c r="I372" s="642" t="str">
        <f>TEXT(UUTRangeTol[[#This Row],[TolMin]],SUBSTITUTE(UUTRangeTol[[#This Row],[TolResolution]],"1","0"))&amp;UUTRangeTol[[#This Row],[Unit]]</f>
        <v>-10.0°F</v>
      </c>
      <c r="J372" s="642" t="str">
        <f>TEXT(UUTRangeTol[[#This Row],[TolMax]],SUBSTITUTE(UUTRangeTol[[#This Row],[TolResolution]],"1","0"))&amp;UUTRangeTol[[#This Row],[Unit]]</f>
        <v>10.0°F</v>
      </c>
      <c r="K37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s="642" t="str">
        <f>UUTRangeTol[[#This Row],[RangeMax]]&amp;UUTRangeTol[[#This Row],[Unit]]</f>
        <v>400°F</v>
      </c>
      <c r="M37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s="642"/>
      <c r="H373" s="642"/>
      <c r="I373" s="642" t="str">
        <f>TEXT(UUTRangeTol[[#This Row],[TolMin]],SUBSTITUTE(UUTRangeTol[[#This Row],[TolResolution]],"1","0"))&amp;UUTRangeTol[[#This Row],[Unit]]</f>
        <v>-10°F</v>
      </c>
      <c r="J373" s="642" t="str">
        <f>TEXT(UUTRangeTol[[#This Row],[TolMax]],SUBSTITUTE(UUTRangeTol[[#This Row],[TolResolution]],"1","0"))&amp;UUTRangeTol[[#This Row],[Unit]]</f>
        <v>10°F</v>
      </c>
      <c r="K37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s="642" t="str">
        <f>UUTRangeTol[[#This Row],[RangeMax]]&amp;UUTRangeTol[[#This Row],[Unit]]</f>
        <v>120°F</v>
      </c>
      <c r="M37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s="642"/>
      <c r="H374" s="642"/>
      <c r="I374" s="642" t="str">
        <f>TEXT(UUTRangeTol[[#This Row],[TolMin]],SUBSTITUTE(UUTRangeTol[[#This Row],[TolResolution]],"1","0"))&amp;UUTRangeTol[[#This Row],[Unit]]</f>
        <v>-10.0°F</v>
      </c>
      <c r="J374" s="642" t="str">
        <f>TEXT(UUTRangeTol[[#This Row],[TolMax]],SUBSTITUTE(UUTRangeTol[[#This Row],[TolResolution]],"1","0"))&amp;UUTRangeTol[[#This Row],[Unit]]</f>
        <v>10.0°F</v>
      </c>
      <c r="K37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s="642" t="str">
        <f>UUTRangeTol[[#This Row],[RangeMax]]&amp;UUTRangeTol[[#This Row],[Unit]]</f>
        <v>220°F</v>
      </c>
      <c r="M37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s="642"/>
      <c r="H375" s="642"/>
      <c r="I375" s="642" t="str">
        <f>TEXT(UUTRangeTol[[#This Row],[TolMin]],SUBSTITUTE(UUTRangeTol[[#This Row],[TolResolution]],"1","0"))&amp;UUTRangeTol[[#This Row],[Unit]]</f>
        <v>-10.0°F</v>
      </c>
      <c r="J375" s="642" t="str">
        <f>TEXT(UUTRangeTol[[#This Row],[TolMax]],SUBSTITUTE(UUTRangeTol[[#This Row],[TolResolution]],"1","0"))&amp;UUTRangeTol[[#This Row],[Unit]]</f>
        <v>10.0°F</v>
      </c>
      <c r="K37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s="642" t="str">
        <f>UUTRangeTol[[#This Row],[RangeMax]]&amp;UUTRangeTol[[#This Row],[Unit]]</f>
        <v>190°F</v>
      </c>
      <c r="M37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s="642"/>
      <c r="H376" s="642"/>
      <c r="I376" s="642" t="str">
        <f>TEXT(UUTRangeTol[[#This Row],[TolMin]],SUBSTITUTE(UUTRangeTol[[#This Row],[TolResolution]],"1","0"))&amp;UUTRangeTol[[#This Row],[Unit]]</f>
        <v>-5°F</v>
      </c>
      <c r="J376" s="642" t="str">
        <f>TEXT(UUTRangeTol[[#This Row],[TolMax]],SUBSTITUTE(UUTRangeTol[[#This Row],[TolResolution]],"1","0"))&amp;UUTRangeTol[[#This Row],[Unit]]</f>
        <v>5°F</v>
      </c>
      <c r="K37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s="642" t="str">
        <f>UUTRangeTol[[#This Row],[RangeMax]]&amp;UUTRangeTol[[#This Row],[Unit]]</f>
        <v>210°F</v>
      </c>
      <c r="M37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s="642"/>
      <c r="H377" s="642"/>
      <c r="I377" s="642" t="str">
        <f>TEXT(UUTRangeTol[[#This Row],[TolMin]],SUBSTITUTE(UUTRangeTol[[#This Row],[TolResolution]],"1","0"))&amp;UUTRangeTol[[#This Row],[Unit]]</f>
        <v>-10°F</v>
      </c>
      <c r="J377" s="642" t="str">
        <f>TEXT(UUTRangeTol[[#This Row],[TolMax]],SUBSTITUTE(UUTRangeTol[[#This Row],[TolResolution]],"1","0"))&amp;UUTRangeTol[[#This Row],[Unit]]</f>
        <v>10°F</v>
      </c>
      <c r="K37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s="642" t="str">
        <f>UUTRangeTol[[#This Row],[RangeMax]]&amp;UUTRangeTol[[#This Row],[Unit]]</f>
        <v>300°F</v>
      </c>
      <c r="M37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s="642"/>
      <c r="H378" s="642"/>
      <c r="I378" s="642" t="str">
        <f>TEXT(UUTRangeTol[[#This Row],[TolMin]],SUBSTITUTE(UUTRangeTol[[#This Row],[TolResolution]],"1","0"))&amp;UUTRangeTol[[#This Row],[Unit]]</f>
        <v>-10°F</v>
      </c>
      <c r="J378" s="642" t="str">
        <f>TEXT(UUTRangeTol[[#This Row],[TolMax]],SUBSTITUTE(UUTRangeTol[[#This Row],[TolResolution]],"1","0"))&amp;UUTRangeTol[[#This Row],[Unit]]</f>
        <v>10°F</v>
      </c>
      <c r="K37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s="642" t="str">
        <f>UUTRangeTol[[#This Row],[RangeMax]]&amp;UUTRangeTol[[#This Row],[Unit]]</f>
        <v>300°F</v>
      </c>
      <c r="M37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s="642"/>
      <c r="H379" s="642"/>
      <c r="I379" s="642" t="str">
        <f>TEXT(UUTRangeTol[[#This Row],[TolMin]],SUBSTITUTE(UUTRangeTol[[#This Row],[TolResolution]],"1","0"))&amp;UUTRangeTol[[#This Row],[Unit]]</f>
        <v>-10°F</v>
      </c>
      <c r="J379" s="642" t="str">
        <f>TEXT(UUTRangeTol[[#This Row],[TolMax]],SUBSTITUTE(UUTRangeTol[[#This Row],[TolResolution]],"1","0"))&amp;UUTRangeTol[[#This Row],[Unit]]</f>
        <v>10°F</v>
      </c>
      <c r="K37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s="642" t="str">
        <f>UUTRangeTol[[#This Row],[RangeMax]]&amp;UUTRangeTol[[#This Row],[Unit]]</f>
        <v>250°F</v>
      </c>
      <c r="M37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s="642"/>
      <c r="H380" s="642"/>
      <c r="I380" s="642" t="str">
        <f>TEXT(UUTRangeTol[[#This Row],[TolMin]],SUBSTITUTE(UUTRangeTol[[#This Row],[TolResolution]],"1","0"))&amp;UUTRangeTol[[#This Row],[Unit]]</f>
        <v>-10°F</v>
      </c>
      <c r="J380" s="642" t="str">
        <f>TEXT(UUTRangeTol[[#This Row],[TolMax]],SUBSTITUTE(UUTRangeTol[[#This Row],[TolResolution]],"1","0"))&amp;UUTRangeTol[[#This Row],[Unit]]</f>
        <v>10°F</v>
      </c>
      <c r="K38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s="642" t="str">
        <f>UUTRangeTol[[#This Row],[RangeMax]]&amp;UUTRangeTol[[#This Row],[Unit]]</f>
        <v>400°F</v>
      </c>
      <c r="M38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s="642"/>
      <c r="H381" s="642"/>
      <c r="I381" s="642" t="str">
        <f>TEXT(UUTRangeTol[[#This Row],[TolMin]],SUBSTITUTE(UUTRangeTol[[#This Row],[TolResolution]],"1","0"))&amp;UUTRangeTol[[#This Row],[Unit]]</f>
        <v>-15°F</v>
      </c>
      <c r="J381" s="642" t="str">
        <f>TEXT(UUTRangeTol[[#This Row],[TolMax]],SUBSTITUTE(UUTRangeTol[[#This Row],[TolResolution]],"1","0"))&amp;UUTRangeTol[[#This Row],[Unit]]</f>
        <v>15°F</v>
      </c>
      <c r="K38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s="642" t="str">
        <f>UUTRangeTol[[#This Row],[RangeMax]]&amp;UUTRangeTol[[#This Row],[Unit]]</f>
        <v>120°F</v>
      </c>
      <c r="M38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s="642"/>
      <c r="H382" s="642"/>
      <c r="I382" s="642" t="str">
        <f>TEXT(UUTRangeTol[[#This Row],[TolMin]],SUBSTITUTE(UUTRangeTol[[#This Row],[TolResolution]],"1","0"))&amp;UUTRangeTol[[#This Row],[Unit]]</f>
        <v>-10.0°F</v>
      </c>
      <c r="J382" s="642" t="str">
        <f>TEXT(UUTRangeTol[[#This Row],[TolMax]],SUBSTITUTE(UUTRangeTol[[#This Row],[TolResolution]],"1","0"))&amp;UUTRangeTol[[#This Row],[Unit]]</f>
        <v>10.0°F</v>
      </c>
      <c r="K38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s="642" t="str">
        <f>UUTRangeTol[[#This Row],[RangeMax]]&amp;UUTRangeTol[[#This Row],[Unit]]</f>
        <v>400°F</v>
      </c>
      <c r="M38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s="642"/>
      <c r="H383" s="642"/>
      <c r="I383" s="642" t="str">
        <f>TEXT(UUTRangeTol[[#This Row],[TolMin]],SUBSTITUTE(UUTRangeTol[[#This Row],[TolResolution]],"1","0"))&amp;UUTRangeTol[[#This Row],[Unit]]</f>
        <v>-10.0°F</v>
      </c>
      <c r="J383" s="642" t="str">
        <f>TEXT(UUTRangeTol[[#This Row],[TolMax]],SUBSTITUTE(UUTRangeTol[[#This Row],[TolResolution]],"1","0"))&amp;UUTRangeTol[[#This Row],[Unit]]</f>
        <v>10.0°F</v>
      </c>
      <c r="K38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s="642" t="str">
        <f>UUTRangeTol[[#This Row],[RangeMax]]&amp;UUTRangeTol[[#This Row],[Unit]]</f>
        <v>400°F</v>
      </c>
      <c r="M38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s="642"/>
      <c r="H384" s="642"/>
      <c r="I384" s="642" t="str">
        <f>TEXT(UUTRangeTol[[#This Row],[TolMin]],SUBSTITUTE(UUTRangeTol[[#This Row],[TolResolution]],"1","0"))&amp;UUTRangeTol[[#This Row],[Unit]]</f>
        <v>-25°F</v>
      </c>
      <c r="J384" s="642" t="str">
        <f>TEXT(UUTRangeTol[[#This Row],[TolMax]],SUBSTITUTE(UUTRangeTol[[#This Row],[TolResolution]],"1","0"))&amp;UUTRangeTol[[#This Row],[Unit]]</f>
        <v>25°F</v>
      </c>
      <c r="K38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s="642" t="str">
        <f>UUTRangeTol[[#This Row],[RangeMax]]&amp;UUTRangeTol[[#This Row],[Unit]]</f>
        <v>400°F</v>
      </c>
      <c r="M38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s="642"/>
      <c r="H385" s="642"/>
      <c r="I385" s="642" t="str">
        <f>TEXT(UUTRangeTol[[#This Row],[TolMin]],SUBSTITUTE(UUTRangeTol[[#This Row],[TolResolution]],"1","0"))&amp;UUTRangeTol[[#This Row],[Unit]]</f>
        <v>-10°F</v>
      </c>
      <c r="J385" s="642" t="str">
        <f>TEXT(UUTRangeTol[[#This Row],[TolMax]],SUBSTITUTE(UUTRangeTol[[#This Row],[TolResolution]],"1","0"))&amp;UUTRangeTol[[#This Row],[Unit]]</f>
        <v>10°F</v>
      </c>
      <c r="K38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s="642" t="str">
        <f>UUTRangeTol[[#This Row],[RangeMax]]&amp;UUTRangeTol[[#This Row],[Unit]]</f>
        <v>260°F</v>
      </c>
      <c r="M38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s="642"/>
      <c r="H386" s="642"/>
      <c r="I386" s="642" t="str">
        <f>TEXT(UUTRangeTol[[#This Row],[TolMin]],SUBSTITUTE(UUTRangeTol[[#This Row],[TolResolution]],"1","0"))&amp;UUTRangeTol[[#This Row],[Unit]]</f>
        <v>-14°C</v>
      </c>
      <c r="J386" s="642" t="str">
        <f>TEXT(UUTRangeTol[[#This Row],[TolMax]],SUBSTITUTE(UUTRangeTol[[#This Row],[TolResolution]],"1","0"))&amp;UUTRangeTol[[#This Row],[Unit]]</f>
        <v>14°C</v>
      </c>
      <c r="K38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s="642" t="str">
        <f>UUTRangeTol[[#This Row],[RangeMax]]&amp;UUTRangeTol[[#This Row],[Unit]]</f>
        <v>66°C</v>
      </c>
      <c r="M38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s="642"/>
      <c r="H387" s="642"/>
      <c r="I387" s="642" t="str">
        <f>TEXT(UUTRangeTol[[#This Row],[TolMin]],SUBSTITUTE(UUTRangeTol[[#This Row],[TolResolution]],"1","0"))&amp;UUTRangeTol[[#This Row],[Unit]]</f>
        <v>-5.0°F</v>
      </c>
      <c r="J387" s="642" t="str">
        <f>TEXT(UUTRangeTol[[#This Row],[TolMax]],SUBSTITUTE(UUTRangeTol[[#This Row],[TolResolution]],"1","0"))&amp;UUTRangeTol[[#This Row],[Unit]]</f>
        <v>5.0°F</v>
      </c>
      <c r="K38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s="642" t="str">
        <f>UUTRangeTol[[#This Row],[RangeMax]]&amp;UUTRangeTol[[#This Row],[Unit]]</f>
        <v>375°F</v>
      </c>
      <c r="M38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s="642"/>
      <c r="H388" s="642"/>
      <c r="I388" s="642" t="str">
        <f>TEXT(UUTRangeTol[[#This Row],[TolMin]],SUBSTITUTE(UUTRangeTol[[#This Row],[TolResolution]],"1","0"))&amp;UUTRangeTol[[#This Row],[Unit]]</f>
        <v>0°F</v>
      </c>
      <c r="J388" s="642" t="str">
        <f>TEXT(UUTRangeTol[[#This Row],[TolMax]],SUBSTITUTE(UUTRangeTol[[#This Row],[TolResolution]],"1","0"))&amp;UUTRangeTol[[#This Row],[Unit]]</f>
        <v>40°F</v>
      </c>
      <c r="K38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s="642" t="str">
        <f>UUTRangeTol[[#This Row],[RangeMax]]&amp;UUTRangeTol[[#This Row],[Unit]]</f>
        <v>40°F</v>
      </c>
      <c r="M38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s="642"/>
      <c r="H389" s="642"/>
      <c r="I389" s="642" t="str">
        <f>TEXT(UUTRangeTol[[#This Row],[TolMin]],SUBSTITUTE(UUTRangeTol[[#This Row],[TolResolution]],"1","0"))&amp;UUTRangeTol[[#This Row],[Unit]]</f>
        <v>0°F</v>
      </c>
      <c r="J389" s="642" t="str">
        <f>TEXT(UUTRangeTol[[#This Row],[TolMax]],SUBSTITUTE(UUTRangeTol[[#This Row],[TolResolution]],"1","0"))&amp;UUTRangeTol[[#This Row],[Unit]]</f>
        <v>40°F</v>
      </c>
      <c r="K38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s="642" t="str">
        <f>UUTRangeTol[[#This Row],[RangeMax]]&amp;UUTRangeTol[[#This Row],[Unit]]</f>
        <v>40°F</v>
      </c>
      <c r="M38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s="642"/>
      <c r="H390" s="642"/>
      <c r="I390" s="642" t="str">
        <f>TEXT(UUTRangeTol[[#This Row],[TolMin]],SUBSTITUTE(UUTRangeTol[[#This Row],[TolResolution]],"1","0"))&amp;UUTRangeTol[[#This Row],[Unit]]</f>
        <v>-25°F</v>
      </c>
      <c r="J390" s="642" t="str">
        <f>TEXT(UUTRangeTol[[#This Row],[TolMax]],SUBSTITUTE(UUTRangeTol[[#This Row],[TolResolution]],"1","0"))&amp;UUTRangeTol[[#This Row],[Unit]]</f>
        <v>25°F</v>
      </c>
      <c r="K39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s="642" t="str">
        <f>UUTRangeTol[[#This Row],[RangeMax]]&amp;UUTRangeTol[[#This Row],[Unit]]</f>
        <v>350°F</v>
      </c>
      <c r="M39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s="642"/>
      <c r="H391" s="642"/>
      <c r="I391" s="642" t="str">
        <f>TEXT(UUTRangeTol[[#This Row],[TolMin]],SUBSTITUTE(UUTRangeTol[[#This Row],[TolResolution]],"1","0"))&amp;UUTRangeTol[[#This Row],[Unit]]</f>
        <v>-5.0°F</v>
      </c>
      <c r="J391" s="642" t="str">
        <f>TEXT(UUTRangeTol[[#This Row],[TolMax]],SUBSTITUTE(UUTRangeTol[[#This Row],[TolResolution]],"1","0"))&amp;UUTRangeTol[[#This Row],[Unit]]</f>
        <v>5.0°F</v>
      </c>
      <c r="K39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s="642" t="str">
        <f>UUTRangeTol[[#This Row],[RangeMax]]&amp;UUTRangeTol[[#This Row],[Unit]]</f>
        <v>100°F</v>
      </c>
      <c r="M39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s="642"/>
      <c r="H392" s="642"/>
      <c r="I392" s="642" t="str">
        <f>TEXT(UUTRangeTol[[#This Row],[TolMin]],SUBSTITUTE(UUTRangeTol[[#This Row],[TolResolution]],"1","0"))&amp;UUTRangeTol[[#This Row],[Unit]]</f>
        <v>-10°F</v>
      </c>
      <c r="J392" s="642" t="str">
        <f>TEXT(UUTRangeTol[[#This Row],[TolMax]],SUBSTITUTE(UUTRangeTol[[#This Row],[TolResolution]],"1","0"))&amp;UUTRangeTol[[#This Row],[Unit]]</f>
        <v>10°F</v>
      </c>
      <c r="K39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s="642" t="str">
        <f>UUTRangeTol[[#This Row],[RangeMax]]&amp;UUTRangeTol[[#This Row],[Unit]]</f>
        <v>140°F</v>
      </c>
      <c r="M39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s="642"/>
      <c r="H393" s="642"/>
      <c r="I393" s="642" t="str">
        <f>TEXT(UUTRangeTol[[#This Row],[TolMin]],SUBSTITUTE(UUTRangeTol[[#This Row],[TolResolution]],"1","0"))&amp;UUTRangeTol[[#This Row],[Unit]]</f>
        <v>-25.0°F</v>
      </c>
      <c r="J393" s="642" t="str">
        <f>TEXT(UUTRangeTol[[#This Row],[TolMax]],SUBSTITUTE(UUTRangeTol[[#This Row],[TolResolution]],"1","0"))&amp;UUTRangeTol[[#This Row],[Unit]]</f>
        <v>25.0°F</v>
      </c>
      <c r="K39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s="642" t="str">
        <f>UUTRangeTol[[#This Row],[RangeMax]]&amp;UUTRangeTol[[#This Row],[Unit]]</f>
        <v>850°F</v>
      </c>
      <c r="M39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s="642"/>
      <c r="H394" s="642"/>
      <c r="I394" s="642" t="str">
        <f>TEXT(UUTRangeTol[[#This Row],[TolMin]],SUBSTITUTE(UUTRangeTol[[#This Row],[TolResolution]],"1","0"))&amp;UUTRangeTol[[#This Row],[Unit]]</f>
        <v>-25.0°F</v>
      </c>
      <c r="J394" s="642" t="str">
        <f>TEXT(UUTRangeTol[[#This Row],[TolMax]],SUBSTITUTE(UUTRangeTol[[#This Row],[TolResolution]],"1","0"))&amp;UUTRangeTol[[#This Row],[Unit]]</f>
        <v>25.0°F</v>
      </c>
      <c r="K39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s="642" t="str">
        <f>UUTRangeTol[[#This Row],[RangeMax]]&amp;UUTRangeTol[[#This Row],[Unit]]</f>
        <v>1050°F</v>
      </c>
      <c r="M39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s="642"/>
      <c r="H395" s="642"/>
      <c r="I395" s="642" t="str">
        <f>TEXT(UUTRangeTol[[#This Row],[TolMin]],SUBSTITUTE(UUTRangeTol[[#This Row],[TolResolution]],"1","0"))&amp;UUTRangeTol[[#This Row],[Unit]]</f>
        <v>-5°F</v>
      </c>
      <c r="J395" s="642" t="str">
        <f>TEXT(UUTRangeTol[[#This Row],[TolMax]],SUBSTITUTE(UUTRangeTol[[#This Row],[TolResolution]],"1","0"))&amp;UUTRangeTol[[#This Row],[Unit]]</f>
        <v>5°F</v>
      </c>
      <c r="K39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s="642" t="str">
        <f>UUTRangeTol[[#This Row],[RangeMax]]&amp;UUTRangeTol[[#This Row],[Unit]]</f>
        <v>95°F</v>
      </c>
      <c r="M39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s="642"/>
      <c r="H396" s="642"/>
      <c r="I396" s="642" t="str">
        <f>TEXT(UUTRangeTol[[#This Row],[TolMin]],SUBSTITUTE(UUTRangeTol[[#This Row],[TolResolution]],"1","0"))&amp;UUTRangeTol[[#This Row],[Unit]]</f>
        <v>-5°F</v>
      </c>
      <c r="J396" s="642" t="str">
        <f>TEXT(UUTRangeTol[[#This Row],[TolMax]],SUBSTITUTE(UUTRangeTol[[#This Row],[TolResolution]],"1","0"))&amp;UUTRangeTol[[#This Row],[Unit]]</f>
        <v>5°F</v>
      </c>
      <c r="K39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s="642" t="str">
        <f>UUTRangeTol[[#This Row],[RangeMax]]&amp;UUTRangeTol[[#This Row],[Unit]]</f>
        <v>95°F</v>
      </c>
      <c r="M39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s="642"/>
      <c r="H397" s="642"/>
      <c r="I397" s="642" t="str">
        <f>TEXT(UUTRangeTol[[#This Row],[TolMin]],SUBSTITUTE(UUTRangeTol[[#This Row],[TolResolution]],"1","0"))&amp;UUTRangeTol[[#This Row],[Unit]]</f>
        <v>-10.0°F</v>
      </c>
      <c r="J397" s="642" t="str">
        <f>TEXT(UUTRangeTol[[#This Row],[TolMax]],SUBSTITUTE(UUTRangeTol[[#This Row],[TolResolution]],"1","0"))&amp;UUTRangeTol[[#This Row],[Unit]]</f>
        <v>10.0°F</v>
      </c>
      <c r="K39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s="642" t="str">
        <f>UUTRangeTol[[#This Row],[RangeMax]]&amp;UUTRangeTol[[#This Row],[Unit]]</f>
        <v>985°F</v>
      </c>
      <c r="M39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s="642"/>
      <c r="H398" s="642"/>
      <c r="I398" s="642" t="str">
        <f>TEXT(UUTRangeTol[[#This Row],[TolMin]],SUBSTITUTE(UUTRangeTol[[#This Row],[TolResolution]],"1","0"))&amp;UUTRangeTol[[#This Row],[Unit]]</f>
        <v>0°F</v>
      </c>
      <c r="J398" s="642" t="str">
        <f>TEXT(UUTRangeTol[[#This Row],[TolMax]],SUBSTITUTE(UUTRangeTol[[#This Row],[TolResolution]],"1","0"))&amp;UUTRangeTol[[#This Row],[Unit]]</f>
        <v>0°F</v>
      </c>
      <c r="K39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s="642" t="str">
        <f>UUTRangeTol[[#This Row],[RangeMax]]&amp;UUTRangeTol[[#This Row],[Unit]]</f>
        <v>0°F</v>
      </c>
      <c r="M39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s="642"/>
      <c r="H399" s="642"/>
      <c r="I399" s="642" t="str">
        <f>TEXT(UUTRangeTol[[#This Row],[TolMin]],SUBSTITUTE(UUTRangeTol[[#This Row],[TolResolution]],"1","0"))&amp;UUTRangeTol[[#This Row],[Unit]]</f>
        <v>-10.0°F</v>
      </c>
      <c r="J399" s="642" t="str">
        <f>TEXT(UUTRangeTol[[#This Row],[TolMax]],SUBSTITUTE(UUTRangeTol[[#This Row],[TolResolution]],"1","0"))&amp;UUTRangeTol[[#This Row],[Unit]]</f>
        <v>10.0°F</v>
      </c>
      <c r="K39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s="642" t="str">
        <f>UUTRangeTol[[#This Row],[RangeMax]]&amp;UUTRangeTol[[#This Row],[Unit]]</f>
        <v>350°F</v>
      </c>
      <c r="M39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s="642"/>
      <c r="H400" s="642"/>
      <c r="I400" s="642" t="str">
        <f>TEXT(UUTRangeTol[[#This Row],[TolMin]],SUBSTITUTE(UUTRangeTol[[#This Row],[TolResolution]],"1","0"))&amp;UUTRangeTol[[#This Row],[Unit]]</f>
        <v>-25°F</v>
      </c>
      <c r="J400" s="642" t="str">
        <f>TEXT(UUTRangeTol[[#This Row],[TolMax]],SUBSTITUTE(UUTRangeTol[[#This Row],[TolResolution]],"1","0"))&amp;UUTRangeTol[[#This Row],[Unit]]</f>
        <v>25°F</v>
      </c>
      <c r="K40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s="642" t="str">
        <f>UUTRangeTol[[#This Row],[RangeMax]]&amp;UUTRangeTol[[#This Row],[Unit]]</f>
        <v>1500°F</v>
      </c>
      <c r="M40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s="642"/>
      <c r="H401" s="642"/>
      <c r="I401" s="642" t="str">
        <f>TEXT(UUTRangeTol[[#This Row],[TolMin]],SUBSTITUTE(UUTRangeTol[[#This Row],[TolResolution]],"1","0"))&amp;UUTRangeTol[[#This Row],[Unit]]</f>
        <v>-15°F</v>
      </c>
      <c r="J401" s="642" t="str">
        <f>TEXT(UUTRangeTol[[#This Row],[TolMax]],SUBSTITUTE(UUTRangeTol[[#This Row],[TolResolution]],"1","0"))&amp;UUTRangeTol[[#This Row],[Unit]]</f>
        <v>15°F</v>
      </c>
      <c r="K40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s="642" t="str">
        <f>UUTRangeTol[[#This Row],[RangeMax]]&amp;UUTRangeTol[[#This Row],[Unit]]</f>
        <v>2100°F</v>
      </c>
      <c r="M40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s="642"/>
      <c r="H402" s="642"/>
      <c r="I402" s="642" t="str">
        <f>TEXT(UUTRangeTol[[#This Row],[TolMin]],SUBSTITUTE(UUTRangeTol[[#This Row],[TolResolution]],"1","0"))&amp;UUTRangeTol[[#This Row],[Unit]]</f>
        <v>-15°F</v>
      </c>
      <c r="J402" s="642" t="str">
        <f>TEXT(UUTRangeTol[[#This Row],[TolMax]],SUBSTITUTE(UUTRangeTol[[#This Row],[TolResolution]],"1","0"))&amp;UUTRangeTol[[#This Row],[Unit]]</f>
        <v>15°F</v>
      </c>
      <c r="K40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s="642" t="str">
        <f>UUTRangeTol[[#This Row],[RangeMax]]&amp;UUTRangeTol[[#This Row],[Unit]]</f>
        <v>145°F</v>
      </c>
      <c r="M40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s="642"/>
      <c r="H403" s="642"/>
      <c r="I403" s="642" t="str">
        <f>TEXT(UUTRangeTol[[#This Row],[TolMin]],SUBSTITUTE(UUTRangeTol[[#This Row],[TolResolution]],"1","0"))&amp;UUTRangeTol[[#This Row],[Unit]]</f>
        <v>-25°F</v>
      </c>
      <c r="J403" s="642" t="str">
        <f>TEXT(UUTRangeTol[[#This Row],[TolMax]],SUBSTITUTE(UUTRangeTol[[#This Row],[TolResolution]],"1","0"))&amp;UUTRangeTol[[#This Row],[Unit]]</f>
        <v>25°F</v>
      </c>
      <c r="K40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s="642" t="str">
        <f>UUTRangeTol[[#This Row],[RangeMax]]&amp;UUTRangeTol[[#This Row],[Unit]]</f>
        <v>450°F</v>
      </c>
      <c r="M40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s="642"/>
      <c r="H404" s="642"/>
      <c r="I404" s="642" t="str">
        <f>TEXT(UUTRangeTol[[#This Row],[TolMin]],SUBSTITUTE(UUTRangeTol[[#This Row],[TolResolution]],"1","0"))&amp;UUTRangeTol[[#This Row],[Unit]]</f>
        <v>-25°F</v>
      </c>
      <c r="J404" s="642" t="str">
        <f>TEXT(UUTRangeTol[[#This Row],[TolMax]],SUBSTITUTE(UUTRangeTol[[#This Row],[TolResolution]],"1","0"))&amp;UUTRangeTol[[#This Row],[Unit]]</f>
        <v>25°F</v>
      </c>
      <c r="K40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s="642" t="str">
        <f>UUTRangeTol[[#This Row],[RangeMax]]&amp;UUTRangeTol[[#This Row],[Unit]]</f>
        <v>650°F</v>
      </c>
      <c r="M40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s="642"/>
      <c r="H405" s="642"/>
      <c r="I405" s="642" t="str">
        <f>TEXT(UUTRangeTol[[#This Row],[TolMin]],SUBSTITUTE(UUTRangeTol[[#This Row],[TolResolution]],"1","0"))&amp;UUTRangeTol[[#This Row],[Unit]]</f>
        <v>-14°C</v>
      </c>
      <c r="J405" s="642" t="str">
        <f>TEXT(UUTRangeTol[[#This Row],[TolMax]],SUBSTITUTE(UUTRangeTol[[#This Row],[TolResolution]],"1","0"))&amp;UUTRangeTol[[#This Row],[Unit]]</f>
        <v>14°C</v>
      </c>
      <c r="K40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s="642" t="str">
        <f>UUTRangeTol[[#This Row],[RangeMax]]&amp;UUTRangeTol[[#This Row],[Unit]]</f>
        <v>121°C</v>
      </c>
      <c r="M40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s="642"/>
      <c r="H406" s="642"/>
      <c r="I406" s="642" t="str">
        <f>TEXT(UUTRangeTol[[#This Row],[TolMin]],SUBSTITUTE(UUTRangeTol[[#This Row],[TolResolution]],"1","0"))&amp;UUTRangeTol[[#This Row],[Unit]]</f>
        <v>0°F</v>
      </c>
      <c r="J406" s="642" t="str">
        <f>TEXT(UUTRangeTol[[#This Row],[TolMax]],SUBSTITUTE(UUTRangeTol[[#This Row],[TolResolution]],"1","0"))&amp;UUTRangeTol[[#This Row],[Unit]]</f>
        <v>0°F</v>
      </c>
      <c r="K40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s="642" t="str">
        <f>UUTRangeTol[[#This Row],[RangeMax]]&amp;UUTRangeTol[[#This Row],[Unit]]</f>
        <v>0°F</v>
      </c>
      <c r="M40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s="642"/>
      <c r="H407" s="642"/>
      <c r="I407" s="642" t="str">
        <f>TEXT(UUTRangeTol[[#This Row],[TolMin]],SUBSTITUTE(UUTRangeTol[[#This Row],[TolResolution]],"1","0"))&amp;UUTRangeTol[[#This Row],[Unit]]</f>
        <v>-10°F</v>
      </c>
      <c r="J407" s="642" t="str">
        <f>TEXT(UUTRangeTol[[#This Row],[TolMax]],SUBSTITUTE(UUTRangeTol[[#This Row],[TolResolution]],"1","0"))&amp;UUTRangeTol[[#This Row],[Unit]]</f>
        <v>10°F</v>
      </c>
      <c r="K40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s="642" t="str">
        <f>UUTRangeTol[[#This Row],[RangeMax]]&amp;UUTRangeTol[[#This Row],[Unit]]</f>
        <v>400°F</v>
      </c>
      <c r="M40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s="642"/>
      <c r="H408" s="642"/>
      <c r="I408" s="642" t="str">
        <f>TEXT(UUTRangeTol[[#This Row],[TolMin]],SUBSTITUTE(UUTRangeTol[[#This Row],[TolResolution]],"1","0"))&amp;UUTRangeTol[[#This Row],[Unit]]</f>
        <v>-10°F</v>
      </c>
      <c r="J408" s="642" t="str">
        <f>TEXT(UUTRangeTol[[#This Row],[TolMax]],SUBSTITUTE(UUTRangeTol[[#This Row],[TolResolution]],"1","0"))&amp;UUTRangeTol[[#This Row],[Unit]]</f>
        <v>10°F</v>
      </c>
      <c r="K40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s="642" t="str">
        <f>UUTRangeTol[[#This Row],[RangeMax]]&amp;UUTRangeTol[[#This Row],[Unit]]</f>
        <v>375°F</v>
      </c>
      <c r="M40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s="642"/>
      <c r="H409" s="642"/>
      <c r="I409" s="642" t="str">
        <f>TEXT(UUTRangeTol[[#This Row],[TolMin]],SUBSTITUTE(UUTRangeTol[[#This Row],[TolResolution]],"1","0"))&amp;UUTRangeTol[[#This Row],[Unit]]</f>
        <v>-25°F</v>
      </c>
      <c r="J409" s="642" t="str">
        <f>TEXT(UUTRangeTol[[#This Row],[TolMax]],SUBSTITUTE(UUTRangeTol[[#This Row],[TolResolution]],"1","0"))&amp;UUTRangeTol[[#This Row],[Unit]]</f>
        <v>25°F</v>
      </c>
      <c r="K40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s="642" t="str">
        <f>UUTRangeTol[[#This Row],[RangeMax]]&amp;UUTRangeTol[[#This Row],[Unit]]</f>
        <v>1700°F</v>
      </c>
      <c r="M40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s="642"/>
      <c r="H410" s="642"/>
      <c r="I410" s="642" t="str">
        <f>TEXT(UUTRangeTol[[#This Row],[TolMin]],SUBSTITUTE(UUTRangeTol[[#This Row],[TolResolution]],"1","0"))&amp;UUTRangeTol[[#This Row],[Unit]]</f>
        <v>-25°F</v>
      </c>
      <c r="J410" s="642" t="str">
        <f>TEXT(UUTRangeTol[[#This Row],[TolMax]],SUBSTITUTE(UUTRangeTol[[#This Row],[TolResolution]],"1","0"))&amp;UUTRangeTol[[#This Row],[Unit]]</f>
        <v>25°F</v>
      </c>
      <c r="K4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s="642" t="str">
        <f>UUTRangeTol[[#This Row],[RangeMax]]&amp;UUTRangeTol[[#This Row],[Unit]]</f>
        <v>1700°F</v>
      </c>
      <c r="M4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s="642"/>
      <c r="H411" s="642"/>
      <c r="I411" s="642" t="str">
        <f>TEXT(UUTRangeTol[[#This Row],[TolMin]],SUBSTITUTE(UUTRangeTol[[#This Row],[TolResolution]],"1","0"))&amp;UUTRangeTol[[#This Row],[Unit]]</f>
        <v>-25°F</v>
      </c>
      <c r="J411" s="642" t="str">
        <f>TEXT(UUTRangeTol[[#This Row],[TolMax]],SUBSTITUTE(UUTRangeTol[[#This Row],[TolResolution]],"1","0"))&amp;UUTRangeTol[[#This Row],[Unit]]</f>
        <v>25°F</v>
      </c>
      <c r="K4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s="642" t="str">
        <f>UUTRangeTol[[#This Row],[RangeMax]]&amp;UUTRangeTol[[#This Row],[Unit]]</f>
        <v>1700°F</v>
      </c>
      <c r="M4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s="642"/>
      <c r="H412" s="642"/>
      <c r="I412" s="642" t="str">
        <f>TEXT(UUTRangeTol[[#This Row],[TolMin]],SUBSTITUTE(UUTRangeTol[[#This Row],[TolResolution]],"1","0"))&amp;UUTRangeTol[[#This Row],[Unit]]</f>
        <v>-10°F</v>
      </c>
      <c r="J412" s="642" t="str">
        <f>TEXT(UUTRangeTol[[#This Row],[TolMax]],SUBSTITUTE(UUTRangeTol[[#This Row],[TolResolution]],"1","0"))&amp;UUTRangeTol[[#This Row],[Unit]]</f>
        <v>10°F</v>
      </c>
      <c r="K4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s="642" t="str">
        <f>UUTRangeTol[[#This Row],[RangeMax]]&amp;UUTRangeTol[[#This Row],[Unit]]</f>
        <v>310°F</v>
      </c>
      <c r="M4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s="642"/>
      <c r="H413" s="642"/>
      <c r="I413" s="642" t="str">
        <f>TEXT(UUTRangeTol[[#This Row],[TolMin]],SUBSTITUTE(UUTRangeTol[[#This Row],[TolResolution]],"1","0"))&amp;UUTRangeTol[[#This Row],[Unit]]</f>
        <v>-20.0°F</v>
      </c>
      <c r="J413" s="642" t="str">
        <f>TEXT(UUTRangeTol[[#This Row],[TolMax]],SUBSTITUTE(UUTRangeTol[[#This Row],[TolResolution]],"1","0"))&amp;UUTRangeTol[[#This Row],[Unit]]</f>
        <v>20.0°F</v>
      </c>
      <c r="K4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s="642" t="str">
        <f>UUTRangeTol[[#This Row],[RangeMax]]&amp;UUTRangeTol[[#This Row],[Unit]]</f>
        <v>150°F</v>
      </c>
      <c r="M4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s="642"/>
      <c r="H414" s="642"/>
      <c r="I414" s="642" t="str">
        <f>TEXT(UUTRangeTol[[#This Row],[TolMin]],SUBSTITUTE(UUTRangeTol[[#This Row],[TolResolution]],"1","0"))&amp;UUTRangeTol[[#This Row],[Unit]]</f>
        <v>-8°C</v>
      </c>
      <c r="J414" s="642" t="str">
        <f>TEXT(UUTRangeTol[[#This Row],[TolMax]],SUBSTITUTE(UUTRangeTol[[#This Row],[TolResolution]],"1","0"))&amp;UUTRangeTol[[#This Row],[Unit]]</f>
        <v>8°C</v>
      </c>
      <c r="K4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s="642" t="str">
        <f>UUTRangeTol[[#This Row],[RangeMax]]&amp;UUTRangeTol[[#This Row],[Unit]]</f>
        <v>200°C</v>
      </c>
      <c r="M4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s="642"/>
      <c r="H415" s="642"/>
      <c r="I415" s="642" t="str">
        <f>TEXT(UUTRangeTol[[#This Row],[TolMin]],SUBSTITUTE(UUTRangeTol[[#This Row],[TolResolution]],"1","0"))&amp;UUTRangeTol[[#This Row],[Unit]]</f>
        <v>-15°F</v>
      </c>
      <c r="J415" s="642" t="str">
        <f>TEXT(UUTRangeTol[[#This Row],[TolMax]],SUBSTITUTE(UUTRangeTol[[#This Row],[TolResolution]],"1","0"))&amp;UUTRangeTol[[#This Row],[Unit]]</f>
        <v>15°F</v>
      </c>
      <c r="K4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s="642" t="str">
        <f>UUTRangeTol[[#This Row],[RangeMax]]&amp;UUTRangeTol[[#This Row],[Unit]]</f>
        <v>170°F</v>
      </c>
      <c r="M4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s="642"/>
      <c r="H416" s="642"/>
      <c r="I416" s="642" t="str">
        <f>TEXT(UUTRangeTol[[#This Row],[TolMin]],SUBSTITUTE(UUTRangeTol[[#This Row],[TolResolution]],"1","0"))&amp;UUTRangeTol[[#This Row],[Unit]]</f>
        <v>-15°F</v>
      </c>
      <c r="J416" s="642" t="str">
        <f>TEXT(UUTRangeTol[[#This Row],[TolMax]],SUBSTITUTE(UUTRangeTol[[#This Row],[TolResolution]],"1","0"))&amp;UUTRangeTol[[#This Row],[Unit]]</f>
        <v>15°F</v>
      </c>
      <c r="K4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s="642" t="str">
        <f>UUTRangeTol[[#This Row],[RangeMax]]&amp;UUTRangeTol[[#This Row],[Unit]]</f>
        <v>155°F</v>
      </c>
      <c r="M4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s="642"/>
      <c r="H417" s="642"/>
      <c r="I417" s="642" t="str">
        <f>TEXT(UUTRangeTol[[#This Row],[TolMin]],SUBSTITUTE(UUTRangeTol[[#This Row],[TolResolution]],"1","0"))&amp;UUTRangeTol[[#This Row],[Unit]]</f>
        <v>-15.0°F</v>
      </c>
      <c r="J417" s="642" t="str">
        <f>TEXT(UUTRangeTol[[#This Row],[TolMax]],SUBSTITUTE(UUTRangeTol[[#This Row],[TolResolution]],"1","0"))&amp;UUTRangeTol[[#This Row],[Unit]]</f>
        <v>15.0°F</v>
      </c>
      <c r="K4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s="642" t="str">
        <f>UUTRangeTol[[#This Row],[RangeMax]]&amp;UUTRangeTol[[#This Row],[Unit]]</f>
        <v>180°F</v>
      </c>
      <c r="M4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s="642"/>
      <c r="H418" s="642"/>
      <c r="I418" s="642" t="str">
        <f>TEXT(UUTRangeTol[[#This Row],[TolMin]],SUBSTITUTE(UUTRangeTol[[#This Row],[TolResolution]],"1","0"))&amp;UUTRangeTol[[#This Row],[Unit]]</f>
        <v>-10°F</v>
      </c>
      <c r="J418" s="642" t="str">
        <f>TEXT(UUTRangeTol[[#This Row],[TolMax]],SUBSTITUTE(UUTRangeTol[[#This Row],[TolResolution]],"1","0"))&amp;UUTRangeTol[[#This Row],[Unit]]</f>
        <v>10°F</v>
      </c>
      <c r="K4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s="642" t="str">
        <f>UUTRangeTol[[#This Row],[RangeMax]]&amp;UUTRangeTol[[#This Row],[Unit]]</f>
        <v>190°F</v>
      </c>
      <c r="M4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s="642"/>
      <c r="H419" s="642"/>
      <c r="I419" s="642" t="str">
        <f>TEXT(UUTRangeTol[[#This Row],[TolMin]],SUBSTITUTE(UUTRangeTol[[#This Row],[TolResolution]],"1","0"))&amp;UUTRangeTol[[#This Row],[Unit]]</f>
        <v>-10.0°F</v>
      </c>
      <c r="J419" s="642" t="str">
        <f>TEXT(UUTRangeTol[[#This Row],[TolMax]],SUBSTITUTE(UUTRangeTol[[#This Row],[TolResolution]],"1","0"))&amp;UUTRangeTol[[#This Row],[Unit]]</f>
        <v>10.0°F</v>
      </c>
      <c r="K4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s="642" t="str">
        <f>UUTRangeTol[[#This Row],[RangeMax]]&amp;UUTRangeTol[[#This Row],[Unit]]</f>
        <v>190°F</v>
      </c>
      <c r="M4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s="642"/>
      <c r="H420" s="642"/>
      <c r="I420" s="642" t="str">
        <f>TEXT(UUTRangeTol[[#This Row],[TolMin]],SUBSTITUTE(UUTRangeTol[[#This Row],[TolResolution]],"1","0"))&amp;UUTRangeTol[[#This Row],[Unit]]</f>
        <v>-15.0°F</v>
      </c>
      <c r="J420" s="642" t="str">
        <f>TEXT(UUTRangeTol[[#This Row],[TolMax]],SUBSTITUTE(UUTRangeTol[[#This Row],[TolResolution]],"1","0"))&amp;UUTRangeTol[[#This Row],[Unit]]</f>
        <v>15.0°F</v>
      </c>
      <c r="K4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s="642" t="str">
        <f>UUTRangeTol[[#This Row],[RangeMax]]&amp;UUTRangeTol[[#This Row],[Unit]]</f>
        <v>180°F</v>
      </c>
      <c r="M4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s="642"/>
      <c r="H421" s="642"/>
      <c r="I421" s="642" t="str">
        <f>TEXT(UUTRangeTol[[#This Row],[TolMin]],SUBSTITUTE(UUTRangeTol[[#This Row],[TolResolution]],"1","0"))&amp;UUTRangeTol[[#This Row],[Unit]]</f>
        <v>-15°F</v>
      </c>
      <c r="J421" s="642" t="str">
        <f>TEXT(UUTRangeTol[[#This Row],[TolMax]],SUBSTITUTE(UUTRangeTol[[#This Row],[TolResolution]],"1","0"))&amp;UUTRangeTol[[#This Row],[Unit]]</f>
        <v>15°F</v>
      </c>
      <c r="K4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s="642" t="str">
        <f>UUTRangeTol[[#This Row],[RangeMax]]&amp;UUTRangeTol[[#This Row],[Unit]]</f>
        <v>200°F</v>
      </c>
      <c r="M4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s="642"/>
      <c r="H422" s="642"/>
      <c r="I422" s="642" t="str">
        <f>TEXT(UUTRangeTol[[#This Row],[TolMin]],SUBSTITUTE(UUTRangeTol[[#This Row],[TolResolution]],"1","0"))&amp;UUTRangeTol[[#This Row],[Unit]]</f>
        <v>-2°F</v>
      </c>
      <c r="J422" s="642" t="str">
        <f>TEXT(UUTRangeTol[[#This Row],[TolMax]],SUBSTITUTE(UUTRangeTol[[#This Row],[TolResolution]],"1","0"))&amp;UUTRangeTol[[#This Row],[Unit]]</f>
        <v>2°F</v>
      </c>
      <c r="K4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s="642" t="str">
        <f>UUTRangeTol[[#This Row],[RangeMax]]&amp;UUTRangeTol[[#This Row],[Unit]]</f>
        <v>400°F</v>
      </c>
      <c r="M4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s="642"/>
      <c r="H423" s="642"/>
      <c r="I423" s="642" t="str">
        <f>TEXT(UUTRangeTol[[#This Row],[TolMin]],SUBSTITUTE(UUTRangeTol[[#This Row],[TolResolution]],"1","0"))&amp;UUTRangeTol[[#This Row],[Unit]]</f>
        <v>-2.0°F</v>
      </c>
      <c r="J423" s="642" t="str">
        <f>TEXT(UUTRangeTol[[#This Row],[TolMax]],SUBSTITUTE(UUTRangeTol[[#This Row],[TolResolution]],"1","0"))&amp;UUTRangeTol[[#This Row],[Unit]]</f>
        <v>2.0°F</v>
      </c>
      <c r="K4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s="642" t="str">
        <f>UUTRangeTol[[#This Row],[RangeMax]]&amp;UUTRangeTol[[#This Row],[Unit]]</f>
        <v>400°F</v>
      </c>
      <c r="M4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749</v>
      </c>
      <c r="B1" s="317"/>
      <c r="C1" s="509" t="s">
        <v>49</v>
      </c>
      <c r="D1" s="510"/>
      <c r="E1" s="510"/>
      <c r="F1" s="510"/>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511" t="s">
        <v>99</v>
      </c>
      <c r="K3" s="512"/>
      <c r="L3" s="513"/>
      <c r="M3" s="300"/>
      <c r="N3" s="527" t="s">
        <v>88</v>
      </c>
      <c r="O3" s="527"/>
      <c r="P3" s="527"/>
      <c r="Q3" s="527"/>
      <c r="R3" s="527"/>
      <c r="S3" s="527"/>
    </row>
    <row r="4" spans="1:19" s="277" customFormat="1" x14ac:dyDescent="0.2">
      <c r="A4" s="318"/>
      <c r="B4" s="140"/>
      <c r="C4" s="141" t="s">
        <v>188</v>
      </c>
      <c r="D4" s="284" t="str">
        <f>IF(Condition="","",Condition)</f>
        <v/>
      </c>
      <c r="E4" s="300"/>
      <c r="F4" s="300"/>
      <c r="G4" s="300"/>
      <c r="H4" s="300"/>
      <c r="I4" s="300"/>
      <c r="J4" s="516" t="s">
        <v>1</v>
      </c>
      <c r="K4" s="517"/>
      <c r="L4" s="142">
        <f>MAX(Survey[Deviations])</f>
        <v>0</v>
      </c>
      <c r="M4" s="300"/>
      <c r="N4" s="143" t="s">
        <v>87</v>
      </c>
      <c r="O4" s="144" t="s">
        <v>86</v>
      </c>
      <c r="P4" s="514" t="s">
        <v>97</v>
      </c>
      <c r="Q4" s="515"/>
      <c r="R4" s="143" t="s">
        <v>129</v>
      </c>
      <c r="S4" s="143" t="s">
        <v>133</v>
      </c>
    </row>
    <row r="5" spans="1:19" s="277" customFormat="1" x14ac:dyDescent="0.2">
      <c r="A5" s="318"/>
      <c r="B5" s="140"/>
      <c r="C5" s="141" t="s">
        <v>41</v>
      </c>
      <c r="D5" s="531" t="e">
        <f>companyName</f>
        <v>#N/A</v>
      </c>
      <c r="E5" s="532"/>
      <c r="F5" s="532"/>
      <c r="G5" s="532"/>
      <c r="H5" s="533"/>
      <c r="I5" s="285"/>
      <c r="J5" s="516" t="s">
        <v>2</v>
      </c>
      <c r="K5" s="517"/>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28" t="e">
        <f>VLOOKUP("assetName",WorkItemDetails[],2,FALSE)</f>
        <v>#N/A</v>
      </c>
      <c r="E6" s="529"/>
      <c r="F6" s="529"/>
      <c r="G6" s="529"/>
      <c r="H6" s="530"/>
      <c r="J6" s="516" t="s">
        <v>98</v>
      </c>
      <c r="K6" s="517"/>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34" t="str">
        <f>IF(ROWS(_xlfn.ANCHORARRAY(Unit))&gt;1,"ERROR: Mixed tolerance units across ranges for this UUT","")</f>
        <v/>
      </c>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25" t="str">
        <f>IFERROR(VLOOKUP("PoNumber",WorkItemDetails[],2,FALSE),"")</f>
        <v/>
      </c>
      <c r="L13" s="526"/>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34"/>
      <c r="L14" s="535"/>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20"/>
      <c r="L15" s="521"/>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482" t="s">
        <v>151</v>
      </c>
      <c r="K16" s="483"/>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482" t="s">
        <v>152</v>
      </c>
      <c r="K17" s="483"/>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536" t="s">
        <v>19</v>
      </c>
      <c r="H18" s="537"/>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18" t="str">
        <f>IF(K15="Salt",0, IF(OR(K15="Hot",K15="SIM Load Hot"),IF(OR(D26="",D28=""),"N/A",IF(ISBLANK(D26),"N/A",D28-D26)),"N/A"))</f>
        <v>N/A</v>
      </c>
      <c r="H19" s="519"/>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22" t="s">
        <v>435</v>
      </c>
      <c r="C20" s="523"/>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499" t="s">
        <v>297</v>
      </c>
      <c r="H23" s="500"/>
      <c r="I23" s="500"/>
      <c r="J23" s="500"/>
      <c r="K23" s="501"/>
      <c r="L23" s="301"/>
      <c r="M23" s="300"/>
      <c r="N23" s="399">
        <v>19</v>
      </c>
      <c r="O23" s="145"/>
      <c r="P23" s="451" t="str">
        <v/>
      </c>
      <c r="Q23" s="452"/>
      <c r="R23" s="450" t="e">
        <v>#VALUE!</v>
      </c>
      <c r="S23" s="146" t="str">
        <v/>
      </c>
      <c r="T23" s="425"/>
      <c r="U23" s="285" t="s">
        <v>414</v>
      </c>
      <c r="V23" s="285">
        <f>V20+V21</f>
        <v>40</v>
      </c>
    </row>
    <row r="24" spans="2:22" s="277" customFormat="1" x14ac:dyDescent="0.2">
      <c r="B24" s="522" t="s">
        <v>324</v>
      </c>
      <c r="C24" s="524"/>
      <c r="D24" s="281">
        <v>1</v>
      </c>
      <c r="E24" s="300"/>
      <c r="F24" s="159" t="s">
        <v>95</v>
      </c>
      <c r="G24" s="502"/>
      <c r="H24" s="503"/>
      <c r="I24" s="503"/>
      <c r="J24" s="503"/>
      <c r="K24" s="504"/>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02"/>
      <c r="H25" s="503"/>
      <c r="I25" s="503"/>
      <c r="J25" s="503"/>
      <c r="K25" s="504"/>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497" t="str">
        <f>IF(ISBLANK(D6),"",IF(CheckRec="x","CHECK INSTRUMENT CAL DATES!!!!             CHECK INSTRUMENT CAL DATES!!!!",""))</f>
        <v/>
      </c>
      <c r="I27" s="498"/>
      <c r="J27" s="498"/>
      <c r="K27" s="498"/>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497"/>
      <c r="I28" s="498"/>
      <c r="J28" s="498"/>
      <c r="K28" s="498"/>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511" t="s">
        <v>48</v>
      </c>
      <c r="C34" s="512"/>
      <c r="D34" s="512"/>
      <c r="E34" s="512"/>
      <c r="F34" s="512"/>
      <c r="G34" s="512"/>
      <c r="H34" s="512"/>
      <c r="I34" s="512"/>
      <c r="J34" s="512"/>
      <c r="K34" s="512"/>
      <c r="L34" s="513"/>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479" t="s">
        <v>33</v>
      </c>
      <c r="E46" s="480"/>
      <c r="F46" s="480"/>
      <c r="G46" s="480"/>
      <c r="H46" s="480"/>
      <c r="I46" s="481"/>
      <c r="J46" s="344"/>
      <c r="K46" s="344"/>
      <c r="L46" s="344"/>
      <c r="M46" s="505" t="s">
        <v>259</v>
      </c>
      <c r="N46" s="506"/>
      <c r="O46" s="507"/>
      <c r="P46" s="508"/>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486" t="s">
        <v>262</v>
      </c>
      <c r="Q47" s="486"/>
      <c r="R47" s="379" t="s">
        <v>263</v>
      </c>
      <c r="T47" s="304"/>
      <c r="U47" s="304"/>
    </row>
    <row r="48" spans="1:24" x14ac:dyDescent="0.2">
      <c r="A48" s="318"/>
      <c r="B48" s="342"/>
      <c r="C48" s="377" t="s">
        <v>34</v>
      </c>
      <c r="D48" s="287"/>
      <c r="E48" s="287"/>
      <c r="F48" s="287"/>
      <c r="G48" s="287"/>
      <c r="H48" s="287"/>
      <c r="I48" s="287"/>
      <c r="J48" s="344"/>
      <c r="K48" s="344"/>
      <c r="L48" s="344"/>
      <c r="M48" s="487" t="s">
        <v>264</v>
      </c>
      <c r="N48" s="487"/>
      <c r="O48" s="346"/>
      <c r="P48" s="488" t="s">
        <v>305</v>
      </c>
      <c r="Q48" s="489"/>
      <c r="R48" s="490"/>
      <c r="S48" s="461" t="b">
        <f>_xlfn.REGEXTEST(TRIM(Class),"^[0-9][AC]",1)</f>
        <v>0</v>
      </c>
      <c r="T48" s="305"/>
      <c r="U48" s="488" t="s">
        <v>308</v>
      </c>
      <c r="V48" s="489"/>
      <c r="W48" s="490"/>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1" t="s">
        <v>310</v>
      </c>
      <c r="Q49" s="492"/>
      <c r="R49" s="493"/>
      <c r="S49" s="380" t="str">
        <f>IF($S$48, IF(MAX(Survey[RawTemp])&lt;=HalfTolMax,"Yes","No"), "")</f>
        <v/>
      </c>
      <c r="T49" s="306"/>
      <c r="U49" s="491" t="s">
        <v>309</v>
      </c>
      <c r="V49" s="492"/>
      <c r="W49" s="493"/>
      <c r="X49" s="380" t="str">
        <f>IF($S$48, IF(MIN(Survey[RawTemp])&gt;=HalfTolMin,"Yes","No"), "")</f>
        <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94" t="s">
        <v>267</v>
      </c>
      <c r="Q50" s="495"/>
      <c r="R50" s="496"/>
      <c r="S50" s="347"/>
      <c r="T50" s="307"/>
      <c r="U50" s="494" t="s">
        <v>267</v>
      </c>
      <c r="V50" s="495"/>
      <c r="W50" s="496"/>
      <c r="X50" s="304"/>
    </row>
    <row r="51" spans="3:24" x14ac:dyDescent="0.2">
      <c r="C51" s="376" t="s">
        <v>54</v>
      </c>
      <c r="D51" s="287"/>
      <c r="E51" s="287"/>
      <c r="F51" s="287"/>
      <c r="G51" s="287"/>
      <c r="H51" s="287"/>
      <c r="I51" s="287"/>
      <c r="J51" s="344"/>
      <c r="K51" s="348"/>
      <c r="L51" s="344"/>
      <c r="M51" s="363" t="s">
        <v>268</v>
      </c>
      <c r="N51" s="297" t="str">
        <f>IF(Derivative="","",Derivative)</f>
        <v/>
      </c>
      <c r="O51" s="300"/>
      <c r="P51" s="491" t="s">
        <v>306</v>
      </c>
      <c r="Q51" s="492"/>
      <c r="R51" s="493"/>
      <c r="S51" s="380"/>
      <c r="T51" s="308"/>
      <c r="U51" s="491" t="s">
        <v>311</v>
      </c>
      <c r="V51" s="492"/>
      <c r="W51" s="493"/>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94" t="s">
        <v>267</v>
      </c>
      <c r="Q52" s="495"/>
      <c r="R52" s="496"/>
      <c r="S52" s="347"/>
      <c r="T52" s="309"/>
      <c r="U52" s="494" t="s">
        <v>267</v>
      </c>
      <c r="V52" s="495"/>
      <c r="W52" s="496"/>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538" t="s">
        <v>307</v>
      </c>
      <c r="Q53" s="539"/>
      <c r="R53" s="540"/>
      <c r="S53" s="380"/>
      <c r="T53" s="310"/>
      <c r="U53" s="538" t="s">
        <v>312</v>
      </c>
      <c r="V53" s="539"/>
      <c r="W53" s="540"/>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541"/>
      <c r="Q54" s="542"/>
      <c r="R54" s="543"/>
      <c r="S54" s="351"/>
      <c r="T54" s="311"/>
      <c r="U54" s="541"/>
      <c r="V54" s="542"/>
      <c r="W54" s="543"/>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479" t="s">
        <v>146</v>
      </c>
      <c r="D58" s="480"/>
      <c r="E58" s="480"/>
      <c r="F58" s="480"/>
      <c r="G58" s="480"/>
      <c r="H58" s="480"/>
      <c r="I58" s="480"/>
      <c r="J58" s="480"/>
      <c r="K58" s="484"/>
      <c r="L58" s="485"/>
      <c r="M58" s="304"/>
      <c r="N58" s="304"/>
      <c r="O58" s="304"/>
      <c r="P58" s="300"/>
      <c r="Q58" s="448"/>
      <c r="S58" s="304"/>
      <c r="T58" s="304"/>
      <c r="U58" s="304"/>
      <c r="V58" s="446"/>
    </row>
    <row r="59" spans="3:24" x14ac:dyDescent="0.2">
      <c r="C59" s="479" t="s">
        <v>149</v>
      </c>
      <c r="D59" s="480"/>
      <c r="E59" s="480"/>
      <c r="F59" s="480"/>
      <c r="G59" s="480"/>
      <c r="H59" s="480"/>
      <c r="I59" s="480"/>
      <c r="J59" s="480"/>
      <c r="K59" s="480"/>
      <c r="L59" s="481"/>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746</v>
      </c>
      <c r="H65" t="s">
        <v>423</v>
      </c>
    </row>
    <row r="66" spans="5:10" x14ac:dyDescent="0.2">
      <c r="E66">
        <v>1</v>
      </c>
      <c r="F66">
        <v>5</v>
      </c>
      <c r="G66">
        <v>2</v>
      </c>
      <c r="H66" t="s">
        <v>744</v>
      </c>
      <c r="J66" s="478" cm="1">
        <f t="array" ref="J66:J71">_xlfn._xlws.FILTER(SAT_Tolerance_Lookup[SAT Tol],SAT_Tolerance_Lookup[Unit]=Unit)</f>
        <v>2</v>
      </c>
    </row>
    <row r="67" spans="5:10" x14ac:dyDescent="0.2">
      <c r="E67">
        <v>2</v>
      </c>
      <c r="F67">
        <v>10</v>
      </c>
      <c r="G67">
        <v>3</v>
      </c>
      <c r="H67" t="s">
        <v>744</v>
      </c>
      <c r="J67" s="478">
        <v>3</v>
      </c>
    </row>
    <row r="68" spans="5:10" x14ac:dyDescent="0.2">
      <c r="E68">
        <v>3</v>
      </c>
      <c r="F68">
        <v>15</v>
      </c>
      <c r="G68">
        <v>4</v>
      </c>
      <c r="H68" t="s">
        <v>744</v>
      </c>
      <c r="J68" s="478">
        <v>4</v>
      </c>
    </row>
    <row r="69" spans="5:10" x14ac:dyDescent="0.2">
      <c r="E69">
        <v>4</v>
      </c>
      <c r="F69">
        <v>20</v>
      </c>
      <c r="G69">
        <v>4</v>
      </c>
      <c r="H69" t="s">
        <v>744</v>
      </c>
      <c r="J69" s="478">
        <v>4</v>
      </c>
    </row>
    <row r="70" spans="5:10" x14ac:dyDescent="0.2">
      <c r="E70">
        <v>5</v>
      </c>
      <c r="F70">
        <v>25</v>
      </c>
      <c r="G70">
        <v>5</v>
      </c>
      <c r="H70" t="s">
        <v>744</v>
      </c>
      <c r="J70" s="478">
        <v>5</v>
      </c>
    </row>
    <row r="71" spans="5:10" x14ac:dyDescent="0.2">
      <c r="E71">
        <v>6</v>
      </c>
      <c r="F71">
        <v>50</v>
      </c>
      <c r="G71">
        <v>10</v>
      </c>
      <c r="H71" t="s">
        <v>744</v>
      </c>
      <c r="J71" s="478">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8"/>
    </row>
    <row r="79" spans="5:10" x14ac:dyDescent="0.2">
      <c r="F79" s="358"/>
    </row>
    <row r="80" spans="5:10" x14ac:dyDescent="0.2">
      <c r="F80" s="358"/>
    </row>
    <row r="81" spans="6:8" x14ac:dyDescent="0.2">
      <c r="F81" s="376" t="s">
        <v>436</v>
      </c>
      <c r="G81" s="434" t="b">
        <f>AND(UUTRangeTol!R2+UUTRangeTol!S2=0,UUTRangeTol!S2&gt;0)</f>
        <v>0</v>
      </c>
    </row>
    <row r="82" spans="6:8" x14ac:dyDescent="0.2">
      <c r="F82" s="376" t="s">
        <v>437</v>
      </c>
      <c r="G82" s="475" cm="1">
        <f t="array" ref="G82">IF(
  Symmetric_Tol,
  _xlfn.XLOOKUP(
    1,
    (UUTRangeTol!$S$2 = SAT_Tolerance_Lookup[TUS Tol])*(SAT_Tolerance_Lookup[Unit]=Unit),
    SAT_Tolerance_Lookup[SAT Tol]
  ),
  SAT_Tol
)</f>
        <v>0</v>
      </c>
      <c r="H82" s="139" t="str">
        <f>Unit</f>
        <v>°F</v>
      </c>
    </row>
  </sheetData>
  <sheetProtection algorithmName="SHA-512" hashValue="CJEthhboLfnFLsdciduydM1yEWklufMEUuYDD7uHFlWHapAifYxZjA/tmNWud19pBPbhsyNcNAPVwHqbf1+yFg==" saltValue="Jf8/LngTwLQGM8MJ4q8wVg=="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T7TsAevr2fFYNXw6dREfVCq2pMeS/p6F0rRW+VECoVJJybM8ygisAF3TCQa/oWeZQ6xX6evi4wN6s0qeEBvrmw==" saltValue="aWI2D9obmQmV8u4gY6Ig9g=="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rVlbyxutHZcSlP9CxAPdlHWftMn6L60pu++b26Tt+rykY6t1qlHfzAW9o2kNMchBUiVWO+MekcIP2eaLvcxkNw==" saltValue="j4oA2Hnp+NVXV2UZ7/w+qA=="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8Fjde8Z77YVPiHgsD/s8Dmu9wGbVCXy3zrR+KgxnjMSN9f5lha+kQR3NaIdEtaIjTLl4pARq+p/SLGbGSrSBA==" saltValue="IfYVDgdXf6iq7PPjxdSukQ=="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11" zoomScale="70" zoomScaleNormal="100" zoomScaleSheetLayoutView="70" workbookViewId="0">
      <selection activeCell="A33" sqref="A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8" t="s">
        <v>108</v>
      </c>
      <c r="E1" s="568"/>
      <c r="F1" s="568"/>
      <c r="G1" s="568"/>
      <c r="H1" s="568"/>
      <c r="I1" s="568"/>
      <c r="J1" s="568"/>
      <c r="K1" s="568"/>
      <c r="L1" s="568"/>
      <c r="M1" s="568"/>
    </row>
    <row r="2" spans="1:18" ht="23.25" customHeight="1" x14ac:dyDescent="0.3">
      <c r="C2" s="229"/>
      <c r="D2" s="229" t="s">
        <v>255</v>
      </c>
      <c r="E2" s="229"/>
      <c r="F2" s="229"/>
      <c r="G2" s="229"/>
      <c r="H2" s="229"/>
      <c r="I2" s="229"/>
      <c r="J2" s="229"/>
      <c r="K2" s="229"/>
      <c r="L2" s="229"/>
      <c r="M2" s="229"/>
    </row>
    <row r="3" spans="1:18" ht="23.25" x14ac:dyDescent="0.35">
      <c r="C3" s="569"/>
      <c r="D3" s="569"/>
      <c r="E3" s="569"/>
      <c r="F3" s="569"/>
      <c r="G3" s="569"/>
      <c r="H3" s="569"/>
      <c r="I3" s="569"/>
      <c r="J3" s="569"/>
      <c r="K3" s="569"/>
      <c r="L3" s="569"/>
      <c r="M3" s="569"/>
    </row>
    <row r="4" spans="1:18" ht="23.25" x14ac:dyDescent="0.35">
      <c r="C4" s="213"/>
      <c r="D4" s="213"/>
      <c r="E4" s="213"/>
      <c r="F4" s="213"/>
      <c r="G4" s="213"/>
      <c r="H4" s="213"/>
      <c r="I4" s="213"/>
      <c r="J4" s="213"/>
      <c r="K4" s="213"/>
      <c r="L4" s="213"/>
      <c r="M4" s="213"/>
    </row>
    <row r="5" spans="1:18" ht="23.25" x14ac:dyDescent="0.35">
      <c r="C5" s="565" t="s">
        <v>6</v>
      </c>
      <c r="D5" s="565"/>
      <c r="E5" s="565"/>
      <c r="F5" s="565"/>
      <c r="G5" s="565"/>
      <c r="H5" s="565"/>
      <c r="I5" s="565"/>
      <c r="J5" s="565"/>
      <c r="K5" s="565"/>
      <c r="L5" s="565"/>
      <c r="M5" s="565"/>
    </row>
    <row r="6" spans="1:18" ht="23.25" x14ac:dyDescent="0.35">
      <c r="C6" s="214"/>
      <c r="D6" s="214"/>
      <c r="E6" s="585" t="str">
        <f>IFERROR(CONCATENATE("Report Number: ", WorkItemNumber),"")</f>
        <v/>
      </c>
      <c r="F6" s="585"/>
      <c r="G6" s="585"/>
      <c r="H6" s="585"/>
      <c r="I6" s="585"/>
      <c r="J6" s="585"/>
      <c r="K6" s="585"/>
      <c r="L6" s="214"/>
      <c r="M6" s="214"/>
    </row>
    <row r="7" spans="1:18" ht="18.75" customHeight="1" x14ac:dyDescent="0.3">
      <c r="G7" s="566"/>
      <c r="H7" s="566"/>
      <c r="I7" s="191"/>
      <c r="R7" t="str">
        <f>CONCATENATE("Page ",Main!L9," of ",Main!L10)</f>
        <v xml:space="preserve">Page  of </v>
      </c>
    </row>
    <row r="8" spans="1:18" ht="18" customHeight="1" x14ac:dyDescent="0.25">
      <c r="G8" s="578"/>
      <c r="H8" s="578"/>
      <c r="J8" s="78"/>
      <c r="K8" s="215" t="s">
        <v>252</v>
      </c>
      <c r="L8" s="589">
        <f>FormNumber</f>
        <v>0</v>
      </c>
      <c r="M8" s="589"/>
      <c r="N8" s="589"/>
      <c r="O8" s="589"/>
    </row>
    <row r="9" spans="1:18" ht="18" customHeight="1" x14ac:dyDescent="0.25">
      <c r="A9" s="215" t="s">
        <v>209</v>
      </c>
      <c r="B9" s="32" t="e">
        <f>Main!D5</f>
        <v>#N/A</v>
      </c>
      <c r="J9" s="78"/>
      <c r="K9" s="215" t="s">
        <v>253</v>
      </c>
      <c r="L9" s="580" t="str">
        <f>"JGI WP4100, "&amp;CalMethod</f>
        <v xml:space="preserve">JGI WP4100, </v>
      </c>
      <c r="M9" s="580"/>
      <c r="N9" s="580"/>
      <c r="O9" s="580"/>
    </row>
    <row r="10" spans="1:18" ht="18" customHeight="1" x14ac:dyDescent="0.25">
      <c r="A10" s="86"/>
      <c r="B10" s="210" t="str" cm="1">
        <f t="array" ref="B10">IFZERO('Customer Table'!R2,"")</f>
        <v/>
      </c>
      <c r="J10" s="78"/>
      <c r="K10" s="215"/>
      <c r="L10" s="580"/>
      <c r="M10" s="580"/>
      <c r="N10" s="580"/>
      <c r="O10" s="580"/>
    </row>
    <row r="11" spans="1:18" ht="18" customHeight="1" x14ac:dyDescent="0.25">
      <c r="A11" s="86"/>
      <c r="B11" s="210" t="str" cm="1">
        <f t="array" ref="B11">IFZERO('Customer Table'!S2,"")</f>
        <v/>
      </c>
      <c r="J11" s="78"/>
      <c r="K11" s="215" t="s">
        <v>254</v>
      </c>
      <c r="L11" s="589">
        <f>TolSource</f>
        <v>0</v>
      </c>
      <c r="M11" s="589"/>
      <c r="N11" s="589"/>
      <c r="O11" s="589"/>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2">
        <f>Class</f>
        <v>0</v>
      </c>
      <c r="C18" s="572"/>
      <c r="D18" s="572"/>
      <c r="E18" s="572"/>
      <c r="G18" s="215" t="s">
        <v>219</v>
      </c>
      <c r="H18" s="219">
        <f>CubicFeet</f>
        <v>0</v>
      </c>
      <c r="M18" s="215" t="s">
        <v>223</v>
      </c>
      <c r="N18" s="219" t="str">
        <f>Main!G18</f>
        <v>ACCEPTED</v>
      </c>
      <c r="O18" s="194"/>
    </row>
    <row r="19" spans="1:19" ht="18" customHeight="1" x14ac:dyDescent="0.25">
      <c r="A19" s="205"/>
      <c r="B19" s="573"/>
      <c r="C19" s="573"/>
      <c r="D19" s="573"/>
      <c r="E19" s="57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79" t="s">
        <v>237</v>
      </c>
      <c r="D27" s="579"/>
      <c r="E27" s="579"/>
      <c r="F27" s="579"/>
      <c r="G27" s="579"/>
      <c r="H27" s="579"/>
      <c r="I27" s="579"/>
      <c r="J27" s="579"/>
      <c r="K27" s="579"/>
      <c r="L27" s="579"/>
      <c r="M27" s="579"/>
      <c r="N27" s="195"/>
      <c r="O27" s="196"/>
    </row>
    <row r="28" spans="1:19" ht="8.1" customHeight="1" x14ac:dyDescent="0.2"/>
    <row r="29" spans="1:19" ht="18" customHeight="1" x14ac:dyDescent="0.2">
      <c r="A29" s="575" t="s">
        <v>207</v>
      </c>
      <c r="B29" s="576"/>
      <c r="C29" s="577"/>
      <c r="D29" s="575" t="s">
        <v>238</v>
      </c>
      <c r="E29" s="576"/>
      <c r="F29" s="576"/>
      <c r="G29" s="577"/>
      <c r="H29" s="575" t="s">
        <v>208</v>
      </c>
      <c r="I29" s="576"/>
      <c r="J29" s="576"/>
      <c r="K29" s="577"/>
      <c r="L29" s="575" t="s">
        <v>194</v>
      </c>
      <c r="M29" s="576"/>
      <c r="N29" s="576"/>
      <c r="O29" s="577"/>
    </row>
    <row r="30" spans="1:19" ht="18" customHeight="1" x14ac:dyDescent="0.2">
      <c r="A30" s="211"/>
      <c r="B30" s="201" t="s">
        <v>429</v>
      </c>
      <c r="C30" s="212"/>
      <c r="D30" s="558" t="str">
        <f>CONCATENATE(Main!D22,Unit," / ",Main!D23,"% RH")</f>
        <v>°F / % RH</v>
      </c>
      <c r="E30" s="559"/>
      <c r="F30" s="559"/>
      <c r="G30" s="560"/>
      <c r="H30" s="558">
        <f>OvenLocation</f>
        <v>0</v>
      </c>
      <c r="I30" s="559"/>
      <c r="J30" s="559"/>
      <c r="K30" s="560"/>
      <c r="L30" s="558">
        <f>Condition</f>
        <v>0</v>
      </c>
      <c r="M30" s="559"/>
      <c r="N30" s="559"/>
      <c r="O30" s="560"/>
    </row>
    <row r="31" spans="1:19" ht="18" customHeight="1" x14ac:dyDescent="0.2"/>
    <row r="32" spans="1:19" ht="18" customHeight="1" x14ac:dyDescent="0.25">
      <c r="A32" s="234" t="s">
        <v>239</v>
      </c>
      <c r="B32" s="567" t="s">
        <v>240</v>
      </c>
      <c r="C32" s="567"/>
      <c r="D32" s="234" t="s">
        <v>203</v>
      </c>
      <c r="E32" s="234" t="s">
        <v>202</v>
      </c>
      <c r="F32" s="234" t="s">
        <v>241</v>
      </c>
      <c r="G32" s="78"/>
      <c r="H32" s="78"/>
      <c r="I32" s="234" t="s">
        <v>239</v>
      </c>
      <c r="J32" s="567" t="s">
        <v>240</v>
      </c>
      <c r="K32" s="567"/>
      <c r="L32" s="234" t="s">
        <v>203</v>
      </c>
      <c r="M32" s="234" t="s">
        <v>202</v>
      </c>
      <c r="N32" s="234" t="s">
        <v>241</v>
      </c>
    </row>
    <row r="33" spans="1:14" ht="18" customHeight="1" x14ac:dyDescent="0.2">
      <c r="A33" s="235" t="str">
        <f>IF(B33="","",1)</f>
        <v/>
      </c>
      <c r="B33" s="566" t="str">
        <f>IF(Main!O5="","",Main!O5)</f>
        <v/>
      </c>
      <c r="C33" s="566"/>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6" t="str">
        <f>IF(Main!O25="","",Main!O25)</f>
        <v/>
      </c>
      <c r="K33" s="566"/>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6" t="str">
        <f>IF(Main!O6="","",Main!O6)</f>
        <v/>
      </c>
      <c r="C34" s="566"/>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6" t="str">
        <f>IF(Main!O26="","",Main!O26)</f>
        <v/>
      </c>
      <c r="K34" s="566"/>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6" t="str">
        <f>IF(Main!O7="","",Main!O7)</f>
        <v/>
      </c>
      <c r="C35" s="566"/>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6" t="str">
        <f>IF(Main!O27="","",Main!O27)</f>
        <v/>
      </c>
      <c r="K35" s="566"/>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6" t="str">
        <f>IF(Main!O8="","",Main!O8)</f>
        <v/>
      </c>
      <c r="C36" s="566"/>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6" t="str">
        <f>IF(Main!O28="","",Main!O28)</f>
        <v/>
      </c>
      <c r="K36" s="566"/>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6" t="str">
        <f>IF(Main!O9="","",Main!O9)</f>
        <v/>
      </c>
      <c r="C37" s="566"/>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6" t="str">
        <f>IF(Main!O29="","",Main!O29)</f>
        <v/>
      </c>
      <c r="K37" s="566"/>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6" t="str">
        <f>IF(Main!O10="","",Main!O10)</f>
        <v/>
      </c>
      <c r="C38" s="566"/>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6" t="str">
        <f>IF(Main!O30="","",Main!O30)</f>
        <v/>
      </c>
      <c r="K38" s="566"/>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6" t="str">
        <f>IF(Main!O11="","",Main!O11)</f>
        <v/>
      </c>
      <c r="C39" s="566"/>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6" t="str">
        <f>IF(Main!O31="","",Main!O31)</f>
        <v/>
      </c>
      <c r="K39" s="566"/>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6" t="str">
        <f>IF(Main!O12="","",Main!O12)</f>
        <v/>
      </c>
      <c r="C40" s="566"/>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6" t="str">
        <f>IF(Main!O32="","",Main!O32)</f>
        <v/>
      </c>
      <c r="K40" s="566"/>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6" t="str">
        <f>IF(Main!O13="","",Main!O13)</f>
        <v/>
      </c>
      <c r="C41" s="566"/>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6" t="str">
        <f>IF(Main!O33="","",Main!O33)</f>
        <v/>
      </c>
      <c r="K41" s="566"/>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6" t="str">
        <f>IF(Main!O14="","",Main!O14)</f>
        <v/>
      </c>
      <c r="C42" s="566"/>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6" t="str">
        <f>IF(Main!O34="","",Main!O34)</f>
        <v/>
      </c>
      <c r="K42" s="566"/>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6" t="str">
        <f>IF(Main!O15="","",Main!O15)</f>
        <v/>
      </c>
      <c r="C43" s="566"/>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6" t="str">
        <f>IF(Main!O35="","",Main!O35)</f>
        <v/>
      </c>
      <c r="K43" s="566"/>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6" t="str">
        <f>IF(Main!O16="","",Main!O16)</f>
        <v/>
      </c>
      <c r="C44" s="566"/>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6" t="str">
        <f>IF(Main!O36="","",Main!O36)</f>
        <v/>
      </c>
      <c r="K44" s="566"/>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6" t="str">
        <f>IF(Main!O17="","",Main!O17)</f>
        <v/>
      </c>
      <c r="C45" s="566"/>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6" t="str">
        <f>IF(Main!O37="","",Main!O37)</f>
        <v/>
      </c>
      <c r="K45" s="566"/>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6" t="str">
        <f>IF(Main!O18="","",Main!O18)</f>
        <v/>
      </c>
      <c r="C46" s="566"/>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6" t="str">
        <f>IF(Main!O38="","",Main!O38)</f>
        <v/>
      </c>
      <c r="K46" s="566"/>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6" t="str">
        <f>IF(Main!O19="","",Main!O19)</f>
        <v/>
      </c>
      <c r="C47" s="566"/>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6" t="str">
        <f>IF(Main!O39="","",Main!O39)</f>
        <v/>
      </c>
      <c r="K47" s="566"/>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6" t="str">
        <f>IF(Main!O20="","",Main!O20)</f>
        <v/>
      </c>
      <c r="C48" s="566"/>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6" t="str">
        <f>IF(Main!O40="","",Main!O40)</f>
        <v/>
      </c>
      <c r="K48" s="566"/>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6" t="str">
        <f>IF(Main!O21="","",Main!O21)</f>
        <v/>
      </c>
      <c r="C49" s="566"/>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6" t="str">
        <f>IF(Main!O41="","",Main!O41)</f>
        <v/>
      </c>
      <c r="K49" s="566"/>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6" t="str">
        <f>IF(Main!O22="","",Main!O22)</f>
        <v/>
      </c>
      <c r="C50" s="566"/>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6" t="str">
        <f>IF(Main!O42="","",Main!O42)</f>
        <v/>
      </c>
      <c r="K50" s="566"/>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6" t="str">
        <f>IF(Main!O23="","",Main!O23)</f>
        <v/>
      </c>
      <c r="C51" s="566"/>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6" t="str">
        <f>IF(Main!O43="","",Main!O43)</f>
        <v/>
      </c>
      <c r="K51" s="566"/>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6" t="str">
        <f>IF(Main!O24="","",Main!O24)</f>
        <v/>
      </c>
      <c r="C52" s="566"/>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6" t="str">
        <f>IF(Main!O44="","",Main!O44)</f>
        <v/>
      </c>
      <c r="K52" s="566"/>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1" t="s">
        <v>242</v>
      </c>
      <c r="C53" s="571"/>
      <c r="D53" s="571"/>
      <c r="E53" s="571"/>
      <c r="F53" s="571"/>
      <c r="G53" s="571"/>
      <c r="H53" s="571"/>
      <c r="I53" s="571"/>
      <c r="J53" s="571"/>
      <c r="K53" s="571"/>
      <c r="L53" s="571"/>
      <c r="M53" s="571"/>
      <c r="N53" s="571"/>
    </row>
    <row r="54" spans="1:21" ht="18" customHeight="1" x14ac:dyDescent="0.25">
      <c r="A54" s="237" t="s">
        <v>243</v>
      </c>
      <c r="B54" s="580" t="str">
        <f>CONCATENATE(Main!G23,"  ",FurnaceSpecificComments,Main!V24)</f>
        <v xml:space="preserve">Found in tolerance.  No adjustment required.  </v>
      </c>
      <c r="C54" s="580"/>
      <c r="D54" s="580"/>
      <c r="E54" s="580"/>
      <c r="F54" s="580"/>
      <c r="G54" s="580"/>
      <c r="H54" s="580"/>
      <c r="I54" s="580"/>
      <c r="J54" s="580"/>
      <c r="K54" s="580"/>
      <c r="L54" s="580"/>
      <c r="M54" s="580"/>
      <c r="N54" s="580"/>
      <c r="O54" s="580"/>
    </row>
    <row r="55" spans="1:21" ht="18" customHeight="1" x14ac:dyDescent="0.25">
      <c r="A55" s="75"/>
      <c r="B55" s="580"/>
      <c r="C55" s="580"/>
      <c r="D55" s="580"/>
      <c r="E55" s="580"/>
      <c r="F55" s="580"/>
      <c r="G55" s="580"/>
      <c r="H55" s="580"/>
      <c r="I55" s="580"/>
      <c r="J55" s="580"/>
      <c r="K55" s="580"/>
      <c r="L55" s="580"/>
      <c r="M55" s="580"/>
      <c r="N55" s="580"/>
      <c r="O55" s="580"/>
    </row>
    <row r="56" spans="1:21" ht="18" customHeight="1" x14ac:dyDescent="0.25">
      <c r="A56" s="75"/>
      <c r="B56" s="580"/>
      <c r="C56" s="580"/>
      <c r="D56" s="580"/>
      <c r="E56" s="580"/>
      <c r="F56" s="580"/>
      <c r="G56" s="580"/>
      <c r="H56" s="580"/>
      <c r="I56" s="580"/>
      <c r="J56" s="580"/>
      <c r="K56" s="580"/>
      <c r="L56" s="580"/>
      <c r="M56" s="580"/>
      <c r="N56" s="580"/>
      <c r="O56" s="580"/>
    </row>
    <row r="57" spans="1:21" ht="18" customHeight="1" x14ac:dyDescent="0.25">
      <c r="A57" s="75"/>
      <c r="B57" s="580"/>
      <c r="C57" s="580"/>
      <c r="D57" s="580"/>
      <c r="E57" s="580"/>
      <c r="F57" s="580"/>
      <c r="G57" s="580"/>
      <c r="H57" s="580"/>
      <c r="I57" s="580"/>
      <c r="J57" s="580"/>
      <c r="K57" s="580"/>
      <c r="L57" s="580"/>
      <c r="M57" s="580"/>
      <c r="N57" s="580"/>
      <c r="O57" s="580"/>
    </row>
    <row r="58" spans="1:21" ht="18" customHeight="1" x14ac:dyDescent="0.25">
      <c r="A58" s="75"/>
      <c r="B58" s="580"/>
      <c r="C58" s="580"/>
      <c r="D58" s="580"/>
      <c r="E58" s="580"/>
      <c r="F58" s="580"/>
      <c r="G58" s="580"/>
      <c r="H58" s="580"/>
      <c r="I58" s="580"/>
      <c r="J58" s="580"/>
      <c r="K58" s="580"/>
      <c r="L58" s="580"/>
      <c r="M58" s="580"/>
      <c r="N58" s="580"/>
      <c r="O58" s="580"/>
    </row>
    <row r="59" spans="1:21" ht="18" customHeight="1" x14ac:dyDescent="0.25">
      <c r="A59" s="75"/>
      <c r="B59" s="580"/>
      <c r="C59" s="580"/>
      <c r="D59" s="580"/>
      <c r="E59" s="580"/>
      <c r="F59" s="580"/>
      <c r="G59" s="580"/>
      <c r="H59" s="580"/>
      <c r="I59" s="580"/>
      <c r="J59" s="580"/>
      <c r="K59" s="580"/>
      <c r="L59" s="580"/>
      <c r="M59" s="580"/>
      <c r="N59" s="580"/>
      <c r="O59" s="580"/>
    </row>
    <row r="60" spans="1:21" ht="18" customHeight="1" x14ac:dyDescent="0.2">
      <c r="A60" s="570" t="s">
        <v>251</v>
      </c>
      <c r="B60" s="570"/>
      <c r="C60" s="570"/>
      <c r="D60" s="570"/>
      <c r="E60" s="570"/>
      <c r="F60" s="570"/>
      <c r="G60" s="570"/>
      <c r="H60" s="570"/>
      <c r="I60" s="570"/>
      <c r="J60" s="570"/>
      <c r="K60" s="570"/>
      <c r="L60" s="570"/>
      <c r="M60" s="570"/>
      <c r="N60" s="570"/>
      <c r="O60" s="570"/>
    </row>
    <row r="61" spans="1:21" ht="18" customHeight="1" x14ac:dyDescent="0.2">
      <c r="A61" s="574" t="s">
        <v>244</v>
      </c>
      <c r="B61" s="574"/>
      <c r="C61" s="574"/>
      <c r="D61" s="574"/>
      <c r="E61" s="574"/>
      <c r="F61" s="588" t="s">
        <v>245</v>
      </c>
      <c r="G61" s="588"/>
      <c r="H61" s="588"/>
      <c r="I61" s="588" t="s">
        <v>246</v>
      </c>
      <c r="J61" s="588"/>
      <c r="K61" s="588" t="s">
        <v>247</v>
      </c>
      <c r="L61" s="588"/>
      <c r="M61" s="588" t="s">
        <v>248</v>
      </c>
      <c r="N61" s="588"/>
      <c r="O61" s="588"/>
      <c r="R61" s="36" t="s">
        <v>331</v>
      </c>
      <c r="T61" s="36" t="s">
        <v>332</v>
      </c>
      <c r="U61" s="36" t="s">
        <v>65</v>
      </c>
    </row>
    <row r="62" spans="1:21" ht="18" customHeight="1" x14ac:dyDescent="0.2">
      <c r="A62" s="555" t="str">
        <f>IF(F62="","",CONCATENATE(T62," - ",R62))</f>
        <v/>
      </c>
      <c r="B62" s="556"/>
      <c r="C62" s="556"/>
      <c r="D62" s="556"/>
      <c r="E62" s="557"/>
      <c r="F62" s="555" t="str" cm="1">
        <f t="array" ref="F62">IFERROR(
  _xlfn.XLOOKUP(
    Main!D9,
    _xlfn._xlws.FILTER(AssetPool[AssetTag], AssetPool[RootCategoryName]= "DAQ Modules"),
    _xlfn._xlws.FILTER(AssetPool[SerialNumber], AssetPool[RootCategoryName]= "DAQ Modules")
  ),
  ""
)</f>
        <v/>
      </c>
      <c r="G62" s="556"/>
      <c r="H62" s="557"/>
      <c r="I62" s="586" t="str">
        <f>IF(F62="","",Main!D12)</f>
        <v/>
      </c>
      <c r="J62" s="587"/>
      <c r="K62" s="586" t="str">
        <f>IF(F62="","",Main!D13)</f>
        <v/>
      </c>
      <c r="L62" s="587"/>
      <c r="M62" s="552" t="str">
        <f>IF(F62="","",Main!D14)</f>
        <v/>
      </c>
      <c r="N62" s="553"/>
      <c r="O62" s="554"/>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63" t="str">
        <f>IF(Q63="","",Main!D49)</f>
        <v/>
      </c>
      <c r="J63" s="564"/>
      <c r="K63" s="563" t="str">
        <f>IF(Q63="","",Main!D50)</f>
        <v/>
      </c>
      <c r="L63" s="564"/>
      <c r="M63" s="549" t="str">
        <f>IF(Q63="","",Main!D54)</f>
        <v/>
      </c>
      <c r="N63" s="550"/>
      <c r="O63" s="551"/>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63" t="str">
        <f>IF(Q64="","",Main!E49)</f>
        <v/>
      </c>
      <c r="J64" s="564"/>
      <c r="K64" s="563" t="str">
        <f>IF(Q64="","",Main!E50)</f>
        <v/>
      </c>
      <c r="L64" s="564"/>
      <c r="M64" s="549" t="str">
        <f>IF(Q64="","",Main!E54)</f>
        <v/>
      </c>
      <c r="N64" s="550"/>
      <c r="O64" s="551"/>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63" t="str">
        <f>IF(Q65="","",Main!F49)</f>
        <v/>
      </c>
      <c r="J65" s="564"/>
      <c r="K65" s="563" t="str">
        <f>IF(Q65="","",Main!F50)</f>
        <v/>
      </c>
      <c r="L65" s="564"/>
      <c r="M65" s="549" t="str">
        <f>IF(Q65="","",Main!F54)</f>
        <v/>
      </c>
      <c r="N65" s="550"/>
      <c r="O65" s="551"/>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63" t="str">
        <f>IF(Q66="","",Main!G49)</f>
        <v/>
      </c>
      <c r="J66" s="564"/>
      <c r="K66" s="563" t="str">
        <f>IF(Q66="","",Main!G50)</f>
        <v/>
      </c>
      <c r="L66" s="564"/>
      <c r="M66" s="549" t="str">
        <f>IF(Q66="","",Main!G54)</f>
        <v/>
      </c>
      <c r="N66" s="550"/>
      <c r="O66" s="551"/>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63" t="str">
        <f>IF(Q67="","",Main!H49)</f>
        <v/>
      </c>
      <c r="J67" s="564"/>
      <c r="K67" s="563" t="str">
        <f>IF(Q67="","",Main!H50)</f>
        <v/>
      </c>
      <c r="L67" s="564"/>
      <c r="M67" s="549" t="str">
        <f>IF(Q67="","",Main!H54)</f>
        <v/>
      </c>
      <c r="N67" s="550"/>
      <c r="O67" s="551"/>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63" t="str">
        <f>IF(Q68="","",Main!I49)</f>
        <v/>
      </c>
      <c r="J68" s="564"/>
      <c r="K68" s="563" t="str">
        <f>IF(Q68="","",Main!I50)</f>
        <v/>
      </c>
      <c r="L68" s="564"/>
      <c r="M68" s="549" t="str">
        <f>IF(Q68="","",Main!I54)</f>
        <v/>
      </c>
      <c r="N68" s="550"/>
      <c r="O68" s="551"/>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58" t="str">
        <f>IF(Main!J48="","",Main!J48)</f>
        <v/>
      </c>
      <c r="G69" s="559"/>
      <c r="H69" s="560"/>
      <c r="I69" s="561" t="str">
        <f>IF(Q69="","",Main!J49)</f>
        <v/>
      </c>
      <c r="J69" s="562"/>
      <c r="K69" s="561" t="str">
        <f>IF(Q69="","",Main!J50)</f>
        <v/>
      </c>
      <c r="L69" s="562"/>
      <c r="M69" s="558" t="str">
        <f>IF(Q69="","",Main!J54)</f>
        <v/>
      </c>
      <c r="N69" s="559"/>
      <c r="O69" s="560"/>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4" t="s">
        <v>433</v>
      </c>
      <c r="B71" s="584"/>
      <c r="C71" s="584"/>
      <c r="D71" s="584"/>
      <c r="E71" s="584"/>
      <c r="F71" s="584"/>
      <c r="G71" s="584"/>
      <c r="H71" s="584"/>
      <c r="I71" s="584"/>
      <c r="J71" s="584"/>
      <c r="K71" s="584"/>
      <c r="L71" s="584"/>
      <c r="M71" s="584"/>
      <c r="N71" s="584"/>
      <c r="O71" s="584"/>
    </row>
    <row r="72" spans="1:21" ht="18" customHeight="1" x14ac:dyDescent="0.2">
      <c r="A72" s="584"/>
      <c r="B72" s="584"/>
      <c r="C72" s="584"/>
      <c r="D72" s="584"/>
      <c r="E72" s="584"/>
      <c r="F72" s="584"/>
      <c r="G72" s="584"/>
      <c r="H72" s="584"/>
      <c r="I72" s="584"/>
      <c r="J72" s="584"/>
      <c r="K72" s="584"/>
      <c r="L72" s="584"/>
      <c r="M72" s="584"/>
      <c r="N72" s="584"/>
      <c r="O72" s="584"/>
    </row>
    <row r="73" spans="1:21" ht="18" customHeight="1" x14ac:dyDescent="0.2">
      <c r="A73" s="584"/>
      <c r="B73" s="584"/>
      <c r="C73" s="584"/>
      <c r="D73" s="584"/>
      <c r="E73" s="584"/>
      <c r="F73" s="584"/>
      <c r="G73" s="584"/>
      <c r="H73" s="584"/>
      <c r="I73" s="584"/>
      <c r="J73" s="584"/>
      <c r="K73" s="584"/>
      <c r="L73" s="584"/>
      <c r="M73" s="584"/>
      <c r="N73" s="584"/>
      <c r="O73" s="584"/>
    </row>
    <row r="74" spans="1:21" ht="18" customHeight="1" x14ac:dyDescent="0.2">
      <c r="A74" s="584"/>
      <c r="B74" s="584"/>
      <c r="C74" s="584"/>
      <c r="D74" s="584"/>
      <c r="E74" s="584"/>
      <c r="F74" s="584"/>
      <c r="G74" s="584"/>
      <c r="H74" s="584"/>
      <c r="I74" s="584"/>
      <c r="J74" s="584"/>
      <c r="K74" s="584"/>
      <c r="L74" s="584"/>
      <c r="M74" s="584"/>
      <c r="N74" s="584"/>
      <c r="O74" s="584"/>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UkgNPLRIOskIVI9GI4XpR5/JMYJt5WP7z21wQZe9s03s/BeqWgi0H9p9iaHN7oWggsTbeKUkRi4Vmy1XfbQUsg==" saltValue="/pZPeU8Io0x2MPXzvCEVyQ=="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s="642"/>
      <c r="C2" s="642"/>
      <c r="F2"/>
      <c r="G2"/>
      <c r="H2"/>
      <c r="J2"/>
      <c r="K2"/>
      <c r="L2"/>
      <c r="M2"/>
      <c r="N2" s="642"/>
      <c r="O2"/>
      <c r="Q2" t="e" cm="1">
        <f t="array" ref="Q2">_xlfn.XLOOKUP(clientCompanyId,customers_table[company_id],customers_table[])</f>
        <v>#N/A</v>
      </c>
    </row>
    <row r="3" spans="1:31" x14ac:dyDescent="0.2">
      <c r="A3"/>
      <c r="B3" s="642"/>
      <c r="C3" s="642"/>
      <c r="F3"/>
      <c r="G3"/>
      <c r="H3"/>
      <c r="J3"/>
      <c r="K3"/>
      <c r="L3"/>
      <c r="M3"/>
      <c r="N3" s="642"/>
      <c r="O3"/>
    </row>
    <row r="4" spans="1:31" x14ac:dyDescent="0.2">
      <c r="A4"/>
      <c r="B4" s="642"/>
      <c r="C4" s="642"/>
      <c r="F4"/>
      <c r="G4"/>
      <c r="L4"/>
      <c r="M4"/>
      <c r="N4" s="642"/>
      <c r="O4"/>
    </row>
    <row r="5" spans="1:31" x14ac:dyDescent="0.2">
      <c r="A5"/>
      <c r="B5" s="642"/>
      <c r="C5" s="642"/>
      <c r="F5"/>
      <c r="G5"/>
      <c r="I5"/>
      <c r="L5"/>
      <c r="M5"/>
      <c r="N5" s="642"/>
      <c r="O5"/>
    </row>
    <row r="6" spans="1:31" x14ac:dyDescent="0.2">
      <c r="A6"/>
      <c r="B6" s="642"/>
      <c r="C6" s="642"/>
      <c r="F6"/>
      <c r="G6"/>
      <c r="L6"/>
      <c r="M6"/>
      <c r="N6" s="642"/>
      <c r="O6"/>
    </row>
    <row r="7" spans="1:31" x14ac:dyDescent="0.2">
      <c r="A7"/>
      <c r="B7" s="642"/>
      <c r="C7" s="642"/>
      <c r="F7"/>
      <c r="G7"/>
      <c r="L7"/>
      <c r="M7"/>
      <c r="N7" s="642"/>
      <c r="O7"/>
    </row>
    <row r="8" spans="1:31" x14ac:dyDescent="0.2">
      <c r="A8"/>
      <c r="B8" s="642"/>
      <c r="C8" s="642"/>
      <c r="F8"/>
      <c r="G8"/>
      <c r="H8"/>
      <c r="J8"/>
      <c r="K8"/>
      <c r="L8"/>
      <c r="M8"/>
      <c r="N8" s="642"/>
      <c r="O8"/>
    </row>
    <row r="9" spans="1:31" x14ac:dyDescent="0.2">
      <c r="A9"/>
      <c r="B9" s="642"/>
      <c r="C9" s="642"/>
      <c r="F9"/>
      <c r="G9"/>
      <c r="L9"/>
      <c r="M9"/>
      <c r="N9" s="642"/>
      <c r="O9"/>
    </row>
    <row r="10" spans="1:31" x14ac:dyDescent="0.2">
      <c r="A10"/>
      <c r="B10" s="642"/>
      <c r="C10" s="642"/>
      <c r="F10"/>
      <c r="G10"/>
      <c r="I10"/>
      <c r="L10"/>
      <c r="M10"/>
      <c r="N10" s="642"/>
      <c r="O10"/>
    </row>
    <row r="11" spans="1:31" x14ac:dyDescent="0.2">
      <c r="A11"/>
      <c r="B11" s="642"/>
      <c r="C11" s="642"/>
      <c r="F11"/>
      <c r="G11"/>
      <c r="I11"/>
      <c r="L11"/>
      <c r="M11"/>
      <c r="N11" s="642"/>
      <c r="O11"/>
    </row>
    <row r="12" spans="1:31" x14ac:dyDescent="0.2">
      <c r="A12"/>
      <c r="B12" s="642"/>
      <c r="C12" s="642"/>
      <c r="F12"/>
      <c r="G12"/>
      <c r="H12"/>
      <c r="I12"/>
      <c r="L12"/>
      <c r="M12"/>
      <c r="N12" s="642"/>
      <c r="O12"/>
    </row>
    <row r="13" spans="1:31" x14ac:dyDescent="0.2">
      <c r="A13"/>
      <c r="B13" s="642"/>
      <c r="C13" s="642"/>
      <c r="F13"/>
      <c r="G13"/>
      <c r="I13"/>
      <c r="L13"/>
      <c r="M13"/>
      <c r="N13" s="642"/>
      <c r="O13"/>
    </row>
    <row r="14" spans="1:31" x14ac:dyDescent="0.2">
      <c r="A14"/>
      <c r="B14" s="642"/>
      <c r="C14" s="642"/>
      <c r="F14"/>
      <c r="G14"/>
      <c r="I14"/>
      <c r="L14"/>
      <c r="M14"/>
      <c r="N14" s="642"/>
      <c r="O14"/>
    </row>
    <row r="15" spans="1:31" x14ac:dyDescent="0.2">
      <c r="A15"/>
      <c r="B15" s="642"/>
      <c r="C15" s="642"/>
      <c r="F15"/>
      <c r="G15"/>
      <c r="I15"/>
      <c r="L15"/>
      <c r="M15"/>
      <c r="N15" s="642"/>
      <c r="O15"/>
    </row>
    <row r="16" spans="1:31" x14ac:dyDescent="0.2">
      <c r="A16"/>
      <c r="B16" s="642"/>
      <c r="C16" s="642"/>
      <c r="F16"/>
      <c r="G16"/>
      <c r="I16"/>
      <c r="L16"/>
      <c r="M16"/>
      <c r="N16" s="642"/>
      <c r="O16"/>
    </row>
    <row r="17" spans="1:15" x14ac:dyDescent="0.2">
      <c r="A17"/>
      <c r="B17" s="642"/>
      <c r="C17" s="642"/>
      <c r="F17"/>
      <c r="G17"/>
      <c r="H17"/>
      <c r="I17"/>
      <c r="L17"/>
      <c r="M17"/>
      <c r="N17" s="642"/>
      <c r="O17"/>
    </row>
    <row r="18" spans="1:15" x14ac:dyDescent="0.2">
      <c r="A18"/>
      <c r="B18" s="642"/>
      <c r="C18" s="642"/>
      <c r="F18"/>
      <c r="G18"/>
      <c r="H18"/>
      <c r="M18"/>
      <c r="N18" s="642"/>
      <c r="O18"/>
    </row>
    <row r="19" spans="1:15" x14ac:dyDescent="0.2">
      <c r="A19"/>
      <c r="B19" s="642"/>
      <c r="C19" s="642"/>
      <c r="F19"/>
      <c r="G19"/>
      <c r="L19"/>
      <c r="M19"/>
      <c r="N19" s="642"/>
      <c r="O19"/>
    </row>
    <row r="20" spans="1:15" x14ac:dyDescent="0.2">
      <c r="A20"/>
      <c r="B20" s="642"/>
      <c r="C20" s="642"/>
      <c r="F20"/>
      <c r="G20"/>
      <c r="M20"/>
      <c r="N20" s="642"/>
      <c r="O20"/>
    </row>
    <row r="21" spans="1:15" x14ac:dyDescent="0.2">
      <c r="A21"/>
      <c r="B21" s="642"/>
      <c r="C21" s="642"/>
      <c r="F21"/>
      <c r="G21"/>
      <c r="I21"/>
      <c r="L21"/>
      <c r="M21"/>
      <c r="N21" s="642"/>
      <c r="O21"/>
    </row>
    <row r="22" spans="1:15" x14ac:dyDescent="0.2">
      <c r="A22"/>
      <c r="B22" s="642"/>
      <c r="C22" s="642"/>
      <c r="F22"/>
      <c r="G22"/>
      <c r="I22"/>
      <c r="L22"/>
      <c r="M22"/>
      <c r="N22" s="642"/>
      <c r="O22"/>
    </row>
    <row r="23" spans="1:15" x14ac:dyDescent="0.2">
      <c r="A23"/>
      <c r="B23" s="642"/>
      <c r="C23" s="642"/>
      <c r="F23"/>
      <c r="G23"/>
      <c r="L23"/>
      <c r="M23"/>
      <c r="N23" s="642"/>
      <c r="O23"/>
    </row>
    <row r="24" spans="1:15" x14ac:dyDescent="0.2">
      <c r="A24"/>
      <c r="B24" s="642"/>
      <c r="C24" s="642"/>
      <c r="F24"/>
      <c r="G24"/>
      <c r="M24"/>
      <c r="N24" s="642"/>
      <c r="O24"/>
    </row>
    <row r="25" spans="1:15" x14ac:dyDescent="0.2">
      <c r="A25"/>
      <c r="B25" s="642"/>
      <c r="C25" s="642"/>
      <c r="F25"/>
      <c r="G25"/>
      <c r="I25"/>
      <c r="L25"/>
      <c r="M25"/>
      <c r="N25" s="642"/>
      <c r="O25"/>
    </row>
    <row r="26" spans="1:15" x14ac:dyDescent="0.2">
      <c r="A26"/>
      <c r="B26" s="642"/>
      <c r="C26" s="642"/>
      <c r="F26"/>
      <c r="G26"/>
      <c r="I26"/>
      <c r="L26"/>
      <c r="M26"/>
      <c r="N26" s="642"/>
      <c r="O26"/>
    </row>
    <row r="27" spans="1:15" x14ac:dyDescent="0.2">
      <c r="A27"/>
      <c r="B27" s="642"/>
      <c r="C27" s="642"/>
      <c r="F27"/>
      <c r="G27"/>
      <c r="J27"/>
      <c r="K27"/>
      <c r="L27"/>
      <c r="M27"/>
      <c r="N27" s="642"/>
      <c r="O27"/>
    </row>
    <row r="28" spans="1:15" x14ac:dyDescent="0.2">
      <c r="A28"/>
      <c r="B28" s="642"/>
      <c r="C28" s="642"/>
      <c r="F28"/>
      <c r="G28"/>
      <c r="I28"/>
      <c r="L28"/>
      <c r="M28"/>
      <c r="N28" s="642"/>
      <c r="O28"/>
    </row>
    <row r="29" spans="1:15" x14ac:dyDescent="0.2">
      <c r="A29"/>
      <c r="B29" s="642"/>
      <c r="C29" s="642"/>
      <c r="F29"/>
      <c r="G29"/>
      <c r="L29"/>
      <c r="M29"/>
      <c r="N29" s="642"/>
      <c r="O29"/>
    </row>
    <row r="30" spans="1:15" x14ac:dyDescent="0.2">
      <c r="A30"/>
      <c r="B30" s="642"/>
      <c r="C30" s="642"/>
      <c r="F30"/>
      <c r="G30"/>
      <c r="I30"/>
      <c r="L30"/>
      <c r="M30"/>
      <c r="N30" s="642"/>
      <c r="O30"/>
    </row>
    <row r="31" spans="1:15" x14ac:dyDescent="0.2">
      <c r="A31"/>
      <c r="B31" s="642"/>
      <c r="C31" s="642"/>
      <c r="F31"/>
      <c r="G31"/>
      <c r="I31"/>
      <c r="L31"/>
      <c r="M31"/>
      <c r="N31" s="642"/>
      <c r="O31"/>
    </row>
    <row r="32" spans="1:15" x14ac:dyDescent="0.2">
      <c r="A32"/>
      <c r="B32" s="642"/>
      <c r="C32" s="642"/>
      <c r="F32"/>
      <c r="G32"/>
      <c r="L32"/>
      <c r="N32" s="642"/>
      <c r="O32"/>
    </row>
    <row r="33" spans="1:15" x14ac:dyDescent="0.2">
      <c r="A33"/>
      <c r="B33" s="642"/>
      <c r="C33" s="642"/>
      <c r="F33"/>
      <c r="G33"/>
      <c r="L33"/>
      <c r="M33"/>
      <c r="N33" s="642"/>
      <c r="O33"/>
    </row>
    <row r="34" spans="1:15" x14ac:dyDescent="0.2">
      <c r="A34"/>
      <c r="B34" s="642"/>
      <c r="C34" s="642"/>
      <c r="F34"/>
      <c r="G34"/>
      <c r="H34"/>
      <c r="I34"/>
      <c r="L34"/>
      <c r="M34"/>
      <c r="N34" s="642"/>
      <c r="O34"/>
    </row>
    <row r="35" spans="1:15" x14ac:dyDescent="0.2">
      <c r="A35"/>
      <c r="B35" s="642"/>
      <c r="C35" s="642"/>
      <c r="F35"/>
      <c r="G35"/>
      <c r="L35"/>
      <c r="M35"/>
      <c r="N35" s="642"/>
      <c r="O35"/>
    </row>
    <row r="36" spans="1:15" x14ac:dyDescent="0.2">
      <c r="A36"/>
      <c r="B36" s="642"/>
      <c r="C36" s="642"/>
      <c r="F36"/>
      <c r="G36"/>
      <c r="I36"/>
      <c r="L36"/>
      <c r="M36"/>
      <c r="N36" s="642"/>
      <c r="O36"/>
    </row>
    <row r="37" spans="1:15" x14ac:dyDescent="0.2">
      <c r="A37"/>
      <c r="B37" s="642"/>
      <c r="C37" s="642"/>
      <c r="F37"/>
      <c r="G37"/>
      <c r="H37"/>
      <c r="I37"/>
      <c r="L37"/>
      <c r="M37"/>
      <c r="N37" s="642"/>
      <c r="O37"/>
    </row>
    <row r="38" spans="1:15" x14ac:dyDescent="0.2">
      <c r="A38"/>
      <c r="B38" s="642"/>
      <c r="C38" s="642"/>
      <c r="F38"/>
      <c r="G38"/>
      <c r="I38"/>
      <c r="L38"/>
      <c r="M38"/>
      <c r="N38" s="642"/>
      <c r="O38"/>
    </row>
    <row r="39" spans="1:15" x14ac:dyDescent="0.2">
      <c r="A39"/>
      <c r="B39" s="642"/>
      <c r="C39" s="642"/>
      <c r="F39"/>
      <c r="G39"/>
      <c r="I39"/>
      <c r="L39"/>
      <c r="M39"/>
      <c r="N39" s="642"/>
      <c r="O39"/>
    </row>
    <row r="40" spans="1:15" x14ac:dyDescent="0.2">
      <c r="A40"/>
      <c r="B40" s="642"/>
      <c r="C40" s="642"/>
      <c r="F40"/>
      <c r="G40"/>
      <c r="I40"/>
      <c r="L40"/>
      <c r="M40"/>
      <c r="N40" s="642"/>
      <c r="O40"/>
    </row>
    <row r="41" spans="1:15" x14ac:dyDescent="0.2">
      <c r="A41"/>
      <c r="B41" s="642"/>
      <c r="C41" s="642"/>
      <c r="F41"/>
      <c r="G41"/>
      <c r="I41"/>
      <c r="L41"/>
      <c r="M41"/>
      <c r="N41" s="642"/>
      <c r="O41"/>
    </row>
    <row r="42" spans="1:15" x14ac:dyDescent="0.2">
      <c r="A42"/>
      <c r="B42" s="642"/>
      <c r="C42" s="642"/>
      <c r="F42"/>
      <c r="G42"/>
      <c r="I42"/>
      <c r="L42"/>
      <c r="M42"/>
      <c r="N42" s="642"/>
      <c r="O42"/>
    </row>
    <row r="43" spans="1:15" x14ac:dyDescent="0.2">
      <c r="A43"/>
      <c r="B43" s="642"/>
      <c r="C43" s="642"/>
      <c r="F43"/>
      <c r="G43"/>
      <c r="I43"/>
      <c r="L43"/>
      <c r="M43"/>
      <c r="N43" s="642"/>
      <c r="O43"/>
    </row>
    <row r="44" spans="1:15" x14ac:dyDescent="0.2">
      <c r="A44"/>
      <c r="B44" s="642"/>
      <c r="C44" s="642"/>
      <c r="F44"/>
      <c r="G44"/>
      <c r="H44"/>
      <c r="I44"/>
      <c r="L44"/>
      <c r="M44"/>
      <c r="N44" s="642"/>
      <c r="O44"/>
    </row>
    <row r="45" spans="1:15" x14ac:dyDescent="0.2">
      <c r="A45"/>
      <c r="B45" s="642"/>
      <c r="C45" s="642"/>
      <c r="F45"/>
      <c r="G45"/>
      <c r="H45"/>
      <c r="I45"/>
      <c r="L45"/>
      <c r="M45"/>
      <c r="N45" s="642"/>
      <c r="O45"/>
    </row>
    <row r="46" spans="1:15" x14ac:dyDescent="0.2">
      <c r="A46"/>
      <c r="B46" s="642"/>
      <c r="C46" s="642"/>
      <c r="F46"/>
      <c r="G46"/>
      <c r="L46"/>
      <c r="M46"/>
      <c r="N46" s="642"/>
      <c r="O46"/>
    </row>
    <row r="47" spans="1:15" x14ac:dyDescent="0.2">
      <c r="A47"/>
      <c r="B47" s="642"/>
      <c r="C47" s="642"/>
      <c r="F47"/>
      <c r="G47"/>
      <c r="I47"/>
      <c r="L47"/>
      <c r="M47"/>
      <c r="N47" s="642"/>
      <c r="O47"/>
    </row>
    <row r="48" spans="1:15" x14ac:dyDescent="0.2">
      <c r="A48"/>
      <c r="B48" s="642"/>
      <c r="C48" s="642"/>
      <c r="F48"/>
      <c r="G48"/>
      <c r="I48"/>
      <c r="L48"/>
      <c r="M48"/>
      <c r="N48" s="642"/>
      <c r="O48"/>
    </row>
    <row r="49" spans="1:15" x14ac:dyDescent="0.2">
      <c r="A49"/>
      <c r="B49" s="642"/>
      <c r="C49" s="642"/>
      <c r="F49"/>
      <c r="G49"/>
      <c r="I49"/>
      <c r="L49"/>
      <c r="M49"/>
      <c r="N49" s="642"/>
      <c r="O49"/>
    </row>
    <row r="50" spans="1:15" x14ac:dyDescent="0.2">
      <c r="A50"/>
      <c r="B50" s="642"/>
      <c r="C50" s="642"/>
      <c r="F50"/>
      <c r="G50"/>
      <c r="H50"/>
      <c r="I50"/>
      <c r="L50"/>
      <c r="M50"/>
      <c r="N50" s="642"/>
      <c r="O50"/>
    </row>
    <row r="51" spans="1:15" x14ac:dyDescent="0.2">
      <c r="A51"/>
      <c r="B51" s="642"/>
      <c r="C51" s="642"/>
      <c r="F51"/>
      <c r="G51"/>
      <c r="L51"/>
      <c r="M51"/>
      <c r="N51" s="642"/>
      <c r="O51"/>
    </row>
    <row r="52" spans="1:15" x14ac:dyDescent="0.2">
      <c r="A52"/>
      <c r="B52" s="642"/>
      <c r="C52" s="642"/>
      <c r="F52"/>
      <c r="G52"/>
      <c r="I52"/>
      <c r="L52"/>
      <c r="M52"/>
      <c r="N52" s="642"/>
      <c r="O52"/>
    </row>
    <row r="53" spans="1:15" x14ac:dyDescent="0.2">
      <c r="A53"/>
      <c r="B53" s="642"/>
      <c r="C53" s="642"/>
      <c r="F53"/>
      <c r="G53"/>
      <c r="H53"/>
      <c r="I53"/>
      <c r="L53"/>
      <c r="M53"/>
      <c r="N53" s="642"/>
      <c r="O53"/>
    </row>
    <row r="54" spans="1:15" x14ac:dyDescent="0.2">
      <c r="A54"/>
      <c r="B54" s="642"/>
      <c r="C54" s="642"/>
      <c r="F54"/>
      <c r="G54"/>
      <c r="L54"/>
      <c r="M54"/>
      <c r="N54" s="642"/>
      <c r="O54"/>
    </row>
    <row r="55" spans="1:15" x14ac:dyDescent="0.2">
      <c r="A55"/>
      <c r="B55" s="642"/>
      <c r="C55" s="642"/>
      <c r="F55"/>
      <c r="G55"/>
      <c r="H55"/>
      <c r="J55"/>
      <c r="K55"/>
      <c r="L55"/>
      <c r="M55"/>
      <c r="N55" s="642"/>
      <c r="O55"/>
    </row>
    <row r="56" spans="1:15" x14ac:dyDescent="0.2">
      <c r="A56"/>
      <c r="B56" s="642"/>
      <c r="C56" s="642"/>
      <c r="F56"/>
      <c r="G56"/>
      <c r="H56"/>
      <c r="I56"/>
      <c r="L56"/>
      <c r="M56"/>
      <c r="N56" s="642"/>
      <c r="O56"/>
    </row>
    <row r="57" spans="1:15" x14ac:dyDescent="0.2">
      <c r="A57"/>
      <c r="B57" s="642"/>
      <c r="C57" s="642"/>
      <c r="F57"/>
      <c r="G57"/>
      <c r="L57"/>
      <c r="M57"/>
      <c r="N57" s="642"/>
      <c r="O57"/>
    </row>
    <row r="58" spans="1:15" x14ac:dyDescent="0.2">
      <c r="A58"/>
      <c r="B58" s="642"/>
      <c r="C58" s="642"/>
      <c r="F58"/>
      <c r="G58"/>
      <c r="L58"/>
      <c r="M58"/>
      <c r="N58" s="642"/>
      <c r="O58"/>
    </row>
    <row r="59" spans="1:15" x14ac:dyDescent="0.2">
      <c r="A59"/>
      <c r="B59" s="642"/>
      <c r="C59" s="642"/>
      <c r="F59"/>
      <c r="G59"/>
      <c r="I59"/>
      <c r="L59"/>
      <c r="M59"/>
      <c r="N59" s="642"/>
      <c r="O59"/>
    </row>
    <row r="60" spans="1:15" x14ac:dyDescent="0.2">
      <c r="A60"/>
      <c r="B60" s="642"/>
      <c r="C60" s="642"/>
      <c r="F60"/>
      <c r="G60"/>
      <c r="H60"/>
      <c r="I60"/>
      <c r="L60"/>
      <c r="N60" s="642"/>
      <c r="O60"/>
    </row>
    <row r="61" spans="1:15" x14ac:dyDescent="0.2">
      <c r="A61"/>
      <c r="B61" s="642"/>
      <c r="C61" s="642"/>
      <c r="F61"/>
      <c r="G61"/>
      <c r="H61"/>
      <c r="M61"/>
      <c r="N61" s="642"/>
      <c r="O61"/>
    </row>
    <row r="62" spans="1:15" x14ac:dyDescent="0.2">
      <c r="A62"/>
      <c r="B62" s="642"/>
      <c r="C62" s="642"/>
      <c r="F62"/>
      <c r="G62"/>
      <c r="I62"/>
      <c r="L62"/>
      <c r="M62"/>
      <c r="N62" s="642"/>
      <c r="O62"/>
    </row>
    <row r="63" spans="1:15" x14ac:dyDescent="0.2">
      <c r="A63"/>
      <c r="B63" s="642"/>
      <c r="C63" s="642"/>
      <c r="F63"/>
      <c r="G63"/>
      <c r="H63"/>
      <c r="I63"/>
      <c r="L63"/>
      <c r="N63" s="642"/>
      <c r="O63"/>
    </row>
    <row r="64" spans="1:15" x14ac:dyDescent="0.2">
      <c r="A64"/>
      <c r="B64" s="642"/>
      <c r="C64" s="642"/>
      <c r="F64"/>
      <c r="G64"/>
      <c r="I64"/>
      <c r="L64"/>
      <c r="M64"/>
      <c r="N64" s="642"/>
      <c r="O64"/>
    </row>
    <row r="65" spans="1:15" x14ac:dyDescent="0.2">
      <c r="A65"/>
      <c r="B65" s="642"/>
      <c r="C65" s="642"/>
      <c r="F65"/>
      <c r="G65"/>
      <c r="I65"/>
      <c r="L65"/>
      <c r="N65" s="642"/>
      <c r="O65"/>
    </row>
    <row r="66" spans="1:15" x14ac:dyDescent="0.2">
      <c r="A66"/>
      <c r="B66" s="642"/>
      <c r="C66" s="642"/>
      <c r="F66"/>
      <c r="G66"/>
      <c r="I66"/>
      <c r="L66"/>
      <c r="M66"/>
      <c r="N66" s="642"/>
      <c r="O66"/>
    </row>
    <row r="67" spans="1:15" x14ac:dyDescent="0.2">
      <c r="A67"/>
      <c r="B67" s="642"/>
      <c r="C67" s="642"/>
      <c r="F67"/>
      <c r="G67"/>
      <c r="H67"/>
      <c r="I67"/>
      <c r="L67"/>
      <c r="M67"/>
      <c r="N67" s="642"/>
      <c r="O67"/>
    </row>
    <row r="68" spans="1:15" x14ac:dyDescent="0.2">
      <c r="A68"/>
      <c r="B68" s="642"/>
      <c r="C68" s="642"/>
      <c r="F68"/>
      <c r="G68"/>
      <c r="H68"/>
      <c r="I68"/>
      <c r="L68"/>
      <c r="N68" s="642"/>
      <c r="O68"/>
    </row>
    <row r="69" spans="1:15" x14ac:dyDescent="0.2">
      <c r="A69"/>
      <c r="B69" s="642"/>
      <c r="C69" s="642"/>
      <c r="F69"/>
      <c r="G69"/>
      <c r="I69"/>
      <c r="L69"/>
      <c r="M69"/>
      <c r="N69" s="642"/>
      <c r="O69"/>
    </row>
    <row r="70" spans="1:15" x14ac:dyDescent="0.2">
      <c r="A70"/>
      <c r="B70" s="642"/>
      <c r="C70" s="642"/>
      <c r="F70"/>
      <c r="G70"/>
      <c r="I70"/>
      <c r="L70"/>
      <c r="M70"/>
      <c r="N70" s="642"/>
      <c r="O70"/>
    </row>
    <row r="71" spans="1:15" x14ac:dyDescent="0.2">
      <c r="A71"/>
      <c r="B71" s="642"/>
      <c r="C71" s="642"/>
      <c r="F71"/>
      <c r="G71"/>
      <c r="H71"/>
      <c r="I71"/>
      <c r="L71"/>
      <c r="N71" s="642"/>
      <c r="O71"/>
    </row>
    <row r="72" spans="1:15" x14ac:dyDescent="0.2">
      <c r="A72"/>
      <c r="B72" s="642"/>
      <c r="C72" s="642"/>
      <c r="F72"/>
      <c r="G72"/>
      <c r="I72"/>
      <c r="L72"/>
      <c r="M72"/>
      <c r="N72" s="642"/>
      <c r="O72"/>
    </row>
    <row r="73" spans="1:15" x14ac:dyDescent="0.2">
      <c r="A73"/>
      <c r="B73" s="642"/>
      <c r="C73" s="642"/>
      <c r="F73"/>
      <c r="G73"/>
      <c r="H73"/>
      <c r="I73"/>
      <c r="L73"/>
      <c r="N73" s="642"/>
      <c r="O73"/>
    </row>
    <row r="74" spans="1:15" x14ac:dyDescent="0.2">
      <c r="A74"/>
      <c r="B74" s="642"/>
      <c r="C74" s="642"/>
      <c r="F74"/>
      <c r="G74"/>
      <c r="I74"/>
      <c r="L74"/>
      <c r="M74"/>
      <c r="N74" s="642"/>
      <c r="O74"/>
    </row>
    <row r="75" spans="1:15" x14ac:dyDescent="0.2">
      <c r="A75"/>
      <c r="B75" s="642"/>
      <c r="C75" s="642"/>
      <c r="F75"/>
      <c r="G75"/>
      <c r="L75"/>
      <c r="M75"/>
      <c r="N75" s="642"/>
      <c r="O75"/>
    </row>
    <row r="76" spans="1:15" x14ac:dyDescent="0.2">
      <c r="A76"/>
      <c r="B76" s="642"/>
      <c r="C76" s="642"/>
      <c r="F76"/>
      <c r="G76"/>
      <c r="L76"/>
      <c r="M76"/>
      <c r="N76" s="642"/>
      <c r="O76"/>
    </row>
    <row r="77" spans="1:15" x14ac:dyDescent="0.2">
      <c r="A77"/>
      <c r="B77" s="642"/>
      <c r="C77" s="642"/>
      <c r="F77"/>
      <c r="G77"/>
      <c r="L77"/>
      <c r="M77"/>
      <c r="N77" s="642"/>
      <c r="O77"/>
    </row>
    <row r="78" spans="1:15" x14ac:dyDescent="0.2">
      <c r="A78"/>
      <c r="B78" s="642"/>
      <c r="C78" s="642"/>
      <c r="F78"/>
      <c r="G78"/>
      <c r="I78"/>
      <c r="L78"/>
      <c r="M78"/>
      <c r="N78" s="642"/>
      <c r="O78"/>
    </row>
    <row r="79" spans="1:15" x14ac:dyDescent="0.2">
      <c r="A79"/>
      <c r="B79" s="642"/>
      <c r="C79" s="642"/>
      <c r="F79"/>
      <c r="G79"/>
      <c r="H79"/>
      <c r="I79"/>
      <c r="L79"/>
      <c r="M79"/>
      <c r="N79" s="642"/>
      <c r="O79"/>
    </row>
    <row r="80" spans="1:15" x14ac:dyDescent="0.2">
      <c r="A80"/>
      <c r="B80" s="642"/>
      <c r="C80" s="642"/>
      <c r="F80"/>
      <c r="G80"/>
      <c r="I80"/>
      <c r="L80"/>
      <c r="M80"/>
      <c r="N80" s="642"/>
      <c r="O80"/>
    </row>
    <row r="81" spans="1:15" x14ac:dyDescent="0.2">
      <c r="A81"/>
      <c r="B81" s="642"/>
      <c r="C81" s="642"/>
      <c r="F81"/>
      <c r="G81"/>
      <c r="I81"/>
      <c r="L81"/>
      <c r="M81"/>
      <c r="N81" s="642"/>
      <c r="O81"/>
    </row>
    <row r="82" spans="1:15" x14ac:dyDescent="0.2">
      <c r="A82"/>
      <c r="B82" s="642"/>
      <c r="C82" s="642"/>
      <c r="F82"/>
      <c r="G82"/>
      <c r="M82"/>
      <c r="N82" s="642"/>
      <c r="O82"/>
    </row>
    <row r="83" spans="1:15" x14ac:dyDescent="0.2">
      <c r="A83"/>
      <c r="B83" s="642"/>
      <c r="C83" s="642"/>
      <c r="F83"/>
      <c r="G83"/>
      <c r="I83"/>
      <c r="L83"/>
      <c r="M83"/>
      <c r="N83" s="642"/>
      <c r="O83"/>
    </row>
    <row r="84" spans="1:15" x14ac:dyDescent="0.2">
      <c r="A84"/>
      <c r="B84" s="642"/>
      <c r="C84" s="642"/>
      <c r="F84"/>
      <c r="G84"/>
      <c r="I84"/>
      <c r="L84"/>
      <c r="M84"/>
      <c r="N84" s="642"/>
      <c r="O84"/>
    </row>
    <row r="85" spans="1:15" x14ac:dyDescent="0.2">
      <c r="A85"/>
      <c r="B85" s="642"/>
      <c r="C85" s="642"/>
      <c r="F85"/>
      <c r="G85"/>
      <c r="H85"/>
      <c r="I85"/>
      <c r="L85"/>
      <c r="N85" s="642"/>
      <c r="O85"/>
    </row>
    <row r="86" spans="1:15" x14ac:dyDescent="0.2">
      <c r="A86"/>
      <c r="B86" s="642"/>
      <c r="C86" s="642"/>
      <c r="F86"/>
      <c r="G86"/>
      <c r="H86"/>
      <c r="J86"/>
      <c r="K86"/>
      <c r="L86"/>
      <c r="M86"/>
      <c r="N86" s="642"/>
      <c r="O86"/>
    </row>
    <row r="87" spans="1:15" x14ac:dyDescent="0.2">
      <c r="A87"/>
      <c r="B87" s="642"/>
      <c r="C87" s="642"/>
      <c r="F87"/>
      <c r="G87"/>
      <c r="H87"/>
      <c r="I87"/>
      <c r="L87"/>
      <c r="N87" s="642"/>
      <c r="O87"/>
    </row>
    <row r="88" spans="1:15" x14ac:dyDescent="0.2">
      <c r="A88"/>
      <c r="B88" s="642"/>
      <c r="C88" s="642"/>
      <c r="F88"/>
      <c r="G88"/>
      <c r="I88"/>
      <c r="J88"/>
      <c r="K88"/>
      <c r="L88"/>
      <c r="M88"/>
      <c r="N88" s="642"/>
      <c r="O88"/>
    </row>
    <row r="89" spans="1:15" x14ac:dyDescent="0.2">
      <c r="A89"/>
      <c r="B89" s="642"/>
      <c r="C89" s="642"/>
      <c r="F89"/>
      <c r="G89"/>
      <c r="I89"/>
      <c r="L89"/>
      <c r="M89"/>
      <c r="N89" s="642"/>
      <c r="O89"/>
    </row>
    <row r="90" spans="1:15" x14ac:dyDescent="0.2">
      <c r="A90"/>
      <c r="B90" s="642"/>
      <c r="C90" s="642"/>
      <c r="F90"/>
      <c r="G90"/>
      <c r="I90"/>
      <c r="L90"/>
      <c r="M90"/>
      <c r="N90" s="642"/>
      <c r="O90"/>
    </row>
    <row r="91" spans="1:15" x14ac:dyDescent="0.2">
      <c r="A91"/>
      <c r="B91" s="642"/>
      <c r="C91" s="642"/>
      <c r="F91"/>
      <c r="G91"/>
      <c r="I91"/>
      <c r="L91"/>
      <c r="M91"/>
      <c r="N91" s="642"/>
      <c r="O91"/>
    </row>
    <row r="92" spans="1:15" x14ac:dyDescent="0.2">
      <c r="A92"/>
      <c r="B92" s="642"/>
      <c r="C92" s="642"/>
      <c r="F92"/>
      <c r="G92"/>
      <c r="I92"/>
      <c r="J92"/>
      <c r="K92"/>
      <c r="L92"/>
      <c r="M92"/>
      <c r="N92" s="642"/>
      <c r="O92"/>
    </row>
    <row r="93" spans="1:15" x14ac:dyDescent="0.2">
      <c r="A93"/>
      <c r="B93" s="642"/>
      <c r="C93" s="642"/>
      <c r="F93"/>
      <c r="G93"/>
      <c r="I93"/>
      <c r="L93"/>
      <c r="M93"/>
      <c r="N93" s="642"/>
      <c r="O93"/>
    </row>
    <row r="94" spans="1:15" x14ac:dyDescent="0.2">
      <c r="A94"/>
      <c r="B94" s="642"/>
      <c r="C94" s="642"/>
      <c r="F94"/>
      <c r="G94"/>
      <c r="I94"/>
      <c r="L94"/>
      <c r="M94"/>
      <c r="N94" s="642"/>
      <c r="O94"/>
    </row>
    <row r="95" spans="1:15" x14ac:dyDescent="0.2">
      <c r="A95"/>
      <c r="B95" s="642"/>
      <c r="C95" s="642"/>
      <c r="F95"/>
      <c r="G95"/>
      <c r="L95"/>
      <c r="M95"/>
      <c r="N95" s="642"/>
      <c r="O95"/>
    </row>
    <row r="96" spans="1:15" x14ac:dyDescent="0.2">
      <c r="A96"/>
      <c r="B96" s="642"/>
      <c r="C96" s="642"/>
      <c r="F96"/>
      <c r="G96"/>
      <c r="I96"/>
      <c r="J96"/>
      <c r="L96"/>
      <c r="M96"/>
      <c r="N96" s="642"/>
      <c r="O96"/>
    </row>
    <row r="97" spans="1:15" x14ac:dyDescent="0.2">
      <c r="A97"/>
      <c r="B97" s="642"/>
      <c r="C97" s="642"/>
      <c r="F97"/>
      <c r="G97"/>
      <c r="I97"/>
      <c r="L97"/>
      <c r="M97"/>
      <c r="N97" s="642"/>
      <c r="O97"/>
    </row>
    <row r="98" spans="1:15" x14ac:dyDescent="0.2">
      <c r="A98"/>
      <c r="B98" s="642"/>
      <c r="C98" s="642"/>
      <c r="F98"/>
      <c r="G98"/>
      <c r="H98"/>
      <c r="I98"/>
      <c r="L98"/>
      <c r="M98"/>
      <c r="N98" s="642"/>
      <c r="O98"/>
    </row>
    <row r="99" spans="1:15" x14ac:dyDescent="0.2">
      <c r="A99"/>
      <c r="B99" s="642"/>
      <c r="C99" s="642"/>
      <c r="F99"/>
      <c r="G99"/>
      <c r="I99"/>
      <c r="L99"/>
      <c r="M99"/>
      <c r="N99" s="642"/>
      <c r="O99"/>
    </row>
    <row r="100" spans="1:15" x14ac:dyDescent="0.2">
      <c r="A100"/>
      <c r="B100" s="642"/>
      <c r="C100" s="642"/>
      <c r="F100"/>
      <c r="G100"/>
      <c r="N100" s="642"/>
      <c r="O100"/>
    </row>
    <row r="101" spans="1:15" x14ac:dyDescent="0.2">
      <c r="A101"/>
      <c r="B101" s="642"/>
      <c r="C101" s="642"/>
      <c r="F101"/>
      <c r="G101"/>
      <c r="L101"/>
      <c r="M101"/>
      <c r="N101" s="642"/>
      <c r="O101"/>
    </row>
    <row r="102" spans="1:15" x14ac:dyDescent="0.2">
      <c r="A102"/>
      <c r="B102" s="642"/>
      <c r="C102" s="642"/>
      <c r="F102"/>
      <c r="G102"/>
      <c r="L102"/>
      <c r="M102"/>
      <c r="N102" s="642"/>
      <c r="O102"/>
    </row>
    <row r="103" spans="1:15" x14ac:dyDescent="0.2">
      <c r="A103"/>
      <c r="B103" s="642"/>
      <c r="C103" s="642"/>
      <c r="F103"/>
      <c r="G103"/>
      <c r="I103"/>
      <c r="L103"/>
      <c r="M103"/>
      <c r="N103" s="642"/>
      <c r="O103"/>
    </row>
    <row r="104" spans="1:15" x14ac:dyDescent="0.2">
      <c r="A104"/>
      <c r="B104" s="642"/>
      <c r="C104" s="642"/>
      <c r="F104"/>
      <c r="G104"/>
      <c r="I104"/>
      <c r="L104"/>
      <c r="M104"/>
      <c r="N104" s="642"/>
      <c r="O104"/>
    </row>
    <row r="105" spans="1:15" x14ac:dyDescent="0.2">
      <c r="A105"/>
      <c r="B105" s="642"/>
      <c r="C105" s="642"/>
      <c r="F105"/>
      <c r="G105"/>
      <c r="I105"/>
      <c r="L105"/>
      <c r="M105"/>
      <c r="N105" s="642"/>
      <c r="O105"/>
    </row>
    <row r="106" spans="1:15" x14ac:dyDescent="0.2">
      <c r="A106"/>
      <c r="B106" s="642"/>
      <c r="C106" s="642"/>
      <c r="F106"/>
      <c r="G106"/>
      <c r="I106"/>
      <c r="L106"/>
      <c r="M106"/>
      <c r="N106" s="642"/>
      <c r="O106"/>
    </row>
    <row r="107" spans="1:15" x14ac:dyDescent="0.2">
      <c r="A107"/>
      <c r="B107" s="642"/>
      <c r="C107" s="642"/>
      <c r="F107"/>
      <c r="G107"/>
      <c r="L107"/>
      <c r="M107"/>
      <c r="N107" s="642"/>
      <c r="O107"/>
    </row>
    <row r="108" spans="1:15" x14ac:dyDescent="0.2">
      <c r="A108"/>
      <c r="B108" s="642"/>
      <c r="C108" s="642"/>
      <c r="F108"/>
      <c r="G108"/>
      <c r="L108"/>
      <c r="M108"/>
      <c r="N108" s="642"/>
      <c r="O108"/>
    </row>
    <row r="109" spans="1:15" x14ac:dyDescent="0.2">
      <c r="A109"/>
      <c r="B109" s="642"/>
      <c r="C109" s="642"/>
      <c r="F109"/>
      <c r="G109"/>
      <c r="H109"/>
      <c r="J109"/>
      <c r="K109"/>
      <c r="L109"/>
      <c r="M109"/>
      <c r="N109" s="642"/>
      <c r="O109"/>
    </row>
    <row r="110" spans="1:15" x14ac:dyDescent="0.2">
      <c r="A110"/>
      <c r="B110" s="642"/>
      <c r="C110" s="642"/>
      <c r="F110"/>
      <c r="G110"/>
      <c r="L110"/>
      <c r="M110"/>
      <c r="N110" s="642"/>
      <c r="O110"/>
    </row>
    <row r="111" spans="1:15" x14ac:dyDescent="0.2">
      <c r="A111"/>
      <c r="B111" s="642"/>
      <c r="C111" s="642"/>
      <c r="F111"/>
      <c r="G111"/>
      <c r="I111"/>
      <c r="L111"/>
      <c r="M111"/>
      <c r="N111" s="642"/>
      <c r="O111"/>
    </row>
    <row r="112" spans="1:15" x14ac:dyDescent="0.2">
      <c r="A112"/>
      <c r="B112" s="642"/>
      <c r="C112" s="642"/>
      <c r="F112"/>
      <c r="G112"/>
      <c r="I112"/>
      <c r="L112"/>
      <c r="M112"/>
      <c r="N112" s="642"/>
      <c r="O112"/>
    </row>
    <row r="113" spans="1:15" x14ac:dyDescent="0.2">
      <c r="A113"/>
      <c r="B113" s="642"/>
      <c r="C113" s="642"/>
      <c r="F113"/>
      <c r="G113"/>
      <c r="L113"/>
      <c r="M113"/>
      <c r="N113" s="642"/>
      <c r="O113"/>
    </row>
    <row r="114" spans="1:15" x14ac:dyDescent="0.2">
      <c r="A114"/>
      <c r="B114" s="642"/>
      <c r="C114" s="642"/>
      <c r="F114"/>
      <c r="G114"/>
      <c r="M114"/>
      <c r="N114" s="642"/>
      <c r="O114"/>
    </row>
    <row r="115" spans="1:15" x14ac:dyDescent="0.2">
      <c r="A115"/>
      <c r="B115" s="642"/>
      <c r="C115" s="642"/>
      <c r="F115"/>
      <c r="G115"/>
      <c r="I115"/>
      <c r="L115"/>
      <c r="M115"/>
      <c r="N115" s="642"/>
      <c r="O115"/>
    </row>
    <row r="116" spans="1:15" x14ac:dyDescent="0.2">
      <c r="A116"/>
      <c r="B116" s="642"/>
      <c r="C116" s="642"/>
      <c r="F116"/>
      <c r="G116"/>
      <c r="L116"/>
      <c r="M116"/>
      <c r="N116" s="642"/>
      <c r="O116"/>
    </row>
    <row r="117" spans="1:15" x14ac:dyDescent="0.2">
      <c r="A117"/>
      <c r="B117" s="642"/>
      <c r="C117" s="642"/>
      <c r="F117"/>
      <c r="G117"/>
      <c r="I117"/>
      <c r="L117"/>
      <c r="M117"/>
      <c r="N117" s="642"/>
      <c r="O117"/>
    </row>
    <row r="118" spans="1:15" x14ac:dyDescent="0.2">
      <c r="A118"/>
      <c r="B118" s="642"/>
      <c r="C118" s="642"/>
      <c r="F118"/>
      <c r="G118"/>
      <c r="I118"/>
      <c r="L118"/>
      <c r="M118"/>
      <c r="N118" s="642"/>
      <c r="O118"/>
    </row>
    <row r="119" spans="1:15" x14ac:dyDescent="0.2">
      <c r="A119"/>
      <c r="B119" s="642"/>
      <c r="C119" s="642"/>
      <c r="F119"/>
      <c r="G119"/>
      <c r="L119"/>
      <c r="M119"/>
      <c r="N119" s="642"/>
      <c r="O119"/>
    </row>
    <row r="120" spans="1:15" x14ac:dyDescent="0.2">
      <c r="A120"/>
      <c r="B120" s="642"/>
      <c r="C120" s="642"/>
      <c r="F120"/>
      <c r="G120"/>
      <c r="I120"/>
      <c r="L120"/>
      <c r="M120"/>
      <c r="N120" s="642"/>
      <c r="O120"/>
    </row>
    <row r="121" spans="1:15" x14ac:dyDescent="0.2">
      <c r="A121"/>
      <c r="B121" s="642"/>
      <c r="C121" s="642"/>
      <c r="F121"/>
      <c r="G121"/>
      <c r="H121"/>
      <c r="I121"/>
      <c r="L121"/>
      <c r="N121" s="642"/>
      <c r="O121"/>
    </row>
    <row r="122" spans="1:15" x14ac:dyDescent="0.2">
      <c r="A122"/>
      <c r="B122" s="642"/>
      <c r="C122" s="642"/>
      <c r="F122"/>
      <c r="G122"/>
      <c r="L122"/>
      <c r="M122"/>
      <c r="N122" s="642"/>
      <c r="O122"/>
    </row>
    <row r="123" spans="1:15" x14ac:dyDescent="0.2">
      <c r="A123"/>
      <c r="B123" s="642"/>
      <c r="C123" s="642"/>
      <c r="F123"/>
      <c r="G123"/>
      <c r="H123"/>
      <c r="I123"/>
      <c r="L123"/>
      <c r="N123" s="642"/>
      <c r="O123"/>
    </row>
    <row r="124" spans="1:15" x14ac:dyDescent="0.2">
      <c r="A124"/>
      <c r="B124" s="642"/>
      <c r="C124" s="642"/>
      <c r="F124"/>
      <c r="G124"/>
      <c r="H124"/>
      <c r="J124"/>
      <c r="K124"/>
      <c r="L124"/>
      <c r="M124"/>
      <c r="N124" s="642"/>
      <c r="O124"/>
    </row>
    <row r="125" spans="1:15" x14ac:dyDescent="0.2">
      <c r="A125"/>
      <c r="B125" s="642"/>
      <c r="C125" s="642"/>
      <c r="F125"/>
      <c r="G125"/>
      <c r="I125"/>
      <c r="L125"/>
      <c r="M125"/>
      <c r="N125" s="642"/>
      <c r="O125"/>
    </row>
    <row r="126" spans="1:15" x14ac:dyDescent="0.2">
      <c r="A126"/>
      <c r="B126" s="642"/>
      <c r="C126" s="642"/>
      <c r="F126"/>
      <c r="G126"/>
      <c r="H126"/>
      <c r="I126"/>
      <c r="L126"/>
      <c r="N126" s="642"/>
      <c r="O126"/>
    </row>
    <row r="127" spans="1:15" x14ac:dyDescent="0.2">
      <c r="A127"/>
      <c r="B127" s="642"/>
      <c r="C127" s="642"/>
      <c r="F127"/>
      <c r="G127"/>
      <c r="I127"/>
      <c r="L127"/>
      <c r="M127"/>
      <c r="N127" s="642"/>
      <c r="O127"/>
    </row>
    <row r="128" spans="1:15" x14ac:dyDescent="0.2">
      <c r="A128"/>
      <c r="B128" s="642"/>
      <c r="C128" s="642"/>
      <c r="F128"/>
      <c r="G128"/>
      <c r="I128"/>
      <c r="L128"/>
      <c r="M128"/>
      <c r="N128" s="642"/>
      <c r="O128"/>
    </row>
    <row r="129" spans="1:15" x14ac:dyDescent="0.2">
      <c r="A129"/>
      <c r="B129" s="642"/>
      <c r="C129" s="642"/>
      <c r="F129"/>
      <c r="G129"/>
      <c r="I129"/>
      <c r="L129"/>
      <c r="M129"/>
      <c r="N129" s="642"/>
      <c r="O129"/>
    </row>
    <row r="130" spans="1:15" x14ac:dyDescent="0.2">
      <c r="A130"/>
      <c r="B130" s="642"/>
      <c r="C130" s="642"/>
      <c r="F130"/>
      <c r="G130"/>
      <c r="I130"/>
      <c r="L130"/>
      <c r="M130"/>
      <c r="N130" s="642"/>
      <c r="O130"/>
    </row>
    <row r="131" spans="1:15" x14ac:dyDescent="0.2">
      <c r="A131"/>
      <c r="B131" s="642"/>
      <c r="C131" s="642"/>
      <c r="F131"/>
      <c r="G131"/>
      <c r="I131"/>
      <c r="L131"/>
      <c r="M131"/>
      <c r="N131" s="642"/>
      <c r="O131"/>
    </row>
    <row r="132" spans="1:15" x14ac:dyDescent="0.2">
      <c r="A132"/>
      <c r="B132" s="642"/>
      <c r="C132" s="642"/>
      <c r="F132"/>
      <c r="G132"/>
      <c r="L132"/>
      <c r="M132"/>
      <c r="N132" s="642"/>
      <c r="O132"/>
    </row>
    <row r="133" spans="1:15" x14ac:dyDescent="0.2">
      <c r="A133"/>
      <c r="B133" s="642"/>
      <c r="C133" s="642"/>
      <c r="F133"/>
      <c r="G133"/>
      <c r="I133"/>
      <c r="L133"/>
      <c r="M133"/>
      <c r="N133" s="642"/>
      <c r="O133"/>
    </row>
    <row r="134" spans="1:15" x14ac:dyDescent="0.2">
      <c r="A134"/>
      <c r="B134" s="642"/>
      <c r="C134" s="642"/>
      <c r="F134"/>
      <c r="G134"/>
      <c r="I134"/>
      <c r="L134"/>
      <c r="M134"/>
      <c r="N134" s="642"/>
      <c r="O134"/>
    </row>
    <row r="135" spans="1:15" x14ac:dyDescent="0.2">
      <c r="A135"/>
      <c r="B135" s="642"/>
      <c r="C135" s="642"/>
      <c r="F135"/>
      <c r="G135"/>
      <c r="H135"/>
      <c r="I135"/>
      <c r="L135"/>
      <c r="M135"/>
      <c r="N135" s="642"/>
      <c r="O135"/>
    </row>
    <row r="136" spans="1:15" x14ac:dyDescent="0.2">
      <c r="A136"/>
      <c r="B136" s="642"/>
      <c r="C136" s="642"/>
      <c r="F136"/>
      <c r="G136"/>
      <c r="M136"/>
      <c r="N136" s="642"/>
      <c r="O136"/>
    </row>
    <row r="137" spans="1:15" x14ac:dyDescent="0.2">
      <c r="A137"/>
      <c r="B137" s="642"/>
      <c r="C137" s="642"/>
      <c r="F137"/>
      <c r="G137"/>
      <c r="L137"/>
      <c r="M137"/>
      <c r="N137" s="642"/>
      <c r="O137"/>
    </row>
    <row r="138" spans="1:15" x14ac:dyDescent="0.2">
      <c r="A138"/>
      <c r="B138" s="642"/>
      <c r="C138" s="642"/>
      <c r="F138"/>
      <c r="G138"/>
      <c r="I138"/>
      <c r="L138"/>
      <c r="M138"/>
      <c r="N138" s="642"/>
      <c r="O138"/>
    </row>
    <row r="139" spans="1:15" x14ac:dyDescent="0.2">
      <c r="A139"/>
      <c r="B139" s="642"/>
      <c r="C139" s="642"/>
      <c r="F139"/>
      <c r="G139"/>
      <c r="I139"/>
      <c r="L139"/>
      <c r="M139"/>
      <c r="N139" s="642"/>
      <c r="O139"/>
    </row>
    <row r="140" spans="1:15" x14ac:dyDescent="0.2">
      <c r="A140"/>
      <c r="B140" s="642"/>
      <c r="C140" s="642"/>
      <c r="F140"/>
      <c r="G140"/>
      <c r="H140"/>
      <c r="L140"/>
      <c r="N140" s="642"/>
      <c r="O140"/>
    </row>
    <row r="141" spans="1:15" x14ac:dyDescent="0.2">
      <c r="A141"/>
      <c r="B141" s="642"/>
      <c r="C141" s="642"/>
      <c r="F141"/>
      <c r="G141"/>
      <c r="L141"/>
      <c r="M141"/>
      <c r="N141" s="642"/>
      <c r="O141"/>
    </row>
    <row r="142" spans="1:15" x14ac:dyDescent="0.2">
      <c r="A142"/>
      <c r="B142" s="642"/>
      <c r="C142" s="642"/>
      <c r="F142"/>
      <c r="G142"/>
      <c r="J142"/>
      <c r="K142"/>
      <c r="L142"/>
      <c r="M142"/>
      <c r="N142" s="642"/>
      <c r="O142"/>
    </row>
    <row r="143" spans="1:15" x14ac:dyDescent="0.2">
      <c r="A143"/>
      <c r="B143" s="642"/>
      <c r="C143" s="642"/>
      <c r="F143"/>
      <c r="G143"/>
      <c r="H143"/>
      <c r="J143"/>
      <c r="K143"/>
      <c r="L143"/>
      <c r="M143"/>
      <c r="N143" s="642"/>
      <c r="O143"/>
    </row>
    <row r="144" spans="1:15" x14ac:dyDescent="0.2">
      <c r="A144"/>
      <c r="B144" s="642"/>
      <c r="C144" s="642"/>
      <c r="F144"/>
      <c r="G144"/>
      <c r="H144"/>
      <c r="J144"/>
      <c r="K144"/>
      <c r="L144"/>
      <c r="M144"/>
      <c r="N144" s="642"/>
      <c r="O144"/>
    </row>
    <row r="145" spans="1:15" x14ac:dyDescent="0.2">
      <c r="A145"/>
      <c r="B145" s="642"/>
      <c r="C145" s="642"/>
      <c r="F145"/>
      <c r="G145"/>
      <c r="H145"/>
      <c r="J145"/>
      <c r="K145"/>
      <c r="L145"/>
      <c r="M145"/>
      <c r="N145" s="642"/>
      <c r="O145"/>
    </row>
    <row r="146" spans="1:15" x14ac:dyDescent="0.2">
      <c r="A146"/>
      <c r="B146" s="642"/>
      <c r="C146" s="642"/>
      <c r="F146"/>
      <c r="G146"/>
      <c r="L146"/>
      <c r="M146"/>
      <c r="N146" s="642"/>
      <c r="O146"/>
    </row>
    <row r="147" spans="1:15" x14ac:dyDescent="0.2">
      <c r="A147"/>
      <c r="B147" s="642"/>
      <c r="C147" s="642"/>
      <c r="F147"/>
      <c r="G147"/>
      <c r="H147"/>
      <c r="J147"/>
      <c r="K147"/>
      <c r="L147"/>
      <c r="M147"/>
      <c r="N147" s="642"/>
      <c r="O147"/>
    </row>
    <row r="148" spans="1:15" x14ac:dyDescent="0.2">
      <c r="A148"/>
      <c r="B148" s="642"/>
      <c r="C148" s="642"/>
      <c r="F148"/>
      <c r="G148"/>
      <c r="J148"/>
      <c r="K148"/>
      <c r="L148"/>
      <c r="M148"/>
      <c r="N148" s="642"/>
      <c r="O148"/>
    </row>
    <row r="149" spans="1:15" x14ac:dyDescent="0.2">
      <c r="A149"/>
      <c r="B149" s="642"/>
      <c r="C149" s="642"/>
      <c r="F149"/>
      <c r="G149"/>
      <c r="H149"/>
      <c r="J149"/>
      <c r="K149"/>
      <c r="L149"/>
      <c r="M149"/>
      <c r="N149" s="642"/>
      <c r="O149"/>
    </row>
    <row r="150" spans="1:15" x14ac:dyDescent="0.2">
      <c r="A150"/>
      <c r="B150" s="642"/>
      <c r="C150" s="642"/>
      <c r="F150"/>
      <c r="G150"/>
      <c r="L150"/>
      <c r="M150"/>
      <c r="N150" s="642"/>
      <c r="O150"/>
    </row>
    <row r="151" spans="1:15" x14ac:dyDescent="0.2">
      <c r="A151"/>
      <c r="B151" s="642"/>
      <c r="C151" s="642"/>
      <c r="F151"/>
      <c r="G151"/>
      <c r="H151"/>
      <c r="J151"/>
      <c r="K151"/>
      <c r="L151"/>
      <c r="M151"/>
      <c r="N151" s="642"/>
      <c r="O151"/>
    </row>
    <row r="152" spans="1:15" x14ac:dyDescent="0.2">
      <c r="A152"/>
      <c r="B152" s="642"/>
      <c r="C152" s="642"/>
      <c r="F152"/>
      <c r="G152"/>
      <c r="H152"/>
      <c r="I152"/>
      <c r="L152"/>
      <c r="M152"/>
      <c r="N152" s="642"/>
      <c r="O152"/>
    </row>
    <row r="153" spans="1:15" x14ac:dyDescent="0.2">
      <c r="A153"/>
      <c r="B153" s="642"/>
      <c r="C153" s="642"/>
      <c r="F153"/>
      <c r="G153"/>
      <c r="I153"/>
      <c r="L153"/>
      <c r="M153"/>
      <c r="N153" s="642"/>
      <c r="O153"/>
    </row>
    <row r="154" spans="1:15" x14ac:dyDescent="0.2">
      <c r="A154"/>
      <c r="B154" s="642"/>
      <c r="C154" s="642"/>
      <c r="F154"/>
      <c r="G154"/>
      <c r="H154"/>
      <c r="I154"/>
      <c r="L154"/>
      <c r="M154"/>
      <c r="N154" s="642"/>
      <c r="O154"/>
    </row>
    <row r="155" spans="1:15" x14ac:dyDescent="0.2">
      <c r="A155"/>
      <c r="B155" s="642"/>
      <c r="C155" s="642"/>
      <c r="F155"/>
      <c r="G155"/>
      <c r="H155"/>
      <c r="I155"/>
      <c r="L155"/>
      <c r="M155"/>
      <c r="N155" s="642"/>
      <c r="O155"/>
    </row>
    <row r="156" spans="1:15" x14ac:dyDescent="0.2">
      <c r="A156"/>
      <c r="B156" s="642"/>
      <c r="C156" s="642"/>
      <c r="F156"/>
      <c r="G156"/>
      <c r="I156"/>
      <c r="L156"/>
      <c r="M156"/>
      <c r="N156" s="642"/>
      <c r="O156"/>
    </row>
    <row r="157" spans="1:15" x14ac:dyDescent="0.2">
      <c r="A157"/>
      <c r="B157" s="642"/>
      <c r="C157" s="642"/>
      <c r="F157"/>
      <c r="G157"/>
      <c r="L157"/>
      <c r="M157"/>
      <c r="N157" s="642"/>
      <c r="O157"/>
    </row>
    <row r="158" spans="1:15" x14ac:dyDescent="0.2">
      <c r="A158"/>
      <c r="B158" s="642"/>
      <c r="C158" s="642"/>
      <c r="F158"/>
      <c r="G158"/>
      <c r="I158"/>
      <c r="L158"/>
      <c r="M158"/>
      <c r="N158" s="642"/>
      <c r="O158"/>
    </row>
    <row r="159" spans="1:15" x14ac:dyDescent="0.2">
      <c r="A159"/>
      <c r="B159" s="642"/>
      <c r="C159" s="642"/>
      <c r="F159"/>
      <c r="G159"/>
      <c r="L159"/>
      <c r="M159"/>
      <c r="N159" s="642"/>
      <c r="O159"/>
    </row>
    <row r="160" spans="1:15" x14ac:dyDescent="0.2">
      <c r="A160"/>
      <c r="B160" s="642"/>
      <c r="C160" s="642"/>
      <c r="F160"/>
      <c r="G160"/>
      <c r="L160"/>
      <c r="M160"/>
      <c r="N160" s="642"/>
      <c r="O160"/>
    </row>
    <row r="161" spans="1:15" x14ac:dyDescent="0.2">
      <c r="A161"/>
      <c r="B161" s="642"/>
      <c r="C161" s="642"/>
      <c r="F161"/>
      <c r="G161"/>
      <c r="H161"/>
      <c r="I161"/>
      <c r="L161"/>
      <c r="M161"/>
      <c r="N161" s="642"/>
      <c r="O161"/>
    </row>
    <row r="162" spans="1:15" x14ac:dyDescent="0.2">
      <c r="A162"/>
      <c r="B162" s="642"/>
      <c r="C162" s="642"/>
      <c r="F162"/>
      <c r="G162"/>
      <c r="H162"/>
      <c r="I162"/>
      <c r="L162"/>
      <c r="M162"/>
      <c r="N162" s="642"/>
      <c r="O162"/>
    </row>
    <row r="163" spans="1:15" x14ac:dyDescent="0.2">
      <c r="A163"/>
      <c r="B163" s="642"/>
      <c r="C163" s="642"/>
      <c r="F163"/>
      <c r="G163"/>
      <c r="H163"/>
      <c r="I163"/>
      <c r="L163"/>
      <c r="M163"/>
      <c r="N163" s="642"/>
      <c r="O163"/>
    </row>
    <row r="164" spans="1:15" x14ac:dyDescent="0.2">
      <c r="A164"/>
      <c r="B164" s="642"/>
      <c r="C164" s="642"/>
      <c r="F164"/>
      <c r="G164"/>
      <c r="H164"/>
      <c r="I164"/>
      <c r="L164"/>
      <c r="M164"/>
      <c r="N164" s="642"/>
      <c r="O164"/>
    </row>
    <row r="165" spans="1:15" x14ac:dyDescent="0.2">
      <c r="A165"/>
      <c r="B165" s="642"/>
      <c r="C165" s="642"/>
      <c r="F165"/>
      <c r="G165"/>
      <c r="M165"/>
      <c r="N165" s="642"/>
      <c r="O165"/>
    </row>
    <row r="166" spans="1:15" x14ac:dyDescent="0.2">
      <c r="A166"/>
      <c r="B166" s="642"/>
      <c r="C166" s="642"/>
      <c r="F166"/>
      <c r="G166"/>
      <c r="I166"/>
      <c r="L166"/>
      <c r="M166"/>
      <c r="N166" s="642"/>
      <c r="O166"/>
    </row>
    <row r="167" spans="1:15" x14ac:dyDescent="0.2">
      <c r="A167"/>
      <c r="B167" s="642"/>
      <c r="C167" s="642"/>
      <c r="F167"/>
      <c r="G167"/>
      <c r="H167"/>
      <c r="I167"/>
      <c r="L167"/>
      <c r="N167" s="642"/>
      <c r="O167"/>
    </row>
    <row r="168" spans="1:15" x14ac:dyDescent="0.2">
      <c r="A168"/>
      <c r="B168" s="642"/>
      <c r="C168" s="642"/>
      <c r="F168"/>
      <c r="G168"/>
      <c r="H168"/>
      <c r="I168"/>
      <c r="L168"/>
      <c r="M168"/>
      <c r="N168" s="642"/>
      <c r="O168"/>
    </row>
    <row r="169" spans="1:15" x14ac:dyDescent="0.2">
      <c r="A169"/>
      <c r="B169" s="642"/>
      <c r="C169" s="642"/>
      <c r="F169"/>
      <c r="G169"/>
      <c r="H169"/>
      <c r="J169"/>
      <c r="K169"/>
      <c r="L169"/>
      <c r="M169"/>
      <c r="N169" s="642"/>
      <c r="O169"/>
    </row>
    <row r="170" spans="1:15" x14ac:dyDescent="0.2">
      <c r="A170"/>
      <c r="B170" s="642"/>
      <c r="C170" s="642"/>
      <c r="F170"/>
      <c r="G170"/>
      <c r="H170"/>
      <c r="I170"/>
      <c r="L170"/>
      <c r="M170"/>
      <c r="N170" s="642"/>
      <c r="O170"/>
    </row>
    <row r="171" spans="1:15" x14ac:dyDescent="0.2">
      <c r="A171"/>
      <c r="B171" s="642"/>
      <c r="C171" s="642"/>
      <c r="F171"/>
      <c r="G171"/>
      <c r="I171"/>
      <c r="L171"/>
      <c r="M171"/>
      <c r="N171" s="642"/>
      <c r="O171"/>
    </row>
    <row r="172" spans="1:15" x14ac:dyDescent="0.2">
      <c r="A172"/>
      <c r="B172" s="642"/>
      <c r="C172" s="642"/>
      <c r="F172"/>
      <c r="G172"/>
      <c r="H172"/>
      <c r="I172"/>
      <c r="L172"/>
      <c r="M172"/>
      <c r="N172" s="642"/>
      <c r="O172"/>
    </row>
    <row r="173" spans="1:15" x14ac:dyDescent="0.2">
      <c r="A173"/>
      <c r="B173" s="642"/>
      <c r="C173" s="642"/>
      <c r="F173"/>
      <c r="G173"/>
      <c r="H173"/>
      <c r="I173"/>
      <c r="L173"/>
      <c r="N173" s="642"/>
      <c r="O173"/>
    </row>
    <row r="174" spans="1:15" x14ac:dyDescent="0.2">
      <c r="A174"/>
      <c r="B174" s="642"/>
      <c r="C174" s="642"/>
      <c r="F174"/>
      <c r="G174"/>
      <c r="H174"/>
      <c r="I174"/>
      <c r="L174"/>
      <c r="M174"/>
      <c r="N174" s="642"/>
      <c r="O174"/>
    </row>
    <row r="175" spans="1:15" x14ac:dyDescent="0.2">
      <c r="A175"/>
      <c r="B175" s="642"/>
      <c r="C175" s="642"/>
      <c r="F175"/>
      <c r="G175"/>
      <c r="H175"/>
      <c r="I175"/>
      <c r="L175"/>
      <c r="M175"/>
      <c r="N175" s="642"/>
      <c r="O175"/>
    </row>
    <row r="176" spans="1:15" x14ac:dyDescent="0.2">
      <c r="A176"/>
      <c r="B176" s="642"/>
      <c r="C176" s="642"/>
      <c r="F176"/>
      <c r="G176"/>
      <c r="H176"/>
      <c r="I176"/>
      <c r="L176"/>
      <c r="M176"/>
      <c r="N176" s="642"/>
      <c r="O176"/>
    </row>
    <row r="177" spans="1:15" x14ac:dyDescent="0.2">
      <c r="A177"/>
      <c r="B177" s="642"/>
      <c r="C177" s="642"/>
      <c r="F177"/>
      <c r="G177"/>
      <c r="M177"/>
      <c r="N177" s="642"/>
      <c r="O177"/>
    </row>
    <row r="178" spans="1:15" x14ac:dyDescent="0.2">
      <c r="A178"/>
      <c r="B178" s="642"/>
      <c r="C178" s="642"/>
      <c r="F178"/>
      <c r="G178"/>
      <c r="H178"/>
      <c r="J178"/>
      <c r="K178"/>
      <c r="L178"/>
      <c r="M178"/>
      <c r="N178" s="642"/>
      <c r="O178"/>
    </row>
    <row r="179" spans="1:15" x14ac:dyDescent="0.2">
      <c r="A179"/>
      <c r="B179" s="642"/>
      <c r="C179" s="642"/>
      <c r="F179"/>
      <c r="G179"/>
      <c r="H179"/>
      <c r="J179"/>
      <c r="K179"/>
      <c r="L179"/>
      <c r="M179"/>
      <c r="N179" s="642"/>
      <c r="O179"/>
    </row>
    <row r="180" spans="1:15" x14ac:dyDescent="0.2">
      <c r="A180"/>
      <c r="B180" s="642"/>
      <c r="C180" s="642"/>
      <c r="F180"/>
      <c r="G180"/>
      <c r="L180"/>
      <c r="M180"/>
      <c r="N180" s="642"/>
      <c r="O180"/>
    </row>
    <row r="181" spans="1:15" x14ac:dyDescent="0.2">
      <c r="A181"/>
      <c r="B181" s="642"/>
      <c r="C181" s="642"/>
      <c r="F181"/>
      <c r="G181"/>
      <c r="H181"/>
      <c r="J181"/>
      <c r="K181"/>
      <c r="L181"/>
      <c r="M181"/>
      <c r="N181" s="642"/>
      <c r="O181"/>
    </row>
    <row r="182" spans="1:15" x14ac:dyDescent="0.2">
      <c r="A182"/>
      <c r="B182" s="642"/>
      <c r="C182" s="642"/>
      <c r="F182"/>
      <c r="G182"/>
      <c r="H182"/>
      <c r="I182"/>
      <c r="J182"/>
      <c r="K182"/>
      <c r="L182"/>
      <c r="M182"/>
      <c r="N182" s="642"/>
      <c r="O182"/>
    </row>
    <row r="183" spans="1:15" x14ac:dyDescent="0.2">
      <c r="A183"/>
      <c r="B183" s="642"/>
      <c r="C183" s="642"/>
      <c r="F183"/>
      <c r="G183"/>
      <c r="I183"/>
      <c r="L183"/>
      <c r="M183"/>
      <c r="N183" s="642"/>
      <c r="O183"/>
    </row>
    <row r="184" spans="1:15" x14ac:dyDescent="0.2">
      <c r="A184"/>
      <c r="B184" s="642"/>
      <c r="C184" s="642"/>
      <c r="F184"/>
      <c r="G184"/>
      <c r="H184"/>
      <c r="I184"/>
      <c r="L184"/>
      <c r="M184"/>
      <c r="N184" s="642"/>
      <c r="O184"/>
    </row>
    <row r="185" spans="1:15" x14ac:dyDescent="0.2">
      <c r="A185"/>
      <c r="B185" s="642"/>
      <c r="C185" s="642"/>
      <c r="F185"/>
      <c r="G185"/>
      <c r="H185"/>
      <c r="I185"/>
      <c r="L185"/>
      <c r="M185"/>
      <c r="N185" s="642"/>
      <c r="O185"/>
    </row>
    <row r="186" spans="1:15" x14ac:dyDescent="0.2">
      <c r="A186"/>
      <c r="B186" s="642"/>
      <c r="C186" s="642"/>
      <c r="F186"/>
      <c r="G186"/>
      <c r="I186"/>
      <c r="L186"/>
      <c r="M186"/>
      <c r="N186" s="642"/>
      <c r="O186"/>
    </row>
    <row r="187" spans="1:15" x14ac:dyDescent="0.2">
      <c r="A187"/>
      <c r="B187" s="642"/>
      <c r="C187" s="642"/>
      <c r="F187"/>
      <c r="G187"/>
      <c r="M187"/>
      <c r="N187" s="642"/>
      <c r="O187"/>
    </row>
    <row r="188" spans="1:15" x14ac:dyDescent="0.2">
      <c r="A188"/>
      <c r="B188" s="642"/>
      <c r="C188" s="642"/>
      <c r="F188"/>
      <c r="G188"/>
      <c r="H188"/>
      <c r="I188"/>
      <c r="L188"/>
      <c r="N188" s="642"/>
      <c r="O188"/>
    </row>
    <row r="189" spans="1:15" x14ac:dyDescent="0.2">
      <c r="A189"/>
      <c r="B189" s="642"/>
      <c r="C189" s="642"/>
      <c r="F189"/>
      <c r="G189"/>
      <c r="I189"/>
      <c r="L189"/>
      <c r="M189"/>
      <c r="N189" s="642"/>
      <c r="O189"/>
    </row>
    <row r="190" spans="1:15" x14ac:dyDescent="0.2">
      <c r="A190"/>
      <c r="B190" s="642"/>
      <c r="C190" s="642"/>
      <c r="F190"/>
      <c r="G190"/>
      <c r="H190"/>
      <c r="I190"/>
      <c r="L190"/>
      <c r="M190"/>
      <c r="N190" s="642"/>
      <c r="O190"/>
    </row>
    <row r="191" spans="1:15" x14ac:dyDescent="0.2">
      <c r="A191"/>
      <c r="B191" s="642"/>
      <c r="C191" s="642"/>
      <c r="F191"/>
      <c r="G191"/>
      <c r="H191"/>
      <c r="I191"/>
      <c r="L191"/>
      <c r="M191"/>
      <c r="N191" s="642"/>
      <c r="O191"/>
    </row>
    <row r="192" spans="1:15" x14ac:dyDescent="0.2">
      <c r="A192"/>
      <c r="B192" s="642"/>
      <c r="C192" s="642"/>
      <c r="F192"/>
      <c r="G192"/>
      <c r="L192"/>
      <c r="M192"/>
      <c r="N192" s="642"/>
      <c r="O192"/>
    </row>
    <row r="193" spans="1:15" x14ac:dyDescent="0.2">
      <c r="A193"/>
      <c r="B193" s="642"/>
      <c r="C193" s="642"/>
      <c r="F193"/>
      <c r="G193"/>
      <c r="M193"/>
      <c r="N193" s="642"/>
      <c r="O193"/>
    </row>
    <row r="194" spans="1:15" x14ac:dyDescent="0.2">
      <c r="A194"/>
      <c r="B194" s="642"/>
      <c r="C194" s="642"/>
      <c r="F194"/>
      <c r="G194"/>
      <c r="M194"/>
      <c r="N194" s="642"/>
      <c r="O194"/>
    </row>
    <row r="195" spans="1:15" x14ac:dyDescent="0.2">
      <c r="A195"/>
      <c r="B195" s="642"/>
      <c r="C195" s="642"/>
      <c r="F195"/>
      <c r="G195"/>
      <c r="H195"/>
      <c r="I195"/>
      <c r="L195"/>
      <c r="M195"/>
      <c r="N195" s="642"/>
      <c r="O195"/>
    </row>
    <row r="196" spans="1:15" x14ac:dyDescent="0.2">
      <c r="A196"/>
      <c r="B196" s="642"/>
      <c r="C196" s="642"/>
      <c r="F196"/>
      <c r="G196"/>
      <c r="H196"/>
      <c r="I196"/>
      <c r="L196"/>
      <c r="M196"/>
      <c r="N196" s="642"/>
      <c r="O196"/>
    </row>
    <row r="197" spans="1:15" x14ac:dyDescent="0.2">
      <c r="A197"/>
      <c r="B197" s="642"/>
      <c r="C197" s="642"/>
      <c r="F197"/>
      <c r="G197"/>
      <c r="H197"/>
      <c r="I197"/>
      <c r="L197"/>
      <c r="M197"/>
      <c r="N197" s="642"/>
      <c r="O197"/>
    </row>
    <row r="198" spans="1:15" x14ac:dyDescent="0.2">
      <c r="A198"/>
      <c r="B198" s="642"/>
      <c r="C198" s="642"/>
      <c r="F198"/>
      <c r="G198"/>
      <c r="H198"/>
      <c r="I198"/>
      <c r="L198"/>
      <c r="M198"/>
      <c r="N198" s="642"/>
      <c r="O198"/>
    </row>
    <row r="199" spans="1:15" x14ac:dyDescent="0.2">
      <c r="A199"/>
      <c r="B199" s="642"/>
      <c r="C199" s="642"/>
      <c r="F199"/>
      <c r="G199"/>
      <c r="L199"/>
      <c r="M199"/>
      <c r="N199" s="642"/>
      <c r="O199"/>
    </row>
    <row r="200" spans="1:15" x14ac:dyDescent="0.2">
      <c r="A200"/>
      <c r="B200" s="642"/>
      <c r="C200" s="642"/>
      <c r="F200"/>
      <c r="G200"/>
      <c r="L200"/>
      <c r="M200"/>
      <c r="N200" s="642"/>
      <c r="O200"/>
    </row>
    <row r="201" spans="1:15" x14ac:dyDescent="0.2">
      <c r="A201"/>
      <c r="B201" s="642"/>
      <c r="C201" s="642"/>
      <c r="F201"/>
      <c r="G201"/>
      <c r="H201"/>
      <c r="I201"/>
      <c r="L201"/>
      <c r="M201"/>
      <c r="N201" s="642"/>
      <c r="O201"/>
    </row>
    <row r="202" spans="1:15" x14ac:dyDescent="0.2">
      <c r="A202"/>
      <c r="B202" s="642"/>
      <c r="C202" s="642"/>
      <c r="F202"/>
      <c r="G202"/>
      <c r="I202"/>
      <c r="L202"/>
      <c r="M202"/>
      <c r="N202" s="642"/>
      <c r="O202"/>
    </row>
    <row r="203" spans="1:15" x14ac:dyDescent="0.2">
      <c r="A203"/>
      <c r="B203" s="642"/>
      <c r="C203" s="642"/>
      <c r="F203"/>
      <c r="G203"/>
      <c r="I203"/>
      <c r="L203"/>
      <c r="M203"/>
      <c r="N203" s="642"/>
      <c r="O203"/>
    </row>
    <row r="204" spans="1:15" x14ac:dyDescent="0.2">
      <c r="A204"/>
      <c r="B204" s="642"/>
      <c r="C204" s="642"/>
      <c r="F204"/>
      <c r="G204"/>
      <c r="I204"/>
      <c r="L204"/>
      <c r="M204"/>
      <c r="N204" s="642"/>
      <c r="O204"/>
    </row>
    <row r="205" spans="1:15" x14ac:dyDescent="0.2">
      <c r="A205"/>
      <c r="B205" s="642"/>
      <c r="C205" s="642"/>
      <c r="F205"/>
      <c r="G205"/>
      <c r="L205"/>
      <c r="M205"/>
      <c r="N205" s="642"/>
      <c r="O205"/>
    </row>
    <row r="206" spans="1:15" x14ac:dyDescent="0.2">
      <c r="A206"/>
      <c r="B206" s="642"/>
      <c r="C206" s="642"/>
      <c r="F206"/>
      <c r="G206"/>
      <c r="H206"/>
      <c r="L206"/>
      <c r="M206"/>
      <c r="N206" s="642"/>
      <c r="O206"/>
    </row>
    <row r="207" spans="1:15" x14ac:dyDescent="0.2">
      <c r="A207"/>
      <c r="B207" s="642"/>
      <c r="C207" s="642"/>
      <c r="F207"/>
      <c r="G207"/>
      <c r="H207"/>
      <c r="J207"/>
      <c r="K207"/>
      <c r="L207"/>
      <c r="M207"/>
      <c r="N207" s="642"/>
      <c r="O207"/>
    </row>
    <row r="208" spans="1:15" x14ac:dyDescent="0.2">
      <c r="A208"/>
      <c r="B208" s="642"/>
      <c r="C208" s="642"/>
      <c r="F208"/>
      <c r="G208"/>
      <c r="H208"/>
      <c r="I208"/>
      <c r="L208"/>
      <c r="N208" s="642"/>
      <c r="O208"/>
    </row>
    <row r="209" spans="1:15" x14ac:dyDescent="0.2">
      <c r="A209"/>
      <c r="B209" s="642"/>
      <c r="C209" s="642"/>
      <c r="F209"/>
      <c r="G209"/>
      <c r="L209"/>
      <c r="M209"/>
      <c r="N209" s="642"/>
      <c r="O209"/>
    </row>
    <row r="210" spans="1:15" x14ac:dyDescent="0.2">
      <c r="A210"/>
      <c r="B210" s="642"/>
      <c r="C210" s="642"/>
      <c r="F210"/>
      <c r="G210"/>
      <c r="H210"/>
      <c r="I210"/>
      <c r="L210"/>
      <c r="M210"/>
      <c r="N210" s="642"/>
      <c r="O210"/>
    </row>
    <row r="211" spans="1:15" x14ac:dyDescent="0.2">
      <c r="A211"/>
      <c r="B211" s="642"/>
      <c r="C211" s="642"/>
      <c r="F211"/>
      <c r="G211"/>
      <c r="H211"/>
      <c r="I211"/>
      <c r="L211"/>
      <c r="M211"/>
      <c r="N211" s="642"/>
      <c r="O211"/>
    </row>
    <row r="212" spans="1:15" x14ac:dyDescent="0.2">
      <c r="A212"/>
      <c r="B212" s="642"/>
      <c r="C212" s="642"/>
      <c r="F212"/>
      <c r="G212"/>
      <c r="H212"/>
      <c r="I212"/>
      <c r="L212"/>
      <c r="M212"/>
      <c r="N212" s="642"/>
      <c r="O212"/>
    </row>
    <row r="213" spans="1:15" x14ac:dyDescent="0.2">
      <c r="A213"/>
      <c r="B213" s="642"/>
      <c r="C213" s="642"/>
      <c r="F213"/>
      <c r="G213"/>
      <c r="H213"/>
      <c r="I213"/>
      <c r="L213"/>
      <c r="M213"/>
      <c r="N213" s="642"/>
      <c r="O213"/>
    </row>
    <row r="214" spans="1:15" x14ac:dyDescent="0.2">
      <c r="A214"/>
      <c r="B214" s="642"/>
      <c r="C214" s="642"/>
      <c r="F214"/>
      <c r="G214"/>
      <c r="I214"/>
      <c r="L214"/>
      <c r="M214"/>
      <c r="N214" s="642"/>
      <c r="O214"/>
    </row>
    <row r="215" spans="1:15" x14ac:dyDescent="0.2">
      <c r="A215"/>
      <c r="B215" s="642"/>
      <c r="C215" s="642"/>
      <c r="F215"/>
      <c r="G215"/>
      <c r="I215"/>
      <c r="L215"/>
      <c r="M215"/>
      <c r="N215" s="642"/>
      <c r="O215"/>
    </row>
    <row r="216" spans="1:15" x14ac:dyDescent="0.2">
      <c r="A216"/>
      <c r="B216" s="642"/>
      <c r="C216" s="642"/>
      <c r="F216"/>
      <c r="G216"/>
      <c r="H216"/>
      <c r="I216"/>
      <c r="L216"/>
      <c r="M216"/>
      <c r="N216" s="642"/>
      <c r="O216"/>
    </row>
    <row r="217" spans="1:15" x14ac:dyDescent="0.2">
      <c r="A217"/>
      <c r="B217" s="642"/>
      <c r="C217" s="642"/>
      <c r="F217"/>
      <c r="G217"/>
      <c r="H217"/>
      <c r="I217"/>
      <c r="J217"/>
      <c r="K217"/>
      <c r="L217"/>
      <c r="M217"/>
      <c r="N217" s="642"/>
      <c r="O217"/>
    </row>
    <row r="218" spans="1:15" x14ac:dyDescent="0.2">
      <c r="A218"/>
      <c r="B218" s="642"/>
      <c r="C218" s="642"/>
      <c r="F218"/>
      <c r="G218"/>
      <c r="L218"/>
      <c r="M218"/>
      <c r="N218" s="642"/>
      <c r="O218"/>
    </row>
    <row r="219" spans="1:15" x14ac:dyDescent="0.2">
      <c r="A219"/>
      <c r="B219" s="642"/>
      <c r="C219" s="642"/>
      <c r="F219"/>
      <c r="G219"/>
      <c r="H219"/>
      <c r="I219"/>
      <c r="L219"/>
      <c r="M219"/>
      <c r="N219" s="642"/>
      <c r="O219"/>
    </row>
    <row r="220" spans="1:15" x14ac:dyDescent="0.2">
      <c r="A220"/>
      <c r="B220" s="642"/>
      <c r="C220" s="642"/>
      <c r="F220"/>
      <c r="G220"/>
      <c r="H220"/>
      <c r="I220"/>
      <c r="L220"/>
      <c r="M220"/>
      <c r="N220" s="642"/>
      <c r="O220"/>
    </row>
    <row r="221" spans="1:15" x14ac:dyDescent="0.2">
      <c r="A221"/>
      <c r="B221" s="642"/>
      <c r="C221" s="642"/>
      <c r="F221"/>
      <c r="G221"/>
      <c r="I221"/>
      <c r="L221"/>
      <c r="M221"/>
      <c r="N221" s="642"/>
      <c r="O221"/>
    </row>
    <row r="222" spans="1:15" x14ac:dyDescent="0.2">
      <c r="A222"/>
      <c r="B222" s="642"/>
      <c r="C222" s="642"/>
      <c r="F222"/>
      <c r="G222"/>
      <c r="H222"/>
      <c r="I222"/>
      <c r="L222"/>
      <c r="M222"/>
      <c r="N222" s="642"/>
      <c r="O222"/>
    </row>
    <row r="223" spans="1:15" x14ac:dyDescent="0.2">
      <c r="A223"/>
      <c r="B223" s="642"/>
      <c r="C223" s="642"/>
      <c r="F223"/>
      <c r="G223"/>
      <c r="I223"/>
      <c r="L223"/>
      <c r="M223"/>
      <c r="N223" s="642"/>
      <c r="O223"/>
    </row>
    <row r="224" spans="1:15" x14ac:dyDescent="0.2">
      <c r="A224"/>
      <c r="B224" s="642"/>
      <c r="C224" s="642"/>
      <c r="F224"/>
      <c r="G224"/>
      <c r="L224"/>
      <c r="M224"/>
      <c r="N224" s="642"/>
      <c r="O224"/>
    </row>
    <row r="225" spans="1:15" x14ac:dyDescent="0.2">
      <c r="A225"/>
      <c r="B225" s="642"/>
      <c r="C225" s="642"/>
      <c r="F225"/>
      <c r="G225"/>
      <c r="M225"/>
      <c r="N225" s="642"/>
      <c r="O225"/>
    </row>
    <row r="226" spans="1:15" x14ac:dyDescent="0.2">
      <c r="A226"/>
      <c r="B226" s="642"/>
      <c r="C226" s="642"/>
      <c r="F226"/>
      <c r="G226"/>
      <c r="H226"/>
      <c r="I226"/>
      <c r="L226"/>
      <c r="M226"/>
      <c r="N226" s="642"/>
      <c r="O226"/>
    </row>
    <row r="227" spans="1:15" x14ac:dyDescent="0.2">
      <c r="A227"/>
      <c r="B227" s="642"/>
      <c r="C227" s="642"/>
      <c r="F227"/>
      <c r="G227"/>
      <c r="I227"/>
      <c r="L227"/>
      <c r="M227"/>
      <c r="N227" s="642"/>
      <c r="O227"/>
    </row>
    <row r="228" spans="1:15" x14ac:dyDescent="0.2">
      <c r="A228"/>
      <c r="B228" s="642"/>
      <c r="C228" s="642"/>
      <c r="F228"/>
      <c r="G228"/>
      <c r="H228"/>
      <c r="I228"/>
      <c r="L228"/>
      <c r="M228"/>
      <c r="N228" s="642"/>
      <c r="O228"/>
    </row>
    <row r="229" spans="1:15" x14ac:dyDescent="0.2">
      <c r="A229"/>
      <c r="B229" s="642"/>
      <c r="C229" s="642"/>
      <c r="F229"/>
      <c r="G229"/>
      <c r="L229"/>
      <c r="M229"/>
      <c r="N229" s="642"/>
      <c r="O229"/>
    </row>
    <row r="230" spans="1:15" x14ac:dyDescent="0.2">
      <c r="A230"/>
      <c r="B230" s="642"/>
      <c r="C230" s="642"/>
      <c r="F230"/>
      <c r="G230"/>
      <c r="L230"/>
      <c r="M230"/>
      <c r="N230" s="642"/>
      <c r="O230"/>
    </row>
    <row r="231" spans="1:15" x14ac:dyDescent="0.2">
      <c r="A231"/>
      <c r="B231" s="642"/>
      <c r="C231" s="642"/>
      <c r="F231"/>
      <c r="G231"/>
      <c r="I231"/>
      <c r="L231"/>
      <c r="M231"/>
      <c r="N231" s="642"/>
      <c r="O231"/>
    </row>
    <row r="232" spans="1:15" x14ac:dyDescent="0.2">
      <c r="A232"/>
      <c r="B232" s="642"/>
      <c r="C232" s="642"/>
      <c r="F232"/>
      <c r="G232"/>
      <c r="H232"/>
      <c r="I232"/>
      <c r="L232"/>
      <c r="M232"/>
      <c r="N232" s="642"/>
      <c r="O232"/>
    </row>
    <row r="233" spans="1:15" x14ac:dyDescent="0.2">
      <c r="A233"/>
      <c r="B233" s="642"/>
      <c r="C233" s="642"/>
      <c r="F233"/>
      <c r="G233"/>
      <c r="I233"/>
      <c r="L233"/>
      <c r="M233"/>
      <c r="N233" s="642"/>
      <c r="O233"/>
    </row>
    <row r="234" spans="1:15" x14ac:dyDescent="0.2">
      <c r="A234"/>
      <c r="B234" s="642"/>
      <c r="C234" s="642"/>
      <c r="F234"/>
      <c r="G234"/>
      <c r="I234"/>
      <c r="L234"/>
      <c r="M234"/>
      <c r="N234" s="642"/>
      <c r="O234"/>
    </row>
    <row r="235" spans="1:15" x14ac:dyDescent="0.2">
      <c r="A235"/>
      <c r="B235" s="642"/>
      <c r="C235" s="642"/>
      <c r="F235"/>
      <c r="G235"/>
      <c r="I235"/>
      <c r="L235"/>
      <c r="M235"/>
      <c r="N235" s="642"/>
      <c r="O235"/>
    </row>
    <row r="236" spans="1:15" x14ac:dyDescent="0.2">
      <c r="A236"/>
      <c r="B236" s="642"/>
      <c r="C236" s="642"/>
      <c r="F236"/>
      <c r="G236"/>
      <c r="I236"/>
      <c r="L236"/>
      <c r="M236"/>
      <c r="N236" s="642"/>
      <c r="O236"/>
    </row>
    <row r="237" spans="1:15" x14ac:dyDescent="0.2">
      <c r="A237"/>
      <c r="B237" s="642"/>
      <c r="C237" s="642"/>
      <c r="F237"/>
      <c r="G237"/>
      <c r="L237"/>
      <c r="M237"/>
      <c r="N237" s="642"/>
      <c r="O237"/>
    </row>
    <row r="238" spans="1:15" x14ac:dyDescent="0.2">
      <c r="A238"/>
      <c r="B238" s="642"/>
      <c r="C238" s="642"/>
      <c r="F238"/>
      <c r="G238"/>
      <c r="H238"/>
      <c r="I238"/>
      <c r="L238"/>
      <c r="M238"/>
      <c r="N238" s="642"/>
      <c r="O238"/>
    </row>
    <row r="239" spans="1:15" x14ac:dyDescent="0.2">
      <c r="A239"/>
      <c r="B239" s="642"/>
      <c r="C239" s="642"/>
      <c r="F239"/>
      <c r="G239"/>
      <c r="H239"/>
      <c r="I239"/>
      <c r="L239"/>
      <c r="M239"/>
      <c r="N239" s="642"/>
      <c r="O239"/>
    </row>
    <row r="240" spans="1:15" x14ac:dyDescent="0.2">
      <c r="A240"/>
      <c r="B240" s="642"/>
      <c r="C240" s="642"/>
      <c r="F240"/>
      <c r="G240"/>
      <c r="H240"/>
      <c r="I240"/>
      <c r="L240"/>
      <c r="M240"/>
      <c r="N240" s="642"/>
      <c r="O240"/>
    </row>
    <row r="241" spans="1:15" x14ac:dyDescent="0.2">
      <c r="A241"/>
      <c r="B241" s="642"/>
      <c r="C241" s="642"/>
      <c r="F241"/>
      <c r="G241"/>
      <c r="L241"/>
      <c r="M241"/>
      <c r="N241" s="642"/>
      <c r="O241"/>
    </row>
    <row r="242" spans="1:15" x14ac:dyDescent="0.2">
      <c r="A242"/>
      <c r="B242" s="642"/>
      <c r="C242" s="642"/>
      <c r="F242"/>
      <c r="G242"/>
      <c r="H242"/>
      <c r="L242"/>
      <c r="M242"/>
      <c r="N242" s="642"/>
      <c r="O242"/>
    </row>
    <row r="243" spans="1:15" x14ac:dyDescent="0.2">
      <c r="A243"/>
      <c r="B243" s="642"/>
      <c r="C243" s="642"/>
      <c r="F243"/>
      <c r="G243"/>
      <c r="I243"/>
      <c r="L243"/>
      <c r="M243"/>
      <c r="N243" s="642"/>
      <c r="O243"/>
    </row>
    <row r="244" spans="1:15" x14ac:dyDescent="0.2">
      <c r="A244"/>
      <c r="B244" s="642"/>
      <c r="C244" s="642"/>
      <c r="F244"/>
      <c r="G244"/>
      <c r="H244"/>
      <c r="I244"/>
      <c r="L244"/>
      <c r="M244"/>
      <c r="N244" s="642"/>
      <c r="O244"/>
    </row>
    <row r="245" spans="1:15" x14ac:dyDescent="0.2">
      <c r="A245"/>
      <c r="B245" s="642"/>
      <c r="C245" s="642"/>
      <c r="F245"/>
      <c r="G245"/>
      <c r="H245"/>
      <c r="J245"/>
      <c r="K245"/>
      <c r="L245"/>
      <c r="M245"/>
      <c r="N245" s="642"/>
      <c r="O245"/>
    </row>
    <row r="246" spans="1:15" x14ac:dyDescent="0.2">
      <c r="A246"/>
      <c r="B246" s="642"/>
      <c r="C246" s="642"/>
      <c r="F246"/>
      <c r="G246"/>
      <c r="H246"/>
      <c r="J246"/>
      <c r="K246"/>
      <c r="L246"/>
      <c r="M246"/>
      <c r="N246" s="642"/>
      <c r="O246"/>
    </row>
    <row r="247" spans="1:15" x14ac:dyDescent="0.2">
      <c r="A247"/>
      <c r="B247" s="642"/>
      <c r="C247" s="642"/>
      <c r="F247"/>
      <c r="G247"/>
      <c r="H247"/>
      <c r="J247"/>
      <c r="K247"/>
      <c r="L247"/>
      <c r="M247"/>
      <c r="N247" s="642"/>
      <c r="O247"/>
    </row>
    <row r="248" spans="1:15" x14ac:dyDescent="0.2">
      <c r="A248"/>
      <c r="B248" s="642"/>
      <c r="C248" s="642"/>
      <c r="F248"/>
      <c r="G248"/>
      <c r="H248"/>
      <c r="J248"/>
      <c r="K248"/>
      <c r="L248"/>
      <c r="M248"/>
      <c r="N248" s="642"/>
      <c r="O248"/>
    </row>
    <row r="249" spans="1:15" x14ac:dyDescent="0.2">
      <c r="A249"/>
      <c r="B249" s="642"/>
      <c r="C249" s="642"/>
      <c r="F249"/>
      <c r="G249"/>
      <c r="J249"/>
      <c r="K249"/>
      <c r="L249"/>
      <c r="M249"/>
      <c r="N249" s="642"/>
      <c r="O249"/>
    </row>
    <row r="250" spans="1:15" x14ac:dyDescent="0.2">
      <c r="A250"/>
      <c r="B250" s="642"/>
      <c r="C250" s="642"/>
      <c r="F250"/>
      <c r="G250"/>
      <c r="M250"/>
      <c r="N250" s="642"/>
      <c r="O250"/>
    </row>
    <row r="251" spans="1:15" x14ac:dyDescent="0.2">
      <c r="A251"/>
      <c r="B251" s="642"/>
      <c r="C251" s="642"/>
      <c r="F251"/>
      <c r="G251"/>
      <c r="H251"/>
      <c r="I251"/>
      <c r="L251"/>
      <c r="M251"/>
      <c r="N251" s="642"/>
      <c r="O251"/>
    </row>
    <row r="252" spans="1:15" x14ac:dyDescent="0.2">
      <c r="A252"/>
      <c r="B252" s="642"/>
      <c r="C252" s="642"/>
      <c r="F252"/>
      <c r="G252"/>
      <c r="L252"/>
      <c r="M252"/>
      <c r="N252" s="642"/>
      <c r="O252"/>
    </row>
    <row r="253" spans="1:15" x14ac:dyDescent="0.2">
      <c r="A253"/>
      <c r="B253" s="642"/>
      <c r="C253" s="642"/>
      <c r="F253"/>
      <c r="G253"/>
      <c r="L253"/>
      <c r="M253"/>
      <c r="N253" s="642"/>
      <c r="O253"/>
    </row>
    <row r="254" spans="1:15" x14ac:dyDescent="0.2">
      <c r="A254"/>
      <c r="B254" s="642"/>
      <c r="C254" s="642"/>
      <c r="F254"/>
      <c r="G254"/>
      <c r="H254"/>
      <c r="I254"/>
      <c r="L254"/>
      <c r="M254"/>
      <c r="N254" s="642"/>
      <c r="O254"/>
    </row>
    <row r="255" spans="1:15" x14ac:dyDescent="0.2">
      <c r="A255"/>
      <c r="B255" s="642"/>
      <c r="C255" s="642"/>
      <c r="F255"/>
      <c r="G255"/>
      <c r="H255"/>
      <c r="I255"/>
      <c r="L255"/>
      <c r="M255"/>
      <c r="N255" s="642"/>
      <c r="O255"/>
    </row>
    <row r="256" spans="1:15" x14ac:dyDescent="0.2">
      <c r="A256"/>
      <c r="B256" s="642"/>
      <c r="C256" s="642"/>
      <c r="F256"/>
      <c r="G256"/>
      <c r="H256"/>
      <c r="I256"/>
      <c r="L256"/>
      <c r="M256"/>
      <c r="N256" s="642"/>
      <c r="O256"/>
    </row>
    <row r="257" spans="1:15" x14ac:dyDescent="0.2">
      <c r="A257"/>
      <c r="B257" s="642"/>
      <c r="C257" s="642"/>
      <c r="F257"/>
      <c r="G257"/>
      <c r="H257"/>
      <c r="J257"/>
      <c r="K257"/>
      <c r="L257"/>
      <c r="M257"/>
      <c r="N257" s="642"/>
      <c r="O257"/>
    </row>
    <row r="258" spans="1:15" x14ac:dyDescent="0.2">
      <c r="A258"/>
      <c r="B258" s="642"/>
      <c r="C258" s="642"/>
      <c r="F258"/>
      <c r="G258"/>
      <c r="L258"/>
      <c r="M258"/>
      <c r="N258" s="642"/>
      <c r="O258"/>
    </row>
    <row r="259" spans="1:15" x14ac:dyDescent="0.2">
      <c r="A259"/>
      <c r="B259" s="642"/>
      <c r="C259" s="642"/>
      <c r="F259"/>
      <c r="G259"/>
      <c r="I259"/>
      <c r="L259"/>
      <c r="M259"/>
      <c r="N259" s="642"/>
      <c r="O259"/>
    </row>
    <row r="260" spans="1:15" x14ac:dyDescent="0.2">
      <c r="A260"/>
      <c r="B260" s="642"/>
      <c r="C260" s="642"/>
      <c r="F260"/>
      <c r="G260"/>
      <c r="H260"/>
      <c r="J260"/>
      <c r="K260"/>
      <c r="L260"/>
      <c r="M260"/>
      <c r="N260" s="642"/>
      <c r="O260"/>
    </row>
    <row r="261" spans="1:15" x14ac:dyDescent="0.2">
      <c r="A261"/>
      <c r="B261" s="642"/>
      <c r="C261" s="642"/>
      <c r="F261"/>
      <c r="G261"/>
      <c r="H261"/>
      <c r="I261"/>
      <c r="L261"/>
      <c r="N261" s="642"/>
      <c r="O261"/>
    </row>
    <row r="262" spans="1:15" x14ac:dyDescent="0.2">
      <c r="A262"/>
      <c r="B262" s="642"/>
      <c r="C262" s="642"/>
      <c r="F262"/>
      <c r="G262"/>
      <c r="H262"/>
      <c r="J262"/>
      <c r="K262"/>
      <c r="L262"/>
      <c r="M262"/>
      <c r="N262" s="642"/>
      <c r="O262"/>
    </row>
    <row r="263" spans="1:15" x14ac:dyDescent="0.2">
      <c r="A263"/>
      <c r="B263" s="642"/>
      <c r="C263" s="642"/>
      <c r="F263"/>
      <c r="G263"/>
      <c r="L263"/>
      <c r="M263"/>
      <c r="N263" s="642"/>
      <c r="O263"/>
    </row>
    <row r="264" spans="1:15" x14ac:dyDescent="0.2">
      <c r="A264"/>
      <c r="B264" s="642"/>
      <c r="C264" s="642"/>
      <c r="F264"/>
      <c r="G264"/>
      <c r="H264"/>
      <c r="I264"/>
      <c r="L264"/>
      <c r="M264"/>
      <c r="N264" s="642"/>
      <c r="O264"/>
    </row>
    <row r="265" spans="1:15" x14ac:dyDescent="0.2">
      <c r="A265"/>
      <c r="B265" s="642"/>
      <c r="C265" s="642"/>
      <c r="F265"/>
      <c r="G265"/>
      <c r="I265"/>
      <c r="L265"/>
      <c r="M265"/>
      <c r="N265" s="642"/>
      <c r="O265"/>
    </row>
    <row r="266" spans="1:15" x14ac:dyDescent="0.2">
      <c r="A266"/>
      <c r="B266" s="642"/>
      <c r="C266" s="642"/>
      <c r="F266"/>
      <c r="G266"/>
      <c r="H266"/>
      <c r="J266"/>
      <c r="K266"/>
      <c r="L266"/>
      <c r="M266"/>
      <c r="N266" s="642"/>
      <c r="O266"/>
    </row>
    <row r="267" spans="1:15" x14ac:dyDescent="0.2">
      <c r="A267"/>
      <c r="B267" s="642"/>
      <c r="C267" s="642"/>
      <c r="F267"/>
      <c r="G267"/>
      <c r="J267"/>
      <c r="L267"/>
      <c r="M267"/>
      <c r="N267" s="642"/>
      <c r="O267"/>
    </row>
    <row r="268" spans="1:15" x14ac:dyDescent="0.2">
      <c r="A268"/>
      <c r="B268" s="642"/>
      <c r="C268" s="642"/>
      <c r="F268"/>
      <c r="G268"/>
      <c r="I268"/>
      <c r="L268"/>
      <c r="M268"/>
      <c r="N268" s="642"/>
      <c r="O268"/>
    </row>
    <row r="269" spans="1:15" x14ac:dyDescent="0.2">
      <c r="A269"/>
      <c r="B269" s="642"/>
      <c r="C269" s="642"/>
      <c r="F269"/>
      <c r="G269"/>
      <c r="I269"/>
      <c r="L269"/>
      <c r="M269"/>
      <c r="N269" s="642"/>
      <c r="O269"/>
    </row>
    <row r="270" spans="1:15" x14ac:dyDescent="0.2">
      <c r="A270"/>
      <c r="B270" s="642"/>
      <c r="C270" s="642"/>
      <c r="F270"/>
      <c r="G270"/>
      <c r="L270"/>
      <c r="M270"/>
      <c r="N270" s="642"/>
      <c r="O270"/>
    </row>
    <row r="271" spans="1:15" x14ac:dyDescent="0.2">
      <c r="A271"/>
      <c r="B271" s="642"/>
      <c r="C271" s="642"/>
      <c r="F271"/>
      <c r="G271"/>
      <c r="H271"/>
      <c r="I271"/>
      <c r="L271"/>
      <c r="M271"/>
      <c r="N271" s="642"/>
      <c r="O271"/>
    </row>
    <row r="272" spans="1:15" x14ac:dyDescent="0.2">
      <c r="A272"/>
      <c r="B272" s="642"/>
      <c r="C272" s="642"/>
      <c r="F272"/>
      <c r="G272"/>
      <c r="I272"/>
      <c r="L272"/>
      <c r="M272"/>
      <c r="N272" s="642"/>
      <c r="O272"/>
    </row>
    <row r="273" spans="1:15" x14ac:dyDescent="0.2">
      <c r="A273"/>
      <c r="B273" s="642"/>
      <c r="C273" s="642"/>
      <c r="F273"/>
      <c r="G273"/>
      <c r="L273"/>
      <c r="M273"/>
      <c r="N273" s="642"/>
      <c r="O273"/>
    </row>
    <row r="274" spans="1:15" x14ac:dyDescent="0.2">
      <c r="A274"/>
      <c r="B274" s="642"/>
      <c r="C274" s="642"/>
      <c r="F274"/>
      <c r="G274"/>
      <c r="H274"/>
      <c r="I274"/>
      <c r="L274"/>
      <c r="M274"/>
      <c r="N274" s="642"/>
      <c r="O274"/>
    </row>
    <row r="275" spans="1:15" x14ac:dyDescent="0.2">
      <c r="A275"/>
      <c r="B275" s="642"/>
      <c r="C275" s="642"/>
      <c r="F275"/>
      <c r="G275"/>
      <c r="H275"/>
      <c r="I275"/>
      <c r="L275"/>
      <c r="M275"/>
      <c r="N275" s="642"/>
      <c r="O275"/>
    </row>
    <row r="276" spans="1:15" x14ac:dyDescent="0.2">
      <c r="A276"/>
      <c r="B276" s="642"/>
      <c r="C276" s="642"/>
      <c r="F276"/>
      <c r="G276"/>
      <c r="I276"/>
      <c r="L276"/>
      <c r="M276"/>
      <c r="N276" s="642"/>
      <c r="O276"/>
    </row>
    <row r="277" spans="1:15" x14ac:dyDescent="0.2">
      <c r="A277"/>
      <c r="B277" s="642"/>
      <c r="C277" s="642"/>
      <c r="F277"/>
      <c r="G277"/>
      <c r="I277"/>
      <c r="L277"/>
      <c r="M277"/>
      <c r="N277" s="642"/>
      <c r="O277"/>
    </row>
    <row r="278" spans="1:15" x14ac:dyDescent="0.2">
      <c r="A278"/>
      <c r="B278" s="642"/>
      <c r="C278" s="642"/>
      <c r="F278"/>
      <c r="G278"/>
      <c r="H278"/>
      <c r="I278"/>
      <c r="L278"/>
      <c r="M278"/>
      <c r="N278" s="642"/>
      <c r="O278"/>
    </row>
    <row r="279" spans="1:15" x14ac:dyDescent="0.2">
      <c r="A279"/>
      <c r="B279" s="642"/>
      <c r="C279" s="642"/>
      <c r="F279"/>
      <c r="G279"/>
      <c r="H279"/>
      <c r="I279"/>
      <c r="L279"/>
      <c r="M279"/>
      <c r="N279" s="642"/>
      <c r="O279"/>
    </row>
    <row r="280" spans="1:15" x14ac:dyDescent="0.2">
      <c r="A280"/>
      <c r="B280" s="642"/>
      <c r="C280" s="642"/>
      <c r="F280"/>
      <c r="G280"/>
      <c r="L280"/>
      <c r="M280"/>
      <c r="N280" s="642"/>
      <c r="O280"/>
    </row>
    <row r="281" spans="1:15" x14ac:dyDescent="0.2">
      <c r="A281"/>
      <c r="B281" s="642"/>
      <c r="C281" s="642"/>
      <c r="F281"/>
      <c r="G281"/>
      <c r="H281"/>
      <c r="I281"/>
      <c r="L281"/>
      <c r="M281"/>
      <c r="N281" s="642"/>
      <c r="O281"/>
    </row>
    <row r="282" spans="1:15" x14ac:dyDescent="0.2">
      <c r="A282"/>
      <c r="B282" s="642"/>
      <c r="C282" s="642"/>
      <c r="F282"/>
      <c r="G282"/>
      <c r="H282"/>
      <c r="I282"/>
      <c r="L282"/>
      <c r="M282"/>
      <c r="N282" s="642"/>
      <c r="O282"/>
    </row>
    <row r="283" spans="1:15" x14ac:dyDescent="0.2">
      <c r="A283"/>
      <c r="B283" s="642"/>
      <c r="C283" s="642"/>
      <c r="F283"/>
      <c r="G283"/>
      <c r="H283"/>
      <c r="I283"/>
      <c r="L283"/>
      <c r="M283"/>
      <c r="N283" s="642"/>
      <c r="O283"/>
    </row>
    <row r="284" spans="1:15" x14ac:dyDescent="0.2">
      <c r="A284"/>
      <c r="B284" s="642"/>
      <c r="C284" s="642"/>
      <c r="F284"/>
      <c r="G284"/>
      <c r="N284" s="642"/>
      <c r="O284"/>
    </row>
    <row r="285" spans="1:15" x14ac:dyDescent="0.2">
      <c r="A285"/>
      <c r="B285" s="642"/>
      <c r="C285" s="642"/>
      <c r="F285"/>
      <c r="G285"/>
      <c r="I285"/>
      <c r="L285"/>
      <c r="M285"/>
      <c r="N285" s="642"/>
      <c r="O285"/>
    </row>
    <row r="286" spans="1:15" x14ac:dyDescent="0.2">
      <c r="A286"/>
      <c r="B286" s="642"/>
      <c r="C286" s="642"/>
      <c r="F286"/>
      <c r="G286"/>
      <c r="H286"/>
      <c r="I286"/>
      <c r="L286"/>
      <c r="M286"/>
      <c r="N286" s="642"/>
      <c r="O286"/>
    </row>
    <row r="287" spans="1:15" x14ac:dyDescent="0.2">
      <c r="A287"/>
      <c r="B287" s="642"/>
      <c r="C287" s="642"/>
      <c r="F287"/>
      <c r="G287"/>
      <c r="H287"/>
      <c r="I287"/>
      <c r="L287"/>
      <c r="M287"/>
      <c r="N287" s="642"/>
      <c r="O287"/>
    </row>
    <row r="288" spans="1:15" x14ac:dyDescent="0.2">
      <c r="A288"/>
      <c r="B288" s="642"/>
      <c r="C288" s="642"/>
      <c r="F288"/>
      <c r="G288"/>
      <c r="I288"/>
      <c r="L288"/>
      <c r="M288"/>
      <c r="N288" s="642"/>
      <c r="O288"/>
    </row>
    <row r="289" spans="1:15" x14ac:dyDescent="0.2">
      <c r="A289"/>
      <c r="B289" s="642"/>
      <c r="C289" s="642"/>
      <c r="F289"/>
      <c r="G289"/>
      <c r="H289"/>
      <c r="I289"/>
      <c r="L289"/>
      <c r="M289"/>
      <c r="N289" s="642"/>
      <c r="O289"/>
    </row>
    <row r="290" spans="1:15" x14ac:dyDescent="0.2">
      <c r="A290"/>
      <c r="B290" s="642"/>
      <c r="C290" s="642"/>
      <c r="F290"/>
      <c r="G290"/>
      <c r="I290"/>
      <c r="L290"/>
      <c r="M290"/>
      <c r="N290" s="642"/>
      <c r="O290"/>
    </row>
    <row r="291" spans="1:15" x14ac:dyDescent="0.2">
      <c r="A291"/>
      <c r="B291" s="642"/>
      <c r="C291" s="642"/>
      <c r="F291"/>
      <c r="G291"/>
      <c r="H291"/>
      <c r="I291"/>
      <c r="L291"/>
      <c r="M291"/>
      <c r="N291" s="642"/>
      <c r="O291"/>
    </row>
    <row r="292" spans="1:15" x14ac:dyDescent="0.2">
      <c r="A292"/>
      <c r="B292" s="642"/>
      <c r="C292" s="642"/>
      <c r="F292"/>
      <c r="G292"/>
      <c r="I292"/>
      <c r="L292"/>
      <c r="M292"/>
      <c r="N292" s="642"/>
      <c r="O292"/>
    </row>
    <row r="293" spans="1:15" x14ac:dyDescent="0.2">
      <c r="A293"/>
      <c r="B293" s="642"/>
      <c r="C293" s="642"/>
      <c r="F293"/>
      <c r="G293"/>
      <c r="I293"/>
      <c r="L293"/>
      <c r="M293"/>
      <c r="N293" s="642"/>
      <c r="O293"/>
    </row>
    <row r="294" spans="1:15" x14ac:dyDescent="0.2">
      <c r="A294"/>
      <c r="B294" s="642"/>
      <c r="C294" s="642"/>
      <c r="F294"/>
      <c r="G294"/>
      <c r="H294"/>
      <c r="I294"/>
      <c r="L294"/>
      <c r="M294"/>
      <c r="N294" s="642"/>
      <c r="O294"/>
    </row>
    <row r="295" spans="1:15" x14ac:dyDescent="0.2">
      <c r="A295"/>
      <c r="B295" s="642"/>
      <c r="C295" s="642"/>
      <c r="F295"/>
      <c r="G295"/>
      <c r="H295"/>
      <c r="I295"/>
      <c r="L295"/>
      <c r="M295"/>
      <c r="N295" s="642"/>
      <c r="O295"/>
    </row>
    <row r="296" spans="1:15" x14ac:dyDescent="0.2">
      <c r="A296"/>
      <c r="B296" s="642"/>
      <c r="C296" s="642"/>
      <c r="F296"/>
      <c r="G296"/>
      <c r="H296"/>
      <c r="I296"/>
      <c r="L296"/>
      <c r="M296"/>
      <c r="N296" s="642"/>
      <c r="O296"/>
    </row>
    <row r="297" spans="1:15" x14ac:dyDescent="0.2">
      <c r="A297"/>
      <c r="B297" s="642"/>
      <c r="C297" s="642"/>
      <c r="F297"/>
      <c r="G297"/>
      <c r="H297"/>
      <c r="I297"/>
      <c r="L297"/>
      <c r="M297"/>
      <c r="N297" s="642"/>
      <c r="O297"/>
    </row>
    <row r="298" spans="1:15" x14ac:dyDescent="0.2">
      <c r="A298"/>
      <c r="B298" s="642"/>
      <c r="C298" s="642"/>
      <c r="F298"/>
      <c r="G298"/>
      <c r="H298"/>
      <c r="I298"/>
      <c r="L298"/>
      <c r="M298"/>
      <c r="N298" s="642"/>
      <c r="O298"/>
    </row>
    <row r="299" spans="1:15" x14ac:dyDescent="0.2">
      <c r="A299"/>
      <c r="B299" s="642"/>
      <c r="C299" s="642"/>
      <c r="F299"/>
      <c r="G299"/>
      <c r="I299"/>
      <c r="L299"/>
      <c r="M299"/>
      <c r="N299" s="642"/>
      <c r="O299"/>
    </row>
    <row r="300" spans="1:15" x14ac:dyDescent="0.2">
      <c r="A300"/>
      <c r="B300" s="642"/>
      <c r="C300" s="642"/>
      <c r="F300"/>
      <c r="G300"/>
      <c r="L300"/>
      <c r="M300"/>
      <c r="N300" s="642"/>
      <c r="O300"/>
    </row>
    <row r="301" spans="1:15" x14ac:dyDescent="0.2">
      <c r="A301"/>
      <c r="B301" s="642"/>
      <c r="C301" s="642"/>
      <c r="F301"/>
      <c r="G301"/>
      <c r="H301"/>
      <c r="I301"/>
      <c r="L301"/>
      <c r="M301"/>
      <c r="N301" s="642"/>
      <c r="O301"/>
    </row>
    <row r="302" spans="1:15" x14ac:dyDescent="0.2">
      <c r="A302"/>
      <c r="B302" s="642"/>
      <c r="C302" s="642"/>
      <c r="F302"/>
      <c r="G302"/>
      <c r="H302"/>
      <c r="I302"/>
      <c r="L302"/>
      <c r="M302"/>
      <c r="N302" s="642"/>
      <c r="O302"/>
    </row>
    <row r="303" spans="1:15" x14ac:dyDescent="0.2">
      <c r="A303"/>
      <c r="B303" s="642"/>
      <c r="C303" s="642"/>
      <c r="F303"/>
      <c r="G303"/>
      <c r="H303"/>
      <c r="I303"/>
      <c r="L303"/>
      <c r="M303"/>
      <c r="N303" s="642"/>
      <c r="O303"/>
    </row>
    <row r="304" spans="1:15" x14ac:dyDescent="0.2">
      <c r="A304"/>
      <c r="B304" s="642"/>
      <c r="C304" s="642"/>
      <c r="F304"/>
      <c r="G304"/>
      <c r="H304"/>
      <c r="I304"/>
      <c r="L304"/>
      <c r="M304"/>
      <c r="N304" s="642"/>
      <c r="O304"/>
    </row>
    <row r="305" spans="1:15" x14ac:dyDescent="0.2">
      <c r="A305"/>
      <c r="B305" s="642"/>
      <c r="C305" s="642"/>
      <c r="F305"/>
      <c r="G305"/>
      <c r="H305"/>
      <c r="I305"/>
      <c r="L305"/>
      <c r="M305"/>
      <c r="N305" s="642"/>
      <c r="O305"/>
    </row>
    <row r="306" spans="1:15" x14ac:dyDescent="0.2">
      <c r="A306"/>
      <c r="B306" s="642"/>
      <c r="C306" s="642"/>
      <c r="F306"/>
      <c r="G306"/>
      <c r="H306"/>
      <c r="I306"/>
      <c r="L306"/>
      <c r="N306" s="642"/>
      <c r="O306"/>
    </row>
    <row r="307" spans="1:15" x14ac:dyDescent="0.2">
      <c r="A307"/>
      <c r="B307" s="642"/>
      <c r="C307" s="642"/>
      <c r="F307"/>
      <c r="G307"/>
      <c r="H307"/>
      <c r="I307"/>
      <c r="L307"/>
      <c r="M307"/>
      <c r="N307" s="642"/>
      <c r="O307"/>
    </row>
    <row r="308" spans="1:15" x14ac:dyDescent="0.2">
      <c r="A308"/>
      <c r="B308" s="642"/>
      <c r="C308" s="642"/>
      <c r="F308"/>
      <c r="G308"/>
      <c r="H308"/>
      <c r="I308"/>
      <c r="L308"/>
      <c r="M308"/>
      <c r="N308" s="642"/>
      <c r="O308"/>
    </row>
    <row r="309" spans="1:15" x14ac:dyDescent="0.2">
      <c r="A309"/>
      <c r="B309" s="642"/>
      <c r="C309" s="642"/>
      <c r="F309"/>
      <c r="G309"/>
      <c r="H309"/>
      <c r="I309"/>
      <c r="L309"/>
      <c r="M309"/>
      <c r="N309" s="642"/>
      <c r="O309"/>
    </row>
    <row r="310" spans="1:15" x14ac:dyDescent="0.2">
      <c r="A310"/>
      <c r="B310" s="642"/>
      <c r="C310" s="642"/>
      <c r="F310"/>
      <c r="G310"/>
      <c r="H310"/>
      <c r="I310"/>
      <c r="L310"/>
      <c r="M310"/>
      <c r="N310" s="642"/>
      <c r="O310"/>
    </row>
    <row r="311" spans="1:15" x14ac:dyDescent="0.2">
      <c r="A311"/>
      <c r="B311" s="642"/>
      <c r="C311" s="642"/>
      <c r="F311"/>
      <c r="G311"/>
      <c r="H311"/>
      <c r="I311"/>
      <c r="L311"/>
      <c r="M311"/>
      <c r="N311" s="642"/>
      <c r="O311"/>
    </row>
    <row r="312" spans="1:15" x14ac:dyDescent="0.2">
      <c r="A312"/>
      <c r="B312" s="642"/>
      <c r="C312" s="642"/>
      <c r="F312"/>
      <c r="G312"/>
      <c r="H312"/>
      <c r="I312"/>
      <c r="L312"/>
      <c r="M312"/>
      <c r="N312" s="642"/>
      <c r="O312"/>
    </row>
    <row r="313" spans="1:15" x14ac:dyDescent="0.2">
      <c r="A313"/>
      <c r="B313" s="642"/>
      <c r="C313" s="642"/>
      <c r="F313"/>
      <c r="G313"/>
      <c r="H313"/>
      <c r="I313"/>
      <c r="L313"/>
      <c r="M313"/>
      <c r="N313" s="642"/>
      <c r="O313"/>
    </row>
    <row r="314" spans="1:15" x14ac:dyDescent="0.2">
      <c r="A314"/>
      <c r="B314" s="642"/>
      <c r="C314" s="642"/>
      <c r="F314"/>
      <c r="G314"/>
      <c r="H314"/>
      <c r="I314"/>
      <c r="L314"/>
      <c r="M314"/>
      <c r="N314" s="642"/>
      <c r="O314"/>
    </row>
    <row r="315" spans="1:15" x14ac:dyDescent="0.2">
      <c r="A315"/>
      <c r="B315" s="642"/>
      <c r="C315" s="642"/>
      <c r="F315"/>
      <c r="G315"/>
      <c r="H315"/>
      <c r="I315"/>
      <c r="L315"/>
      <c r="M315"/>
      <c r="N315" s="642"/>
      <c r="O315"/>
    </row>
    <row r="316" spans="1:15" x14ac:dyDescent="0.2">
      <c r="A316"/>
      <c r="B316" s="642"/>
      <c r="C316" s="642"/>
      <c r="F316"/>
      <c r="G316"/>
      <c r="H316"/>
      <c r="I316"/>
      <c r="L316"/>
      <c r="M316"/>
      <c r="N316" s="642"/>
      <c r="O316"/>
    </row>
    <row r="317" spans="1:15" x14ac:dyDescent="0.2">
      <c r="A317"/>
      <c r="B317" s="642"/>
      <c r="C317" s="642"/>
      <c r="F317"/>
      <c r="G317"/>
      <c r="H317"/>
      <c r="I317"/>
      <c r="L317"/>
      <c r="M317"/>
      <c r="N317" s="642"/>
      <c r="O317"/>
    </row>
    <row r="318" spans="1:15" x14ac:dyDescent="0.2">
      <c r="A318"/>
      <c r="B318" s="642"/>
      <c r="C318" s="642"/>
      <c r="F318"/>
      <c r="G318"/>
      <c r="H318"/>
      <c r="I318"/>
      <c r="L318"/>
      <c r="M318"/>
      <c r="N318" s="642"/>
      <c r="O318"/>
    </row>
    <row r="319" spans="1:15" x14ac:dyDescent="0.2">
      <c r="A319"/>
      <c r="B319" s="642"/>
      <c r="C319" s="642"/>
      <c r="F319"/>
      <c r="G319"/>
      <c r="H319"/>
      <c r="I319"/>
      <c r="L319"/>
      <c r="N319" s="642"/>
      <c r="O319"/>
    </row>
    <row r="320" spans="1:15" x14ac:dyDescent="0.2">
      <c r="A320"/>
      <c r="B320" s="642"/>
      <c r="C320" s="642"/>
      <c r="F320"/>
      <c r="G320"/>
      <c r="H320"/>
      <c r="I320"/>
      <c r="L320"/>
      <c r="M320"/>
      <c r="N320" s="642"/>
      <c r="O320"/>
    </row>
    <row r="321" spans="1:15" x14ac:dyDescent="0.2">
      <c r="A321"/>
      <c r="B321" s="642"/>
      <c r="C321" s="642"/>
      <c r="F321"/>
      <c r="G321"/>
      <c r="H321"/>
      <c r="I321"/>
      <c r="L321"/>
      <c r="N321" s="642"/>
      <c r="O321"/>
    </row>
    <row r="322" spans="1:15" x14ac:dyDescent="0.2">
      <c r="A322"/>
      <c r="B322" s="642"/>
      <c r="C322" s="642"/>
      <c r="F322"/>
      <c r="G322"/>
      <c r="H322"/>
      <c r="I322"/>
      <c r="L322"/>
      <c r="M322"/>
      <c r="N322" s="642"/>
      <c r="O322"/>
    </row>
    <row r="323" spans="1:15" x14ac:dyDescent="0.2">
      <c r="A323"/>
      <c r="B323" s="642"/>
      <c r="C323" s="642"/>
      <c r="F323"/>
      <c r="G323"/>
      <c r="L323"/>
      <c r="M323"/>
      <c r="N323" s="642"/>
      <c r="O323"/>
    </row>
    <row r="324" spans="1:15" x14ac:dyDescent="0.2">
      <c r="A324"/>
      <c r="B324" s="642"/>
      <c r="C324" s="642"/>
      <c r="F324"/>
      <c r="G324"/>
      <c r="H324"/>
      <c r="I324"/>
      <c r="L324"/>
      <c r="M324"/>
      <c r="N324" s="642"/>
      <c r="O324"/>
    </row>
    <row r="325" spans="1:15" x14ac:dyDescent="0.2">
      <c r="A325"/>
      <c r="B325" s="642"/>
      <c r="C325" s="642"/>
      <c r="F325"/>
      <c r="G325"/>
      <c r="H325"/>
      <c r="I325"/>
      <c r="L325"/>
      <c r="M325"/>
      <c r="N325" s="642"/>
      <c r="O325"/>
    </row>
    <row r="326" spans="1:15" x14ac:dyDescent="0.2">
      <c r="A326"/>
      <c r="B326" s="642"/>
      <c r="C326" s="642"/>
      <c r="F326"/>
      <c r="G326"/>
      <c r="H326"/>
      <c r="I326"/>
      <c r="L326"/>
      <c r="M326"/>
      <c r="N326" s="642"/>
      <c r="O326"/>
    </row>
    <row r="327" spans="1:15" x14ac:dyDescent="0.2">
      <c r="A327"/>
      <c r="B327" s="642"/>
      <c r="C327" s="642"/>
      <c r="F327"/>
      <c r="G327"/>
      <c r="H327"/>
      <c r="I327"/>
      <c r="L327"/>
      <c r="M327"/>
      <c r="N327" s="642"/>
      <c r="O327"/>
    </row>
    <row r="328" spans="1:15" x14ac:dyDescent="0.2">
      <c r="A328"/>
      <c r="B328" s="642"/>
      <c r="C328" s="642"/>
      <c r="F328"/>
      <c r="G328"/>
      <c r="H328"/>
      <c r="I328"/>
      <c r="L328"/>
      <c r="M328"/>
      <c r="N328" s="642"/>
      <c r="O328"/>
    </row>
    <row r="329" spans="1:15" x14ac:dyDescent="0.2">
      <c r="A329"/>
      <c r="B329" s="642"/>
      <c r="C329" s="642"/>
      <c r="F329"/>
      <c r="G329"/>
      <c r="H329"/>
      <c r="I329"/>
      <c r="L329"/>
      <c r="M329"/>
      <c r="N329" s="642"/>
      <c r="O329"/>
    </row>
    <row r="330" spans="1:15" x14ac:dyDescent="0.2">
      <c r="A330"/>
      <c r="B330" s="642"/>
      <c r="C330" s="642"/>
      <c r="F330"/>
      <c r="G330"/>
      <c r="H330"/>
      <c r="I330"/>
      <c r="L330"/>
      <c r="M330"/>
      <c r="N330" s="642"/>
      <c r="O330"/>
    </row>
    <row r="331" spans="1:15" x14ac:dyDescent="0.2">
      <c r="A331"/>
      <c r="B331" s="642"/>
      <c r="C331" s="642"/>
      <c r="F331"/>
      <c r="G331"/>
      <c r="H331"/>
      <c r="I331"/>
      <c r="L331"/>
      <c r="M331"/>
      <c r="N331" s="642"/>
      <c r="O331"/>
    </row>
    <row r="332" spans="1:15" x14ac:dyDescent="0.2">
      <c r="A332"/>
      <c r="B332" s="642"/>
      <c r="C332" s="642"/>
      <c r="F332"/>
      <c r="G332"/>
      <c r="H332"/>
      <c r="I332"/>
      <c r="L332"/>
      <c r="M332"/>
      <c r="N332" s="642"/>
      <c r="O332"/>
    </row>
    <row r="333" spans="1:15" x14ac:dyDescent="0.2">
      <c r="A333"/>
      <c r="B333" s="642"/>
      <c r="C333" s="642"/>
      <c r="F333"/>
      <c r="G333"/>
      <c r="H333"/>
      <c r="I333"/>
      <c r="L333"/>
      <c r="M333"/>
      <c r="N333" s="642"/>
      <c r="O333"/>
    </row>
    <row r="334" spans="1:15" x14ac:dyDescent="0.2">
      <c r="A334"/>
      <c r="B334" s="642"/>
      <c r="C334" s="642"/>
      <c r="F334"/>
      <c r="G334"/>
      <c r="H334"/>
      <c r="I334"/>
      <c r="L334"/>
      <c r="N334" s="642"/>
      <c r="O334"/>
    </row>
    <row r="335" spans="1:15" x14ac:dyDescent="0.2">
      <c r="A335"/>
      <c r="B335" s="642"/>
      <c r="C335" s="642"/>
      <c r="F335"/>
      <c r="G335"/>
      <c r="H335"/>
      <c r="I335"/>
      <c r="L335"/>
      <c r="M335"/>
      <c r="N335" s="642"/>
      <c r="O335"/>
    </row>
    <row r="336" spans="1:15" x14ac:dyDescent="0.2">
      <c r="A336"/>
      <c r="B336" s="642"/>
      <c r="C336" s="642"/>
      <c r="F336"/>
      <c r="G336"/>
      <c r="H336"/>
      <c r="I336"/>
      <c r="L336"/>
      <c r="M336"/>
      <c r="N336" s="642"/>
      <c r="O336"/>
    </row>
    <row r="337" spans="1:15" x14ac:dyDescent="0.2">
      <c r="A337"/>
      <c r="B337" s="642"/>
      <c r="C337" s="642"/>
      <c r="F337"/>
      <c r="G337"/>
      <c r="M337"/>
      <c r="N337" s="642"/>
      <c r="O337"/>
    </row>
    <row r="338" spans="1:15" x14ac:dyDescent="0.2">
      <c r="A338"/>
      <c r="B338" s="642"/>
      <c r="C338" s="642"/>
      <c r="F338"/>
      <c r="G338"/>
      <c r="H338"/>
      <c r="I338"/>
      <c r="L338"/>
      <c r="M338"/>
      <c r="N338" s="642"/>
      <c r="O338"/>
    </row>
    <row r="339" spans="1:15" x14ac:dyDescent="0.2">
      <c r="A339"/>
      <c r="B339" s="642"/>
      <c r="C339" s="642"/>
      <c r="F339"/>
      <c r="G339"/>
      <c r="H339"/>
      <c r="I339"/>
      <c r="L339"/>
      <c r="M339"/>
      <c r="N339" s="642"/>
      <c r="O339"/>
    </row>
    <row r="340" spans="1:15" x14ac:dyDescent="0.2">
      <c r="A340"/>
      <c r="B340" s="642"/>
      <c r="C340" s="642"/>
      <c r="F340"/>
      <c r="G340"/>
      <c r="I340"/>
      <c r="L340"/>
      <c r="M340"/>
      <c r="N340" s="642"/>
      <c r="O340"/>
    </row>
    <row r="341" spans="1:15" x14ac:dyDescent="0.2">
      <c r="A341"/>
      <c r="B341" s="642"/>
      <c r="C341" s="642"/>
      <c r="F341"/>
      <c r="G341"/>
      <c r="I341"/>
      <c r="L341"/>
      <c r="M341"/>
      <c r="N341" s="642"/>
      <c r="O341"/>
    </row>
    <row r="342" spans="1:15" x14ac:dyDescent="0.2">
      <c r="A342"/>
      <c r="B342" s="642"/>
      <c r="C342" s="642"/>
      <c r="F342"/>
      <c r="G342"/>
      <c r="H342"/>
      <c r="I342"/>
      <c r="L342"/>
      <c r="M342"/>
      <c r="N342" s="642"/>
      <c r="O342"/>
    </row>
    <row r="343" spans="1:15" x14ac:dyDescent="0.2">
      <c r="A343"/>
      <c r="B343" s="642"/>
      <c r="C343" s="642"/>
      <c r="F343"/>
      <c r="G343"/>
      <c r="H343"/>
      <c r="I343"/>
      <c r="L343"/>
      <c r="M343"/>
      <c r="N343" s="642"/>
      <c r="O343"/>
    </row>
    <row r="344" spans="1:15" x14ac:dyDescent="0.2">
      <c r="A344"/>
      <c r="B344" s="642"/>
      <c r="C344" s="642"/>
      <c r="F344"/>
      <c r="G344"/>
      <c r="H344"/>
      <c r="I344"/>
      <c r="L344"/>
      <c r="M344"/>
      <c r="N344" s="642"/>
      <c r="O344"/>
    </row>
    <row r="345" spans="1:15" x14ac:dyDescent="0.2">
      <c r="A345"/>
      <c r="B345" s="642"/>
      <c r="C345" s="642"/>
      <c r="F345"/>
      <c r="G345"/>
      <c r="H345"/>
      <c r="I345"/>
      <c r="L345"/>
      <c r="N345" s="642"/>
      <c r="O345"/>
    </row>
    <row r="346" spans="1:15" x14ac:dyDescent="0.2">
      <c r="A346"/>
      <c r="B346" s="642"/>
      <c r="C346" s="642"/>
      <c r="F346"/>
      <c r="G346"/>
      <c r="H346"/>
      <c r="I346"/>
      <c r="L346"/>
      <c r="M346"/>
      <c r="N346" s="642"/>
      <c r="O346"/>
    </row>
    <row r="347" spans="1:15" x14ac:dyDescent="0.2">
      <c r="A347"/>
      <c r="B347" s="642"/>
      <c r="C347" s="642"/>
      <c r="F347"/>
      <c r="G347"/>
      <c r="J347"/>
      <c r="K347"/>
      <c r="L347"/>
      <c r="M347"/>
      <c r="N347" s="642"/>
      <c r="O347"/>
    </row>
    <row r="348" spans="1:15" x14ac:dyDescent="0.2">
      <c r="A348"/>
      <c r="B348" s="642"/>
      <c r="C348" s="642"/>
      <c r="F348"/>
      <c r="G348"/>
      <c r="H348"/>
      <c r="J348"/>
      <c r="K348"/>
      <c r="L348"/>
      <c r="M348"/>
      <c r="N348" s="642"/>
      <c r="O348"/>
    </row>
    <row r="349" spans="1:15" x14ac:dyDescent="0.2">
      <c r="A349"/>
      <c r="B349" s="642"/>
      <c r="C349" s="642"/>
      <c r="F349"/>
      <c r="G349"/>
      <c r="M349"/>
      <c r="N349" s="642"/>
      <c r="O349"/>
    </row>
    <row r="350" spans="1:15" x14ac:dyDescent="0.2">
      <c r="A350"/>
      <c r="B350" s="642"/>
      <c r="C350" s="642"/>
      <c r="F350"/>
      <c r="G350"/>
      <c r="H350"/>
      <c r="I350"/>
      <c r="L350"/>
      <c r="M350"/>
      <c r="N350" s="642"/>
      <c r="O350"/>
    </row>
    <row r="351" spans="1:15" x14ac:dyDescent="0.2">
      <c r="A351"/>
      <c r="B351" s="642"/>
      <c r="C351" s="642"/>
      <c r="F351"/>
      <c r="G351"/>
      <c r="I351"/>
      <c r="L351"/>
      <c r="M351"/>
      <c r="N351" s="642"/>
      <c r="O351"/>
    </row>
    <row r="352" spans="1:15" x14ac:dyDescent="0.2">
      <c r="A352"/>
      <c r="B352" s="642"/>
      <c r="C352" s="642"/>
      <c r="F352"/>
      <c r="G352"/>
      <c r="H352"/>
      <c r="I352"/>
      <c r="L352"/>
      <c r="M352"/>
      <c r="N352" s="642"/>
      <c r="O352"/>
    </row>
    <row r="353" spans="1:15" x14ac:dyDescent="0.2">
      <c r="A353"/>
      <c r="B353" s="642"/>
      <c r="C353" s="642"/>
      <c r="F353"/>
      <c r="G353"/>
      <c r="H353"/>
      <c r="J353"/>
      <c r="K353"/>
      <c r="L353"/>
      <c r="M353"/>
      <c r="N353" s="642"/>
      <c r="O353"/>
    </row>
    <row r="354" spans="1:15" x14ac:dyDescent="0.2">
      <c r="A354"/>
      <c r="B354" s="642"/>
      <c r="C354" s="642"/>
      <c r="F354"/>
      <c r="G354"/>
      <c r="M354"/>
      <c r="N354" s="642"/>
      <c r="O354"/>
    </row>
    <row r="355" spans="1:15" x14ac:dyDescent="0.2">
      <c r="A355"/>
      <c r="B355" s="642"/>
      <c r="C355" s="642"/>
      <c r="F355"/>
      <c r="G355"/>
      <c r="L355"/>
      <c r="M355"/>
      <c r="N355" s="642"/>
      <c r="O355"/>
    </row>
    <row r="356" spans="1:15" x14ac:dyDescent="0.2">
      <c r="A356"/>
      <c r="B356" s="642"/>
      <c r="C356" s="642"/>
      <c r="F356"/>
      <c r="G356"/>
      <c r="H356"/>
      <c r="I356"/>
      <c r="J356"/>
      <c r="K356"/>
      <c r="L356"/>
      <c r="M356"/>
      <c r="N356" s="642"/>
      <c r="O356"/>
    </row>
    <row r="357" spans="1:15" x14ac:dyDescent="0.2">
      <c r="A357"/>
      <c r="B357" s="642"/>
      <c r="C357" s="642"/>
      <c r="F357"/>
      <c r="G357"/>
      <c r="H357"/>
      <c r="I357"/>
      <c r="L357"/>
      <c r="M357"/>
      <c r="N357" s="642"/>
      <c r="O357"/>
    </row>
    <row r="358" spans="1:15" x14ac:dyDescent="0.2">
      <c r="A358"/>
      <c r="B358" s="642"/>
      <c r="C358" s="642"/>
      <c r="F358"/>
      <c r="G358"/>
      <c r="H358"/>
      <c r="I358"/>
      <c r="L358"/>
      <c r="M358"/>
      <c r="N358" s="642"/>
      <c r="O358"/>
    </row>
    <row r="359" spans="1:15" x14ac:dyDescent="0.2">
      <c r="A359"/>
      <c r="B359" s="642"/>
      <c r="C359" s="642"/>
      <c r="F359"/>
      <c r="G359"/>
      <c r="H359"/>
      <c r="I359"/>
      <c r="L359"/>
      <c r="M359"/>
      <c r="N359" s="642"/>
      <c r="O359"/>
    </row>
    <row r="360" spans="1:15" x14ac:dyDescent="0.2">
      <c r="A360"/>
      <c r="B360" s="642"/>
      <c r="C360" s="642"/>
      <c r="F360"/>
      <c r="G360"/>
      <c r="I360"/>
      <c r="L360"/>
      <c r="M360"/>
      <c r="N360" s="642"/>
      <c r="O360"/>
    </row>
    <row r="361" spans="1:15" x14ac:dyDescent="0.2">
      <c r="A361"/>
      <c r="B361" s="642"/>
      <c r="C361" s="642"/>
      <c r="F361"/>
      <c r="G361"/>
      <c r="I361"/>
      <c r="L361"/>
      <c r="M361"/>
      <c r="N361" s="642"/>
      <c r="O361"/>
    </row>
    <row r="362" spans="1:15" x14ac:dyDescent="0.2">
      <c r="A362"/>
      <c r="B362" s="642"/>
      <c r="C362" s="642"/>
      <c r="F362"/>
      <c r="G362"/>
      <c r="J362"/>
      <c r="L362"/>
      <c r="M362"/>
      <c r="N362" s="642"/>
      <c r="O362"/>
    </row>
    <row r="363" spans="1:15" x14ac:dyDescent="0.2">
      <c r="A363"/>
      <c r="B363" s="642"/>
      <c r="C363" s="642"/>
      <c r="F363"/>
      <c r="G363"/>
      <c r="H363"/>
      <c r="I363"/>
      <c r="L363"/>
      <c r="M363"/>
      <c r="N363" s="642"/>
      <c r="O363"/>
    </row>
    <row r="364" spans="1:15" x14ac:dyDescent="0.2">
      <c r="A364"/>
      <c r="B364" s="642"/>
      <c r="C364" s="642"/>
      <c r="F364"/>
      <c r="G364"/>
      <c r="I364"/>
      <c r="L364"/>
      <c r="M364"/>
      <c r="N364" s="642"/>
      <c r="O364"/>
    </row>
    <row r="365" spans="1:15" x14ac:dyDescent="0.2">
      <c r="A365"/>
      <c r="B365" s="642"/>
      <c r="C365" s="642"/>
      <c r="F365"/>
      <c r="G365"/>
      <c r="H365"/>
      <c r="I365"/>
      <c r="L365"/>
      <c r="M365"/>
      <c r="N365" s="642"/>
      <c r="O365"/>
    </row>
    <row r="366" spans="1:15" x14ac:dyDescent="0.2">
      <c r="A366"/>
      <c r="B366" s="642"/>
      <c r="C366" s="642"/>
      <c r="F366"/>
      <c r="G366"/>
      <c r="H366"/>
      <c r="I366"/>
      <c r="L366"/>
      <c r="M366"/>
      <c r="N366" s="642"/>
      <c r="O366"/>
    </row>
    <row r="367" spans="1:15" x14ac:dyDescent="0.2">
      <c r="A367"/>
      <c r="B367" s="642"/>
      <c r="C367" s="642"/>
      <c r="F367"/>
      <c r="G367"/>
      <c r="H367"/>
      <c r="I367"/>
      <c r="L367"/>
      <c r="M367"/>
      <c r="N367" s="642"/>
      <c r="O367"/>
    </row>
    <row r="368" spans="1:15" x14ac:dyDescent="0.2">
      <c r="A368"/>
      <c r="B368" s="642"/>
      <c r="C368" s="642"/>
      <c r="F368"/>
      <c r="G368"/>
      <c r="H368"/>
      <c r="I368"/>
      <c r="L368"/>
      <c r="M368"/>
      <c r="N368" s="642"/>
      <c r="O368"/>
    </row>
    <row r="369" spans="1:15" x14ac:dyDescent="0.2">
      <c r="A369"/>
      <c r="B369" s="642"/>
      <c r="C369" s="642"/>
      <c r="F369"/>
      <c r="G369"/>
      <c r="M369"/>
      <c r="N369" s="642"/>
      <c r="O369"/>
    </row>
    <row r="370" spans="1:15" x14ac:dyDescent="0.2">
      <c r="A370"/>
      <c r="B370" s="642"/>
      <c r="C370" s="642"/>
      <c r="F370"/>
      <c r="G370"/>
      <c r="H370"/>
      <c r="I370"/>
      <c r="L370"/>
      <c r="M370"/>
      <c r="N370" s="642"/>
      <c r="O370"/>
    </row>
    <row r="371" spans="1:15" x14ac:dyDescent="0.2">
      <c r="A371"/>
      <c r="B371" s="642"/>
      <c r="C371" s="642"/>
      <c r="F371"/>
      <c r="G371"/>
      <c r="H371"/>
      <c r="I371"/>
      <c r="L371"/>
      <c r="M371"/>
      <c r="N371" s="642"/>
      <c r="O371"/>
    </row>
    <row r="372" spans="1:15" x14ac:dyDescent="0.2">
      <c r="A372"/>
      <c r="B372" s="642"/>
      <c r="C372" s="642"/>
      <c r="F372"/>
      <c r="G372"/>
      <c r="H372"/>
      <c r="I372"/>
      <c r="L372"/>
      <c r="N372" s="642"/>
      <c r="O372"/>
    </row>
    <row r="373" spans="1:15" x14ac:dyDescent="0.2">
      <c r="A373"/>
      <c r="B373" s="642"/>
      <c r="C373" s="642"/>
      <c r="F373"/>
      <c r="G373"/>
      <c r="H373"/>
      <c r="I373"/>
      <c r="L373"/>
      <c r="M373"/>
      <c r="N373" s="642"/>
      <c r="O373"/>
    </row>
    <row r="374" spans="1:15" x14ac:dyDescent="0.2">
      <c r="A374"/>
      <c r="B374" s="642"/>
      <c r="C374" s="642"/>
      <c r="F374"/>
      <c r="G374"/>
      <c r="L374"/>
      <c r="M374"/>
      <c r="N374" s="642"/>
      <c r="O374"/>
    </row>
    <row r="375" spans="1:15" x14ac:dyDescent="0.2">
      <c r="A375"/>
      <c r="B375" s="642"/>
      <c r="C375" s="642"/>
      <c r="F375"/>
      <c r="G375"/>
      <c r="I375"/>
      <c r="L375"/>
      <c r="M375"/>
      <c r="N375" s="642"/>
      <c r="O375"/>
    </row>
    <row r="376" spans="1:15" x14ac:dyDescent="0.2">
      <c r="A376"/>
      <c r="B376" s="642"/>
      <c r="C376" s="642"/>
      <c r="F376"/>
      <c r="G376"/>
      <c r="H376"/>
      <c r="I376"/>
      <c r="L376"/>
      <c r="N376" s="642"/>
      <c r="O376"/>
    </row>
    <row r="377" spans="1:15" x14ac:dyDescent="0.2">
      <c r="A377"/>
      <c r="B377" s="642"/>
      <c r="C377" s="642"/>
      <c r="F377"/>
      <c r="G377"/>
      <c r="I377"/>
      <c r="L377"/>
      <c r="M377"/>
      <c r="N377" s="642"/>
      <c r="O377"/>
    </row>
    <row r="378" spans="1:15" x14ac:dyDescent="0.2">
      <c r="A378"/>
      <c r="B378" s="642"/>
      <c r="C378" s="642"/>
      <c r="F378"/>
      <c r="G378"/>
      <c r="L378"/>
      <c r="M378"/>
      <c r="N378" s="642"/>
      <c r="O378"/>
    </row>
    <row r="379" spans="1:15" x14ac:dyDescent="0.2">
      <c r="A379"/>
      <c r="B379" s="642"/>
      <c r="C379" s="642"/>
      <c r="F379"/>
      <c r="G379"/>
      <c r="H379"/>
      <c r="I379"/>
      <c r="L379"/>
      <c r="M379"/>
      <c r="N379" s="642"/>
      <c r="O379"/>
    </row>
    <row r="380" spans="1:15" x14ac:dyDescent="0.2">
      <c r="A380"/>
      <c r="B380" s="642"/>
      <c r="C380" s="642"/>
      <c r="F380"/>
      <c r="G380"/>
      <c r="H380"/>
      <c r="I380"/>
      <c r="L380"/>
      <c r="M380"/>
      <c r="N380" s="642"/>
      <c r="O380"/>
    </row>
    <row r="381" spans="1:15" x14ac:dyDescent="0.2">
      <c r="A381"/>
      <c r="B381" s="642"/>
      <c r="C381" s="642"/>
      <c r="F381"/>
      <c r="G381"/>
      <c r="H381"/>
      <c r="I381"/>
      <c r="L381"/>
      <c r="M381"/>
      <c r="N381" s="642"/>
      <c r="O381"/>
    </row>
    <row r="382" spans="1:15" x14ac:dyDescent="0.2">
      <c r="A382"/>
      <c r="B382" s="642"/>
      <c r="C382" s="642"/>
      <c r="F382"/>
      <c r="G382"/>
      <c r="H382"/>
      <c r="J382"/>
      <c r="K382"/>
      <c r="M382"/>
      <c r="N382" s="642"/>
      <c r="O382"/>
    </row>
    <row r="383" spans="1:15" x14ac:dyDescent="0.2">
      <c r="A383"/>
      <c r="B383" s="642"/>
      <c r="C383" s="642"/>
      <c r="F383"/>
      <c r="G383"/>
      <c r="I383"/>
      <c r="L383"/>
      <c r="M383"/>
      <c r="N383" s="642"/>
      <c r="O383"/>
    </row>
    <row r="384" spans="1:15" x14ac:dyDescent="0.2">
      <c r="A384"/>
      <c r="B384" s="642"/>
      <c r="C384" s="642"/>
      <c r="F384"/>
      <c r="G384"/>
      <c r="I384"/>
      <c r="L384"/>
      <c r="M384"/>
      <c r="N384" s="642"/>
      <c r="O384"/>
    </row>
    <row r="385" spans="1:15" x14ac:dyDescent="0.2">
      <c r="A385"/>
      <c r="B385" s="642"/>
      <c r="C385" s="642"/>
      <c r="F385"/>
      <c r="G385"/>
      <c r="H385"/>
      <c r="I385"/>
      <c r="J385"/>
      <c r="K385"/>
      <c r="L385"/>
      <c r="M385"/>
      <c r="N385" s="642"/>
      <c r="O385"/>
    </row>
    <row r="386" spans="1:15" x14ac:dyDescent="0.2">
      <c r="A386"/>
      <c r="B386" s="642"/>
      <c r="C386" s="642"/>
      <c r="F386"/>
      <c r="G386"/>
      <c r="L386"/>
      <c r="N386" s="642"/>
      <c r="O386"/>
    </row>
    <row r="387" spans="1:15" x14ac:dyDescent="0.2">
      <c r="A387"/>
      <c r="B387" s="642"/>
      <c r="C387" s="642"/>
      <c r="F387"/>
      <c r="G387"/>
      <c r="H387"/>
      <c r="I387"/>
      <c r="L387"/>
      <c r="M387"/>
      <c r="N387" s="642"/>
      <c r="O387"/>
    </row>
    <row r="388" spans="1:15" x14ac:dyDescent="0.2">
      <c r="A388"/>
      <c r="B388" s="642"/>
      <c r="C388" s="642"/>
      <c r="F388"/>
      <c r="G388"/>
      <c r="H388"/>
      <c r="I388"/>
      <c r="L388"/>
      <c r="M388"/>
      <c r="N388" s="642"/>
      <c r="O388"/>
    </row>
    <row r="389" spans="1:15" x14ac:dyDescent="0.2">
      <c r="A389"/>
      <c r="B389" s="642"/>
      <c r="C389" s="642"/>
      <c r="F389"/>
      <c r="G389"/>
      <c r="H389"/>
      <c r="I389"/>
      <c r="L389"/>
      <c r="M389"/>
      <c r="N389" s="642"/>
      <c r="O389"/>
    </row>
    <row r="390" spans="1:15" x14ac:dyDescent="0.2">
      <c r="A390"/>
      <c r="B390" s="642"/>
      <c r="C390" s="642"/>
      <c r="F390"/>
      <c r="G390"/>
      <c r="L390"/>
      <c r="M390"/>
      <c r="N390" s="642"/>
      <c r="O390"/>
    </row>
    <row r="391" spans="1:15" x14ac:dyDescent="0.2">
      <c r="A391"/>
      <c r="B391" s="642"/>
      <c r="C391" s="642"/>
      <c r="F391"/>
      <c r="G391"/>
      <c r="J391"/>
      <c r="K391"/>
      <c r="L391"/>
      <c r="M391"/>
      <c r="N391" s="642"/>
      <c r="O391"/>
    </row>
    <row r="392" spans="1:15" x14ac:dyDescent="0.2">
      <c r="A392"/>
      <c r="B392" s="642"/>
      <c r="C392" s="642"/>
      <c r="F392"/>
      <c r="G392"/>
      <c r="H392"/>
      <c r="I392"/>
      <c r="L392"/>
      <c r="M392"/>
      <c r="N392" s="642"/>
      <c r="O392"/>
    </row>
    <row r="393" spans="1:15" x14ac:dyDescent="0.2">
      <c r="A393"/>
      <c r="B393" s="642"/>
      <c r="C393" s="642"/>
      <c r="F393"/>
      <c r="G393"/>
      <c r="I393"/>
      <c r="L393"/>
      <c r="M393"/>
      <c r="N393" s="642"/>
      <c r="O393"/>
    </row>
    <row r="394" spans="1:15" x14ac:dyDescent="0.2">
      <c r="A394"/>
      <c r="B394" s="642"/>
      <c r="C394" s="642"/>
      <c r="F394"/>
      <c r="G394"/>
      <c r="H394"/>
      <c r="I394"/>
      <c r="L394"/>
      <c r="M394"/>
      <c r="N394" s="642"/>
      <c r="O394"/>
    </row>
    <row r="395" spans="1:15" x14ac:dyDescent="0.2">
      <c r="A395"/>
      <c r="B395" s="642"/>
      <c r="C395" s="642"/>
      <c r="F395"/>
      <c r="G395"/>
      <c r="H395"/>
      <c r="I395"/>
      <c r="L395"/>
      <c r="M395"/>
      <c r="N395" s="642"/>
      <c r="O395"/>
    </row>
    <row r="396" spans="1:15" x14ac:dyDescent="0.2">
      <c r="A396"/>
      <c r="B396" s="642"/>
      <c r="C396" s="642"/>
      <c r="F396"/>
      <c r="G396"/>
      <c r="H396"/>
      <c r="I396"/>
      <c r="L396"/>
      <c r="M396"/>
      <c r="N396" s="642"/>
      <c r="O396"/>
    </row>
    <row r="397" spans="1:15" x14ac:dyDescent="0.2">
      <c r="A397"/>
      <c r="B397" s="642"/>
      <c r="C397" s="642"/>
      <c r="F397"/>
      <c r="G397"/>
      <c r="M397"/>
      <c r="N397" s="642"/>
      <c r="O397"/>
    </row>
    <row r="398" spans="1:15" x14ac:dyDescent="0.2">
      <c r="A398"/>
      <c r="B398" s="642"/>
      <c r="C398" s="642"/>
      <c r="F398"/>
      <c r="G398"/>
      <c r="J398"/>
      <c r="K398"/>
      <c r="L398"/>
      <c r="M398"/>
      <c r="N398" s="642"/>
      <c r="O398"/>
    </row>
    <row r="399" spans="1:15" x14ac:dyDescent="0.2">
      <c r="A399"/>
      <c r="B399" s="642"/>
      <c r="C399" s="642"/>
      <c r="F399"/>
      <c r="G399"/>
      <c r="H399"/>
      <c r="I399"/>
      <c r="L399"/>
      <c r="M399"/>
      <c r="N399" s="642"/>
      <c r="O399"/>
    </row>
    <row r="400" spans="1:15" x14ac:dyDescent="0.2">
      <c r="A400"/>
      <c r="B400" s="642"/>
      <c r="C400" s="642"/>
      <c r="F400"/>
      <c r="G400"/>
      <c r="I400"/>
      <c r="L400"/>
      <c r="M400"/>
      <c r="N400" s="642"/>
      <c r="O400"/>
    </row>
    <row r="401" spans="1:15" x14ac:dyDescent="0.2">
      <c r="A401"/>
      <c r="B401" s="642"/>
      <c r="C401" s="642"/>
      <c r="F401"/>
      <c r="G401"/>
      <c r="H401"/>
      <c r="I401"/>
      <c r="L401"/>
      <c r="M401"/>
      <c r="N401" s="642"/>
      <c r="O401"/>
    </row>
    <row r="402" spans="1:15" x14ac:dyDescent="0.2">
      <c r="A402"/>
      <c r="B402" s="642"/>
      <c r="C402" s="642"/>
      <c r="F402"/>
      <c r="G402"/>
      <c r="I402"/>
      <c r="L402"/>
      <c r="M402"/>
      <c r="N402" s="642"/>
      <c r="O402"/>
    </row>
    <row r="403" spans="1:15" x14ac:dyDescent="0.2">
      <c r="A403"/>
      <c r="B403" s="642"/>
      <c r="C403" s="642"/>
      <c r="F403"/>
      <c r="G403"/>
      <c r="J403"/>
      <c r="K403"/>
      <c r="L403"/>
      <c r="M403"/>
      <c r="N403" s="642"/>
      <c r="O403"/>
    </row>
    <row r="404" spans="1:15" x14ac:dyDescent="0.2">
      <c r="A404"/>
      <c r="B404" s="642"/>
      <c r="C404" s="642"/>
      <c r="F404"/>
      <c r="G404"/>
      <c r="I404"/>
      <c r="L404"/>
      <c r="M404"/>
      <c r="N404" s="642"/>
      <c r="O404"/>
    </row>
    <row r="405" spans="1:15" x14ac:dyDescent="0.2">
      <c r="A405"/>
      <c r="B405" s="642"/>
      <c r="C405" s="642"/>
      <c r="F405"/>
      <c r="G405"/>
      <c r="H405"/>
      <c r="I405"/>
      <c r="L405"/>
      <c r="N405" s="642"/>
      <c r="O405"/>
    </row>
    <row r="406" spans="1:15" x14ac:dyDescent="0.2">
      <c r="A406"/>
      <c r="B406" s="642"/>
      <c r="C406" s="642"/>
      <c r="F406"/>
      <c r="G406"/>
      <c r="H406"/>
      <c r="I406"/>
      <c r="L406"/>
      <c r="M406"/>
      <c r="N406" s="642"/>
      <c r="O406"/>
    </row>
    <row r="407" spans="1:15" x14ac:dyDescent="0.2">
      <c r="A407"/>
      <c r="B407" s="642"/>
      <c r="C407" s="642"/>
      <c r="F407"/>
      <c r="G407"/>
      <c r="H407"/>
      <c r="I407"/>
      <c r="L407"/>
      <c r="M407"/>
      <c r="N407" s="642"/>
      <c r="O407"/>
    </row>
    <row r="408" spans="1:15" x14ac:dyDescent="0.2">
      <c r="A408"/>
      <c r="B408" s="642"/>
      <c r="C408" s="642"/>
      <c r="F408"/>
      <c r="G408"/>
      <c r="L408"/>
      <c r="M408"/>
      <c r="N408" s="642"/>
      <c r="O408"/>
    </row>
    <row r="409" spans="1:15" x14ac:dyDescent="0.2">
      <c r="A409"/>
      <c r="B409" s="642"/>
      <c r="C409" s="642"/>
      <c r="F409"/>
      <c r="G409"/>
      <c r="I409"/>
      <c r="L409"/>
      <c r="M409"/>
      <c r="N409" s="642"/>
      <c r="O409"/>
    </row>
    <row r="410" spans="1:15" x14ac:dyDescent="0.2">
      <c r="A410"/>
      <c r="B410" s="642"/>
      <c r="C410" s="642"/>
      <c r="F410"/>
      <c r="G410"/>
      <c r="H410"/>
      <c r="I410"/>
      <c r="L410"/>
      <c r="M410"/>
      <c r="N410" s="642"/>
      <c r="O410"/>
    </row>
    <row r="411" spans="1:15" x14ac:dyDescent="0.2">
      <c r="A411"/>
      <c r="B411" s="642"/>
      <c r="C411" s="642"/>
      <c r="F411"/>
      <c r="G411"/>
      <c r="M411"/>
      <c r="N411" s="642"/>
      <c r="O411"/>
    </row>
    <row r="412" spans="1:15" x14ac:dyDescent="0.2">
      <c r="A412"/>
      <c r="B412" s="642"/>
      <c r="C412" s="642"/>
      <c r="F412"/>
      <c r="G412"/>
      <c r="H412"/>
      <c r="J412"/>
      <c r="K412"/>
      <c r="L412"/>
      <c r="M412"/>
      <c r="N412" s="642"/>
      <c r="O412"/>
    </row>
    <row r="413" spans="1:15" x14ac:dyDescent="0.2">
      <c r="A413"/>
      <c r="B413" s="642"/>
      <c r="C413" s="642"/>
      <c r="F413"/>
      <c r="G413"/>
      <c r="H413"/>
      <c r="L413"/>
      <c r="M413"/>
      <c r="N413" s="642"/>
      <c r="O413"/>
    </row>
    <row r="414" spans="1:15" x14ac:dyDescent="0.2">
      <c r="A414"/>
      <c r="B414" s="642"/>
      <c r="C414" s="642"/>
      <c r="F414"/>
      <c r="G414"/>
      <c r="H414"/>
      <c r="J414"/>
      <c r="K414"/>
      <c r="L414"/>
      <c r="M414"/>
      <c r="N414" s="642"/>
      <c r="O414"/>
    </row>
    <row r="415" spans="1:15" x14ac:dyDescent="0.2">
      <c r="A415"/>
      <c r="B415" s="642"/>
      <c r="C415" s="642"/>
      <c r="F415"/>
      <c r="G415"/>
      <c r="H415"/>
      <c r="J415"/>
      <c r="K415"/>
      <c r="L415"/>
      <c r="M415"/>
      <c r="N415" s="642"/>
      <c r="O415"/>
    </row>
    <row r="416" spans="1:15" x14ac:dyDescent="0.2">
      <c r="A416"/>
      <c r="B416" s="642"/>
      <c r="C416" s="642"/>
      <c r="F416"/>
      <c r="G416"/>
      <c r="J416"/>
      <c r="K416"/>
      <c r="L416"/>
      <c r="M416"/>
      <c r="N416" s="642"/>
      <c r="O416"/>
    </row>
    <row r="417" spans="1:15" x14ac:dyDescent="0.2">
      <c r="A417"/>
      <c r="B417" s="642"/>
      <c r="C417" s="642"/>
      <c r="G417"/>
      <c r="M417"/>
      <c r="N417" s="642"/>
      <c r="O417"/>
    </row>
    <row r="418" spans="1:15" x14ac:dyDescent="0.2">
      <c r="A418"/>
      <c r="B418" s="642"/>
      <c r="C418" s="642"/>
      <c r="F418"/>
      <c r="G418"/>
      <c r="H418"/>
      <c r="J418"/>
      <c r="K418"/>
      <c r="L418"/>
      <c r="M418"/>
      <c r="N418" s="642"/>
      <c r="O418"/>
    </row>
    <row r="419" spans="1:15" x14ac:dyDescent="0.2">
      <c r="A419"/>
      <c r="B419" s="642"/>
      <c r="C419" s="642"/>
      <c r="F419"/>
      <c r="G419"/>
      <c r="H419"/>
      <c r="K419"/>
      <c r="L419"/>
      <c r="M419"/>
      <c r="N419" s="642"/>
      <c r="O419"/>
    </row>
    <row r="420" spans="1:15" x14ac:dyDescent="0.2">
      <c r="A420"/>
      <c r="B420" s="642"/>
      <c r="C420" s="642"/>
      <c r="F420"/>
      <c r="G420"/>
      <c r="H420"/>
      <c r="I420"/>
      <c r="L420"/>
      <c r="N420" s="642"/>
      <c r="O420"/>
    </row>
    <row r="421" spans="1:15" x14ac:dyDescent="0.2">
      <c r="A421"/>
      <c r="B421" s="642"/>
      <c r="C421" s="642"/>
      <c r="F421"/>
      <c r="G421"/>
      <c r="J421"/>
      <c r="K421"/>
      <c r="L421"/>
      <c r="M421"/>
      <c r="N421" s="642"/>
      <c r="O421"/>
    </row>
    <row r="422" spans="1:15" x14ac:dyDescent="0.2">
      <c r="A422"/>
      <c r="B422" s="642"/>
      <c r="C422" s="642"/>
      <c r="F422"/>
      <c r="G422"/>
      <c r="H422"/>
      <c r="J422"/>
      <c r="K422"/>
      <c r="L422"/>
      <c r="M422"/>
      <c r="N422" s="642"/>
      <c r="O422"/>
    </row>
    <row r="423" spans="1:15" x14ac:dyDescent="0.2">
      <c r="A423"/>
      <c r="B423" s="642"/>
      <c r="C423" s="642"/>
      <c r="F423"/>
      <c r="G423"/>
      <c r="J423"/>
      <c r="K423"/>
      <c r="L423"/>
      <c r="M423"/>
      <c r="N423" s="642"/>
      <c r="O423"/>
    </row>
    <row r="424" spans="1:15" x14ac:dyDescent="0.2">
      <c r="A424"/>
      <c r="B424" s="642"/>
      <c r="C424" s="642"/>
      <c r="F424"/>
      <c r="G424"/>
      <c r="H424"/>
      <c r="J424"/>
      <c r="K424"/>
      <c r="L424"/>
      <c r="M424"/>
      <c r="N424" s="642"/>
      <c r="O424"/>
    </row>
    <row r="425" spans="1:15" x14ac:dyDescent="0.2">
      <c r="A425"/>
      <c r="B425" s="642"/>
      <c r="C425" s="642"/>
      <c r="F425"/>
      <c r="G425"/>
      <c r="H425"/>
      <c r="J425"/>
      <c r="K425"/>
      <c r="L425"/>
      <c r="M425"/>
      <c r="N425" s="642"/>
      <c r="O425"/>
    </row>
    <row r="426" spans="1:15" x14ac:dyDescent="0.2">
      <c r="A426"/>
      <c r="B426" s="642"/>
      <c r="C426" s="642"/>
      <c r="F426"/>
      <c r="G426"/>
      <c r="H426"/>
      <c r="J426"/>
      <c r="K426"/>
      <c r="L426"/>
      <c r="M426"/>
      <c r="N426" s="642"/>
      <c r="O426"/>
    </row>
    <row r="427" spans="1:15" x14ac:dyDescent="0.2">
      <c r="A427"/>
      <c r="B427" s="642"/>
      <c r="C427" s="642"/>
      <c r="F427"/>
      <c r="G427"/>
      <c r="H427"/>
      <c r="J427"/>
      <c r="K427"/>
      <c r="L427"/>
      <c r="M427"/>
      <c r="N427" s="642"/>
      <c r="O427"/>
    </row>
    <row r="428" spans="1:15" x14ac:dyDescent="0.2">
      <c r="A428"/>
      <c r="B428" s="642"/>
      <c r="C428" s="642"/>
      <c r="F428"/>
      <c r="G428"/>
      <c r="H428"/>
      <c r="J428"/>
      <c r="K428"/>
      <c r="L428"/>
      <c r="M428"/>
      <c r="N428" s="642"/>
      <c r="O428"/>
    </row>
    <row r="429" spans="1:15" x14ac:dyDescent="0.2">
      <c r="A429"/>
      <c r="B429" s="642"/>
      <c r="C429" s="642"/>
      <c r="F429"/>
      <c r="G429"/>
      <c r="H429"/>
      <c r="I429"/>
      <c r="L429"/>
      <c r="M429"/>
      <c r="N429" s="642"/>
      <c r="O429"/>
    </row>
    <row r="430" spans="1:15" x14ac:dyDescent="0.2">
      <c r="A430"/>
      <c r="B430" s="642"/>
      <c r="C430" s="642"/>
      <c r="F430"/>
      <c r="G430"/>
      <c r="H430"/>
      <c r="I430"/>
      <c r="L430"/>
      <c r="M430"/>
      <c r="N430" s="642"/>
      <c r="O430"/>
    </row>
    <row r="431" spans="1:15" x14ac:dyDescent="0.2">
      <c r="A431"/>
      <c r="B431" s="642"/>
      <c r="C431" s="642"/>
      <c r="F431"/>
      <c r="G431"/>
      <c r="L431"/>
      <c r="M431"/>
      <c r="N431" s="642"/>
      <c r="O431"/>
    </row>
    <row r="432" spans="1:15" x14ac:dyDescent="0.2">
      <c r="A432"/>
      <c r="B432" s="642"/>
      <c r="C432" s="642"/>
      <c r="F432"/>
      <c r="G432"/>
      <c r="I432"/>
      <c r="L432"/>
      <c r="M432"/>
      <c r="N432" s="642"/>
      <c r="O432"/>
    </row>
    <row r="433" spans="1:15" x14ac:dyDescent="0.2">
      <c r="A433"/>
      <c r="B433" s="642"/>
      <c r="C433" s="642"/>
      <c r="F433"/>
      <c r="G433"/>
      <c r="H433"/>
      <c r="I433"/>
      <c r="L433"/>
      <c r="N433" s="642"/>
      <c r="O433"/>
    </row>
    <row r="434" spans="1:15" x14ac:dyDescent="0.2">
      <c r="A434"/>
      <c r="B434" s="642"/>
      <c r="C434" s="642"/>
      <c r="F434"/>
      <c r="G434"/>
      <c r="H434"/>
      <c r="I434"/>
      <c r="L434"/>
      <c r="M434"/>
      <c r="N434" s="642"/>
      <c r="O434"/>
    </row>
    <row r="435" spans="1:15" x14ac:dyDescent="0.2">
      <c r="A435"/>
      <c r="B435" s="642"/>
      <c r="C435" s="642"/>
      <c r="F435"/>
      <c r="G435"/>
      <c r="I435"/>
      <c r="L435"/>
      <c r="M435"/>
      <c r="N435" s="642"/>
      <c r="O435"/>
    </row>
    <row r="436" spans="1:15" x14ac:dyDescent="0.2">
      <c r="A436"/>
      <c r="B436" s="642"/>
      <c r="C436" s="642"/>
      <c r="F436"/>
      <c r="G436"/>
      <c r="H436"/>
      <c r="I436"/>
      <c r="L436"/>
      <c r="M436"/>
      <c r="N436" s="642"/>
      <c r="O436"/>
    </row>
    <row r="437" spans="1:15" x14ac:dyDescent="0.2">
      <c r="A437"/>
      <c r="B437" s="642"/>
      <c r="C437" s="642"/>
      <c r="F437"/>
      <c r="G437"/>
      <c r="H437"/>
      <c r="I437"/>
      <c r="L437"/>
      <c r="M437"/>
      <c r="N437" s="642"/>
      <c r="O437"/>
    </row>
    <row r="438" spans="1:15" x14ac:dyDescent="0.2">
      <c r="A438"/>
      <c r="B438" s="642"/>
      <c r="C438" s="642"/>
      <c r="F438"/>
      <c r="G438"/>
      <c r="H438"/>
      <c r="I438"/>
      <c r="L438"/>
      <c r="N438" s="642"/>
      <c r="O438"/>
    </row>
    <row r="439" spans="1:15" x14ac:dyDescent="0.2">
      <c r="A439"/>
      <c r="B439" s="642"/>
      <c r="C439" s="642"/>
      <c r="F439"/>
      <c r="G439"/>
      <c r="H439"/>
      <c r="I439"/>
      <c r="L439"/>
      <c r="N439" s="642"/>
      <c r="O439"/>
    </row>
    <row r="440" spans="1:15" x14ac:dyDescent="0.2">
      <c r="A440"/>
      <c r="B440" s="642"/>
      <c r="C440" s="642"/>
      <c r="F440"/>
      <c r="G440"/>
      <c r="H440"/>
      <c r="I440"/>
      <c r="L440"/>
      <c r="M440"/>
      <c r="N440" s="642"/>
      <c r="O440"/>
    </row>
    <row r="441" spans="1:15" x14ac:dyDescent="0.2">
      <c r="A441"/>
      <c r="B441" s="642"/>
      <c r="C441" s="642"/>
      <c r="F441"/>
      <c r="G441"/>
      <c r="H441"/>
      <c r="I441"/>
      <c r="L441"/>
      <c r="M441"/>
      <c r="N441" s="642"/>
      <c r="O441"/>
    </row>
    <row r="442" spans="1:15" x14ac:dyDescent="0.2">
      <c r="A442"/>
      <c r="B442" s="642"/>
      <c r="C442" s="642"/>
      <c r="F442"/>
      <c r="G442"/>
      <c r="H442"/>
      <c r="I442"/>
      <c r="L442"/>
      <c r="M442"/>
      <c r="N442" s="642"/>
      <c r="O442"/>
    </row>
    <row r="443" spans="1:15" x14ac:dyDescent="0.2">
      <c r="A443"/>
      <c r="B443" s="642"/>
      <c r="C443" s="642"/>
      <c r="F443"/>
      <c r="G443"/>
      <c r="H443"/>
      <c r="I443"/>
      <c r="L443"/>
      <c r="M443"/>
      <c r="N443" s="642"/>
      <c r="O443"/>
    </row>
    <row r="444" spans="1:15" x14ac:dyDescent="0.2">
      <c r="A444"/>
      <c r="B444" s="642"/>
      <c r="C444" s="642"/>
      <c r="F444"/>
      <c r="G444"/>
      <c r="H444"/>
      <c r="I444"/>
      <c r="L444"/>
      <c r="M444"/>
      <c r="N444" s="642"/>
      <c r="O444"/>
    </row>
    <row r="445" spans="1:15" x14ac:dyDescent="0.2">
      <c r="A445"/>
      <c r="B445" s="642"/>
      <c r="C445" s="642"/>
      <c r="F445"/>
      <c r="G445"/>
      <c r="H445"/>
      <c r="I445"/>
      <c r="L445"/>
      <c r="M445"/>
      <c r="N445" s="642"/>
      <c r="O445"/>
    </row>
    <row r="446" spans="1:15" x14ac:dyDescent="0.2">
      <c r="A446"/>
      <c r="B446" s="642"/>
      <c r="C446" s="642"/>
      <c r="F446"/>
      <c r="G446"/>
      <c r="H446"/>
      <c r="I446"/>
      <c r="L446"/>
      <c r="N446" s="642"/>
      <c r="O446"/>
    </row>
    <row r="447" spans="1:15" x14ac:dyDescent="0.2">
      <c r="A447"/>
      <c r="B447" s="642"/>
      <c r="C447" s="642"/>
      <c r="F447"/>
      <c r="G447"/>
      <c r="H447"/>
      <c r="I447"/>
      <c r="L447"/>
      <c r="N447" s="642"/>
      <c r="O447"/>
    </row>
    <row r="448" spans="1:15" x14ac:dyDescent="0.2">
      <c r="A448"/>
      <c r="B448" s="642"/>
      <c r="C448" s="642"/>
      <c r="F448"/>
      <c r="G448"/>
      <c r="I448"/>
      <c r="L448"/>
      <c r="M448"/>
      <c r="N448" s="642"/>
      <c r="O448"/>
    </row>
    <row r="449" spans="1:15" x14ac:dyDescent="0.2">
      <c r="A449"/>
      <c r="B449" s="642"/>
      <c r="C449" s="642"/>
      <c r="F449"/>
      <c r="G449"/>
      <c r="L449"/>
      <c r="M449"/>
      <c r="N449" s="642"/>
      <c r="O449"/>
    </row>
    <row r="450" spans="1:15" x14ac:dyDescent="0.2">
      <c r="A450"/>
      <c r="B450" s="642"/>
      <c r="C450" s="642"/>
      <c r="F450"/>
      <c r="G450"/>
      <c r="H450"/>
      <c r="I450"/>
      <c r="L450"/>
      <c r="M450"/>
      <c r="N450" s="642"/>
      <c r="O450"/>
    </row>
    <row r="451" spans="1:15" x14ac:dyDescent="0.2">
      <c r="A451"/>
      <c r="B451" s="642"/>
      <c r="C451" s="642"/>
      <c r="F451"/>
      <c r="G451"/>
      <c r="H451"/>
      <c r="I451"/>
      <c r="L451"/>
      <c r="M451"/>
      <c r="N451" s="642"/>
      <c r="O451"/>
    </row>
    <row r="452" spans="1:15" x14ac:dyDescent="0.2">
      <c r="A452"/>
      <c r="B452" s="642"/>
      <c r="C452" s="642"/>
      <c r="F452"/>
      <c r="G452"/>
      <c r="H452"/>
      <c r="I452"/>
      <c r="L452"/>
      <c r="M452"/>
      <c r="N452" s="642"/>
      <c r="O452"/>
    </row>
    <row r="453" spans="1:15" x14ac:dyDescent="0.2">
      <c r="A453"/>
      <c r="B453" s="642"/>
      <c r="C453" s="642"/>
      <c r="F453"/>
      <c r="G453"/>
      <c r="H453"/>
      <c r="I453"/>
      <c r="L453"/>
      <c r="N453" s="642"/>
      <c r="O453"/>
    </row>
    <row r="454" spans="1:15" x14ac:dyDescent="0.2">
      <c r="A454"/>
      <c r="B454" s="642"/>
      <c r="C454" s="642"/>
      <c r="F454"/>
      <c r="G454"/>
      <c r="H454"/>
      <c r="I454"/>
      <c r="L454"/>
      <c r="M454"/>
      <c r="N454" s="642"/>
      <c r="O454"/>
    </row>
    <row r="455" spans="1:15" x14ac:dyDescent="0.2">
      <c r="A455"/>
      <c r="B455" s="642"/>
      <c r="C455" s="642"/>
      <c r="F455"/>
      <c r="G455"/>
      <c r="H455"/>
      <c r="I455"/>
      <c r="L455"/>
      <c r="M455"/>
      <c r="N455" s="642"/>
      <c r="O455"/>
    </row>
    <row r="456" spans="1:15" x14ac:dyDescent="0.2">
      <c r="A456"/>
      <c r="B456" s="642"/>
      <c r="C456" s="642"/>
      <c r="F456"/>
      <c r="G456"/>
      <c r="H456"/>
      <c r="I456"/>
      <c r="L456"/>
      <c r="N456" s="642"/>
      <c r="O456"/>
    </row>
    <row r="457" spans="1:15" x14ac:dyDescent="0.2">
      <c r="A457"/>
      <c r="B457" s="642"/>
      <c r="C457" s="642"/>
      <c r="F457"/>
      <c r="G457"/>
      <c r="H457"/>
      <c r="I457"/>
      <c r="L457"/>
      <c r="M457"/>
      <c r="N457" s="642"/>
      <c r="O457"/>
    </row>
    <row r="458" spans="1:15" x14ac:dyDescent="0.2">
      <c r="A458"/>
      <c r="B458" s="642"/>
      <c r="C458" s="642"/>
      <c r="F458"/>
      <c r="G458"/>
      <c r="H458"/>
      <c r="I458"/>
      <c r="L458"/>
      <c r="M458"/>
      <c r="N458" s="642"/>
      <c r="O458"/>
    </row>
    <row r="459" spans="1:15" x14ac:dyDescent="0.2">
      <c r="A459"/>
      <c r="B459" s="642"/>
      <c r="C459" s="642"/>
      <c r="F459"/>
      <c r="G459"/>
      <c r="I459"/>
      <c r="L459"/>
      <c r="N459" s="642"/>
      <c r="O459"/>
    </row>
    <row r="460" spans="1:15" x14ac:dyDescent="0.2">
      <c r="A460"/>
      <c r="B460" s="642"/>
      <c r="C460" s="642"/>
      <c r="F460"/>
      <c r="G460"/>
      <c r="H460"/>
      <c r="I460"/>
      <c r="L460"/>
      <c r="M460"/>
      <c r="N460" s="642"/>
      <c r="O460"/>
    </row>
    <row r="461" spans="1:15" x14ac:dyDescent="0.2">
      <c r="A461"/>
      <c r="B461" s="642"/>
      <c r="C461" s="642"/>
      <c r="F461"/>
      <c r="G461"/>
      <c r="H461"/>
      <c r="I461"/>
      <c r="L461"/>
      <c r="M461"/>
      <c r="N461" s="642"/>
      <c r="O461"/>
    </row>
    <row r="462" spans="1:15" x14ac:dyDescent="0.2">
      <c r="A462"/>
      <c r="B462" s="642"/>
      <c r="C462" s="642"/>
      <c r="F462"/>
      <c r="G462"/>
      <c r="L462"/>
      <c r="M462"/>
      <c r="N462" s="642"/>
      <c r="O462"/>
    </row>
    <row r="463" spans="1:15" x14ac:dyDescent="0.2">
      <c r="A463"/>
      <c r="B463" s="642"/>
      <c r="C463" s="642"/>
      <c r="F463"/>
      <c r="G463"/>
      <c r="H463"/>
      <c r="I463"/>
      <c r="L463"/>
      <c r="M463"/>
      <c r="N463" s="642"/>
      <c r="O463"/>
    </row>
    <row r="464" spans="1:15" x14ac:dyDescent="0.2">
      <c r="A464"/>
      <c r="B464" s="642"/>
      <c r="C464" s="642"/>
      <c r="F464"/>
      <c r="G464"/>
      <c r="H464"/>
      <c r="I464"/>
      <c r="L464"/>
      <c r="M464"/>
      <c r="N464" s="642"/>
      <c r="O464"/>
    </row>
    <row r="465" spans="1:15" x14ac:dyDescent="0.2">
      <c r="A465"/>
      <c r="B465" s="642"/>
      <c r="C465" s="642"/>
      <c r="F465"/>
      <c r="G465"/>
      <c r="H465"/>
      <c r="I465"/>
      <c r="L465"/>
      <c r="M465"/>
      <c r="N465" s="642"/>
      <c r="O465"/>
    </row>
    <row r="466" spans="1:15" x14ac:dyDescent="0.2">
      <c r="A466"/>
      <c r="B466" s="642"/>
      <c r="C466" s="642"/>
      <c r="F466"/>
      <c r="G466"/>
      <c r="H466"/>
      <c r="I466"/>
      <c r="L466"/>
      <c r="M466"/>
      <c r="N466" s="642"/>
      <c r="O466"/>
    </row>
    <row r="467" spans="1:15" x14ac:dyDescent="0.2">
      <c r="A467"/>
      <c r="B467" s="642"/>
      <c r="C467" s="642"/>
      <c r="F467"/>
      <c r="G467"/>
      <c r="I467"/>
      <c r="L467"/>
      <c r="M467"/>
      <c r="N467" s="642"/>
      <c r="O467"/>
    </row>
    <row r="468" spans="1:15" x14ac:dyDescent="0.2">
      <c r="A468"/>
      <c r="B468" s="642"/>
      <c r="C468" s="642"/>
      <c r="F468"/>
      <c r="G468"/>
      <c r="I468"/>
      <c r="L468"/>
      <c r="M468"/>
      <c r="N468" s="642"/>
      <c r="O468"/>
    </row>
    <row r="469" spans="1:15" x14ac:dyDescent="0.2">
      <c r="A469"/>
      <c r="B469" s="642"/>
      <c r="C469" s="642"/>
      <c r="F469"/>
      <c r="G469"/>
      <c r="M469"/>
      <c r="N469" s="642"/>
      <c r="O469"/>
    </row>
    <row r="470" spans="1:15" x14ac:dyDescent="0.2">
      <c r="A470"/>
      <c r="B470" s="642"/>
      <c r="C470" s="642"/>
      <c r="F470"/>
      <c r="G470"/>
      <c r="H470"/>
      <c r="I470"/>
      <c r="L470"/>
      <c r="M470"/>
      <c r="N470" s="642"/>
      <c r="O470"/>
    </row>
    <row r="471" spans="1:15" x14ac:dyDescent="0.2">
      <c r="A471"/>
      <c r="B471" s="642"/>
      <c r="C471" s="642"/>
      <c r="F471"/>
      <c r="G471"/>
      <c r="M471"/>
      <c r="N471" s="642"/>
      <c r="O471"/>
    </row>
    <row r="472" spans="1:15" x14ac:dyDescent="0.2">
      <c r="A472"/>
      <c r="B472" s="642"/>
      <c r="C472" s="642"/>
      <c r="F472"/>
      <c r="G472"/>
      <c r="I472"/>
      <c r="L472"/>
      <c r="M472"/>
      <c r="N472" s="642"/>
      <c r="O472"/>
    </row>
    <row r="473" spans="1:15" x14ac:dyDescent="0.2">
      <c r="A473"/>
      <c r="B473" s="642"/>
      <c r="C473" s="642"/>
      <c r="F473"/>
      <c r="G473"/>
      <c r="H473"/>
      <c r="I473"/>
      <c r="J473"/>
      <c r="K473"/>
      <c r="L473"/>
      <c r="M473"/>
      <c r="N473" s="642"/>
      <c r="O473"/>
    </row>
    <row r="474" spans="1:15" x14ac:dyDescent="0.2">
      <c r="A474"/>
      <c r="B474" s="642"/>
      <c r="C474" s="642"/>
      <c r="F474"/>
      <c r="G474"/>
      <c r="I474"/>
      <c r="L474"/>
      <c r="M474"/>
      <c r="N474" s="642"/>
      <c r="O474"/>
    </row>
    <row r="475" spans="1:15" x14ac:dyDescent="0.2">
      <c r="A475"/>
      <c r="B475" s="642"/>
      <c r="C475" s="642"/>
      <c r="F475"/>
      <c r="G475"/>
      <c r="L475"/>
      <c r="M475"/>
      <c r="N475" s="642"/>
      <c r="O475"/>
    </row>
    <row r="476" spans="1:15" x14ac:dyDescent="0.2">
      <c r="A476"/>
      <c r="B476" s="642"/>
      <c r="C476" s="642"/>
      <c r="F476"/>
      <c r="G476"/>
      <c r="H476"/>
      <c r="I476"/>
      <c r="L476"/>
      <c r="M476"/>
      <c r="N476" s="642"/>
      <c r="O476"/>
    </row>
    <row r="477" spans="1:15" x14ac:dyDescent="0.2">
      <c r="A477"/>
      <c r="B477" s="642"/>
      <c r="C477" s="642"/>
      <c r="F477"/>
      <c r="G477"/>
      <c r="I477"/>
      <c r="L477"/>
      <c r="M477"/>
      <c r="N477" s="642"/>
      <c r="O477"/>
    </row>
    <row r="478" spans="1:15" x14ac:dyDescent="0.2">
      <c r="A478"/>
      <c r="B478" s="642"/>
      <c r="C478" s="642"/>
      <c r="F478"/>
      <c r="G478"/>
      <c r="H478"/>
      <c r="I478"/>
      <c r="L478"/>
      <c r="M478"/>
      <c r="N478" s="642"/>
      <c r="O478"/>
    </row>
    <row r="479" spans="1:15" x14ac:dyDescent="0.2">
      <c r="A479"/>
      <c r="B479" s="642"/>
      <c r="C479" s="642"/>
      <c r="F479"/>
      <c r="G479"/>
      <c r="H479"/>
      <c r="I479"/>
      <c r="L479"/>
      <c r="M479"/>
      <c r="N479" s="642"/>
      <c r="O479"/>
    </row>
    <row r="480" spans="1:15" x14ac:dyDescent="0.2">
      <c r="A480"/>
      <c r="B480" s="642"/>
      <c r="C480" s="642"/>
      <c r="F480"/>
      <c r="G480"/>
      <c r="H480"/>
      <c r="L480"/>
      <c r="M480"/>
      <c r="N480" s="642"/>
      <c r="O480"/>
    </row>
    <row r="481" spans="1:15" x14ac:dyDescent="0.2">
      <c r="A481"/>
      <c r="B481" s="642"/>
      <c r="C481" s="642"/>
      <c r="F481"/>
      <c r="G481"/>
      <c r="H481"/>
      <c r="I481"/>
      <c r="L481"/>
      <c r="M481"/>
      <c r="N481" s="642"/>
      <c r="O481"/>
    </row>
    <row r="482" spans="1:15" x14ac:dyDescent="0.2">
      <c r="A482"/>
      <c r="B482" s="642"/>
      <c r="C482" s="642"/>
      <c r="F482"/>
      <c r="G482"/>
      <c r="H482"/>
      <c r="J482"/>
      <c r="K482"/>
      <c r="L482"/>
      <c r="M482"/>
      <c r="N482" s="642"/>
      <c r="O482"/>
    </row>
    <row r="483" spans="1:15" x14ac:dyDescent="0.2">
      <c r="A483"/>
      <c r="B483" s="642"/>
      <c r="C483" s="642"/>
      <c r="F483"/>
      <c r="G483"/>
      <c r="H483"/>
      <c r="J483"/>
      <c r="K483"/>
      <c r="L483"/>
      <c r="M483"/>
      <c r="N483" s="642"/>
      <c r="O483"/>
    </row>
    <row r="484" spans="1:15" x14ac:dyDescent="0.2">
      <c r="A484"/>
      <c r="B484" s="642"/>
      <c r="C484" s="642"/>
      <c r="F484"/>
      <c r="G484"/>
      <c r="J484"/>
      <c r="K484"/>
      <c r="L484"/>
      <c r="M484"/>
      <c r="N484" s="642"/>
      <c r="O484"/>
    </row>
    <row r="485" spans="1:15" x14ac:dyDescent="0.2">
      <c r="A485"/>
      <c r="B485" s="642"/>
      <c r="C485" s="642"/>
      <c r="F485"/>
      <c r="G485"/>
      <c r="J485"/>
      <c r="K485"/>
      <c r="L485"/>
      <c r="M485"/>
      <c r="N485" s="642"/>
      <c r="O485"/>
    </row>
    <row r="486" spans="1:15" x14ac:dyDescent="0.2">
      <c r="A486"/>
      <c r="B486" s="642"/>
      <c r="C486" s="642"/>
      <c r="F486"/>
      <c r="G486"/>
      <c r="J486"/>
      <c r="K486"/>
      <c r="L486"/>
      <c r="M486"/>
      <c r="N486" s="642"/>
      <c r="O486"/>
    </row>
    <row r="487" spans="1:15" x14ac:dyDescent="0.2">
      <c r="A487"/>
      <c r="B487" s="642"/>
      <c r="C487" s="642"/>
      <c r="F487"/>
      <c r="G487"/>
      <c r="H487"/>
      <c r="I487"/>
      <c r="L487"/>
      <c r="N487" s="642"/>
      <c r="O487"/>
    </row>
    <row r="488" spans="1:15" x14ac:dyDescent="0.2">
      <c r="A488"/>
      <c r="B488" s="642"/>
      <c r="C488" s="642"/>
      <c r="F488"/>
      <c r="G488"/>
      <c r="J488"/>
      <c r="K488"/>
      <c r="L488"/>
      <c r="M488"/>
      <c r="N488" s="642"/>
      <c r="O488"/>
    </row>
    <row r="489" spans="1:15" x14ac:dyDescent="0.2">
      <c r="A489"/>
      <c r="B489" s="642"/>
      <c r="C489" s="642"/>
      <c r="F489"/>
      <c r="G489"/>
      <c r="I489"/>
      <c r="L489"/>
      <c r="M489"/>
      <c r="N489" s="642"/>
      <c r="O489"/>
    </row>
    <row r="490" spans="1:15" x14ac:dyDescent="0.2">
      <c r="A490"/>
      <c r="B490" s="642"/>
      <c r="C490" s="642"/>
      <c r="F490"/>
      <c r="G490"/>
      <c r="H490"/>
      <c r="I490"/>
      <c r="L490"/>
      <c r="M490"/>
      <c r="N490" s="642"/>
      <c r="O490"/>
    </row>
    <row r="491" spans="1:15" x14ac:dyDescent="0.2">
      <c r="A491"/>
      <c r="B491" s="642"/>
      <c r="C491" s="642"/>
      <c r="F491"/>
      <c r="G491"/>
      <c r="L491"/>
      <c r="M491"/>
      <c r="N491" s="642"/>
      <c r="O491"/>
    </row>
    <row r="492" spans="1:15" x14ac:dyDescent="0.2">
      <c r="A492"/>
      <c r="B492" s="642"/>
      <c r="C492" s="642"/>
      <c r="F492"/>
      <c r="G492"/>
      <c r="L492"/>
      <c r="M492"/>
      <c r="N492" s="642"/>
      <c r="O492"/>
    </row>
    <row r="493" spans="1:15" x14ac:dyDescent="0.2">
      <c r="A493"/>
      <c r="B493" s="642"/>
      <c r="C493" s="642"/>
      <c r="F493"/>
      <c r="G493"/>
      <c r="L493"/>
      <c r="M493"/>
      <c r="N493" s="642"/>
      <c r="O493"/>
    </row>
    <row r="494" spans="1:15" x14ac:dyDescent="0.2">
      <c r="A494"/>
      <c r="B494" s="642"/>
      <c r="C494" s="642"/>
      <c r="F494"/>
      <c r="G494"/>
      <c r="L494"/>
      <c r="M494"/>
      <c r="N494" s="642"/>
      <c r="O494"/>
    </row>
    <row r="495" spans="1:15" x14ac:dyDescent="0.2">
      <c r="A495"/>
      <c r="B495" s="642"/>
      <c r="C495" s="642"/>
      <c r="F495"/>
      <c r="G495"/>
      <c r="H495"/>
      <c r="I495"/>
      <c r="L495"/>
      <c r="M495"/>
      <c r="N495" s="642"/>
      <c r="O495"/>
    </row>
    <row r="496" spans="1:15" x14ac:dyDescent="0.2">
      <c r="A496"/>
      <c r="B496" s="642"/>
      <c r="C496" s="642"/>
      <c r="F496"/>
      <c r="G496"/>
      <c r="H496"/>
      <c r="I496"/>
      <c r="L496"/>
      <c r="M496"/>
      <c r="N496" s="642"/>
      <c r="O496"/>
    </row>
    <row r="497" spans="1:15" x14ac:dyDescent="0.2">
      <c r="A497"/>
      <c r="B497" s="642"/>
      <c r="C497" s="642"/>
      <c r="F497"/>
      <c r="G497"/>
      <c r="H497"/>
      <c r="I497"/>
      <c r="L497"/>
      <c r="M497"/>
      <c r="N497" s="642"/>
      <c r="O497"/>
    </row>
    <row r="498" spans="1:15" x14ac:dyDescent="0.2">
      <c r="A498"/>
      <c r="B498" s="642"/>
      <c r="C498" s="642"/>
      <c r="F498"/>
      <c r="G498"/>
      <c r="I498"/>
      <c r="L498"/>
      <c r="M498"/>
      <c r="N498" s="642"/>
      <c r="O498"/>
    </row>
    <row r="499" spans="1:15" x14ac:dyDescent="0.2">
      <c r="A499"/>
      <c r="B499" s="642"/>
      <c r="C499" s="642"/>
      <c r="F499"/>
      <c r="G499"/>
      <c r="I499"/>
      <c r="L499"/>
      <c r="M499"/>
      <c r="N499" s="642"/>
      <c r="O499"/>
    </row>
    <row r="500" spans="1:15" x14ac:dyDescent="0.2">
      <c r="A500"/>
      <c r="B500" s="642"/>
      <c r="C500" s="642"/>
      <c r="F500"/>
      <c r="G500"/>
      <c r="H500"/>
      <c r="I500"/>
      <c r="L500"/>
      <c r="M500"/>
      <c r="N500" s="642"/>
      <c r="O500"/>
    </row>
    <row r="501" spans="1:15" x14ac:dyDescent="0.2">
      <c r="A501"/>
      <c r="B501" s="642"/>
      <c r="C501" s="642"/>
      <c r="F501"/>
      <c r="G501"/>
      <c r="H501"/>
      <c r="I501"/>
      <c r="L501"/>
      <c r="M501"/>
      <c r="N501" s="642"/>
      <c r="O501"/>
    </row>
    <row r="502" spans="1:15" x14ac:dyDescent="0.2">
      <c r="A502"/>
      <c r="B502" s="642"/>
      <c r="C502" s="642"/>
      <c r="F502"/>
      <c r="G502"/>
      <c r="H502"/>
      <c r="I502"/>
      <c r="L502"/>
      <c r="M502"/>
      <c r="N502" s="642"/>
      <c r="O502"/>
    </row>
    <row r="503" spans="1:15" x14ac:dyDescent="0.2">
      <c r="A503"/>
      <c r="B503" s="642"/>
      <c r="C503" s="642"/>
      <c r="F503"/>
      <c r="G503"/>
      <c r="J503"/>
      <c r="L503"/>
      <c r="M503"/>
      <c r="N503" s="642"/>
      <c r="O503"/>
    </row>
    <row r="504" spans="1:15" x14ac:dyDescent="0.2">
      <c r="A504"/>
      <c r="B504" s="642"/>
      <c r="C504" s="642"/>
      <c r="F504"/>
      <c r="G504"/>
      <c r="H504"/>
      <c r="I504"/>
      <c r="L504"/>
      <c r="M504"/>
      <c r="N504" s="642"/>
      <c r="O504"/>
    </row>
    <row r="505" spans="1:15" x14ac:dyDescent="0.2">
      <c r="A505"/>
      <c r="B505" s="642"/>
      <c r="C505" s="642"/>
      <c r="F505"/>
      <c r="G505"/>
      <c r="I505"/>
      <c r="L505"/>
      <c r="M505"/>
      <c r="N505" s="642"/>
      <c r="O505"/>
    </row>
    <row r="506" spans="1:15" x14ac:dyDescent="0.2">
      <c r="A506"/>
      <c r="B506" s="642"/>
      <c r="C506" s="642"/>
      <c r="F506"/>
      <c r="G506"/>
      <c r="I506"/>
      <c r="L506"/>
      <c r="M506"/>
      <c r="N506" s="642"/>
      <c r="O506"/>
    </row>
    <row r="507" spans="1:15" x14ac:dyDescent="0.2">
      <c r="A507"/>
      <c r="B507" s="642"/>
      <c r="C507" s="642"/>
      <c r="F507"/>
      <c r="G507"/>
      <c r="I507"/>
      <c r="L507"/>
      <c r="M507"/>
      <c r="N507" s="642"/>
      <c r="O507"/>
    </row>
    <row r="508" spans="1:15" x14ac:dyDescent="0.2">
      <c r="A508"/>
      <c r="B508" s="642"/>
      <c r="C508" s="642"/>
      <c r="F508"/>
      <c r="G508"/>
      <c r="H508"/>
      <c r="I508"/>
      <c r="L508"/>
      <c r="M508"/>
      <c r="N508" s="642"/>
      <c r="O508"/>
    </row>
    <row r="509" spans="1:15" x14ac:dyDescent="0.2">
      <c r="A509"/>
      <c r="B509" s="642"/>
      <c r="C509" s="642"/>
      <c r="F509"/>
      <c r="G509"/>
      <c r="I509"/>
      <c r="L509"/>
      <c r="M509"/>
      <c r="N509" s="642"/>
      <c r="O509"/>
    </row>
    <row r="510" spans="1:15" x14ac:dyDescent="0.2">
      <c r="A510"/>
      <c r="B510" s="642"/>
      <c r="C510" s="642"/>
      <c r="F510"/>
      <c r="G510"/>
      <c r="L510"/>
      <c r="M510"/>
      <c r="N510" s="642"/>
      <c r="O510"/>
    </row>
    <row r="511" spans="1:15" x14ac:dyDescent="0.2">
      <c r="A511"/>
      <c r="B511" s="642"/>
      <c r="C511" s="642"/>
      <c r="F511"/>
      <c r="G511"/>
      <c r="H511"/>
      <c r="I511"/>
      <c r="J511"/>
      <c r="K511"/>
      <c r="L511"/>
      <c r="M511"/>
      <c r="N511" s="642"/>
      <c r="O511"/>
    </row>
    <row r="512" spans="1:15" x14ac:dyDescent="0.2">
      <c r="A512"/>
      <c r="B512" s="642"/>
      <c r="C512" s="642"/>
      <c r="F512"/>
      <c r="G512"/>
      <c r="H512"/>
      <c r="I512"/>
      <c r="L512"/>
      <c r="M512"/>
      <c r="N512" s="642"/>
      <c r="O512"/>
    </row>
    <row r="513" spans="1:15" x14ac:dyDescent="0.2">
      <c r="A513"/>
      <c r="B513" s="642"/>
      <c r="C513" s="642"/>
      <c r="F513"/>
      <c r="G513"/>
      <c r="I513"/>
      <c r="L513"/>
      <c r="M513"/>
      <c r="N513" s="642"/>
      <c r="O513"/>
    </row>
    <row r="514" spans="1:15" x14ac:dyDescent="0.2">
      <c r="A514"/>
      <c r="B514" s="642"/>
      <c r="C514" s="642"/>
      <c r="F514"/>
      <c r="G514"/>
      <c r="H514"/>
      <c r="J514"/>
      <c r="K514"/>
      <c r="L514"/>
      <c r="M514"/>
      <c r="N514" s="642"/>
      <c r="O514"/>
    </row>
    <row r="515" spans="1:15" x14ac:dyDescent="0.2">
      <c r="A515"/>
      <c r="B515" s="642"/>
      <c r="C515" s="642"/>
      <c r="F515"/>
      <c r="G515"/>
      <c r="H515"/>
      <c r="I515"/>
      <c r="L515"/>
      <c r="M515"/>
      <c r="N515" s="642"/>
      <c r="O515"/>
    </row>
    <row r="516" spans="1:15" x14ac:dyDescent="0.2">
      <c r="A516"/>
      <c r="B516" s="642"/>
      <c r="C516" s="642"/>
      <c r="F516"/>
      <c r="G516"/>
      <c r="I516"/>
      <c r="L516"/>
      <c r="M516"/>
      <c r="N516" s="642"/>
      <c r="O516"/>
    </row>
    <row r="517" spans="1:15" x14ac:dyDescent="0.2">
      <c r="A517"/>
      <c r="B517" s="642"/>
      <c r="C517" s="642"/>
      <c r="F517"/>
      <c r="G517"/>
      <c r="H517"/>
      <c r="I517"/>
      <c r="L517"/>
      <c r="M517"/>
      <c r="N517" s="642"/>
      <c r="O517"/>
    </row>
    <row r="518" spans="1:15" x14ac:dyDescent="0.2">
      <c r="A518"/>
      <c r="B518" s="642"/>
      <c r="C518" s="642"/>
      <c r="F518"/>
      <c r="G518"/>
      <c r="H518"/>
      <c r="I518"/>
      <c r="L518"/>
      <c r="M518"/>
      <c r="N518" s="642"/>
      <c r="O518"/>
    </row>
    <row r="519" spans="1:15" x14ac:dyDescent="0.2">
      <c r="A519"/>
      <c r="B519" s="642"/>
      <c r="C519" s="642"/>
      <c r="F519"/>
      <c r="G519"/>
      <c r="H519"/>
      <c r="I519"/>
      <c r="L519"/>
      <c r="M519"/>
      <c r="N519" s="642"/>
      <c r="O519"/>
    </row>
    <row r="520" spans="1:15" x14ac:dyDescent="0.2">
      <c r="A520"/>
      <c r="B520" s="642"/>
      <c r="C520" s="642"/>
      <c r="F520"/>
      <c r="G520"/>
      <c r="H520"/>
      <c r="J520"/>
      <c r="K520"/>
      <c r="L520"/>
      <c r="M520"/>
      <c r="N520" s="642"/>
      <c r="O520"/>
    </row>
    <row r="521" spans="1:15" x14ac:dyDescent="0.2">
      <c r="A521"/>
      <c r="B521" s="642"/>
      <c r="C521" s="642"/>
      <c r="F521"/>
      <c r="G521"/>
      <c r="M521"/>
      <c r="N521" s="642"/>
      <c r="O521"/>
    </row>
    <row r="522" spans="1:15" x14ac:dyDescent="0.2">
      <c r="A522"/>
      <c r="B522" s="642"/>
      <c r="C522" s="642"/>
      <c r="F522"/>
      <c r="G522"/>
      <c r="H522"/>
      <c r="I522"/>
      <c r="L522"/>
      <c r="M522"/>
      <c r="N522" s="642"/>
      <c r="O522"/>
    </row>
    <row r="523" spans="1:15" x14ac:dyDescent="0.2">
      <c r="A523"/>
      <c r="B523" s="642"/>
      <c r="C523" s="642"/>
      <c r="F523"/>
      <c r="G523"/>
      <c r="I523"/>
      <c r="L523"/>
      <c r="M523"/>
      <c r="N523" s="642"/>
      <c r="O523"/>
    </row>
    <row r="524" spans="1:15" x14ac:dyDescent="0.2">
      <c r="A524"/>
      <c r="B524" s="642"/>
      <c r="C524" s="642"/>
      <c r="F524"/>
      <c r="G524"/>
      <c r="H524"/>
      <c r="I524"/>
      <c r="L524"/>
      <c r="M524"/>
      <c r="N524" s="642"/>
      <c r="O524"/>
    </row>
    <row r="525" spans="1:15" x14ac:dyDescent="0.2">
      <c r="A525"/>
      <c r="B525" s="642"/>
      <c r="C525" s="642"/>
      <c r="F525"/>
      <c r="G525"/>
      <c r="H525"/>
      <c r="I525"/>
      <c r="L525"/>
      <c r="M525"/>
      <c r="N525" s="642"/>
      <c r="O525"/>
    </row>
    <row r="526" spans="1:15" x14ac:dyDescent="0.2">
      <c r="A526"/>
      <c r="B526" s="642"/>
      <c r="C526" s="642"/>
      <c r="F526"/>
      <c r="G526"/>
      <c r="H526"/>
      <c r="J526"/>
      <c r="K526"/>
      <c r="L526"/>
      <c r="M526"/>
      <c r="N526" s="642"/>
      <c r="O526"/>
    </row>
    <row r="527" spans="1:15" x14ac:dyDescent="0.2">
      <c r="A527"/>
      <c r="B527" s="642"/>
      <c r="C527" s="642"/>
      <c r="F527"/>
      <c r="G527"/>
      <c r="H527"/>
      <c r="I527"/>
      <c r="L527"/>
      <c r="M527"/>
      <c r="N527" s="642"/>
      <c r="O527"/>
    </row>
    <row r="528" spans="1:15" x14ac:dyDescent="0.2">
      <c r="A528"/>
      <c r="B528" s="642"/>
      <c r="C528" s="642"/>
      <c r="F528"/>
      <c r="G528"/>
      <c r="H528"/>
      <c r="J528"/>
      <c r="K528"/>
      <c r="L528"/>
      <c r="M528"/>
      <c r="N528" s="642"/>
      <c r="O528"/>
    </row>
    <row r="529" spans="1:15" x14ac:dyDescent="0.2">
      <c r="A529"/>
      <c r="B529" s="642"/>
      <c r="C529" s="642"/>
      <c r="F529"/>
      <c r="G529"/>
      <c r="H529"/>
      <c r="I529"/>
      <c r="L529"/>
      <c r="M529"/>
      <c r="N529" s="642"/>
      <c r="O529"/>
    </row>
    <row r="530" spans="1:15" x14ac:dyDescent="0.2">
      <c r="A530"/>
      <c r="B530" s="642"/>
      <c r="C530" s="642"/>
      <c r="F530"/>
      <c r="G530"/>
      <c r="I530"/>
      <c r="L530"/>
      <c r="M530"/>
      <c r="N530" s="642"/>
      <c r="O530"/>
    </row>
    <row r="531" spans="1:15" x14ac:dyDescent="0.2">
      <c r="A531"/>
      <c r="B531" s="642"/>
      <c r="C531" s="642"/>
      <c r="F531"/>
      <c r="G531"/>
      <c r="I531"/>
      <c r="L531"/>
      <c r="M531"/>
      <c r="N531" s="642"/>
      <c r="O531"/>
    </row>
    <row r="532" spans="1:15" x14ac:dyDescent="0.2">
      <c r="A532"/>
      <c r="B532" s="642"/>
      <c r="C532" s="642"/>
      <c r="F532"/>
      <c r="G532"/>
      <c r="H532"/>
      <c r="I532"/>
      <c r="L532"/>
      <c r="M532"/>
      <c r="N532" s="642"/>
      <c r="O532"/>
    </row>
    <row r="533" spans="1:15" x14ac:dyDescent="0.2">
      <c r="A533"/>
      <c r="B533" s="642"/>
      <c r="C533" s="642"/>
      <c r="F533"/>
      <c r="G533"/>
      <c r="I533"/>
      <c r="L533"/>
      <c r="M533"/>
      <c r="N533" s="642"/>
      <c r="O533"/>
    </row>
    <row r="534" spans="1:15" x14ac:dyDescent="0.2">
      <c r="A534"/>
      <c r="B534" s="642"/>
      <c r="C534" s="642"/>
      <c r="F534"/>
      <c r="G534"/>
      <c r="H534"/>
      <c r="I534"/>
      <c r="L534"/>
      <c r="M534"/>
      <c r="N534" s="642"/>
      <c r="O534"/>
    </row>
    <row r="535" spans="1:15" x14ac:dyDescent="0.2">
      <c r="A535"/>
      <c r="B535" s="642"/>
      <c r="C535" s="642"/>
      <c r="F535"/>
      <c r="G535"/>
      <c r="H535"/>
      <c r="I535"/>
      <c r="L535"/>
      <c r="M535"/>
      <c r="N535" s="642"/>
      <c r="O535"/>
    </row>
    <row r="536" spans="1:15" x14ac:dyDescent="0.2">
      <c r="A536"/>
      <c r="B536" s="642"/>
      <c r="C536" s="642"/>
      <c r="F536"/>
      <c r="G536"/>
      <c r="H536"/>
      <c r="I536"/>
      <c r="L536"/>
      <c r="M536"/>
      <c r="N536" s="642"/>
      <c r="O536"/>
    </row>
    <row r="537" spans="1:15" x14ac:dyDescent="0.2">
      <c r="A537"/>
      <c r="B537" s="642"/>
      <c r="C537" s="642"/>
      <c r="F537"/>
      <c r="G537"/>
      <c r="H537"/>
      <c r="I537"/>
      <c r="L537"/>
      <c r="M537"/>
      <c r="N537" s="642"/>
      <c r="O537"/>
    </row>
    <row r="538" spans="1:15" x14ac:dyDescent="0.2">
      <c r="A538"/>
      <c r="B538" s="642"/>
      <c r="C538" s="642"/>
      <c r="F538"/>
      <c r="G538"/>
      <c r="H538"/>
      <c r="I538"/>
      <c r="L538"/>
      <c r="M538"/>
      <c r="N538" s="642"/>
      <c r="O538"/>
    </row>
    <row r="539" spans="1:15" x14ac:dyDescent="0.2">
      <c r="A539"/>
      <c r="B539" s="642"/>
      <c r="C539" s="642"/>
      <c r="F539"/>
      <c r="G539"/>
      <c r="J539"/>
      <c r="L539"/>
      <c r="M539"/>
      <c r="N539" s="642"/>
      <c r="O539"/>
    </row>
    <row r="540" spans="1:15" x14ac:dyDescent="0.2">
      <c r="A540"/>
      <c r="B540" s="642"/>
      <c r="C540" s="642"/>
      <c r="F540"/>
      <c r="G540"/>
      <c r="H540"/>
      <c r="L540"/>
      <c r="M540"/>
      <c r="N540" s="642"/>
      <c r="O540"/>
    </row>
    <row r="541" spans="1:15" x14ac:dyDescent="0.2">
      <c r="A541"/>
      <c r="B541" s="642"/>
      <c r="C541" s="642"/>
      <c r="F541"/>
      <c r="G541"/>
      <c r="J541"/>
      <c r="K541"/>
      <c r="L541"/>
      <c r="M541"/>
      <c r="N541" s="642"/>
      <c r="O541"/>
    </row>
    <row r="542" spans="1:15" x14ac:dyDescent="0.2">
      <c r="A542"/>
      <c r="B542" s="642"/>
      <c r="C542" s="642"/>
      <c r="F542"/>
      <c r="G542"/>
      <c r="L542"/>
      <c r="M542"/>
      <c r="N542" s="642"/>
      <c r="O542"/>
    </row>
    <row r="543" spans="1:15" x14ac:dyDescent="0.2">
      <c r="A543"/>
      <c r="B543" s="642"/>
      <c r="C543" s="642"/>
      <c r="F543"/>
      <c r="G543"/>
      <c r="H543"/>
      <c r="J543"/>
      <c r="K543"/>
      <c r="L543"/>
      <c r="M543"/>
      <c r="N543" s="642"/>
      <c r="O543"/>
    </row>
    <row r="544" spans="1:15" x14ac:dyDescent="0.2">
      <c r="A544"/>
      <c r="B544" s="642"/>
      <c r="C544" s="642"/>
      <c r="F544"/>
      <c r="G544"/>
      <c r="L544"/>
      <c r="M544"/>
      <c r="N544" s="642"/>
      <c r="O544"/>
    </row>
    <row r="545" spans="1:15" x14ac:dyDescent="0.2">
      <c r="A545"/>
      <c r="B545" s="642"/>
      <c r="C545" s="642"/>
      <c r="F545"/>
      <c r="G545"/>
      <c r="L545"/>
      <c r="M545"/>
      <c r="N545" s="642"/>
      <c r="O545"/>
    </row>
    <row r="546" spans="1:15" x14ac:dyDescent="0.2">
      <c r="A546"/>
      <c r="B546" s="642"/>
      <c r="C546" s="642"/>
      <c r="F546"/>
      <c r="G546"/>
      <c r="L546"/>
      <c r="M546"/>
      <c r="N546" s="642"/>
      <c r="O546"/>
    </row>
    <row r="547" spans="1:15" x14ac:dyDescent="0.2">
      <c r="A547"/>
      <c r="B547" s="642"/>
      <c r="C547" s="642"/>
      <c r="F547"/>
      <c r="G547"/>
      <c r="L547"/>
      <c r="M547"/>
      <c r="N547" s="642"/>
      <c r="O547"/>
    </row>
    <row r="548" spans="1:15" x14ac:dyDescent="0.2">
      <c r="A548"/>
      <c r="B548" s="642"/>
      <c r="C548" s="642"/>
      <c r="F548"/>
      <c r="G548"/>
      <c r="L548"/>
      <c r="M548"/>
      <c r="N548" s="642"/>
      <c r="O548"/>
    </row>
    <row r="549" spans="1:15" x14ac:dyDescent="0.2">
      <c r="A549"/>
      <c r="B549" s="642"/>
      <c r="C549" s="642"/>
      <c r="F549"/>
      <c r="G549"/>
      <c r="L549"/>
      <c r="M549"/>
      <c r="N549" s="642"/>
      <c r="O549"/>
    </row>
    <row r="550" spans="1:15" x14ac:dyDescent="0.2">
      <c r="A550"/>
      <c r="B550" s="642"/>
      <c r="C550" s="642"/>
      <c r="F550"/>
      <c r="G550"/>
      <c r="L550"/>
      <c r="M550"/>
      <c r="N550" s="642"/>
      <c r="O550"/>
    </row>
    <row r="551" spans="1:15" x14ac:dyDescent="0.2">
      <c r="A551"/>
      <c r="B551" s="642"/>
      <c r="C551" s="642"/>
      <c r="F551"/>
      <c r="G551"/>
      <c r="I551"/>
      <c r="L551"/>
      <c r="M551"/>
      <c r="N551" s="642"/>
      <c r="O551"/>
    </row>
    <row r="552" spans="1:15" x14ac:dyDescent="0.2">
      <c r="A552"/>
      <c r="B552" s="642"/>
      <c r="C552" s="642"/>
      <c r="F552"/>
      <c r="G552"/>
      <c r="I552"/>
      <c r="L552"/>
      <c r="M552"/>
      <c r="N552" s="642"/>
      <c r="O552"/>
    </row>
    <row r="553" spans="1:15" x14ac:dyDescent="0.2">
      <c r="A553"/>
      <c r="B553" s="642"/>
      <c r="C553" s="642"/>
      <c r="F553"/>
      <c r="G553"/>
      <c r="I553"/>
      <c r="L553"/>
      <c r="M553"/>
      <c r="N553" s="642"/>
      <c r="O553"/>
    </row>
    <row r="554" spans="1:15" x14ac:dyDescent="0.2">
      <c r="A554"/>
      <c r="B554" s="642"/>
      <c r="C554" s="642"/>
      <c r="F554"/>
      <c r="G554"/>
      <c r="H554"/>
      <c r="I554"/>
      <c r="L554"/>
      <c r="M554"/>
      <c r="N554" s="642"/>
      <c r="O554"/>
    </row>
    <row r="555" spans="1:15" x14ac:dyDescent="0.2">
      <c r="A555"/>
      <c r="B555" s="642"/>
      <c r="C555" s="642"/>
      <c r="F555"/>
      <c r="G555"/>
      <c r="L555"/>
      <c r="M555"/>
      <c r="N555" s="642"/>
      <c r="O555"/>
    </row>
    <row r="556" spans="1:15" x14ac:dyDescent="0.2">
      <c r="A556"/>
      <c r="B556" s="642"/>
      <c r="C556" s="642"/>
      <c r="F556"/>
      <c r="G556"/>
      <c r="L556"/>
      <c r="M556"/>
      <c r="N556" s="642"/>
      <c r="O556"/>
    </row>
    <row r="557" spans="1:15" x14ac:dyDescent="0.2">
      <c r="A557"/>
      <c r="B557" s="642"/>
      <c r="C557" s="642"/>
      <c r="F557"/>
      <c r="G557"/>
      <c r="H557"/>
      <c r="I557"/>
      <c r="L557"/>
      <c r="M557"/>
      <c r="N557" s="642"/>
      <c r="O557"/>
    </row>
    <row r="558" spans="1:15" x14ac:dyDescent="0.2">
      <c r="A558"/>
      <c r="B558" s="642"/>
      <c r="C558" s="642"/>
      <c r="F558"/>
      <c r="G558"/>
      <c r="I558"/>
      <c r="L558"/>
      <c r="M558"/>
      <c r="N558" s="642"/>
      <c r="O558"/>
    </row>
    <row r="559" spans="1:15" x14ac:dyDescent="0.2">
      <c r="A559"/>
      <c r="B559" s="642"/>
      <c r="C559" s="642"/>
      <c r="F559"/>
      <c r="G559"/>
      <c r="H559"/>
      <c r="I559"/>
      <c r="L559"/>
      <c r="M559"/>
      <c r="N559" s="642"/>
      <c r="O559"/>
    </row>
    <row r="560" spans="1:15" x14ac:dyDescent="0.2">
      <c r="A560"/>
      <c r="B560" s="642"/>
      <c r="C560" s="642"/>
      <c r="F560"/>
      <c r="G560"/>
      <c r="H560"/>
      <c r="I560"/>
      <c r="L560"/>
      <c r="M560"/>
      <c r="N560" s="642"/>
      <c r="O560"/>
    </row>
    <row r="561" spans="1:15" x14ac:dyDescent="0.2">
      <c r="A561"/>
      <c r="B561" s="642"/>
      <c r="C561" s="642"/>
      <c r="F561"/>
      <c r="G561"/>
      <c r="M561"/>
      <c r="N561" s="642"/>
      <c r="O561"/>
    </row>
    <row r="562" spans="1:15" x14ac:dyDescent="0.2">
      <c r="A562"/>
      <c r="B562" s="642"/>
      <c r="C562" s="642"/>
      <c r="F562"/>
      <c r="G562"/>
      <c r="H562"/>
      <c r="I562"/>
      <c r="L562"/>
      <c r="M562"/>
      <c r="N562" s="642"/>
      <c r="O562"/>
    </row>
    <row r="563" spans="1:15" x14ac:dyDescent="0.2">
      <c r="A563"/>
      <c r="B563" s="642"/>
      <c r="C563" s="642"/>
      <c r="F563"/>
      <c r="G563"/>
      <c r="H563"/>
      <c r="L563"/>
      <c r="M563"/>
      <c r="N563" s="642"/>
      <c r="O563"/>
    </row>
    <row r="564" spans="1:15" x14ac:dyDescent="0.2">
      <c r="A564"/>
      <c r="B564" s="642"/>
      <c r="C564" s="642"/>
      <c r="F564"/>
      <c r="G564"/>
      <c r="I564"/>
      <c r="L564"/>
      <c r="M564"/>
      <c r="N564" s="642"/>
      <c r="O564"/>
    </row>
    <row r="565" spans="1:15" x14ac:dyDescent="0.2">
      <c r="A565"/>
      <c r="B565" s="642"/>
      <c r="C565" s="642"/>
      <c r="F565"/>
      <c r="G565"/>
      <c r="M565"/>
      <c r="N565" s="642"/>
      <c r="O565"/>
    </row>
    <row r="566" spans="1:15" x14ac:dyDescent="0.2">
      <c r="A566"/>
      <c r="B566" s="642"/>
      <c r="C566" s="642"/>
      <c r="F566"/>
      <c r="G566"/>
      <c r="H566"/>
      <c r="I566"/>
      <c r="L566"/>
      <c r="M566"/>
      <c r="N566" s="642"/>
      <c r="O566"/>
    </row>
    <row r="567" spans="1:15" x14ac:dyDescent="0.2">
      <c r="A567"/>
      <c r="B567" s="642"/>
      <c r="C567" s="642"/>
      <c r="F567"/>
      <c r="G567"/>
      <c r="H567"/>
      <c r="I567"/>
      <c r="L567"/>
      <c r="M567"/>
      <c r="N567" s="642"/>
      <c r="O567"/>
    </row>
    <row r="568" spans="1:15" x14ac:dyDescent="0.2">
      <c r="A568"/>
      <c r="B568" s="642"/>
      <c r="C568" s="642"/>
      <c r="F568"/>
      <c r="G568"/>
      <c r="H568"/>
      <c r="I568"/>
      <c r="L568"/>
      <c r="M568"/>
      <c r="N568" s="642"/>
      <c r="O568"/>
    </row>
    <row r="569" spans="1:15" x14ac:dyDescent="0.2">
      <c r="A569"/>
      <c r="B569" s="642"/>
      <c r="C569" s="642"/>
      <c r="F569"/>
      <c r="G569"/>
      <c r="L569"/>
      <c r="M569"/>
      <c r="N569" s="642"/>
      <c r="O569"/>
    </row>
    <row r="570" spans="1:15" x14ac:dyDescent="0.2">
      <c r="A570"/>
      <c r="B570" s="642"/>
      <c r="C570" s="642"/>
      <c r="F570"/>
      <c r="G570"/>
      <c r="H570"/>
      <c r="I570"/>
      <c r="L570"/>
      <c r="M570"/>
      <c r="N570" s="642"/>
      <c r="O570"/>
    </row>
    <row r="571" spans="1:15" x14ac:dyDescent="0.2">
      <c r="A571"/>
      <c r="B571" s="642"/>
      <c r="C571" s="642"/>
      <c r="F571"/>
      <c r="G571"/>
      <c r="I571"/>
      <c r="L571"/>
      <c r="M571"/>
      <c r="N571" s="642"/>
      <c r="O571"/>
    </row>
    <row r="572" spans="1:15" x14ac:dyDescent="0.2">
      <c r="A572"/>
      <c r="B572" s="642"/>
      <c r="C572" s="642"/>
      <c r="F572"/>
      <c r="G572"/>
      <c r="L572"/>
      <c r="M572"/>
      <c r="N572" s="642"/>
      <c r="O572"/>
    </row>
    <row r="573" spans="1:15" x14ac:dyDescent="0.2">
      <c r="A573"/>
      <c r="B573" s="642"/>
      <c r="C573" s="642"/>
      <c r="F573"/>
      <c r="G573"/>
      <c r="I573"/>
      <c r="L573"/>
      <c r="M573"/>
      <c r="N573" s="642"/>
      <c r="O573"/>
    </row>
    <row r="574" spans="1:15" x14ac:dyDescent="0.2">
      <c r="A574"/>
      <c r="B574" s="642"/>
      <c r="C574" s="642"/>
      <c r="F574"/>
      <c r="G574"/>
      <c r="H574"/>
      <c r="I574"/>
      <c r="L574"/>
      <c r="N574" s="642"/>
      <c r="O574"/>
    </row>
    <row r="575" spans="1:15" x14ac:dyDescent="0.2">
      <c r="A575"/>
      <c r="B575" s="642"/>
      <c r="C575" s="642"/>
      <c r="F575"/>
      <c r="G575"/>
      <c r="H575"/>
      <c r="I575"/>
      <c r="L575"/>
      <c r="N575" s="642"/>
      <c r="O575"/>
    </row>
    <row r="576" spans="1:15" x14ac:dyDescent="0.2">
      <c r="A576"/>
      <c r="B576" s="642"/>
      <c r="C576" s="642"/>
      <c r="F576"/>
      <c r="G576"/>
      <c r="M576"/>
      <c r="N576" s="642"/>
      <c r="O576"/>
    </row>
    <row r="577" spans="1:15" x14ac:dyDescent="0.2">
      <c r="A577"/>
      <c r="B577" s="642"/>
      <c r="C577" s="642"/>
      <c r="F577"/>
      <c r="G577"/>
      <c r="I577"/>
      <c r="L577"/>
      <c r="M577"/>
      <c r="N577" s="642"/>
      <c r="O577"/>
    </row>
    <row r="578" spans="1:15" x14ac:dyDescent="0.2">
      <c r="A578"/>
      <c r="B578" s="642"/>
      <c r="C578" s="642"/>
      <c r="F578"/>
      <c r="G578"/>
      <c r="H578"/>
      <c r="I578"/>
      <c r="L578"/>
      <c r="M578"/>
      <c r="N578" s="642"/>
      <c r="O578"/>
    </row>
    <row r="579" spans="1:15" x14ac:dyDescent="0.2">
      <c r="A579"/>
      <c r="B579" s="642"/>
      <c r="C579" s="642"/>
      <c r="F579"/>
      <c r="G579"/>
      <c r="L579"/>
      <c r="M579"/>
      <c r="N579" s="642"/>
      <c r="O579"/>
    </row>
    <row r="580" spans="1:15" x14ac:dyDescent="0.2">
      <c r="A580"/>
      <c r="B580" s="642"/>
      <c r="C580" s="642"/>
      <c r="F580"/>
      <c r="G580"/>
      <c r="H580"/>
      <c r="I580"/>
      <c r="L580"/>
      <c r="M580"/>
      <c r="N580" s="642"/>
      <c r="O580"/>
    </row>
    <row r="581" spans="1:15" x14ac:dyDescent="0.2">
      <c r="A581"/>
      <c r="B581" s="642"/>
      <c r="C581" s="642"/>
      <c r="F581"/>
      <c r="G581"/>
      <c r="J581"/>
      <c r="K581"/>
      <c r="L581"/>
      <c r="M581"/>
      <c r="N581" s="642"/>
      <c r="O581"/>
    </row>
    <row r="582" spans="1:15" x14ac:dyDescent="0.2">
      <c r="A582"/>
      <c r="B582" s="642"/>
      <c r="C582" s="642"/>
      <c r="F582"/>
      <c r="G582"/>
      <c r="H582"/>
      <c r="I582"/>
      <c r="L582"/>
      <c r="M582"/>
      <c r="N582" s="642"/>
      <c r="O582"/>
    </row>
    <row r="583" spans="1:15" x14ac:dyDescent="0.2">
      <c r="A583"/>
      <c r="B583" s="642"/>
      <c r="C583" s="642"/>
      <c r="F583"/>
      <c r="G583"/>
      <c r="H583"/>
      <c r="I583"/>
      <c r="L583"/>
      <c r="M583"/>
      <c r="N583" s="642"/>
      <c r="O583"/>
    </row>
    <row r="584" spans="1:15" x14ac:dyDescent="0.2">
      <c r="A584"/>
      <c r="B584" s="642"/>
      <c r="C584" s="642"/>
      <c r="F584"/>
      <c r="G584"/>
      <c r="H584"/>
      <c r="I584"/>
      <c r="L584"/>
      <c r="M584"/>
      <c r="N584" s="642"/>
      <c r="O584"/>
    </row>
    <row r="585" spans="1:15" x14ac:dyDescent="0.2">
      <c r="A585"/>
      <c r="B585" s="642"/>
      <c r="C585" s="642"/>
      <c r="F585"/>
      <c r="G585"/>
      <c r="J585"/>
      <c r="M585"/>
      <c r="N585" s="642"/>
      <c r="O585"/>
    </row>
    <row r="586" spans="1:15" x14ac:dyDescent="0.2">
      <c r="A586"/>
      <c r="B586" s="642"/>
      <c r="C586" s="642"/>
      <c r="F586"/>
      <c r="G586"/>
      <c r="H586"/>
      <c r="I586"/>
      <c r="L586"/>
      <c r="M586"/>
      <c r="N586" s="642"/>
      <c r="O586"/>
    </row>
    <row r="587" spans="1:15" x14ac:dyDescent="0.2">
      <c r="A587"/>
      <c r="B587" s="642"/>
      <c r="C587" s="642"/>
      <c r="F587"/>
      <c r="G587"/>
      <c r="H587"/>
      <c r="I587"/>
      <c r="L587"/>
      <c r="M587"/>
      <c r="N587" s="642"/>
      <c r="O587"/>
    </row>
    <row r="588" spans="1:15" x14ac:dyDescent="0.2">
      <c r="A588"/>
      <c r="B588" s="642"/>
      <c r="C588" s="642"/>
      <c r="F588"/>
      <c r="G588"/>
      <c r="H588"/>
      <c r="I588"/>
      <c r="L588"/>
      <c r="M588"/>
      <c r="N588" s="642"/>
      <c r="O588"/>
    </row>
    <row r="589" spans="1:15" x14ac:dyDescent="0.2">
      <c r="A589"/>
      <c r="B589" s="642"/>
      <c r="C589" s="642"/>
      <c r="F589"/>
      <c r="G589"/>
      <c r="H589"/>
      <c r="I589"/>
      <c r="L589"/>
      <c r="N589" s="642"/>
      <c r="O589"/>
    </row>
    <row r="590" spans="1:15" x14ac:dyDescent="0.2">
      <c r="A590"/>
      <c r="B590" s="642"/>
      <c r="C590" s="642"/>
      <c r="F590"/>
      <c r="G590"/>
      <c r="H590"/>
      <c r="L590"/>
      <c r="M590"/>
      <c r="N590" s="642"/>
      <c r="O590"/>
    </row>
    <row r="591" spans="1:15" x14ac:dyDescent="0.2">
      <c r="A591"/>
      <c r="B591" s="642"/>
      <c r="C591" s="642"/>
      <c r="F591"/>
      <c r="G591"/>
      <c r="H591"/>
      <c r="I591"/>
      <c r="L591"/>
      <c r="M591"/>
      <c r="N591" s="642"/>
      <c r="O591"/>
    </row>
    <row r="592" spans="1:15" x14ac:dyDescent="0.2">
      <c r="A592"/>
      <c r="B592" s="642"/>
      <c r="C592" s="642"/>
      <c r="F592"/>
      <c r="G592"/>
      <c r="H592"/>
      <c r="I592"/>
      <c r="L592"/>
      <c r="M592"/>
      <c r="N592" s="642"/>
      <c r="O592"/>
    </row>
    <row r="593" spans="1:15" x14ac:dyDescent="0.2">
      <c r="A593"/>
      <c r="B593" s="642"/>
      <c r="C593" s="642"/>
      <c r="F593"/>
      <c r="G593"/>
      <c r="I593"/>
      <c r="L593"/>
      <c r="M593"/>
      <c r="N593" s="642"/>
      <c r="O593"/>
    </row>
    <row r="594" spans="1:15" x14ac:dyDescent="0.2">
      <c r="A594"/>
      <c r="B594" s="642"/>
      <c r="C594" s="642"/>
      <c r="F594"/>
      <c r="G594"/>
      <c r="H594"/>
      <c r="I594"/>
      <c r="L594"/>
      <c r="M594"/>
      <c r="N594" s="642"/>
      <c r="O594"/>
    </row>
    <row r="595" spans="1:15" x14ac:dyDescent="0.2">
      <c r="A595"/>
      <c r="B595" s="642"/>
      <c r="C595" s="642"/>
      <c r="F595"/>
      <c r="G595"/>
      <c r="I595"/>
      <c r="L595"/>
      <c r="M595"/>
      <c r="N595" s="642"/>
      <c r="O595"/>
    </row>
    <row r="596" spans="1:15" x14ac:dyDescent="0.2">
      <c r="A596"/>
      <c r="B596" s="642"/>
      <c r="C596" s="642"/>
      <c r="F596"/>
      <c r="G596"/>
      <c r="H596"/>
      <c r="I596"/>
      <c r="L596"/>
      <c r="M596"/>
      <c r="N596" s="642"/>
      <c r="O596"/>
    </row>
    <row r="597" spans="1:15" x14ac:dyDescent="0.2">
      <c r="A597"/>
      <c r="B597" s="642"/>
      <c r="C597" s="642"/>
      <c r="F597"/>
      <c r="G597"/>
      <c r="H597"/>
      <c r="I597"/>
      <c r="L597"/>
      <c r="M597"/>
      <c r="N597" s="642"/>
      <c r="O597"/>
    </row>
    <row r="598" spans="1:15" x14ac:dyDescent="0.2">
      <c r="A598"/>
      <c r="B598" s="642"/>
      <c r="C598" s="642"/>
      <c r="F598"/>
      <c r="G598"/>
      <c r="H598"/>
      <c r="J598"/>
      <c r="K598"/>
      <c r="L598"/>
      <c r="M598"/>
      <c r="N598" s="642"/>
      <c r="O598"/>
    </row>
    <row r="599" spans="1:15" x14ac:dyDescent="0.2">
      <c r="A599"/>
      <c r="B599" s="642"/>
      <c r="C599" s="642"/>
      <c r="F599"/>
      <c r="G599"/>
      <c r="H599"/>
      <c r="J599"/>
      <c r="K599"/>
      <c r="L599"/>
      <c r="M599"/>
      <c r="N599" s="642"/>
      <c r="O599"/>
    </row>
    <row r="600" spans="1:15" x14ac:dyDescent="0.2">
      <c r="A600"/>
      <c r="B600" s="642"/>
      <c r="C600" s="642"/>
      <c r="F600"/>
      <c r="G600"/>
      <c r="L600"/>
      <c r="M600"/>
      <c r="N600" s="642"/>
      <c r="O600"/>
    </row>
    <row r="601" spans="1:15" x14ac:dyDescent="0.2">
      <c r="A601"/>
      <c r="B601" s="642"/>
      <c r="C601" s="642"/>
      <c r="F601"/>
      <c r="G601"/>
      <c r="J601"/>
      <c r="K601"/>
      <c r="L601"/>
      <c r="M601"/>
      <c r="N601" s="642"/>
      <c r="O601"/>
    </row>
    <row r="602" spans="1:15" x14ac:dyDescent="0.2">
      <c r="A602"/>
      <c r="B602" s="642"/>
      <c r="C602" s="642"/>
      <c r="F602"/>
      <c r="G602"/>
      <c r="H602"/>
      <c r="I602"/>
      <c r="L602"/>
      <c r="M602"/>
      <c r="N602" s="642"/>
      <c r="O602"/>
    </row>
    <row r="603" spans="1:15" x14ac:dyDescent="0.2">
      <c r="A603"/>
      <c r="B603" s="642"/>
      <c r="C603" s="642"/>
      <c r="F603"/>
      <c r="G603"/>
      <c r="I603"/>
      <c r="L603"/>
      <c r="M603"/>
      <c r="N603" s="642"/>
      <c r="O603"/>
    </row>
    <row r="604" spans="1:15" x14ac:dyDescent="0.2">
      <c r="A604"/>
      <c r="B604" s="642"/>
      <c r="C604" s="642"/>
      <c r="F604"/>
      <c r="G604"/>
      <c r="L604"/>
      <c r="M604"/>
      <c r="N604" s="642"/>
      <c r="O604"/>
    </row>
    <row r="605" spans="1:15" x14ac:dyDescent="0.2">
      <c r="A605"/>
      <c r="B605" s="642"/>
      <c r="C605" s="642"/>
      <c r="F605"/>
      <c r="G605"/>
      <c r="J605"/>
      <c r="K605"/>
      <c r="L605"/>
      <c r="M605"/>
      <c r="N605" s="642"/>
      <c r="O605"/>
    </row>
    <row r="606" spans="1:15" x14ac:dyDescent="0.2">
      <c r="A606"/>
      <c r="B606" s="642"/>
      <c r="C606" s="642"/>
      <c r="F606"/>
      <c r="G606"/>
      <c r="H606"/>
      <c r="J606"/>
      <c r="K606"/>
      <c r="L606"/>
      <c r="M606"/>
      <c r="N606" s="642"/>
      <c r="O606"/>
    </row>
    <row r="607" spans="1:15" x14ac:dyDescent="0.2">
      <c r="A607"/>
      <c r="B607" s="642"/>
      <c r="C607" s="642"/>
      <c r="F607"/>
      <c r="G607"/>
      <c r="M607"/>
      <c r="N607" s="642"/>
      <c r="O607"/>
    </row>
    <row r="608" spans="1:15" x14ac:dyDescent="0.2">
      <c r="A608"/>
      <c r="B608" s="642"/>
      <c r="C608" s="642"/>
      <c r="F608"/>
      <c r="G608"/>
      <c r="L608"/>
      <c r="M608"/>
      <c r="N608" s="642"/>
      <c r="O608"/>
    </row>
    <row r="609" spans="1:15" x14ac:dyDescent="0.2">
      <c r="A609"/>
      <c r="B609" s="642"/>
      <c r="C609" s="642"/>
      <c r="F609"/>
      <c r="G609"/>
      <c r="H609"/>
      <c r="I609"/>
      <c r="L609"/>
      <c r="N609" s="642"/>
      <c r="O609"/>
    </row>
    <row r="610" spans="1:15" x14ac:dyDescent="0.2">
      <c r="A610"/>
      <c r="B610" s="642"/>
      <c r="C610" s="642"/>
      <c r="F610"/>
      <c r="G610"/>
      <c r="H610"/>
      <c r="I610"/>
      <c r="L610"/>
      <c r="M610"/>
      <c r="N610" s="642"/>
      <c r="O610"/>
    </row>
    <row r="611" spans="1:15" x14ac:dyDescent="0.2">
      <c r="A611"/>
      <c r="B611" s="642"/>
      <c r="C611" s="642"/>
      <c r="F611"/>
      <c r="G611"/>
      <c r="L611"/>
      <c r="M611"/>
      <c r="N611" s="642"/>
      <c r="O611"/>
    </row>
    <row r="612" spans="1:15" x14ac:dyDescent="0.2">
      <c r="A612"/>
      <c r="B612" s="642"/>
      <c r="C612" s="642"/>
      <c r="F612"/>
      <c r="G612"/>
      <c r="H612"/>
      <c r="I612"/>
      <c r="L612"/>
      <c r="M612"/>
      <c r="N612" s="642"/>
      <c r="O612"/>
    </row>
    <row r="613" spans="1:15" x14ac:dyDescent="0.2">
      <c r="A613"/>
      <c r="B613" s="642"/>
      <c r="C613" s="642"/>
      <c r="F613"/>
      <c r="G613"/>
      <c r="I613"/>
      <c r="L613"/>
      <c r="M613"/>
      <c r="N613" s="642"/>
      <c r="O613"/>
    </row>
    <row r="614" spans="1:15" x14ac:dyDescent="0.2">
      <c r="A614"/>
      <c r="B614" s="642"/>
      <c r="C614" s="642"/>
      <c r="F614"/>
      <c r="G614"/>
      <c r="I614"/>
      <c r="L614"/>
      <c r="M614"/>
      <c r="N614" s="642"/>
      <c r="O614"/>
    </row>
    <row r="615" spans="1:15" x14ac:dyDescent="0.2">
      <c r="A615"/>
      <c r="B615" s="642"/>
      <c r="C615" s="642"/>
      <c r="F615"/>
      <c r="G615"/>
      <c r="H615"/>
      <c r="L615"/>
      <c r="M615"/>
      <c r="N615" s="642"/>
      <c r="O615"/>
    </row>
    <row r="616" spans="1:15" x14ac:dyDescent="0.2">
      <c r="A616"/>
      <c r="B616" s="642"/>
      <c r="C616" s="642"/>
      <c r="F616"/>
      <c r="G616"/>
      <c r="H616"/>
      <c r="I616"/>
      <c r="L616"/>
      <c r="M616"/>
      <c r="N616" s="642"/>
      <c r="O616"/>
    </row>
    <row r="617" spans="1:15" x14ac:dyDescent="0.2">
      <c r="A617"/>
      <c r="B617" s="642"/>
      <c r="C617" s="642"/>
      <c r="F617"/>
      <c r="G617"/>
      <c r="H617"/>
      <c r="I617"/>
      <c r="L617"/>
      <c r="M617"/>
      <c r="N617" s="642"/>
      <c r="O617"/>
    </row>
    <row r="618" spans="1:15" x14ac:dyDescent="0.2">
      <c r="A618"/>
      <c r="B618" s="642"/>
      <c r="C618" s="642"/>
      <c r="F618"/>
      <c r="G618"/>
      <c r="H618"/>
      <c r="I618"/>
      <c r="L618"/>
      <c r="M618"/>
      <c r="N618" s="642"/>
      <c r="O618"/>
    </row>
    <row r="619" spans="1:15" x14ac:dyDescent="0.2">
      <c r="A619"/>
      <c r="B619" s="642"/>
      <c r="C619" s="642"/>
      <c r="F619"/>
      <c r="G619"/>
      <c r="H619"/>
      <c r="I619"/>
      <c r="L619"/>
      <c r="M619"/>
      <c r="N619" s="642"/>
      <c r="O619"/>
    </row>
    <row r="620" spans="1:15" x14ac:dyDescent="0.2">
      <c r="A620"/>
      <c r="B620" s="642"/>
      <c r="C620" s="642"/>
      <c r="F620"/>
      <c r="G620"/>
      <c r="H620"/>
      <c r="I620"/>
      <c r="L620"/>
      <c r="M620"/>
      <c r="N620" s="642"/>
      <c r="O620"/>
    </row>
    <row r="621" spans="1:15" x14ac:dyDescent="0.2">
      <c r="A621"/>
      <c r="B621" s="642"/>
      <c r="C621" s="642"/>
      <c r="F621"/>
      <c r="G621"/>
      <c r="H621"/>
      <c r="I621"/>
      <c r="L621"/>
      <c r="M621"/>
      <c r="N621" s="642"/>
      <c r="O621"/>
    </row>
    <row r="622" spans="1:15" x14ac:dyDescent="0.2">
      <c r="A622"/>
      <c r="B622" s="642"/>
      <c r="C622" s="642"/>
      <c r="F622"/>
      <c r="G622"/>
      <c r="M622"/>
      <c r="N622" s="642"/>
      <c r="O622"/>
    </row>
    <row r="623" spans="1:15" x14ac:dyDescent="0.2">
      <c r="A623"/>
      <c r="B623" s="642"/>
      <c r="C623" s="642"/>
      <c r="F623"/>
      <c r="G623"/>
      <c r="I623"/>
      <c r="L623"/>
      <c r="M623"/>
      <c r="N623" s="642"/>
      <c r="O623"/>
    </row>
    <row r="624" spans="1:15" x14ac:dyDescent="0.2">
      <c r="A624"/>
      <c r="B624" s="642"/>
      <c r="C624" s="642"/>
      <c r="F624"/>
      <c r="G624"/>
      <c r="H624"/>
      <c r="I624"/>
      <c r="L624"/>
      <c r="M624"/>
      <c r="N624" s="642"/>
      <c r="O624"/>
    </row>
    <row r="625" spans="1:15" x14ac:dyDescent="0.2">
      <c r="A625"/>
      <c r="B625" s="642"/>
      <c r="C625" s="642"/>
      <c r="F625"/>
      <c r="G625"/>
      <c r="I625"/>
      <c r="L625"/>
      <c r="M625"/>
      <c r="N625" s="642"/>
      <c r="O625"/>
    </row>
    <row r="626" spans="1:15" x14ac:dyDescent="0.2">
      <c r="A626"/>
      <c r="B626" s="642"/>
      <c r="C626" s="642"/>
      <c r="F626"/>
      <c r="G626"/>
      <c r="H626"/>
      <c r="I626"/>
      <c r="L626"/>
      <c r="M626"/>
      <c r="N626" s="642"/>
      <c r="O626"/>
    </row>
    <row r="627" spans="1:15" x14ac:dyDescent="0.2">
      <c r="A627"/>
      <c r="B627" s="642"/>
      <c r="C627" s="642"/>
      <c r="F627"/>
      <c r="G627"/>
      <c r="I627"/>
      <c r="L627"/>
      <c r="M627"/>
      <c r="N627" s="642"/>
      <c r="O627"/>
    </row>
    <row r="628" spans="1:15" x14ac:dyDescent="0.2">
      <c r="A628"/>
      <c r="B628" s="642"/>
      <c r="C628" s="642"/>
      <c r="F628"/>
      <c r="G628"/>
      <c r="I628"/>
      <c r="L628"/>
      <c r="M628"/>
      <c r="N628" s="642"/>
      <c r="O628"/>
    </row>
    <row r="629" spans="1:15" x14ac:dyDescent="0.2">
      <c r="A629"/>
      <c r="B629" s="642"/>
      <c r="C629" s="642"/>
      <c r="F629"/>
      <c r="G629"/>
      <c r="L629"/>
      <c r="M629"/>
      <c r="N629" s="642"/>
      <c r="O629"/>
    </row>
    <row r="630" spans="1:15" x14ac:dyDescent="0.2">
      <c r="A630"/>
      <c r="B630" s="642"/>
      <c r="C630" s="642"/>
      <c r="F630"/>
      <c r="G630"/>
      <c r="I630"/>
      <c r="L630"/>
      <c r="M630"/>
      <c r="N630" s="642"/>
      <c r="O630"/>
    </row>
    <row r="631" spans="1:15" x14ac:dyDescent="0.2">
      <c r="A631"/>
      <c r="B631" s="642"/>
      <c r="C631" s="642"/>
      <c r="F631"/>
      <c r="G631"/>
      <c r="H631"/>
      <c r="I631"/>
      <c r="L631"/>
      <c r="M631"/>
      <c r="N631" s="642"/>
      <c r="O631"/>
    </row>
    <row r="632" spans="1:15" x14ac:dyDescent="0.2">
      <c r="A632"/>
      <c r="B632" s="642"/>
      <c r="C632" s="642"/>
      <c r="F632"/>
      <c r="G632"/>
      <c r="I632"/>
      <c r="L632"/>
      <c r="M632"/>
      <c r="N632" s="642"/>
      <c r="O632"/>
    </row>
    <row r="633" spans="1:15" x14ac:dyDescent="0.2">
      <c r="A633"/>
      <c r="B633" s="642"/>
      <c r="C633" s="642"/>
      <c r="F633"/>
      <c r="G633"/>
      <c r="I633"/>
      <c r="L633"/>
      <c r="M633"/>
      <c r="N633" s="642"/>
      <c r="O633"/>
    </row>
    <row r="634" spans="1:15" x14ac:dyDescent="0.2">
      <c r="A634"/>
      <c r="B634" s="642"/>
      <c r="C634" s="642"/>
      <c r="F634"/>
      <c r="G634"/>
      <c r="H634"/>
      <c r="J634"/>
      <c r="L634"/>
      <c r="M634"/>
      <c r="N634" s="642"/>
      <c r="O634"/>
    </row>
    <row r="635" spans="1:15" x14ac:dyDescent="0.2">
      <c r="A635"/>
      <c r="B635" s="642"/>
      <c r="C635" s="642"/>
      <c r="F635"/>
      <c r="G635"/>
      <c r="I635"/>
      <c r="L635"/>
      <c r="M635"/>
      <c r="N635" s="642"/>
      <c r="O635"/>
    </row>
    <row r="636" spans="1:15" x14ac:dyDescent="0.2">
      <c r="A636"/>
      <c r="B636" s="642"/>
      <c r="C636" s="642"/>
      <c r="F636"/>
      <c r="G636"/>
      <c r="I636"/>
      <c r="L636"/>
      <c r="M636"/>
      <c r="N636" s="642"/>
      <c r="O636"/>
    </row>
    <row r="637" spans="1:15" x14ac:dyDescent="0.2">
      <c r="A637"/>
      <c r="B637" s="642"/>
      <c r="C637" s="642"/>
      <c r="F637"/>
      <c r="G637"/>
      <c r="I637"/>
      <c r="L637"/>
      <c r="M637"/>
      <c r="N637" s="642"/>
      <c r="O637"/>
    </row>
    <row r="638" spans="1:15" x14ac:dyDescent="0.2">
      <c r="A638"/>
      <c r="B638" s="642"/>
      <c r="C638" s="642"/>
      <c r="F638"/>
      <c r="G638"/>
      <c r="I638"/>
      <c r="L638"/>
      <c r="M638"/>
      <c r="N638" s="642"/>
      <c r="O638"/>
    </row>
    <row r="639" spans="1:15" x14ac:dyDescent="0.2">
      <c r="A639"/>
      <c r="B639" s="642"/>
      <c r="C639" s="642"/>
      <c r="F639"/>
      <c r="G639"/>
      <c r="L639"/>
      <c r="M639"/>
      <c r="N639" s="642"/>
      <c r="O639"/>
    </row>
    <row r="640" spans="1:15" x14ac:dyDescent="0.2">
      <c r="A640"/>
      <c r="B640" s="642"/>
      <c r="C640" s="642"/>
      <c r="F640"/>
      <c r="G640"/>
      <c r="J640"/>
      <c r="K640"/>
      <c r="L640"/>
      <c r="M640"/>
      <c r="N640" s="642"/>
      <c r="O640"/>
    </row>
    <row r="641" spans="1:15" x14ac:dyDescent="0.2">
      <c r="A641"/>
      <c r="B641" s="642"/>
      <c r="C641" s="642"/>
      <c r="F641"/>
      <c r="G641"/>
      <c r="L641"/>
      <c r="M641"/>
      <c r="N641" s="642"/>
      <c r="O641"/>
    </row>
    <row r="642" spans="1:15" x14ac:dyDescent="0.2">
      <c r="A642"/>
      <c r="B642" s="642"/>
      <c r="C642" s="642"/>
      <c r="F642"/>
      <c r="G642"/>
      <c r="H642"/>
      <c r="I642"/>
      <c r="L642"/>
      <c r="M642"/>
      <c r="N642" s="642"/>
      <c r="O642"/>
    </row>
    <row r="643" spans="1:15" x14ac:dyDescent="0.2">
      <c r="A643"/>
      <c r="B643" s="642"/>
      <c r="C643" s="642"/>
      <c r="F643"/>
      <c r="G643"/>
      <c r="M643"/>
      <c r="N643" s="642"/>
      <c r="O643"/>
    </row>
    <row r="644" spans="1:15" x14ac:dyDescent="0.2">
      <c r="A644"/>
      <c r="B644" s="642"/>
      <c r="C644" s="642"/>
      <c r="F644"/>
      <c r="G644"/>
      <c r="I644"/>
      <c r="L644"/>
      <c r="M644"/>
      <c r="N644" s="642"/>
      <c r="O644"/>
    </row>
    <row r="645" spans="1:15" x14ac:dyDescent="0.2">
      <c r="A645"/>
      <c r="B645" s="642"/>
      <c r="C645" s="642"/>
      <c r="F645"/>
      <c r="G645"/>
      <c r="H645"/>
      <c r="I645"/>
      <c r="L645"/>
      <c r="M645"/>
      <c r="N645" s="642"/>
      <c r="O645"/>
    </row>
    <row r="646" spans="1:15" x14ac:dyDescent="0.2">
      <c r="A646"/>
      <c r="B646" s="642"/>
      <c r="C646" s="642"/>
      <c r="F646"/>
      <c r="G646"/>
      <c r="L646"/>
      <c r="M646"/>
      <c r="N646" s="642"/>
      <c r="O646"/>
    </row>
    <row r="647" spans="1:15" x14ac:dyDescent="0.2">
      <c r="A647"/>
      <c r="B647" s="642"/>
      <c r="C647" s="642"/>
      <c r="F647"/>
      <c r="G647"/>
      <c r="H647"/>
      <c r="I647"/>
      <c r="L647"/>
      <c r="M647"/>
      <c r="N647" s="642"/>
      <c r="O647"/>
    </row>
    <row r="648" spans="1:15" x14ac:dyDescent="0.2">
      <c r="A648"/>
      <c r="B648" s="642"/>
      <c r="C648" s="642"/>
      <c r="F648"/>
      <c r="G648"/>
      <c r="H648"/>
      <c r="I648"/>
      <c r="L648"/>
      <c r="M648"/>
      <c r="N648" s="642"/>
      <c r="O648"/>
    </row>
    <row r="649" spans="1:15" x14ac:dyDescent="0.2">
      <c r="A649"/>
      <c r="B649" s="642"/>
      <c r="C649" s="642"/>
      <c r="F649"/>
      <c r="G649"/>
      <c r="I649"/>
      <c r="L649"/>
      <c r="M649"/>
      <c r="N649" s="642"/>
      <c r="O649"/>
    </row>
    <row r="650" spans="1:15" x14ac:dyDescent="0.2">
      <c r="A650"/>
      <c r="B650" s="642"/>
      <c r="C650" s="642"/>
      <c r="F650"/>
      <c r="G650"/>
      <c r="H650"/>
      <c r="I650"/>
      <c r="L650"/>
      <c r="M650"/>
      <c r="N650" s="642"/>
      <c r="O650"/>
    </row>
    <row r="651" spans="1:15" x14ac:dyDescent="0.2">
      <c r="A651"/>
      <c r="B651" s="642"/>
      <c r="C651" s="642"/>
      <c r="F651"/>
      <c r="G651"/>
      <c r="H651"/>
      <c r="I651"/>
      <c r="L651"/>
      <c r="M651"/>
      <c r="N651" s="642"/>
      <c r="O651"/>
    </row>
    <row r="652" spans="1:15" x14ac:dyDescent="0.2">
      <c r="A652"/>
      <c r="B652" s="642"/>
      <c r="C652" s="642"/>
      <c r="F652"/>
      <c r="G652"/>
      <c r="H652"/>
      <c r="J652"/>
      <c r="K652"/>
      <c r="L652"/>
      <c r="M652"/>
      <c r="N652" s="642"/>
      <c r="O652"/>
    </row>
    <row r="653" spans="1:15" x14ac:dyDescent="0.2">
      <c r="A653"/>
      <c r="B653" s="642"/>
      <c r="C653" s="642"/>
      <c r="F653"/>
      <c r="G653"/>
      <c r="H653"/>
      <c r="I653"/>
      <c r="L653"/>
      <c r="M653"/>
      <c r="N653" s="642"/>
      <c r="O653"/>
    </row>
    <row r="654" spans="1:15" x14ac:dyDescent="0.2">
      <c r="A654"/>
      <c r="B654" s="642"/>
      <c r="C654" s="642"/>
      <c r="F654"/>
      <c r="G654"/>
      <c r="H654"/>
      <c r="I654"/>
      <c r="L654"/>
      <c r="M654"/>
      <c r="N654" s="642"/>
      <c r="O654"/>
    </row>
    <row r="655" spans="1:15" x14ac:dyDescent="0.2">
      <c r="A655"/>
      <c r="B655" s="642"/>
      <c r="C655" s="642"/>
      <c r="F655"/>
      <c r="G655"/>
      <c r="I655"/>
      <c r="L655"/>
      <c r="M655"/>
      <c r="N655" s="642"/>
      <c r="O655"/>
    </row>
    <row r="656" spans="1:15" x14ac:dyDescent="0.2">
      <c r="A656"/>
      <c r="B656" s="642"/>
      <c r="C656" s="642"/>
      <c r="F656"/>
      <c r="G656"/>
      <c r="I656"/>
      <c r="L656"/>
      <c r="M656"/>
      <c r="N656" s="642"/>
      <c r="O656"/>
    </row>
    <row r="657" spans="1:15" x14ac:dyDescent="0.2">
      <c r="A657"/>
      <c r="B657" s="642"/>
      <c r="C657" s="642"/>
      <c r="F657"/>
      <c r="G657"/>
      <c r="I657"/>
      <c r="L657"/>
      <c r="M657"/>
      <c r="N657" s="642"/>
      <c r="O657"/>
    </row>
    <row r="658" spans="1:15" x14ac:dyDescent="0.2">
      <c r="A658"/>
      <c r="B658" s="642"/>
      <c r="C658" s="642"/>
      <c r="F658"/>
      <c r="G658"/>
      <c r="H658"/>
      <c r="I658"/>
      <c r="L658"/>
      <c r="N658" s="642"/>
      <c r="O658"/>
    </row>
    <row r="659" spans="1:15" x14ac:dyDescent="0.2">
      <c r="A659"/>
      <c r="B659" s="642"/>
      <c r="C659" s="642"/>
      <c r="F659"/>
      <c r="G659"/>
      <c r="H659"/>
      <c r="I659"/>
      <c r="L659"/>
      <c r="N659" s="642"/>
      <c r="O659"/>
    </row>
    <row r="660" spans="1:15" x14ac:dyDescent="0.2">
      <c r="A660"/>
      <c r="B660" s="642"/>
      <c r="C660" s="642"/>
      <c r="F660"/>
      <c r="G660"/>
      <c r="H660"/>
      <c r="I660"/>
      <c r="L660"/>
      <c r="M660"/>
      <c r="N660" s="642"/>
      <c r="O660"/>
    </row>
    <row r="661" spans="1:15" x14ac:dyDescent="0.2">
      <c r="A661"/>
      <c r="B661" s="642"/>
      <c r="C661" s="642"/>
      <c r="F661"/>
      <c r="G661"/>
      <c r="H661"/>
      <c r="I661"/>
      <c r="L661"/>
      <c r="M661"/>
      <c r="N661" s="642"/>
      <c r="O661"/>
    </row>
    <row r="662" spans="1:15" x14ac:dyDescent="0.2">
      <c r="A662"/>
      <c r="B662" s="642"/>
      <c r="C662" s="642"/>
      <c r="F662"/>
      <c r="G662"/>
      <c r="I662"/>
      <c r="L662"/>
      <c r="M662"/>
      <c r="N662" s="642"/>
      <c r="O662"/>
    </row>
    <row r="663" spans="1:15" x14ac:dyDescent="0.2">
      <c r="A663"/>
      <c r="B663" s="642"/>
      <c r="C663" s="642"/>
      <c r="F663"/>
      <c r="G663"/>
      <c r="H663"/>
      <c r="I663"/>
      <c r="L663"/>
      <c r="M663"/>
      <c r="N663" s="642"/>
      <c r="O663"/>
    </row>
    <row r="664" spans="1:15" x14ac:dyDescent="0.2">
      <c r="A664"/>
      <c r="B664" s="642"/>
      <c r="C664" s="642"/>
      <c r="F664"/>
      <c r="G664"/>
      <c r="I664"/>
      <c r="L664"/>
      <c r="M664"/>
      <c r="N664" s="642"/>
      <c r="O664"/>
    </row>
    <row r="665" spans="1:15" x14ac:dyDescent="0.2">
      <c r="A665"/>
      <c r="B665" s="642"/>
      <c r="C665" s="642"/>
      <c r="F665"/>
      <c r="G665"/>
      <c r="M665"/>
      <c r="N665" s="642"/>
      <c r="O665"/>
    </row>
    <row r="666" spans="1:15" x14ac:dyDescent="0.2">
      <c r="A666"/>
      <c r="B666" s="642"/>
      <c r="C666" s="642"/>
      <c r="F666"/>
      <c r="G666"/>
      <c r="H666"/>
      <c r="I666"/>
      <c r="L666"/>
      <c r="M666"/>
      <c r="N666" s="642"/>
      <c r="O666"/>
    </row>
    <row r="667" spans="1:15" x14ac:dyDescent="0.2">
      <c r="A667"/>
      <c r="B667" s="642"/>
      <c r="C667" s="642"/>
      <c r="F667"/>
      <c r="G667"/>
      <c r="H667"/>
      <c r="I667"/>
      <c r="L667"/>
      <c r="M667"/>
      <c r="N667" s="642"/>
      <c r="O667"/>
    </row>
    <row r="668" spans="1:15" x14ac:dyDescent="0.2">
      <c r="A668"/>
      <c r="B668" s="642"/>
      <c r="C668" s="642"/>
      <c r="F668"/>
      <c r="G668"/>
      <c r="H668"/>
      <c r="I668"/>
      <c r="L668"/>
      <c r="M668"/>
      <c r="N668" s="642"/>
      <c r="O668"/>
    </row>
    <row r="669" spans="1:15" x14ac:dyDescent="0.2">
      <c r="A669"/>
      <c r="B669" s="642"/>
      <c r="C669" s="642"/>
      <c r="F669"/>
      <c r="G669"/>
      <c r="H669"/>
      <c r="I669"/>
      <c r="L669"/>
      <c r="M669"/>
      <c r="N669" s="642"/>
      <c r="O669"/>
    </row>
    <row r="670" spans="1:15" x14ac:dyDescent="0.2">
      <c r="A670"/>
      <c r="B670" s="642"/>
      <c r="C670" s="642"/>
      <c r="F670"/>
      <c r="G670"/>
      <c r="L670"/>
      <c r="M670"/>
      <c r="N670" s="642"/>
      <c r="O670"/>
    </row>
    <row r="671" spans="1:15" x14ac:dyDescent="0.2">
      <c r="A671"/>
      <c r="B671" s="642"/>
      <c r="C671" s="642"/>
      <c r="F671"/>
      <c r="G671"/>
      <c r="H671"/>
      <c r="I671"/>
      <c r="L671"/>
      <c r="M671"/>
      <c r="N671" s="642"/>
      <c r="O671"/>
    </row>
    <row r="672" spans="1:15" x14ac:dyDescent="0.2">
      <c r="A672"/>
      <c r="B672" s="642"/>
      <c r="C672" s="642"/>
      <c r="F672"/>
      <c r="G672"/>
      <c r="H672"/>
      <c r="I672"/>
      <c r="L672"/>
      <c r="M672"/>
      <c r="N672" s="642"/>
      <c r="O672"/>
    </row>
    <row r="673" spans="1:15" x14ac:dyDescent="0.2">
      <c r="A673"/>
      <c r="B673" s="642"/>
      <c r="C673" s="642"/>
      <c r="F673"/>
      <c r="G673"/>
      <c r="H673"/>
      <c r="I673"/>
      <c r="L673"/>
      <c r="N673" s="642"/>
      <c r="O673"/>
    </row>
    <row r="674" spans="1:15" x14ac:dyDescent="0.2">
      <c r="A674"/>
      <c r="B674" s="642"/>
      <c r="C674" s="642"/>
      <c r="F674"/>
      <c r="G674"/>
      <c r="H674"/>
      <c r="I674"/>
      <c r="L674"/>
      <c r="M674"/>
      <c r="N674" s="642"/>
      <c r="O674"/>
    </row>
    <row r="675" spans="1:15" x14ac:dyDescent="0.2">
      <c r="A675"/>
      <c r="B675" s="642"/>
      <c r="C675" s="642"/>
      <c r="F675"/>
      <c r="G675"/>
      <c r="J675"/>
      <c r="K675"/>
      <c r="L675"/>
      <c r="M675"/>
      <c r="N675" s="642"/>
      <c r="O675"/>
    </row>
    <row r="676" spans="1:15" x14ac:dyDescent="0.2">
      <c r="A676"/>
      <c r="B676" s="642"/>
      <c r="C676" s="642"/>
      <c r="F676"/>
      <c r="G676"/>
      <c r="H676"/>
      <c r="I676"/>
      <c r="L676"/>
      <c r="M676"/>
      <c r="N676" s="642"/>
      <c r="O676"/>
    </row>
    <row r="677" spans="1:15" x14ac:dyDescent="0.2">
      <c r="A677"/>
      <c r="B677" s="642"/>
      <c r="C677" s="642"/>
      <c r="F677"/>
      <c r="G677"/>
      <c r="H677"/>
      <c r="I677"/>
      <c r="L677"/>
      <c r="M677"/>
      <c r="N677" s="642"/>
      <c r="O677"/>
    </row>
    <row r="678" spans="1:15" x14ac:dyDescent="0.2">
      <c r="A678"/>
      <c r="B678" s="642"/>
      <c r="C678" s="642"/>
      <c r="F678"/>
      <c r="G678"/>
      <c r="I678"/>
      <c r="L678"/>
      <c r="M678"/>
      <c r="N678" s="642"/>
      <c r="O678"/>
    </row>
    <row r="679" spans="1:15" x14ac:dyDescent="0.2">
      <c r="A679"/>
      <c r="B679" s="642"/>
      <c r="C679" s="642"/>
      <c r="F679"/>
      <c r="G679"/>
      <c r="H679"/>
      <c r="I679"/>
      <c r="L679"/>
      <c r="M679"/>
      <c r="N679" s="642"/>
      <c r="O679"/>
    </row>
    <row r="680" spans="1:15" x14ac:dyDescent="0.2">
      <c r="A680"/>
      <c r="B680" s="642"/>
      <c r="C680" s="642"/>
      <c r="F680"/>
      <c r="G680"/>
      <c r="H680"/>
      <c r="I680"/>
      <c r="L680"/>
      <c r="M680"/>
      <c r="N680" s="642"/>
      <c r="O680"/>
    </row>
    <row r="681" spans="1:15" x14ac:dyDescent="0.2">
      <c r="A681"/>
      <c r="B681" s="642"/>
      <c r="C681" s="642"/>
      <c r="F681"/>
      <c r="G681"/>
      <c r="H681"/>
      <c r="I681"/>
      <c r="L681"/>
      <c r="M681"/>
      <c r="N681" s="642"/>
      <c r="O681"/>
    </row>
    <row r="682" spans="1:15" x14ac:dyDescent="0.2">
      <c r="A682"/>
      <c r="B682" s="642"/>
      <c r="C682" s="642"/>
      <c r="F682"/>
      <c r="G682"/>
      <c r="I682"/>
      <c r="L682"/>
      <c r="M682"/>
      <c r="N682" s="642"/>
      <c r="O682"/>
    </row>
    <row r="683" spans="1:15" x14ac:dyDescent="0.2">
      <c r="A683"/>
      <c r="B683" s="642"/>
      <c r="C683" s="642"/>
      <c r="F683"/>
      <c r="G683"/>
      <c r="H683"/>
      <c r="I683"/>
      <c r="L683"/>
      <c r="M683"/>
      <c r="N683" s="642"/>
      <c r="O683"/>
    </row>
    <row r="684" spans="1:15" x14ac:dyDescent="0.2">
      <c r="A684"/>
      <c r="B684" s="642"/>
      <c r="C684" s="642"/>
      <c r="F684"/>
      <c r="G684"/>
      <c r="L684"/>
      <c r="M684"/>
      <c r="N684" s="642"/>
      <c r="O684"/>
    </row>
    <row r="685" spans="1:15" x14ac:dyDescent="0.2">
      <c r="A685"/>
      <c r="B685" s="642"/>
      <c r="C685" s="642"/>
      <c r="F685"/>
      <c r="G685"/>
      <c r="I685"/>
      <c r="L685"/>
      <c r="M685"/>
      <c r="N685" s="642"/>
      <c r="O685"/>
    </row>
    <row r="686" spans="1:15" x14ac:dyDescent="0.2">
      <c r="A686"/>
      <c r="B686" s="642"/>
      <c r="C686" s="642"/>
      <c r="F686"/>
      <c r="G686"/>
      <c r="H686"/>
      <c r="I686"/>
      <c r="L686"/>
      <c r="M686"/>
      <c r="N686" s="642"/>
      <c r="O686"/>
    </row>
    <row r="687" spans="1:15" x14ac:dyDescent="0.2">
      <c r="A687"/>
      <c r="B687" s="642"/>
      <c r="C687" s="642"/>
      <c r="F687"/>
      <c r="G687"/>
      <c r="H687"/>
      <c r="I687"/>
      <c r="L687"/>
      <c r="N687" s="642"/>
      <c r="O687"/>
    </row>
    <row r="688" spans="1:15" x14ac:dyDescent="0.2">
      <c r="A688"/>
      <c r="B688" s="642"/>
      <c r="C688" s="642"/>
      <c r="F688"/>
      <c r="G688"/>
      <c r="H688"/>
      <c r="I688"/>
      <c r="L688"/>
      <c r="M688"/>
      <c r="N688" s="642"/>
      <c r="O688"/>
    </row>
    <row r="689" spans="1:15" x14ac:dyDescent="0.2">
      <c r="A689"/>
      <c r="B689" s="642"/>
      <c r="C689" s="642"/>
      <c r="F689"/>
      <c r="G689"/>
      <c r="H689"/>
      <c r="J689"/>
      <c r="L689"/>
      <c r="M689"/>
      <c r="N689" s="642"/>
      <c r="O689"/>
    </row>
    <row r="690" spans="1:15" x14ac:dyDescent="0.2">
      <c r="A690"/>
      <c r="B690" s="642"/>
      <c r="C690" s="642"/>
      <c r="F690"/>
      <c r="G690"/>
      <c r="H690"/>
      <c r="I690"/>
      <c r="L690"/>
      <c r="M690"/>
      <c r="N690" s="642"/>
      <c r="O690"/>
    </row>
    <row r="691" spans="1:15" x14ac:dyDescent="0.2">
      <c r="A691"/>
      <c r="B691" s="642"/>
      <c r="C691" s="642"/>
      <c r="F691"/>
      <c r="G691"/>
      <c r="I691"/>
      <c r="L691"/>
      <c r="M691"/>
      <c r="N691" s="642"/>
      <c r="O691"/>
    </row>
    <row r="692" spans="1:15" x14ac:dyDescent="0.2">
      <c r="A692"/>
      <c r="B692" s="642"/>
      <c r="C692" s="642"/>
      <c r="F692"/>
      <c r="G692"/>
      <c r="M692"/>
      <c r="N692" s="642"/>
      <c r="O692"/>
    </row>
    <row r="693" spans="1:15" x14ac:dyDescent="0.2">
      <c r="A693"/>
      <c r="B693" s="642"/>
      <c r="C693" s="642"/>
      <c r="F693"/>
      <c r="G693"/>
      <c r="H693"/>
      <c r="M693"/>
      <c r="N693" s="642"/>
      <c r="O693"/>
    </row>
    <row r="694" spans="1:15" x14ac:dyDescent="0.2">
      <c r="A694"/>
      <c r="B694" s="642"/>
      <c r="C694" s="642"/>
      <c r="F694"/>
      <c r="G694"/>
      <c r="L694"/>
      <c r="M694"/>
      <c r="N694" s="642"/>
      <c r="O694"/>
    </row>
    <row r="695" spans="1:15" x14ac:dyDescent="0.2">
      <c r="A695"/>
      <c r="B695" s="642"/>
      <c r="C695" s="642"/>
      <c r="F695"/>
      <c r="G695"/>
      <c r="H695"/>
      <c r="I695"/>
      <c r="L695"/>
      <c r="M695"/>
      <c r="N695" s="642"/>
      <c r="O695"/>
    </row>
    <row r="696" spans="1:15" x14ac:dyDescent="0.2">
      <c r="A696"/>
      <c r="B696" s="642"/>
      <c r="C696" s="642"/>
      <c r="F696"/>
      <c r="G696"/>
      <c r="H696"/>
      <c r="I696"/>
      <c r="L696"/>
      <c r="M696"/>
      <c r="N696" s="642"/>
      <c r="O696"/>
    </row>
    <row r="697" spans="1:15" x14ac:dyDescent="0.2">
      <c r="A697"/>
      <c r="B697" s="642"/>
      <c r="C697" s="642"/>
      <c r="F697"/>
      <c r="G697"/>
      <c r="M697"/>
      <c r="N697" s="642"/>
      <c r="O697"/>
    </row>
    <row r="698" spans="1:15" x14ac:dyDescent="0.2">
      <c r="A698"/>
      <c r="B698" s="642"/>
      <c r="C698" s="642"/>
      <c r="F698"/>
      <c r="G698"/>
      <c r="H698"/>
      <c r="I698"/>
      <c r="L698"/>
      <c r="M698"/>
      <c r="N698" s="642"/>
      <c r="O698"/>
    </row>
    <row r="699" spans="1:15" x14ac:dyDescent="0.2">
      <c r="A699"/>
      <c r="B699" s="642"/>
      <c r="C699" s="642"/>
      <c r="F699"/>
      <c r="G699"/>
      <c r="L699"/>
      <c r="M699"/>
      <c r="N699" s="642"/>
      <c r="O699"/>
    </row>
    <row r="700" spans="1:15" x14ac:dyDescent="0.2">
      <c r="A700"/>
      <c r="B700" s="642"/>
      <c r="C700" s="642"/>
      <c r="F700"/>
      <c r="G700"/>
      <c r="H700"/>
      <c r="I700"/>
      <c r="L700"/>
      <c r="M700"/>
      <c r="N700" s="642"/>
      <c r="O700"/>
    </row>
    <row r="701" spans="1:15" x14ac:dyDescent="0.2">
      <c r="A701"/>
      <c r="B701" s="642"/>
      <c r="C701" s="642"/>
      <c r="F701"/>
      <c r="G701"/>
      <c r="H701"/>
      <c r="I701"/>
      <c r="L701"/>
      <c r="M701"/>
      <c r="N701" s="642"/>
      <c r="O701"/>
    </row>
    <row r="702" spans="1:15" x14ac:dyDescent="0.2">
      <c r="A702"/>
      <c r="B702" s="642"/>
      <c r="C702" s="642"/>
      <c r="F702"/>
      <c r="G702"/>
      <c r="H702"/>
      <c r="I702"/>
      <c r="L702"/>
      <c r="M702"/>
      <c r="N702" s="642"/>
      <c r="O702"/>
    </row>
    <row r="703" spans="1:15" x14ac:dyDescent="0.2">
      <c r="A703"/>
      <c r="B703" s="642"/>
      <c r="C703" s="642"/>
      <c r="F703"/>
      <c r="G703"/>
      <c r="H703"/>
      <c r="I703"/>
      <c r="L703"/>
      <c r="M703"/>
      <c r="N703" s="642"/>
      <c r="O703"/>
    </row>
    <row r="704" spans="1:15" x14ac:dyDescent="0.2">
      <c r="A704"/>
      <c r="B704" s="642"/>
      <c r="C704" s="642"/>
      <c r="F704"/>
      <c r="G704"/>
      <c r="M704"/>
      <c r="N704" s="642"/>
      <c r="O704"/>
    </row>
    <row r="705" spans="1:15" x14ac:dyDescent="0.2">
      <c r="A705"/>
      <c r="B705" s="642"/>
      <c r="C705" s="642"/>
      <c r="F705"/>
      <c r="G705"/>
      <c r="L705"/>
      <c r="M705"/>
      <c r="N705" s="642"/>
      <c r="O705"/>
    </row>
    <row r="706" spans="1:15" x14ac:dyDescent="0.2">
      <c r="A706"/>
      <c r="B706" s="642"/>
      <c r="C706" s="642"/>
      <c r="F706"/>
      <c r="G706"/>
      <c r="I706"/>
      <c r="L706"/>
      <c r="M706"/>
      <c r="N706" s="642"/>
      <c r="O706"/>
    </row>
    <row r="707" spans="1:15" x14ac:dyDescent="0.2">
      <c r="A707"/>
      <c r="B707" s="642"/>
      <c r="C707" s="642"/>
      <c r="F707"/>
      <c r="G707"/>
      <c r="H707"/>
      <c r="I707"/>
      <c r="L707"/>
      <c r="M707"/>
      <c r="N707" s="642"/>
      <c r="O707"/>
    </row>
    <row r="708" spans="1:15" x14ac:dyDescent="0.2">
      <c r="A708"/>
      <c r="B708" s="642"/>
      <c r="C708" s="642"/>
      <c r="F708"/>
      <c r="G708"/>
      <c r="H708"/>
      <c r="I708"/>
      <c r="L708"/>
      <c r="M708"/>
      <c r="N708" s="642"/>
      <c r="O708"/>
    </row>
    <row r="709" spans="1:15" x14ac:dyDescent="0.2">
      <c r="A709"/>
      <c r="B709" s="642"/>
      <c r="C709" s="642"/>
      <c r="F709"/>
      <c r="G709"/>
      <c r="H709"/>
      <c r="I709"/>
      <c r="L709"/>
      <c r="M709"/>
      <c r="N709" s="642"/>
      <c r="O709"/>
    </row>
    <row r="710" spans="1:15" x14ac:dyDescent="0.2">
      <c r="A710"/>
      <c r="B710" s="642"/>
      <c r="C710" s="642"/>
      <c r="F710"/>
      <c r="G710"/>
      <c r="H710"/>
      <c r="I710"/>
      <c r="L710"/>
      <c r="M710"/>
      <c r="N710" s="642"/>
      <c r="O710"/>
    </row>
    <row r="711" spans="1:15" x14ac:dyDescent="0.2">
      <c r="A711"/>
      <c r="B711" s="642"/>
      <c r="C711" s="642"/>
      <c r="F711"/>
      <c r="G711"/>
      <c r="H711"/>
      <c r="I711"/>
      <c r="L711"/>
      <c r="N711" s="642"/>
      <c r="O711"/>
    </row>
    <row r="712" spans="1:15" x14ac:dyDescent="0.2">
      <c r="A712"/>
      <c r="B712" s="642"/>
      <c r="C712" s="642"/>
      <c r="F712"/>
      <c r="G712"/>
      <c r="M712"/>
      <c r="N712" s="642"/>
      <c r="O712"/>
    </row>
    <row r="713" spans="1:15" x14ac:dyDescent="0.2">
      <c r="A713"/>
      <c r="B713" s="642"/>
      <c r="C713" s="642"/>
      <c r="F713"/>
      <c r="G713"/>
      <c r="H713"/>
      <c r="I713"/>
      <c r="L713"/>
      <c r="M713"/>
      <c r="N713" s="642"/>
      <c r="O713"/>
    </row>
    <row r="714" spans="1:15" x14ac:dyDescent="0.2">
      <c r="A714"/>
      <c r="B714" s="642"/>
      <c r="C714" s="642"/>
      <c r="F714"/>
      <c r="G714"/>
      <c r="H714"/>
      <c r="I714"/>
      <c r="L714"/>
      <c r="M714"/>
      <c r="N714" s="642"/>
      <c r="O714"/>
    </row>
    <row r="715" spans="1:15" x14ac:dyDescent="0.2">
      <c r="A715"/>
      <c r="B715" s="642"/>
      <c r="C715" s="642"/>
      <c r="F715"/>
      <c r="G715"/>
      <c r="M715"/>
      <c r="N715" s="642"/>
      <c r="O715"/>
    </row>
    <row r="716" spans="1:15" x14ac:dyDescent="0.2">
      <c r="A716"/>
      <c r="B716" s="642"/>
      <c r="C716" s="642"/>
      <c r="F716"/>
      <c r="G716"/>
      <c r="I716"/>
      <c r="L716"/>
      <c r="M716"/>
      <c r="N716" s="642"/>
      <c r="O716"/>
    </row>
    <row r="717" spans="1:15" x14ac:dyDescent="0.2">
      <c r="A717"/>
      <c r="B717" s="642"/>
      <c r="C717" s="642"/>
      <c r="F717"/>
      <c r="G717"/>
      <c r="J717"/>
      <c r="K717"/>
      <c r="L717"/>
      <c r="M717"/>
      <c r="N717" s="642"/>
      <c r="O717"/>
    </row>
    <row r="718" spans="1:15" x14ac:dyDescent="0.2">
      <c r="A718"/>
      <c r="B718" s="642"/>
      <c r="C718" s="642"/>
      <c r="F718"/>
      <c r="G718"/>
      <c r="H718"/>
      <c r="I718"/>
      <c r="L718"/>
      <c r="M718"/>
      <c r="N718" s="642"/>
      <c r="O718"/>
    </row>
    <row r="719" spans="1:15" x14ac:dyDescent="0.2">
      <c r="A719"/>
      <c r="B719" s="642"/>
      <c r="C719" s="642"/>
      <c r="F719"/>
      <c r="G719"/>
      <c r="I719"/>
      <c r="L719"/>
      <c r="M719"/>
      <c r="N719" s="642"/>
      <c r="O719"/>
    </row>
    <row r="720" spans="1:15" x14ac:dyDescent="0.2">
      <c r="A720"/>
      <c r="B720" s="642"/>
      <c r="C720" s="642"/>
      <c r="F720"/>
      <c r="G720"/>
      <c r="L720"/>
      <c r="M720"/>
      <c r="N720" s="642"/>
      <c r="O720"/>
    </row>
    <row r="721" spans="1:15" x14ac:dyDescent="0.2">
      <c r="A721"/>
      <c r="B721" s="642"/>
      <c r="C721" s="642"/>
      <c r="F721"/>
      <c r="G721"/>
      <c r="H721"/>
      <c r="J721"/>
      <c r="K721"/>
      <c r="L721"/>
      <c r="M721"/>
      <c r="N721" s="642"/>
      <c r="O721"/>
    </row>
    <row r="722" spans="1:15" x14ac:dyDescent="0.2">
      <c r="A722"/>
      <c r="B722" s="642"/>
      <c r="C722" s="642"/>
      <c r="F722"/>
      <c r="G722"/>
      <c r="H722"/>
      <c r="J722"/>
      <c r="K722"/>
      <c r="L722"/>
      <c r="M722"/>
      <c r="N722" s="642"/>
      <c r="O722"/>
    </row>
    <row r="723" spans="1:15" x14ac:dyDescent="0.2">
      <c r="A723"/>
      <c r="B723" s="642"/>
      <c r="C723" s="642"/>
      <c r="F723"/>
      <c r="G723"/>
      <c r="H723"/>
      <c r="J723"/>
      <c r="K723"/>
      <c r="L723"/>
      <c r="M723"/>
      <c r="N723" s="642"/>
      <c r="O723"/>
    </row>
    <row r="724" spans="1:15" x14ac:dyDescent="0.2">
      <c r="A724"/>
      <c r="B724" s="642"/>
      <c r="C724" s="642"/>
      <c r="F724"/>
      <c r="G724"/>
      <c r="I724"/>
      <c r="L724"/>
      <c r="M724"/>
      <c r="N724" s="642"/>
      <c r="O724"/>
    </row>
    <row r="725" spans="1:15" x14ac:dyDescent="0.2">
      <c r="A725"/>
      <c r="B725" s="642"/>
      <c r="C725" s="642"/>
      <c r="F725"/>
      <c r="G725"/>
      <c r="I725"/>
      <c r="L725"/>
      <c r="M725"/>
      <c r="N725" s="642"/>
      <c r="O725"/>
    </row>
    <row r="726" spans="1:15" x14ac:dyDescent="0.2">
      <c r="A726"/>
      <c r="B726" s="642"/>
      <c r="C726" s="642"/>
      <c r="F726"/>
      <c r="G726"/>
      <c r="J726"/>
      <c r="K726"/>
      <c r="L726"/>
      <c r="M726"/>
      <c r="N726" s="642"/>
      <c r="O726"/>
    </row>
    <row r="727" spans="1:15" x14ac:dyDescent="0.2">
      <c r="A727"/>
      <c r="B727" s="642"/>
      <c r="C727" s="642"/>
      <c r="F727"/>
      <c r="G727"/>
      <c r="H727"/>
      <c r="I727"/>
      <c r="J727"/>
      <c r="K727"/>
      <c r="L727"/>
      <c r="M727"/>
      <c r="N727" s="642"/>
      <c r="O727"/>
    </row>
    <row r="728" spans="1:15" x14ac:dyDescent="0.2">
      <c r="A728"/>
      <c r="B728" s="642"/>
      <c r="C728" s="642"/>
      <c r="F728"/>
      <c r="G728"/>
      <c r="H728"/>
      <c r="I728"/>
      <c r="L728"/>
      <c r="M728"/>
      <c r="N728" s="642"/>
      <c r="O728"/>
    </row>
    <row r="729" spans="1:15" x14ac:dyDescent="0.2">
      <c r="A729"/>
      <c r="B729" s="642"/>
      <c r="C729" s="642"/>
      <c r="F729"/>
      <c r="G729"/>
      <c r="H729"/>
      <c r="I729"/>
      <c r="J729"/>
      <c r="K729"/>
      <c r="L729"/>
      <c r="M729"/>
      <c r="N729" s="642"/>
      <c r="O729"/>
    </row>
    <row r="730" spans="1:15" x14ac:dyDescent="0.2">
      <c r="A730"/>
      <c r="B730" s="642"/>
      <c r="C730" s="642"/>
      <c r="F730"/>
      <c r="G730"/>
      <c r="I730"/>
      <c r="L730"/>
      <c r="M730"/>
      <c r="N730" s="642"/>
      <c r="O730"/>
    </row>
    <row r="731" spans="1:15" x14ac:dyDescent="0.2">
      <c r="A731"/>
      <c r="B731" s="642"/>
      <c r="C731" s="642"/>
      <c r="F731"/>
      <c r="G731"/>
      <c r="H731"/>
      <c r="I731"/>
      <c r="L731"/>
      <c r="M731"/>
      <c r="N731" s="642"/>
      <c r="O731"/>
    </row>
    <row r="732" spans="1:15" x14ac:dyDescent="0.2">
      <c r="A732"/>
      <c r="B732" s="642"/>
      <c r="C732" s="642"/>
      <c r="F732"/>
      <c r="G732"/>
      <c r="H732"/>
      <c r="I732"/>
      <c r="L732"/>
      <c r="M732"/>
      <c r="N732" s="642"/>
      <c r="O732"/>
    </row>
    <row r="733" spans="1:15" x14ac:dyDescent="0.2">
      <c r="A733"/>
      <c r="B733" s="642"/>
      <c r="C733" s="642"/>
      <c r="F733"/>
      <c r="G733"/>
      <c r="H733"/>
      <c r="I733"/>
      <c r="L733"/>
      <c r="M733"/>
      <c r="N733" s="642"/>
      <c r="O733"/>
    </row>
    <row r="734" spans="1:15" x14ac:dyDescent="0.2">
      <c r="A734"/>
      <c r="B734" s="642"/>
      <c r="C734" s="642"/>
      <c r="F734"/>
      <c r="G734"/>
      <c r="H734"/>
      <c r="I734"/>
      <c r="L734"/>
      <c r="M734"/>
      <c r="N734" s="642"/>
      <c r="O734"/>
    </row>
    <row r="735" spans="1:15" x14ac:dyDescent="0.2">
      <c r="A735"/>
      <c r="B735" s="642"/>
      <c r="C735" s="642"/>
      <c r="F735"/>
      <c r="G735"/>
      <c r="I735"/>
      <c r="L735"/>
      <c r="M735"/>
      <c r="N735" s="642"/>
      <c r="O735"/>
    </row>
    <row r="736" spans="1:15" x14ac:dyDescent="0.2">
      <c r="A736"/>
      <c r="B736" s="642"/>
      <c r="C736" s="642"/>
      <c r="F736"/>
      <c r="G736"/>
      <c r="H736"/>
      <c r="I736"/>
      <c r="L736"/>
      <c r="M736"/>
      <c r="N736" s="642"/>
      <c r="O736"/>
    </row>
    <row r="737" spans="1:15" x14ac:dyDescent="0.2">
      <c r="A737"/>
      <c r="B737" s="642"/>
      <c r="C737" s="642"/>
      <c r="F737"/>
      <c r="G737"/>
      <c r="H737"/>
      <c r="I737"/>
      <c r="L737"/>
      <c r="M737"/>
      <c r="N737" s="642"/>
      <c r="O737"/>
    </row>
    <row r="738" spans="1:15" x14ac:dyDescent="0.2">
      <c r="A738"/>
      <c r="B738" s="642"/>
      <c r="C738" s="642"/>
      <c r="F738"/>
      <c r="G738"/>
      <c r="H738"/>
      <c r="I738"/>
      <c r="L738"/>
      <c r="M738"/>
      <c r="N738" s="642"/>
      <c r="O738"/>
    </row>
    <row r="739" spans="1:15" x14ac:dyDescent="0.2">
      <c r="A739"/>
      <c r="B739" s="642"/>
      <c r="C739" s="642"/>
      <c r="F739"/>
      <c r="G739"/>
      <c r="L739"/>
      <c r="M739"/>
      <c r="N739" s="642"/>
      <c r="O739"/>
    </row>
    <row r="740" spans="1:15" x14ac:dyDescent="0.2">
      <c r="A740"/>
      <c r="B740" s="642"/>
      <c r="C740" s="642"/>
      <c r="F740"/>
      <c r="G740"/>
      <c r="H740"/>
      <c r="I740"/>
      <c r="L740"/>
      <c r="M740"/>
      <c r="N740" s="642"/>
      <c r="O740"/>
    </row>
    <row r="741" spans="1:15" x14ac:dyDescent="0.2">
      <c r="A741"/>
      <c r="B741" s="642"/>
      <c r="C741" s="642"/>
      <c r="F741"/>
      <c r="G741"/>
      <c r="H741"/>
      <c r="I741"/>
      <c r="L741"/>
      <c r="M741"/>
      <c r="N741" s="642"/>
      <c r="O741"/>
    </row>
    <row r="742" spans="1:15" x14ac:dyDescent="0.2">
      <c r="A742"/>
      <c r="B742" s="642"/>
      <c r="C742" s="642"/>
      <c r="F742"/>
      <c r="G742"/>
      <c r="I742"/>
      <c r="L742"/>
      <c r="M742"/>
      <c r="N742" s="642"/>
      <c r="O742"/>
    </row>
    <row r="743" spans="1:15" x14ac:dyDescent="0.2">
      <c r="A743"/>
      <c r="B743" s="642"/>
      <c r="C743" s="642"/>
      <c r="F743"/>
      <c r="G743"/>
      <c r="H743"/>
      <c r="L743"/>
      <c r="M743"/>
      <c r="N743" s="642"/>
      <c r="O743"/>
    </row>
    <row r="744" spans="1:15" x14ac:dyDescent="0.2">
      <c r="A744"/>
      <c r="B744" s="642"/>
      <c r="C744" s="642"/>
      <c r="F744"/>
      <c r="G744"/>
      <c r="H744"/>
      <c r="J744"/>
      <c r="K744"/>
      <c r="L744"/>
      <c r="M744"/>
      <c r="N744" s="642"/>
      <c r="O744"/>
    </row>
    <row r="745" spans="1:15" x14ac:dyDescent="0.2">
      <c r="A745"/>
      <c r="B745" s="642"/>
      <c r="C745" s="642"/>
      <c r="F745"/>
      <c r="G745"/>
      <c r="H745"/>
      <c r="I745"/>
      <c r="L745"/>
      <c r="M745"/>
      <c r="N745" s="642"/>
      <c r="O745"/>
    </row>
    <row r="746" spans="1:15" x14ac:dyDescent="0.2">
      <c r="A746"/>
      <c r="B746" s="642"/>
      <c r="C746" s="642"/>
      <c r="F746"/>
      <c r="G746"/>
      <c r="J746"/>
      <c r="K746"/>
      <c r="L746"/>
      <c r="M746"/>
      <c r="N746" s="642"/>
      <c r="O746"/>
    </row>
    <row r="747" spans="1:15" x14ac:dyDescent="0.2">
      <c r="A747"/>
      <c r="B747" s="642"/>
      <c r="C747" s="642"/>
      <c r="F747"/>
      <c r="G747"/>
      <c r="H747"/>
      <c r="I747"/>
      <c r="L747"/>
      <c r="M747"/>
      <c r="N747" s="642"/>
      <c r="O747"/>
    </row>
    <row r="748" spans="1:15" x14ac:dyDescent="0.2">
      <c r="A748"/>
      <c r="B748" s="642"/>
      <c r="C748" s="642"/>
      <c r="F748"/>
      <c r="G748"/>
      <c r="H748"/>
      <c r="I748"/>
      <c r="L748"/>
      <c r="M748"/>
      <c r="N748" s="642"/>
      <c r="O748"/>
    </row>
    <row r="749" spans="1:15" x14ac:dyDescent="0.2">
      <c r="A749"/>
      <c r="B749" s="642"/>
      <c r="C749" s="642"/>
      <c r="F749"/>
      <c r="G749"/>
      <c r="H749"/>
      <c r="I749"/>
      <c r="K749"/>
      <c r="L749"/>
      <c r="M749"/>
      <c r="N749" s="642"/>
      <c r="O749"/>
    </row>
    <row r="750" spans="1:15" x14ac:dyDescent="0.2">
      <c r="A750"/>
      <c r="B750" s="642"/>
      <c r="C750" s="642"/>
      <c r="F750"/>
      <c r="G750"/>
      <c r="L750"/>
      <c r="M750"/>
      <c r="N750" s="642"/>
      <c r="O750"/>
    </row>
    <row r="751" spans="1:15" x14ac:dyDescent="0.2">
      <c r="A751"/>
      <c r="B751" s="642"/>
      <c r="C751" s="642"/>
      <c r="F751"/>
      <c r="G751"/>
      <c r="H751"/>
      <c r="I751"/>
      <c r="L751"/>
      <c r="M751"/>
      <c r="N751" s="642"/>
      <c r="O751"/>
    </row>
    <row r="752" spans="1:15" x14ac:dyDescent="0.2">
      <c r="A752"/>
      <c r="B752" s="642"/>
      <c r="C752" s="642"/>
      <c r="F752"/>
      <c r="G752"/>
      <c r="J752"/>
      <c r="L752"/>
      <c r="M752"/>
      <c r="N752" s="642"/>
      <c r="O752"/>
    </row>
    <row r="753" spans="1:15" x14ac:dyDescent="0.2">
      <c r="A753"/>
      <c r="B753" s="642"/>
      <c r="C753" s="642"/>
      <c r="F753"/>
      <c r="G753"/>
      <c r="H753"/>
      <c r="L753"/>
      <c r="M753"/>
      <c r="N753" s="642"/>
      <c r="O753"/>
    </row>
    <row r="754" spans="1:15" x14ac:dyDescent="0.2">
      <c r="A754"/>
      <c r="B754" s="642"/>
      <c r="C754" s="642"/>
      <c r="F754"/>
      <c r="G754"/>
      <c r="H754"/>
      <c r="I754"/>
      <c r="L754"/>
      <c r="M754"/>
      <c r="N754" s="642"/>
      <c r="O754"/>
    </row>
    <row r="755" spans="1:15" x14ac:dyDescent="0.2">
      <c r="A755"/>
      <c r="B755" s="642"/>
      <c r="C755" s="642"/>
      <c r="F755"/>
      <c r="G755"/>
      <c r="L755"/>
      <c r="M755"/>
      <c r="N755" s="642"/>
      <c r="O755"/>
    </row>
    <row r="756" spans="1:15" x14ac:dyDescent="0.2">
      <c r="A756"/>
      <c r="B756" s="642"/>
      <c r="C756" s="642"/>
      <c r="F756"/>
      <c r="G756"/>
      <c r="J756"/>
      <c r="K756"/>
      <c r="L756"/>
      <c r="M756"/>
      <c r="N756" s="642"/>
      <c r="O756"/>
    </row>
    <row r="757" spans="1:15" x14ac:dyDescent="0.2">
      <c r="A757"/>
      <c r="B757" s="642"/>
      <c r="C757" s="642"/>
      <c r="F757"/>
      <c r="G757"/>
      <c r="H757"/>
      <c r="I757"/>
      <c r="L757"/>
      <c r="M757"/>
      <c r="N757" s="642"/>
      <c r="O757"/>
    </row>
    <row r="758" spans="1:15" x14ac:dyDescent="0.2">
      <c r="A758"/>
      <c r="B758" s="642"/>
      <c r="C758" s="642"/>
      <c r="F758"/>
      <c r="G758"/>
      <c r="M758"/>
      <c r="N758" s="642"/>
      <c r="O758"/>
    </row>
    <row r="759" spans="1:15" x14ac:dyDescent="0.2">
      <c r="A759"/>
      <c r="B759" s="642"/>
      <c r="C759" s="642"/>
      <c r="F759"/>
      <c r="G759"/>
      <c r="H759"/>
      <c r="I759"/>
      <c r="L759"/>
      <c r="M759"/>
      <c r="N759" s="642"/>
      <c r="O759"/>
    </row>
    <row r="760" spans="1:15" x14ac:dyDescent="0.2">
      <c r="A760"/>
      <c r="B760" s="642"/>
      <c r="C760" s="642"/>
      <c r="F760"/>
      <c r="G760"/>
      <c r="I760"/>
      <c r="L760"/>
      <c r="M760"/>
      <c r="N760" s="642"/>
      <c r="O760"/>
    </row>
    <row r="761" spans="1:15" x14ac:dyDescent="0.2">
      <c r="A761"/>
      <c r="B761" s="642"/>
      <c r="C761" s="642"/>
      <c r="F761"/>
      <c r="G761"/>
      <c r="H761"/>
      <c r="I761"/>
      <c r="L761"/>
      <c r="M761"/>
      <c r="N761" s="642"/>
      <c r="O761"/>
    </row>
    <row r="762" spans="1:15" x14ac:dyDescent="0.2">
      <c r="A762"/>
      <c r="B762" s="642"/>
      <c r="C762" s="642"/>
      <c r="F762"/>
      <c r="G762"/>
      <c r="H762"/>
      <c r="I762"/>
      <c r="L762"/>
      <c r="M762"/>
      <c r="N762" s="642"/>
      <c r="O762"/>
    </row>
    <row r="763" spans="1:15" x14ac:dyDescent="0.2">
      <c r="A763"/>
      <c r="B763" s="642"/>
      <c r="C763" s="642"/>
      <c r="F763"/>
      <c r="G763"/>
      <c r="H763"/>
      <c r="I763"/>
      <c r="L763"/>
      <c r="N763" s="642"/>
      <c r="O763"/>
    </row>
    <row r="764" spans="1:15" x14ac:dyDescent="0.2">
      <c r="A764"/>
      <c r="B764" s="642"/>
      <c r="C764" s="642"/>
      <c r="F764"/>
      <c r="G764"/>
      <c r="H764"/>
      <c r="I764"/>
      <c r="L764"/>
      <c r="M764"/>
      <c r="N764" s="642"/>
      <c r="O764"/>
    </row>
    <row r="765" spans="1:15" x14ac:dyDescent="0.2">
      <c r="A765"/>
      <c r="B765" s="642"/>
      <c r="C765" s="642"/>
      <c r="F765"/>
      <c r="G765"/>
      <c r="H765"/>
      <c r="I765"/>
      <c r="L765"/>
      <c r="M765"/>
      <c r="N765" s="642"/>
      <c r="O765"/>
    </row>
    <row r="766" spans="1:15" x14ac:dyDescent="0.2">
      <c r="A766"/>
      <c r="B766" s="642"/>
      <c r="C766" s="642"/>
      <c r="F766"/>
      <c r="G766"/>
      <c r="L766"/>
      <c r="M766"/>
      <c r="N766" s="642"/>
      <c r="O766"/>
    </row>
    <row r="767" spans="1:15" x14ac:dyDescent="0.2">
      <c r="A767"/>
      <c r="B767" s="642"/>
      <c r="C767" s="642"/>
      <c r="F767"/>
      <c r="G767"/>
      <c r="H767"/>
      <c r="I767"/>
      <c r="L767"/>
      <c r="M767"/>
      <c r="N767" s="642"/>
      <c r="O767"/>
    </row>
    <row r="768" spans="1:15" x14ac:dyDescent="0.2">
      <c r="A768"/>
      <c r="B768" s="642"/>
      <c r="C768" s="642"/>
      <c r="F768"/>
      <c r="G768"/>
      <c r="H768"/>
      <c r="J768"/>
      <c r="K768"/>
      <c r="L768"/>
      <c r="M768"/>
      <c r="N768" s="642"/>
      <c r="O768"/>
    </row>
    <row r="769" spans="1:15" x14ac:dyDescent="0.2">
      <c r="A769"/>
      <c r="B769" s="642"/>
      <c r="C769" s="642"/>
      <c r="F769"/>
      <c r="G769"/>
      <c r="H769"/>
      <c r="I769"/>
      <c r="L769"/>
      <c r="M769"/>
      <c r="N769" s="642"/>
      <c r="O769"/>
    </row>
    <row r="770" spans="1:15" x14ac:dyDescent="0.2">
      <c r="A770"/>
      <c r="B770" s="642"/>
      <c r="C770" s="642"/>
      <c r="F770"/>
      <c r="G770"/>
      <c r="H770"/>
      <c r="I770"/>
      <c r="L770"/>
      <c r="M770"/>
      <c r="N770" s="642"/>
      <c r="O770"/>
    </row>
    <row r="771" spans="1:15" x14ac:dyDescent="0.2">
      <c r="A771"/>
      <c r="B771" s="642"/>
      <c r="C771" s="642"/>
      <c r="F771"/>
      <c r="G771"/>
      <c r="L771"/>
      <c r="M771"/>
      <c r="N771" s="642"/>
      <c r="O771"/>
    </row>
    <row r="772" spans="1:15" x14ac:dyDescent="0.2">
      <c r="A772"/>
      <c r="B772" s="642"/>
      <c r="C772" s="642"/>
      <c r="F772"/>
      <c r="G772"/>
      <c r="H772"/>
      <c r="I772"/>
      <c r="L772"/>
      <c r="M772"/>
      <c r="N772" s="642"/>
      <c r="O772"/>
    </row>
    <row r="773" spans="1:15" x14ac:dyDescent="0.2">
      <c r="A773"/>
      <c r="B773" s="642"/>
      <c r="C773" s="642"/>
      <c r="F773"/>
      <c r="G773"/>
      <c r="H773"/>
      <c r="I773"/>
      <c r="L773"/>
      <c r="M773"/>
      <c r="N773" s="642"/>
      <c r="O773"/>
    </row>
    <row r="774" spans="1:15" x14ac:dyDescent="0.2">
      <c r="A774"/>
      <c r="B774" s="642"/>
      <c r="C774" s="642"/>
      <c r="F774"/>
      <c r="G774"/>
      <c r="M774"/>
      <c r="N774" s="642"/>
      <c r="O774"/>
    </row>
    <row r="775" spans="1:15" x14ac:dyDescent="0.2">
      <c r="A775"/>
      <c r="B775" s="642"/>
      <c r="C775" s="642"/>
      <c r="F775"/>
      <c r="G775"/>
      <c r="H775"/>
      <c r="I775"/>
      <c r="L775"/>
      <c r="M775"/>
      <c r="N775" s="642"/>
      <c r="O775"/>
    </row>
    <row r="776" spans="1:15" x14ac:dyDescent="0.2">
      <c r="A776"/>
      <c r="B776" s="642"/>
      <c r="C776" s="642"/>
      <c r="F776"/>
      <c r="G776"/>
      <c r="H776"/>
      <c r="I776"/>
      <c r="L776"/>
      <c r="M776"/>
      <c r="N776" s="642"/>
      <c r="O776"/>
    </row>
    <row r="777" spans="1:15" x14ac:dyDescent="0.2">
      <c r="A777"/>
      <c r="B777" s="642"/>
      <c r="C777" s="642"/>
      <c r="F777"/>
      <c r="G777"/>
      <c r="H777"/>
      <c r="I777"/>
      <c r="L777"/>
      <c r="M777"/>
      <c r="N777" s="642"/>
      <c r="O777"/>
    </row>
    <row r="778" spans="1:15" x14ac:dyDescent="0.2">
      <c r="A778"/>
      <c r="B778" s="642"/>
      <c r="C778" s="642"/>
      <c r="F778"/>
      <c r="G778"/>
      <c r="H778"/>
      <c r="J778"/>
      <c r="K778"/>
      <c r="L778"/>
      <c r="M778"/>
      <c r="N778" s="642"/>
      <c r="O778"/>
    </row>
    <row r="779" spans="1:15" x14ac:dyDescent="0.2">
      <c r="A779"/>
      <c r="B779" s="642"/>
      <c r="C779" s="642"/>
      <c r="F779"/>
      <c r="G779"/>
      <c r="H779"/>
      <c r="L779"/>
      <c r="M779"/>
      <c r="N779" s="642"/>
      <c r="O779"/>
    </row>
    <row r="780" spans="1:15" x14ac:dyDescent="0.2">
      <c r="A780"/>
      <c r="B780" s="642"/>
      <c r="C780" s="642"/>
      <c r="F780"/>
      <c r="G780"/>
      <c r="H780"/>
      <c r="I780"/>
      <c r="L780"/>
      <c r="M780"/>
      <c r="N780" s="642"/>
      <c r="O780"/>
    </row>
    <row r="781" spans="1:15" x14ac:dyDescent="0.2">
      <c r="A781"/>
      <c r="B781" s="642"/>
      <c r="C781" s="642"/>
      <c r="F781"/>
      <c r="G781"/>
      <c r="I781"/>
      <c r="L781"/>
      <c r="M781"/>
      <c r="N781" s="642"/>
      <c r="O781"/>
    </row>
    <row r="782" spans="1:15" x14ac:dyDescent="0.2">
      <c r="A782"/>
      <c r="B782" s="642"/>
      <c r="C782" s="642"/>
      <c r="F782"/>
      <c r="G782"/>
      <c r="H782"/>
      <c r="J782"/>
      <c r="K782"/>
      <c r="L782"/>
      <c r="M782"/>
      <c r="N782" s="642"/>
      <c r="O782"/>
    </row>
    <row r="783" spans="1:15" x14ac:dyDescent="0.2">
      <c r="A783"/>
      <c r="B783" s="642"/>
      <c r="C783" s="642"/>
      <c r="F783"/>
      <c r="G783"/>
      <c r="H783"/>
      <c r="I783"/>
      <c r="L783"/>
      <c r="M783"/>
      <c r="N783" s="642"/>
      <c r="O783"/>
    </row>
    <row r="784" spans="1:15" x14ac:dyDescent="0.2">
      <c r="A784"/>
      <c r="B784" s="642"/>
      <c r="C784" s="642"/>
      <c r="F784"/>
      <c r="G784"/>
      <c r="H784"/>
      <c r="I784"/>
      <c r="L784"/>
      <c r="M784"/>
      <c r="N784" s="642"/>
      <c r="O784"/>
    </row>
    <row r="785" spans="1:15" x14ac:dyDescent="0.2">
      <c r="A785"/>
      <c r="B785" s="642"/>
      <c r="C785" s="642"/>
      <c r="F785"/>
      <c r="G785"/>
      <c r="H785"/>
      <c r="I785"/>
      <c r="L785"/>
      <c r="M785"/>
      <c r="N785" s="642"/>
      <c r="O785"/>
    </row>
    <row r="786" spans="1:15" x14ac:dyDescent="0.2">
      <c r="A786"/>
      <c r="B786" s="642"/>
      <c r="C786" s="642"/>
      <c r="F786"/>
      <c r="G786"/>
      <c r="H786"/>
      <c r="I786"/>
      <c r="L786"/>
      <c r="M786"/>
      <c r="N786" s="642"/>
      <c r="O786"/>
    </row>
    <row r="787" spans="1:15" x14ac:dyDescent="0.2">
      <c r="A787"/>
      <c r="B787" s="642"/>
      <c r="C787" s="642"/>
      <c r="F787"/>
      <c r="G787"/>
      <c r="M787"/>
      <c r="N787" s="642"/>
      <c r="O787"/>
    </row>
    <row r="788" spans="1:15" x14ac:dyDescent="0.2">
      <c r="A788"/>
      <c r="B788" s="642"/>
      <c r="C788" s="642"/>
      <c r="F788"/>
      <c r="G788"/>
      <c r="I788"/>
      <c r="L788"/>
      <c r="M788"/>
      <c r="N788" s="642"/>
      <c r="O788"/>
    </row>
    <row r="789" spans="1:15" x14ac:dyDescent="0.2">
      <c r="A789"/>
      <c r="B789" s="642"/>
      <c r="C789" s="642"/>
      <c r="F789"/>
      <c r="G789"/>
      <c r="H789"/>
      <c r="I789"/>
      <c r="L789"/>
      <c r="M789"/>
      <c r="N789" s="642"/>
      <c r="O789"/>
    </row>
    <row r="790" spans="1:15" x14ac:dyDescent="0.2">
      <c r="A790"/>
      <c r="B790" s="642"/>
      <c r="C790" s="642"/>
      <c r="F790"/>
      <c r="G790"/>
      <c r="H790"/>
      <c r="I790"/>
      <c r="L790"/>
      <c r="M790"/>
      <c r="N790" s="642"/>
      <c r="O790"/>
    </row>
    <row r="791" spans="1:15" x14ac:dyDescent="0.2">
      <c r="A791"/>
      <c r="B791" s="642"/>
      <c r="C791" s="642"/>
      <c r="F791"/>
      <c r="G791"/>
      <c r="H791"/>
      <c r="I791"/>
      <c r="L791"/>
      <c r="M791"/>
      <c r="N791" s="642"/>
      <c r="O791"/>
    </row>
    <row r="792" spans="1:15" x14ac:dyDescent="0.2">
      <c r="A792"/>
      <c r="B792" s="642"/>
      <c r="C792" s="642"/>
      <c r="F792"/>
      <c r="G792"/>
      <c r="L792"/>
      <c r="M792"/>
      <c r="N792" s="642"/>
      <c r="O792"/>
    </row>
    <row r="793" spans="1:15" x14ac:dyDescent="0.2">
      <c r="A793"/>
      <c r="B793" s="642"/>
      <c r="C793" s="642"/>
      <c r="F793"/>
      <c r="G793"/>
      <c r="L793"/>
      <c r="M793"/>
      <c r="N793" s="642"/>
      <c r="O793"/>
    </row>
    <row r="794" spans="1:15" x14ac:dyDescent="0.2">
      <c r="A794"/>
      <c r="B794" s="642"/>
      <c r="C794" s="642"/>
      <c r="F794"/>
      <c r="G794"/>
      <c r="H794"/>
      <c r="J794"/>
      <c r="K794"/>
      <c r="L794"/>
      <c r="M794"/>
      <c r="N794" s="642"/>
      <c r="O794"/>
    </row>
    <row r="795" spans="1:15" x14ac:dyDescent="0.2">
      <c r="A795"/>
      <c r="B795" s="642"/>
      <c r="C795" s="642"/>
      <c r="F795"/>
      <c r="G795"/>
      <c r="H795"/>
      <c r="I795"/>
      <c r="L795"/>
      <c r="M795"/>
      <c r="N795" s="642"/>
      <c r="O795"/>
    </row>
    <row r="796" spans="1:15" x14ac:dyDescent="0.2">
      <c r="A796"/>
      <c r="B796" s="642"/>
      <c r="C796" s="642"/>
      <c r="F796"/>
      <c r="G796"/>
      <c r="L796"/>
      <c r="M796"/>
      <c r="N796" s="642"/>
      <c r="O796"/>
    </row>
    <row r="797" spans="1:15" x14ac:dyDescent="0.2">
      <c r="A797"/>
      <c r="B797" s="642"/>
      <c r="C797" s="642"/>
      <c r="F797"/>
      <c r="G797"/>
      <c r="M797"/>
      <c r="N797" s="642"/>
      <c r="O797"/>
    </row>
    <row r="798" spans="1:15" x14ac:dyDescent="0.2">
      <c r="A798"/>
      <c r="B798" s="642"/>
      <c r="C798" s="642"/>
      <c r="F798"/>
      <c r="G798"/>
      <c r="H798"/>
      <c r="I798"/>
      <c r="L798"/>
      <c r="N798" s="642"/>
      <c r="O798"/>
    </row>
    <row r="799" spans="1:15" x14ac:dyDescent="0.2">
      <c r="A799"/>
      <c r="B799" s="642"/>
      <c r="C799" s="642"/>
      <c r="F799"/>
      <c r="G799"/>
      <c r="H799"/>
      <c r="J799"/>
      <c r="K799"/>
      <c r="L799"/>
      <c r="M799"/>
      <c r="N799" s="642"/>
      <c r="O799"/>
    </row>
    <row r="800" spans="1:15" x14ac:dyDescent="0.2">
      <c r="A800"/>
      <c r="B800" s="642"/>
      <c r="C800" s="642"/>
      <c r="F800"/>
      <c r="G800"/>
      <c r="H800"/>
      <c r="J800"/>
      <c r="K800"/>
      <c r="L800"/>
      <c r="M800"/>
      <c r="N800" s="642"/>
      <c r="O800"/>
    </row>
    <row r="801" spans="1:15" x14ac:dyDescent="0.2">
      <c r="A801"/>
      <c r="B801" s="642"/>
      <c r="C801" s="642"/>
      <c r="F801"/>
      <c r="G801"/>
      <c r="H801"/>
      <c r="J801"/>
      <c r="K801"/>
      <c r="L801"/>
      <c r="M801"/>
      <c r="N801" s="642"/>
      <c r="O801"/>
    </row>
    <row r="802" spans="1:15" x14ac:dyDescent="0.2">
      <c r="A802"/>
      <c r="B802" s="642"/>
      <c r="C802" s="642"/>
      <c r="F802"/>
      <c r="G802"/>
      <c r="J802"/>
      <c r="K802"/>
      <c r="L802"/>
      <c r="M802"/>
      <c r="N802" s="642"/>
      <c r="O802"/>
    </row>
    <row r="803" spans="1:15" x14ac:dyDescent="0.2">
      <c r="A803"/>
      <c r="B803" s="642"/>
      <c r="C803" s="642"/>
      <c r="F803"/>
      <c r="G803"/>
      <c r="H803"/>
      <c r="J803"/>
      <c r="K803"/>
      <c r="L803"/>
      <c r="M803"/>
      <c r="N803" s="642"/>
      <c r="O803"/>
    </row>
    <row r="804" spans="1:15" x14ac:dyDescent="0.2">
      <c r="A804"/>
      <c r="B804" s="642"/>
      <c r="C804" s="642"/>
      <c r="F804"/>
      <c r="G804"/>
      <c r="H804"/>
      <c r="I804"/>
      <c r="L804"/>
      <c r="M804"/>
      <c r="N804" s="642"/>
      <c r="O804"/>
    </row>
    <row r="805" spans="1:15" x14ac:dyDescent="0.2">
      <c r="A805"/>
      <c r="B805" s="642"/>
      <c r="C805" s="642"/>
      <c r="F805"/>
      <c r="G805"/>
      <c r="H805"/>
      <c r="J805"/>
      <c r="K805"/>
      <c r="L805"/>
      <c r="M805"/>
      <c r="N805" s="642"/>
      <c r="O805"/>
    </row>
    <row r="806" spans="1:15" x14ac:dyDescent="0.2">
      <c r="A806"/>
      <c r="B806" s="642"/>
      <c r="C806" s="642"/>
      <c r="F806"/>
      <c r="G806"/>
      <c r="H806"/>
      <c r="I806"/>
      <c r="L806"/>
      <c r="M806"/>
      <c r="N806" s="642"/>
      <c r="O806"/>
    </row>
    <row r="807" spans="1:15" x14ac:dyDescent="0.2">
      <c r="A807"/>
      <c r="B807" s="642"/>
      <c r="C807" s="642"/>
      <c r="F807"/>
      <c r="G807"/>
      <c r="L807"/>
      <c r="M807"/>
      <c r="N807" s="642"/>
      <c r="O807"/>
    </row>
    <row r="808" spans="1:15" x14ac:dyDescent="0.2">
      <c r="A808"/>
      <c r="B808" s="642"/>
      <c r="C808" s="642"/>
      <c r="F808"/>
      <c r="G808"/>
      <c r="L808"/>
      <c r="M808"/>
      <c r="N808" s="642"/>
      <c r="O808"/>
    </row>
    <row r="809" spans="1:15" x14ac:dyDescent="0.2">
      <c r="A809"/>
      <c r="B809" s="642"/>
      <c r="C809" s="642"/>
      <c r="F809"/>
      <c r="G809"/>
      <c r="I809"/>
      <c r="L809"/>
      <c r="M809"/>
      <c r="N809" s="642"/>
      <c r="O809"/>
    </row>
    <row r="810" spans="1:15" x14ac:dyDescent="0.2">
      <c r="A810"/>
      <c r="B810" s="642"/>
      <c r="C810" s="642"/>
      <c r="F810"/>
      <c r="G810"/>
      <c r="H810"/>
      <c r="I810"/>
      <c r="L810"/>
      <c r="M810"/>
      <c r="N810" s="642"/>
      <c r="O810"/>
    </row>
    <row r="811" spans="1:15" x14ac:dyDescent="0.2">
      <c r="A811"/>
      <c r="B811" s="642"/>
      <c r="C811" s="642"/>
      <c r="F811"/>
      <c r="G811"/>
      <c r="H811"/>
      <c r="I811"/>
      <c r="L811"/>
      <c r="N811" s="642"/>
      <c r="O811"/>
    </row>
    <row r="812" spans="1:15" x14ac:dyDescent="0.2">
      <c r="A812"/>
      <c r="B812" s="642"/>
      <c r="C812" s="642"/>
      <c r="F812"/>
      <c r="G812"/>
      <c r="H812"/>
      <c r="L812"/>
      <c r="M812"/>
      <c r="N812" s="642"/>
      <c r="O812"/>
    </row>
    <row r="813" spans="1:15" x14ac:dyDescent="0.2">
      <c r="A813"/>
      <c r="B813" s="642"/>
      <c r="C813" s="642"/>
      <c r="F813"/>
      <c r="G813"/>
      <c r="L813"/>
      <c r="M813"/>
      <c r="N813" s="642"/>
      <c r="O813"/>
    </row>
    <row r="814" spans="1:15" x14ac:dyDescent="0.2">
      <c r="A814"/>
      <c r="B814" s="642"/>
      <c r="C814" s="642"/>
      <c r="F814"/>
      <c r="G814"/>
      <c r="I814"/>
      <c r="L814"/>
      <c r="M814"/>
      <c r="N814" s="642"/>
      <c r="O814"/>
    </row>
    <row r="815" spans="1:15" x14ac:dyDescent="0.2">
      <c r="A815"/>
      <c r="B815" s="642"/>
      <c r="C815" s="642"/>
      <c r="F815"/>
      <c r="G815"/>
      <c r="L815"/>
      <c r="M815"/>
      <c r="N815" s="642"/>
      <c r="O815"/>
    </row>
    <row r="816" spans="1:15" x14ac:dyDescent="0.2">
      <c r="A816"/>
      <c r="B816" s="642"/>
      <c r="C816" s="642"/>
      <c r="F816"/>
      <c r="G816"/>
      <c r="H816"/>
      <c r="I816"/>
      <c r="J816"/>
      <c r="K816"/>
      <c r="L816"/>
      <c r="M816"/>
      <c r="N816" s="642"/>
      <c r="O816"/>
    </row>
    <row r="817" spans="1:15" x14ac:dyDescent="0.2">
      <c r="A817"/>
      <c r="B817" s="642"/>
      <c r="C817" s="642"/>
      <c r="F817"/>
      <c r="G817"/>
      <c r="J817"/>
      <c r="M817"/>
      <c r="N817" s="642"/>
      <c r="O817"/>
    </row>
    <row r="818" spans="1:15" x14ac:dyDescent="0.2">
      <c r="A818"/>
      <c r="B818" s="642"/>
      <c r="C818" s="642"/>
      <c r="F818"/>
      <c r="G818"/>
      <c r="I818"/>
      <c r="L818"/>
      <c r="M818"/>
      <c r="N818" s="642"/>
      <c r="O818"/>
    </row>
    <row r="819" spans="1:15" x14ac:dyDescent="0.2">
      <c r="A819"/>
      <c r="B819" s="642"/>
      <c r="C819" s="642"/>
      <c r="F819"/>
      <c r="G819"/>
      <c r="H819"/>
      <c r="J819"/>
      <c r="K819"/>
      <c r="L819"/>
      <c r="M819"/>
      <c r="N819" s="642"/>
      <c r="O819"/>
    </row>
    <row r="820" spans="1:15" x14ac:dyDescent="0.2">
      <c r="A820"/>
      <c r="B820" s="642"/>
      <c r="C820" s="642"/>
      <c r="F820"/>
      <c r="G820"/>
      <c r="L820"/>
      <c r="M820"/>
      <c r="N820" s="642"/>
      <c r="O820"/>
    </row>
    <row r="821" spans="1:15" x14ac:dyDescent="0.2">
      <c r="A821"/>
      <c r="B821" s="642"/>
      <c r="C821" s="642"/>
      <c r="F821"/>
      <c r="G821"/>
      <c r="L821"/>
      <c r="M821"/>
      <c r="N821" s="642"/>
      <c r="O821"/>
    </row>
    <row r="822" spans="1:15" x14ac:dyDescent="0.2">
      <c r="A822"/>
      <c r="B822" s="642"/>
      <c r="C822" s="642"/>
      <c r="F822"/>
      <c r="G822"/>
      <c r="J822"/>
      <c r="K822"/>
      <c r="L822"/>
      <c r="M822"/>
      <c r="N822" s="642"/>
      <c r="O822"/>
    </row>
    <row r="823" spans="1:15" x14ac:dyDescent="0.2">
      <c r="A823"/>
      <c r="B823" s="642"/>
      <c r="C823" s="642"/>
      <c r="F823"/>
      <c r="G823"/>
      <c r="H823"/>
      <c r="I823"/>
      <c r="L823"/>
      <c r="M823"/>
      <c r="N823" s="642"/>
      <c r="O823"/>
    </row>
    <row r="824" spans="1:15" x14ac:dyDescent="0.2">
      <c r="A824"/>
      <c r="B824" s="642"/>
      <c r="C824" s="642"/>
      <c r="F824"/>
      <c r="G824"/>
      <c r="H824"/>
      <c r="I824"/>
      <c r="L824"/>
      <c r="M824"/>
      <c r="N824" s="642"/>
      <c r="O824"/>
    </row>
    <row r="825" spans="1:15" x14ac:dyDescent="0.2">
      <c r="A825"/>
      <c r="B825" s="642"/>
      <c r="C825" s="642"/>
      <c r="F825"/>
      <c r="G825"/>
      <c r="L825"/>
      <c r="M825"/>
      <c r="N825" s="642"/>
      <c r="O825"/>
    </row>
    <row r="826" spans="1:15" x14ac:dyDescent="0.2">
      <c r="A826"/>
      <c r="B826" s="642"/>
      <c r="C826" s="642"/>
      <c r="F826"/>
      <c r="G826"/>
      <c r="L826"/>
      <c r="M826"/>
      <c r="N826" s="642"/>
      <c r="O826"/>
    </row>
    <row r="827" spans="1:15" x14ac:dyDescent="0.2">
      <c r="A827"/>
      <c r="B827" s="642"/>
      <c r="C827" s="642"/>
      <c r="F827"/>
      <c r="G827"/>
      <c r="H827"/>
      <c r="I827"/>
      <c r="L827"/>
      <c r="M827"/>
      <c r="N827" s="642"/>
      <c r="O827"/>
    </row>
    <row r="828" spans="1:15" x14ac:dyDescent="0.2">
      <c r="A828"/>
      <c r="B828" s="642"/>
      <c r="C828" s="642"/>
      <c r="F828"/>
      <c r="G828"/>
      <c r="L828"/>
      <c r="M828"/>
      <c r="N828" s="642"/>
      <c r="O828"/>
    </row>
    <row r="829" spans="1:15" x14ac:dyDescent="0.2">
      <c r="A829"/>
      <c r="B829" s="642"/>
      <c r="C829" s="642"/>
      <c r="F829"/>
      <c r="G829"/>
      <c r="H829"/>
      <c r="J829"/>
      <c r="K829"/>
      <c r="L829"/>
      <c r="M829"/>
      <c r="N829" s="642"/>
      <c r="O829"/>
    </row>
    <row r="830" spans="1:15" x14ac:dyDescent="0.2">
      <c r="A830"/>
      <c r="B830" s="642"/>
      <c r="C830" s="642"/>
      <c r="F830"/>
      <c r="G830"/>
      <c r="H830"/>
      <c r="I830"/>
      <c r="L830"/>
      <c r="M830"/>
      <c r="N830" s="642"/>
      <c r="O830"/>
    </row>
    <row r="831" spans="1:15" x14ac:dyDescent="0.2">
      <c r="A831"/>
      <c r="B831" s="642"/>
      <c r="C831" s="642"/>
      <c r="F831"/>
      <c r="G831"/>
      <c r="I831"/>
      <c r="L831"/>
      <c r="M831"/>
      <c r="N831" s="642"/>
      <c r="O831"/>
    </row>
    <row r="832" spans="1:15" x14ac:dyDescent="0.2">
      <c r="A832"/>
      <c r="B832" s="642"/>
      <c r="C832" s="642"/>
      <c r="F832"/>
      <c r="G832"/>
      <c r="H832"/>
      <c r="I832"/>
      <c r="L832"/>
      <c r="M832"/>
      <c r="N832" s="642"/>
      <c r="O832"/>
    </row>
    <row r="833" spans="1:15" x14ac:dyDescent="0.2">
      <c r="A833"/>
      <c r="B833" s="642"/>
      <c r="C833" s="642"/>
      <c r="F833"/>
      <c r="G833"/>
      <c r="H833"/>
      <c r="I833"/>
      <c r="L833"/>
      <c r="M833"/>
      <c r="N833" s="642"/>
      <c r="O833"/>
    </row>
    <row r="834" spans="1:15" x14ac:dyDescent="0.2">
      <c r="A834"/>
      <c r="B834" s="642"/>
      <c r="C834" s="642"/>
      <c r="F834"/>
      <c r="G834"/>
      <c r="L834"/>
      <c r="M834"/>
      <c r="N834" s="642"/>
      <c r="O834"/>
    </row>
    <row r="835" spans="1:15" x14ac:dyDescent="0.2">
      <c r="A835"/>
      <c r="B835" s="642"/>
      <c r="C835" s="642"/>
      <c r="F835"/>
      <c r="G835"/>
      <c r="H835"/>
      <c r="I835"/>
      <c r="L835"/>
      <c r="M835"/>
      <c r="N835" s="642"/>
      <c r="O835"/>
    </row>
    <row r="836" spans="1:15" x14ac:dyDescent="0.2">
      <c r="A836"/>
      <c r="B836" s="642"/>
      <c r="C836" s="642"/>
      <c r="F836"/>
      <c r="G836"/>
      <c r="J836"/>
      <c r="K836"/>
      <c r="L836"/>
      <c r="M836"/>
      <c r="N836" s="642"/>
      <c r="O836"/>
    </row>
    <row r="837" spans="1:15" x14ac:dyDescent="0.2">
      <c r="A837"/>
      <c r="B837" s="642"/>
      <c r="C837" s="642"/>
      <c r="F837"/>
      <c r="G837"/>
      <c r="L837"/>
      <c r="M837"/>
      <c r="N837" s="642"/>
      <c r="O837"/>
    </row>
    <row r="838" spans="1:15" x14ac:dyDescent="0.2">
      <c r="A838"/>
      <c r="B838" s="642"/>
      <c r="C838" s="642"/>
      <c r="F838"/>
      <c r="G838"/>
      <c r="M838"/>
      <c r="N838" s="642"/>
      <c r="O838"/>
    </row>
    <row r="839" spans="1:15" x14ac:dyDescent="0.2">
      <c r="A839"/>
      <c r="B839" s="642"/>
      <c r="C839" s="642"/>
      <c r="F839"/>
      <c r="G839"/>
      <c r="H839"/>
      <c r="I839"/>
      <c r="L839"/>
      <c r="M839"/>
      <c r="N839" s="642"/>
      <c r="O839"/>
    </row>
    <row r="840" spans="1:15" x14ac:dyDescent="0.2">
      <c r="A840"/>
      <c r="B840" s="642"/>
      <c r="C840" s="642"/>
      <c r="F840"/>
      <c r="G840"/>
      <c r="H840"/>
      <c r="L840"/>
      <c r="M840"/>
      <c r="N840" s="642"/>
      <c r="O840"/>
    </row>
    <row r="841" spans="1:15" x14ac:dyDescent="0.2">
      <c r="A841"/>
      <c r="B841" s="642"/>
      <c r="C841" s="642"/>
      <c r="F841"/>
      <c r="G841"/>
      <c r="H841"/>
      <c r="I841"/>
      <c r="L841"/>
      <c r="M841"/>
      <c r="N841" s="642"/>
      <c r="O841"/>
    </row>
    <row r="842" spans="1:15" x14ac:dyDescent="0.2">
      <c r="A842"/>
      <c r="B842" s="642"/>
      <c r="C842" s="642"/>
      <c r="F842"/>
      <c r="G842"/>
      <c r="H842"/>
      <c r="I842"/>
      <c r="L842"/>
      <c r="M842"/>
      <c r="N842" s="642"/>
      <c r="O842"/>
    </row>
    <row r="843" spans="1:15" x14ac:dyDescent="0.2">
      <c r="A843"/>
      <c r="B843" s="642"/>
      <c r="C843" s="642"/>
      <c r="F843"/>
      <c r="G843"/>
      <c r="L843"/>
      <c r="M843"/>
      <c r="N843" s="642"/>
      <c r="O843"/>
    </row>
    <row r="844" spans="1:15" x14ac:dyDescent="0.2">
      <c r="A844"/>
      <c r="B844" s="642"/>
      <c r="C844" s="642"/>
      <c r="F844"/>
      <c r="G844"/>
      <c r="I844"/>
      <c r="L844"/>
      <c r="M844"/>
      <c r="N844" s="642"/>
      <c r="O844"/>
    </row>
    <row r="845" spans="1:15" x14ac:dyDescent="0.2">
      <c r="A845"/>
      <c r="B845" s="642"/>
      <c r="C845" s="642"/>
      <c r="F845"/>
      <c r="G845"/>
      <c r="L845"/>
      <c r="M845"/>
      <c r="N845" s="642"/>
      <c r="O845"/>
    </row>
    <row r="846" spans="1:15" x14ac:dyDescent="0.2">
      <c r="A846"/>
      <c r="B846" s="642"/>
      <c r="C846" s="642"/>
      <c r="F846"/>
      <c r="G846"/>
      <c r="H846"/>
      <c r="I846"/>
      <c r="L846"/>
      <c r="N846" s="642"/>
      <c r="O846"/>
    </row>
    <row r="847" spans="1:15" x14ac:dyDescent="0.2">
      <c r="A847"/>
      <c r="B847" s="642"/>
      <c r="C847" s="642"/>
      <c r="F847"/>
      <c r="G847"/>
      <c r="I847"/>
      <c r="L847"/>
      <c r="M847"/>
      <c r="N847" s="642"/>
      <c r="O847"/>
    </row>
    <row r="848" spans="1:15" x14ac:dyDescent="0.2">
      <c r="A848"/>
      <c r="B848" s="642"/>
      <c r="C848" s="642"/>
      <c r="F848"/>
      <c r="G848"/>
      <c r="H848"/>
      <c r="L848"/>
      <c r="M848"/>
      <c r="N848" s="642"/>
      <c r="O848"/>
    </row>
    <row r="849" spans="1:15" x14ac:dyDescent="0.2">
      <c r="A849"/>
      <c r="B849" s="642"/>
      <c r="C849" s="642"/>
      <c r="F849"/>
      <c r="G849"/>
      <c r="H849"/>
      <c r="I849"/>
      <c r="L849"/>
      <c r="M849"/>
      <c r="N849" s="642"/>
      <c r="O849"/>
    </row>
    <row r="850" spans="1:15" x14ac:dyDescent="0.2">
      <c r="A850"/>
      <c r="B850" s="642"/>
      <c r="C850" s="642"/>
      <c r="F850"/>
      <c r="G850"/>
      <c r="H850"/>
      <c r="I850"/>
      <c r="L850"/>
      <c r="M850"/>
      <c r="N850" s="642"/>
      <c r="O850"/>
    </row>
    <row r="851" spans="1:15" x14ac:dyDescent="0.2">
      <c r="A851"/>
      <c r="B851" s="642"/>
      <c r="C851" s="642"/>
      <c r="F851"/>
      <c r="G851"/>
      <c r="H851"/>
      <c r="I851"/>
      <c r="L851"/>
      <c r="M851"/>
      <c r="N851" s="642"/>
      <c r="O851"/>
    </row>
    <row r="852" spans="1:15" x14ac:dyDescent="0.2">
      <c r="A852"/>
      <c r="B852" s="642"/>
      <c r="C852" s="642"/>
      <c r="F852"/>
      <c r="G852"/>
      <c r="M852"/>
      <c r="N852" s="642"/>
      <c r="O852"/>
    </row>
    <row r="853" spans="1:15" x14ac:dyDescent="0.2">
      <c r="A853"/>
      <c r="B853" s="642"/>
      <c r="C853" s="642"/>
      <c r="F853"/>
      <c r="G853"/>
      <c r="H853"/>
      <c r="M853"/>
      <c r="N853" s="642"/>
      <c r="O853"/>
    </row>
    <row r="854" spans="1:15" x14ac:dyDescent="0.2">
      <c r="A854"/>
      <c r="B854" s="642"/>
      <c r="C854" s="642"/>
      <c r="F854"/>
      <c r="G854"/>
      <c r="I854"/>
      <c r="L854"/>
      <c r="M854"/>
      <c r="N854" s="642"/>
      <c r="O854"/>
    </row>
    <row r="855" spans="1:15" x14ac:dyDescent="0.2">
      <c r="A855"/>
      <c r="B855" s="642"/>
      <c r="C855" s="642"/>
      <c r="F855"/>
      <c r="G855"/>
      <c r="M855"/>
      <c r="N855" s="642"/>
      <c r="O855"/>
    </row>
    <row r="856" spans="1:15" x14ac:dyDescent="0.2">
      <c r="A856"/>
      <c r="B856" s="642"/>
      <c r="C856" s="642"/>
      <c r="F856"/>
      <c r="G856"/>
      <c r="H856"/>
      <c r="I856"/>
      <c r="L856"/>
      <c r="M856"/>
      <c r="N856" s="642"/>
      <c r="O856"/>
    </row>
    <row r="857" spans="1:15" x14ac:dyDescent="0.2">
      <c r="A857"/>
      <c r="B857" s="642"/>
      <c r="C857" s="642"/>
      <c r="F857"/>
      <c r="G857"/>
      <c r="H857"/>
      <c r="I857"/>
      <c r="L857"/>
      <c r="M857"/>
      <c r="N857" s="642"/>
      <c r="O857"/>
    </row>
    <row r="858" spans="1:15" x14ac:dyDescent="0.2">
      <c r="A858"/>
      <c r="B858" s="642"/>
      <c r="C858" s="642"/>
      <c r="F858"/>
      <c r="G858"/>
      <c r="M858"/>
      <c r="N858" s="642"/>
      <c r="O858"/>
    </row>
    <row r="859" spans="1:15" x14ac:dyDescent="0.2">
      <c r="A859"/>
      <c r="B859" s="642"/>
      <c r="C859" s="642"/>
      <c r="F859"/>
      <c r="G859"/>
      <c r="L859"/>
      <c r="M859"/>
      <c r="N859" s="642"/>
      <c r="O859"/>
    </row>
    <row r="860" spans="1:15" x14ac:dyDescent="0.2">
      <c r="A860"/>
      <c r="B860" s="642"/>
      <c r="C860" s="642"/>
      <c r="F860"/>
      <c r="G860"/>
      <c r="H860"/>
      <c r="I860"/>
      <c r="L860"/>
      <c r="M860"/>
      <c r="N860" s="642"/>
      <c r="O860"/>
    </row>
    <row r="861" spans="1:15" x14ac:dyDescent="0.2">
      <c r="A861"/>
      <c r="B861" s="642"/>
      <c r="C861" s="642"/>
      <c r="F861"/>
      <c r="G861"/>
      <c r="L861"/>
      <c r="M861"/>
      <c r="N861" s="642"/>
      <c r="O861"/>
    </row>
    <row r="862" spans="1:15" x14ac:dyDescent="0.2">
      <c r="A862"/>
      <c r="B862" s="642"/>
      <c r="C862" s="642"/>
      <c r="F862"/>
      <c r="G862"/>
      <c r="L862"/>
      <c r="M862"/>
      <c r="N862" s="642"/>
      <c r="O862"/>
    </row>
    <row r="863" spans="1:15" x14ac:dyDescent="0.2">
      <c r="A863"/>
      <c r="B863" s="642"/>
      <c r="C863" s="642"/>
      <c r="F863"/>
      <c r="G863"/>
      <c r="H863"/>
      <c r="I863"/>
      <c r="J863"/>
      <c r="K863"/>
      <c r="L863"/>
      <c r="M863"/>
      <c r="N863" s="642"/>
      <c r="O863"/>
    </row>
    <row r="864" spans="1:15" x14ac:dyDescent="0.2">
      <c r="A864"/>
      <c r="B864" s="642"/>
      <c r="C864" s="642"/>
      <c r="F864"/>
      <c r="G864"/>
      <c r="I864"/>
      <c r="L864"/>
      <c r="M864"/>
      <c r="N864" s="642"/>
      <c r="O864"/>
    </row>
    <row r="865" spans="1:15" x14ac:dyDescent="0.2">
      <c r="A865"/>
      <c r="B865" s="642"/>
      <c r="C865" s="642"/>
      <c r="F865"/>
      <c r="G865"/>
      <c r="H865"/>
      <c r="I865"/>
      <c r="L865"/>
      <c r="M865"/>
      <c r="N865" s="642"/>
      <c r="O865"/>
    </row>
    <row r="866" spans="1:15" x14ac:dyDescent="0.2">
      <c r="A866"/>
      <c r="B866" s="642"/>
      <c r="C866" s="642"/>
      <c r="F866"/>
      <c r="G866"/>
      <c r="I866"/>
      <c r="L866"/>
      <c r="M866"/>
      <c r="N866" s="642"/>
      <c r="O866"/>
    </row>
    <row r="867" spans="1:15" x14ac:dyDescent="0.2">
      <c r="A867"/>
      <c r="B867" s="642"/>
      <c r="C867" s="642"/>
      <c r="F867"/>
      <c r="G867"/>
      <c r="H867"/>
      <c r="I867"/>
      <c r="L867"/>
      <c r="M867"/>
      <c r="N867" s="642"/>
      <c r="O867"/>
    </row>
    <row r="868" spans="1:15" x14ac:dyDescent="0.2">
      <c r="A868"/>
      <c r="B868" s="642"/>
      <c r="C868" s="642"/>
      <c r="F868"/>
      <c r="G868"/>
      <c r="L868"/>
      <c r="M868"/>
      <c r="N868" s="642"/>
      <c r="O868"/>
    </row>
    <row r="869" spans="1:15" x14ac:dyDescent="0.2">
      <c r="A869"/>
      <c r="B869" s="642"/>
      <c r="C869" s="642"/>
      <c r="F869"/>
      <c r="G869"/>
      <c r="J869"/>
      <c r="K869"/>
      <c r="L869"/>
      <c r="M869"/>
      <c r="N869" s="642"/>
      <c r="O869"/>
    </row>
    <row r="870" spans="1:15" x14ac:dyDescent="0.2">
      <c r="A870"/>
      <c r="B870" s="642"/>
      <c r="C870" s="642"/>
      <c r="F870"/>
      <c r="G870"/>
      <c r="I870"/>
      <c r="L870"/>
      <c r="M870"/>
      <c r="N870" s="642"/>
      <c r="O870"/>
    </row>
    <row r="871" spans="1:15" x14ac:dyDescent="0.2">
      <c r="A871"/>
      <c r="B871" s="642"/>
      <c r="C871" s="642"/>
      <c r="F871"/>
      <c r="G871"/>
      <c r="H871"/>
      <c r="I871"/>
      <c r="L871"/>
      <c r="N871" s="642"/>
      <c r="O871"/>
    </row>
    <row r="872" spans="1:15" x14ac:dyDescent="0.2">
      <c r="A872"/>
      <c r="B872" s="642"/>
      <c r="C872" s="642"/>
      <c r="F872"/>
      <c r="G872"/>
      <c r="H872"/>
      <c r="I872"/>
      <c r="L872"/>
      <c r="M872"/>
      <c r="N872" s="642"/>
      <c r="O872"/>
    </row>
    <row r="873" spans="1:15" x14ac:dyDescent="0.2">
      <c r="A873"/>
      <c r="B873" s="642"/>
      <c r="C873" s="642"/>
      <c r="F873"/>
      <c r="G873"/>
      <c r="J873"/>
      <c r="K873"/>
      <c r="L873"/>
      <c r="M873"/>
      <c r="N873" s="642"/>
      <c r="O873"/>
    </row>
    <row r="874" spans="1:15" x14ac:dyDescent="0.2">
      <c r="A874"/>
      <c r="B874" s="642"/>
      <c r="C874" s="642"/>
      <c r="F874"/>
      <c r="G874"/>
      <c r="H874"/>
      <c r="I874"/>
      <c r="L874"/>
      <c r="M874"/>
      <c r="N874" s="642"/>
      <c r="O874"/>
    </row>
    <row r="875" spans="1:15" x14ac:dyDescent="0.2">
      <c r="A875"/>
      <c r="B875" s="642"/>
      <c r="C875" s="642"/>
      <c r="F875"/>
      <c r="G875"/>
      <c r="H875"/>
      <c r="I875"/>
      <c r="L875"/>
      <c r="M875"/>
      <c r="N875" s="642"/>
      <c r="O875"/>
    </row>
    <row r="876" spans="1:15" x14ac:dyDescent="0.2">
      <c r="A876"/>
      <c r="B876" s="642"/>
      <c r="C876" s="642"/>
      <c r="F876"/>
      <c r="G876"/>
      <c r="L876"/>
      <c r="M876"/>
      <c r="N876" s="642"/>
      <c r="O876"/>
    </row>
    <row r="877" spans="1:15" x14ac:dyDescent="0.2">
      <c r="A877"/>
      <c r="B877" s="642"/>
      <c r="C877" s="642"/>
      <c r="F877"/>
      <c r="G877"/>
      <c r="L877"/>
      <c r="M877"/>
      <c r="N877" s="642"/>
      <c r="O877"/>
    </row>
    <row r="878" spans="1:15" x14ac:dyDescent="0.2">
      <c r="A878"/>
      <c r="B878" s="642"/>
      <c r="C878" s="642"/>
      <c r="F878"/>
      <c r="G878"/>
      <c r="H878"/>
      <c r="L878"/>
      <c r="M878"/>
      <c r="N878" s="642"/>
      <c r="O878"/>
    </row>
    <row r="879" spans="1:15" x14ac:dyDescent="0.2">
      <c r="A879"/>
      <c r="B879" s="642"/>
      <c r="C879" s="642"/>
      <c r="F879"/>
      <c r="G879"/>
      <c r="H879"/>
      <c r="J879"/>
      <c r="K879"/>
      <c r="L879"/>
      <c r="M879"/>
      <c r="N879" s="642"/>
      <c r="O879"/>
    </row>
    <row r="880" spans="1:15" x14ac:dyDescent="0.2">
      <c r="A880"/>
      <c r="B880" s="642"/>
      <c r="C880" s="642"/>
      <c r="F880"/>
      <c r="G880"/>
      <c r="J880"/>
      <c r="K880"/>
      <c r="L880"/>
      <c r="M880"/>
      <c r="N880" s="642"/>
      <c r="O880"/>
    </row>
    <row r="881" spans="1:15" x14ac:dyDescent="0.2">
      <c r="A881"/>
      <c r="B881" s="642"/>
      <c r="C881" s="642"/>
      <c r="F881"/>
      <c r="G881"/>
      <c r="H881"/>
      <c r="J881"/>
      <c r="K881"/>
      <c r="L881"/>
      <c r="M881"/>
      <c r="N881" s="642"/>
      <c r="O881"/>
    </row>
    <row r="882" spans="1:15" x14ac:dyDescent="0.2">
      <c r="A882"/>
      <c r="B882" s="642"/>
      <c r="C882" s="642"/>
      <c r="F882"/>
      <c r="G882"/>
      <c r="H882"/>
      <c r="J882"/>
      <c r="K882"/>
      <c r="L882"/>
      <c r="M882"/>
      <c r="N882" s="642"/>
      <c r="O882"/>
    </row>
    <row r="883" spans="1:15" x14ac:dyDescent="0.2">
      <c r="A883"/>
      <c r="B883" s="642"/>
      <c r="C883" s="642"/>
      <c r="F883"/>
      <c r="G883"/>
      <c r="J883"/>
      <c r="K883"/>
      <c r="L883"/>
      <c r="M883"/>
      <c r="N883" s="642"/>
      <c r="O883"/>
    </row>
    <row r="884" spans="1:15" x14ac:dyDescent="0.2">
      <c r="A884"/>
      <c r="B884" s="642"/>
      <c r="C884" s="642"/>
      <c r="F884"/>
      <c r="G884"/>
      <c r="H884"/>
      <c r="J884"/>
      <c r="K884"/>
      <c r="L884"/>
      <c r="M884"/>
      <c r="N884" s="642"/>
      <c r="O884"/>
    </row>
    <row r="885" spans="1:15" x14ac:dyDescent="0.2">
      <c r="A885"/>
      <c r="B885" s="642"/>
      <c r="C885" s="642"/>
      <c r="F885"/>
      <c r="G885"/>
      <c r="H885"/>
      <c r="I885"/>
      <c r="L885"/>
      <c r="N885" s="642"/>
      <c r="O885"/>
    </row>
    <row r="886" spans="1:15" x14ac:dyDescent="0.2">
      <c r="A886"/>
      <c r="B886" s="642"/>
      <c r="C886" s="642"/>
      <c r="F886"/>
      <c r="G886"/>
      <c r="I886"/>
      <c r="L886"/>
      <c r="M886"/>
      <c r="N886" s="642"/>
      <c r="O886"/>
    </row>
    <row r="887" spans="1:15" x14ac:dyDescent="0.2">
      <c r="A887"/>
      <c r="B887" s="642"/>
      <c r="C887" s="642"/>
      <c r="F887"/>
      <c r="G887"/>
      <c r="L887"/>
      <c r="M887"/>
      <c r="N887" s="642"/>
      <c r="O887"/>
    </row>
    <row r="888" spans="1:15" x14ac:dyDescent="0.2">
      <c r="A888"/>
      <c r="B888" s="642"/>
      <c r="C888" s="642"/>
      <c r="F888"/>
      <c r="G888"/>
      <c r="H888"/>
      <c r="J888"/>
      <c r="K888"/>
      <c r="L888"/>
      <c r="M888"/>
      <c r="N888" s="642"/>
      <c r="O888"/>
    </row>
    <row r="889" spans="1:15" x14ac:dyDescent="0.2">
      <c r="A889"/>
      <c r="B889" s="642"/>
      <c r="C889" s="642"/>
      <c r="F889"/>
      <c r="G889"/>
      <c r="H889"/>
      <c r="I889"/>
      <c r="L889"/>
      <c r="M889"/>
      <c r="N889" s="642"/>
      <c r="O889"/>
    </row>
    <row r="890" spans="1:15" x14ac:dyDescent="0.2">
      <c r="A890"/>
      <c r="B890" s="642"/>
      <c r="C890" s="642"/>
      <c r="F890"/>
      <c r="G890"/>
      <c r="H890"/>
      <c r="I890"/>
      <c r="L890"/>
      <c r="N890" s="642"/>
      <c r="O890"/>
    </row>
    <row r="891" spans="1:15" x14ac:dyDescent="0.2">
      <c r="A891"/>
      <c r="B891" s="642"/>
      <c r="C891" s="642"/>
      <c r="F891"/>
      <c r="G891"/>
      <c r="L891"/>
      <c r="M891"/>
      <c r="N891" s="642"/>
      <c r="O891"/>
    </row>
    <row r="892" spans="1:15" x14ac:dyDescent="0.2">
      <c r="A892"/>
      <c r="B892" s="642"/>
      <c r="C892" s="642"/>
      <c r="F892"/>
      <c r="G892"/>
      <c r="H892"/>
      <c r="I892"/>
      <c r="L892"/>
      <c r="M892"/>
      <c r="N892" s="642"/>
      <c r="O892"/>
    </row>
    <row r="893" spans="1:15" x14ac:dyDescent="0.2">
      <c r="A893"/>
      <c r="B893" s="642"/>
      <c r="C893" s="642"/>
      <c r="F893"/>
      <c r="G893"/>
      <c r="H893"/>
      <c r="I893"/>
      <c r="L893"/>
      <c r="M893"/>
      <c r="N893" s="642"/>
      <c r="O893"/>
    </row>
    <row r="894" spans="1:15" x14ac:dyDescent="0.2">
      <c r="A894"/>
      <c r="B894" s="642"/>
      <c r="C894" s="642"/>
      <c r="F894"/>
      <c r="G894"/>
      <c r="H894"/>
      <c r="I894"/>
      <c r="L894"/>
      <c r="M894"/>
      <c r="N894" s="642"/>
      <c r="O894"/>
    </row>
    <row r="895" spans="1:15" x14ac:dyDescent="0.2">
      <c r="A895"/>
      <c r="B895" s="642"/>
      <c r="C895" s="642"/>
      <c r="F895"/>
      <c r="G895"/>
      <c r="I895"/>
      <c r="L895"/>
      <c r="M895"/>
      <c r="N895" s="642"/>
      <c r="O895"/>
    </row>
    <row r="896" spans="1:15" x14ac:dyDescent="0.2">
      <c r="A896"/>
      <c r="B896" s="642"/>
      <c r="C896" s="642"/>
      <c r="F896"/>
      <c r="G896"/>
      <c r="L896"/>
      <c r="M896"/>
      <c r="N896" s="642"/>
      <c r="O896"/>
    </row>
    <row r="897" spans="1:15" x14ac:dyDescent="0.2">
      <c r="A897"/>
      <c r="B897" s="642"/>
      <c r="C897" s="642"/>
      <c r="F897"/>
      <c r="G897"/>
      <c r="H897"/>
      <c r="J897"/>
      <c r="K897"/>
      <c r="L897"/>
      <c r="M897"/>
      <c r="N897" s="642"/>
      <c r="O897"/>
    </row>
    <row r="898" spans="1:15" x14ac:dyDescent="0.2">
      <c r="A898"/>
      <c r="B898" s="642"/>
      <c r="C898" s="642"/>
      <c r="F898"/>
      <c r="G898"/>
      <c r="I898"/>
      <c r="L898"/>
      <c r="M898"/>
      <c r="N898" s="642"/>
      <c r="O898"/>
    </row>
    <row r="899" spans="1:15" x14ac:dyDescent="0.2">
      <c r="A899"/>
      <c r="B899" s="642"/>
      <c r="C899" s="642"/>
      <c r="F899"/>
      <c r="G899"/>
      <c r="I899"/>
      <c r="L899"/>
      <c r="M899"/>
      <c r="N899" s="642"/>
      <c r="O899"/>
    </row>
    <row r="900" spans="1:15" x14ac:dyDescent="0.2">
      <c r="A900"/>
      <c r="B900" s="642"/>
      <c r="C900" s="642"/>
      <c r="F900"/>
      <c r="G900"/>
      <c r="M900"/>
      <c r="N900" s="642"/>
      <c r="O900"/>
    </row>
    <row r="901" spans="1:15" x14ac:dyDescent="0.2">
      <c r="A901"/>
      <c r="B901" s="642"/>
      <c r="C901" s="642"/>
      <c r="F901"/>
      <c r="G901"/>
      <c r="I901"/>
      <c r="L901"/>
      <c r="M901"/>
      <c r="N901" s="642"/>
      <c r="O901"/>
    </row>
    <row r="902" spans="1:15" x14ac:dyDescent="0.2">
      <c r="A902"/>
      <c r="B902" s="642"/>
      <c r="C902" s="642"/>
      <c r="F902"/>
      <c r="G902"/>
      <c r="I902"/>
      <c r="L902"/>
      <c r="M902"/>
      <c r="N902" s="642"/>
      <c r="O902"/>
    </row>
    <row r="903" spans="1:15" x14ac:dyDescent="0.2">
      <c r="A903"/>
      <c r="B903" s="642"/>
      <c r="C903" s="642"/>
      <c r="F903"/>
      <c r="G903"/>
      <c r="I903"/>
      <c r="L903"/>
      <c r="M903"/>
      <c r="N903" s="642"/>
      <c r="O903"/>
    </row>
    <row r="904" spans="1:15" x14ac:dyDescent="0.2">
      <c r="A904"/>
      <c r="B904" s="642"/>
      <c r="C904" s="642"/>
      <c r="F904"/>
      <c r="G904"/>
      <c r="I904"/>
      <c r="L904"/>
      <c r="M904"/>
      <c r="N904" s="642"/>
      <c r="O904"/>
    </row>
    <row r="905" spans="1:15" x14ac:dyDescent="0.2">
      <c r="A905"/>
      <c r="B905" s="642"/>
      <c r="C905" s="642"/>
      <c r="F905"/>
      <c r="G905"/>
      <c r="H905"/>
      <c r="I905"/>
      <c r="L905"/>
      <c r="M905"/>
      <c r="N905" s="642"/>
      <c r="O905"/>
    </row>
    <row r="906" spans="1:15" x14ac:dyDescent="0.2">
      <c r="A906"/>
      <c r="B906" s="642"/>
      <c r="C906" s="642"/>
      <c r="F906"/>
      <c r="G906"/>
      <c r="H906"/>
      <c r="I906"/>
      <c r="L906"/>
      <c r="M906"/>
      <c r="N906" s="642"/>
      <c r="O906"/>
    </row>
    <row r="907" spans="1:15" x14ac:dyDescent="0.2">
      <c r="A907"/>
      <c r="B907" s="642"/>
      <c r="C907" s="642"/>
      <c r="F907"/>
      <c r="G907"/>
      <c r="H907"/>
      <c r="I907"/>
      <c r="L907"/>
      <c r="M907"/>
      <c r="N907" s="642"/>
      <c r="O907"/>
    </row>
    <row r="908" spans="1:15" x14ac:dyDescent="0.2">
      <c r="A908"/>
      <c r="B908" s="642"/>
      <c r="C908" s="642"/>
      <c r="F908"/>
      <c r="G908"/>
      <c r="L908"/>
      <c r="M908"/>
      <c r="N908" s="642"/>
      <c r="O908"/>
    </row>
    <row r="909" spans="1:15" x14ac:dyDescent="0.2">
      <c r="A909"/>
      <c r="B909" s="642"/>
      <c r="C909" s="642"/>
      <c r="F909"/>
      <c r="G909"/>
      <c r="H909"/>
      <c r="I909"/>
      <c r="L909"/>
      <c r="M909"/>
      <c r="N909" s="642"/>
      <c r="O909"/>
    </row>
    <row r="910" spans="1:15" x14ac:dyDescent="0.2">
      <c r="A910"/>
      <c r="B910" s="642"/>
      <c r="C910" s="642"/>
      <c r="F910"/>
      <c r="G910"/>
      <c r="H910"/>
      <c r="I910"/>
      <c r="L910"/>
      <c r="M910"/>
      <c r="N910" s="642"/>
      <c r="O910"/>
    </row>
    <row r="911" spans="1:15" x14ac:dyDescent="0.2">
      <c r="A911"/>
      <c r="B911" s="642"/>
      <c r="C911" s="642"/>
      <c r="F911"/>
      <c r="G911"/>
      <c r="L911"/>
      <c r="M911"/>
      <c r="N911" s="642"/>
      <c r="O911"/>
    </row>
    <row r="912" spans="1:15" x14ac:dyDescent="0.2">
      <c r="A912"/>
      <c r="B912" s="642"/>
      <c r="C912" s="642"/>
      <c r="F912"/>
      <c r="G912"/>
      <c r="H912"/>
      <c r="I912"/>
      <c r="L912"/>
      <c r="M912"/>
      <c r="N912" s="642"/>
      <c r="O912"/>
    </row>
    <row r="913" spans="1:15" x14ac:dyDescent="0.2">
      <c r="A913"/>
      <c r="B913" s="642"/>
      <c r="C913" s="642"/>
      <c r="F913"/>
      <c r="G913"/>
      <c r="H913"/>
      <c r="I913"/>
      <c r="L913"/>
      <c r="M913"/>
      <c r="N913" s="642"/>
      <c r="O913"/>
    </row>
    <row r="914" spans="1:15" x14ac:dyDescent="0.2">
      <c r="A914"/>
      <c r="B914" s="642"/>
      <c r="C914" s="642"/>
      <c r="F914"/>
      <c r="G914"/>
      <c r="M914"/>
      <c r="N914" s="642"/>
      <c r="O914"/>
    </row>
    <row r="915" spans="1:15" x14ac:dyDescent="0.2">
      <c r="A915"/>
      <c r="B915" s="642"/>
      <c r="C915" s="642"/>
      <c r="F915"/>
      <c r="G915"/>
      <c r="H915"/>
      <c r="I915"/>
      <c r="L915"/>
      <c r="M915"/>
      <c r="N915" s="642"/>
      <c r="O915"/>
    </row>
    <row r="916" spans="1:15" x14ac:dyDescent="0.2">
      <c r="A916"/>
      <c r="B916" s="642"/>
      <c r="C916" s="642"/>
      <c r="F916"/>
      <c r="G916"/>
      <c r="H916"/>
      <c r="I916"/>
      <c r="L916"/>
      <c r="M916"/>
      <c r="N916" s="642"/>
      <c r="O916"/>
    </row>
    <row r="917" spans="1:15" x14ac:dyDescent="0.2">
      <c r="A917"/>
      <c r="B917" s="642"/>
      <c r="C917" s="642"/>
      <c r="F917"/>
      <c r="G917"/>
      <c r="H917"/>
      <c r="L917"/>
      <c r="M917"/>
      <c r="N917" s="642"/>
      <c r="O917"/>
    </row>
    <row r="918" spans="1:15" x14ac:dyDescent="0.2">
      <c r="A918"/>
      <c r="B918" s="642"/>
      <c r="C918" s="642"/>
      <c r="F918"/>
      <c r="G918"/>
      <c r="I918"/>
      <c r="J918"/>
      <c r="K918"/>
      <c r="L918"/>
      <c r="M918"/>
      <c r="N918" s="642"/>
      <c r="O918"/>
    </row>
    <row r="919" spans="1:15" x14ac:dyDescent="0.2">
      <c r="A919"/>
      <c r="B919" s="642"/>
      <c r="C919" s="642"/>
      <c r="F919"/>
      <c r="G919"/>
      <c r="I919"/>
      <c r="L919"/>
      <c r="M919"/>
      <c r="N919" s="642"/>
      <c r="O919"/>
    </row>
    <row r="920" spans="1:15" x14ac:dyDescent="0.2">
      <c r="A920"/>
      <c r="B920" s="642"/>
      <c r="C920" s="642"/>
      <c r="F920"/>
      <c r="G920"/>
      <c r="I920"/>
      <c r="L920"/>
      <c r="M920"/>
      <c r="N920" s="642"/>
      <c r="O920"/>
    </row>
    <row r="921" spans="1:15" x14ac:dyDescent="0.2">
      <c r="A921"/>
      <c r="B921" s="642"/>
      <c r="C921" s="642"/>
      <c r="F921"/>
      <c r="G921"/>
      <c r="I921"/>
      <c r="L921"/>
      <c r="M921"/>
      <c r="N921" s="642"/>
      <c r="O921"/>
    </row>
    <row r="922" spans="1:15" x14ac:dyDescent="0.2">
      <c r="A922"/>
      <c r="B922" s="642"/>
      <c r="C922" s="642"/>
      <c r="F922"/>
      <c r="G922"/>
      <c r="H922"/>
      <c r="I922"/>
      <c r="L922"/>
      <c r="M922"/>
      <c r="N922" s="642"/>
      <c r="O922"/>
    </row>
    <row r="923" spans="1:15" x14ac:dyDescent="0.2">
      <c r="A923"/>
      <c r="B923" s="642"/>
      <c r="C923" s="642"/>
      <c r="F923"/>
      <c r="G923"/>
      <c r="H923"/>
      <c r="I923"/>
      <c r="L923"/>
      <c r="M923"/>
      <c r="N923" s="642"/>
      <c r="O923"/>
    </row>
    <row r="924" spans="1:15" x14ac:dyDescent="0.2">
      <c r="A924"/>
      <c r="B924" s="642"/>
      <c r="C924" s="642"/>
      <c r="F924"/>
      <c r="G924"/>
      <c r="H924"/>
      <c r="I924"/>
      <c r="L924"/>
      <c r="M924"/>
      <c r="N924" s="642"/>
      <c r="O924"/>
    </row>
    <row r="925" spans="1:15" x14ac:dyDescent="0.2">
      <c r="A925"/>
      <c r="B925" s="642"/>
      <c r="C925" s="642"/>
      <c r="F925"/>
      <c r="G925"/>
      <c r="H925"/>
      <c r="I925"/>
      <c r="L925"/>
      <c r="M925"/>
      <c r="N925" s="642"/>
      <c r="O925"/>
    </row>
    <row r="926" spans="1:15" x14ac:dyDescent="0.2">
      <c r="A926"/>
      <c r="B926" s="642"/>
      <c r="C926" s="642"/>
      <c r="F926"/>
      <c r="G926"/>
      <c r="I926"/>
      <c r="L926"/>
      <c r="M926"/>
      <c r="N926" s="642"/>
      <c r="O926"/>
    </row>
    <row r="927" spans="1:15" x14ac:dyDescent="0.2">
      <c r="A927"/>
      <c r="B927" s="642"/>
      <c r="C927" s="642"/>
      <c r="F927"/>
      <c r="G927"/>
      <c r="I927"/>
      <c r="L927"/>
      <c r="M927"/>
      <c r="N927" s="642"/>
      <c r="O927"/>
    </row>
    <row r="928" spans="1:15" x14ac:dyDescent="0.2">
      <c r="A928"/>
      <c r="B928" s="642"/>
      <c r="C928" s="642"/>
      <c r="F928"/>
      <c r="G928"/>
      <c r="H928"/>
      <c r="I928"/>
      <c r="L928"/>
      <c r="M928"/>
      <c r="N928" s="642"/>
      <c r="O928"/>
    </row>
    <row r="929" spans="1:15" x14ac:dyDescent="0.2">
      <c r="A929"/>
      <c r="B929" s="642"/>
      <c r="C929" s="642"/>
      <c r="F929"/>
      <c r="G929"/>
      <c r="H929"/>
      <c r="I929"/>
      <c r="L929"/>
      <c r="M929"/>
      <c r="N929" s="642"/>
      <c r="O929"/>
    </row>
    <row r="930" spans="1:15" x14ac:dyDescent="0.2">
      <c r="A930"/>
      <c r="B930" s="642"/>
      <c r="C930" s="642"/>
      <c r="F930"/>
      <c r="G930"/>
      <c r="I930"/>
      <c r="L930"/>
      <c r="M930"/>
      <c r="N930" s="642"/>
      <c r="O930"/>
    </row>
    <row r="931" spans="1:15" x14ac:dyDescent="0.2">
      <c r="A931"/>
      <c r="B931" s="642"/>
      <c r="C931" s="642"/>
      <c r="F931"/>
      <c r="G931"/>
      <c r="J931"/>
      <c r="K931"/>
      <c r="L931"/>
      <c r="M931"/>
      <c r="N931" s="642"/>
      <c r="O931"/>
    </row>
    <row r="932" spans="1:15" x14ac:dyDescent="0.2">
      <c r="A932"/>
      <c r="B932" s="642"/>
      <c r="C932" s="642"/>
      <c r="F932"/>
      <c r="G932"/>
      <c r="H932"/>
      <c r="I932"/>
      <c r="L932"/>
      <c r="M932"/>
      <c r="N932" s="642"/>
      <c r="O932"/>
    </row>
    <row r="933" spans="1:15" x14ac:dyDescent="0.2">
      <c r="A933"/>
      <c r="B933" s="642"/>
      <c r="C933" s="642"/>
      <c r="F933"/>
      <c r="G933"/>
      <c r="H933"/>
      <c r="I933"/>
      <c r="L933"/>
      <c r="M933"/>
      <c r="N933" s="642"/>
      <c r="O933"/>
    </row>
    <row r="934" spans="1:15" x14ac:dyDescent="0.2">
      <c r="A934"/>
      <c r="B934" s="642"/>
      <c r="C934" s="642"/>
      <c r="F934"/>
      <c r="G934"/>
      <c r="H934"/>
      <c r="I934"/>
      <c r="J934"/>
      <c r="K934"/>
      <c r="L934"/>
      <c r="M934"/>
      <c r="N934" s="642"/>
      <c r="O934"/>
    </row>
    <row r="935" spans="1:15" x14ac:dyDescent="0.2">
      <c r="A935"/>
      <c r="B935" s="642"/>
      <c r="C935" s="642"/>
      <c r="F935"/>
      <c r="G935"/>
      <c r="H935"/>
      <c r="I935"/>
      <c r="L935"/>
      <c r="M935"/>
      <c r="N935" s="642"/>
      <c r="O935"/>
    </row>
    <row r="936" spans="1:15" x14ac:dyDescent="0.2">
      <c r="A936"/>
      <c r="B936" s="642"/>
      <c r="C936" s="642"/>
      <c r="F936"/>
      <c r="G936"/>
      <c r="I936"/>
      <c r="L936"/>
      <c r="M936"/>
      <c r="N936" s="642"/>
      <c r="O936"/>
    </row>
    <row r="937" spans="1:15" x14ac:dyDescent="0.2">
      <c r="A937"/>
      <c r="B937" s="642"/>
      <c r="C937" s="642"/>
      <c r="F937"/>
      <c r="G937"/>
      <c r="H937"/>
      <c r="I937"/>
      <c r="L937"/>
      <c r="M937"/>
      <c r="N937" s="642"/>
      <c r="O937"/>
    </row>
    <row r="938" spans="1:15" x14ac:dyDescent="0.2">
      <c r="A938"/>
      <c r="B938" s="642"/>
      <c r="C938" s="642"/>
      <c r="F938"/>
      <c r="G938"/>
      <c r="H938"/>
      <c r="I938"/>
      <c r="L938"/>
      <c r="M938"/>
      <c r="N938" s="642"/>
      <c r="O938"/>
    </row>
    <row r="939" spans="1:15" x14ac:dyDescent="0.2">
      <c r="A939"/>
      <c r="B939" s="642"/>
      <c r="C939" s="642"/>
      <c r="F939"/>
      <c r="G939"/>
      <c r="J939"/>
      <c r="K939"/>
      <c r="L939"/>
      <c r="M939"/>
      <c r="N939" s="642"/>
      <c r="O939"/>
    </row>
    <row r="940" spans="1:15" x14ac:dyDescent="0.2">
      <c r="A940"/>
      <c r="B940" s="642"/>
      <c r="C940" s="642"/>
      <c r="F940"/>
      <c r="G940"/>
      <c r="H940"/>
      <c r="J940"/>
      <c r="K940"/>
      <c r="L940"/>
      <c r="M940"/>
      <c r="N940" s="642"/>
      <c r="O940"/>
    </row>
    <row r="941" spans="1:15" x14ac:dyDescent="0.2">
      <c r="A941"/>
      <c r="B941" s="642"/>
      <c r="C941" s="642"/>
      <c r="F941"/>
      <c r="G941"/>
      <c r="J941"/>
      <c r="K941"/>
      <c r="L941"/>
      <c r="M941"/>
      <c r="N941" s="642"/>
      <c r="O941"/>
    </row>
    <row r="942" spans="1:15" x14ac:dyDescent="0.2">
      <c r="A942"/>
      <c r="B942" s="642"/>
      <c r="C942" s="642"/>
      <c r="F942"/>
      <c r="G942"/>
      <c r="H942"/>
      <c r="J942"/>
      <c r="K942"/>
      <c r="L942"/>
      <c r="M942"/>
      <c r="N942" s="642"/>
      <c r="O942"/>
    </row>
    <row r="943" spans="1:15" x14ac:dyDescent="0.2">
      <c r="A943"/>
      <c r="B943" s="642"/>
      <c r="C943" s="642"/>
      <c r="F943"/>
      <c r="G943"/>
      <c r="L943"/>
      <c r="M943"/>
      <c r="N943" s="642"/>
      <c r="O943"/>
    </row>
    <row r="944" spans="1:15" x14ac:dyDescent="0.2">
      <c r="A944"/>
      <c r="B944" s="642"/>
      <c r="C944" s="642"/>
      <c r="F944"/>
      <c r="G944"/>
      <c r="H944"/>
      <c r="J944"/>
      <c r="K944"/>
      <c r="L944"/>
      <c r="M944"/>
      <c r="N944" s="642"/>
      <c r="O944"/>
    </row>
    <row r="945" spans="1:15" x14ac:dyDescent="0.2">
      <c r="A945"/>
      <c r="B945" s="642"/>
      <c r="C945" s="642"/>
      <c r="F945"/>
      <c r="G945"/>
      <c r="H945"/>
      <c r="I945"/>
      <c r="L945"/>
      <c r="M945"/>
      <c r="N945" s="642"/>
      <c r="O945"/>
    </row>
    <row r="946" spans="1:15" x14ac:dyDescent="0.2">
      <c r="A946"/>
      <c r="B946" s="642"/>
      <c r="C946" s="642"/>
      <c r="F946"/>
      <c r="G946"/>
      <c r="H946"/>
      <c r="I946"/>
      <c r="L946"/>
      <c r="M946"/>
      <c r="N946" s="642"/>
      <c r="O946"/>
    </row>
    <row r="947" spans="1:15" x14ac:dyDescent="0.2">
      <c r="A947"/>
      <c r="B947" s="642"/>
      <c r="C947" s="642"/>
      <c r="F947"/>
      <c r="G947"/>
      <c r="H947"/>
      <c r="I947"/>
      <c r="L947"/>
      <c r="M947"/>
      <c r="N947" s="642"/>
      <c r="O947"/>
    </row>
    <row r="948" spans="1:15" x14ac:dyDescent="0.2">
      <c r="A948"/>
      <c r="B948" s="642"/>
      <c r="C948" s="642"/>
      <c r="F948"/>
      <c r="G948"/>
      <c r="H948"/>
      <c r="I948"/>
      <c r="L948"/>
      <c r="M948"/>
      <c r="N948" s="642"/>
      <c r="O948"/>
    </row>
    <row r="949" spans="1:15" x14ac:dyDescent="0.2">
      <c r="A949"/>
      <c r="B949" s="642"/>
      <c r="C949" s="642"/>
      <c r="F949"/>
      <c r="G949"/>
      <c r="H949"/>
      <c r="J949"/>
      <c r="K949"/>
      <c r="L949"/>
      <c r="M949"/>
      <c r="N949" s="642"/>
      <c r="O949"/>
    </row>
    <row r="950" spans="1:15" x14ac:dyDescent="0.2">
      <c r="A950"/>
      <c r="B950" s="642"/>
      <c r="C950" s="642"/>
      <c r="F950"/>
      <c r="G950"/>
      <c r="H950"/>
      <c r="I950"/>
      <c r="L950"/>
      <c r="N950" s="642"/>
      <c r="O950"/>
    </row>
    <row r="951" spans="1:15" x14ac:dyDescent="0.2">
      <c r="A951"/>
      <c r="B951" s="642"/>
      <c r="C951" s="642"/>
      <c r="F951"/>
      <c r="G951"/>
      <c r="H951"/>
      <c r="I951"/>
      <c r="L951"/>
      <c r="M951"/>
      <c r="N951" s="642"/>
      <c r="O951"/>
    </row>
    <row r="952" spans="1:15" x14ac:dyDescent="0.2">
      <c r="A952"/>
      <c r="B952" s="642"/>
      <c r="C952" s="642"/>
      <c r="F952"/>
      <c r="G952"/>
      <c r="H952"/>
      <c r="I952"/>
      <c r="L952"/>
      <c r="M952"/>
      <c r="N952" s="642"/>
      <c r="O952"/>
    </row>
    <row r="953" spans="1:15" x14ac:dyDescent="0.2">
      <c r="A953"/>
      <c r="B953" s="642"/>
      <c r="C953" s="642"/>
      <c r="F953"/>
      <c r="G953"/>
      <c r="L953"/>
      <c r="M953"/>
      <c r="N953" s="642"/>
      <c r="O953"/>
    </row>
    <row r="954" spans="1:15" x14ac:dyDescent="0.2">
      <c r="A954"/>
      <c r="B954" s="642"/>
      <c r="C954" s="642"/>
      <c r="F954"/>
      <c r="G954"/>
      <c r="I954"/>
      <c r="L954"/>
      <c r="M954"/>
      <c r="N954" s="642"/>
      <c r="O954"/>
    </row>
    <row r="955" spans="1:15" x14ac:dyDescent="0.2">
      <c r="A955"/>
      <c r="B955" s="642"/>
      <c r="C955" s="642"/>
      <c r="F955"/>
      <c r="G955"/>
      <c r="H955"/>
      <c r="I955"/>
      <c r="L955"/>
      <c r="M955"/>
      <c r="N955" s="642"/>
      <c r="O955"/>
    </row>
    <row r="956" spans="1:15" x14ac:dyDescent="0.2">
      <c r="A956"/>
      <c r="B956" s="642"/>
      <c r="C956" s="642"/>
      <c r="F956"/>
      <c r="G956"/>
      <c r="L956"/>
      <c r="M956"/>
      <c r="N956" s="642"/>
      <c r="O956"/>
    </row>
    <row r="957" spans="1:15" x14ac:dyDescent="0.2">
      <c r="A957"/>
      <c r="B957" s="642"/>
      <c r="C957" s="642"/>
      <c r="F957"/>
      <c r="G957"/>
      <c r="I957"/>
      <c r="L957"/>
      <c r="M957"/>
      <c r="N957" s="642"/>
      <c r="O957"/>
    </row>
    <row r="958" spans="1:15" x14ac:dyDescent="0.2">
      <c r="A958"/>
      <c r="B958" s="642"/>
      <c r="C958" s="642"/>
      <c r="F958"/>
      <c r="G958"/>
      <c r="I958"/>
      <c r="L958"/>
      <c r="M958"/>
      <c r="N958" s="642"/>
      <c r="O958"/>
    </row>
    <row r="959" spans="1:15" x14ac:dyDescent="0.2">
      <c r="A959"/>
      <c r="B959" s="642"/>
      <c r="C959" s="642"/>
      <c r="F959"/>
      <c r="G959"/>
      <c r="H959"/>
      <c r="I959"/>
      <c r="L959"/>
      <c r="M959"/>
      <c r="N959" s="642"/>
      <c r="O959"/>
    </row>
    <row r="960" spans="1:15" x14ac:dyDescent="0.2">
      <c r="A960"/>
      <c r="B960" s="642"/>
      <c r="C960" s="642"/>
      <c r="F960"/>
      <c r="G960"/>
      <c r="H960"/>
      <c r="I960"/>
      <c r="L960"/>
      <c r="M960"/>
      <c r="N960" s="642"/>
      <c r="O960"/>
    </row>
    <row r="961" spans="1:15" x14ac:dyDescent="0.2">
      <c r="A961"/>
      <c r="B961" s="642"/>
      <c r="C961" s="642"/>
      <c r="F961"/>
      <c r="G961"/>
      <c r="H961"/>
      <c r="I961"/>
      <c r="L961"/>
      <c r="M961"/>
      <c r="N961" s="642"/>
      <c r="O961"/>
    </row>
    <row r="962" spans="1:15" x14ac:dyDescent="0.2">
      <c r="A962"/>
      <c r="B962" s="642"/>
      <c r="C962" s="642"/>
      <c r="F962"/>
      <c r="G962"/>
      <c r="H962"/>
      <c r="I962"/>
      <c r="L962"/>
      <c r="M962"/>
      <c r="N962" s="642"/>
      <c r="O962"/>
    </row>
    <row r="963" spans="1:15" x14ac:dyDescent="0.2">
      <c r="A963"/>
      <c r="B963" s="642"/>
      <c r="C963" s="642"/>
      <c r="F963"/>
      <c r="G963"/>
      <c r="I963"/>
      <c r="L963"/>
      <c r="M963"/>
      <c r="N963" s="642"/>
      <c r="O963"/>
    </row>
    <row r="964" spans="1:15" x14ac:dyDescent="0.2">
      <c r="A964"/>
      <c r="B964" s="642"/>
      <c r="C964" s="642"/>
      <c r="F964"/>
      <c r="G964"/>
      <c r="H964"/>
      <c r="I964"/>
      <c r="L964"/>
      <c r="M964"/>
      <c r="N964" s="642"/>
      <c r="O964"/>
    </row>
    <row r="965" spans="1:15" x14ac:dyDescent="0.2">
      <c r="A965"/>
      <c r="B965" s="642"/>
      <c r="C965" s="642"/>
      <c r="F965"/>
      <c r="G965"/>
      <c r="H965"/>
      <c r="I965"/>
      <c r="L965"/>
      <c r="M965"/>
      <c r="N965" s="642"/>
      <c r="O965"/>
    </row>
    <row r="966" spans="1:15" x14ac:dyDescent="0.2">
      <c r="A966"/>
      <c r="B966" s="642"/>
      <c r="C966" s="642"/>
      <c r="F966"/>
      <c r="G966"/>
      <c r="H966"/>
      <c r="I966"/>
      <c r="L966"/>
      <c r="M966"/>
      <c r="N966" s="642"/>
      <c r="O966"/>
    </row>
    <row r="967" spans="1:15" x14ac:dyDescent="0.2">
      <c r="A967"/>
      <c r="B967" s="642"/>
      <c r="C967" s="642"/>
      <c r="F967"/>
      <c r="G967"/>
      <c r="I967"/>
      <c r="L967"/>
      <c r="M967"/>
      <c r="N967" s="642"/>
      <c r="O967"/>
    </row>
    <row r="968" spans="1:15" x14ac:dyDescent="0.2">
      <c r="A968"/>
      <c r="B968" s="642"/>
      <c r="C968" s="642"/>
      <c r="F968"/>
      <c r="G968"/>
      <c r="H968"/>
      <c r="I968"/>
      <c r="L968"/>
      <c r="M968"/>
      <c r="N968" s="642"/>
      <c r="O968"/>
    </row>
    <row r="969" spans="1:15" x14ac:dyDescent="0.2">
      <c r="A969"/>
      <c r="B969" s="642"/>
      <c r="C969" s="642"/>
      <c r="F969"/>
      <c r="G969"/>
      <c r="H969"/>
      <c r="I969"/>
      <c r="L969"/>
      <c r="M969"/>
      <c r="N969" s="642"/>
      <c r="O969"/>
    </row>
    <row r="970" spans="1:15" x14ac:dyDescent="0.2">
      <c r="A970"/>
      <c r="B970" s="642"/>
      <c r="C970" s="642"/>
      <c r="F970"/>
      <c r="G970"/>
      <c r="L970"/>
      <c r="M970"/>
      <c r="N970" s="642"/>
      <c r="O970"/>
    </row>
    <row r="971" spans="1:15" x14ac:dyDescent="0.2">
      <c r="A971"/>
      <c r="B971" s="642"/>
      <c r="C971" s="642"/>
      <c r="F971"/>
      <c r="G971"/>
      <c r="H971"/>
      <c r="I971"/>
      <c r="L971"/>
      <c r="M971"/>
      <c r="N971" s="642"/>
      <c r="O971"/>
    </row>
    <row r="972" spans="1:15" x14ac:dyDescent="0.2">
      <c r="A972"/>
      <c r="B972" s="642"/>
      <c r="C972" s="642"/>
      <c r="F972"/>
      <c r="G972"/>
      <c r="H972"/>
      <c r="I972"/>
      <c r="L972"/>
      <c r="M972"/>
      <c r="N972" s="642"/>
      <c r="O972"/>
    </row>
    <row r="973" spans="1:15" x14ac:dyDescent="0.2">
      <c r="A973"/>
      <c r="B973" s="642"/>
      <c r="C973" s="642"/>
      <c r="F973"/>
      <c r="G973"/>
      <c r="H973"/>
      <c r="I973"/>
      <c r="J973"/>
      <c r="K973"/>
      <c r="L973"/>
      <c r="M973"/>
      <c r="N973" s="642"/>
      <c r="O973"/>
    </row>
    <row r="974" spans="1:15" x14ac:dyDescent="0.2">
      <c r="A974"/>
      <c r="B974" s="642"/>
      <c r="C974" s="642"/>
      <c r="F974"/>
      <c r="G974"/>
      <c r="H974"/>
      <c r="I974"/>
      <c r="L974"/>
      <c r="M974"/>
      <c r="N974" s="642"/>
      <c r="O974"/>
    </row>
    <row r="975" spans="1:15" x14ac:dyDescent="0.2">
      <c r="A975"/>
      <c r="B975" s="642"/>
      <c r="C975" s="642"/>
      <c r="F975"/>
      <c r="G975"/>
      <c r="H975"/>
      <c r="I975"/>
      <c r="L975"/>
      <c r="M975"/>
      <c r="N975" s="642"/>
      <c r="O975"/>
    </row>
    <row r="976" spans="1:15" x14ac:dyDescent="0.2">
      <c r="A976"/>
      <c r="B976" s="642"/>
      <c r="C976" s="642"/>
      <c r="F976"/>
      <c r="G976"/>
      <c r="H976"/>
      <c r="I976"/>
      <c r="L976"/>
      <c r="M976"/>
      <c r="N976" s="642"/>
      <c r="O976"/>
    </row>
    <row r="977" spans="1:15" x14ac:dyDescent="0.2">
      <c r="A977"/>
      <c r="B977" s="642"/>
      <c r="C977" s="642"/>
      <c r="F977"/>
      <c r="G977"/>
      <c r="I977"/>
      <c r="L977"/>
      <c r="M977"/>
      <c r="N977" s="642"/>
      <c r="O977"/>
    </row>
    <row r="978" spans="1:15" x14ac:dyDescent="0.2">
      <c r="A978"/>
      <c r="B978" s="642"/>
      <c r="C978" s="642"/>
      <c r="F978"/>
      <c r="G978"/>
      <c r="H978"/>
      <c r="I978"/>
      <c r="L978"/>
      <c r="M978"/>
      <c r="N978" s="642"/>
      <c r="O978"/>
    </row>
    <row r="979" spans="1:15" x14ac:dyDescent="0.2">
      <c r="A979"/>
      <c r="B979" s="642"/>
      <c r="C979" s="642"/>
      <c r="F979"/>
      <c r="G979"/>
      <c r="H979"/>
      <c r="J979"/>
      <c r="K979"/>
      <c r="L979"/>
      <c r="M979"/>
      <c r="N979" s="642"/>
      <c r="O979"/>
    </row>
    <row r="980" spans="1:15" x14ac:dyDescent="0.2">
      <c r="A980"/>
      <c r="B980" s="642"/>
      <c r="C980" s="642"/>
      <c r="F980"/>
      <c r="G980"/>
      <c r="L980"/>
      <c r="M980"/>
      <c r="N980" s="642"/>
      <c r="O980"/>
    </row>
    <row r="981" spans="1:15" x14ac:dyDescent="0.2">
      <c r="A981"/>
      <c r="B981" s="642"/>
      <c r="C981" s="642"/>
      <c r="F981"/>
      <c r="G981"/>
      <c r="H981"/>
      <c r="I981"/>
      <c r="L981"/>
      <c r="M981"/>
      <c r="N981" s="642"/>
      <c r="O981"/>
    </row>
    <row r="982" spans="1:15" x14ac:dyDescent="0.2">
      <c r="A982"/>
      <c r="B982" s="642"/>
      <c r="C982" s="642"/>
      <c r="F982"/>
      <c r="G982"/>
      <c r="I982"/>
      <c r="L982"/>
      <c r="M982"/>
      <c r="N982" s="642"/>
      <c r="O982"/>
    </row>
    <row r="983" spans="1:15" x14ac:dyDescent="0.2">
      <c r="A983"/>
      <c r="B983" s="642"/>
      <c r="C983" s="642"/>
      <c r="F983"/>
      <c r="G983"/>
      <c r="I983"/>
      <c r="L983"/>
      <c r="M983"/>
      <c r="N983" s="642"/>
      <c r="O983"/>
    </row>
    <row r="984" spans="1:15" x14ac:dyDescent="0.2">
      <c r="A984"/>
      <c r="B984" s="642"/>
      <c r="C984" s="642"/>
      <c r="F984"/>
      <c r="G984"/>
      <c r="I984"/>
      <c r="L984"/>
      <c r="M984"/>
      <c r="N984" s="642"/>
      <c r="O984"/>
    </row>
    <row r="985" spans="1:15" x14ac:dyDescent="0.2">
      <c r="A985"/>
      <c r="B985" s="642"/>
      <c r="C985" s="642"/>
      <c r="F985"/>
      <c r="G985"/>
      <c r="I985"/>
      <c r="L985"/>
      <c r="M985"/>
      <c r="N985" s="642"/>
      <c r="O985"/>
    </row>
    <row r="986" spans="1:15" x14ac:dyDescent="0.2">
      <c r="A986"/>
      <c r="B986" s="642"/>
      <c r="C986" s="642"/>
      <c r="F986"/>
      <c r="G986"/>
      <c r="H986"/>
      <c r="I986"/>
      <c r="L986"/>
      <c r="M986"/>
      <c r="N986" s="642"/>
      <c r="O986"/>
    </row>
    <row r="987" spans="1:15" x14ac:dyDescent="0.2">
      <c r="A987"/>
      <c r="B987" s="642"/>
      <c r="C987" s="642"/>
      <c r="F987"/>
      <c r="G987"/>
      <c r="H987"/>
      <c r="I987"/>
      <c r="L987"/>
      <c r="M987"/>
      <c r="N987" s="642"/>
      <c r="O987"/>
    </row>
    <row r="988" spans="1:15" x14ac:dyDescent="0.2">
      <c r="A988"/>
      <c r="B988" s="642"/>
      <c r="C988" s="642"/>
      <c r="F988"/>
      <c r="G988"/>
      <c r="H988"/>
      <c r="J988"/>
      <c r="K988"/>
      <c r="L988"/>
      <c r="M988"/>
      <c r="N988" s="642"/>
      <c r="O988"/>
    </row>
    <row r="989" spans="1:15" x14ac:dyDescent="0.2">
      <c r="A989"/>
      <c r="B989" s="642"/>
      <c r="C989" s="642"/>
      <c r="F989"/>
      <c r="G989"/>
      <c r="H989"/>
      <c r="J989"/>
      <c r="K989"/>
      <c r="L989"/>
      <c r="M989"/>
      <c r="N989" s="642"/>
      <c r="O989"/>
    </row>
    <row r="990" spans="1:15" x14ac:dyDescent="0.2">
      <c r="A990"/>
      <c r="B990" s="642"/>
      <c r="C990" s="642"/>
      <c r="F990"/>
      <c r="G990"/>
      <c r="H990"/>
      <c r="I990"/>
      <c r="L990"/>
      <c r="M990"/>
      <c r="N990" s="642"/>
      <c r="O990"/>
    </row>
    <row r="991" spans="1:15" x14ac:dyDescent="0.2">
      <c r="A991"/>
      <c r="B991" s="642"/>
      <c r="C991" s="642"/>
      <c r="F991"/>
      <c r="G991"/>
      <c r="H991"/>
      <c r="I991"/>
      <c r="L991"/>
      <c r="M991"/>
      <c r="N991" s="642"/>
      <c r="O991"/>
    </row>
    <row r="992" spans="1:15" x14ac:dyDescent="0.2">
      <c r="A992"/>
      <c r="B992" s="642"/>
      <c r="C992" s="642"/>
      <c r="F992"/>
      <c r="G992"/>
      <c r="H992"/>
      <c r="I992"/>
      <c r="L992"/>
      <c r="M992"/>
      <c r="N992" s="642"/>
      <c r="O992"/>
    </row>
    <row r="993" spans="1:15" x14ac:dyDescent="0.2">
      <c r="A993"/>
      <c r="B993" s="642"/>
      <c r="C993" s="642"/>
      <c r="F993"/>
      <c r="G993"/>
      <c r="L993"/>
      <c r="M993"/>
      <c r="N993" s="642"/>
      <c r="O993"/>
    </row>
    <row r="994" spans="1:15" x14ac:dyDescent="0.2">
      <c r="A994"/>
      <c r="B994" s="642"/>
      <c r="C994" s="642"/>
      <c r="F994"/>
      <c r="G994"/>
      <c r="L994"/>
      <c r="M994"/>
      <c r="N994" s="642"/>
      <c r="O994"/>
    </row>
    <row r="995" spans="1:15" x14ac:dyDescent="0.2">
      <c r="A995"/>
      <c r="B995" s="642"/>
      <c r="C995" s="642"/>
      <c r="F995"/>
      <c r="G995"/>
      <c r="H995"/>
      <c r="I995"/>
      <c r="L995"/>
      <c r="M995"/>
      <c r="N995" s="642"/>
      <c r="O995"/>
    </row>
    <row r="996" spans="1:15" x14ac:dyDescent="0.2">
      <c r="A996"/>
      <c r="B996" s="642"/>
      <c r="C996" s="642"/>
      <c r="F996"/>
      <c r="G996"/>
      <c r="I996"/>
      <c r="L996"/>
      <c r="M996"/>
      <c r="N996" s="642"/>
      <c r="O996"/>
    </row>
    <row r="997" spans="1:15" x14ac:dyDescent="0.2">
      <c r="A997"/>
      <c r="B997" s="642"/>
      <c r="C997" s="642"/>
      <c r="F997"/>
      <c r="G997"/>
      <c r="H997"/>
      <c r="I997"/>
      <c r="L997"/>
      <c r="M997"/>
      <c r="N997" s="642"/>
      <c r="O997"/>
    </row>
    <row r="998" spans="1:15" x14ac:dyDescent="0.2">
      <c r="A998"/>
      <c r="B998" s="642"/>
      <c r="C998" s="642"/>
      <c r="F998"/>
      <c r="G998"/>
      <c r="I998"/>
      <c r="L998"/>
      <c r="M998"/>
      <c r="N998" s="642"/>
      <c r="O998"/>
    </row>
    <row r="999" spans="1:15" x14ac:dyDescent="0.2">
      <c r="A999"/>
      <c r="B999" s="642"/>
      <c r="C999" s="642"/>
      <c r="F999"/>
      <c r="G999"/>
      <c r="I999"/>
      <c r="L999"/>
      <c r="M999"/>
      <c r="N999" s="642"/>
      <c r="O999"/>
    </row>
    <row r="1000" spans="1:15" x14ac:dyDescent="0.2">
      <c r="A1000"/>
      <c r="B1000" s="642"/>
      <c r="C1000" s="642"/>
      <c r="F1000"/>
      <c r="G1000"/>
      <c r="I1000"/>
      <c r="L1000"/>
      <c r="M1000"/>
      <c r="N1000" s="642"/>
      <c r="O1000"/>
    </row>
    <row r="1001" spans="1:15" x14ac:dyDescent="0.2">
      <c r="A1001"/>
      <c r="B1001" s="642"/>
      <c r="C1001" s="642"/>
      <c r="F1001"/>
      <c r="G1001"/>
      <c r="L1001"/>
      <c r="M1001"/>
      <c r="N1001" s="642"/>
      <c r="O1001"/>
    </row>
    <row r="1002" spans="1:15" x14ac:dyDescent="0.2">
      <c r="A1002"/>
      <c r="B1002" s="642"/>
      <c r="C1002" s="642"/>
      <c r="F1002"/>
      <c r="G1002"/>
      <c r="H1002"/>
      <c r="I1002"/>
      <c r="L1002"/>
      <c r="M1002"/>
      <c r="N1002" s="642"/>
      <c r="O1002"/>
    </row>
    <row r="1003" spans="1:15" x14ac:dyDescent="0.2">
      <c r="A1003"/>
      <c r="B1003" s="642"/>
      <c r="C1003" s="642"/>
      <c r="F1003"/>
      <c r="G1003"/>
      <c r="I1003"/>
      <c r="L1003"/>
      <c r="M1003"/>
      <c r="N1003" s="642"/>
      <c r="O1003"/>
    </row>
    <row r="1004" spans="1:15" x14ac:dyDescent="0.2">
      <c r="A1004"/>
      <c r="B1004" s="642"/>
      <c r="C1004" s="642"/>
      <c r="F1004"/>
      <c r="G1004"/>
      <c r="M1004"/>
      <c r="N1004" s="642"/>
      <c r="O1004"/>
    </row>
    <row r="1005" spans="1:15" x14ac:dyDescent="0.2">
      <c r="A1005"/>
      <c r="B1005" s="642"/>
      <c r="C1005" s="642"/>
      <c r="F1005"/>
      <c r="G1005"/>
      <c r="M1005"/>
      <c r="N1005" s="642"/>
      <c r="O1005"/>
    </row>
    <row r="1006" spans="1:15" x14ac:dyDescent="0.2">
      <c r="A1006"/>
      <c r="B1006" s="642"/>
      <c r="C1006" s="642"/>
      <c r="F1006"/>
      <c r="G1006"/>
      <c r="H1006"/>
      <c r="I1006"/>
      <c r="L1006"/>
      <c r="M1006"/>
      <c r="N1006" s="642"/>
      <c r="O1006"/>
    </row>
    <row r="1007" spans="1:15" x14ac:dyDescent="0.2">
      <c r="A1007"/>
      <c r="B1007" s="642"/>
      <c r="C1007" s="642"/>
      <c r="F1007"/>
      <c r="G1007"/>
      <c r="H1007"/>
      <c r="I1007"/>
      <c r="L1007"/>
      <c r="M1007"/>
      <c r="N1007" s="642"/>
      <c r="O1007"/>
    </row>
    <row r="1008" spans="1:15" x14ac:dyDescent="0.2">
      <c r="A1008"/>
      <c r="B1008" s="642"/>
      <c r="C1008" s="642"/>
      <c r="F1008"/>
      <c r="G1008"/>
      <c r="H1008"/>
      <c r="I1008"/>
      <c r="L1008"/>
      <c r="M1008"/>
      <c r="N1008" s="642"/>
      <c r="O1008"/>
    </row>
    <row r="1009" spans="1:15" x14ac:dyDescent="0.2">
      <c r="A1009"/>
      <c r="B1009" s="642"/>
      <c r="C1009" s="642"/>
      <c r="F1009"/>
      <c r="G1009"/>
      <c r="I1009"/>
      <c r="L1009"/>
      <c r="M1009"/>
      <c r="N1009" s="642"/>
      <c r="O1009"/>
    </row>
    <row r="1010" spans="1:15" x14ac:dyDescent="0.2">
      <c r="A1010"/>
      <c r="B1010" s="642"/>
      <c r="C1010" s="642"/>
      <c r="F1010"/>
      <c r="G1010"/>
      <c r="I1010"/>
      <c r="L1010"/>
      <c r="M1010"/>
      <c r="N1010" s="642"/>
      <c r="O1010"/>
    </row>
    <row r="1011" spans="1:15" x14ac:dyDescent="0.2">
      <c r="A1011"/>
      <c r="B1011" s="642"/>
      <c r="C1011" s="642"/>
      <c r="F1011"/>
      <c r="G1011"/>
      <c r="H1011"/>
      <c r="I1011"/>
      <c r="L1011"/>
      <c r="M1011"/>
      <c r="N1011" s="642"/>
      <c r="O1011"/>
    </row>
    <row r="1012" spans="1:15" x14ac:dyDescent="0.2">
      <c r="A1012"/>
      <c r="B1012" s="642"/>
      <c r="C1012" s="642"/>
      <c r="F1012"/>
      <c r="G1012"/>
      <c r="L1012"/>
      <c r="M1012"/>
      <c r="N1012" s="642"/>
      <c r="O1012"/>
    </row>
    <row r="1013" spans="1:15" x14ac:dyDescent="0.2">
      <c r="A1013"/>
      <c r="B1013" s="642"/>
      <c r="C1013" s="642"/>
      <c r="F1013"/>
      <c r="G1013"/>
      <c r="J1013"/>
      <c r="K1013"/>
      <c r="L1013"/>
      <c r="M1013"/>
      <c r="N1013" s="642"/>
      <c r="O1013"/>
    </row>
    <row r="1014" spans="1:15" x14ac:dyDescent="0.2">
      <c r="A1014"/>
      <c r="B1014" s="642"/>
      <c r="C1014" s="642"/>
      <c r="F1014"/>
      <c r="G1014"/>
      <c r="H1014"/>
      <c r="I1014"/>
      <c r="L1014"/>
      <c r="M1014"/>
      <c r="N1014" s="642"/>
      <c r="O1014"/>
    </row>
    <row r="1015" spans="1:15" x14ac:dyDescent="0.2">
      <c r="A1015"/>
      <c r="B1015" s="642"/>
      <c r="C1015" s="642"/>
      <c r="F1015"/>
      <c r="G1015"/>
      <c r="I1015"/>
      <c r="L1015"/>
      <c r="M1015"/>
      <c r="N1015" s="642"/>
      <c r="O1015"/>
    </row>
    <row r="1016" spans="1:15" x14ac:dyDescent="0.2">
      <c r="A1016"/>
      <c r="B1016" s="642"/>
      <c r="C1016" s="642"/>
      <c r="F1016"/>
      <c r="G1016"/>
      <c r="I1016"/>
      <c r="L1016"/>
      <c r="M1016"/>
      <c r="N1016" s="642"/>
      <c r="O1016"/>
    </row>
    <row r="1017" spans="1:15" x14ac:dyDescent="0.2">
      <c r="A1017"/>
      <c r="B1017" s="642"/>
      <c r="C1017" s="642"/>
      <c r="F1017"/>
      <c r="G1017"/>
      <c r="H1017"/>
      <c r="I1017"/>
      <c r="L1017"/>
      <c r="M1017"/>
      <c r="N1017" s="642"/>
      <c r="O1017"/>
    </row>
    <row r="1018" spans="1:15" x14ac:dyDescent="0.2">
      <c r="A1018"/>
      <c r="B1018" s="642"/>
      <c r="C1018" s="642"/>
      <c r="F1018"/>
      <c r="G1018"/>
      <c r="H1018"/>
      <c r="I1018"/>
      <c r="L1018"/>
      <c r="M1018"/>
      <c r="N1018" s="642"/>
      <c r="O1018"/>
    </row>
    <row r="1019" spans="1:15" x14ac:dyDescent="0.2">
      <c r="A1019"/>
      <c r="B1019" s="642"/>
      <c r="C1019" s="642"/>
      <c r="F1019"/>
      <c r="G1019"/>
      <c r="H1019"/>
      <c r="I1019"/>
      <c r="L1019"/>
      <c r="M1019"/>
      <c r="N1019" s="642"/>
      <c r="O1019"/>
    </row>
    <row r="1020" spans="1:15" x14ac:dyDescent="0.2">
      <c r="A1020"/>
      <c r="B1020" s="642"/>
      <c r="C1020" s="642"/>
      <c r="F1020"/>
      <c r="G1020"/>
      <c r="H1020"/>
      <c r="I1020"/>
      <c r="L1020"/>
      <c r="M1020"/>
      <c r="N1020" s="642"/>
      <c r="O1020"/>
    </row>
    <row r="1021" spans="1:15" x14ac:dyDescent="0.2">
      <c r="A1021"/>
      <c r="B1021" s="642"/>
      <c r="C1021" s="642"/>
      <c r="F1021"/>
      <c r="G1021"/>
      <c r="L1021"/>
      <c r="M1021"/>
      <c r="N1021" s="642"/>
      <c r="O1021"/>
    </row>
    <row r="1022" spans="1:15" x14ac:dyDescent="0.2">
      <c r="A1022"/>
      <c r="B1022" s="642"/>
      <c r="C1022" s="642"/>
      <c r="F1022"/>
      <c r="G1022"/>
      <c r="H1022"/>
      <c r="I1022"/>
      <c r="L1022"/>
      <c r="M1022"/>
      <c r="N1022" s="642"/>
      <c r="O1022"/>
    </row>
    <row r="1023" spans="1:15" x14ac:dyDescent="0.2">
      <c r="A1023"/>
      <c r="B1023" s="642"/>
      <c r="C1023" s="642"/>
      <c r="F1023"/>
      <c r="G1023"/>
      <c r="L1023"/>
      <c r="M1023"/>
      <c r="N1023" s="642"/>
      <c r="O1023"/>
    </row>
    <row r="1024" spans="1:15" x14ac:dyDescent="0.2">
      <c r="A1024"/>
      <c r="B1024" s="642"/>
      <c r="C1024" s="642"/>
      <c r="F1024"/>
      <c r="G1024"/>
      <c r="H1024"/>
      <c r="I1024"/>
      <c r="L1024"/>
      <c r="M1024"/>
      <c r="N1024" s="642"/>
      <c r="O1024"/>
    </row>
    <row r="1025" spans="1:15" x14ac:dyDescent="0.2">
      <c r="A1025"/>
      <c r="B1025" s="642"/>
      <c r="C1025" s="642"/>
      <c r="F1025"/>
      <c r="G1025"/>
      <c r="I1025"/>
      <c r="L1025"/>
      <c r="M1025"/>
      <c r="N1025" s="642"/>
      <c r="O1025"/>
    </row>
    <row r="1026" spans="1:15" x14ac:dyDescent="0.2">
      <c r="A1026"/>
      <c r="B1026" s="642"/>
      <c r="C1026" s="642"/>
      <c r="F1026"/>
      <c r="G1026"/>
      <c r="H1026"/>
      <c r="I1026"/>
      <c r="L1026"/>
      <c r="M1026"/>
      <c r="N1026" s="642"/>
      <c r="O1026"/>
    </row>
    <row r="1027" spans="1:15" x14ac:dyDescent="0.2">
      <c r="A1027"/>
      <c r="B1027" s="642"/>
      <c r="C1027" s="642"/>
      <c r="F1027"/>
      <c r="G1027"/>
      <c r="H1027"/>
      <c r="I1027"/>
      <c r="L1027"/>
      <c r="M1027"/>
      <c r="N1027" s="642"/>
      <c r="O1027"/>
    </row>
    <row r="1028" spans="1:15" x14ac:dyDescent="0.2">
      <c r="A1028"/>
      <c r="B1028" s="642"/>
      <c r="C1028" s="642"/>
      <c r="F1028"/>
      <c r="G1028"/>
      <c r="H1028"/>
      <c r="I1028"/>
      <c r="L1028"/>
      <c r="M1028"/>
      <c r="N1028" s="642"/>
      <c r="O1028"/>
    </row>
    <row r="1029" spans="1:15" x14ac:dyDescent="0.2">
      <c r="A1029"/>
      <c r="B1029" s="642"/>
      <c r="C1029" s="642"/>
      <c r="F1029"/>
      <c r="G1029"/>
      <c r="H1029"/>
      <c r="I1029"/>
      <c r="L1029"/>
      <c r="M1029"/>
      <c r="N1029" s="642"/>
      <c r="O1029"/>
    </row>
    <row r="1030" spans="1:15" x14ac:dyDescent="0.2">
      <c r="A1030"/>
      <c r="B1030" s="642"/>
      <c r="C1030" s="642"/>
      <c r="F1030"/>
      <c r="G1030"/>
      <c r="H1030"/>
      <c r="I1030"/>
      <c r="L1030"/>
      <c r="M1030"/>
      <c r="N1030" s="642"/>
      <c r="O1030"/>
    </row>
    <row r="1031" spans="1:15" x14ac:dyDescent="0.2">
      <c r="A1031"/>
      <c r="B1031" s="642"/>
      <c r="C1031" s="642"/>
      <c r="F1031"/>
      <c r="G1031"/>
      <c r="H1031"/>
      <c r="I1031"/>
      <c r="L1031"/>
      <c r="M1031"/>
      <c r="N1031" s="642"/>
      <c r="O1031"/>
    </row>
    <row r="1032" spans="1:15" x14ac:dyDescent="0.2">
      <c r="A1032"/>
      <c r="B1032" s="642"/>
      <c r="C1032" s="642"/>
      <c r="F1032"/>
      <c r="G1032"/>
      <c r="I1032"/>
      <c r="L1032"/>
      <c r="M1032"/>
      <c r="N1032" s="642"/>
      <c r="O1032"/>
    </row>
    <row r="1033" spans="1:15" x14ac:dyDescent="0.2">
      <c r="A1033"/>
      <c r="B1033" s="642"/>
      <c r="C1033" s="642"/>
      <c r="F1033"/>
      <c r="G1033"/>
      <c r="I1033"/>
      <c r="L1033"/>
      <c r="M1033"/>
      <c r="N1033" s="642"/>
      <c r="O1033"/>
    </row>
    <row r="1034" spans="1:15" x14ac:dyDescent="0.2">
      <c r="A1034"/>
      <c r="B1034" s="642"/>
      <c r="C1034" s="642"/>
      <c r="F1034"/>
      <c r="G1034"/>
      <c r="I1034"/>
      <c r="J1034"/>
      <c r="K1034"/>
      <c r="L1034"/>
      <c r="M1034"/>
      <c r="N1034" s="642"/>
      <c r="O1034"/>
    </row>
    <row r="1035" spans="1:15" x14ac:dyDescent="0.2">
      <c r="A1035"/>
      <c r="B1035" s="642"/>
      <c r="C1035" s="642"/>
      <c r="F1035"/>
      <c r="G1035"/>
      <c r="H1035"/>
      <c r="I1035"/>
      <c r="L1035"/>
      <c r="M1035"/>
      <c r="N1035" s="642"/>
      <c r="O1035"/>
    </row>
    <row r="1036" spans="1:15" x14ac:dyDescent="0.2">
      <c r="A1036"/>
      <c r="B1036" s="642"/>
      <c r="C1036" s="642"/>
      <c r="F1036"/>
      <c r="G1036"/>
      <c r="H1036"/>
      <c r="I1036"/>
      <c r="L1036"/>
      <c r="M1036"/>
      <c r="N1036" s="642"/>
      <c r="O1036"/>
    </row>
    <row r="1037" spans="1:15" x14ac:dyDescent="0.2">
      <c r="A1037"/>
      <c r="B1037" s="642"/>
      <c r="C1037" s="642"/>
      <c r="F1037"/>
      <c r="G1037"/>
      <c r="L1037"/>
      <c r="M1037"/>
      <c r="N1037" s="642"/>
      <c r="O1037"/>
    </row>
    <row r="1038" spans="1:15" x14ac:dyDescent="0.2">
      <c r="A1038"/>
      <c r="B1038" s="642"/>
      <c r="C1038" s="642"/>
      <c r="F1038"/>
      <c r="G1038"/>
      <c r="I1038"/>
      <c r="L1038"/>
      <c r="M1038"/>
      <c r="N1038" s="642"/>
      <c r="O1038"/>
    </row>
    <row r="1039" spans="1:15" x14ac:dyDescent="0.2">
      <c r="A1039"/>
      <c r="B1039" s="642"/>
      <c r="C1039" s="642"/>
      <c r="F1039"/>
      <c r="G1039"/>
      <c r="H1039"/>
      <c r="I1039"/>
      <c r="L1039"/>
      <c r="M1039"/>
      <c r="N1039" s="642"/>
      <c r="O1039"/>
    </row>
    <row r="1040" spans="1:15" x14ac:dyDescent="0.2">
      <c r="A1040"/>
      <c r="B1040" s="642"/>
      <c r="C1040" s="642"/>
      <c r="F1040"/>
      <c r="G1040"/>
      <c r="H1040"/>
      <c r="I1040"/>
      <c r="L1040"/>
      <c r="M1040"/>
      <c r="N1040" s="642"/>
      <c r="O1040"/>
    </row>
    <row r="1041" spans="1:15" x14ac:dyDescent="0.2">
      <c r="A1041"/>
      <c r="B1041" s="642"/>
      <c r="C1041" s="642"/>
      <c r="F1041"/>
      <c r="G1041"/>
      <c r="H1041"/>
      <c r="I1041"/>
      <c r="L1041"/>
      <c r="M1041"/>
      <c r="N1041" s="642"/>
      <c r="O1041"/>
    </row>
    <row r="1042" spans="1:15" x14ac:dyDescent="0.2">
      <c r="A1042"/>
      <c r="B1042" s="642"/>
      <c r="C1042" s="642"/>
      <c r="F1042"/>
      <c r="G1042"/>
      <c r="H1042"/>
      <c r="I1042"/>
      <c r="L1042"/>
      <c r="M1042"/>
      <c r="N1042" s="642"/>
      <c r="O1042"/>
    </row>
    <row r="1043" spans="1:15" x14ac:dyDescent="0.2">
      <c r="A1043"/>
      <c r="B1043" s="642"/>
      <c r="C1043" s="642"/>
      <c r="F1043"/>
      <c r="G1043"/>
      <c r="L1043"/>
      <c r="M1043"/>
      <c r="N1043" s="642"/>
      <c r="O1043"/>
    </row>
    <row r="1044" spans="1:15" x14ac:dyDescent="0.2">
      <c r="A1044"/>
      <c r="B1044" s="642"/>
      <c r="C1044" s="642"/>
      <c r="F1044"/>
      <c r="G1044"/>
      <c r="H1044"/>
      <c r="I1044"/>
      <c r="L1044"/>
      <c r="M1044"/>
      <c r="N1044" s="642"/>
      <c r="O1044"/>
    </row>
    <row r="1045" spans="1:15" x14ac:dyDescent="0.2">
      <c r="A1045"/>
      <c r="B1045" s="642"/>
      <c r="C1045" s="642"/>
      <c r="F1045"/>
      <c r="G1045"/>
      <c r="J1045"/>
      <c r="K1045"/>
      <c r="M1045"/>
      <c r="N1045" s="642"/>
      <c r="O1045"/>
    </row>
    <row r="1046" spans="1:15" x14ac:dyDescent="0.2">
      <c r="A1046"/>
      <c r="B1046" s="642"/>
      <c r="C1046" s="642"/>
      <c r="F1046"/>
      <c r="G1046"/>
      <c r="H1046"/>
      <c r="I1046"/>
      <c r="L1046"/>
      <c r="M1046"/>
      <c r="N1046" s="642"/>
      <c r="O1046"/>
    </row>
    <row r="1047" spans="1:15" x14ac:dyDescent="0.2">
      <c r="A1047"/>
      <c r="B1047" s="642"/>
      <c r="C1047" s="642"/>
      <c r="F1047"/>
      <c r="G1047"/>
      <c r="H1047"/>
      <c r="I1047"/>
      <c r="L1047"/>
      <c r="M1047"/>
      <c r="N1047" s="642"/>
      <c r="O1047"/>
    </row>
    <row r="1048" spans="1:15" x14ac:dyDescent="0.2">
      <c r="A1048"/>
      <c r="B1048" s="642"/>
      <c r="C1048" s="642"/>
      <c r="F1048"/>
      <c r="G1048"/>
      <c r="I1048"/>
      <c r="L1048"/>
      <c r="M1048"/>
      <c r="N1048" s="642"/>
      <c r="O1048"/>
    </row>
    <row r="1049" spans="1:15" x14ac:dyDescent="0.2">
      <c r="A1049"/>
      <c r="B1049" s="642"/>
      <c r="C1049" s="642"/>
      <c r="F1049"/>
      <c r="G1049"/>
      <c r="H1049"/>
      <c r="I1049"/>
      <c r="L1049"/>
      <c r="M1049"/>
      <c r="N1049" s="642"/>
      <c r="O1049"/>
    </row>
    <row r="1050" spans="1:15" x14ac:dyDescent="0.2">
      <c r="A1050"/>
      <c r="B1050" s="642"/>
      <c r="C1050" s="642"/>
      <c r="F1050"/>
      <c r="G1050"/>
      <c r="H1050"/>
      <c r="I1050"/>
      <c r="L1050"/>
      <c r="M1050"/>
      <c r="N1050" s="642"/>
      <c r="O1050"/>
    </row>
    <row r="1051" spans="1:15" x14ac:dyDescent="0.2">
      <c r="A1051"/>
      <c r="B1051" s="642"/>
      <c r="C1051" s="642"/>
      <c r="F1051"/>
      <c r="G1051"/>
      <c r="H1051"/>
      <c r="I1051"/>
      <c r="L1051"/>
      <c r="M1051"/>
      <c r="N1051" s="642"/>
      <c r="O1051"/>
    </row>
    <row r="1052" spans="1:15" x14ac:dyDescent="0.2">
      <c r="A1052"/>
      <c r="B1052" s="642"/>
      <c r="C1052" s="642"/>
      <c r="F1052"/>
      <c r="G1052"/>
      <c r="I1052"/>
      <c r="L1052"/>
      <c r="M1052"/>
      <c r="N1052" s="642"/>
      <c r="O1052"/>
    </row>
    <row r="1053" spans="1:15" x14ac:dyDescent="0.2">
      <c r="A1053"/>
      <c r="B1053" s="642"/>
      <c r="C1053" s="642"/>
      <c r="F1053"/>
      <c r="G1053"/>
      <c r="H1053"/>
      <c r="I1053"/>
      <c r="L1053"/>
      <c r="M1053"/>
      <c r="N1053" s="642"/>
      <c r="O1053"/>
    </row>
    <row r="1054" spans="1:15" x14ac:dyDescent="0.2">
      <c r="A1054"/>
      <c r="B1054" s="642"/>
      <c r="C1054" s="642"/>
      <c r="F1054"/>
      <c r="G1054"/>
      <c r="I1054"/>
      <c r="L1054"/>
      <c r="M1054"/>
      <c r="N1054" s="642"/>
      <c r="O1054"/>
    </row>
    <row r="1055" spans="1:15" x14ac:dyDescent="0.2">
      <c r="A1055"/>
      <c r="B1055" s="642"/>
      <c r="C1055" s="642"/>
      <c r="F1055"/>
      <c r="G1055"/>
      <c r="I1055"/>
      <c r="L1055"/>
      <c r="M1055"/>
      <c r="N1055" s="642"/>
      <c r="O1055"/>
    </row>
    <row r="1056" spans="1:15" x14ac:dyDescent="0.2">
      <c r="A1056"/>
      <c r="B1056" s="642"/>
      <c r="C1056" s="642"/>
      <c r="F1056"/>
      <c r="G1056"/>
      <c r="L1056"/>
      <c r="M1056"/>
      <c r="N1056" s="642"/>
      <c r="O1056"/>
    </row>
    <row r="1057" spans="1:15" x14ac:dyDescent="0.2">
      <c r="A1057"/>
      <c r="B1057" s="642"/>
      <c r="C1057" s="642"/>
      <c r="F1057"/>
      <c r="G1057"/>
      <c r="H1057"/>
      <c r="I1057"/>
      <c r="L1057"/>
      <c r="M1057"/>
      <c r="N1057" s="642"/>
      <c r="O1057"/>
    </row>
    <row r="1058" spans="1:15" x14ac:dyDescent="0.2">
      <c r="A1058"/>
      <c r="B1058" s="642"/>
      <c r="C1058" s="642"/>
      <c r="F1058"/>
      <c r="G1058"/>
      <c r="H1058"/>
      <c r="I1058"/>
      <c r="L1058"/>
      <c r="M1058"/>
      <c r="N1058" s="642"/>
      <c r="O1058"/>
    </row>
    <row r="1059" spans="1:15" x14ac:dyDescent="0.2">
      <c r="A1059"/>
      <c r="B1059" s="642"/>
      <c r="C1059" s="642"/>
      <c r="F1059"/>
      <c r="G1059"/>
      <c r="H1059"/>
      <c r="I1059"/>
      <c r="L1059"/>
      <c r="M1059"/>
      <c r="N1059" s="642"/>
      <c r="O1059"/>
    </row>
    <row r="1060" spans="1:15" x14ac:dyDescent="0.2">
      <c r="A1060"/>
      <c r="B1060" s="642"/>
      <c r="C1060" s="642"/>
      <c r="F1060"/>
      <c r="G1060"/>
      <c r="H1060"/>
      <c r="J1060"/>
      <c r="K1060"/>
      <c r="L1060"/>
      <c r="M1060"/>
      <c r="N1060" s="642"/>
      <c r="O1060"/>
    </row>
    <row r="1061" spans="1:15" x14ac:dyDescent="0.2">
      <c r="A1061"/>
      <c r="B1061" s="642"/>
      <c r="C1061" s="642"/>
      <c r="F1061"/>
      <c r="G1061"/>
      <c r="H1061"/>
      <c r="I1061"/>
      <c r="J1061"/>
      <c r="K1061"/>
      <c r="L1061"/>
      <c r="M1061"/>
      <c r="N1061" s="642"/>
      <c r="O1061"/>
    </row>
    <row r="1062" spans="1:15" x14ac:dyDescent="0.2">
      <c r="A1062"/>
      <c r="B1062" s="642"/>
      <c r="C1062" s="642"/>
      <c r="F1062"/>
      <c r="G1062"/>
      <c r="I1062"/>
      <c r="L1062"/>
      <c r="M1062"/>
      <c r="N1062" s="642"/>
      <c r="O1062"/>
    </row>
    <row r="1063" spans="1:15" x14ac:dyDescent="0.2">
      <c r="A1063"/>
      <c r="B1063" s="642"/>
      <c r="C1063" s="642"/>
      <c r="F1063"/>
      <c r="G1063"/>
      <c r="H1063"/>
      <c r="I1063"/>
      <c r="L1063"/>
      <c r="M1063"/>
      <c r="N1063" s="642"/>
      <c r="O1063"/>
    </row>
    <row r="1064" spans="1:15" x14ac:dyDescent="0.2">
      <c r="A1064"/>
      <c r="B1064" s="642"/>
      <c r="C1064" s="642"/>
      <c r="F1064"/>
      <c r="G1064"/>
      <c r="J1064"/>
      <c r="K1064"/>
      <c r="L1064"/>
      <c r="M1064"/>
      <c r="N1064" s="642"/>
      <c r="O1064"/>
    </row>
    <row r="1065" spans="1:15" x14ac:dyDescent="0.2">
      <c r="A1065"/>
      <c r="B1065" s="642"/>
      <c r="C1065" s="642"/>
      <c r="F1065"/>
      <c r="G1065"/>
      <c r="H1065"/>
      <c r="I1065"/>
      <c r="L1065"/>
      <c r="M1065"/>
      <c r="N1065" s="642"/>
      <c r="O1065"/>
    </row>
    <row r="1066" spans="1:15" x14ac:dyDescent="0.2">
      <c r="A1066"/>
      <c r="B1066" s="642"/>
      <c r="C1066" s="642"/>
      <c r="F1066"/>
      <c r="G1066"/>
      <c r="J1066"/>
      <c r="K1066"/>
      <c r="L1066"/>
      <c r="M1066"/>
      <c r="N1066" s="642"/>
      <c r="O1066"/>
    </row>
    <row r="1067" spans="1:15" x14ac:dyDescent="0.2">
      <c r="A1067"/>
      <c r="B1067" s="642"/>
      <c r="C1067" s="642"/>
      <c r="F1067"/>
      <c r="G1067"/>
      <c r="H1067"/>
      <c r="I1067"/>
      <c r="L1067"/>
      <c r="M1067"/>
      <c r="N1067" s="642"/>
      <c r="O1067"/>
    </row>
    <row r="1068" spans="1:15" x14ac:dyDescent="0.2">
      <c r="A1068"/>
      <c r="B1068" s="642"/>
      <c r="C1068" s="642"/>
      <c r="F1068"/>
      <c r="G1068"/>
      <c r="H1068"/>
      <c r="I1068"/>
      <c r="L1068"/>
      <c r="M1068"/>
      <c r="N1068" s="642"/>
      <c r="O1068"/>
    </row>
    <row r="1069" spans="1:15" x14ac:dyDescent="0.2">
      <c r="A1069"/>
      <c r="B1069" s="642"/>
      <c r="C1069" s="642"/>
      <c r="F1069"/>
      <c r="G1069"/>
      <c r="H1069"/>
      <c r="J1069"/>
      <c r="K1069"/>
      <c r="L1069"/>
      <c r="M1069"/>
      <c r="N1069" s="642"/>
      <c r="O1069"/>
    </row>
    <row r="1070" spans="1:15" x14ac:dyDescent="0.2">
      <c r="A1070"/>
      <c r="B1070" s="642"/>
      <c r="C1070" s="642"/>
      <c r="F1070"/>
      <c r="G1070"/>
      <c r="H1070"/>
      <c r="J1070"/>
      <c r="K1070"/>
      <c r="L1070"/>
      <c r="M1070"/>
      <c r="N1070" s="642"/>
      <c r="O1070"/>
    </row>
    <row r="1071" spans="1:15" x14ac:dyDescent="0.2">
      <c r="A1071"/>
      <c r="B1071" s="642"/>
      <c r="C1071" s="642"/>
      <c r="F1071"/>
      <c r="G1071"/>
      <c r="H1071"/>
      <c r="I1071"/>
      <c r="L1071"/>
      <c r="N1071" s="642"/>
      <c r="O1071"/>
    </row>
    <row r="1072" spans="1:15" x14ac:dyDescent="0.2">
      <c r="A1072"/>
      <c r="B1072" s="642"/>
      <c r="C1072" s="642"/>
      <c r="F1072"/>
      <c r="G1072"/>
      <c r="H1072"/>
      <c r="J1072"/>
      <c r="K1072"/>
      <c r="L1072"/>
      <c r="M1072"/>
      <c r="N1072" s="642"/>
      <c r="O1072"/>
    </row>
    <row r="1073" spans="1:15" x14ac:dyDescent="0.2">
      <c r="A1073"/>
      <c r="B1073" s="642"/>
      <c r="C1073" s="642"/>
      <c r="F1073"/>
      <c r="G1073"/>
      <c r="H1073"/>
      <c r="L1073"/>
      <c r="M1073"/>
      <c r="N1073" s="642"/>
      <c r="O1073"/>
    </row>
    <row r="1074" spans="1:15" x14ac:dyDescent="0.2">
      <c r="A1074"/>
      <c r="B1074" s="642"/>
      <c r="C1074" s="642"/>
      <c r="F1074"/>
      <c r="G1074"/>
      <c r="H1074"/>
      <c r="J1074"/>
      <c r="K1074"/>
      <c r="L1074"/>
      <c r="M1074"/>
      <c r="N1074" s="642"/>
      <c r="O1074"/>
    </row>
    <row r="1075" spans="1:15" x14ac:dyDescent="0.2">
      <c r="A1075"/>
      <c r="B1075" s="642"/>
      <c r="C1075" s="642"/>
      <c r="F1075"/>
      <c r="G1075"/>
      <c r="H1075"/>
      <c r="J1075"/>
      <c r="K1075"/>
      <c r="L1075"/>
      <c r="M1075"/>
      <c r="N1075" s="642"/>
      <c r="O1075"/>
    </row>
    <row r="1076" spans="1:15" x14ac:dyDescent="0.2">
      <c r="A1076"/>
      <c r="B1076" s="642"/>
      <c r="C1076" s="642"/>
      <c r="F1076"/>
      <c r="G1076"/>
      <c r="H1076"/>
      <c r="I1076"/>
      <c r="L1076"/>
      <c r="M1076"/>
      <c r="N1076" s="642"/>
      <c r="O1076"/>
    </row>
    <row r="1077" spans="1:15" x14ac:dyDescent="0.2">
      <c r="A1077"/>
      <c r="B1077" s="642"/>
      <c r="C1077" s="642"/>
      <c r="F1077"/>
      <c r="G1077"/>
      <c r="H1077"/>
      <c r="J1077"/>
      <c r="K1077"/>
      <c r="L1077"/>
      <c r="M1077"/>
      <c r="N1077" s="642"/>
      <c r="O1077"/>
    </row>
    <row r="1078" spans="1:15" x14ac:dyDescent="0.2">
      <c r="A1078"/>
      <c r="B1078" s="642"/>
      <c r="C1078" s="642"/>
      <c r="G1078"/>
      <c r="J1078"/>
      <c r="K1078"/>
      <c r="L1078"/>
      <c r="M1078"/>
      <c r="N1078" s="642"/>
      <c r="O1078"/>
    </row>
    <row r="1079" spans="1:15" x14ac:dyDescent="0.2">
      <c r="A1079"/>
      <c r="B1079" s="642"/>
      <c r="C1079" s="642"/>
      <c r="F1079"/>
      <c r="G1079"/>
      <c r="H1079"/>
      <c r="I1079"/>
      <c r="L1079"/>
      <c r="N1079" s="642"/>
      <c r="O1079"/>
    </row>
    <row r="1080" spans="1:15" x14ac:dyDescent="0.2">
      <c r="A1080"/>
      <c r="B1080" s="642"/>
      <c r="C1080" s="642"/>
      <c r="F1080"/>
      <c r="G1080"/>
      <c r="L1080"/>
      <c r="M1080"/>
      <c r="N1080" s="642"/>
      <c r="O1080"/>
    </row>
    <row r="1081" spans="1:15" x14ac:dyDescent="0.2">
      <c r="A1081"/>
      <c r="B1081" s="642"/>
      <c r="C1081" s="642"/>
      <c r="F1081"/>
      <c r="G1081"/>
      <c r="J1081"/>
      <c r="K1081"/>
      <c r="L1081"/>
      <c r="M1081"/>
      <c r="N1081" s="642"/>
      <c r="O1081"/>
    </row>
    <row r="1082" spans="1:15" x14ac:dyDescent="0.2">
      <c r="A1082"/>
      <c r="B1082" s="642"/>
      <c r="C1082" s="642"/>
      <c r="F1082"/>
      <c r="G1082"/>
      <c r="H1082"/>
      <c r="I1082"/>
      <c r="L1082"/>
      <c r="M1082"/>
      <c r="N1082" s="642"/>
      <c r="O1082"/>
    </row>
    <row r="1083" spans="1:15" x14ac:dyDescent="0.2">
      <c r="A1083"/>
      <c r="B1083" s="642"/>
      <c r="C1083" s="642"/>
      <c r="F1083"/>
      <c r="G1083"/>
      <c r="H1083"/>
      <c r="I1083"/>
      <c r="L1083"/>
      <c r="M1083"/>
      <c r="N1083" s="642"/>
      <c r="O1083"/>
    </row>
    <row r="1084" spans="1:15" x14ac:dyDescent="0.2">
      <c r="A1084"/>
      <c r="B1084" s="642"/>
      <c r="C1084" s="642"/>
      <c r="F1084"/>
      <c r="G1084"/>
      <c r="L1084"/>
      <c r="M1084"/>
      <c r="N1084" s="642"/>
      <c r="O1084"/>
    </row>
    <row r="1085" spans="1:15" x14ac:dyDescent="0.2">
      <c r="A1085"/>
      <c r="B1085" s="642"/>
      <c r="C1085" s="642"/>
      <c r="F1085"/>
      <c r="G1085"/>
      <c r="I1085"/>
      <c r="L1085"/>
      <c r="M1085"/>
      <c r="N1085" s="642"/>
      <c r="O1085"/>
    </row>
    <row r="1086" spans="1:15" x14ac:dyDescent="0.2">
      <c r="A1086"/>
      <c r="B1086" s="642"/>
      <c r="C1086" s="642"/>
      <c r="F1086"/>
      <c r="G1086"/>
      <c r="H1086"/>
      <c r="I1086"/>
      <c r="L1086"/>
      <c r="M1086"/>
      <c r="N1086" s="642"/>
      <c r="O1086"/>
    </row>
    <row r="1087" spans="1:15" x14ac:dyDescent="0.2">
      <c r="A1087"/>
      <c r="B1087" s="642"/>
      <c r="C1087" s="642"/>
      <c r="F1087"/>
      <c r="G1087"/>
      <c r="H1087"/>
      <c r="I1087"/>
      <c r="L1087"/>
      <c r="M1087"/>
      <c r="N1087" s="642"/>
      <c r="O1087"/>
    </row>
    <row r="1088" spans="1:15" x14ac:dyDescent="0.2">
      <c r="A1088"/>
      <c r="B1088" s="642"/>
      <c r="C1088" s="642"/>
      <c r="F1088"/>
      <c r="G1088"/>
      <c r="M1088"/>
      <c r="N1088" s="642"/>
      <c r="O1088"/>
    </row>
    <row r="1089" spans="1:15" x14ac:dyDescent="0.2">
      <c r="A1089"/>
      <c r="B1089" s="642"/>
      <c r="C1089" s="642"/>
      <c r="F1089"/>
      <c r="G1089"/>
      <c r="N1089" s="642"/>
      <c r="O1089"/>
    </row>
    <row r="1090" spans="1:15" x14ac:dyDescent="0.2">
      <c r="A1090"/>
      <c r="B1090" s="642"/>
      <c r="C1090" s="642"/>
      <c r="F1090"/>
      <c r="G1090"/>
      <c r="M1090"/>
      <c r="N1090" s="642"/>
      <c r="O1090"/>
    </row>
    <row r="1091" spans="1:15" x14ac:dyDescent="0.2">
      <c r="A1091"/>
      <c r="B1091" s="642"/>
      <c r="C1091" s="642"/>
      <c r="F1091"/>
      <c r="G1091"/>
      <c r="H1091"/>
      <c r="I1091"/>
      <c r="L1091"/>
      <c r="M1091"/>
      <c r="N1091" s="642"/>
      <c r="O1091"/>
    </row>
    <row r="1092" spans="1:15" x14ac:dyDescent="0.2">
      <c r="A1092"/>
      <c r="B1092" s="642"/>
      <c r="C1092" s="642"/>
      <c r="F1092"/>
      <c r="G1092"/>
      <c r="L1092"/>
      <c r="M1092"/>
      <c r="N1092" s="642"/>
      <c r="O1092"/>
    </row>
    <row r="1093" spans="1:15" x14ac:dyDescent="0.2">
      <c r="A1093"/>
      <c r="B1093" s="642"/>
      <c r="C1093" s="642"/>
      <c r="F1093"/>
      <c r="G1093"/>
      <c r="H1093"/>
      <c r="I1093"/>
      <c r="L1093"/>
      <c r="M1093"/>
      <c r="N1093" s="642"/>
      <c r="O1093"/>
    </row>
    <row r="1094" spans="1:15" x14ac:dyDescent="0.2">
      <c r="A1094"/>
      <c r="B1094" s="642"/>
      <c r="C1094" s="642"/>
      <c r="F1094"/>
      <c r="G1094"/>
      <c r="H1094"/>
      <c r="I1094"/>
      <c r="L1094"/>
      <c r="N1094" s="642"/>
      <c r="O1094"/>
    </row>
    <row r="1095" spans="1:15" x14ac:dyDescent="0.2">
      <c r="A1095"/>
      <c r="B1095" s="642"/>
      <c r="C1095" s="642"/>
      <c r="F1095"/>
      <c r="G1095"/>
      <c r="I1095"/>
      <c r="L1095"/>
      <c r="M1095"/>
      <c r="N1095" s="642"/>
      <c r="O1095"/>
    </row>
    <row r="1096" spans="1:15" x14ac:dyDescent="0.2">
      <c r="A1096"/>
      <c r="B1096" s="642"/>
      <c r="C1096" s="642"/>
      <c r="F1096"/>
      <c r="G1096"/>
      <c r="H1096"/>
      <c r="I1096"/>
      <c r="L1096"/>
      <c r="M1096"/>
      <c r="N1096" s="642"/>
      <c r="O1096"/>
    </row>
    <row r="1097" spans="1:15" x14ac:dyDescent="0.2">
      <c r="A1097"/>
      <c r="B1097" s="642"/>
      <c r="C1097" s="642"/>
      <c r="F1097"/>
      <c r="G1097"/>
      <c r="H1097"/>
      <c r="I1097"/>
      <c r="L1097"/>
      <c r="M1097"/>
      <c r="N1097" s="642"/>
      <c r="O1097"/>
    </row>
    <row r="1098" spans="1:15" x14ac:dyDescent="0.2">
      <c r="A1098"/>
      <c r="B1098" s="642"/>
      <c r="C1098" s="642"/>
      <c r="F1098"/>
      <c r="G1098"/>
      <c r="I1098"/>
      <c r="L1098"/>
      <c r="M1098"/>
      <c r="N1098" s="642"/>
      <c r="O1098"/>
    </row>
    <row r="1099" spans="1:15" x14ac:dyDescent="0.2">
      <c r="A1099"/>
      <c r="B1099" s="642"/>
      <c r="C1099" s="642"/>
      <c r="F1099"/>
      <c r="G1099"/>
      <c r="I1099"/>
      <c r="L1099"/>
      <c r="M1099"/>
      <c r="N1099" s="642"/>
      <c r="O1099"/>
    </row>
    <row r="1100" spans="1:15" x14ac:dyDescent="0.2">
      <c r="A1100"/>
      <c r="B1100" s="642"/>
      <c r="C1100" s="642"/>
      <c r="F1100"/>
      <c r="G1100"/>
      <c r="L1100"/>
      <c r="M1100"/>
      <c r="N1100" s="642"/>
      <c r="O1100"/>
    </row>
    <row r="1101" spans="1:15" x14ac:dyDescent="0.2">
      <c r="A1101"/>
      <c r="B1101" s="642"/>
      <c r="C1101" s="642"/>
      <c r="F1101"/>
      <c r="G1101"/>
      <c r="H1101"/>
      <c r="I1101"/>
      <c r="L1101"/>
      <c r="M1101"/>
      <c r="N1101" s="642"/>
      <c r="O1101"/>
    </row>
    <row r="1102" spans="1:15" x14ac:dyDescent="0.2">
      <c r="A1102"/>
      <c r="B1102" s="642"/>
      <c r="C1102" s="642"/>
      <c r="F1102"/>
      <c r="G1102"/>
      <c r="L1102"/>
      <c r="M1102"/>
      <c r="N1102" s="642"/>
      <c r="O1102"/>
    </row>
    <row r="1103" spans="1:15" x14ac:dyDescent="0.2">
      <c r="A1103"/>
      <c r="B1103" s="642"/>
      <c r="C1103" s="642"/>
      <c r="F1103"/>
      <c r="G1103"/>
      <c r="H1103"/>
      <c r="I1103"/>
      <c r="L1103"/>
      <c r="M1103"/>
      <c r="N1103" s="642"/>
      <c r="O1103"/>
    </row>
    <row r="1104" spans="1:15" x14ac:dyDescent="0.2">
      <c r="A1104"/>
      <c r="B1104" s="642"/>
      <c r="C1104" s="642"/>
      <c r="F1104"/>
      <c r="G1104"/>
      <c r="M1104"/>
      <c r="N1104" s="642"/>
      <c r="O1104"/>
    </row>
    <row r="1105" spans="1:15" x14ac:dyDescent="0.2">
      <c r="A1105"/>
      <c r="B1105" s="642"/>
      <c r="C1105" s="642"/>
      <c r="F1105"/>
      <c r="G1105"/>
      <c r="H1105"/>
      <c r="I1105"/>
      <c r="L1105"/>
      <c r="M1105"/>
      <c r="N1105" s="642"/>
      <c r="O1105"/>
    </row>
    <row r="1106" spans="1:15" x14ac:dyDescent="0.2">
      <c r="A1106"/>
      <c r="B1106" s="642"/>
      <c r="C1106" s="642"/>
      <c r="F1106"/>
      <c r="G1106"/>
      <c r="H1106"/>
      <c r="I1106"/>
      <c r="L1106"/>
      <c r="M1106"/>
      <c r="N1106" s="642"/>
      <c r="O1106"/>
    </row>
    <row r="1107" spans="1:15" x14ac:dyDescent="0.2">
      <c r="A1107"/>
      <c r="B1107" s="642"/>
      <c r="C1107" s="642"/>
      <c r="F1107"/>
      <c r="G1107"/>
      <c r="H1107"/>
      <c r="I1107"/>
      <c r="L1107"/>
      <c r="M1107"/>
      <c r="N1107" s="642"/>
      <c r="O1107"/>
    </row>
    <row r="1108" spans="1:15" x14ac:dyDescent="0.2">
      <c r="A1108"/>
      <c r="B1108" s="642"/>
      <c r="C1108" s="642"/>
      <c r="F1108"/>
      <c r="G1108"/>
      <c r="H1108"/>
      <c r="I1108"/>
      <c r="L1108"/>
      <c r="M1108"/>
      <c r="N1108" s="642"/>
      <c r="O1108"/>
    </row>
    <row r="1109" spans="1:15" x14ac:dyDescent="0.2">
      <c r="A1109"/>
      <c r="B1109" s="642"/>
      <c r="C1109" s="642"/>
      <c r="F1109"/>
      <c r="G1109"/>
      <c r="H1109"/>
      <c r="J1109"/>
      <c r="K1109"/>
      <c r="L1109"/>
      <c r="M1109"/>
      <c r="N1109" s="642"/>
      <c r="O1109"/>
    </row>
    <row r="1110" spans="1:15" x14ac:dyDescent="0.2">
      <c r="A1110"/>
      <c r="B1110" s="642"/>
      <c r="C1110" s="642"/>
      <c r="F1110"/>
      <c r="G1110"/>
      <c r="H1110"/>
      <c r="J1110"/>
      <c r="K1110"/>
      <c r="L1110"/>
      <c r="M1110"/>
      <c r="N1110" s="642"/>
      <c r="O1110"/>
    </row>
    <row r="1111" spans="1:15" x14ac:dyDescent="0.2">
      <c r="A1111"/>
      <c r="B1111" s="642"/>
      <c r="C1111" s="642"/>
      <c r="F1111"/>
      <c r="G1111"/>
      <c r="H1111"/>
      <c r="J1111"/>
      <c r="K1111"/>
      <c r="L1111"/>
      <c r="M1111"/>
      <c r="N1111" s="642"/>
      <c r="O1111"/>
    </row>
    <row r="1112" spans="1:15" x14ac:dyDescent="0.2">
      <c r="A1112"/>
      <c r="B1112" s="642"/>
      <c r="C1112" s="642"/>
      <c r="F1112"/>
      <c r="G1112"/>
      <c r="H1112"/>
      <c r="L1112"/>
      <c r="M1112"/>
      <c r="N1112" s="642"/>
      <c r="O1112"/>
    </row>
    <row r="1113" spans="1:15" x14ac:dyDescent="0.2">
      <c r="A1113"/>
      <c r="B1113" s="642"/>
      <c r="C1113" s="642"/>
      <c r="F1113"/>
      <c r="G1113"/>
      <c r="I1113"/>
      <c r="L1113"/>
      <c r="M1113"/>
      <c r="N1113" s="642"/>
      <c r="O1113"/>
    </row>
    <row r="1114" spans="1:15" x14ac:dyDescent="0.2">
      <c r="A1114"/>
      <c r="B1114" s="642"/>
      <c r="C1114" s="642"/>
      <c r="F1114"/>
      <c r="G1114"/>
      <c r="I1114"/>
      <c r="L1114"/>
      <c r="M1114"/>
      <c r="N1114" s="642"/>
      <c r="O1114"/>
    </row>
    <row r="1115" spans="1:15" x14ac:dyDescent="0.2">
      <c r="A1115"/>
      <c r="B1115" s="642"/>
      <c r="C1115" s="642"/>
      <c r="F1115"/>
      <c r="G1115"/>
      <c r="M1115"/>
      <c r="N1115" s="642"/>
      <c r="O1115"/>
    </row>
    <row r="1116" spans="1:15" x14ac:dyDescent="0.2">
      <c r="A1116"/>
      <c r="B1116" s="642"/>
      <c r="C1116" s="642"/>
      <c r="F1116"/>
      <c r="G1116"/>
      <c r="H1116"/>
      <c r="I1116"/>
      <c r="L1116"/>
      <c r="M1116"/>
      <c r="N1116" s="642"/>
      <c r="O1116"/>
    </row>
    <row r="1117" spans="1:15" x14ac:dyDescent="0.2">
      <c r="A1117"/>
      <c r="B1117" s="642"/>
      <c r="C1117" s="642"/>
      <c r="F1117"/>
      <c r="G1117"/>
      <c r="J1117"/>
      <c r="K1117"/>
      <c r="L1117"/>
      <c r="M1117"/>
      <c r="N1117" s="642"/>
      <c r="O1117"/>
    </row>
    <row r="1118" spans="1:15" x14ac:dyDescent="0.2">
      <c r="A1118"/>
      <c r="B1118" s="642"/>
      <c r="C1118" s="642"/>
      <c r="F1118"/>
      <c r="G1118"/>
      <c r="H1118"/>
      <c r="I1118"/>
      <c r="L1118"/>
      <c r="M1118"/>
      <c r="N1118" s="642"/>
      <c r="O1118"/>
    </row>
    <row r="1119" spans="1:15" x14ac:dyDescent="0.2">
      <c r="A1119"/>
      <c r="B1119" s="642"/>
      <c r="C1119" s="642"/>
      <c r="F1119"/>
      <c r="G1119"/>
      <c r="H1119"/>
      <c r="I1119"/>
      <c r="L1119"/>
      <c r="N1119" s="642"/>
      <c r="O1119"/>
    </row>
    <row r="1120" spans="1:15" x14ac:dyDescent="0.2">
      <c r="A1120"/>
      <c r="B1120" s="642"/>
      <c r="C1120" s="642"/>
      <c r="F1120"/>
      <c r="G1120"/>
      <c r="H1120"/>
      <c r="J1120"/>
      <c r="K1120"/>
      <c r="L1120"/>
      <c r="M1120"/>
      <c r="N1120" s="642"/>
      <c r="O1120"/>
    </row>
    <row r="1121" spans="1:15" x14ac:dyDescent="0.2">
      <c r="A1121"/>
      <c r="B1121" s="642"/>
      <c r="C1121" s="642"/>
      <c r="F1121"/>
      <c r="G1121"/>
      <c r="H1121"/>
      <c r="I1121"/>
      <c r="L1121"/>
      <c r="M1121"/>
      <c r="N1121" s="642"/>
      <c r="O1121"/>
    </row>
    <row r="1122" spans="1:15" x14ac:dyDescent="0.2">
      <c r="A1122"/>
      <c r="B1122" s="642"/>
      <c r="C1122" s="642"/>
      <c r="F1122"/>
      <c r="G1122"/>
      <c r="I1122"/>
      <c r="L1122"/>
      <c r="M1122"/>
      <c r="N1122" s="642"/>
      <c r="O1122"/>
    </row>
    <row r="1123" spans="1:15" x14ac:dyDescent="0.2">
      <c r="A1123"/>
      <c r="B1123" s="642"/>
      <c r="C1123" s="642"/>
      <c r="F1123"/>
      <c r="G1123"/>
      <c r="H1123"/>
      <c r="I1123"/>
      <c r="L1123"/>
      <c r="M1123"/>
      <c r="N1123" s="642"/>
      <c r="O1123"/>
    </row>
    <row r="1124" spans="1:15" x14ac:dyDescent="0.2">
      <c r="A1124"/>
      <c r="B1124" s="642"/>
      <c r="C1124" s="642"/>
      <c r="F1124"/>
      <c r="G1124"/>
      <c r="L1124"/>
      <c r="M1124"/>
      <c r="N1124" s="642"/>
      <c r="O1124"/>
    </row>
    <row r="1125" spans="1:15" x14ac:dyDescent="0.2">
      <c r="A1125"/>
      <c r="B1125" s="642"/>
      <c r="C1125" s="642"/>
      <c r="F1125"/>
      <c r="G1125"/>
      <c r="L1125"/>
      <c r="M1125"/>
      <c r="N1125" s="642"/>
      <c r="O1125"/>
    </row>
    <row r="1126" spans="1:15" x14ac:dyDescent="0.2">
      <c r="A1126"/>
      <c r="B1126" s="642"/>
      <c r="C1126" s="642"/>
      <c r="F1126"/>
      <c r="G1126"/>
      <c r="L1126"/>
      <c r="M1126"/>
      <c r="N1126" s="642"/>
      <c r="O1126"/>
    </row>
    <row r="1127" spans="1:15" x14ac:dyDescent="0.2">
      <c r="A1127"/>
      <c r="B1127" s="642"/>
      <c r="C1127" s="642"/>
      <c r="F1127"/>
      <c r="G1127"/>
      <c r="I1127"/>
      <c r="L1127"/>
      <c r="M1127"/>
      <c r="N1127" s="642"/>
      <c r="O1127"/>
    </row>
    <row r="1128" spans="1:15" x14ac:dyDescent="0.2">
      <c r="A1128"/>
      <c r="B1128" s="642"/>
      <c r="C1128" s="642"/>
      <c r="F1128"/>
      <c r="G1128"/>
      <c r="I1128"/>
      <c r="L1128"/>
      <c r="M1128"/>
      <c r="N1128" s="642"/>
      <c r="O1128"/>
    </row>
    <row r="1129" spans="1:15" x14ac:dyDescent="0.2">
      <c r="A1129"/>
      <c r="B1129" s="642"/>
      <c r="C1129" s="642"/>
      <c r="F1129"/>
      <c r="G1129"/>
      <c r="I1129"/>
      <c r="L1129"/>
      <c r="M1129"/>
      <c r="N1129" s="642"/>
      <c r="O1129"/>
    </row>
    <row r="1130" spans="1:15" x14ac:dyDescent="0.2">
      <c r="A1130"/>
      <c r="B1130" s="642"/>
      <c r="C1130" s="642"/>
      <c r="F1130"/>
      <c r="G1130"/>
      <c r="H1130"/>
      <c r="I1130"/>
      <c r="L1130"/>
      <c r="M1130"/>
      <c r="N1130" s="642"/>
      <c r="O1130"/>
    </row>
    <row r="1131" spans="1:15" x14ac:dyDescent="0.2">
      <c r="A1131"/>
      <c r="B1131" s="642"/>
      <c r="C1131" s="642"/>
      <c r="F1131"/>
      <c r="G1131"/>
      <c r="H1131"/>
      <c r="L1131"/>
      <c r="M1131"/>
      <c r="N1131" s="642"/>
      <c r="O1131"/>
    </row>
    <row r="1132" spans="1:15" x14ac:dyDescent="0.2">
      <c r="A1132"/>
      <c r="B1132" s="642"/>
      <c r="C1132" s="642"/>
      <c r="F1132"/>
      <c r="G1132"/>
      <c r="I1132"/>
      <c r="L1132"/>
      <c r="M1132"/>
      <c r="N1132" s="642"/>
      <c r="O1132"/>
    </row>
    <row r="1133" spans="1:15" x14ac:dyDescent="0.2">
      <c r="A1133"/>
      <c r="B1133" s="642"/>
      <c r="C1133" s="642"/>
      <c r="F1133"/>
      <c r="G1133"/>
      <c r="N1133" s="642"/>
      <c r="O1133"/>
    </row>
    <row r="1134" spans="1:15" x14ac:dyDescent="0.2">
      <c r="A1134"/>
      <c r="B1134" s="642"/>
      <c r="C1134" s="642"/>
      <c r="F1134"/>
      <c r="G1134"/>
      <c r="I1134"/>
      <c r="L1134"/>
      <c r="M1134"/>
      <c r="N1134" s="642"/>
      <c r="O1134"/>
    </row>
    <row r="1135" spans="1:15" x14ac:dyDescent="0.2">
      <c r="A1135"/>
      <c r="B1135" s="642"/>
      <c r="C1135" s="642"/>
      <c r="F1135"/>
      <c r="G1135"/>
      <c r="I1135"/>
      <c r="L1135"/>
      <c r="M1135"/>
      <c r="N1135" s="642"/>
      <c r="O1135"/>
    </row>
    <row r="1136" spans="1:15" x14ac:dyDescent="0.2">
      <c r="A1136"/>
      <c r="B1136" s="642"/>
      <c r="C1136" s="642"/>
      <c r="F1136"/>
      <c r="G1136"/>
      <c r="H1136"/>
      <c r="I1136"/>
      <c r="L1136"/>
      <c r="M1136"/>
      <c r="N1136" s="642"/>
      <c r="O1136"/>
    </row>
    <row r="1137" spans="1:15" x14ac:dyDescent="0.2">
      <c r="A1137"/>
      <c r="B1137" s="642"/>
      <c r="C1137" s="642"/>
      <c r="F1137"/>
      <c r="G1137"/>
      <c r="H1137"/>
      <c r="J1137"/>
      <c r="K1137"/>
      <c r="L1137"/>
      <c r="M1137"/>
      <c r="N1137" s="642"/>
      <c r="O1137"/>
    </row>
    <row r="1138" spans="1:15" x14ac:dyDescent="0.2">
      <c r="A1138"/>
      <c r="B1138" s="642"/>
      <c r="C1138" s="642"/>
      <c r="F1138"/>
      <c r="G1138"/>
      <c r="I1138"/>
      <c r="L1138"/>
      <c r="M1138"/>
      <c r="N1138" s="642"/>
      <c r="O1138"/>
    </row>
    <row r="1139" spans="1:15" x14ac:dyDescent="0.2">
      <c r="A1139"/>
      <c r="B1139" s="642"/>
      <c r="C1139" s="642"/>
      <c r="F1139"/>
      <c r="G1139"/>
      <c r="J1139"/>
      <c r="K1139"/>
      <c r="L1139"/>
      <c r="M1139"/>
      <c r="N1139" s="642"/>
      <c r="O1139"/>
    </row>
    <row r="1140" spans="1:15" x14ac:dyDescent="0.2">
      <c r="A1140"/>
      <c r="B1140" s="642"/>
      <c r="C1140" s="642"/>
      <c r="F1140"/>
      <c r="G1140"/>
      <c r="J1140"/>
      <c r="K1140"/>
      <c r="L1140"/>
      <c r="M1140"/>
      <c r="N1140" s="642"/>
      <c r="O1140"/>
    </row>
    <row r="1141" spans="1:15" x14ac:dyDescent="0.2">
      <c r="A1141"/>
      <c r="B1141" s="642"/>
      <c r="C1141" s="642"/>
      <c r="F1141"/>
      <c r="G1141"/>
      <c r="I1141"/>
      <c r="L1141"/>
      <c r="M1141"/>
      <c r="N1141" s="642"/>
      <c r="O1141"/>
    </row>
    <row r="1142" spans="1:15" x14ac:dyDescent="0.2">
      <c r="A1142"/>
      <c r="B1142" s="642"/>
      <c r="C1142" s="642"/>
      <c r="F1142"/>
      <c r="G1142"/>
      <c r="I1142"/>
      <c r="L1142"/>
      <c r="M1142"/>
      <c r="N1142" s="642"/>
      <c r="O1142"/>
    </row>
    <row r="1143" spans="1:15" x14ac:dyDescent="0.2">
      <c r="A1143"/>
      <c r="B1143" s="642"/>
      <c r="C1143" s="642"/>
      <c r="F1143"/>
      <c r="G1143"/>
      <c r="M1143"/>
      <c r="N1143" s="642"/>
      <c r="O1143"/>
    </row>
    <row r="1144" spans="1:15" x14ac:dyDescent="0.2">
      <c r="A1144"/>
      <c r="B1144" s="642"/>
      <c r="C1144" s="642"/>
      <c r="F1144"/>
      <c r="G1144"/>
      <c r="H1144"/>
      <c r="L1144"/>
      <c r="M1144"/>
      <c r="N1144" s="642"/>
      <c r="O1144"/>
    </row>
    <row r="1145" spans="1:15" x14ac:dyDescent="0.2">
      <c r="A1145"/>
      <c r="B1145" s="642"/>
      <c r="C1145" s="642"/>
      <c r="F1145"/>
      <c r="G1145"/>
      <c r="I1145"/>
      <c r="L1145"/>
      <c r="M1145"/>
      <c r="N1145" s="642"/>
      <c r="O1145"/>
    </row>
    <row r="1146" spans="1:15" x14ac:dyDescent="0.2">
      <c r="A1146"/>
      <c r="B1146" s="642"/>
      <c r="C1146" s="642"/>
      <c r="F1146"/>
      <c r="G1146"/>
      <c r="H1146"/>
      <c r="I1146"/>
      <c r="L1146"/>
      <c r="M1146"/>
      <c r="N1146" s="642"/>
      <c r="O1146"/>
    </row>
    <row r="1147" spans="1:15" x14ac:dyDescent="0.2">
      <c r="A1147"/>
      <c r="B1147" s="642"/>
      <c r="C1147" s="642"/>
      <c r="F1147"/>
      <c r="G1147"/>
      <c r="H1147"/>
      <c r="I1147"/>
      <c r="L1147"/>
      <c r="M1147"/>
      <c r="N1147" s="642"/>
      <c r="O1147"/>
    </row>
    <row r="1148" spans="1:15" x14ac:dyDescent="0.2">
      <c r="A1148"/>
      <c r="B1148" s="642"/>
      <c r="C1148" s="642"/>
      <c r="F1148"/>
      <c r="G1148"/>
      <c r="H1148"/>
      <c r="J1148"/>
      <c r="K1148"/>
      <c r="L1148"/>
      <c r="M1148"/>
      <c r="N1148" s="642"/>
      <c r="O1148"/>
    </row>
    <row r="1149" spans="1:15" x14ac:dyDescent="0.2">
      <c r="A1149"/>
      <c r="B1149" s="642"/>
      <c r="C1149" s="642"/>
      <c r="F1149"/>
      <c r="G1149"/>
      <c r="L1149"/>
      <c r="M1149"/>
      <c r="N1149" s="642"/>
      <c r="O1149"/>
    </row>
    <row r="1150" spans="1:15" x14ac:dyDescent="0.2">
      <c r="A1150"/>
      <c r="B1150" s="642"/>
      <c r="C1150" s="642"/>
      <c r="F1150"/>
      <c r="G1150"/>
      <c r="H1150"/>
      <c r="L1150"/>
      <c r="M1150"/>
      <c r="N1150" s="642"/>
      <c r="O1150"/>
    </row>
    <row r="1151" spans="1:15" x14ac:dyDescent="0.2">
      <c r="A1151"/>
      <c r="B1151" s="642"/>
      <c r="C1151" s="642"/>
      <c r="F1151"/>
      <c r="G1151"/>
      <c r="J1151"/>
      <c r="K1151"/>
      <c r="L1151"/>
      <c r="M1151"/>
      <c r="N1151" s="642"/>
      <c r="O1151"/>
    </row>
    <row r="1152" spans="1:15" x14ac:dyDescent="0.2">
      <c r="A1152"/>
      <c r="B1152" s="642"/>
      <c r="C1152" s="642"/>
      <c r="F1152"/>
      <c r="G1152"/>
      <c r="L1152"/>
      <c r="M1152"/>
      <c r="N1152" s="642"/>
      <c r="O1152"/>
    </row>
    <row r="1153" spans="1:15" x14ac:dyDescent="0.2">
      <c r="A1153"/>
      <c r="B1153" s="642"/>
      <c r="C1153" s="642"/>
      <c r="F1153"/>
      <c r="G1153"/>
      <c r="L1153"/>
      <c r="M1153"/>
      <c r="N1153" s="642"/>
      <c r="O1153"/>
    </row>
    <row r="1154" spans="1:15" x14ac:dyDescent="0.2">
      <c r="A1154"/>
      <c r="B1154" s="642"/>
      <c r="C1154" s="642"/>
      <c r="F1154"/>
      <c r="G1154"/>
      <c r="H1154"/>
      <c r="L1154"/>
      <c r="M1154"/>
      <c r="N1154" s="642"/>
      <c r="O1154"/>
    </row>
    <row r="1155" spans="1:15" x14ac:dyDescent="0.2">
      <c r="A1155"/>
      <c r="B1155" s="642"/>
      <c r="C1155" s="642"/>
      <c r="F1155"/>
      <c r="G1155"/>
      <c r="H1155"/>
      <c r="I1155"/>
      <c r="L1155"/>
      <c r="M1155"/>
      <c r="N1155" s="642"/>
      <c r="O1155"/>
    </row>
    <row r="1156" spans="1:15" x14ac:dyDescent="0.2">
      <c r="A1156"/>
      <c r="B1156" s="642"/>
      <c r="C1156" s="642"/>
      <c r="F1156"/>
      <c r="G1156"/>
      <c r="L1156"/>
      <c r="M1156"/>
      <c r="N1156" s="642"/>
      <c r="O1156"/>
    </row>
    <row r="1157" spans="1:15" x14ac:dyDescent="0.2">
      <c r="A1157"/>
      <c r="B1157" s="642"/>
      <c r="C1157" s="642"/>
      <c r="F1157"/>
      <c r="G1157"/>
      <c r="L1157"/>
      <c r="M1157"/>
      <c r="N1157" s="642"/>
      <c r="O1157"/>
    </row>
    <row r="1158" spans="1:15" x14ac:dyDescent="0.2">
      <c r="A1158"/>
      <c r="B1158" s="642"/>
      <c r="C1158" s="642"/>
      <c r="F1158"/>
      <c r="G1158"/>
      <c r="H1158"/>
      <c r="I1158"/>
      <c r="L1158"/>
      <c r="M1158"/>
      <c r="N1158" s="642"/>
      <c r="O1158"/>
    </row>
    <row r="1159" spans="1:15" x14ac:dyDescent="0.2">
      <c r="A1159"/>
      <c r="B1159" s="642"/>
      <c r="C1159" s="642"/>
      <c r="F1159"/>
      <c r="G1159"/>
      <c r="J1159"/>
      <c r="K1159"/>
      <c r="L1159"/>
      <c r="M1159"/>
      <c r="N1159" s="642"/>
      <c r="O1159"/>
    </row>
    <row r="1160" spans="1:15" x14ac:dyDescent="0.2">
      <c r="A1160"/>
      <c r="B1160" s="642"/>
      <c r="C1160" s="642"/>
      <c r="F1160"/>
      <c r="G1160"/>
      <c r="I1160"/>
      <c r="L1160"/>
      <c r="M1160"/>
      <c r="N1160" s="642"/>
      <c r="O1160"/>
    </row>
    <row r="1161" spans="1:15" x14ac:dyDescent="0.2">
      <c r="A1161"/>
      <c r="B1161" s="642"/>
      <c r="C1161" s="642"/>
      <c r="F1161"/>
      <c r="G1161"/>
      <c r="H1161"/>
      <c r="I1161"/>
      <c r="L1161"/>
      <c r="M1161"/>
      <c r="N1161" s="642"/>
      <c r="O1161"/>
    </row>
    <row r="1162" spans="1:15" x14ac:dyDescent="0.2">
      <c r="A1162"/>
      <c r="B1162" s="642"/>
      <c r="C1162" s="642"/>
      <c r="F1162"/>
      <c r="G1162"/>
      <c r="H1162"/>
      <c r="J1162"/>
      <c r="K1162"/>
      <c r="L1162"/>
      <c r="M1162"/>
      <c r="N1162" s="642"/>
      <c r="O1162"/>
    </row>
    <row r="1163" spans="1:15" x14ac:dyDescent="0.2">
      <c r="A1163"/>
      <c r="B1163" s="642"/>
      <c r="C1163" s="642"/>
      <c r="F1163"/>
      <c r="G1163"/>
      <c r="H1163"/>
      <c r="J1163"/>
      <c r="L1163"/>
      <c r="M1163"/>
      <c r="N1163" s="642"/>
      <c r="O1163"/>
    </row>
    <row r="1164" spans="1:15" x14ac:dyDescent="0.2">
      <c r="A1164"/>
      <c r="B1164" s="642"/>
      <c r="C1164" s="642"/>
      <c r="F1164"/>
      <c r="G1164"/>
      <c r="H1164"/>
      <c r="I1164"/>
      <c r="L1164"/>
      <c r="M1164"/>
      <c r="N1164" s="642"/>
      <c r="O1164"/>
    </row>
    <row r="1165" spans="1:15" x14ac:dyDescent="0.2">
      <c r="A1165"/>
      <c r="B1165" s="642"/>
      <c r="C1165" s="642"/>
      <c r="F1165"/>
      <c r="G1165"/>
      <c r="H1165"/>
      <c r="I1165"/>
      <c r="L1165"/>
      <c r="M1165"/>
      <c r="N1165" s="642"/>
      <c r="O1165"/>
    </row>
    <row r="1166" spans="1:15" x14ac:dyDescent="0.2">
      <c r="A1166"/>
      <c r="B1166" s="642"/>
      <c r="C1166" s="642"/>
      <c r="F1166"/>
      <c r="G1166"/>
      <c r="H1166"/>
      <c r="I1166"/>
      <c r="L1166"/>
      <c r="M1166"/>
      <c r="N1166" s="642"/>
      <c r="O1166"/>
    </row>
    <row r="1167" spans="1:15" x14ac:dyDescent="0.2">
      <c r="A1167"/>
      <c r="B1167" s="642"/>
      <c r="C1167" s="642"/>
      <c r="F1167"/>
      <c r="G1167"/>
      <c r="H1167"/>
      <c r="I1167"/>
      <c r="L1167"/>
      <c r="M1167"/>
      <c r="N1167" s="642"/>
      <c r="O1167"/>
    </row>
    <row r="1168" spans="1:15" x14ac:dyDescent="0.2">
      <c r="A1168"/>
      <c r="B1168" s="642"/>
      <c r="C1168" s="642"/>
      <c r="F1168"/>
      <c r="G1168"/>
      <c r="I1168"/>
      <c r="L1168"/>
      <c r="M1168"/>
      <c r="N1168" s="642"/>
      <c r="O1168"/>
    </row>
    <row r="1169" spans="1:15" x14ac:dyDescent="0.2">
      <c r="A1169"/>
      <c r="B1169" s="642"/>
      <c r="C1169" s="642"/>
      <c r="F1169"/>
      <c r="G1169"/>
      <c r="H1169"/>
      <c r="I1169"/>
      <c r="L1169"/>
      <c r="N1169" s="642"/>
      <c r="O1169"/>
    </row>
    <row r="1170" spans="1:15" x14ac:dyDescent="0.2">
      <c r="A1170"/>
      <c r="B1170" s="642"/>
      <c r="C1170" s="642"/>
      <c r="F1170"/>
      <c r="G1170"/>
      <c r="I1170"/>
      <c r="L1170"/>
      <c r="M1170"/>
      <c r="N1170" s="642"/>
      <c r="O1170"/>
    </row>
    <row r="1171" spans="1:15" x14ac:dyDescent="0.2">
      <c r="A1171"/>
      <c r="B1171" s="642"/>
      <c r="C1171" s="642"/>
      <c r="F1171"/>
      <c r="G1171"/>
      <c r="I1171"/>
      <c r="L1171"/>
      <c r="M1171"/>
      <c r="N1171" s="642"/>
      <c r="O1171"/>
    </row>
    <row r="1172" spans="1:15" x14ac:dyDescent="0.2">
      <c r="A1172"/>
      <c r="B1172" s="642"/>
      <c r="C1172" s="642"/>
      <c r="F1172"/>
      <c r="G1172"/>
      <c r="J1172"/>
      <c r="K1172"/>
      <c r="L1172"/>
      <c r="M1172"/>
      <c r="N1172" s="642"/>
      <c r="O1172"/>
    </row>
    <row r="1173" spans="1:15" x14ac:dyDescent="0.2">
      <c r="A1173"/>
      <c r="B1173" s="642"/>
      <c r="C1173" s="642"/>
      <c r="F1173"/>
      <c r="G1173"/>
      <c r="I1173"/>
      <c r="L1173"/>
      <c r="M1173"/>
      <c r="N1173" s="642"/>
      <c r="O1173"/>
    </row>
    <row r="1174" spans="1:15" x14ac:dyDescent="0.2">
      <c r="A1174"/>
      <c r="B1174" s="642"/>
      <c r="C1174" s="642"/>
      <c r="F1174"/>
      <c r="G1174"/>
      <c r="I1174"/>
      <c r="L1174"/>
      <c r="M1174"/>
      <c r="N1174" s="642"/>
      <c r="O1174"/>
    </row>
    <row r="1175" spans="1:15" x14ac:dyDescent="0.2">
      <c r="A1175"/>
      <c r="B1175" s="642"/>
      <c r="C1175" s="642"/>
      <c r="F1175"/>
      <c r="G1175"/>
      <c r="H1175"/>
      <c r="I1175"/>
      <c r="L1175"/>
      <c r="M1175"/>
      <c r="N1175" s="642"/>
      <c r="O1175"/>
    </row>
    <row r="1176" spans="1:15" x14ac:dyDescent="0.2">
      <c r="A1176"/>
      <c r="B1176" s="642"/>
      <c r="C1176" s="642"/>
      <c r="F1176"/>
      <c r="G1176"/>
      <c r="H1176"/>
      <c r="I1176"/>
      <c r="L1176"/>
      <c r="M1176"/>
      <c r="N1176" s="642"/>
      <c r="O1176"/>
    </row>
    <row r="1177" spans="1:15" x14ac:dyDescent="0.2">
      <c r="A1177"/>
      <c r="B1177" s="642"/>
      <c r="C1177" s="642"/>
      <c r="F1177"/>
      <c r="G1177"/>
      <c r="H1177"/>
      <c r="I1177"/>
      <c r="L1177"/>
      <c r="M1177"/>
      <c r="N1177" s="642"/>
      <c r="O1177"/>
    </row>
    <row r="1178" spans="1:15" x14ac:dyDescent="0.2">
      <c r="A1178"/>
      <c r="B1178" s="642"/>
      <c r="C1178" s="642"/>
      <c r="F1178"/>
      <c r="G1178"/>
      <c r="H1178"/>
      <c r="I1178"/>
      <c r="L1178"/>
      <c r="M1178"/>
      <c r="N1178" s="642"/>
      <c r="O1178"/>
    </row>
    <row r="1179" spans="1:15" x14ac:dyDescent="0.2">
      <c r="A1179"/>
      <c r="B1179" s="642"/>
      <c r="C1179" s="642"/>
      <c r="F1179"/>
      <c r="G1179"/>
      <c r="I1179"/>
      <c r="L1179"/>
      <c r="M1179"/>
      <c r="N1179" s="642"/>
      <c r="O1179"/>
    </row>
    <row r="1180" spans="1:15" x14ac:dyDescent="0.2">
      <c r="A1180"/>
      <c r="B1180" s="642"/>
      <c r="C1180" s="642"/>
      <c r="F1180"/>
      <c r="G1180"/>
      <c r="H1180"/>
      <c r="I1180"/>
      <c r="L1180"/>
      <c r="M1180"/>
      <c r="N1180" s="642"/>
      <c r="O1180"/>
    </row>
    <row r="1181" spans="1:15" x14ac:dyDescent="0.2">
      <c r="A1181"/>
      <c r="B1181" s="642"/>
      <c r="C1181" s="642"/>
      <c r="F1181"/>
      <c r="G1181"/>
      <c r="H1181"/>
      <c r="I1181"/>
      <c r="L1181"/>
      <c r="N1181" s="642"/>
      <c r="O1181"/>
    </row>
    <row r="1182" spans="1:15" x14ac:dyDescent="0.2">
      <c r="A1182"/>
      <c r="B1182" s="642"/>
      <c r="C1182" s="642"/>
      <c r="F1182"/>
      <c r="G1182"/>
      <c r="I1182"/>
      <c r="L1182"/>
      <c r="M1182"/>
      <c r="N1182" s="642"/>
      <c r="O1182"/>
    </row>
    <row r="1183" spans="1:15" x14ac:dyDescent="0.2">
      <c r="A1183"/>
      <c r="B1183" s="642"/>
      <c r="C1183" s="642"/>
      <c r="F1183"/>
      <c r="G1183"/>
      <c r="H1183"/>
      <c r="I1183"/>
      <c r="L1183"/>
      <c r="M1183"/>
      <c r="N1183" s="642"/>
      <c r="O1183"/>
    </row>
    <row r="1184" spans="1:15" x14ac:dyDescent="0.2">
      <c r="A1184"/>
      <c r="B1184" s="642"/>
      <c r="C1184" s="642"/>
      <c r="F1184"/>
      <c r="G1184"/>
      <c r="L1184"/>
      <c r="M1184"/>
      <c r="N1184" s="642"/>
      <c r="O1184"/>
    </row>
    <row r="1185" spans="1:15" x14ac:dyDescent="0.2">
      <c r="A1185"/>
      <c r="B1185" s="642"/>
      <c r="C1185" s="642"/>
      <c r="F1185"/>
      <c r="G1185"/>
      <c r="H1185"/>
      <c r="L1185"/>
      <c r="M1185"/>
      <c r="N1185" s="642"/>
      <c r="O1185"/>
    </row>
    <row r="1186" spans="1:15" x14ac:dyDescent="0.2">
      <c r="A1186"/>
      <c r="B1186" s="642"/>
      <c r="C1186" s="642"/>
      <c r="F1186"/>
      <c r="G1186"/>
      <c r="H1186"/>
      <c r="I1186"/>
      <c r="L1186"/>
      <c r="M1186"/>
      <c r="N1186" s="642"/>
      <c r="O1186"/>
    </row>
    <row r="1187" spans="1:15" x14ac:dyDescent="0.2">
      <c r="A1187"/>
      <c r="B1187" s="642"/>
      <c r="C1187" s="642"/>
      <c r="F1187"/>
      <c r="G1187"/>
      <c r="H1187"/>
      <c r="J1187"/>
      <c r="K1187"/>
      <c r="L1187"/>
      <c r="M1187"/>
      <c r="N1187" s="642"/>
      <c r="O1187"/>
    </row>
    <row r="1188" spans="1:15" x14ac:dyDescent="0.2">
      <c r="A1188"/>
      <c r="B1188" s="642"/>
      <c r="C1188" s="642"/>
      <c r="F1188"/>
      <c r="G1188"/>
      <c r="H1188"/>
      <c r="I1188"/>
      <c r="L1188"/>
      <c r="M1188"/>
      <c r="N1188" s="642"/>
      <c r="O1188"/>
    </row>
    <row r="1189" spans="1:15" x14ac:dyDescent="0.2">
      <c r="A1189"/>
      <c r="B1189" s="642"/>
      <c r="C1189" s="642"/>
      <c r="F1189"/>
      <c r="G1189"/>
      <c r="L1189"/>
      <c r="M1189"/>
      <c r="N1189" s="642"/>
      <c r="O1189"/>
    </row>
    <row r="1190" spans="1:15" x14ac:dyDescent="0.2">
      <c r="A1190"/>
      <c r="B1190" s="642"/>
      <c r="C1190" s="642"/>
      <c r="F1190"/>
      <c r="G1190"/>
      <c r="H1190"/>
      <c r="I1190"/>
      <c r="L1190"/>
      <c r="M1190"/>
      <c r="N1190" s="642"/>
      <c r="O1190"/>
    </row>
    <row r="1191" spans="1:15" x14ac:dyDescent="0.2">
      <c r="A1191"/>
      <c r="B1191" s="642"/>
      <c r="C1191" s="642"/>
      <c r="F1191"/>
      <c r="G1191"/>
      <c r="M1191"/>
      <c r="N1191" s="642"/>
      <c r="O1191"/>
    </row>
    <row r="1192" spans="1:15" x14ac:dyDescent="0.2">
      <c r="A1192"/>
      <c r="B1192" s="642"/>
      <c r="C1192" s="642"/>
      <c r="F1192"/>
      <c r="G1192"/>
      <c r="H1192"/>
      <c r="L1192"/>
      <c r="M1192"/>
      <c r="N1192" s="642"/>
      <c r="O1192"/>
    </row>
    <row r="1193" spans="1:15" x14ac:dyDescent="0.2">
      <c r="A1193"/>
      <c r="B1193" s="642"/>
      <c r="C1193" s="642"/>
      <c r="F1193"/>
      <c r="G1193"/>
      <c r="H1193"/>
      <c r="I1193"/>
      <c r="L1193"/>
      <c r="M1193"/>
      <c r="N1193" s="642"/>
      <c r="O1193"/>
    </row>
    <row r="1194" spans="1:15" x14ac:dyDescent="0.2">
      <c r="A1194"/>
      <c r="B1194" s="642"/>
      <c r="C1194" s="642"/>
      <c r="F1194"/>
      <c r="G1194"/>
      <c r="L1194"/>
      <c r="M1194"/>
      <c r="N1194" s="642"/>
      <c r="O1194"/>
    </row>
    <row r="1195" spans="1:15" x14ac:dyDescent="0.2">
      <c r="A1195"/>
      <c r="B1195" s="642"/>
      <c r="C1195" s="642"/>
      <c r="F1195"/>
      <c r="G1195"/>
      <c r="I1195"/>
      <c r="L1195"/>
      <c r="M1195"/>
      <c r="N1195" s="642"/>
      <c r="O1195"/>
    </row>
    <row r="1196" spans="1:15" x14ac:dyDescent="0.2">
      <c r="A1196"/>
      <c r="B1196" s="642"/>
      <c r="C1196" s="642"/>
      <c r="F1196"/>
      <c r="G1196"/>
      <c r="H1196"/>
      <c r="J1196"/>
      <c r="K1196"/>
      <c r="L1196"/>
      <c r="M1196"/>
      <c r="N1196" s="642"/>
      <c r="O1196"/>
    </row>
    <row r="1197" spans="1:15" x14ac:dyDescent="0.2">
      <c r="A1197"/>
      <c r="B1197" s="642"/>
      <c r="C1197" s="642"/>
      <c r="F1197"/>
      <c r="G1197"/>
      <c r="L1197"/>
      <c r="M1197"/>
      <c r="N1197" s="642"/>
      <c r="O1197"/>
    </row>
    <row r="1198" spans="1:15" x14ac:dyDescent="0.2">
      <c r="A1198"/>
      <c r="B1198" s="642"/>
      <c r="C1198" s="642"/>
      <c r="F1198"/>
      <c r="G1198"/>
      <c r="H1198"/>
      <c r="J1198"/>
      <c r="K1198"/>
      <c r="L1198"/>
      <c r="M1198"/>
      <c r="N1198" s="642"/>
      <c r="O1198"/>
    </row>
    <row r="1199" spans="1:15" x14ac:dyDescent="0.2">
      <c r="A1199"/>
      <c r="B1199" s="642"/>
      <c r="C1199" s="642"/>
      <c r="F1199"/>
      <c r="G1199"/>
      <c r="H1199"/>
      <c r="J1199"/>
      <c r="K1199"/>
      <c r="L1199"/>
      <c r="M1199"/>
      <c r="N1199" s="642"/>
      <c r="O1199"/>
    </row>
    <row r="1200" spans="1:15" x14ac:dyDescent="0.2">
      <c r="A1200"/>
      <c r="B1200" s="642"/>
      <c r="C1200" s="642"/>
      <c r="F1200"/>
      <c r="G1200"/>
      <c r="H1200"/>
      <c r="L1200"/>
      <c r="M1200"/>
      <c r="N1200" s="642"/>
      <c r="O1200"/>
    </row>
    <row r="1201" spans="1:15" x14ac:dyDescent="0.2">
      <c r="A1201"/>
      <c r="B1201" s="642"/>
      <c r="C1201" s="642"/>
      <c r="F1201"/>
      <c r="G1201"/>
      <c r="H1201"/>
      <c r="J1201"/>
      <c r="K1201"/>
      <c r="L1201"/>
      <c r="M1201"/>
      <c r="N1201" s="642"/>
      <c r="O1201"/>
    </row>
    <row r="1202" spans="1:15" x14ac:dyDescent="0.2">
      <c r="A1202"/>
      <c r="B1202" s="642"/>
      <c r="C1202" s="642"/>
      <c r="F1202"/>
      <c r="G1202"/>
      <c r="H1202"/>
      <c r="I1202"/>
      <c r="L1202"/>
      <c r="M1202"/>
      <c r="N1202" s="642"/>
      <c r="O1202"/>
    </row>
    <row r="1203" spans="1:15" x14ac:dyDescent="0.2">
      <c r="A1203"/>
      <c r="B1203" s="642"/>
      <c r="C1203" s="642"/>
      <c r="F1203"/>
      <c r="G1203"/>
      <c r="H1203"/>
      <c r="I1203"/>
      <c r="L1203"/>
      <c r="M1203"/>
      <c r="N1203" s="642"/>
      <c r="O1203"/>
    </row>
    <row r="1204" spans="1:15" x14ac:dyDescent="0.2">
      <c r="A1204"/>
      <c r="B1204" s="642"/>
      <c r="C1204" s="642"/>
      <c r="F1204"/>
      <c r="G1204"/>
      <c r="H1204"/>
      <c r="I1204"/>
      <c r="L1204"/>
      <c r="M1204"/>
      <c r="N1204" s="642"/>
      <c r="O1204"/>
    </row>
    <row r="1205" spans="1:15" x14ac:dyDescent="0.2">
      <c r="A1205"/>
      <c r="B1205" s="642"/>
      <c r="C1205" s="642"/>
      <c r="F1205"/>
      <c r="G1205"/>
      <c r="H1205"/>
      <c r="I1205"/>
      <c r="L1205"/>
      <c r="M1205"/>
      <c r="N1205" s="642"/>
      <c r="O1205"/>
    </row>
    <row r="1206" spans="1:15" x14ac:dyDescent="0.2">
      <c r="A1206"/>
      <c r="B1206" s="642"/>
      <c r="C1206" s="642"/>
      <c r="F1206"/>
      <c r="G1206"/>
      <c r="H1206"/>
      <c r="I1206"/>
      <c r="L1206"/>
      <c r="M1206"/>
      <c r="N1206" s="642"/>
      <c r="O1206"/>
    </row>
    <row r="1207" spans="1:15" x14ac:dyDescent="0.2">
      <c r="A1207"/>
      <c r="B1207" s="642"/>
      <c r="C1207" s="642"/>
      <c r="F1207"/>
      <c r="G1207"/>
      <c r="J1207"/>
      <c r="K1207"/>
      <c r="L1207"/>
      <c r="M1207"/>
      <c r="N1207" s="642"/>
      <c r="O1207"/>
    </row>
    <row r="1208" spans="1:15" x14ac:dyDescent="0.2">
      <c r="A1208"/>
      <c r="B1208" s="642"/>
      <c r="C1208" s="642"/>
      <c r="F1208"/>
      <c r="G1208"/>
      <c r="H1208"/>
      <c r="I1208"/>
      <c r="L1208"/>
      <c r="M1208"/>
      <c r="N1208" s="642"/>
      <c r="O1208"/>
    </row>
    <row r="1209" spans="1:15" x14ac:dyDescent="0.2">
      <c r="A1209"/>
      <c r="B1209" s="642"/>
      <c r="C1209" s="642"/>
      <c r="F1209"/>
      <c r="G1209"/>
      <c r="I1209"/>
      <c r="L1209"/>
      <c r="M1209"/>
      <c r="N1209" s="642"/>
      <c r="O1209"/>
    </row>
    <row r="1210" spans="1:15" x14ac:dyDescent="0.2">
      <c r="A1210"/>
      <c r="B1210" s="642"/>
      <c r="C1210" s="642"/>
      <c r="F1210"/>
      <c r="G1210"/>
      <c r="H1210"/>
      <c r="I1210"/>
      <c r="L1210"/>
      <c r="M1210"/>
      <c r="N1210" s="642"/>
      <c r="O1210"/>
    </row>
    <row r="1211" spans="1:15" x14ac:dyDescent="0.2">
      <c r="A1211"/>
      <c r="B1211" s="642"/>
      <c r="C1211" s="642"/>
      <c r="F1211"/>
      <c r="G1211"/>
      <c r="H1211"/>
      <c r="I1211"/>
      <c r="L1211"/>
      <c r="M1211"/>
      <c r="N1211" s="642"/>
      <c r="O1211"/>
    </row>
    <row r="1212" spans="1:15" x14ac:dyDescent="0.2">
      <c r="A1212"/>
      <c r="B1212" s="642"/>
      <c r="C1212" s="642"/>
      <c r="F1212"/>
      <c r="G1212"/>
      <c r="H1212"/>
      <c r="I1212"/>
      <c r="L1212"/>
      <c r="M1212"/>
      <c r="N1212" s="642"/>
      <c r="O1212"/>
    </row>
    <row r="1213" spans="1:15" x14ac:dyDescent="0.2">
      <c r="A1213"/>
      <c r="B1213" s="642"/>
      <c r="C1213" s="642"/>
      <c r="F1213"/>
      <c r="G1213"/>
      <c r="J1213"/>
      <c r="K1213"/>
      <c r="L1213"/>
      <c r="M1213"/>
      <c r="N1213" s="642"/>
      <c r="O1213"/>
    </row>
    <row r="1214" spans="1:15" x14ac:dyDescent="0.2">
      <c r="A1214"/>
      <c r="B1214" s="642"/>
      <c r="C1214" s="642"/>
      <c r="F1214"/>
      <c r="G1214"/>
      <c r="H1214"/>
      <c r="I1214"/>
      <c r="L1214"/>
      <c r="N1214" s="642"/>
      <c r="O1214"/>
    </row>
    <row r="1215" spans="1:15" x14ac:dyDescent="0.2">
      <c r="A1215"/>
      <c r="B1215" s="642"/>
      <c r="C1215" s="642"/>
      <c r="F1215"/>
      <c r="G1215"/>
      <c r="J1215"/>
      <c r="K1215"/>
      <c r="L1215"/>
      <c r="M1215"/>
      <c r="N1215" s="642"/>
      <c r="O1215"/>
    </row>
    <row r="1216" spans="1:15" x14ac:dyDescent="0.2">
      <c r="A1216"/>
      <c r="B1216" s="642"/>
      <c r="C1216" s="642"/>
      <c r="F1216"/>
      <c r="G1216"/>
      <c r="H1216"/>
      <c r="I1216"/>
      <c r="L1216"/>
      <c r="M1216"/>
      <c r="N1216" s="642"/>
      <c r="O1216"/>
    </row>
    <row r="1217" spans="1:15" x14ac:dyDescent="0.2">
      <c r="A1217"/>
      <c r="B1217" s="642"/>
      <c r="C1217" s="642"/>
      <c r="F1217"/>
      <c r="G1217"/>
      <c r="I1217"/>
      <c r="L1217"/>
      <c r="M1217"/>
      <c r="N1217" s="642"/>
      <c r="O1217"/>
    </row>
    <row r="1218" spans="1:15" x14ac:dyDescent="0.2">
      <c r="A1218"/>
      <c r="B1218" s="642"/>
      <c r="C1218" s="642"/>
      <c r="F1218"/>
      <c r="G1218"/>
      <c r="J1218"/>
      <c r="K1218"/>
      <c r="L1218"/>
      <c r="M1218"/>
      <c r="N1218" s="642"/>
      <c r="O1218"/>
    </row>
    <row r="1219" spans="1:15" x14ac:dyDescent="0.2">
      <c r="A1219"/>
      <c r="B1219" s="642"/>
      <c r="C1219" s="642"/>
      <c r="F1219"/>
      <c r="G1219"/>
      <c r="L1219"/>
      <c r="M1219"/>
      <c r="N1219" s="642"/>
      <c r="O1219"/>
    </row>
    <row r="1220" spans="1:15" x14ac:dyDescent="0.2">
      <c r="A1220"/>
      <c r="B1220" s="642"/>
      <c r="C1220" s="642"/>
      <c r="F1220"/>
      <c r="G1220"/>
      <c r="H1220"/>
      <c r="I1220"/>
      <c r="L1220"/>
      <c r="M1220"/>
      <c r="N1220" s="642"/>
      <c r="O1220"/>
    </row>
    <row r="1221" spans="1:15" x14ac:dyDescent="0.2">
      <c r="A1221"/>
      <c r="B1221" s="642"/>
      <c r="C1221" s="642"/>
      <c r="F1221"/>
      <c r="G1221"/>
      <c r="I1221"/>
      <c r="L1221"/>
      <c r="M1221"/>
      <c r="N1221" s="642"/>
      <c r="O1221"/>
    </row>
    <row r="1222" spans="1:15" x14ac:dyDescent="0.2">
      <c r="A1222"/>
      <c r="B1222" s="642"/>
      <c r="C1222" s="642"/>
      <c r="F1222"/>
      <c r="G1222"/>
      <c r="I1222"/>
      <c r="L1222"/>
      <c r="M1222"/>
      <c r="N1222" s="642"/>
      <c r="O1222"/>
    </row>
    <row r="1223" spans="1:15" x14ac:dyDescent="0.2">
      <c r="A1223"/>
      <c r="B1223" s="642"/>
      <c r="C1223" s="642"/>
      <c r="F1223"/>
      <c r="G1223"/>
      <c r="H1223"/>
      <c r="L1223"/>
      <c r="M1223"/>
      <c r="N1223" s="642"/>
      <c r="O1223"/>
    </row>
    <row r="1224" spans="1:15" x14ac:dyDescent="0.2">
      <c r="A1224"/>
      <c r="B1224" s="642"/>
      <c r="C1224" s="642"/>
      <c r="F1224"/>
      <c r="G1224"/>
      <c r="H1224"/>
      <c r="I1224"/>
      <c r="L1224"/>
      <c r="M1224"/>
      <c r="N1224" s="642"/>
      <c r="O1224"/>
    </row>
    <row r="1225" spans="1:15" x14ac:dyDescent="0.2">
      <c r="A1225"/>
      <c r="B1225" s="642"/>
      <c r="C1225" s="642"/>
      <c r="F1225"/>
      <c r="G1225"/>
      <c r="I1225"/>
      <c r="L1225"/>
      <c r="M1225"/>
      <c r="N1225" s="642"/>
      <c r="O1225"/>
    </row>
    <row r="1226" spans="1:15" x14ac:dyDescent="0.2">
      <c r="A1226"/>
      <c r="B1226" s="642"/>
      <c r="C1226" s="642"/>
      <c r="F1226"/>
      <c r="G1226"/>
      <c r="H1226"/>
      <c r="J1226"/>
      <c r="K1226"/>
      <c r="L1226"/>
      <c r="M1226"/>
      <c r="N1226" s="642"/>
      <c r="O1226"/>
    </row>
    <row r="1227" spans="1:15" x14ac:dyDescent="0.2">
      <c r="A1227"/>
      <c r="B1227" s="642"/>
      <c r="C1227" s="642"/>
      <c r="F1227"/>
      <c r="G1227"/>
      <c r="H1227"/>
      <c r="I1227"/>
      <c r="L1227"/>
      <c r="M1227"/>
      <c r="N1227" s="642"/>
      <c r="O1227"/>
    </row>
    <row r="1228" spans="1:15" x14ac:dyDescent="0.2">
      <c r="A1228"/>
      <c r="B1228" s="642"/>
      <c r="C1228" s="642"/>
      <c r="F1228"/>
      <c r="G1228"/>
      <c r="H1228"/>
      <c r="I1228"/>
      <c r="L1228"/>
      <c r="M1228"/>
      <c r="N1228" s="642"/>
      <c r="O1228"/>
    </row>
    <row r="1229" spans="1:15" x14ac:dyDescent="0.2">
      <c r="A1229"/>
      <c r="B1229" s="642"/>
      <c r="C1229" s="642"/>
      <c r="F1229"/>
      <c r="G1229"/>
      <c r="L1229"/>
      <c r="M1229"/>
      <c r="N1229" s="642"/>
      <c r="O1229"/>
    </row>
    <row r="1230" spans="1:15" x14ac:dyDescent="0.2">
      <c r="A1230"/>
      <c r="B1230" s="642"/>
      <c r="C1230" s="642"/>
      <c r="F1230"/>
      <c r="G1230"/>
      <c r="H1230"/>
      <c r="I1230"/>
      <c r="L1230"/>
      <c r="M1230"/>
      <c r="N1230" s="642"/>
      <c r="O1230"/>
    </row>
    <row r="1231" spans="1:15" x14ac:dyDescent="0.2">
      <c r="A1231"/>
      <c r="B1231" s="642"/>
      <c r="C1231" s="642"/>
      <c r="F1231"/>
      <c r="G1231"/>
      <c r="H1231"/>
      <c r="I1231"/>
      <c r="L1231"/>
      <c r="M1231"/>
      <c r="N1231" s="642"/>
      <c r="O1231"/>
    </row>
    <row r="1232" spans="1:15" x14ac:dyDescent="0.2">
      <c r="A1232"/>
      <c r="B1232" s="642"/>
      <c r="C1232" s="642"/>
      <c r="F1232"/>
      <c r="G1232"/>
      <c r="H1232"/>
      <c r="I1232"/>
      <c r="L1232"/>
      <c r="M1232"/>
      <c r="N1232" s="642"/>
      <c r="O1232"/>
    </row>
    <row r="1233" spans="1:15" x14ac:dyDescent="0.2">
      <c r="A1233"/>
      <c r="B1233" s="642"/>
      <c r="C1233" s="642"/>
      <c r="F1233"/>
      <c r="G1233"/>
      <c r="I1233"/>
      <c r="L1233"/>
      <c r="M1233"/>
      <c r="N1233" s="642"/>
      <c r="O1233"/>
    </row>
    <row r="1234" spans="1:15" x14ac:dyDescent="0.2">
      <c r="A1234"/>
      <c r="B1234" s="642"/>
      <c r="C1234" s="642"/>
      <c r="F1234"/>
      <c r="G1234"/>
      <c r="H1234"/>
      <c r="I1234"/>
      <c r="L1234"/>
      <c r="M1234"/>
      <c r="N1234" s="642"/>
      <c r="O1234"/>
    </row>
    <row r="1235" spans="1:15" x14ac:dyDescent="0.2">
      <c r="A1235"/>
      <c r="B1235" s="642"/>
      <c r="C1235" s="642"/>
      <c r="F1235"/>
      <c r="G1235"/>
      <c r="I1235"/>
      <c r="L1235"/>
      <c r="M1235"/>
      <c r="N1235" s="642"/>
      <c r="O1235"/>
    </row>
    <row r="1236" spans="1:15" x14ac:dyDescent="0.2">
      <c r="A1236"/>
      <c r="B1236" s="642"/>
      <c r="C1236" s="642"/>
      <c r="F1236"/>
      <c r="G1236"/>
      <c r="H1236"/>
      <c r="L1236"/>
      <c r="M1236"/>
      <c r="N1236" s="642"/>
      <c r="O1236"/>
    </row>
    <row r="1237" spans="1:15" x14ac:dyDescent="0.2">
      <c r="A1237"/>
      <c r="B1237" s="642"/>
      <c r="C1237" s="642"/>
      <c r="F1237"/>
      <c r="G1237"/>
      <c r="I1237"/>
      <c r="L1237"/>
      <c r="M1237"/>
      <c r="N1237" s="642"/>
      <c r="O1237"/>
    </row>
    <row r="1238" spans="1:15" x14ac:dyDescent="0.2">
      <c r="A1238"/>
      <c r="B1238" s="642"/>
      <c r="C1238" s="642"/>
      <c r="F1238"/>
      <c r="G1238"/>
      <c r="H1238"/>
      <c r="I1238"/>
      <c r="L1238"/>
      <c r="M1238"/>
      <c r="N1238" s="642"/>
      <c r="O1238"/>
    </row>
    <row r="1239" spans="1:15" x14ac:dyDescent="0.2">
      <c r="A1239"/>
      <c r="B1239" s="642"/>
      <c r="C1239" s="642"/>
      <c r="F1239"/>
      <c r="G1239"/>
      <c r="H1239"/>
      <c r="I1239"/>
      <c r="L1239"/>
      <c r="M1239"/>
      <c r="N1239" s="642"/>
      <c r="O1239"/>
    </row>
    <row r="1240" spans="1:15" x14ac:dyDescent="0.2">
      <c r="A1240"/>
      <c r="B1240" s="642"/>
      <c r="C1240" s="642"/>
      <c r="F1240"/>
      <c r="G1240"/>
      <c r="H1240"/>
      <c r="L1240"/>
      <c r="M1240"/>
      <c r="N1240" s="642"/>
      <c r="O1240"/>
    </row>
    <row r="1241" spans="1:15" x14ac:dyDescent="0.2">
      <c r="A1241"/>
      <c r="B1241" s="642"/>
      <c r="C1241" s="642"/>
      <c r="F1241"/>
      <c r="G1241"/>
      <c r="H1241"/>
      <c r="M1241"/>
      <c r="N1241" s="642"/>
      <c r="O1241"/>
    </row>
    <row r="1242" spans="1:15" x14ac:dyDescent="0.2">
      <c r="A1242"/>
      <c r="B1242" s="642"/>
      <c r="C1242" s="642"/>
      <c r="F1242"/>
      <c r="G1242"/>
      <c r="H1242"/>
      <c r="J1242"/>
      <c r="K1242"/>
      <c r="L1242"/>
      <c r="M1242"/>
      <c r="N1242" s="642"/>
      <c r="O1242"/>
    </row>
    <row r="1243" spans="1:15" x14ac:dyDescent="0.2">
      <c r="A1243"/>
      <c r="B1243" s="642"/>
      <c r="C1243" s="642"/>
      <c r="F1243"/>
      <c r="G1243"/>
      <c r="H1243"/>
      <c r="I1243"/>
      <c r="L1243"/>
      <c r="M1243"/>
      <c r="N1243" s="642"/>
      <c r="O1243"/>
    </row>
    <row r="1244" spans="1:15" x14ac:dyDescent="0.2">
      <c r="A1244"/>
      <c r="B1244" s="642"/>
      <c r="C1244" s="642"/>
      <c r="F1244"/>
      <c r="G1244"/>
      <c r="H1244"/>
      <c r="I1244"/>
      <c r="L1244"/>
      <c r="M1244"/>
      <c r="N1244" s="642"/>
      <c r="O1244"/>
    </row>
    <row r="1245" spans="1:15" x14ac:dyDescent="0.2">
      <c r="A1245"/>
      <c r="B1245" s="642"/>
      <c r="C1245" s="642"/>
      <c r="F1245"/>
      <c r="G1245"/>
      <c r="L1245"/>
      <c r="M1245"/>
      <c r="N1245" s="642"/>
      <c r="O1245"/>
    </row>
    <row r="1246" spans="1:15" x14ac:dyDescent="0.2">
      <c r="A1246"/>
      <c r="B1246" s="642"/>
      <c r="C1246" s="642"/>
      <c r="F1246"/>
      <c r="G1246"/>
      <c r="H1246"/>
      <c r="I1246"/>
      <c r="J1246"/>
      <c r="K1246"/>
      <c r="L1246"/>
      <c r="M1246"/>
      <c r="N1246" s="642"/>
      <c r="O1246"/>
    </row>
    <row r="1247" spans="1:15" x14ac:dyDescent="0.2">
      <c r="A1247"/>
      <c r="B1247" s="642"/>
      <c r="C1247" s="642"/>
      <c r="F1247"/>
      <c r="G1247"/>
      <c r="H1247"/>
      <c r="I1247"/>
      <c r="L1247"/>
      <c r="M1247"/>
      <c r="N1247" s="642"/>
      <c r="O1247"/>
    </row>
    <row r="1248" spans="1:15" x14ac:dyDescent="0.2">
      <c r="A1248"/>
      <c r="B1248" s="642"/>
      <c r="C1248" s="642"/>
      <c r="F1248"/>
      <c r="G1248"/>
      <c r="H1248"/>
      <c r="J1248"/>
      <c r="K1248"/>
      <c r="L1248"/>
      <c r="M1248"/>
      <c r="N1248" s="642"/>
      <c r="O1248"/>
    </row>
    <row r="1249" spans="1:15" x14ac:dyDescent="0.2">
      <c r="A1249"/>
      <c r="B1249" s="642"/>
      <c r="C1249" s="642"/>
      <c r="F1249"/>
      <c r="G1249"/>
      <c r="H1249"/>
      <c r="J1249"/>
      <c r="K1249"/>
      <c r="L1249"/>
      <c r="M1249"/>
      <c r="N1249" s="642"/>
      <c r="O1249"/>
    </row>
    <row r="1250" spans="1:15" x14ac:dyDescent="0.2">
      <c r="A1250"/>
      <c r="B1250" s="642"/>
      <c r="C1250" s="642"/>
      <c r="F1250"/>
      <c r="G1250"/>
      <c r="H1250"/>
      <c r="J1250"/>
      <c r="K1250"/>
      <c r="L1250"/>
      <c r="M1250"/>
      <c r="N1250" s="642"/>
      <c r="O1250"/>
    </row>
    <row r="1251" spans="1:15" x14ac:dyDescent="0.2">
      <c r="A1251"/>
      <c r="B1251" s="642"/>
      <c r="C1251" s="642"/>
      <c r="F1251"/>
      <c r="G1251"/>
      <c r="H1251"/>
      <c r="J1251"/>
      <c r="K1251"/>
      <c r="L1251"/>
      <c r="M1251"/>
      <c r="N1251" s="642"/>
      <c r="O1251"/>
    </row>
    <row r="1252" spans="1:15" x14ac:dyDescent="0.2">
      <c r="A1252"/>
      <c r="B1252" s="642"/>
      <c r="C1252" s="642"/>
      <c r="F1252"/>
      <c r="G1252"/>
      <c r="H1252"/>
      <c r="J1252"/>
      <c r="K1252"/>
      <c r="L1252"/>
      <c r="M1252"/>
      <c r="N1252" s="642"/>
      <c r="O1252"/>
    </row>
    <row r="1253" spans="1:15" x14ac:dyDescent="0.2">
      <c r="A1253"/>
      <c r="B1253" s="642"/>
      <c r="C1253" s="642"/>
      <c r="F1253"/>
      <c r="G1253"/>
      <c r="J1253"/>
      <c r="K1253"/>
      <c r="L1253"/>
      <c r="M1253"/>
      <c r="N1253" s="642"/>
      <c r="O1253"/>
    </row>
    <row r="1254" spans="1:15" x14ac:dyDescent="0.2">
      <c r="A1254"/>
      <c r="B1254" s="642"/>
      <c r="C1254" s="642"/>
      <c r="F1254"/>
      <c r="G1254"/>
      <c r="H1254"/>
      <c r="J1254"/>
      <c r="K1254"/>
      <c r="L1254"/>
      <c r="M1254"/>
      <c r="N1254" s="642"/>
      <c r="O1254"/>
    </row>
    <row r="1255" spans="1:15" x14ac:dyDescent="0.2">
      <c r="A1255"/>
      <c r="B1255" s="642"/>
      <c r="C1255" s="642"/>
      <c r="F1255"/>
      <c r="G1255"/>
      <c r="H1255"/>
      <c r="I1255"/>
      <c r="J1255"/>
      <c r="K1255"/>
      <c r="L1255"/>
      <c r="M1255"/>
      <c r="N1255" s="642"/>
      <c r="O1255"/>
    </row>
    <row r="1256" spans="1:15" x14ac:dyDescent="0.2">
      <c r="A1256"/>
      <c r="B1256" s="642"/>
      <c r="C1256" s="642"/>
      <c r="F1256"/>
      <c r="G1256"/>
      <c r="H1256"/>
      <c r="J1256"/>
      <c r="K1256"/>
      <c r="L1256"/>
      <c r="M1256"/>
      <c r="N1256" s="642"/>
      <c r="O1256"/>
    </row>
    <row r="1257" spans="1:15" x14ac:dyDescent="0.2">
      <c r="A1257"/>
      <c r="B1257" s="642"/>
      <c r="C1257" s="642"/>
      <c r="F1257"/>
      <c r="G1257"/>
      <c r="J1257"/>
      <c r="K1257"/>
      <c r="L1257"/>
      <c r="M1257"/>
      <c r="N1257" s="642"/>
      <c r="O1257"/>
    </row>
    <row r="1258" spans="1:15" x14ac:dyDescent="0.2">
      <c r="A1258"/>
      <c r="B1258" s="642"/>
      <c r="C1258" s="642"/>
      <c r="F1258"/>
      <c r="G1258"/>
      <c r="H1258"/>
      <c r="J1258"/>
      <c r="K1258"/>
      <c r="L1258"/>
      <c r="M1258"/>
      <c r="N1258" s="642"/>
      <c r="O1258"/>
    </row>
    <row r="1259" spans="1:15" x14ac:dyDescent="0.2">
      <c r="A1259"/>
      <c r="B1259" s="642"/>
      <c r="C1259" s="642"/>
      <c r="F1259"/>
      <c r="G1259"/>
      <c r="H1259"/>
      <c r="J1259"/>
      <c r="K1259"/>
      <c r="L1259"/>
      <c r="M1259"/>
      <c r="N1259" s="642"/>
      <c r="O1259"/>
    </row>
    <row r="1260" spans="1:15" x14ac:dyDescent="0.2">
      <c r="A1260"/>
      <c r="B1260" s="642"/>
      <c r="C1260" s="642"/>
      <c r="F1260"/>
      <c r="G1260"/>
      <c r="H1260"/>
      <c r="I1260"/>
      <c r="L1260"/>
      <c r="M1260"/>
      <c r="N1260" s="642"/>
      <c r="O1260"/>
    </row>
    <row r="1261" spans="1:15" x14ac:dyDescent="0.2">
      <c r="A1261"/>
      <c r="B1261" s="642"/>
      <c r="C1261" s="642"/>
      <c r="F1261"/>
      <c r="G1261"/>
      <c r="H1261"/>
      <c r="J1261"/>
      <c r="K1261"/>
      <c r="L1261"/>
      <c r="M1261"/>
      <c r="N1261" s="642"/>
      <c r="O1261"/>
    </row>
    <row r="1262" spans="1:15" x14ac:dyDescent="0.2">
      <c r="A1262"/>
      <c r="B1262" s="642"/>
      <c r="C1262" s="642"/>
      <c r="F1262"/>
      <c r="G1262"/>
      <c r="H1262"/>
      <c r="J1262"/>
      <c r="K1262"/>
      <c r="L1262"/>
      <c r="M1262"/>
      <c r="N1262" s="642"/>
      <c r="O1262"/>
    </row>
    <row r="1263" spans="1:15" x14ac:dyDescent="0.2">
      <c r="A1263"/>
      <c r="B1263" s="642"/>
      <c r="C1263" s="642"/>
      <c r="F1263"/>
      <c r="G1263"/>
      <c r="H1263"/>
      <c r="J1263"/>
      <c r="K1263"/>
      <c r="L1263"/>
      <c r="M1263"/>
      <c r="N1263" s="642"/>
      <c r="O1263"/>
    </row>
    <row r="1264" spans="1:15" x14ac:dyDescent="0.2">
      <c r="A1264"/>
      <c r="B1264" s="642"/>
      <c r="C1264" s="642"/>
      <c r="F1264"/>
      <c r="G1264"/>
      <c r="H1264"/>
      <c r="I1264"/>
      <c r="L1264"/>
      <c r="M1264"/>
      <c r="N1264" s="642"/>
      <c r="O1264"/>
    </row>
    <row r="1265" spans="1:15" x14ac:dyDescent="0.2">
      <c r="A1265"/>
      <c r="B1265" s="642"/>
      <c r="C1265" s="642"/>
      <c r="F1265"/>
      <c r="G1265"/>
      <c r="H1265"/>
      <c r="I1265"/>
      <c r="L1265"/>
      <c r="M1265"/>
      <c r="N1265" s="642"/>
      <c r="O1265"/>
    </row>
    <row r="1266" spans="1:15" x14ac:dyDescent="0.2">
      <c r="A1266"/>
      <c r="B1266" s="642"/>
      <c r="C1266" s="642"/>
      <c r="F1266"/>
      <c r="G1266"/>
      <c r="L1266"/>
      <c r="M1266"/>
      <c r="N1266" s="642"/>
      <c r="O1266"/>
    </row>
    <row r="1267" spans="1:15" x14ac:dyDescent="0.2">
      <c r="A1267"/>
      <c r="B1267" s="642"/>
      <c r="C1267" s="642"/>
      <c r="F1267"/>
      <c r="G1267"/>
      <c r="H1267"/>
      <c r="I1267"/>
      <c r="L1267"/>
      <c r="M1267"/>
      <c r="N1267" s="642"/>
      <c r="O1267"/>
    </row>
    <row r="1268" spans="1:15" x14ac:dyDescent="0.2">
      <c r="A1268"/>
      <c r="B1268" s="642"/>
      <c r="C1268" s="642"/>
      <c r="F1268"/>
      <c r="G1268"/>
      <c r="L1268"/>
      <c r="M1268"/>
      <c r="N1268" s="642"/>
      <c r="O1268"/>
    </row>
    <row r="1269" spans="1:15" x14ac:dyDescent="0.2">
      <c r="A1269"/>
      <c r="B1269" s="642"/>
      <c r="C1269" s="642"/>
      <c r="F1269"/>
      <c r="G1269"/>
      <c r="H1269"/>
      <c r="I1269"/>
      <c r="L1269"/>
      <c r="M1269"/>
      <c r="N1269" s="642"/>
      <c r="O1269"/>
    </row>
    <row r="1270" spans="1:15" x14ac:dyDescent="0.2">
      <c r="A1270"/>
      <c r="B1270" s="642"/>
      <c r="C1270" s="642"/>
      <c r="F1270"/>
      <c r="G1270"/>
      <c r="L1270"/>
      <c r="M1270"/>
      <c r="N1270" s="642"/>
      <c r="O1270"/>
    </row>
    <row r="1271" spans="1:15" x14ac:dyDescent="0.2">
      <c r="A1271"/>
      <c r="B1271" s="642"/>
      <c r="C1271" s="642"/>
      <c r="F1271"/>
      <c r="G1271"/>
      <c r="I1271"/>
      <c r="L1271"/>
      <c r="M1271"/>
      <c r="N1271" s="642"/>
      <c r="O1271"/>
    </row>
    <row r="1272" spans="1:15" x14ac:dyDescent="0.2">
      <c r="A1272"/>
      <c r="B1272" s="642"/>
      <c r="C1272" s="642"/>
      <c r="F1272"/>
      <c r="G1272"/>
      <c r="J1272"/>
      <c r="K1272"/>
      <c r="L1272"/>
      <c r="M1272"/>
      <c r="N1272" s="642"/>
      <c r="O1272"/>
    </row>
    <row r="1273" spans="1:15" x14ac:dyDescent="0.2">
      <c r="A1273"/>
      <c r="B1273" s="642"/>
      <c r="C1273" s="642"/>
      <c r="F1273"/>
      <c r="G1273"/>
      <c r="H1273"/>
      <c r="I1273"/>
      <c r="L1273"/>
      <c r="M1273"/>
      <c r="N1273" s="642"/>
      <c r="O1273"/>
    </row>
    <row r="1274" spans="1:15" x14ac:dyDescent="0.2">
      <c r="A1274"/>
      <c r="B1274" s="642"/>
      <c r="C1274" s="642"/>
      <c r="F1274"/>
      <c r="G1274"/>
      <c r="L1274"/>
      <c r="M1274"/>
      <c r="N1274" s="642"/>
      <c r="O1274"/>
    </row>
    <row r="1275" spans="1:15" x14ac:dyDescent="0.2">
      <c r="A1275"/>
      <c r="B1275" s="642"/>
      <c r="C1275" s="642"/>
      <c r="F1275"/>
      <c r="G1275"/>
      <c r="I1275"/>
      <c r="L1275"/>
      <c r="M1275"/>
      <c r="N1275" s="642"/>
      <c r="O1275"/>
    </row>
    <row r="1276" spans="1:15" x14ac:dyDescent="0.2">
      <c r="A1276"/>
      <c r="B1276" s="642"/>
      <c r="C1276" s="642"/>
      <c r="F1276"/>
      <c r="G1276"/>
      <c r="H1276"/>
      <c r="I1276"/>
      <c r="L1276"/>
      <c r="M1276"/>
      <c r="N1276" s="642"/>
      <c r="O1276"/>
    </row>
    <row r="1277" spans="1:15" x14ac:dyDescent="0.2">
      <c r="A1277"/>
      <c r="B1277" s="642"/>
      <c r="C1277" s="642"/>
      <c r="F1277"/>
      <c r="G1277"/>
      <c r="H1277"/>
      <c r="I1277"/>
      <c r="L1277"/>
      <c r="M1277"/>
      <c r="N1277" s="642"/>
      <c r="O1277"/>
    </row>
    <row r="1278" spans="1:15" x14ac:dyDescent="0.2">
      <c r="A1278"/>
      <c r="B1278" s="642"/>
      <c r="C1278" s="642"/>
      <c r="F1278"/>
      <c r="G1278"/>
      <c r="H1278"/>
      <c r="I1278"/>
      <c r="L1278"/>
      <c r="M1278"/>
      <c r="N1278" s="642"/>
      <c r="O1278"/>
    </row>
    <row r="1279" spans="1:15" x14ac:dyDescent="0.2">
      <c r="A1279"/>
      <c r="B1279" s="642"/>
      <c r="C1279" s="642"/>
      <c r="F1279"/>
      <c r="G1279"/>
      <c r="I1279"/>
      <c r="L1279"/>
      <c r="M1279"/>
      <c r="N1279" s="642"/>
      <c r="O1279"/>
    </row>
    <row r="1280" spans="1:15" x14ac:dyDescent="0.2">
      <c r="A1280"/>
      <c r="B1280" s="642"/>
      <c r="C1280" s="642"/>
      <c r="F1280"/>
      <c r="G1280"/>
      <c r="I1280"/>
      <c r="L1280"/>
      <c r="M1280"/>
      <c r="N1280" s="642"/>
      <c r="O1280"/>
    </row>
    <row r="1281" spans="1:15" x14ac:dyDescent="0.2">
      <c r="A1281"/>
      <c r="B1281" s="642"/>
      <c r="C1281" s="642"/>
      <c r="F1281"/>
      <c r="G1281"/>
      <c r="H1281"/>
      <c r="I1281"/>
      <c r="L1281"/>
      <c r="M1281"/>
      <c r="N1281" s="642"/>
      <c r="O1281"/>
    </row>
    <row r="1282" spans="1:15" x14ac:dyDescent="0.2">
      <c r="A1282"/>
      <c r="B1282" s="642"/>
      <c r="C1282" s="642"/>
      <c r="F1282"/>
      <c r="G1282"/>
      <c r="L1282"/>
      <c r="M1282"/>
      <c r="N1282" s="642"/>
      <c r="O1282"/>
    </row>
    <row r="1283" spans="1:15" x14ac:dyDescent="0.2">
      <c r="A1283"/>
      <c r="B1283" s="642"/>
      <c r="C1283" s="642"/>
      <c r="F1283"/>
      <c r="G1283"/>
      <c r="H1283"/>
      <c r="I1283"/>
      <c r="L1283"/>
      <c r="M1283"/>
      <c r="N1283" s="642"/>
      <c r="O1283"/>
    </row>
    <row r="1284" spans="1:15" x14ac:dyDescent="0.2">
      <c r="A1284"/>
      <c r="B1284" s="642"/>
      <c r="C1284" s="642"/>
      <c r="F1284"/>
      <c r="G1284"/>
      <c r="I1284"/>
      <c r="L1284"/>
      <c r="M1284"/>
      <c r="N1284" s="642"/>
      <c r="O1284"/>
    </row>
    <row r="1285" spans="1:15" x14ac:dyDescent="0.2">
      <c r="A1285"/>
      <c r="B1285" s="642"/>
      <c r="C1285" s="642"/>
      <c r="F1285"/>
      <c r="G1285"/>
      <c r="H1285"/>
      <c r="I1285"/>
      <c r="L1285"/>
      <c r="M1285"/>
      <c r="N1285" s="642"/>
      <c r="O1285"/>
    </row>
    <row r="1286" spans="1:15" x14ac:dyDescent="0.2">
      <c r="A1286"/>
      <c r="B1286" s="642"/>
      <c r="C1286" s="642"/>
      <c r="F1286"/>
      <c r="G1286"/>
      <c r="I1286"/>
      <c r="L1286"/>
      <c r="M1286"/>
      <c r="N1286" s="642"/>
      <c r="O1286"/>
    </row>
    <row r="1287" spans="1:15" x14ac:dyDescent="0.2">
      <c r="A1287"/>
      <c r="B1287" s="642"/>
      <c r="C1287" s="642"/>
      <c r="F1287"/>
      <c r="G1287"/>
      <c r="H1287"/>
      <c r="I1287"/>
      <c r="L1287"/>
      <c r="M1287"/>
      <c r="N1287" s="642"/>
      <c r="O1287"/>
    </row>
    <row r="1288" spans="1:15" x14ac:dyDescent="0.2">
      <c r="A1288"/>
      <c r="B1288" s="642"/>
      <c r="C1288" s="642"/>
      <c r="F1288"/>
      <c r="G1288"/>
      <c r="H1288"/>
      <c r="I1288"/>
      <c r="L1288"/>
      <c r="M1288"/>
      <c r="N1288" s="642"/>
      <c r="O1288"/>
    </row>
    <row r="1289" spans="1:15" x14ac:dyDescent="0.2">
      <c r="A1289"/>
      <c r="B1289" s="642"/>
      <c r="C1289" s="642"/>
      <c r="F1289"/>
      <c r="G1289"/>
      <c r="H1289"/>
      <c r="J1289"/>
      <c r="K1289"/>
      <c r="L1289"/>
      <c r="M1289"/>
      <c r="N1289" s="642"/>
      <c r="O1289"/>
    </row>
    <row r="1290" spans="1:15" x14ac:dyDescent="0.2">
      <c r="A1290"/>
      <c r="B1290" s="642"/>
      <c r="C1290" s="642"/>
      <c r="F1290"/>
      <c r="G1290"/>
      <c r="H1290"/>
      <c r="J1290"/>
      <c r="K1290"/>
      <c r="L1290"/>
      <c r="M1290"/>
      <c r="N1290" s="642"/>
      <c r="O1290"/>
    </row>
    <row r="1291" spans="1:15" x14ac:dyDescent="0.2">
      <c r="A1291"/>
      <c r="B1291" s="642"/>
      <c r="C1291" s="642"/>
      <c r="F1291"/>
      <c r="G1291"/>
      <c r="L1291"/>
      <c r="M1291"/>
      <c r="N1291" s="642"/>
      <c r="O1291"/>
    </row>
    <row r="1292" spans="1:15" x14ac:dyDescent="0.2">
      <c r="A1292"/>
      <c r="B1292" s="642"/>
      <c r="C1292" s="642"/>
      <c r="F1292"/>
      <c r="G1292"/>
      <c r="H1292"/>
      <c r="I1292"/>
      <c r="L1292"/>
      <c r="M1292"/>
      <c r="N1292" s="642"/>
      <c r="O1292"/>
    </row>
    <row r="1293" spans="1:15" x14ac:dyDescent="0.2">
      <c r="A1293"/>
      <c r="B1293" s="642"/>
      <c r="C1293" s="642"/>
      <c r="F1293"/>
      <c r="G1293"/>
      <c r="H1293"/>
      <c r="I1293"/>
      <c r="L1293"/>
      <c r="M1293"/>
      <c r="N1293" s="642"/>
      <c r="O1293"/>
    </row>
    <row r="1294" spans="1:15" x14ac:dyDescent="0.2">
      <c r="A1294"/>
      <c r="B1294" s="642"/>
      <c r="C1294" s="642"/>
      <c r="F1294"/>
      <c r="G1294"/>
      <c r="H1294"/>
      <c r="J1294"/>
      <c r="K1294"/>
      <c r="L1294"/>
      <c r="M1294"/>
      <c r="N1294" s="642"/>
      <c r="O1294"/>
    </row>
    <row r="1295" spans="1:15" x14ac:dyDescent="0.2">
      <c r="A1295"/>
      <c r="B1295" s="642"/>
      <c r="C1295" s="642"/>
      <c r="F1295"/>
      <c r="G1295"/>
      <c r="H1295"/>
      <c r="I1295"/>
      <c r="L1295"/>
      <c r="M1295"/>
      <c r="N1295" s="642"/>
      <c r="O1295"/>
    </row>
    <row r="1296" spans="1:15" x14ac:dyDescent="0.2">
      <c r="A1296"/>
      <c r="B1296" s="642"/>
      <c r="C1296" s="642"/>
      <c r="F1296"/>
      <c r="G1296"/>
      <c r="H1296"/>
      <c r="I1296"/>
      <c r="L1296"/>
      <c r="M1296"/>
      <c r="N1296" s="642"/>
      <c r="O1296"/>
    </row>
    <row r="1297" spans="1:15" x14ac:dyDescent="0.2">
      <c r="A1297"/>
      <c r="B1297" s="642"/>
      <c r="C1297" s="642"/>
      <c r="F1297"/>
      <c r="G1297"/>
      <c r="J1297"/>
      <c r="K1297"/>
      <c r="L1297"/>
      <c r="M1297"/>
      <c r="N1297" s="642"/>
      <c r="O1297"/>
    </row>
    <row r="1298" spans="1:15" x14ac:dyDescent="0.2">
      <c r="A1298"/>
      <c r="B1298" s="642"/>
      <c r="C1298" s="642"/>
      <c r="F1298"/>
      <c r="G1298"/>
      <c r="L1298"/>
      <c r="M1298"/>
      <c r="N1298" s="642"/>
      <c r="O1298"/>
    </row>
    <row r="1299" spans="1:15" x14ac:dyDescent="0.2">
      <c r="A1299"/>
      <c r="B1299" s="642"/>
      <c r="C1299" s="642"/>
      <c r="F1299"/>
      <c r="G1299"/>
      <c r="H1299"/>
      <c r="I1299"/>
      <c r="L1299"/>
      <c r="M1299"/>
      <c r="N1299" s="642"/>
      <c r="O1299"/>
    </row>
    <row r="1300" spans="1:15" x14ac:dyDescent="0.2">
      <c r="A1300"/>
      <c r="B1300" s="642"/>
      <c r="C1300" s="642"/>
      <c r="F1300"/>
      <c r="G1300"/>
      <c r="H1300"/>
      <c r="I1300"/>
      <c r="L1300"/>
      <c r="M1300"/>
      <c r="N1300" s="642"/>
      <c r="O1300"/>
    </row>
    <row r="1301" spans="1:15" x14ac:dyDescent="0.2">
      <c r="A1301"/>
      <c r="B1301" s="642"/>
      <c r="C1301" s="642"/>
      <c r="F1301"/>
      <c r="G1301"/>
      <c r="I1301"/>
      <c r="L1301"/>
      <c r="M1301"/>
      <c r="N1301" s="642"/>
      <c r="O1301"/>
    </row>
    <row r="1302" spans="1:15" x14ac:dyDescent="0.2">
      <c r="A1302"/>
      <c r="B1302" s="642"/>
      <c r="C1302" s="642"/>
      <c r="F1302"/>
      <c r="G1302"/>
      <c r="H1302"/>
      <c r="I1302"/>
      <c r="L1302"/>
      <c r="M1302"/>
      <c r="N1302" s="642"/>
      <c r="O1302"/>
    </row>
    <row r="1303" spans="1:15" x14ac:dyDescent="0.2">
      <c r="A1303"/>
      <c r="B1303" s="642"/>
      <c r="C1303" s="642"/>
      <c r="F1303"/>
      <c r="G1303"/>
      <c r="H1303"/>
      <c r="J1303"/>
      <c r="K1303"/>
      <c r="L1303"/>
      <c r="M1303"/>
      <c r="N1303" s="642"/>
      <c r="O1303"/>
    </row>
    <row r="1304" spans="1:15" x14ac:dyDescent="0.2">
      <c r="A1304"/>
      <c r="B1304" s="642"/>
      <c r="C1304" s="642"/>
      <c r="F1304"/>
      <c r="G1304"/>
      <c r="H1304"/>
      <c r="I1304"/>
      <c r="L1304"/>
      <c r="M1304"/>
      <c r="N1304" s="642"/>
      <c r="O1304"/>
    </row>
    <row r="1305" spans="1:15" x14ac:dyDescent="0.2">
      <c r="A1305"/>
      <c r="B1305" s="642"/>
      <c r="C1305" s="642"/>
      <c r="F1305"/>
      <c r="G1305"/>
      <c r="I1305"/>
      <c r="L1305"/>
      <c r="M1305"/>
      <c r="N1305" s="642"/>
      <c r="O1305"/>
    </row>
    <row r="1306" spans="1:15" x14ac:dyDescent="0.2">
      <c r="A1306"/>
      <c r="B1306" s="642"/>
      <c r="C1306" s="642"/>
      <c r="F1306"/>
      <c r="G1306"/>
      <c r="H1306"/>
      <c r="I1306"/>
      <c r="L1306"/>
      <c r="M1306"/>
      <c r="N1306" s="642"/>
      <c r="O1306"/>
    </row>
    <row r="1307" spans="1:15" x14ac:dyDescent="0.2">
      <c r="A1307"/>
      <c r="B1307" s="642"/>
      <c r="C1307" s="642"/>
      <c r="F1307"/>
      <c r="G1307"/>
      <c r="I1307"/>
      <c r="L1307"/>
      <c r="M1307"/>
      <c r="N1307" s="642"/>
      <c r="O1307"/>
    </row>
    <row r="1308" spans="1:15" x14ac:dyDescent="0.2">
      <c r="A1308"/>
      <c r="B1308" s="642"/>
      <c r="C1308" s="642"/>
      <c r="F1308"/>
      <c r="G1308"/>
      <c r="I1308"/>
      <c r="L1308"/>
      <c r="M1308"/>
      <c r="N1308" s="642"/>
      <c r="O1308"/>
    </row>
    <row r="1309" spans="1:15" x14ac:dyDescent="0.2">
      <c r="A1309"/>
      <c r="B1309" s="642"/>
      <c r="C1309" s="642"/>
      <c r="F1309"/>
      <c r="G1309"/>
      <c r="H1309"/>
      <c r="I1309"/>
      <c r="L1309"/>
      <c r="M1309"/>
      <c r="N1309" s="642"/>
      <c r="O1309"/>
    </row>
    <row r="1310" spans="1:15" x14ac:dyDescent="0.2">
      <c r="A1310"/>
      <c r="B1310" s="642"/>
      <c r="C1310" s="642"/>
      <c r="F1310"/>
      <c r="G1310"/>
      <c r="H1310"/>
      <c r="I1310"/>
      <c r="L1310"/>
      <c r="M1310"/>
      <c r="N1310" s="642"/>
      <c r="O1310"/>
    </row>
    <row r="1311" spans="1:15" x14ac:dyDescent="0.2">
      <c r="A1311"/>
      <c r="B1311" s="642"/>
      <c r="C1311" s="642"/>
      <c r="F1311"/>
      <c r="G1311"/>
      <c r="H1311"/>
      <c r="I1311"/>
      <c r="L1311"/>
      <c r="M1311"/>
      <c r="N1311" s="642"/>
      <c r="O1311"/>
    </row>
    <row r="1312" spans="1:15" x14ac:dyDescent="0.2">
      <c r="A1312"/>
      <c r="B1312" s="642"/>
      <c r="C1312" s="642"/>
      <c r="F1312"/>
      <c r="G1312"/>
      <c r="H1312"/>
      <c r="I1312"/>
      <c r="L1312"/>
      <c r="M1312"/>
      <c r="N1312" s="642"/>
      <c r="O1312"/>
    </row>
    <row r="1313" spans="1:15" x14ac:dyDescent="0.2">
      <c r="A1313"/>
      <c r="B1313" s="642"/>
      <c r="C1313" s="642"/>
      <c r="F1313"/>
      <c r="G1313"/>
      <c r="H1313"/>
      <c r="I1313"/>
      <c r="L1313"/>
      <c r="N1313" s="642"/>
      <c r="O1313"/>
    </row>
    <row r="1314" spans="1:15" x14ac:dyDescent="0.2">
      <c r="A1314"/>
      <c r="B1314" s="642"/>
      <c r="C1314" s="642"/>
      <c r="F1314"/>
      <c r="G1314"/>
      <c r="I1314"/>
      <c r="L1314"/>
      <c r="M1314"/>
      <c r="N1314" s="642"/>
      <c r="O1314"/>
    </row>
    <row r="1315" spans="1:15" x14ac:dyDescent="0.2">
      <c r="A1315"/>
      <c r="B1315" s="642"/>
      <c r="C1315" s="642"/>
      <c r="F1315"/>
      <c r="G1315"/>
      <c r="I1315"/>
      <c r="L1315"/>
      <c r="M1315"/>
      <c r="N1315" s="642"/>
      <c r="O1315"/>
    </row>
    <row r="1316" spans="1:15" x14ac:dyDescent="0.2">
      <c r="A1316"/>
      <c r="B1316" s="642"/>
      <c r="C1316" s="642"/>
      <c r="F1316"/>
      <c r="G1316"/>
      <c r="I1316"/>
      <c r="L1316"/>
      <c r="M1316"/>
      <c r="N1316" s="642"/>
      <c r="O1316"/>
    </row>
    <row r="1317" spans="1:15" x14ac:dyDescent="0.2">
      <c r="A1317"/>
      <c r="B1317" s="642"/>
      <c r="C1317" s="642"/>
      <c r="F1317"/>
      <c r="G1317"/>
      <c r="H1317"/>
      <c r="I1317"/>
      <c r="L1317"/>
      <c r="M1317"/>
      <c r="N1317" s="642"/>
      <c r="O1317"/>
    </row>
    <row r="1318" spans="1:15" x14ac:dyDescent="0.2">
      <c r="A1318"/>
      <c r="B1318" s="642"/>
      <c r="C1318" s="642"/>
      <c r="F1318"/>
      <c r="G1318"/>
      <c r="H1318"/>
      <c r="I1318"/>
      <c r="L1318"/>
      <c r="M1318"/>
      <c r="N1318" s="642"/>
      <c r="O1318"/>
    </row>
    <row r="1319" spans="1:15" x14ac:dyDescent="0.2">
      <c r="A1319"/>
      <c r="B1319" s="642"/>
      <c r="C1319" s="642"/>
      <c r="F1319"/>
      <c r="G1319"/>
      <c r="H1319"/>
      <c r="I1319"/>
      <c r="L1319"/>
      <c r="M1319"/>
      <c r="N1319" s="642"/>
      <c r="O1319"/>
    </row>
    <row r="1320" spans="1:15" x14ac:dyDescent="0.2">
      <c r="A1320"/>
      <c r="B1320" s="642"/>
      <c r="C1320" s="642"/>
      <c r="F1320"/>
      <c r="G1320"/>
      <c r="H1320"/>
      <c r="I1320"/>
      <c r="L1320"/>
      <c r="M1320"/>
      <c r="N1320" s="642"/>
      <c r="O1320"/>
    </row>
    <row r="1321" spans="1:15" x14ac:dyDescent="0.2">
      <c r="A1321"/>
      <c r="B1321" s="642"/>
      <c r="C1321" s="642"/>
      <c r="F1321"/>
      <c r="G1321"/>
      <c r="I1321"/>
      <c r="L1321"/>
      <c r="M1321"/>
      <c r="N1321" s="642"/>
      <c r="O1321"/>
    </row>
    <row r="1322" spans="1:15" x14ac:dyDescent="0.2">
      <c r="A1322"/>
      <c r="B1322" s="642"/>
      <c r="C1322" s="642"/>
      <c r="F1322"/>
      <c r="G1322"/>
      <c r="I1322"/>
      <c r="L1322"/>
      <c r="M1322"/>
      <c r="N1322" s="642"/>
      <c r="O1322"/>
    </row>
    <row r="1323" spans="1:15" x14ac:dyDescent="0.2">
      <c r="A1323"/>
      <c r="B1323" s="642"/>
      <c r="C1323" s="642"/>
      <c r="F1323"/>
      <c r="G1323"/>
      <c r="I1323"/>
      <c r="L1323"/>
      <c r="M1323"/>
      <c r="N1323" s="642"/>
      <c r="O1323"/>
    </row>
    <row r="1324" spans="1:15" x14ac:dyDescent="0.2">
      <c r="A1324"/>
      <c r="B1324" s="642"/>
      <c r="C1324" s="642"/>
      <c r="F1324"/>
      <c r="G1324"/>
      <c r="M1324"/>
      <c r="N1324" s="642"/>
      <c r="O1324"/>
    </row>
    <row r="1325" spans="1:15" x14ac:dyDescent="0.2">
      <c r="A1325"/>
      <c r="B1325" s="642"/>
      <c r="C1325" s="642"/>
      <c r="F1325"/>
      <c r="G1325"/>
      <c r="H1325"/>
      <c r="I1325"/>
      <c r="L1325"/>
      <c r="M1325"/>
      <c r="N1325" s="642"/>
      <c r="O1325"/>
    </row>
    <row r="1326" spans="1:15" x14ac:dyDescent="0.2">
      <c r="A1326"/>
      <c r="B1326" s="642"/>
      <c r="C1326" s="642"/>
      <c r="F1326"/>
      <c r="G1326"/>
      <c r="H1326"/>
      <c r="I1326"/>
      <c r="L1326"/>
      <c r="M1326"/>
      <c r="N1326" s="642"/>
      <c r="O1326"/>
    </row>
    <row r="1327" spans="1:15" x14ac:dyDescent="0.2">
      <c r="A1327"/>
      <c r="B1327" s="642"/>
      <c r="C1327" s="642"/>
      <c r="F1327"/>
      <c r="G1327"/>
      <c r="H1327"/>
      <c r="I1327"/>
      <c r="L1327"/>
      <c r="M1327"/>
      <c r="N1327" s="642"/>
      <c r="O1327"/>
    </row>
    <row r="1328" spans="1:15" x14ac:dyDescent="0.2">
      <c r="A1328"/>
      <c r="B1328" s="642"/>
      <c r="C1328" s="642"/>
      <c r="F1328"/>
      <c r="G1328"/>
      <c r="H1328"/>
      <c r="I1328"/>
      <c r="L1328"/>
      <c r="M1328"/>
      <c r="N1328" s="642"/>
      <c r="O1328"/>
    </row>
    <row r="1329" spans="1:15" x14ac:dyDescent="0.2">
      <c r="A1329"/>
      <c r="B1329" s="642"/>
      <c r="C1329" s="642"/>
      <c r="F1329"/>
      <c r="G1329"/>
      <c r="H1329"/>
      <c r="J1329"/>
      <c r="K1329"/>
      <c r="L1329"/>
      <c r="M1329"/>
      <c r="N1329" s="642"/>
      <c r="O1329"/>
    </row>
    <row r="1330" spans="1:15" x14ac:dyDescent="0.2">
      <c r="A1330"/>
      <c r="B1330" s="642"/>
      <c r="C1330" s="642"/>
      <c r="F1330"/>
      <c r="G1330"/>
      <c r="H1330"/>
      <c r="J1330"/>
      <c r="K1330"/>
      <c r="L1330"/>
      <c r="M1330"/>
      <c r="N1330" s="642"/>
      <c r="O1330"/>
    </row>
    <row r="1331" spans="1:15" x14ac:dyDescent="0.2">
      <c r="A1331"/>
      <c r="B1331" s="642"/>
      <c r="C1331" s="642"/>
      <c r="F1331"/>
      <c r="G1331"/>
      <c r="L1331"/>
      <c r="M1331"/>
      <c r="N1331" s="642"/>
      <c r="O1331"/>
    </row>
    <row r="1332" spans="1:15" x14ac:dyDescent="0.2">
      <c r="A1332"/>
      <c r="B1332" s="642"/>
      <c r="C1332" s="642"/>
      <c r="F1332"/>
      <c r="G1332"/>
      <c r="H1332"/>
      <c r="J1332"/>
      <c r="K1332"/>
      <c r="L1332"/>
      <c r="M1332"/>
      <c r="N1332" s="642"/>
      <c r="O1332"/>
    </row>
    <row r="1333" spans="1:15" x14ac:dyDescent="0.2">
      <c r="A1333"/>
      <c r="B1333" s="642"/>
      <c r="C1333" s="642"/>
      <c r="F1333"/>
      <c r="G1333"/>
      <c r="L1333"/>
      <c r="M1333"/>
      <c r="N1333" s="642"/>
      <c r="O1333"/>
    </row>
    <row r="1334" spans="1:15" x14ac:dyDescent="0.2">
      <c r="A1334"/>
      <c r="B1334" s="642"/>
      <c r="C1334" s="642"/>
      <c r="F1334"/>
      <c r="G1334"/>
      <c r="H1334"/>
      <c r="J1334"/>
      <c r="K1334"/>
      <c r="L1334"/>
      <c r="M1334"/>
      <c r="N1334" s="642"/>
      <c r="O1334"/>
    </row>
    <row r="1335" spans="1:15" x14ac:dyDescent="0.2">
      <c r="A1335"/>
      <c r="B1335" s="642"/>
      <c r="C1335" s="642"/>
      <c r="F1335"/>
      <c r="G1335"/>
      <c r="J1335"/>
      <c r="K1335"/>
      <c r="L1335"/>
      <c r="M1335"/>
      <c r="N1335" s="642"/>
      <c r="O1335"/>
    </row>
    <row r="1336" spans="1:15" x14ac:dyDescent="0.2">
      <c r="A1336"/>
      <c r="B1336" s="642"/>
      <c r="C1336" s="642"/>
      <c r="F1336"/>
      <c r="G1336"/>
      <c r="H1336"/>
      <c r="I1336"/>
      <c r="L1336"/>
      <c r="N1336" s="642"/>
      <c r="O1336"/>
    </row>
    <row r="1337" spans="1:15" x14ac:dyDescent="0.2">
      <c r="A1337"/>
      <c r="B1337" s="642"/>
      <c r="C1337" s="642"/>
      <c r="F1337"/>
      <c r="G1337"/>
      <c r="I1337"/>
      <c r="L1337"/>
      <c r="M1337"/>
      <c r="N1337" s="642"/>
      <c r="O1337"/>
    </row>
    <row r="1338" spans="1:15" x14ac:dyDescent="0.2">
      <c r="A1338"/>
      <c r="B1338" s="642"/>
      <c r="C1338" s="642"/>
      <c r="F1338"/>
      <c r="G1338"/>
      <c r="L1338"/>
      <c r="M1338"/>
      <c r="N1338" s="642"/>
      <c r="O1338"/>
    </row>
    <row r="1339" spans="1:15" x14ac:dyDescent="0.2">
      <c r="A1339"/>
      <c r="B1339" s="642"/>
      <c r="C1339" s="642"/>
      <c r="F1339"/>
      <c r="G1339"/>
      <c r="H1339"/>
      <c r="I1339"/>
      <c r="L1339"/>
      <c r="M1339"/>
      <c r="N1339" s="642"/>
      <c r="O1339"/>
    </row>
    <row r="1340" spans="1:15" x14ac:dyDescent="0.2">
      <c r="A1340"/>
      <c r="B1340" s="642"/>
      <c r="C1340" s="642"/>
      <c r="F1340"/>
      <c r="G1340"/>
      <c r="L1340"/>
      <c r="M1340"/>
      <c r="N1340" s="642"/>
      <c r="O1340"/>
    </row>
    <row r="1341" spans="1:15" x14ac:dyDescent="0.2">
      <c r="A1341"/>
      <c r="B1341" s="642"/>
      <c r="C1341" s="642"/>
      <c r="F1341"/>
      <c r="G1341"/>
      <c r="L1341"/>
      <c r="M1341"/>
      <c r="N1341" s="642"/>
      <c r="O1341"/>
    </row>
    <row r="1342" spans="1:15" x14ac:dyDescent="0.2">
      <c r="A1342"/>
      <c r="B1342" s="642"/>
      <c r="C1342" s="642"/>
      <c r="F1342"/>
      <c r="G1342"/>
      <c r="I1342"/>
      <c r="L1342"/>
      <c r="M1342"/>
      <c r="N1342" s="642"/>
      <c r="O1342"/>
    </row>
    <row r="1343" spans="1:15" x14ac:dyDescent="0.2">
      <c r="A1343"/>
      <c r="B1343" s="642"/>
      <c r="C1343" s="642"/>
      <c r="F1343"/>
      <c r="G1343"/>
      <c r="H1343"/>
      <c r="I1343"/>
      <c r="L1343"/>
      <c r="M1343"/>
      <c r="N1343" s="642"/>
      <c r="O1343"/>
    </row>
    <row r="1344" spans="1:15" x14ac:dyDescent="0.2">
      <c r="A1344"/>
      <c r="B1344" s="642"/>
      <c r="C1344" s="642"/>
      <c r="F1344"/>
      <c r="G1344"/>
      <c r="L1344"/>
      <c r="M1344"/>
      <c r="N1344" s="642"/>
      <c r="O1344"/>
    </row>
    <row r="1345" spans="1:15" x14ac:dyDescent="0.2">
      <c r="A1345"/>
      <c r="B1345" s="642"/>
      <c r="C1345" s="642"/>
      <c r="F1345"/>
      <c r="G1345"/>
      <c r="H1345"/>
      <c r="I1345"/>
      <c r="L1345"/>
      <c r="M1345"/>
      <c r="N1345" s="642"/>
      <c r="O1345"/>
    </row>
    <row r="1346" spans="1:15" x14ac:dyDescent="0.2">
      <c r="A1346"/>
      <c r="B1346" s="642"/>
      <c r="C1346" s="642"/>
      <c r="F1346"/>
      <c r="G1346"/>
      <c r="H1346"/>
      <c r="I1346"/>
      <c r="L1346"/>
      <c r="M1346"/>
      <c r="N1346" s="642"/>
      <c r="O1346"/>
    </row>
    <row r="1347" spans="1:15" x14ac:dyDescent="0.2">
      <c r="A1347"/>
      <c r="B1347" s="642"/>
      <c r="C1347" s="642"/>
      <c r="F1347"/>
      <c r="G1347"/>
      <c r="H1347"/>
      <c r="I1347"/>
      <c r="L1347"/>
      <c r="M1347"/>
      <c r="N1347" s="642"/>
      <c r="O1347"/>
    </row>
    <row r="1348" spans="1:15" x14ac:dyDescent="0.2">
      <c r="A1348"/>
      <c r="B1348" s="642"/>
      <c r="C1348" s="642"/>
      <c r="F1348"/>
      <c r="G1348"/>
      <c r="H1348"/>
      <c r="I1348"/>
      <c r="L1348"/>
      <c r="M1348"/>
      <c r="N1348" s="642"/>
      <c r="O1348"/>
    </row>
    <row r="1349" spans="1:15" x14ac:dyDescent="0.2">
      <c r="A1349"/>
      <c r="B1349" s="642"/>
      <c r="C1349" s="642"/>
      <c r="F1349"/>
      <c r="G1349"/>
      <c r="I1349"/>
      <c r="L1349"/>
      <c r="M1349"/>
      <c r="N1349" s="642"/>
      <c r="O1349"/>
    </row>
    <row r="1350" spans="1:15" x14ac:dyDescent="0.2">
      <c r="A1350"/>
      <c r="B1350" s="642"/>
      <c r="C1350" s="642"/>
      <c r="F1350"/>
      <c r="G1350"/>
      <c r="H1350"/>
      <c r="I1350"/>
      <c r="L1350"/>
      <c r="N1350" s="642"/>
      <c r="O1350"/>
    </row>
    <row r="1351" spans="1:15" x14ac:dyDescent="0.2">
      <c r="A1351"/>
      <c r="B1351" s="642"/>
      <c r="C1351" s="642"/>
      <c r="F1351"/>
      <c r="G1351"/>
      <c r="I1351"/>
      <c r="L1351"/>
      <c r="M1351"/>
      <c r="N1351" s="642"/>
      <c r="O1351"/>
    </row>
    <row r="1352" spans="1:15" x14ac:dyDescent="0.2">
      <c r="A1352"/>
      <c r="B1352" s="642"/>
      <c r="C1352" s="642"/>
      <c r="F1352"/>
      <c r="G1352"/>
      <c r="H1352"/>
      <c r="I1352"/>
      <c r="L1352"/>
      <c r="M1352"/>
      <c r="N1352" s="642"/>
      <c r="O1352"/>
    </row>
    <row r="1353" spans="1:15" x14ac:dyDescent="0.2">
      <c r="A1353"/>
      <c r="B1353" s="642"/>
      <c r="C1353" s="642"/>
      <c r="F1353"/>
      <c r="G1353"/>
      <c r="J1353"/>
      <c r="K1353"/>
      <c r="L1353"/>
      <c r="M1353"/>
      <c r="N1353" s="642"/>
      <c r="O1353"/>
    </row>
    <row r="1354" spans="1:15" x14ac:dyDescent="0.2">
      <c r="A1354"/>
      <c r="B1354" s="642"/>
      <c r="C1354" s="642"/>
      <c r="F1354"/>
      <c r="G1354"/>
      <c r="H1354"/>
      <c r="I1354"/>
      <c r="L1354"/>
      <c r="M1354"/>
      <c r="N1354" s="642"/>
      <c r="O1354"/>
    </row>
    <row r="1355" spans="1:15" x14ac:dyDescent="0.2">
      <c r="A1355"/>
      <c r="B1355" s="642"/>
      <c r="C1355" s="642"/>
      <c r="F1355"/>
      <c r="G1355"/>
      <c r="H1355"/>
      <c r="I1355"/>
      <c r="L1355"/>
      <c r="M1355"/>
      <c r="N1355" s="642"/>
      <c r="O1355"/>
    </row>
    <row r="1356" spans="1:15" x14ac:dyDescent="0.2">
      <c r="A1356"/>
      <c r="B1356" s="642"/>
      <c r="C1356" s="642"/>
      <c r="F1356"/>
      <c r="G1356"/>
      <c r="I1356"/>
      <c r="L1356"/>
      <c r="M1356"/>
      <c r="N1356" s="642"/>
      <c r="O1356"/>
    </row>
    <row r="1357" spans="1:15" x14ac:dyDescent="0.2">
      <c r="A1357"/>
      <c r="B1357" s="642"/>
      <c r="C1357" s="642"/>
      <c r="F1357"/>
      <c r="G1357"/>
      <c r="I1357"/>
      <c r="L1357"/>
      <c r="M1357"/>
      <c r="N1357" s="642"/>
      <c r="O1357"/>
    </row>
    <row r="1358" spans="1:15" x14ac:dyDescent="0.2">
      <c r="A1358"/>
      <c r="B1358" s="642"/>
      <c r="C1358" s="642"/>
      <c r="F1358"/>
      <c r="G1358"/>
      <c r="H1358"/>
      <c r="I1358"/>
      <c r="J1358"/>
      <c r="K1358"/>
      <c r="L1358"/>
      <c r="M1358"/>
      <c r="N1358" s="642"/>
      <c r="O1358"/>
    </row>
    <row r="1359" spans="1:15" x14ac:dyDescent="0.2">
      <c r="A1359"/>
      <c r="B1359" s="642"/>
      <c r="C1359" s="642"/>
      <c r="F1359"/>
      <c r="G1359"/>
      <c r="L1359"/>
      <c r="M1359"/>
      <c r="N1359" s="642"/>
      <c r="O1359"/>
    </row>
    <row r="1360" spans="1:15" x14ac:dyDescent="0.2">
      <c r="A1360"/>
      <c r="B1360" s="642"/>
      <c r="C1360" s="642"/>
      <c r="F1360"/>
      <c r="G1360"/>
      <c r="M1360"/>
      <c r="N1360" s="642"/>
      <c r="O1360"/>
    </row>
    <row r="1361" spans="1:15" x14ac:dyDescent="0.2">
      <c r="A1361"/>
      <c r="B1361" s="642"/>
      <c r="C1361" s="642"/>
      <c r="F1361"/>
      <c r="G1361"/>
      <c r="H1361"/>
      <c r="I1361"/>
      <c r="L1361"/>
      <c r="M1361"/>
      <c r="N1361" s="642"/>
      <c r="O1361"/>
    </row>
    <row r="1362" spans="1:15" x14ac:dyDescent="0.2">
      <c r="A1362"/>
      <c r="B1362" s="642"/>
      <c r="C1362" s="642"/>
      <c r="F1362"/>
      <c r="G1362"/>
      <c r="H1362"/>
      <c r="I1362"/>
      <c r="L1362"/>
      <c r="M1362"/>
      <c r="N1362" s="642"/>
      <c r="O1362"/>
    </row>
    <row r="1363" spans="1:15" x14ac:dyDescent="0.2">
      <c r="A1363"/>
      <c r="B1363" s="642"/>
      <c r="C1363" s="642"/>
      <c r="F1363"/>
      <c r="G1363"/>
      <c r="I1363"/>
      <c r="L1363"/>
      <c r="M1363"/>
      <c r="N1363" s="642"/>
      <c r="O1363"/>
    </row>
    <row r="1364" spans="1:15" x14ac:dyDescent="0.2">
      <c r="A1364"/>
      <c r="B1364" s="642"/>
      <c r="C1364" s="642"/>
      <c r="F1364"/>
      <c r="G1364"/>
      <c r="I1364"/>
      <c r="L1364"/>
      <c r="M1364"/>
      <c r="N1364" s="642"/>
      <c r="O1364"/>
    </row>
    <row r="1365" spans="1:15" x14ac:dyDescent="0.2">
      <c r="A1365"/>
      <c r="B1365" s="642"/>
      <c r="C1365" s="642"/>
      <c r="F1365"/>
      <c r="G1365"/>
      <c r="H1365"/>
      <c r="I1365"/>
      <c r="L1365"/>
      <c r="M1365"/>
      <c r="N1365" s="642"/>
      <c r="O1365"/>
    </row>
    <row r="1366" spans="1:15" x14ac:dyDescent="0.2">
      <c r="A1366"/>
      <c r="B1366" s="642"/>
      <c r="C1366" s="642"/>
      <c r="F1366"/>
      <c r="G1366"/>
      <c r="I1366"/>
      <c r="L1366"/>
      <c r="M1366"/>
      <c r="N1366" s="642"/>
      <c r="O1366"/>
    </row>
    <row r="1367" spans="1:15" x14ac:dyDescent="0.2">
      <c r="A1367"/>
      <c r="B1367" s="642"/>
      <c r="C1367" s="642"/>
      <c r="F1367"/>
      <c r="G1367"/>
      <c r="I1367"/>
      <c r="L1367"/>
      <c r="M1367"/>
      <c r="N1367" s="642"/>
      <c r="O1367"/>
    </row>
    <row r="1368" spans="1:15" x14ac:dyDescent="0.2">
      <c r="A1368"/>
      <c r="B1368" s="642"/>
      <c r="C1368" s="642"/>
      <c r="F1368"/>
      <c r="G1368"/>
      <c r="I1368"/>
      <c r="L1368"/>
      <c r="M1368"/>
      <c r="N1368" s="642"/>
      <c r="O1368"/>
    </row>
    <row r="1369" spans="1:15" x14ac:dyDescent="0.2">
      <c r="A1369"/>
      <c r="B1369" s="642"/>
      <c r="C1369" s="642"/>
      <c r="F1369"/>
      <c r="G1369"/>
      <c r="H1369"/>
      <c r="I1369"/>
      <c r="L1369"/>
      <c r="M1369"/>
      <c r="N1369" s="642"/>
      <c r="O1369"/>
    </row>
    <row r="1370" spans="1:15" x14ac:dyDescent="0.2">
      <c r="A1370"/>
      <c r="B1370" s="642"/>
      <c r="C1370" s="642"/>
      <c r="F1370"/>
      <c r="G1370"/>
      <c r="I1370"/>
      <c r="L1370"/>
      <c r="M1370"/>
      <c r="N1370" s="642"/>
      <c r="O1370"/>
    </row>
    <row r="1371" spans="1:15" x14ac:dyDescent="0.2">
      <c r="A1371"/>
      <c r="B1371" s="642"/>
      <c r="C1371" s="642"/>
      <c r="F1371"/>
      <c r="G1371"/>
      <c r="I1371"/>
      <c r="L1371"/>
      <c r="M1371"/>
      <c r="N1371" s="642"/>
      <c r="O1371"/>
    </row>
    <row r="1372" spans="1:15" x14ac:dyDescent="0.2">
      <c r="A1372"/>
      <c r="B1372" s="642"/>
      <c r="C1372" s="642"/>
      <c r="F1372"/>
      <c r="G1372"/>
      <c r="H1372"/>
      <c r="I1372"/>
      <c r="L1372"/>
      <c r="M1372"/>
      <c r="N1372" s="642"/>
      <c r="O1372"/>
    </row>
    <row r="1373" spans="1:15" x14ac:dyDescent="0.2">
      <c r="A1373"/>
      <c r="B1373" s="642"/>
      <c r="C1373" s="642"/>
      <c r="F1373"/>
      <c r="G1373"/>
      <c r="J1373"/>
      <c r="K1373"/>
      <c r="L1373"/>
      <c r="M1373"/>
      <c r="N1373" s="642"/>
      <c r="O1373"/>
    </row>
    <row r="1374" spans="1:15" x14ac:dyDescent="0.2">
      <c r="A1374"/>
      <c r="B1374" s="642"/>
      <c r="C1374" s="642"/>
      <c r="F1374"/>
      <c r="G1374"/>
      <c r="H1374"/>
      <c r="I1374"/>
      <c r="L1374"/>
      <c r="M1374"/>
      <c r="N1374" s="642"/>
      <c r="O1374"/>
    </row>
    <row r="1375" spans="1:15" x14ac:dyDescent="0.2">
      <c r="A1375"/>
      <c r="B1375" s="642"/>
      <c r="C1375" s="642"/>
      <c r="F1375"/>
      <c r="G1375"/>
      <c r="I1375"/>
      <c r="L1375"/>
      <c r="M1375"/>
      <c r="N1375" s="642"/>
      <c r="O1375"/>
    </row>
    <row r="1376" spans="1:15" x14ac:dyDescent="0.2">
      <c r="A1376"/>
      <c r="B1376" s="642"/>
      <c r="C1376" s="642"/>
      <c r="F1376"/>
      <c r="G1376"/>
      <c r="L1376"/>
      <c r="M1376"/>
      <c r="N1376" s="642"/>
      <c r="O1376"/>
    </row>
    <row r="1377" spans="1:15" x14ac:dyDescent="0.2">
      <c r="A1377"/>
      <c r="B1377" s="642"/>
      <c r="C1377" s="642"/>
      <c r="F1377"/>
      <c r="G1377"/>
      <c r="H1377"/>
      <c r="I1377"/>
      <c r="L1377"/>
      <c r="M1377"/>
      <c r="N1377" s="642"/>
      <c r="O1377"/>
    </row>
    <row r="1378" spans="1:15" x14ac:dyDescent="0.2">
      <c r="A1378"/>
      <c r="B1378" s="642"/>
      <c r="C1378" s="642"/>
      <c r="F1378"/>
      <c r="G1378"/>
      <c r="J1378"/>
      <c r="K1378"/>
      <c r="L1378"/>
      <c r="M1378"/>
      <c r="N1378" s="642"/>
      <c r="O1378"/>
    </row>
    <row r="1379" spans="1:15" x14ac:dyDescent="0.2">
      <c r="A1379"/>
      <c r="B1379" s="642"/>
      <c r="C1379" s="642"/>
      <c r="F1379"/>
      <c r="G1379"/>
      <c r="H1379"/>
      <c r="I1379"/>
      <c r="L1379"/>
      <c r="M1379"/>
      <c r="N1379" s="642"/>
      <c r="O1379"/>
    </row>
    <row r="1380" spans="1:15" x14ac:dyDescent="0.2">
      <c r="A1380"/>
      <c r="B1380" s="642"/>
      <c r="C1380" s="642"/>
      <c r="F1380"/>
      <c r="G1380"/>
      <c r="H1380"/>
      <c r="I1380"/>
      <c r="L1380"/>
      <c r="M1380"/>
      <c r="N1380" s="642"/>
      <c r="O1380"/>
    </row>
    <row r="1381" spans="1:15" x14ac:dyDescent="0.2">
      <c r="A1381"/>
      <c r="B1381" s="642"/>
      <c r="C1381" s="642"/>
      <c r="F1381"/>
      <c r="G1381"/>
      <c r="I1381"/>
      <c r="L1381"/>
      <c r="M1381"/>
      <c r="N1381" s="642"/>
      <c r="O1381"/>
    </row>
    <row r="1382" spans="1:15" x14ac:dyDescent="0.2">
      <c r="A1382"/>
      <c r="B1382" s="642"/>
      <c r="C1382" s="642"/>
      <c r="F1382"/>
      <c r="G1382"/>
      <c r="L1382"/>
      <c r="M1382"/>
      <c r="N1382" s="642"/>
      <c r="O1382"/>
    </row>
    <row r="1383" spans="1:15" x14ac:dyDescent="0.2">
      <c r="A1383"/>
      <c r="B1383" s="642"/>
      <c r="C1383" s="642"/>
      <c r="F1383"/>
      <c r="G1383"/>
      <c r="I1383"/>
      <c r="L1383"/>
      <c r="M1383"/>
      <c r="N1383" s="642"/>
      <c r="O1383"/>
    </row>
    <row r="1384" spans="1:15" x14ac:dyDescent="0.2">
      <c r="A1384"/>
      <c r="B1384" s="642"/>
      <c r="C1384" s="642"/>
      <c r="F1384"/>
      <c r="G1384"/>
      <c r="H1384"/>
      <c r="I1384"/>
      <c r="L1384"/>
      <c r="M1384"/>
      <c r="N1384" s="642"/>
      <c r="O1384"/>
    </row>
    <row r="1385" spans="1:15" x14ac:dyDescent="0.2">
      <c r="A1385"/>
      <c r="B1385" s="642"/>
      <c r="C1385" s="642"/>
      <c r="F1385"/>
      <c r="G1385"/>
      <c r="I1385"/>
      <c r="L1385"/>
      <c r="M1385"/>
      <c r="N1385" s="642"/>
      <c r="O1385"/>
    </row>
    <row r="1386" spans="1:15" x14ac:dyDescent="0.2">
      <c r="A1386"/>
      <c r="B1386" s="642"/>
      <c r="C1386" s="642"/>
      <c r="F1386"/>
      <c r="G1386"/>
      <c r="H1386"/>
      <c r="I1386"/>
      <c r="L1386"/>
      <c r="M1386"/>
      <c r="N1386" s="642"/>
      <c r="O1386"/>
    </row>
    <row r="1387" spans="1:15" x14ac:dyDescent="0.2">
      <c r="A1387"/>
      <c r="B1387" s="642"/>
      <c r="C1387" s="642"/>
      <c r="F1387"/>
      <c r="G1387"/>
      <c r="L1387"/>
      <c r="M1387"/>
      <c r="N1387" s="642"/>
      <c r="O1387"/>
    </row>
    <row r="1388" spans="1:15" x14ac:dyDescent="0.2">
      <c r="A1388"/>
      <c r="B1388" s="642"/>
      <c r="C1388" s="642"/>
      <c r="F1388"/>
      <c r="G1388"/>
      <c r="H1388"/>
      <c r="J1388"/>
      <c r="K1388"/>
      <c r="L1388"/>
      <c r="M1388"/>
      <c r="N1388" s="642"/>
      <c r="O1388"/>
    </row>
    <row r="1389" spans="1:15" x14ac:dyDescent="0.2">
      <c r="A1389"/>
      <c r="B1389" s="642"/>
      <c r="C1389" s="642"/>
      <c r="F1389"/>
      <c r="G1389"/>
      <c r="H1389"/>
      <c r="I1389"/>
      <c r="L1389"/>
      <c r="M1389"/>
      <c r="N1389" s="642"/>
      <c r="O1389"/>
    </row>
    <row r="1390" spans="1:15" x14ac:dyDescent="0.2">
      <c r="A1390"/>
      <c r="B1390" s="642"/>
      <c r="C1390" s="642"/>
      <c r="F1390"/>
      <c r="G1390"/>
      <c r="H1390"/>
      <c r="I1390"/>
      <c r="L1390"/>
      <c r="M1390"/>
      <c r="N1390" s="642"/>
      <c r="O1390"/>
    </row>
    <row r="1391" spans="1:15" x14ac:dyDescent="0.2">
      <c r="A1391"/>
      <c r="B1391" s="642"/>
      <c r="C1391" s="642"/>
      <c r="F1391"/>
      <c r="G1391"/>
      <c r="I1391"/>
      <c r="L1391"/>
      <c r="M1391"/>
      <c r="N1391" s="642"/>
      <c r="O1391"/>
    </row>
    <row r="1392" spans="1:15" x14ac:dyDescent="0.2">
      <c r="A1392"/>
      <c r="B1392" s="642"/>
      <c r="C1392" s="642"/>
      <c r="F1392"/>
      <c r="G1392"/>
      <c r="L1392"/>
      <c r="M1392"/>
      <c r="N1392" s="642"/>
      <c r="O1392"/>
    </row>
    <row r="1393" spans="1:15" x14ac:dyDescent="0.2">
      <c r="A1393"/>
      <c r="B1393" s="642"/>
      <c r="C1393" s="642"/>
      <c r="F1393"/>
      <c r="G1393"/>
      <c r="H1393"/>
      <c r="I1393"/>
      <c r="L1393"/>
      <c r="M1393"/>
      <c r="N1393" s="642"/>
      <c r="O1393"/>
    </row>
    <row r="1394" spans="1:15" x14ac:dyDescent="0.2">
      <c r="A1394"/>
      <c r="B1394" s="642"/>
      <c r="C1394" s="642"/>
      <c r="F1394"/>
      <c r="G1394"/>
      <c r="L1394"/>
      <c r="M1394"/>
      <c r="N1394" s="642"/>
      <c r="O1394"/>
    </row>
    <row r="1395" spans="1:15" x14ac:dyDescent="0.2">
      <c r="A1395"/>
      <c r="B1395" s="642"/>
      <c r="C1395" s="642"/>
      <c r="F1395"/>
      <c r="G1395"/>
      <c r="H1395"/>
      <c r="J1395"/>
      <c r="K1395"/>
      <c r="L1395"/>
      <c r="N1395" s="642"/>
      <c r="O1395"/>
    </row>
    <row r="1396" spans="1:15" x14ac:dyDescent="0.2">
      <c r="A1396"/>
      <c r="B1396" s="642"/>
      <c r="C1396" s="642"/>
      <c r="F1396"/>
      <c r="G1396"/>
      <c r="L1396"/>
      <c r="M1396"/>
      <c r="N1396" s="642"/>
      <c r="O1396"/>
    </row>
    <row r="1397" spans="1:15" x14ac:dyDescent="0.2">
      <c r="A1397"/>
      <c r="B1397" s="642"/>
      <c r="C1397" s="642"/>
      <c r="F1397"/>
      <c r="G1397"/>
      <c r="H1397"/>
      <c r="I1397"/>
      <c r="L1397"/>
      <c r="M1397"/>
      <c r="N1397" s="642"/>
      <c r="O1397"/>
    </row>
    <row r="1398" spans="1:15" x14ac:dyDescent="0.2">
      <c r="A1398"/>
      <c r="B1398" s="642"/>
      <c r="C1398" s="642"/>
      <c r="F1398"/>
      <c r="G1398"/>
      <c r="H1398"/>
      <c r="I1398"/>
      <c r="L1398"/>
      <c r="M1398"/>
      <c r="N1398" s="642"/>
      <c r="O1398"/>
    </row>
    <row r="1399" spans="1:15" x14ac:dyDescent="0.2">
      <c r="A1399"/>
      <c r="B1399" s="642"/>
      <c r="C1399" s="642"/>
      <c r="F1399"/>
      <c r="G1399"/>
      <c r="L1399"/>
      <c r="M1399"/>
      <c r="N1399" s="642"/>
      <c r="O1399"/>
    </row>
    <row r="1400" spans="1:15" x14ac:dyDescent="0.2">
      <c r="A1400"/>
      <c r="B1400" s="642"/>
      <c r="C1400" s="642"/>
      <c r="F1400"/>
      <c r="G1400"/>
      <c r="L1400"/>
      <c r="M1400"/>
      <c r="N1400" s="642"/>
      <c r="O1400"/>
    </row>
    <row r="1401" spans="1:15" x14ac:dyDescent="0.2">
      <c r="A1401"/>
      <c r="B1401" s="642"/>
      <c r="C1401" s="642"/>
      <c r="F1401"/>
      <c r="G1401"/>
      <c r="J1401"/>
      <c r="K1401"/>
      <c r="L1401"/>
      <c r="M1401"/>
      <c r="N1401" s="642"/>
      <c r="O1401"/>
    </row>
    <row r="1402" spans="1:15" x14ac:dyDescent="0.2">
      <c r="A1402"/>
      <c r="B1402" s="642"/>
      <c r="C1402" s="642"/>
      <c r="F1402"/>
      <c r="G1402"/>
      <c r="H1402"/>
      <c r="I1402"/>
      <c r="L1402"/>
      <c r="M1402"/>
      <c r="N1402" s="642"/>
      <c r="O1402"/>
    </row>
    <row r="1403" spans="1:15" x14ac:dyDescent="0.2">
      <c r="A1403"/>
      <c r="B1403" s="642"/>
      <c r="C1403" s="642"/>
      <c r="F1403"/>
      <c r="G1403"/>
      <c r="I1403"/>
      <c r="L1403"/>
      <c r="M1403"/>
      <c r="N1403" s="642"/>
      <c r="O1403"/>
    </row>
    <row r="1404" spans="1:15" x14ac:dyDescent="0.2">
      <c r="A1404"/>
      <c r="B1404" s="642"/>
      <c r="C1404" s="642"/>
      <c r="F1404"/>
      <c r="G1404"/>
      <c r="H1404"/>
      <c r="J1404"/>
      <c r="K1404"/>
      <c r="L1404"/>
      <c r="M1404"/>
      <c r="N1404" s="642"/>
      <c r="O1404"/>
    </row>
    <row r="1405" spans="1:15" x14ac:dyDescent="0.2">
      <c r="A1405"/>
      <c r="B1405" s="642"/>
      <c r="C1405" s="642"/>
      <c r="F1405"/>
      <c r="G1405"/>
      <c r="I1405"/>
      <c r="L1405"/>
      <c r="M1405"/>
      <c r="N1405" s="642"/>
      <c r="O1405"/>
    </row>
    <row r="1406" spans="1:15" x14ac:dyDescent="0.2">
      <c r="A1406"/>
      <c r="B1406" s="642"/>
      <c r="C1406" s="642"/>
      <c r="F1406"/>
      <c r="G1406"/>
      <c r="H1406"/>
      <c r="I1406"/>
      <c r="L1406"/>
      <c r="M1406"/>
      <c r="N1406" s="642"/>
      <c r="O1406"/>
    </row>
    <row r="1407" spans="1:15" x14ac:dyDescent="0.2">
      <c r="A1407"/>
      <c r="B1407" s="642"/>
      <c r="C1407" s="642"/>
      <c r="F1407"/>
      <c r="G1407"/>
      <c r="H1407"/>
      <c r="I1407"/>
      <c r="L1407"/>
      <c r="M1407"/>
      <c r="N1407" s="642"/>
      <c r="O1407"/>
    </row>
    <row r="1408" spans="1:15" x14ac:dyDescent="0.2">
      <c r="A1408"/>
      <c r="B1408" s="642"/>
      <c r="C1408" s="642"/>
      <c r="F1408"/>
      <c r="G1408"/>
      <c r="I1408"/>
      <c r="L1408"/>
      <c r="M1408"/>
      <c r="N1408" s="642"/>
      <c r="O1408"/>
    </row>
    <row r="1409" spans="1:15" x14ac:dyDescent="0.2">
      <c r="A1409"/>
      <c r="B1409" s="642"/>
      <c r="C1409" s="642"/>
      <c r="F1409"/>
      <c r="G1409"/>
      <c r="H1409"/>
      <c r="L1409"/>
      <c r="M1409"/>
      <c r="N1409" s="642"/>
      <c r="O1409"/>
    </row>
    <row r="1410" spans="1:15" x14ac:dyDescent="0.2">
      <c r="A1410"/>
      <c r="B1410" s="642"/>
      <c r="C1410" s="642"/>
      <c r="F1410"/>
      <c r="G1410"/>
      <c r="H1410"/>
      <c r="I1410"/>
      <c r="L1410"/>
      <c r="M1410"/>
      <c r="N1410" s="642"/>
      <c r="O1410"/>
    </row>
    <row r="1411" spans="1:15" x14ac:dyDescent="0.2">
      <c r="A1411"/>
      <c r="B1411" s="642"/>
      <c r="C1411" s="642"/>
      <c r="F1411"/>
      <c r="G1411"/>
      <c r="H1411"/>
      <c r="M1411"/>
      <c r="N1411" s="642"/>
      <c r="O1411"/>
    </row>
    <row r="1412" spans="1:15" x14ac:dyDescent="0.2">
      <c r="A1412"/>
      <c r="B1412" s="642"/>
      <c r="C1412" s="642"/>
      <c r="F1412"/>
      <c r="G1412"/>
      <c r="L1412"/>
      <c r="M1412"/>
      <c r="N1412" s="642"/>
      <c r="O1412"/>
    </row>
    <row r="1413" spans="1:15" x14ac:dyDescent="0.2">
      <c r="A1413"/>
      <c r="B1413" s="642"/>
      <c r="C1413" s="642"/>
      <c r="F1413"/>
      <c r="G1413"/>
      <c r="H1413"/>
      <c r="I1413"/>
      <c r="L1413"/>
      <c r="M1413"/>
      <c r="N1413" s="642"/>
      <c r="O1413"/>
    </row>
    <row r="1414" spans="1:15" x14ac:dyDescent="0.2">
      <c r="A1414"/>
      <c r="B1414" s="642"/>
      <c r="C1414" s="642"/>
      <c r="F1414"/>
      <c r="G1414"/>
      <c r="H1414"/>
      <c r="I1414"/>
      <c r="L1414"/>
      <c r="M1414"/>
      <c r="N1414" s="642"/>
      <c r="O1414"/>
    </row>
    <row r="1415" spans="1:15" x14ac:dyDescent="0.2">
      <c r="A1415"/>
      <c r="B1415" s="642"/>
      <c r="C1415" s="642"/>
      <c r="F1415"/>
      <c r="G1415"/>
      <c r="H1415"/>
      <c r="I1415"/>
      <c r="L1415"/>
      <c r="M1415"/>
      <c r="N1415" s="642"/>
      <c r="O1415"/>
    </row>
    <row r="1416" spans="1:15" x14ac:dyDescent="0.2">
      <c r="A1416"/>
      <c r="B1416" s="642"/>
      <c r="C1416" s="642"/>
      <c r="F1416"/>
      <c r="G1416"/>
      <c r="I1416"/>
      <c r="L1416"/>
      <c r="M1416"/>
      <c r="N1416" s="642"/>
      <c r="O1416"/>
    </row>
    <row r="1417" spans="1:15" x14ac:dyDescent="0.2">
      <c r="A1417"/>
      <c r="B1417" s="642"/>
      <c r="C1417" s="642"/>
      <c r="F1417"/>
      <c r="G1417"/>
      <c r="H1417"/>
      <c r="L1417"/>
      <c r="M1417"/>
      <c r="N1417" s="642"/>
      <c r="O1417"/>
    </row>
    <row r="1418" spans="1:15" x14ac:dyDescent="0.2">
      <c r="A1418"/>
      <c r="B1418" s="642"/>
      <c r="C1418" s="642"/>
      <c r="F1418"/>
      <c r="G1418"/>
      <c r="H1418"/>
      <c r="I1418"/>
      <c r="L1418"/>
      <c r="M1418"/>
      <c r="N1418" s="642"/>
      <c r="O1418"/>
    </row>
    <row r="1419" spans="1:15" x14ac:dyDescent="0.2">
      <c r="A1419"/>
      <c r="B1419" s="642"/>
      <c r="C1419" s="642"/>
      <c r="F1419"/>
      <c r="G1419"/>
      <c r="H1419"/>
      <c r="I1419"/>
      <c r="L1419"/>
      <c r="M1419"/>
      <c r="N1419" s="642"/>
      <c r="O1419"/>
    </row>
    <row r="1420" spans="1:15" x14ac:dyDescent="0.2">
      <c r="A1420"/>
      <c r="B1420" s="642"/>
      <c r="C1420" s="642"/>
      <c r="F1420"/>
      <c r="G1420"/>
      <c r="H1420"/>
      <c r="I1420"/>
      <c r="L1420"/>
      <c r="M1420"/>
      <c r="N1420" s="642"/>
      <c r="O1420"/>
    </row>
    <row r="1421" spans="1:15" x14ac:dyDescent="0.2">
      <c r="A1421"/>
      <c r="B1421" s="642"/>
      <c r="C1421" s="642"/>
      <c r="F1421"/>
      <c r="G1421"/>
      <c r="H1421"/>
      <c r="I1421"/>
      <c r="L1421"/>
      <c r="M1421"/>
      <c r="N1421" s="642"/>
      <c r="O1421"/>
    </row>
    <row r="1422" spans="1:15" x14ac:dyDescent="0.2">
      <c r="A1422"/>
      <c r="B1422" s="642"/>
      <c r="C1422" s="642"/>
      <c r="F1422"/>
      <c r="G1422"/>
      <c r="L1422"/>
      <c r="M1422"/>
      <c r="N1422" s="642"/>
      <c r="O1422"/>
    </row>
    <row r="1423" spans="1:15" x14ac:dyDescent="0.2">
      <c r="A1423"/>
      <c r="B1423" s="642"/>
      <c r="C1423" s="642"/>
      <c r="F1423"/>
      <c r="G1423"/>
      <c r="I1423"/>
      <c r="L1423"/>
      <c r="M1423"/>
      <c r="N1423" s="642"/>
      <c r="O1423"/>
    </row>
    <row r="1424" spans="1:15" x14ac:dyDescent="0.2">
      <c r="A1424"/>
      <c r="B1424" s="642"/>
      <c r="C1424" s="642"/>
      <c r="F1424"/>
      <c r="G1424"/>
      <c r="H1424"/>
      <c r="I1424"/>
      <c r="L1424"/>
      <c r="M1424"/>
      <c r="N1424" s="642"/>
      <c r="O1424"/>
    </row>
    <row r="1425" spans="1:15" x14ac:dyDescent="0.2">
      <c r="A1425"/>
      <c r="B1425" s="642"/>
      <c r="C1425" s="642"/>
      <c r="F1425"/>
      <c r="G1425"/>
      <c r="H1425"/>
      <c r="I1425"/>
      <c r="L1425"/>
      <c r="M1425"/>
      <c r="N1425" s="642"/>
      <c r="O1425"/>
    </row>
    <row r="1426" spans="1:15" x14ac:dyDescent="0.2">
      <c r="A1426"/>
      <c r="B1426" s="642"/>
      <c r="C1426" s="642"/>
      <c r="F1426"/>
      <c r="G1426"/>
      <c r="H1426"/>
      <c r="I1426"/>
      <c r="L1426"/>
      <c r="M1426"/>
      <c r="N1426" s="642"/>
      <c r="O1426"/>
    </row>
    <row r="1427" spans="1:15" x14ac:dyDescent="0.2">
      <c r="A1427"/>
      <c r="B1427" s="642"/>
      <c r="C1427" s="642"/>
      <c r="F1427"/>
      <c r="G1427"/>
      <c r="L1427"/>
      <c r="M1427"/>
      <c r="N1427" s="642"/>
      <c r="O1427"/>
    </row>
    <row r="1428" spans="1:15" x14ac:dyDescent="0.2">
      <c r="A1428"/>
      <c r="B1428" s="642"/>
      <c r="C1428" s="642"/>
      <c r="F1428"/>
      <c r="G1428"/>
      <c r="L1428"/>
      <c r="M1428"/>
      <c r="N1428" s="642"/>
      <c r="O1428"/>
    </row>
    <row r="1429" spans="1:15" x14ac:dyDescent="0.2">
      <c r="A1429"/>
      <c r="B1429" s="642"/>
      <c r="C1429" s="642"/>
      <c r="F1429"/>
      <c r="G1429"/>
      <c r="L1429"/>
      <c r="M1429"/>
      <c r="N1429" s="642"/>
      <c r="O1429"/>
    </row>
    <row r="1430" spans="1:15" x14ac:dyDescent="0.2">
      <c r="A1430"/>
      <c r="B1430" s="642"/>
      <c r="C1430" s="642"/>
      <c r="F1430"/>
      <c r="G1430"/>
      <c r="J1430"/>
      <c r="K1430"/>
      <c r="L1430"/>
      <c r="M1430"/>
      <c r="N1430" s="642"/>
      <c r="O1430"/>
    </row>
    <row r="1431" spans="1:15" x14ac:dyDescent="0.2">
      <c r="A1431"/>
      <c r="B1431" s="642"/>
      <c r="C1431" s="642"/>
      <c r="F1431"/>
      <c r="G1431"/>
      <c r="L1431"/>
      <c r="M1431"/>
      <c r="N1431" s="642"/>
      <c r="O1431"/>
    </row>
    <row r="1432" spans="1:15" x14ac:dyDescent="0.2">
      <c r="A1432"/>
      <c r="B1432" s="642"/>
      <c r="C1432" s="642"/>
      <c r="F1432"/>
      <c r="G1432"/>
      <c r="I1432"/>
      <c r="L1432"/>
      <c r="M1432"/>
      <c r="N1432" s="642"/>
      <c r="O1432"/>
    </row>
    <row r="1433" spans="1:15" x14ac:dyDescent="0.2">
      <c r="A1433"/>
      <c r="B1433" s="642"/>
      <c r="C1433" s="642"/>
      <c r="F1433"/>
      <c r="G1433"/>
      <c r="H1433"/>
      <c r="I1433"/>
      <c r="L1433"/>
      <c r="M1433"/>
      <c r="N1433" s="642"/>
      <c r="O1433"/>
    </row>
    <row r="1434" spans="1:15" x14ac:dyDescent="0.2">
      <c r="A1434"/>
      <c r="B1434" s="642"/>
      <c r="C1434" s="642"/>
      <c r="F1434"/>
      <c r="G1434"/>
      <c r="L1434"/>
      <c r="M1434"/>
      <c r="N1434" s="642"/>
      <c r="O1434"/>
    </row>
    <row r="1435" spans="1:15" x14ac:dyDescent="0.2">
      <c r="A1435"/>
      <c r="B1435" s="642"/>
      <c r="C1435" s="642"/>
      <c r="F1435"/>
      <c r="G1435"/>
      <c r="I1435"/>
      <c r="L1435"/>
      <c r="M1435"/>
      <c r="N1435" s="642"/>
      <c r="O1435"/>
    </row>
    <row r="1436" spans="1:15" x14ac:dyDescent="0.2">
      <c r="A1436"/>
      <c r="B1436" s="642"/>
      <c r="C1436" s="642"/>
      <c r="F1436"/>
      <c r="G1436"/>
      <c r="H1436"/>
      <c r="J1436"/>
      <c r="K1436"/>
      <c r="L1436"/>
      <c r="M1436"/>
      <c r="N1436" s="642"/>
      <c r="O1436"/>
    </row>
    <row r="1437" spans="1:15" x14ac:dyDescent="0.2">
      <c r="A1437"/>
      <c r="B1437" s="642"/>
      <c r="C1437" s="642"/>
      <c r="F1437"/>
      <c r="G1437"/>
      <c r="H1437"/>
      <c r="I1437"/>
      <c r="L1437"/>
      <c r="M1437"/>
      <c r="N1437" s="642"/>
      <c r="O1437"/>
    </row>
    <row r="1438" spans="1:15" x14ac:dyDescent="0.2">
      <c r="A1438"/>
      <c r="B1438" s="642"/>
      <c r="C1438" s="642"/>
      <c r="F1438"/>
      <c r="G1438"/>
      <c r="H1438"/>
      <c r="I1438"/>
      <c r="L1438"/>
      <c r="M1438"/>
      <c r="N1438" s="642"/>
      <c r="O1438"/>
    </row>
    <row r="1439" spans="1:15" x14ac:dyDescent="0.2">
      <c r="A1439"/>
      <c r="B1439" s="642"/>
      <c r="C1439" s="642"/>
      <c r="F1439"/>
      <c r="G1439"/>
      <c r="H1439"/>
      <c r="I1439"/>
      <c r="L1439"/>
      <c r="M1439"/>
      <c r="N1439" s="642"/>
      <c r="O1439"/>
    </row>
    <row r="1440" spans="1:15" x14ac:dyDescent="0.2">
      <c r="A1440"/>
      <c r="B1440" s="642"/>
      <c r="C1440" s="642"/>
      <c r="F1440"/>
      <c r="G1440"/>
      <c r="H1440"/>
      <c r="I1440"/>
      <c r="L1440"/>
      <c r="M1440"/>
      <c r="N1440" s="642"/>
      <c r="O1440"/>
    </row>
    <row r="1441" spans="1:15" x14ac:dyDescent="0.2">
      <c r="A1441"/>
      <c r="B1441" s="642"/>
      <c r="C1441" s="642"/>
      <c r="F1441"/>
      <c r="G1441"/>
      <c r="I1441"/>
      <c r="L1441"/>
      <c r="M1441"/>
      <c r="N1441" s="642"/>
      <c r="O1441"/>
    </row>
    <row r="1442" spans="1:15" x14ac:dyDescent="0.2">
      <c r="A1442"/>
      <c r="B1442" s="642"/>
      <c r="C1442" s="642"/>
      <c r="F1442"/>
      <c r="G1442"/>
      <c r="H1442"/>
      <c r="I1442"/>
      <c r="L1442"/>
      <c r="M1442"/>
      <c r="N1442" s="642"/>
      <c r="O1442"/>
    </row>
    <row r="1443" spans="1:15" x14ac:dyDescent="0.2">
      <c r="A1443"/>
      <c r="B1443" s="642"/>
      <c r="C1443" s="642"/>
      <c r="F1443"/>
      <c r="G1443"/>
      <c r="H1443"/>
      <c r="I1443"/>
      <c r="L1443"/>
      <c r="N1443" s="642"/>
      <c r="O1443"/>
    </row>
    <row r="1444" spans="1:15" x14ac:dyDescent="0.2">
      <c r="A1444"/>
      <c r="B1444" s="642"/>
      <c r="C1444" s="642"/>
      <c r="F1444"/>
      <c r="G1444"/>
      <c r="J1444"/>
      <c r="K1444"/>
      <c r="L1444"/>
      <c r="M1444"/>
      <c r="N1444" s="642"/>
      <c r="O1444"/>
    </row>
    <row r="1445" spans="1:15" x14ac:dyDescent="0.2">
      <c r="A1445"/>
      <c r="B1445" s="642"/>
      <c r="C1445" s="642"/>
      <c r="F1445"/>
      <c r="G1445"/>
      <c r="H1445"/>
      <c r="J1445"/>
      <c r="K1445"/>
      <c r="L1445"/>
      <c r="M1445"/>
      <c r="N1445" s="642"/>
      <c r="O1445"/>
    </row>
    <row r="1446" spans="1:15" x14ac:dyDescent="0.2">
      <c r="A1446"/>
      <c r="B1446" s="642"/>
      <c r="C1446" s="642"/>
      <c r="F1446"/>
      <c r="G1446"/>
      <c r="L1446"/>
      <c r="M1446"/>
      <c r="N1446" s="642"/>
      <c r="O1446"/>
    </row>
    <row r="1447" spans="1:15" x14ac:dyDescent="0.2">
      <c r="A1447"/>
      <c r="B1447" s="642"/>
      <c r="C1447" s="642"/>
      <c r="F1447"/>
      <c r="G1447"/>
      <c r="H1447"/>
      <c r="I1447"/>
      <c r="J1447"/>
      <c r="K1447"/>
      <c r="L1447"/>
      <c r="M1447"/>
      <c r="N1447" s="642"/>
      <c r="O1447"/>
    </row>
    <row r="1448" spans="1:15" x14ac:dyDescent="0.2">
      <c r="A1448"/>
      <c r="B1448" s="642"/>
      <c r="C1448" s="642"/>
      <c r="F1448"/>
      <c r="G1448"/>
      <c r="H1448"/>
      <c r="J1448"/>
      <c r="K1448"/>
      <c r="M1448"/>
      <c r="N1448" s="642"/>
      <c r="O1448"/>
    </row>
    <row r="1449" spans="1:15" x14ac:dyDescent="0.2">
      <c r="A1449"/>
      <c r="B1449" s="642"/>
      <c r="C1449" s="642"/>
      <c r="F1449"/>
      <c r="G1449"/>
      <c r="H1449"/>
      <c r="J1449"/>
      <c r="K1449"/>
      <c r="L1449"/>
      <c r="M1449"/>
      <c r="N1449" s="642"/>
      <c r="O1449"/>
    </row>
    <row r="1450" spans="1:15" x14ac:dyDescent="0.2">
      <c r="A1450"/>
      <c r="B1450" s="642"/>
      <c r="C1450" s="642"/>
      <c r="F1450"/>
      <c r="G1450"/>
      <c r="J1450"/>
      <c r="K1450"/>
      <c r="L1450"/>
      <c r="M1450"/>
      <c r="N1450" s="642"/>
      <c r="O1450"/>
    </row>
    <row r="1451" spans="1:15" x14ac:dyDescent="0.2">
      <c r="A1451"/>
      <c r="B1451" s="642"/>
      <c r="C1451" s="642"/>
      <c r="F1451"/>
      <c r="G1451"/>
      <c r="H1451"/>
      <c r="J1451"/>
      <c r="K1451"/>
      <c r="L1451"/>
      <c r="M1451"/>
      <c r="N1451" s="642"/>
      <c r="O1451"/>
    </row>
    <row r="1452" spans="1:15" x14ac:dyDescent="0.2">
      <c r="A1452"/>
      <c r="B1452" s="642"/>
      <c r="C1452" s="642"/>
      <c r="F1452"/>
      <c r="G1452"/>
      <c r="H1452"/>
      <c r="J1452"/>
      <c r="K1452"/>
      <c r="L1452"/>
      <c r="M1452"/>
      <c r="N1452" s="642"/>
      <c r="O1452"/>
    </row>
    <row r="1453" spans="1:15" x14ac:dyDescent="0.2">
      <c r="A1453"/>
      <c r="B1453" s="642"/>
      <c r="C1453" s="642"/>
      <c r="F1453"/>
      <c r="G1453"/>
      <c r="H1453"/>
      <c r="I1453"/>
      <c r="J1453"/>
      <c r="K1453"/>
      <c r="L1453"/>
      <c r="M1453"/>
      <c r="N1453" s="642"/>
      <c r="O1453"/>
    </row>
    <row r="1454" spans="1:15" x14ac:dyDescent="0.2">
      <c r="A1454"/>
      <c r="B1454" s="642"/>
      <c r="C1454" s="642"/>
      <c r="F1454"/>
      <c r="G1454"/>
      <c r="J1454"/>
      <c r="L1454"/>
      <c r="M1454"/>
      <c r="N1454" s="642"/>
      <c r="O1454"/>
    </row>
    <row r="1455" spans="1:15" x14ac:dyDescent="0.2">
      <c r="A1455"/>
      <c r="B1455" s="642"/>
      <c r="C1455" s="642"/>
      <c r="F1455"/>
      <c r="G1455"/>
      <c r="I1455"/>
      <c r="L1455"/>
      <c r="N1455" s="642"/>
      <c r="O1455"/>
    </row>
    <row r="1456" spans="1:15" x14ac:dyDescent="0.2">
      <c r="A1456"/>
      <c r="B1456" s="642"/>
      <c r="C1456" s="642"/>
      <c r="F1456"/>
      <c r="G1456"/>
      <c r="L1456"/>
      <c r="M1456"/>
      <c r="N1456" s="642"/>
      <c r="O1456"/>
    </row>
    <row r="1457" spans="1:15" x14ac:dyDescent="0.2">
      <c r="A1457"/>
      <c r="B1457" s="642"/>
      <c r="C1457" s="642"/>
      <c r="F1457"/>
      <c r="G1457"/>
      <c r="H1457"/>
      <c r="J1457"/>
      <c r="K1457"/>
      <c r="L1457"/>
      <c r="M1457"/>
      <c r="N1457" s="642"/>
      <c r="O1457"/>
    </row>
    <row r="1458" spans="1:15" x14ac:dyDescent="0.2">
      <c r="A1458"/>
      <c r="B1458" s="642"/>
      <c r="C1458" s="642"/>
      <c r="F1458"/>
      <c r="G1458"/>
      <c r="H1458"/>
      <c r="J1458"/>
      <c r="K1458"/>
      <c r="L1458"/>
      <c r="M1458"/>
      <c r="N1458" s="642"/>
      <c r="O1458"/>
    </row>
    <row r="1459" spans="1:15" x14ac:dyDescent="0.2">
      <c r="A1459"/>
      <c r="B1459" s="642"/>
      <c r="C1459" s="642"/>
      <c r="F1459"/>
      <c r="G1459"/>
      <c r="J1459"/>
      <c r="K1459"/>
      <c r="L1459"/>
      <c r="M1459"/>
      <c r="N1459" s="642"/>
      <c r="O1459"/>
    </row>
    <row r="1460" spans="1:15" x14ac:dyDescent="0.2">
      <c r="A1460"/>
      <c r="B1460" s="642"/>
      <c r="C1460" s="642"/>
      <c r="F1460"/>
      <c r="G1460"/>
      <c r="H1460"/>
      <c r="I1460"/>
      <c r="L1460"/>
      <c r="M1460"/>
      <c r="N1460" s="642"/>
      <c r="O1460"/>
    </row>
    <row r="1461" spans="1:15" x14ac:dyDescent="0.2">
      <c r="A1461"/>
      <c r="B1461" s="642"/>
      <c r="C1461" s="642"/>
      <c r="F1461"/>
      <c r="G1461"/>
      <c r="H1461"/>
      <c r="L1461"/>
      <c r="M1461"/>
      <c r="N1461" s="642"/>
      <c r="O1461"/>
    </row>
    <row r="1462" spans="1:15" x14ac:dyDescent="0.2">
      <c r="A1462"/>
      <c r="B1462" s="642"/>
      <c r="C1462" s="642"/>
      <c r="F1462"/>
      <c r="G1462"/>
      <c r="H1462"/>
      <c r="I1462"/>
      <c r="L1462"/>
      <c r="N1462" s="642"/>
      <c r="O1462"/>
    </row>
    <row r="1463" spans="1:15" x14ac:dyDescent="0.2">
      <c r="A1463"/>
      <c r="B1463" s="642"/>
      <c r="C1463" s="642"/>
      <c r="F1463"/>
      <c r="G1463"/>
      <c r="I1463"/>
      <c r="L1463"/>
      <c r="M1463"/>
      <c r="N1463" s="642"/>
      <c r="O1463"/>
    </row>
    <row r="1464" spans="1:15" x14ac:dyDescent="0.2">
      <c r="A1464"/>
      <c r="B1464" s="642"/>
      <c r="C1464" s="642"/>
      <c r="F1464"/>
      <c r="G1464"/>
      <c r="L1464"/>
      <c r="M1464"/>
      <c r="N1464" s="642"/>
      <c r="O1464"/>
    </row>
    <row r="1465" spans="1:15" x14ac:dyDescent="0.2">
      <c r="A1465"/>
      <c r="B1465" s="642"/>
      <c r="C1465" s="642"/>
      <c r="F1465"/>
      <c r="G1465"/>
      <c r="L1465"/>
      <c r="M1465"/>
      <c r="N1465" s="642"/>
      <c r="O1465"/>
    </row>
    <row r="1466" spans="1:15" x14ac:dyDescent="0.2">
      <c r="A1466"/>
      <c r="B1466" s="642"/>
      <c r="C1466" s="642"/>
      <c r="F1466"/>
      <c r="G1466"/>
      <c r="H1466"/>
      <c r="I1466"/>
      <c r="L1466"/>
      <c r="M1466"/>
      <c r="N1466" s="642"/>
      <c r="O1466"/>
    </row>
    <row r="1467" spans="1:15" x14ac:dyDescent="0.2">
      <c r="A1467"/>
      <c r="B1467" s="642"/>
      <c r="C1467" s="642"/>
      <c r="F1467"/>
      <c r="G1467"/>
      <c r="L1467"/>
      <c r="M1467"/>
      <c r="N1467" s="642"/>
      <c r="O1467"/>
    </row>
    <row r="1468" spans="1:15" x14ac:dyDescent="0.2">
      <c r="A1468"/>
      <c r="B1468" s="642"/>
      <c r="C1468" s="642"/>
      <c r="F1468"/>
      <c r="G1468"/>
      <c r="H1468"/>
      <c r="I1468"/>
      <c r="L1468"/>
      <c r="M1468"/>
      <c r="N1468" s="642"/>
      <c r="O1468"/>
    </row>
    <row r="1469" spans="1:15" x14ac:dyDescent="0.2">
      <c r="A1469"/>
      <c r="B1469" s="642"/>
      <c r="C1469" s="642"/>
      <c r="F1469"/>
      <c r="G1469"/>
      <c r="H1469"/>
      <c r="I1469"/>
      <c r="L1469"/>
      <c r="M1469"/>
      <c r="N1469" s="642"/>
      <c r="O1469"/>
    </row>
    <row r="1470" spans="1:15" x14ac:dyDescent="0.2">
      <c r="A1470"/>
      <c r="B1470" s="642"/>
      <c r="C1470" s="642"/>
      <c r="F1470"/>
      <c r="G1470"/>
      <c r="H1470"/>
      <c r="I1470"/>
      <c r="L1470"/>
      <c r="M1470"/>
      <c r="N1470" s="642"/>
      <c r="O1470"/>
    </row>
    <row r="1471" spans="1:15" x14ac:dyDescent="0.2">
      <c r="A1471"/>
      <c r="B1471" s="642"/>
      <c r="C1471" s="642"/>
      <c r="F1471"/>
      <c r="G1471"/>
      <c r="H1471"/>
      <c r="I1471"/>
      <c r="L1471"/>
      <c r="M1471"/>
      <c r="N1471" s="642"/>
      <c r="O1471"/>
    </row>
    <row r="1472" spans="1:15" x14ac:dyDescent="0.2">
      <c r="A1472"/>
      <c r="B1472" s="642"/>
      <c r="C1472" s="642"/>
      <c r="F1472"/>
      <c r="G1472"/>
      <c r="H1472"/>
      <c r="L1472"/>
      <c r="M1472"/>
      <c r="N1472" s="642"/>
      <c r="O1472"/>
    </row>
    <row r="1473" spans="1:15" x14ac:dyDescent="0.2">
      <c r="A1473"/>
      <c r="B1473" s="642"/>
      <c r="C1473" s="642"/>
      <c r="F1473"/>
      <c r="G1473"/>
      <c r="H1473"/>
      <c r="I1473"/>
      <c r="L1473"/>
      <c r="M1473"/>
      <c r="N1473" s="642"/>
      <c r="O1473"/>
    </row>
    <row r="1474" spans="1:15" x14ac:dyDescent="0.2">
      <c r="A1474"/>
      <c r="B1474" s="642"/>
      <c r="C1474" s="642"/>
      <c r="F1474"/>
      <c r="G1474"/>
      <c r="H1474"/>
      <c r="I1474"/>
      <c r="L1474"/>
      <c r="M1474"/>
      <c r="N1474" s="642"/>
      <c r="O1474"/>
    </row>
    <row r="1475" spans="1:15" x14ac:dyDescent="0.2">
      <c r="A1475"/>
      <c r="B1475" s="642"/>
      <c r="C1475" s="642"/>
      <c r="F1475"/>
      <c r="G1475"/>
      <c r="J1475"/>
      <c r="K1475"/>
      <c r="L1475"/>
      <c r="M1475"/>
      <c r="N1475" s="642"/>
      <c r="O1475"/>
    </row>
    <row r="1476" spans="1:15" x14ac:dyDescent="0.2">
      <c r="A1476"/>
      <c r="B1476" s="642"/>
      <c r="C1476" s="642"/>
      <c r="F1476"/>
      <c r="G1476"/>
      <c r="H1476"/>
      <c r="I1476"/>
      <c r="L1476"/>
      <c r="M1476"/>
      <c r="N1476" s="642"/>
      <c r="O1476"/>
    </row>
    <row r="1477" spans="1:15" x14ac:dyDescent="0.2">
      <c r="A1477"/>
      <c r="B1477" s="642"/>
      <c r="C1477" s="642"/>
      <c r="F1477"/>
      <c r="G1477"/>
      <c r="I1477"/>
      <c r="L1477"/>
      <c r="M1477"/>
      <c r="N1477" s="642"/>
      <c r="O1477"/>
    </row>
    <row r="1478" spans="1:15" x14ac:dyDescent="0.2">
      <c r="A1478"/>
      <c r="B1478" s="642"/>
      <c r="C1478" s="642"/>
      <c r="F1478"/>
      <c r="G1478"/>
      <c r="H1478"/>
      <c r="I1478"/>
      <c r="J1478"/>
      <c r="K1478"/>
      <c r="L1478"/>
      <c r="M1478"/>
      <c r="N1478" s="642"/>
      <c r="O1478"/>
    </row>
    <row r="1479" spans="1:15" x14ac:dyDescent="0.2">
      <c r="A1479"/>
      <c r="B1479" s="642"/>
      <c r="C1479" s="642"/>
      <c r="F1479"/>
      <c r="G1479"/>
      <c r="I1479"/>
      <c r="L1479"/>
      <c r="M1479"/>
      <c r="N1479" s="642"/>
      <c r="O1479"/>
    </row>
    <row r="1480" spans="1:15" x14ac:dyDescent="0.2">
      <c r="A1480"/>
      <c r="B1480" s="642"/>
      <c r="C1480" s="642"/>
      <c r="F1480"/>
      <c r="G1480"/>
      <c r="L1480"/>
      <c r="M1480"/>
      <c r="N1480" s="642"/>
      <c r="O1480"/>
    </row>
    <row r="1481" spans="1:15" x14ac:dyDescent="0.2">
      <c r="A1481"/>
      <c r="B1481" s="642"/>
      <c r="C1481" s="642"/>
      <c r="F1481"/>
      <c r="G1481"/>
      <c r="H1481"/>
      <c r="I1481"/>
      <c r="L1481"/>
      <c r="M1481"/>
      <c r="N1481" s="642"/>
      <c r="O1481"/>
    </row>
    <row r="1482" spans="1:15" x14ac:dyDescent="0.2">
      <c r="A1482"/>
      <c r="B1482" s="642"/>
      <c r="C1482" s="642"/>
      <c r="F1482"/>
      <c r="G1482"/>
      <c r="H1482"/>
      <c r="I1482"/>
      <c r="L1482"/>
      <c r="N1482" s="642"/>
      <c r="O1482"/>
    </row>
    <row r="1483" spans="1:15" x14ac:dyDescent="0.2">
      <c r="A1483"/>
      <c r="B1483" s="642"/>
      <c r="C1483" s="642"/>
      <c r="F1483"/>
      <c r="G1483"/>
      <c r="I1483"/>
      <c r="L1483"/>
      <c r="M1483"/>
      <c r="N1483" s="642"/>
      <c r="O1483"/>
    </row>
    <row r="1484" spans="1:15" x14ac:dyDescent="0.2">
      <c r="A1484"/>
      <c r="B1484" s="642"/>
      <c r="C1484" s="642"/>
      <c r="F1484"/>
      <c r="G1484"/>
      <c r="L1484"/>
      <c r="M1484"/>
      <c r="N1484" s="642"/>
      <c r="O1484"/>
    </row>
    <row r="1485" spans="1:15" x14ac:dyDescent="0.2">
      <c r="A1485"/>
      <c r="B1485" s="642"/>
      <c r="C1485" s="642"/>
      <c r="F1485"/>
      <c r="G1485"/>
      <c r="H1485"/>
      <c r="I1485"/>
      <c r="L1485"/>
      <c r="M1485"/>
      <c r="N1485" s="642"/>
      <c r="O1485"/>
    </row>
    <row r="1486" spans="1:15" x14ac:dyDescent="0.2">
      <c r="A1486"/>
      <c r="B1486" s="642"/>
      <c r="C1486" s="642"/>
      <c r="F1486"/>
      <c r="G1486"/>
      <c r="H1486"/>
      <c r="J1486"/>
      <c r="K1486"/>
      <c r="L1486"/>
      <c r="M1486"/>
      <c r="N1486" s="642"/>
      <c r="O1486"/>
    </row>
    <row r="1487" spans="1:15" x14ac:dyDescent="0.2">
      <c r="A1487"/>
      <c r="B1487" s="642"/>
      <c r="C1487" s="642"/>
      <c r="F1487"/>
      <c r="G1487"/>
      <c r="H1487"/>
      <c r="J1487"/>
      <c r="K1487"/>
      <c r="L1487"/>
      <c r="M1487"/>
      <c r="N1487" s="642"/>
      <c r="O1487"/>
    </row>
    <row r="1488" spans="1:15" x14ac:dyDescent="0.2">
      <c r="A1488"/>
      <c r="B1488" s="642"/>
      <c r="C1488" s="642"/>
      <c r="F1488"/>
      <c r="G1488"/>
      <c r="H1488"/>
      <c r="I1488"/>
      <c r="L1488"/>
      <c r="M1488"/>
      <c r="N1488" s="642"/>
      <c r="O1488"/>
    </row>
    <row r="1489" spans="1:15" x14ac:dyDescent="0.2">
      <c r="A1489"/>
      <c r="B1489" s="642"/>
      <c r="C1489" s="642"/>
      <c r="F1489"/>
      <c r="G1489"/>
      <c r="H1489"/>
      <c r="I1489"/>
      <c r="L1489"/>
      <c r="M1489"/>
      <c r="N1489" s="642"/>
      <c r="O1489"/>
    </row>
    <row r="1490" spans="1:15" x14ac:dyDescent="0.2">
      <c r="A1490"/>
      <c r="B1490" s="642"/>
      <c r="C1490" s="642"/>
      <c r="F1490"/>
      <c r="G1490"/>
      <c r="H1490"/>
      <c r="L1490"/>
      <c r="M1490"/>
      <c r="N1490" s="642"/>
      <c r="O1490"/>
    </row>
    <row r="1491" spans="1:15" x14ac:dyDescent="0.2">
      <c r="A1491"/>
      <c r="B1491" s="642"/>
      <c r="C1491" s="642"/>
      <c r="F1491"/>
      <c r="G1491"/>
      <c r="H1491"/>
      <c r="I1491"/>
      <c r="L1491"/>
      <c r="M1491"/>
      <c r="N1491" s="642"/>
      <c r="O1491"/>
    </row>
    <row r="1492" spans="1:15" x14ac:dyDescent="0.2">
      <c r="A1492"/>
      <c r="B1492" s="642"/>
      <c r="C1492" s="642"/>
      <c r="F1492"/>
      <c r="G1492"/>
      <c r="H1492"/>
      <c r="I1492"/>
      <c r="L1492"/>
      <c r="N1492" s="642"/>
      <c r="O1492"/>
    </row>
    <row r="1493" spans="1:15" x14ac:dyDescent="0.2">
      <c r="A1493"/>
      <c r="B1493" s="642"/>
      <c r="C1493" s="642"/>
      <c r="F1493"/>
      <c r="G1493"/>
      <c r="H1493"/>
      <c r="I1493"/>
      <c r="L1493"/>
      <c r="M1493"/>
      <c r="N1493" s="642"/>
      <c r="O1493"/>
    </row>
    <row r="1494" spans="1:15" x14ac:dyDescent="0.2">
      <c r="A1494"/>
      <c r="B1494" s="642"/>
      <c r="C1494" s="642"/>
      <c r="F1494"/>
      <c r="G1494"/>
      <c r="H1494"/>
      <c r="I1494"/>
      <c r="J1494"/>
      <c r="K1494"/>
      <c r="L1494"/>
      <c r="M1494"/>
      <c r="N1494" s="642"/>
      <c r="O1494"/>
    </row>
    <row r="1495" spans="1:15" x14ac:dyDescent="0.2">
      <c r="A1495"/>
      <c r="B1495" s="642"/>
      <c r="C1495" s="642"/>
      <c r="F1495"/>
      <c r="G1495"/>
      <c r="H1495"/>
      <c r="J1495"/>
      <c r="K1495"/>
      <c r="L1495"/>
      <c r="M1495"/>
      <c r="N1495" s="642"/>
      <c r="O1495"/>
    </row>
    <row r="1496" spans="1:15" x14ac:dyDescent="0.2">
      <c r="A1496"/>
      <c r="B1496" s="642"/>
      <c r="C1496" s="642"/>
      <c r="F1496"/>
      <c r="G1496"/>
      <c r="L1496"/>
      <c r="M1496"/>
      <c r="N1496" s="642"/>
      <c r="O1496"/>
    </row>
    <row r="1497" spans="1:15" x14ac:dyDescent="0.2">
      <c r="A1497"/>
      <c r="B1497" s="642"/>
      <c r="C1497" s="642"/>
      <c r="F1497"/>
      <c r="G1497"/>
      <c r="H1497"/>
      <c r="I1497"/>
      <c r="L1497"/>
      <c r="M1497"/>
      <c r="N1497" s="642"/>
      <c r="O1497"/>
    </row>
    <row r="1498" spans="1:15" x14ac:dyDescent="0.2">
      <c r="A1498"/>
      <c r="B1498" s="642"/>
      <c r="C1498" s="642"/>
      <c r="F1498"/>
      <c r="G1498"/>
      <c r="M1498"/>
      <c r="N1498" s="642"/>
      <c r="O1498"/>
    </row>
    <row r="1499" spans="1:15" x14ac:dyDescent="0.2">
      <c r="A1499"/>
      <c r="B1499" s="642"/>
      <c r="C1499" s="642"/>
      <c r="F1499"/>
      <c r="G1499"/>
      <c r="L1499"/>
      <c r="M1499"/>
      <c r="N1499" s="642"/>
      <c r="O1499"/>
    </row>
    <row r="1500" spans="1:15" x14ac:dyDescent="0.2">
      <c r="A1500"/>
      <c r="B1500" s="642"/>
      <c r="C1500" s="642"/>
      <c r="F1500"/>
      <c r="G1500"/>
      <c r="M1500"/>
      <c r="N1500" s="642"/>
      <c r="O1500"/>
    </row>
    <row r="1501" spans="1:15" x14ac:dyDescent="0.2">
      <c r="A1501"/>
      <c r="B1501" s="642"/>
      <c r="C1501" s="642"/>
      <c r="F1501"/>
      <c r="G1501"/>
      <c r="L1501"/>
      <c r="M1501"/>
      <c r="N1501" s="642"/>
      <c r="O1501"/>
    </row>
    <row r="1502" spans="1:15" x14ac:dyDescent="0.2">
      <c r="A1502"/>
      <c r="B1502" s="642"/>
      <c r="C1502" s="642"/>
      <c r="F1502"/>
      <c r="G1502"/>
      <c r="H1502"/>
      <c r="I1502"/>
      <c r="L1502"/>
      <c r="N1502" s="642"/>
      <c r="O1502"/>
    </row>
    <row r="1503" spans="1:15" x14ac:dyDescent="0.2">
      <c r="A1503"/>
      <c r="B1503" s="642"/>
      <c r="C1503" s="642"/>
      <c r="F1503"/>
      <c r="G1503"/>
      <c r="L1503"/>
      <c r="M1503"/>
      <c r="N1503" s="642"/>
      <c r="O1503"/>
    </row>
    <row r="1504" spans="1:15" x14ac:dyDescent="0.2">
      <c r="A1504"/>
      <c r="B1504" s="642"/>
      <c r="C1504" s="642"/>
      <c r="F1504"/>
      <c r="G1504"/>
      <c r="J1504"/>
      <c r="K1504"/>
      <c r="L1504"/>
      <c r="M1504"/>
      <c r="N1504" s="642"/>
      <c r="O1504"/>
    </row>
    <row r="1505" spans="1:15" x14ac:dyDescent="0.2">
      <c r="A1505"/>
      <c r="B1505" s="642"/>
      <c r="C1505" s="642"/>
      <c r="F1505"/>
      <c r="G1505"/>
      <c r="H1505"/>
      <c r="I1505"/>
      <c r="L1505"/>
      <c r="N1505" s="642"/>
      <c r="O1505"/>
    </row>
    <row r="1506" spans="1:15" x14ac:dyDescent="0.2">
      <c r="A1506"/>
      <c r="B1506" s="642"/>
      <c r="C1506" s="642"/>
      <c r="F1506"/>
      <c r="G1506"/>
      <c r="H1506"/>
      <c r="I1506"/>
      <c r="L1506"/>
      <c r="M1506"/>
      <c r="N1506" s="642"/>
      <c r="O1506"/>
    </row>
    <row r="1507" spans="1:15" x14ac:dyDescent="0.2">
      <c r="A1507"/>
      <c r="B1507" s="642"/>
      <c r="C1507" s="642"/>
      <c r="F1507"/>
      <c r="G1507"/>
      <c r="H1507"/>
      <c r="I1507"/>
      <c r="L1507"/>
      <c r="M1507"/>
      <c r="N1507" s="642"/>
      <c r="O1507"/>
    </row>
    <row r="1508" spans="1:15" x14ac:dyDescent="0.2">
      <c r="A1508"/>
      <c r="B1508" s="642"/>
      <c r="C1508" s="642"/>
      <c r="F1508"/>
      <c r="G1508"/>
      <c r="L1508"/>
      <c r="M1508"/>
      <c r="N1508" s="642"/>
      <c r="O1508"/>
    </row>
    <row r="1509" spans="1:15" x14ac:dyDescent="0.2">
      <c r="A1509"/>
      <c r="B1509" s="642"/>
      <c r="C1509" s="642"/>
      <c r="F1509"/>
      <c r="G1509"/>
      <c r="H1509"/>
      <c r="I1509"/>
      <c r="L1509"/>
      <c r="M1509"/>
      <c r="N1509" s="642"/>
      <c r="O1509"/>
    </row>
    <row r="1510" spans="1:15" x14ac:dyDescent="0.2">
      <c r="A1510"/>
      <c r="B1510" s="642"/>
      <c r="C1510" s="642"/>
      <c r="F1510"/>
      <c r="G1510"/>
      <c r="H1510"/>
      <c r="I1510"/>
      <c r="L1510"/>
      <c r="M1510"/>
      <c r="N1510" s="642"/>
      <c r="O1510"/>
    </row>
    <row r="1511" spans="1:15" x14ac:dyDescent="0.2">
      <c r="A1511"/>
      <c r="B1511" s="642"/>
      <c r="C1511" s="642"/>
      <c r="F1511"/>
      <c r="G1511"/>
      <c r="H1511"/>
      <c r="L1511"/>
      <c r="M1511"/>
      <c r="N1511" s="642"/>
      <c r="O1511"/>
    </row>
    <row r="1512" spans="1:15" x14ac:dyDescent="0.2">
      <c r="A1512"/>
      <c r="B1512" s="642"/>
      <c r="C1512" s="642"/>
      <c r="F1512"/>
      <c r="G1512"/>
      <c r="L1512"/>
      <c r="M1512"/>
      <c r="N1512" s="642"/>
      <c r="O1512"/>
    </row>
    <row r="1513" spans="1:15" x14ac:dyDescent="0.2">
      <c r="A1513"/>
      <c r="B1513" s="642"/>
      <c r="C1513" s="642"/>
      <c r="F1513"/>
      <c r="G1513"/>
      <c r="M1513"/>
      <c r="N1513" s="642"/>
      <c r="O1513"/>
    </row>
    <row r="1514" spans="1:15" x14ac:dyDescent="0.2">
      <c r="A1514"/>
      <c r="B1514" s="642"/>
      <c r="C1514" s="642"/>
      <c r="F1514"/>
      <c r="G1514"/>
      <c r="H1514"/>
      <c r="I1514"/>
      <c r="L1514"/>
      <c r="M1514"/>
      <c r="N1514" s="642"/>
      <c r="O1514"/>
    </row>
    <row r="1515" spans="1:15" x14ac:dyDescent="0.2">
      <c r="A1515"/>
      <c r="B1515" s="642"/>
      <c r="C1515" s="642"/>
      <c r="F1515"/>
      <c r="G1515"/>
      <c r="I1515"/>
      <c r="L1515"/>
      <c r="M1515"/>
      <c r="N1515" s="642"/>
      <c r="O1515"/>
    </row>
    <row r="1516" spans="1:15" x14ac:dyDescent="0.2">
      <c r="A1516"/>
      <c r="B1516" s="642"/>
      <c r="C1516" s="642"/>
      <c r="F1516"/>
      <c r="G1516"/>
      <c r="H1516"/>
      <c r="I1516"/>
      <c r="L1516"/>
      <c r="M1516"/>
      <c r="N1516" s="642"/>
      <c r="O1516"/>
    </row>
    <row r="1517" spans="1:15" x14ac:dyDescent="0.2">
      <c r="A1517"/>
      <c r="B1517" s="642"/>
      <c r="C1517" s="642"/>
      <c r="F1517"/>
      <c r="G1517"/>
      <c r="H1517"/>
      <c r="J1517"/>
      <c r="K1517"/>
      <c r="L1517"/>
      <c r="M1517"/>
      <c r="N1517" s="642"/>
      <c r="O1517"/>
    </row>
    <row r="1518" spans="1:15" x14ac:dyDescent="0.2">
      <c r="A1518"/>
      <c r="B1518" s="642"/>
      <c r="C1518" s="642"/>
      <c r="F1518"/>
      <c r="G1518"/>
      <c r="H1518"/>
      <c r="I1518"/>
      <c r="L1518"/>
      <c r="M1518"/>
      <c r="N1518" s="642"/>
      <c r="O1518"/>
    </row>
    <row r="1519" spans="1:15" x14ac:dyDescent="0.2">
      <c r="A1519"/>
      <c r="B1519" s="642"/>
      <c r="C1519" s="642"/>
      <c r="F1519"/>
      <c r="G1519"/>
      <c r="L1519"/>
      <c r="M1519"/>
      <c r="N1519" s="642"/>
      <c r="O1519"/>
    </row>
    <row r="1520" spans="1:15" x14ac:dyDescent="0.2">
      <c r="A1520"/>
      <c r="B1520" s="642"/>
      <c r="C1520" s="642"/>
      <c r="F1520"/>
      <c r="G1520"/>
      <c r="H1520"/>
      <c r="I1520"/>
      <c r="L1520"/>
      <c r="M1520"/>
      <c r="N1520" s="642"/>
      <c r="O1520"/>
    </row>
    <row r="1521" spans="1:15" x14ac:dyDescent="0.2">
      <c r="A1521"/>
      <c r="B1521" s="642"/>
      <c r="C1521" s="642"/>
      <c r="F1521"/>
      <c r="G1521"/>
      <c r="H1521"/>
      <c r="I1521"/>
      <c r="L1521"/>
      <c r="N1521" s="642"/>
      <c r="O1521"/>
    </row>
    <row r="1522" spans="1:15" x14ac:dyDescent="0.2">
      <c r="A1522"/>
      <c r="B1522" s="642"/>
      <c r="C1522" s="642"/>
      <c r="F1522"/>
      <c r="G1522"/>
      <c r="L1522"/>
      <c r="M1522"/>
      <c r="N1522" s="642"/>
      <c r="O1522"/>
    </row>
    <row r="1523" spans="1:15" x14ac:dyDescent="0.2">
      <c r="A1523"/>
      <c r="B1523" s="642"/>
      <c r="C1523" s="642"/>
      <c r="F1523"/>
      <c r="G1523"/>
      <c r="L1523"/>
      <c r="M1523"/>
      <c r="N1523" s="642"/>
      <c r="O1523"/>
    </row>
    <row r="1524" spans="1:15" x14ac:dyDescent="0.2">
      <c r="A1524"/>
      <c r="B1524" s="642"/>
      <c r="C1524" s="642"/>
      <c r="F1524"/>
      <c r="G1524"/>
      <c r="H1524"/>
      <c r="J1524"/>
      <c r="K1524"/>
      <c r="L1524"/>
      <c r="M1524"/>
      <c r="N1524" s="642"/>
      <c r="O1524"/>
    </row>
    <row r="1525" spans="1:15" x14ac:dyDescent="0.2">
      <c r="A1525"/>
      <c r="B1525" s="642"/>
      <c r="C1525" s="642"/>
      <c r="F1525"/>
      <c r="G1525"/>
      <c r="H1525"/>
      <c r="I1525"/>
      <c r="L1525"/>
      <c r="N1525" s="642"/>
      <c r="O1525"/>
    </row>
    <row r="1526" spans="1:15" x14ac:dyDescent="0.2">
      <c r="A1526"/>
      <c r="B1526" s="642"/>
      <c r="C1526" s="642"/>
      <c r="F1526"/>
      <c r="G1526"/>
      <c r="L1526"/>
      <c r="M1526"/>
      <c r="N1526" s="642"/>
      <c r="O1526"/>
    </row>
    <row r="1527" spans="1:15" x14ac:dyDescent="0.2">
      <c r="A1527"/>
      <c r="B1527" s="642"/>
      <c r="C1527" s="642"/>
      <c r="F1527"/>
      <c r="G1527"/>
      <c r="H1527"/>
      <c r="I1527"/>
      <c r="L1527"/>
      <c r="M1527"/>
      <c r="N1527" s="642"/>
      <c r="O1527"/>
    </row>
    <row r="1528" spans="1:15" x14ac:dyDescent="0.2">
      <c r="A1528"/>
      <c r="B1528" s="642"/>
      <c r="C1528" s="642"/>
      <c r="F1528"/>
      <c r="G1528"/>
      <c r="H1528"/>
      <c r="I1528"/>
      <c r="L1528"/>
      <c r="M1528"/>
      <c r="N1528" s="642"/>
      <c r="O1528"/>
    </row>
    <row r="1529" spans="1:15" x14ac:dyDescent="0.2">
      <c r="A1529"/>
      <c r="B1529" s="642"/>
      <c r="C1529" s="642"/>
      <c r="F1529"/>
      <c r="G1529"/>
      <c r="I1529"/>
      <c r="L1529"/>
      <c r="M1529"/>
      <c r="N1529" s="642"/>
      <c r="O1529"/>
    </row>
    <row r="1530" spans="1:15" x14ac:dyDescent="0.2">
      <c r="A1530"/>
      <c r="B1530" s="642"/>
      <c r="C1530" s="642"/>
      <c r="F1530"/>
      <c r="G1530"/>
      <c r="I1530"/>
      <c r="L1530"/>
      <c r="M1530"/>
      <c r="N1530" s="642"/>
      <c r="O1530"/>
    </row>
    <row r="1531" spans="1:15" x14ac:dyDescent="0.2">
      <c r="A1531"/>
      <c r="B1531" s="642"/>
      <c r="C1531" s="642"/>
      <c r="F1531"/>
      <c r="G1531"/>
      <c r="L1531"/>
      <c r="M1531"/>
      <c r="N1531" s="642"/>
      <c r="O1531"/>
    </row>
    <row r="1532" spans="1:15" x14ac:dyDescent="0.2">
      <c r="A1532"/>
      <c r="B1532" s="642"/>
      <c r="C1532" s="642"/>
      <c r="F1532"/>
      <c r="G1532"/>
      <c r="H1532"/>
      <c r="I1532"/>
      <c r="L1532"/>
      <c r="M1532"/>
      <c r="N1532" s="642"/>
      <c r="O1532"/>
    </row>
    <row r="1533" spans="1:15" x14ac:dyDescent="0.2">
      <c r="A1533"/>
      <c r="B1533" s="642"/>
      <c r="C1533" s="642"/>
      <c r="F1533"/>
      <c r="G1533"/>
      <c r="J1533"/>
      <c r="K1533"/>
      <c r="L1533"/>
      <c r="M1533"/>
      <c r="N1533" s="642"/>
      <c r="O1533"/>
    </row>
    <row r="1534" spans="1:15" x14ac:dyDescent="0.2">
      <c r="A1534"/>
      <c r="B1534" s="642"/>
      <c r="C1534" s="642"/>
      <c r="F1534"/>
      <c r="G1534"/>
      <c r="M1534"/>
      <c r="N1534" s="642"/>
      <c r="O1534"/>
    </row>
    <row r="1535" spans="1:15" x14ac:dyDescent="0.2">
      <c r="A1535"/>
      <c r="B1535" s="642"/>
      <c r="C1535" s="642"/>
      <c r="F1535"/>
      <c r="G1535"/>
      <c r="L1535"/>
      <c r="M1535"/>
      <c r="N1535" s="642"/>
      <c r="O1535"/>
    </row>
    <row r="1536" spans="1:15" x14ac:dyDescent="0.2">
      <c r="A1536"/>
      <c r="B1536" s="642"/>
      <c r="C1536" s="642"/>
      <c r="F1536"/>
      <c r="G1536"/>
      <c r="L1536"/>
      <c r="M1536"/>
      <c r="N1536" s="642"/>
      <c r="O1536"/>
    </row>
    <row r="1537" spans="1:15" x14ac:dyDescent="0.2">
      <c r="A1537"/>
      <c r="B1537" s="642"/>
      <c r="C1537" s="642"/>
      <c r="F1537"/>
      <c r="G1537"/>
      <c r="H1537"/>
      <c r="I1537"/>
      <c r="J1537"/>
      <c r="K1537"/>
      <c r="L1537"/>
      <c r="M1537"/>
      <c r="N1537" s="642"/>
      <c r="O1537"/>
    </row>
    <row r="1538" spans="1:15" x14ac:dyDescent="0.2">
      <c r="A1538"/>
      <c r="B1538" s="642"/>
      <c r="C1538" s="642"/>
      <c r="F1538"/>
      <c r="G1538"/>
      <c r="I1538"/>
      <c r="L1538"/>
      <c r="M1538"/>
      <c r="N1538" s="642"/>
      <c r="O1538"/>
    </row>
    <row r="1539" spans="1:15" x14ac:dyDescent="0.2">
      <c r="A1539"/>
      <c r="B1539" s="642"/>
      <c r="C1539" s="642"/>
      <c r="F1539"/>
      <c r="G1539"/>
      <c r="I1539"/>
      <c r="L1539"/>
      <c r="M1539"/>
      <c r="N1539" s="642"/>
      <c r="O1539"/>
    </row>
    <row r="1540" spans="1:15" x14ac:dyDescent="0.2">
      <c r="A1540"/>
      <c r="B1540" s="642"/>
      <c r="C1540" s="642"/>
      <c r="F1540"/>
      <c r="G1540"/>
      <c r="N1540" s="642"/>
      <c r="O1540"/>
    </row>
    <row r="1541" spans="1:15" x14ac:dyDescent="0.2">
      <c r="A1541"/>
      <c r="B1541" s="642"/>
      <c r="C1541" s="642"/>
      <c r="F1541"/>
      <c r="G1541"/>
      <c r="H1541"/>
      <c r="I1541"/>
      <c r="L1541"/>
      <c r="M1541"/>
      <c r="N1541" s="642"/>
      <c r="O1541"/>
    </row>
    <row r="1542" spans="1:15" x14ac:dyDescent="0.2">
      <c r="A1542"/>
      <c r="B1542" s="642"/>
      <c r="C1542" s="642"/>
      <c r="F1542"/>
      <c r="G1542"/>
      <c r="H1542"/>
      <c r="L1542"/>
      <c r="M1542"/>
      <c r="N1542" s="642"/>
      <c r="O1542"/>
    </row>
    <row r="1543" spans="1:15" x14ac:dyDescent="0.2">
      <c r="A1543"/>
      <c r="B1543" s="642"/>
      <c r="C1543" s="642"/>
      <c r="F1543"/>
      <c r="G1543"/>
      <c r="L1543"/>
      <c r="M1543"/>
      <c r="N1543" s="642"/>
      <c r="O1543"/>
    </row>
    <row r="1544" spans="1:15" x14ac:dyDescent="0.2">
      <c r="A1544"/>
      <c r="B1544" s="642"/>
      <c r="C1544" s="642"/>
      <c r="F1544"/>
      <c r="G1544"/>
      <c r="H1544"/>
      <c r="J1544"/>
      <c r="K1544"/>
      <c r="M1544"/>
      <c r="N1544" s="642"/>
      <c r="O1544"/>
    </row>
    <row r="1545" spans="1:15" x14ac:dyDescent="0.2">
      <c r="A1545"/>
      <c r="B1545" s="642"/>
      <c r="C1545" s="642"/>
      <c r="F1545"/>
      <c r="G1545"/>
      <c r="H1545"/>
      <c r="I1545"/>
      <c r="L1545"/>
      <c r="M1545"/>
      <c r="N1545" s="642"/>
      <c r="O1545"/>
    </row>
    <row r="1546" spans="1:15" x14ac:dyDescent="0.2">
      <c r="A1546"/>
      <c r="B1546" s="642"/>
      <c r="C1546" s="642"/>
      <c r="F1546"/>
      <c r="G1546"/>
      <c r="H1546"/>
      <c r="I1546"/>
      <c r="L1546"/>
      <c r="M1546"/>
      <c r="N1546" s="642"/>
      <c r="O1546"/>
    </row>
    <row r="1547" spans="1:15" x14ac:dyDescent="0.2">
      <c r="A1547"/>
      <c r="B1547" s="642"/>
      <c r="C1547" s="642"/>
      <c r="F1547"/>
      <c r="G1547"/>
      <c r="H1547"/>
      <c r="I1547"/>
      <c r="L1547"/>
      <c r="M1547"/>
      <c r="N1547" s="642"/>
      <c r="O1547"/>
    </row>
    <row r="1548" spans="1:15" x14ac:dyDescent="0.2">
      <c r="A1548"/>
      <c r="B1548" s="642"/>
      <c r="C1548" s="642"/>
      <c r="F1548"/>
      <c r="G1548"/>
      <c r="H1548"/>
      <c r="I1548"/>
      <c r="L1548"/>
      <c r="M1548"/>
      <c r="N1548" s="642"/>
      <c r="O1548"/>
    </row>
    <row r="1549" spans="1:15" x14ac:dyDescent="0.2">
      <c r="A1549"/>
      <c r="B1549" s="642"/>
      <c r="C1549" s="642"/>
      <c r="F1549"/>
      <c r="G1549"/>
      <c r="H1549"/>
      <c r="I1549"/>
      <c r="L1549"/>
      <c r="M1549"/>
      <c r="N1549" s="642"/>
      <c r="O1549"/>
    </row>
    <row r="1550" spans="1:15" x14ac:dyDescent="0.2">
      <c r="A1550"/>
      <c r="B1550" s="642"/>
      <c r="C1550" s="642"/>
      <c r="F1550"/>
      <c r="G1550"/>
      <c r="H1550"/>
      <c r="I1550"/>
      <c r="L1550"/>
      <c r="M1550"/>
      <c r="N1550" s="642"/>
      <c r="O1550"/>
    </row>
    <row r="1551" spans="1:15" x14ac:dyDescent="0.2">
      <c r="A1551"/>
      <c r="B1551" s="642"/>
      <c r="C1551" s="642"/>
      <c r="F1551"/>
      <c r="G1551"/>
      <c r="H1551"/>
      <c r="I1551"/>
      <c r="L1551"/>
      <c r="M1551"/>
      <c r="N1551" s="642"/>
      <c r="O1551"/>
    </row>
    <row r="1552" spans="1:15" x14ac:dyDescent="0.2">
      <c r="A1552"/>
      <c r="B1552" s="642"/>
      <c r="C1552" s="642"/>
      <c r="F1552"/>
      <c r="G1552"/>
      <c r="L1552"/>
      <c r="M1552"/>
      <c r="N1552" s="642"/>
      <c r="O1552"/>
    </row>
    <row r="1553" spans="1:15" x14ac:dyDescent="0.2">
      <c r="A1553"/>
      <c r="B1553" s="642"/>
      <c r="C1553" s="642"/>
      <c r="F1553"/>
      <c r="G1553"/>
      <c r="H1553"/>
      <c r="N1553" s="642"/>
      <c r="O1553"/>
    </row>
    <row r="1554" spans="1:15" x14ac:dyDescent="0.2">
      <c r="A1554"/>
      <c r="B1554" s="642"/>
      <c r="C1554" s="642"/>
      <c r="F1554"/>
      <c r="G1554"/>
      <c r="H1554"/>
      <c r="I1554"/>
      <c r="L1554"/>
      <c r="M1554"/>
      <c r="N1554" s="642"/>
      <c r="O1554"/>
    </row>
    <row r="1555" spans="1:15" x14ac:dyDescent="0.2">
      <c r="A1555"/>
      <c r="B1555" s="642"/>
      <c r="C1555" s="642"/>
      <c r="F1555"/>
      <c r="G1555"/>
      <c r="H1555"/>
      <c r="I1555"/>
      <c r="L1555"/>
      <c r="M1555"/>
      <c r="N1555" s="642"/>
      <c r="O1555"/>
    </row>
    <row r="1556" spans="1:15" x14ac:dyDescent="0.2">
      <c r="A1556"/>
      <c r="B1556" s="642"/>
      <c r="C1556" s="642"/>
      <c r="F1556"/>
      <c r="G1556"/>
      <c r="H1556"/>
      <c r="I1556"/>
      <c r="L1556"/>
      <c r="M1556"/>
      <c r="N1556" s="642"/>
      <c r="O1556"/>
    </row>
    <row r="1557" spans="1:15" x14ac:dyDescent="0.2">
      <c r="A1557"/>
      <c r="B1557" s="642"/>
      <c r="C1557" s="642"/>
      <c r="F1557"/>
      <c r="G1557"/>
      <c r="H1557"/>
      <c r="I1557"/>
      <c r="L1557"/>
      <c r="M1557"/>
      <c r="N1557" s="642"/>
      <c r="O1557"/>
    </row>
    <row r="1558" spans="1:15" x14ac:dyDescent="0.2">
      <c r="A1558"/>
      <c r="B1558" s="642"/>
      <c r="C1558" s="642"/>
      <c r="F1558"/>
      <c r="G1558"/>
      <c r="H1558"/>
      <c r="I1558"/>
      <c r="L1558"/>
      <c r="M1558"/>
      <c r="N1558" s="642"/>
      <c r="O1558"/>
    </row>
    <row r="1559" spans="1:15" x14ac:dyDescent="0.2">
      <c r="A1559"/>
      <c r="B1559" s="642"/>
      <c r="C1559" s="642"/>
      <c r="F1559"/>
      <c r="G1559"/>
      <c r="I1559"/>
      <c r="L1559"/>
      <c r="M1559"/>
      <c r="N1559" s="642"/>
      <c r="O1559"/>
    </row>
    <row r="1560" spans="1:15" x14ac:dyDescent="0.2">
      <c r="A1560"/>
      <c r="B1560" s="642"/>
      <c r="C1560" s="642"/>
      <c r="F1560"/>
      <c r="G1560"/>
      <c r="M1560"/>
      <c r="N1560" s="642"/>
      <c r="O1560"/>
    </row>
    <row r="1561" spans="1:15" x14ac:dyDescent="0.2">
      <c r="A1561"/>
      <c r="B1561" s="642"/>
      <c r="C1561" s="642"/>
      <c r="F1561"/>
      <c r="G1561"/>
      <c r="L1561"/>
      <c r="M1561"/>
      <c r="N1561" s="642"/>
      <c r="O1561"/>
    </row>
    <row r="1562" spans="1:15" x14ac:dyDescent="0.2">
      <c r="A1562"/>
      <c r="B1562" s="642"/>
      <c r="C1562" s="642"/>
      <c r="F1562"/>
      <c r="G1562"/>
      <c r="H1562"/>
      <c r="I1562"/>
      <c r="J1562"/>
      <c r="K1562"/>
      <c r="L1562"/>
      <c r="M1562"/>
      <c r="N1562" s="642"/>
      <c r="O1562"/>
    </row>
    <row r="1563" spans="1:15" x14ac:dyDescent="0.2">
      <c r="A1563"/>
      <c r="B1563" s="642"/>
      <c r="C1563" s="642"/>
      <c r="F1563"/>
      <c r="G1563"/>
      <c r="H1563"/>
      <c r="I1563"/>
      <c r="L1563"/>
      <c r="M1563"/>
      <c r="N1563" s="642"/>
      <c r="O1563"/>
    </row>
    <row r="1564" spans="1:15" x14ac:dyDescent="0.2">
      <c r="A1564"/>
      <c r="B1564" s="642"/>
      <c r="C1564" s="642"/>
      <c r="F1564"/>
      <c r="G1564"/>
      <c r="L1564"/>
      <c r="M1564"/>
      <c r="N1564" s="642"/>
      <c r="O1564"/>
    </row>
    <row r="1565" spans="1:15" x14ac:dyDescent="0.2">
      <c r="A1565"/>
      <c r="B1565" s="642"/>
      <c r="C1565" s="642"/>
      <c r="F1565"/>
      <c r="G1565"/>
      <c r="J1565"/>
      <c r="K1565"/>
      <c r="L1565"/>
      <c r="M1565"/>
      <c r="N1565" s="642"/>
      <c r="O1565"/>
    </row>
    <row r="1566" spans="1:15" x14ac:dyDescent="0.2">
      <c r="A1566"/>
      <c r="B1566" s="642"/>
      <c r="C1566" s="642"/>
      <c r="F1566"/>
      <c r="G1566"/>
      <c r="H1566"/>
      <c r="J1566"/>
      <c r="K1566"/>
      <c r="L1566"/>
      <c r="M1566"/>
      <c r="N1566" s="642"/>
      <c r="O1566"/>
    </row>
    <row r="1567" spans="1:15" x14ac:dyDescent="0.2">
      <c r="A1567"/>
      <c r="B1567" s="642"/>
      <c r="C1567" s="642"/>
      <c r="F1567"/>
      <c r="G1567"/>
      <c r="H1567"/>
      <c r="L1567"/>
      <c r="M1567"/>
      <c r="N1567" s="642"/>
      <c r="O1567"/>
    </row>
    <row r="1568" spans="1:15" x14ac:dyDescent="0.2">
      <c r="A1568"/>
      <c r="B1568" s="642"/>
      <c r="C1568" s="642"/>
      <c r="F1568"/>
      <c r="G1568"/>
      <c r="H1568"/>
      <c r="I1568"/>
      <c r="J1568"/>
      <c r="K1568"/>
      <c r="L1568"/>
      <c r="M1568"/>
      <c r="N1568" s="642"/>
      <c r="O1568"/>
    </row>
    <row r="1569" spans="1:15" x14ac:dyDescent="0.2">
      <c r="A1569"/>
      <c r="B1569" s="642"/>
      <c r="C1569" s="642"/>
      <c r="F1569"/>
      <c r="G1569"/>
      <c r="H1569"/>
      <c r="J1569"/>
      <c r="K1569"/>
      <c r="L1569"/>
      <c r="M1569"/>
      <c r="N1569" s="642"/>
      <c r="O1569"/>
    </row>
    <row r="1570" spans="1:15" x14ac:dyDescent="0.2">
      <c r="A1570"/>
      <c r="B1570" s="642"/>
      <c r="C1570" s="642"/>
      <c r="F1570"/>
      <c r="G1570"/>
      <c r="L1570"/>
      <c r="M1570"/>
      <c r="N1570" s="642"/>
      <c r="O1570"/>
    </row>
    <row r="1571" spans="1:15" x14ac:dyDescent="0.2">
      <c r="A1571"/>
      <c r="B1571" s="642"/>
      <c r="C1571" s="642"/>
      <c r="F1571"/>
      <c r="G1571"/>
      <c r="H1571"/>
      <c r="J1571"/>
      <c r="K1571"/>
      <c r="L1571"/>
      <c r="M1571"/>
      <c r="N1571" s="642"/>
      <c r="O1571"/>
    </row>
    <row r="1572" spans="1:15" x14ac:dyDescent="0.2">
      <c r="A1572"/>
      <c r="B1572" s="642"/>
      <c r="C1572" s="642"/>
      <c r="F1572"/>
      <c r="G1572"/>
      <c r="H1572"/>
      <c r="L1572"/>
      <c r="M1572"/>
      <c r="N1572" s="642"/>
      <c r="O1572"/>
    </row>
    <row r="1573" spans="1:15" x14ac:dyDescent="0.2">
      <c r="A1573"/>
      <c r="B1573" s="642"/>
      <c r="C1573" s="642"/>
      <c r="F1573"/>
      <c r="G1573"/>
      <c r="H1573"/>
      <c r="I1573"/>
      <c r="L1573"/>
      <c r="M1573"/>
      <c r="N1573" s="642"/>
      <c r="O1573"/>
    </row>
    <row r="1574" spans="1:15" x14ac:dyDescent="0.2">
      <c r="A1574"/>
      <c r="B1574" s="642"/>
      <c r="C1574" s="642"/>
      <c r="F1574"/>
      <c r="G1574"/>
      <c r="J1574"/>
      <c r="K1574"/>
      <c r="L1574"/>
      <c r="M1574"/>
      <c r="N1574" s="642"/>
      <c r="O1574"/>
    </row>
    <row r="1575" spans="1:15" x14ac:dyDescent="0.2">
      <c r="A1575"/>
      <c r="B1575" s="642"/>
      <c r="C1575" s="642"/>
      <c r="F1575"/>
      <c r="G1575"/>
      <c r="H1575"/>
      <c r="I1575"/>
      <c r="L1575"/>
      <c r="M1575"/>
      <c r="N1575" s="642"/>
      <c r="O1575"/>
    </row>
    <row r="1576" spans="1:15" x14ac:dyDescent="0.2">
      <c r="A1576"/>
      <c r="B1576" s="642"/>
      <c r="C1576" s="642"/>
      <c r="F1576"/>
      <c r="G1576"/>
      <c r="H1576"/>
      <c r="I1576"/>
      <c r="L1576"/>
      <c r="M1576"/>
      <c r="N1576" s="642"/>
      <c r="O1576"/>
    </row>
    <row r="1577" spans="1:15" x14ac:dyDescent="0.2">
      <c r="A1577"/>
      <c r="B1577" s="642"/>
      <c r="C1577" s="642"/>
      <c r="F1577"/>
      <c r="G1577"/>
      <c r="H1577"/>
      <c r="I1577"/>
      <c r="L1577"/>
      <c r="M1577"/>
      <c r="N1577" s="642"/>
      <c r="O1577"/>
    </row>
    <row r="1578" spans="1:15" x14ac:dyDescent="0.2">
      <c r="A1578"/>
      <c r="B1578" s="642"/>
      <c r="C1578" s="642"/>
      <c r="F1578"/>
      <c r="G1578"/>
      <c r="H1578"/>
      <c r="I1578"/>
      <c r="L1578"/>
      <c r="M1578"/>
      <c r="N1578" s="642"/>
      <c r="O1578"/>
    </row>
    <row r="1579" spans="1:15" x14ac:dyDescent="0.2">
      <c r="A1579"/>
      <c r="B1579" s="642"/>
      <c r="C1579" s="642"/>
      <c r="F1579"/>
      <c r="G1579"/>
      <c r="H1579"/>
      <c r="I1579"/>
      <c r="L1579"/>
      <c r="M1579"/>
      <c r="N1579" s="642"/>
      <c r="O1579"/>
    </row>
    <row r="1580" spans="1:15" x14ac:dyDescent="0.2">
      <c r="A1580"/>
      <c r="B1580" s="642"/>
      <c r="C1580" s="642"/>
      <c r="F1580"/>
      <c r="G1580"/>
      <c r="I1580"/>
      <c r="L1580"/>
      <c r="M1580"/>
      <c r="N1580" s="642"/>
      <c r="O1580"/>
    </row>
    <row r="1581" spans="1:15" x14ac:dyDescent="0.2">
      <c r="A1581"/>
      <c r="B1581" s="642"/>
      <c r="C1581" s="642"/>
      <c r="F1581"/>
      <c r="G1581"/>
      <c r="I1581"/>
      <c r="L1581"/>
      <c r="M1581"/>
      <c r="N1581" s="642"/>
      <c r="O1581"/>
    </row>
    <row r="1582" spans="1:15" x14ac:dyDescent="0.2">
      <c r="A1582"/>
      <c r="B1582" s="642"/>
      <c r="C1582" s="642"/>
      <c r="F1582"/>
      <c r="G1582"/>
      <c r="H1582"/>
      <c r="I1582"/>
      <c r="L1582"/>
      <c r="M1582"/>
      <c r="N1582" s="642"/>
      <c r="O1582"/>
    </row>
    <row r="1583" spans="1:15" x14ac:dyDescent="0.2">
      <c r="A1583"/>
      <c r="B1583" s="642"/>
      <c r="C1583" s="642"/>
      <c r="F1583"/>
      <c r="G1583"/>
      <c r="H1583"/>
      <c r="I1583"/>
      <c r="L1583"/>
      <c r="M1583"/>
      <c r="N1583" s="642"/>
      <c r="O1583"/>
    </row>
    <row r="1584" spans="1:15" x14ac:dyDescent="0.2">
      <c r="A1584"/>
      <c r="B1584" s="642"/>
      <c r="C1584" s="642"/>
      <c r="F1584"/>
      <c r="G1584"/>
      <c r="H1584"/>
      <c r="I1584"/>
      <c r="L1584"/>
      <c r="M1584"/>
      <c r="N1584" s="642"/>
      <c r="O1584"/>
    </row>
    <row r="1585" spans="1:15" x14ac:dyDescent="0.2">
      <c r="A1585"/>
      <c r="B1585" s="642"/>
      <c r="C1585" s="642"/>
      <c r="F1585"/>
      <c r="G1585"/>
      <c r="I1585"/>
      <c r="L1585"/>
      <c r="M1585"/>
      <c r="N1585" s="642"/>
      <c r="O1585"/>
    </row>
    <row r="1586" spans="1:15" x14ac:dyDescent="0.2">
      <c r="A1586"/>
      <c r="B1586" s="642"/>
      <c r="C1586" s="642"/>
      <c r="F1586"/>
      <c r="G1586"/>
      <c r="I1586"/>
      <c r="L1586"/>
      <c r="M1586"/>
      <c r="N1586" s="642"/>
      <c r="O1586"/>
    </row>
    <row r="1587" spans="1:15" x14ac:dyDescent="0.2">
      <c r="A1587"/>
      <c r="B1587" s="642"/>
      <c r="C1587" s="642"/>
      <c r="F1587"/>
      <c r="G1587"/>
      <c r="H1587"/>
      <c r="I1587"/>
      <c r="L1587"/>
      <c r="M1587"/>
      <c r="N1587" s="642"/>
      <c r="O1587"/>
    </row>
    <row r="1588" spans="1:15" x14ac:dyDescent="0.2">
      <c r="A1588"/>
      <c r="B1588" s="642"/>
      <c r="C1588" s="642"/>
      <c r="F1588"/>
      <c r="G1588"/>
      <c r="J1588"/>
      <c r="K1588"/>
      <c r="L1588"/>
      <c r="M1588"/>
      <c r="N1588" s="642"/>
      <c r="O1588"/>
    </row>
    <row r="1589" spans="1:15" x14ac:dyDescent="0.2">
      <c r="A1589"/>
      <c r="B1589" s="642"/>
      <c r="C1589" s="642"/>
      <c r="F1589"/>
      <c r="G1589"/>
      <c r="H1589"/>
      <c r="I1589"/>
      <c r="L1589"/>
      <c r="M1589"/>
      <c r="N1589" s="642"/>
      <c r="O1589"/>
    </row>
    <row r="1590" spans="1:15" x14ac:dyDescent="0.2">
      <c r="A1590"/>
      <c r="B1590" s="642"/>
      <c r="C1590" s="642"/>
      <c r="F1590"/>
      <c r="G1590"/>
      <c r="L1590"/>
      <c r="M1590"/>
      <c r="N1590" s="642"/>
      <c r="O1590"/>
    </row>
    <row r="1591" spans="1:15" x14ac:dyDescent="0.2">
      <c r="A1591"/>
      <c r="B1591" s="642"/>
      <c r="C1591" s="642"/>
      <c r="F1591"/>
      <c r="G1591"/>
      <c r="H1591"/>
      <c r="I1591"/>
      <c r="L1591"/>
      <c r="M1591"/>
      <c r="N1591" s="642"/>
      <c r="O1591"/>
    </row>
    <row r="1592" spans="1:15" x14ac:dyDescent="0.2">
      <c r="A1592"/>
      <c r="B1592" s="642"/>
      <c r="C1592" s="642"/>
      <c r="F1592"/>
      <c r="G1592"/>
      <c r="H1592"/>
      <c r="J1592"/>
      <c r="K1592"/>
      <c r="L1592"/>
      <c r="M1592"/>
      <c r="N1592" s="642"/>
      <c r="O1592"/>
    </row>
    <row r="1593" spans="1:15" x14ac:dyDescent="0.2">
      <c r="A1593"/>
      <c r="B1593" s="642"/>
      <c r="C1593" s="642"/>
      <c r="F1593"/>
      <c r="G1593"/>
      <c r="H1593"/>
      <c r="I1593"/>
      <c r="L1593"/>
      <c r="M1593"/>
      <c r="N1593" s="642"/>
      <c r="O1593"/>
    </row>
    <row r="1594" spans="1:15" x14ac:dyDescent="0.2">
      <c r="A1594"/>
      <c r="B1594" s="642"/>
      <c r="C1594" s="642"/>
      <c r="F1594"/>
      <c r="G1594"/>
      <c r="H1594"/>
      <c r="J1594"/>
      <c r="K1594"/>
      <c r="L1594"/>
      <c r="M1594"/>
      <c r="N1594" s="642"/>
      <c r="O1594"/>
    </row>
    <row r="1595" spans="1:15" x14ac:dyDescent="0.2">
      <c r="A1595"/>
      <c r="B1595" s="642"/>
      <c r="C1595" s="642"/>
      <c r="F1595"/>
      <c r="G1595"/>
      <c r="J1595"/>
      <c r="K1595"/>
      <c r="L1595"/>
      <c r="M1595"/>
      <c r="N1595" s="642"/>
      <c r="O1595"/>
    </row>
    <row r="1596" spans="1:15" x14ac:dyDescent="0.2">
      <c r="A1596"/>
      <c r="B1596" s="642"/>
      <c r="C1596" s="642"/>
      <c r="F1596"/>
      <c r="G1596"/>
      <c r="J1596"/>
      <c r="K1596"/>
      <c r="L1596"/>
      <c r="M1596"/>
      <c r="N1596" s="642"/>
      <c r="O1596"/>
    </row>
    <row r="1597" spans="1:15" x14ac:dyDescent="0.2">
      <c r="A1597"/>
      <c r="B1597" s="642"/>
      <c r="C1597" s="642"/>
      <c r="F1597"/>
      <c r="G1597"/>
      <c r="H1597"/>
      <c r="J1597"/>
      <c r="K1597"/>
      <c r="L1597"/>
      <c r="M1597"/>
      <c r="N1597" s="642"/>
      <c r="O1597"/>
    </row>
    <row r="1598" spans="1:15" x14ac:dyDescent="0.2">
      <c r="A1598"/>
      <c r="B1598" s="642"/>
      <c r="C1598" s="642"/>
      <c r="F1598"/>
      <c r="G1598"/>
      <c r="H1598"/>
      <c r="J1598"/>
      <c r="K1598"/>
      <c r="L1598"/>
      <c r="M1598"/>
      <c r="N1598" s="642"/>
      <c r="O1598"/>
    </row>
    <row r="1599" spans="1:15" x14ac:dyDescent="0.2">
      <c r="A1599"/>
      <c r="B1599" s="642"/>
      <c r="C1599" s="642"/>
      <c r="F1599"/>
      <c r="G1599"/>
      <c r="H1599"/>
      <c r="I1599"/>
      <c r="L1599"/>
      <c r="M1599"/>
      <c r="N1599" s="642"/>
      <c r="O1599"/>
    </row>
    <row r="1600" spans="1:15" x14ac:dyDescent="0.2">
      <c r="A1600"/>
      <c r="B1600" s="642"/>
      <c r="C1600" s="642"/>
      <c r="F1600"/>
      <c r="G1600"/>
      <c r="I1600"/>
      <c r="L1600"/>
      <c r="M1600"/>
      <c r="N1600" s="642"/>
      <c r="O1600"/>
    </row>
    <row r="1601" spans="1:15" x14ac:dyDescent="0.2">
      <c r="A1601"/>
      <c r="B1601" s="642"/>
      <c r="C1601" s="642"/>
      <c r="F1601"/>
      <c r="G1601"/>
      <c r="H1601"/>
      <c r="I1601"/>
      <c r="L1601"/>
      <c r="N1601" s="642"/>
      <c r="O1601"/>
    </row>
    <row r="1602" spans="1:15" x14ac:dyDescent="0.2">
      <c r="A1602"/>
      <c r="B1602" s="642"/>
      <c r="C1602" s="642"/>
      <c r="F1602"/>
      <c r="G1602"/>
      <c r="H1602"/>
      <c r="I1602"/>
      <c r="L1602"/>
      <c r="M1602"/>
      <c r="N1602" s="642"/>
      <c r="O1602"/>
    </row>
    <row r="1603" spans="1:15" x14ac:dyDescent="0.2">
      <c r="A1603"/>
      <c r="B1603" s="642"/>
      <c r="C1603" s="642"/>
      <c r="F1603"/>
      <c r="G1603"/>
      <c r="H1603"/>
      <c r="I1603"/>
      <c r="L1603"/>
      <c r="N1603" s="642"/>
      <c r="O1603"/>
    </row>
    <row r="1604" spans="1:15" x14ac:dyDescent="0.2">
      <c r="A1604"/>
      <c r="B1604" s="642"/>
      <c r="C1604" s="642"/>
      <c r="F1604"/>
      <c r="G1604"/>
      <c r="I1604"/>
      <c r="L1604"/>
      <c r="M1604"/>
      <c r="N1604" s="642"/>
      <c r="O1604"/>
    </row>
    <row r="1605" spans="1:15" x14ac:dyDescent="0.2">
      <c r="A1605"/>
      <c r="B1605" s="642"/>
      <c r="C1605" s="642"/>
      <c r="F1605"/>
      <c r="G1605"/>
      <c r="H1605"/>
      <c r="I1605"/>
      <c r="L1605"/>
      <c r="M1605"/>
      <c r="N1605" s="642"/>
      <c r="O1605"/>
    </row>
    <row r="1606" spans="1:15" x14ac:dyDescent="0.2">
      <c r="A1606"/>
      <c r="B1606" s="642"/>
      <c r="C1606" s="642"/>
      <c r="F1606"/>
      <c r="G1606"/>
      <c r="I1606"/>
      <c r="L1606"/>
      <c r="M1606"/>
      <c r="N1606" s="642"/>
      <c r="O1606"/>
    </row>
    <row r="1607" spans="1:15" x14ac:dyDescent="0.2">
      <c r="A1607"/>
      <c r="B1607" s="642"/>
      <c r="C1607" s="642"/>
      <c r="F1607"/>
      <c r="G1607"/>
      <c r="I1607"/>
      <c r="L1607"/>
      <c r="M1607"/>
      <c r="N1607" s="642"/>
      <c r="O1607"/>
    </row>
    <row r="1608" spans="1:15" x14ac:dyDescent="0.2">
      <c r="A1608"/>
      <c r="B1608" s="642"/>
      <c r="C1608" s="642"/>
      <c r="F1608"/>
      <c r="G1608"/>
      <c r="I1608"/>
      <c r="L1608"/>
      <c r="M1608"/>
      <c r="N1608" s="642"/>
      <c r="O1608"/>
    </row>
    <row r="1609" spans="1:15" x14ac:dyDescent="0.2">
      <c r="A1609"/>
      <c r="B1609" s="642"/>
      <c r="C1609" s="642"/>
      <c r="F1609"/>
      <c r="G1609"/>
      <c r="H1609"/>
      <c r="I1609"/>
      <c r="L1609"/>
      <c r="M1609"/>
      <c r="N1609" s="642"/>
      <c r="O1609"/>
    </row>
    <row r="1610" spans="1:15" x14ac:dyDescent="0.2">
      <c r="A1610"/>
      <c r="B1610" s="642"/>
      <c r="C1610" s="642"/>
      <c r="F1610"/>
      <c r="G1610"/>
      <c r="L1610"/>
      <c r="M1610"/>
      <c r="N1610" s="642"/>
      <c r="O1610"/>
    </row>
    <row r="1611" spans="1:15" x14ac:dyDescent="0.2">
      <c r="A1611"/>
      <c r="B1611" s="642"/>
      <c r="C1611" s="642"/>
      <c r="F1611"/>
      <c r="G1611"/>
      <c r="H1611"/>
      <c r="I1611"/>
      <c r="L1611"/>
      <c r="M1611"/>
      <c r="N1611" s="642"/>
      <c r="O1611"/>
    </row>
    <row r="1612" spans="1:15" x14ac:dyDescent="0.2">
      <c r="A1612"/>
      <c r="B1612" s="642"/>
      <c r="C1612" s="642"/>
      <c r="F1612"/>
      <c r="G1612"/>
      <c r="J1612"/>
      <c r="K1612"/>
      <c r="L1612"/>
      <c r="M1612"/>
      <c r="N1612" s="642"/>
      <c r="O1612"/>
    </row>
    <row r="1613" spans="1:15" x14ac:dyDescent="0.2">
      <c r="A1613"/>
      <c r="B1613" s="642"/>
      <c r="C1613" s="642"/>
      <c r="F1613"/>
      <c r="G1613"/>
      <c r="I1613"/>
      <c r="L1613"/>
      <c r="M1613"/>
      <c r="N1613" s="642"/>
      <c r="O1613"/>
    </row>
    <row r="1614" spans="1:15" x14ac:dyDescent="0.2">
      <c r="A1614"/>
      <c r="B1614" s="642"/>
      <c r="C1614" s="642"/>
      <c r="F1614"/>
      <c r="G1614"/>
      <c r="H1614"/>
      <c r="I1614"/>
      <c r="L1614"/>
      <c r="N1614" s="642"/>
      <c r="O1614"/>
    </row>
    <row r="1615" spans="1:15" x14ac:dyDescent="0.2">
      <c r="A1615"/>
      <c r="B1615" s="642"/>
      <c r="C1615" s="642"/>
      <c r="F1615"/>
      <c r="G1615"/>
      <c r="M1615"/>
      <c r="N1615" s="642"/>
      <c r="O1615"/>
    </row>
    <row r="1616" spans="1:15" x14ac:dyDescent="0.2">
      <c r="A1616"/>
      <c r="B1616" s="642"/>
      <c r="C1616" s="642"/>
      <c r="F1616"/>
      <c r="G1616"/>
      <c r="M1616"/>
      <c r="N1616" s="642"/>
      <c r="O1616"/>
    </row>
    <row r="1617" spans="1:15" x14ac:dyDescent="0.2">
      <c r="A1617"/>
      <c r="B1617" s="642"/>
      <c r="C1617" s="642"/>
      <c r="F1617"/>
      <c r="G1617"/>
      <c r="H1617"/>
      <c r="I1617"/>
      <c r="L1617"/>
      <c r="N1617" s="642"/>
      <c r="O1617"/>
    </row>
    <row r="1618" spans="1:15" x14ac:dyDescent="0.2">
      <c r="A1618"/>
      <c r="B1618" s="642"/>
      <c r="C1618" s="642"/>
      <c r="F1618"/>
      <c r="G1618"/>
      <c r="H1618"/>
      <c r="I1618"/>
      <c r="L1618"/>
      <c r="M1618"/>
      <c r="N1618" s="642"/>
      <c r="O1618"/>
    </row>
    <row r="1619" spans="1:15" x14ac:dyDescent="0.2">
      <c r="A1619"/>
      <c r="B1619" s="642"/>
      <c r="C1619" s="642"/>
      <c r="F1619"/>
      <c r="G1619"/>
      <c r="H1619"/>
      <c r="I1619"/>
      <c r="L1619"/>
      <c r="M1619"/>
      <c r="N1619" s="642"/>
      <c r="O1619"/>
    </row>
    <row r="1620" spans="1:15" x14ac:dyDescent="0.2">
      <c r="A1620"/>
      <c r="B1620" s="642"/>
      <c r="C1620" s="642"/>
      <c r="F1620"/>
      <c r="G1620"/>
      <c r="I1620"/>
      <c r="L1620"/>
      <c r="M1620"/>
      <c r="N1620" s="642"/>
      <c r="O1620"/>
    </row>
    <row r="1621" spans="1:15" x14ac:dyDescent="0.2">
      <c r="A1621"/>
      <c r="B1621" s="642"/>
      <c r="C1621" s="642"/>
      <c r="F1621"/>
      <c r="G1621"/>
      <c r="H1621"/>
      <c r="I1621"/>
      <c r="L1621"/>
      <c r="M1621"/>
      <c r="N1621" s="642"/>
      <c r="O1621"/>
    </row>
    <row r="1622" spans="1:15" x14ac:dyDescent="0.2">
      <c r="A1622"/>
      <c r="B1622" s="642"/>
      <c r="C1622" s="642"/>
      <c r="F1622"/>
      <c r="G1622"/>
      <c r="H1622"/>
      <c r="I1622"/>
      <c r="L1622"/>
      <c r="M1622"/>
      <c r="N1622" s="642"/>
      <c r="O1622"/>
    </row>
    <row r="1623" spans="1:15" x14ac:dyDescent="0.2">
      <c r="A1623"/>
      <c r="B1623" s="642"/>
      <c r="C1623" s="642"/>
      <c r="F1623"/>
      <c r="G1623"/>
      <c r="I1623"/>
      <c r="L1623"/>
      <c r="M1623"/>
      <c r="N1623" s="642"/>
      <c r="O1623"/>
    </row>
    <row r="1624" spans="1:15" x14ac:dyDescent="0.2">
      <c r="A1624"/>
      <c r="B1624" s="642"/>
      <c r="C1624" s="642"/>
      <c r="F1624"/>
      <c r="G1624"/>
      <c r="I1624"/>
      <c r="L1624"/>
      <c r="M1624"/>
      <c r="N1624" s="642"/>
      <c r="O1624"/>
    </row>
    <row r="1625" spans="1:15" x14ac:dyDescent="0.2">
      <c r="A1625"/>
      <c r="B1625" s="642"/>
      <c r="C1625" s="642"/>
      <c r="F1625"/>
      <c r="G1625"/>
      <c r="I1625"/>
      <c r="L1625"/>
      <c r="M1625"/>
      <c r="N1625" s="642"/>
      <c r="O1625"/>
    </row>
    <row r="1626" spans="1:15" x14ac:dyDescent="0.2">
      <c r="A1626"/>
      <c r="B1626" s="642"/>
      <c r="C1626" s="642"/>
      <c r="F1626"/>
      <c r="G1626"/>
      <c r="H1626"/>
      <c r="J1626"/>
      <c r="L1626"/>
      <c r="M1626"/>
      <c r="N1626" s="642"/>
      <c r="O1626"/>
    </row>
    <row r="1627" spans="1:15" x14ac:dyDescent="0.2">
      <c r="A1627"/>
      <c r="B1627" s="642"/>
      <c r="C1627" s="642"/>
      <c r="F1627"/>
      <c r="G1627"/>
      <c r="L1627"/>
      <c r="M1627"/>
      <c r="N1627" s="642"/>
      <c r="O1627"/>
    </row>
    <row r="1628" spans="1:15" x14ac:dyDescent="0.2">
      <c r="A1628"/>
      <c r="B1628" s="642"/>
      <c r="C1628" s="642"/>
      <c r="F1628"/>
      <c r="G1628"/>
      <c r="H1628"/>
      <c r="J1628"/>
      <c r="K1628"/>
      <c r="L1628"/>
      <c r="M1628"/>
      <c r="N1628" s="642"/>
      <c r="O1628"/>
    </row>
    <row r="1629" spans="1:15" x14ac:dyDescent="0.2">
      <c r="A1629"/>
      <c r="B1629" s="642"/>
      <c r="C1629" s="642"/>
      <c r="F1629"/>
      <c r="G1629"/>
      <c r="H1629"/>
      <c r="I1629"/>
      <c r="L1629"/>
      <c r="M1629"/>
      <c r="N1629" s="642"/>
      <c r="O1629"/>
    </row>
    <row r="1630" spans="1:15" x14ac:dyDescent="0.2">
      <c r="A1630"/>
      <c r="B1630" s="642"/>
      <c r="C1630" s="642"/>
      <c r="F1630"/>
      <c r="G1630"/>
      <c r="H1630"/>
      <c r="I1630"/>
      <c r="L1630"/>
      <c r="M1630"/>
      <c r="N1630" s="642"/>
      <c r="O1630"/>
    </row>
    <row r="1631" spans="1:15" x14ac:dyDescent="0.2">
      <c r="A1631"/>
      <c r="B1631" s="642"/>
      <c r="C1631" s="642"/>
      <c r="F1631"/>
      <c r="G1631"/>
      <c r="H1631"/>
      <c r="I1631"/>
      <c r="L1631"/>
      <c r="M1631"/>
      <c r="N1631" s="642"/>
      <c r="O1631"/>
    </row>
    <row r="1632" spans="1:15" x14ac:dyDescent="0.2">
      <c r="A1632"/>
      <c r="B1632" s="642"/>
      <c r="C1632" s="642"/>
      <c r="F1632"/>
      <c r="G1632"/>
      <c r="H1632"/>
      <c r="I1632"/>
      <c r="L1632"/>
      <c r="M1632"/>
      <c r="N1632" s="642"/>
      <c r="O1632"/>
    </row>
    <row r="1633" spans="1:15" x14ac:dyDescent="0.2">
      <c r="A1633"/>
      <c r="B1633" s="642"/>
      <c r="C1633" s="642"/>
      <c r="F1633"/>
      <c r="G1633"/>
      <c r="H1633"/>
      <c r="I1633"/>
      <c r="L1633"/>
      <c r="M1633"/>
      <c r="N1633" s="642"/>
      <c r="O1633"/>
    </row>
    <row r="1634" spans="1:15" x14ac:dyDescent="0.2">
      <c r="A1634"/>
      <c r="B1634" s="642"/>
      <c r="C1634" s="642"/>
      <c r="F1634"/>
      <c r="G1634"/>
      <c r="H1634"/>
      <c r="I1634"/>
      <c r="L1634"/>
      <c r="M1634"/>
      <c r="N1634" s="642"/>
      <c r="O1634"/>
    </row>
    <row r="1635" spans="1:15" x14ac:dyDescent="0.2">
      <c r="A1635"/>
      <c r="B1635" s="642"/>
      <c r="C1635" s="642"/>
      <c r="F1635"/>
      <c r="G1635"/>
      <c r="I1635"/>
      <c r="L1635"/>
      <c r="M1635"/>
      <c r="N1635" s="642"/>
      <c r="O1635"/>
    </row>
    <row r="1636" spans="1:15" x14ac:dyDescent="0.2">
      <c r="A1636"/>
      <c r="B1636" s="642"/>
      <c r="C1636" s="642"/>
      <c r="F1636"/>
      <c r="G1636"/>
      <c r="H1636"/>
      <c r="J1636"/>
      <c r="K1636"/>
      <c r="L1636"/>
      <c r="M1636"/>
      <c r="N1636" s="642"/>
      <c r="O1636"/>
    </row>
    <row r="1637" spans="1:15" x14ac:dyDescent="0.2">
      <c r="A1637"/>
      <c r="B1637" s="642"/>
      <c r="C1637" s="642"/>
      <c r="F1637"/>
      <c r="G1637"/>
      <c r="I1637"/>
      <c r="L1637"/>
      <c r="M1637"/>
      <c r="N1637" s="642"/>
      <c r="O1637"/>
    </row>
    <row r="1638" spans="1:15" x14ac:dyDescent="0.2">
      <c r="A1638"/>
      <c r="B1638" s="642"/>
      <c r="C1638" s="642"/>
      <c r="F1638"/>
      <c r="G1638"/>
      <c r="J1638"/>
      <c r="K1638"/>
      <c r="L1638"/>
      <c r="M1638"/>
      <c r="N1638" s="642"/>
      <c r="O1638"/>
    </row>
    <row r="1639" spans="1:15" x14ac:dyDescent="0.2">
      <c r="A1639"/>
      <c r="B1639" s="642"/>
      <c r="C1639" s="642"/>
      <c r="F1639"/>
      <c r="G1639"/>
      <c r="L1639"/>
      <c r="M1639"/>
      <c r="N1639" s="642"/>
      <c r="O1639"/>
    </row>
    <row r="1640" spans="1:15" x14ac:dyDescent="0.2">
      <c r="A1640"/>
      <c r="B1640" s="642"/>
      <c r="C1640" s="642"/>
      <c r="F1640"/>
      <c r="G1640"/>
      <c r="H1640"/>
      <c r="I1640"/>
      <c r="L1640"/>
      <c r="N1640" s="642"/>
      <c r="O1640"/>
    </row>
    <row r="1641" spans="1:15" x14ac:dyDescent="0.2">
      <c r="A1641"/>
      <c r="B1641" s="642"/>
      <c r="C1641" s="642"/>
      <c r="F1641"/>
      <c r="G1641"/>
      <c r="I1641"/>
      <c r="L1641"/>
      <c r="M1641"/>
      <c r="N1641" s="642"/>
      <c r="O1641"/>
    </row>
    <row r="1642" spans="1:15" x14ac:dyDescent="0.2">
      <c r="A1642"/>
      <c r="B1642" s="642"/>
      <c r="C1642" s="642"/>
      <c r="F1642"/>
      <c r="G1642"/>
      <c r="I1642"/>
      <c r="L1642"/>
      <c r="M1642"/>
      <c r="N1642" s="642"/>
      <c r="O1642"/>
    </row>
    <row r="1643" spans="1:15" x14ac:dyDescent="0.2">
      <c r="A1643"/>
      <c r="B1643" s="642"/>
      <c r="C1643" s="642"/>
      <c r="F1643"/>
      <c r="G1643"/>
      <c r="H1643"/>
      <c r="I1643"/>
      <c r="L1643"/>
      <c r="N1643" s="642"/>
      <c r="O1643"/>
    </row>
    <row r="1644" spans="1:15" x14ac:dyDescent="0.2">
      <c r="A1644"/>
      <c r="B1644" s="642"/>
      <c r="C1644" s="642"/>
      <c r="F1644"/>
      <c r="G1644"/>
      <c r="H1644"/>
      <c r="I1644"/>
      <c r="L1644"/>
      <c r="M1644"/>
      <c r="N1644" s="642"/>
      <c r="O1644"/>
    </row>
    <row r="1645" spans="1:15" x14ac:dyDescent="0.2">
      <c r="A1645"/>
      <c r="B1645" s="642"/>
      <c r="C1645" s="642"/>
      <c r="F1645"/>
      <c r="G1645"/>
      <c r="I1645"/>
      <c r="L1645"/>
      <c r="M1645"/>
      <c r="N1645" s="642"/>
      <c r="O1645"/>
    </row>
    <row r="1646" spans="1:15" x14ac:dyDescent="0.2">
      <c r="A1646"/>
      <c r="B1646" s="642"/>
      <c r="C1646" s="642"/>
      <c r="F1646"/>
      <c r="G1646"/>
      <c r="J1646"/>
      <c r="K1646"/>
      <c r="M1646"/>
      <c r="N1646" s="642"/>
      <c r="O1646"/>
    </row>
    <row r="1647" spans="1:15" x14ac:dyDescent="0.2">
      <c r="A1647"/>
      <c r="B1647" s="642"/>
      <c r="C1647" s="642"/>
      <c r="F1647"/>
      <c r="G1647"/>
      <c r="H1647"/>
      <c r="I1647"/>
      <c r="L1647"/>
      <c r="M1647"/>
      <c r="N1647" s="642"/>
      <c r="O1647"/>
    </row>
    <row r="1648" spans="1:15" x14ac:dyDescent="0.2">
      <c r="A1648"/>
      <c r="B1648" s="642"/>
      <c r="C1648" s="642"/>
      <c r="F1648"/>
      <c r="G1648"/>
      <c r="I1648"/>
      <c r="L1648"/>
      <c r="M1648"/>
      <c r="N1648" s="642"/>
      <c r="O1648"/>
    </row>
    <row r="1649" spans="1:15" x14ac:dyDescent="0.2">
      <c r="A1649"/>
      <c r="B1649" s="642"/>
      <c r="C1649" s="642"/>
      <c r="F1649"/>
      <c r="G1649"/>
      <c r="I1649"/>
      <c r="L1649"/>
      <c r="M1649"/>
      <c r="N1649" s="642"/>
      <c r="O1649"/>
    </row>
    <row r="1650" spans="1:15" x14ac:dyDescent="0.2">
      <c r="A1650"/>
      <c r="B1650" s="642"/>
      <c r="C1650" s="642"/>
      <c r="F1650"/>
      <c r="G1650"/>
      <c r="H1650"/>
      <c r="I1650"/>
      <c r="L1650"/>
      <c r="N1650" s="642"/>
      <c r="O1650"/>
    </row>
    <row r="1651" spans="1:15" x14ac:dyDescent="0.2">
      <c r="A1651"/>
      <c r="B1651" s="642"/>
      <c r="C1651" s="642"/>
      <c r="F1651"/>
      <c r="G1651"/>
      <c r="H1651"/>
      <c r="I1651"/>
      <c r="L1651"/>
      <c r="M1651"/>
      <c r="N1651" s="642"/>
      <c r="O1651"/>
    </row>
    <row r="1652" spans="1:15" x14ac:dyDescent="0.2">
      <c r="A1652"/>
      <c r="B1652" s="642"/>
      <c r="C1652" s="642"/>
      <c r="F1652"/>
      <c r="G1652"/>
      <c r="I1652"/>
      <c r="L1652"/>
      <c r="M1652"/>
      <c r="N1652" s="642"/>
      <c r="O1652"/>
    </row>
    <row r="1653" spans="1:15" x14ac:dyDescent="0.2">
      <c r="A1653"/>
      <c r="B1653" s="642"/>
      <c r="C1653" s="642"/>
      <c r="F1653"/>
      <c r="G1653"/>
      <c r="I1653"/>
      <c r="L1653"/>
      <c r="M1653"/>
      <c r="N1653" s="642"/>
      <c r="O1653"/>
    </row>
    <row r="1654" spans="1:15" x14ac:dyDescent="0.2">
      <c r="A1654"/>
      <c r="B1654" s="642"/>
      <c r="C1654" s="642"/>
      <c r="F1654"/>
      <c r="G1654"/>
      <c r="L1654"/>
      <c r="M1654"/>
      <c r="N1654" s="642"/>
      <c r="O1654"/>
    </row>
    <row r="1655" spans="1:15" x14ac:dyDescent="0.2">
      <c r="A1655"/>
      <c r="B1655" s="642"/>
      <c r="C1655" s="642"/>
      <c r="F1655"/>
      <c r="G1655"/>
      <c r="L1655"/>
      <c r="M1655"/>
      <c r="N1655" s="642"/>
      <c r="O1655"/>
    </row>
    <row r="1656" spans="1:15" x14ac:dyDescent="0.2">
      <c r="A1656"/>
      <c r="B1656" s="642"/>
      <c r="C1656" s="642"/>
      <c r="F1656"/>
      <c r="G1656"/>
      <c r="H1656"/>
      <c r="L1656"/>
      <c r="M1656"/>
      <c r="N1656" s="642"/>
      <c r="O1656"/>
    </row>
    <row r="1657" spans="1:15" x14ac:dyDescent="0.2">
      <c r="A1657"/>
      <c r="B1657" s="642"/>
      <c r="C1657" s="642"/>
      <c r="F1657"/>
      <c r="G1657"/>
      <c r="H1657"/>
      <c r="I1657"/>
      <c r="L1657"/>
      <c r="M1657"/>
      <c r="N1657" s="642"/>
      <c r="O1657"/>
    </row>
    <row r="1658" spans="1:15" x14ac:dyDescent="0.2">
      <c r="A1658"/>
      <c r="B1658" s="642"/>
      <c r="C1658" s="642"/>
      <c r="F1658"/>
      <c r="G1658"/>
      <c r="L1658"/>
      <c r="M1658"/>
      <c r="N1658" s="642"/>
      <c r="O1658"/>
    </row>
    <row r="1659" spans="1:15" x14ac:dyDescent="0.2">
      <c r="A1659"/>
      <c r="B1659" s="642"/>
      <c r="C1659" s="642"/>
      <c r="F1659"/>
      <c r="G1659"/>
      <c r="H1659"/>
      <c r="I1659"/>
      <c r="L1659"/>
      <c r="M1659"/>
      <c r="N1659" s="642"/>
      <c r="O1659"/>
    </row>
    <row r="1660" spans="1:15" x14ac:dyDescent="0.2">
      <c r="A1660"/>
      <c r="B1660" s="642"/>
      <c r="C1660" s="642"/>
      <c r="F1660"/>
      <c r="G1660"/>
      <c r="H1660"/>
      <c r="I1660"/>
      <c r="L1660"/>
      <c r="M1660"/>
      <c r="N1660" s="642"/>
      <c r="O1660"/>
    </row>
    <row r="1661" spans="1:15" x14ac:dyDescent="0.2">
      <c r="A1661"/>
      <c r="B1661" s="642"/>
      <c r="C1661" s="642"/>
      <c r="F1661"/>
      <c r="G1661"/>
      <c r="L1661"/>
      <c r="M1661"/>
      <c r="N1661" s="642"/>
      <c r="O1661"/>
    </row>
    <row r="1662" spans="1:15" x14ac:dyDescent="0.2">
      <c r="A1662"/>
      <c r="B1662" s="642"/>
      <c r="C1662" s="642"/>
      <c r="F1662"/>
      <c r="G1662"/>
      <c r="I1662"/>
      <c r="L1662"/>
      <c r="M1662"/>
      <c r="N1662" s="642"/>
      <c r="O1662"/>
    </row>
    <row r="1663" spans="1:15" x14ac:dyDescent="0.2">
      <c r="A1663"/>
      <c r="B1663" s="642"/>
      <c r="C1663" s="642"/>
      <c r="F1663"/>
      <c r="G1663"/>
      <c r="I1663"/>
      <c r="L1663"/>
      <c r="M1663"/>
      <c r="N1663" s="642"/>
      <c r="O1663"/>
    </row>
    <row r="1664" spans="1:15" x14ac:dyDescent="0.2">
      <c r="A1664"/>
      <c r="B1664" s="642"/>
      <c r="C1664" s="642"/>
      <c r="F1664"/>
      <c r="G1664"/>
      <c r="H1664"/>
      <c r="I1664"/>
      <c r="L1664"/>
      <c r="M1664"/>
      <c r="N1664" s="642"/>
      <c r="O1664"/>
    </row>
    <row r="1665" spans="1:15" x14ac:dyDescent="0.2">
      <c r="A1665"/>
      <c r="B1665" s="642"/>
      <c r="C1665" s="642"/>
      <c r="F1665"/>
      <c r="G1665"/>
      <c r="H1665"/>
      <c r="I1665"/>
      <c r="L1665"/>
      <c r="M1665"/>
      <c r="N1665" s="642"/>
      <c r="O1665"/>
    </row>
    <row r="1666" spans="1:15" x14ac:dyDescent="0.2">
      <c r="A1666"/>
      <c r="B1666" s="642"/>
      <c r="C1666" s="642"/>
      <c r="F1666"/>
      <c r="G1666"/>
      <c r="I1666"/>
      <c r="L1666"/>
      <c r="M1666"/>
      <c r="N1666" s="642"/>
      <c r="O1666"/>
    </row>
    <row r="1667" spans="1:15" x14ac:dyDescent="0.2">
      <c r="A1667"/>
      <c r="B1667" s="642"/>
      <c r="C1667" s="642"/>
      <c r="F1667"/>
      <c r="G1667"/>
      <c r="H1667"/>
      <c r="I1667"/>
      <c r="L1667"/>
      <c r="M1667"/>
      <c r="N1667" s="642"/>
      <c r="O1667"/>
    </row>
    <row r="1668" spans="1:15" x14ac:dyDescent="0.2">
      <c r="A1668"/>
      <c r="B1668" s="642"/>
      <c r="C1668" s="642"/>
      <c r="F1668"/>
      <c r="G1668"/>
      <c r="H1668"/>
      <c r="I1668"/>
      <c r="L1668"/>
      <c r="M1668"/>
      <c r="N1668" s="642"/>
      <c r="O1668"/>
    </row>
    <row r="1669" spans="1:15" x14ac:dyDescent="0.2">
      <c r="A1669"/>
      <c r="B1669" s="642"/>
      <c r="C1669" s="642"/>
      <c r="F1669"/>
      <c r="G1669"/>
      <c r="H1669"/>
      <c r="I1669"/>
      <c r="L1669"/>
      <c r="M1669"/>
      <c r="N1669" s="642"/>
      <c r="O1669"/>
    </row>
    <row r="1670" spans="1:15" x14ac:dyDescent="0.2">
      <c r="A1670"/>
      <c r="B1670" s="642"/>
      <c r="C1670" s="642"/>
      <c r="F1670"/>
      <c r="G1670"/>
      <c r="L1670"/>
      <c r="M1670"/>
      <c r="N1670" s="642"/>
      <c r="O1670"/>
    </row>
    <row r="1671" spans="1:15" x14ac:dyDescent="0.2">
      <c r="A1671"/>
      <c r="B1671" s="642"/>
      <c r="C1671" s="642"/>
      <c r="F1671"/>
      <c r="G1671"/>
      <c r="I1671"/>
      <c r="L1671"/>
      <c r="M1671"/>
      <c r="N1671" s="642"/>
      <c r="O1671"/>
    </row>
    <row r="1672" spans="1:15" x14ac:dyDescent="0.2">
      <c r="A1672"/>
      <c r="B1672" s="642"/>
      <c r="C1672" s="642"/>
      <c r="F1672"/>
      <c r="G1672"/>
      <c r="H1672"/>
      <c r="I1672"/>
      <c r="L1672"/>
      <c r="M1672"/>
      <c r="N1672" s="642"/>
      <c r="O1672"/>
    </row>
    <row r="1673" spans="1:15" x14ac:dyDescent="0.2">
      <c r="A1673"/>
      <c r="B1673" s="642"/>
      <c r="C1673" s="642"/>
      <c r="F1673"/>
      <c r="G1673"/>
      <c r="L1673"/>
      <c r="M1673"/>
      <c r="N1673" s="642"/>
      <c r="O1673"/>
    </row>
    <row r="1674" spans="1:15" x14ac:dyDescent="0.2">
      <c r="A1674"/>
      <c r="B1674" s="642"/>
      <c r="C1674" s="642"/>
      <c r="F1674"/>
      <c r="G1674"/>
      <c r="H1674"/>
      <c r="I1674"/>
      <c r="L1674"/>
      <c r="M1674"/>
      <c r="N1674" s="642"/>
      <c r="O1674"/>
    </row>
    <row r="1675" spans="1:15" x14ac:dyDescent="0.2">
      <c r="A1675"/>
      <c r="B1675" s="642"/>
      <c r="C1675" s="642"/>
      <c r="F1675"/>
      <c r="G1675"/>
      <c r="H1675"/>
      <c r="I1675"/>
      <c r="L1675"/>
      <c r="M1675"/>
      <c r="N1675" s="642"/>
      <c r="O1675"/>
    </row>
    <row r="1676" spans="1:15" x14ac:dyDescent="0.2">
      <c r="A1676"/>
      <c r="B1676" s="642"/>
      <c r="C1676" s="642"/>
      <c r="F1676"/>
      <c r="G1676"/>
      <c r="H1676"/>
      <c r="I1676"/>
      <c r="L1676"/>
      <c r="M1676"/>
      <c r="N1676" s="642"/>
      <c r="O1676"/>
    </row>
    <row r="1677" spans="1:15" x14ac:dyDescent="0.2">
      <c r="A1677"/>
      <c r="B1677" s="642"/>
      <c r="C1677" s="642"/>
      <c r="F1677"/>
      <c r="G1677"/>
      <c r="H1677"/>
      <c r="I1677"/>
      <c r="L1677"/>
      <c r="M1677"/>
      <c r="N1677" s="642"/>
      <c r="O1677"/>
    </row>
    <row r="1678" spans="1:15" x14ac:dyDescent="0.2">
      <c r="A1678"/>
      <c r="B1678" s="642"/>
      <c r="C1678" s="642"/>
      <c r="F1678"/>
      <c r="G1678"/>
      <c r="H1678"/>
      <c r="I1678"/>
      <c r="L1678"/>
      <c r="M1678"/>
      <c r="N1678" s="642"/>
      <c r="O1678"/>
    </row>
    <row r="1679" spans="1:15" x14ac:dyDescent="0.2">
      <c r="A1679"/>
      <c r="B1679" s="642"/>
      <c r="C1679" s="642"/>
      <c r="F1679"/>
      <c r="G1679"/>
      <c r="H1679"/>
      <c r="I1679"/>
      <c r="L1679"/>
      <c r="M1679"/>
      <c r="N1679" s="642"/>
      <c r="O1679"/>
    </row>
    <row r="1680" spans="1:15" x14ac:dyDescent="0.2">
      <c r="A1680"/>
      <c r="B1680" s="642"/>
      <c r="C1680" s="642"/>
      <c r="F1680"/>
      <c r="G1680"/>
      <c r="H1680"/>
      <c r="I1680"/>
      <c r="L1680"/>
      <c r="M1680"/>
      <c r="N1680" s="642"/>
      <c r="O1680"/>
    </row>
    <row r="1681" spans="1:15" x14ac:dyDescent="0.2">
      <c r="A1681"/>
      <c r="B1681" s="642"/>
      <c r="C1681" s="642"/>
      <c r="F1681"/>
      <c r="G1681"/>
      <c r="H1681"/>
      <c r="I1681"/>
      <c r="L1681"/>
      <c r="M1681"/>
      <c r="N1681" s="642"/>
      <c r="O1681"/>
    </row>
    <row r="1682" spans="1:15" x14ac:dyDescent="0.2">
      <c r="A1682"/>
      <c r="B1682" s="642"/>
      <c r="C1682" s="642"/>
      <c r="F1682"/>
      <c r="G1682"/>
      <c r="H1682"/>
      <c r="I1682"/>
      <c r="L1682"/>
      <c r="M1682"/>
      <c r="N1682" s="642"/>
      <c r="O1682"/>
    </row>
    <row r="1683" spans="1:15" x14ac:dyDescent="0.2">
      <c r="A1683"/>
      <c r="B1683" s="642"/>
      <c r="C1683" s="642"/>
      <c r="F1683"/>
      <c r="G1683"/>
      <c r="H1683"/>
      <c r="I1683"/>
      <c r="J1683"/>
      <c r="K1683"/>
      <c r="L1683"/>
      <c r="M1683"/>
      <c r="N1683" s="642"/>
      <c r="O1683"/>
    </row>
    <row r="1684" spans="1:15" x14ac:dyDescent="0.2">
      <c r="A1684"/>
      <c r="B1684" s="642"/>
      <c r="C1684" s="642"/>
      <c r="F1684"/>
      <c r="G1684"/>
      <c r="I1684"/>
      <c r="L1684"/>
      <c r="M1684"/>
      <c r="N1684" s="642"/>
      <c r="O1684"/>
    </row>
    <row r="1685" spans="1:15" x14ac:dyDescent="0.2">
      <c r="A1685"/>
      <c r="B1685" s="642"/>
      <c r="C1685" s="642"/>
      <c r="F1685"/>
      <c r="G1685"/>
      <c r="H1685"/>
      <c r="I1685"/>
      <c r="L1685"/>
      <c r="M1685"/>
      <c r="N1685" s="642"/>
      <c r="O1685"/>
    </row>
    <row r="1686" spans="1:15" x14ac:dyDescent="0.2">
      <c r="A1686"/>
      <c r="B1686" s="642"/>
      <c r="C1686" s="642"/>
      <c r="F1686"/>
      <c r="G1686"/>
      <c r="H1686"/>
      <c r="I1686"/>
      <c r="L1686"/>
      <c r="M1686"/>
      <c r="N1686" s="642"/>
      <c r="O1686"/>
    </row>
    <row r="1687" spans="1:15" x14ac:dyDescent="0.2">
      <c r="A1687"/>
      <c r="B1687" s="642"/>
      <c r="C1687" s="642"/>
      <c r="F1687"/>
      <c r="G1687"/>
      <c r="H1687"/>
      <c r="J1687"/>
      <c r="K1687"/>
      <c r="L1687"/>
      <c r="M1687"/>
      <c r="N1687" s="642"/>
      <c r="O1687"/>
    </row>
    <row r="1688" spans="1:15" x14ac:dyDescent="0.2">
      <c r="A1688"/>
      <c r="B1688" s="642"/>
      <c r="C1688" s="642"/>
      <c r="F1688"/>
      <c r="G1688"/>
      <c r="H1688"/>
      <c r="J1688"/>
      <c r="K1688"/>
      <c r="L1688"/>
      <c r="M1688"/>
      <c r="N1688" s="642"/>
      <c r="O1688"/>
    </row>
    <row r="1689" spans="1:15" x14ac:dyDescent="0.2">
      <c r="A1689"/>
      <c r="B1689" s="642"/>
      <c r="C1689" s="642"/>
      <c r="F1689"/>
      <c r="G1689"/>
      <c r="H1689"/>
      <c r="J1689"/>
      <c r="K1689"/>
      <c r="L1689"/>
      <c r="M1689"/>
      <c r="N1689" s="642"/>
      <c r="O1689"/>
    </row>
    <row r="1690" spans="1:15" x14ac:dyDescent="0.2">
      <c r="A1690"/>
      <c r="B1690" s="642"/>
      <c r="C1690" s="642"/>
      <c r="F1690"/>
      <c r="G1690"/>
      <c r="H1690"/>
      <c r="L1690"/>
      <c r="M1690"/>
      <c r="N1690" s="642"/>
      <c r="O1690"/>
    </row>
    <row r="1691" spans="1:15" x14ac:dyDescent="0.2">
      <c r="A1691"/>
      <c r="B1691" s="642"/>
      <c r="C1691" s="642"/>
      <c r="F1691"/>
      <c r="G1691"/>
      <c r="H1691"/>
      <c r="J1691"/>
      <c r="K1691"/>
      <c r="L1691"/>
      <c r="M1691"/>
      <c r="N1691" s="642"/>
      <c r="O1691"/>
    </row>
    <row r="1692" spans="1:15" x14ac:dyDescent="0.2">
      <c r="A1692"/>
      <c r="B1692" s="642"/>
      <c r="C1692" s="642"/>
      <c r="F1692"/>
      <c r="G1692"/>
      <c r="H1692"/>
      <c r="L1692"/>
      <c r="M1692"/>
      <c r="N1692" s="642"/>
      <c r="O1692"/>
    </row>
    <row r="1693" spans="1:15" x14ac:dyDescent="0.2">
      <c r="A1693"/>
      <c r="B1693" s="642"/>
      <c r="C1693" s="642"/>
      <c r="F1693"/>
      <c r="G1693"/>
      <c r="H1693"/>
      <c r="J1693"/>
      <c r="K1693"/>
      <c r="L1693"/>
      <c r="M1693"/>
      <c r="N1693" s="642"/>
      <c r="O1693"/>
    </row>
    <row r="1694" spans="1:15" x14ac:dyDescent="0.2">
      <c r="A1694"/>
      <c r="B1694" s="642"/>
      <c r="C1694" s="642"/>
      <c r="F1694"/>
      <c r="G1694"/>
      <c r="I1694"/>
      <c r="L1694"/>
      <c r="M1694"/>
      <c r="N1694" s="642"/>
      <c r="O1694"/>
    </row>
    <row r="1695" spans="1:15" x14ac:dyDescent="0.2">
      <c r="A1695"/>
      <c r="B1695" s="642"/>
      <c r="C1695" s="642"/>
      <c r="F1695"/>
      <c r="G1695"/>
      <c r="I1695"/>
      <c r="L1695"/>
      <c r="M1695"/>
      <c r="N1695" s="642"/>
      <c r="O1695"/>
    </row>
    <row r="1696" spans="1:15" x14ac:dyDescent="0.2">
      <c r="A1696"/>
      <c r="B1696" s="642"/>
      <c r="C1696" s="642"/>
      <c r="F1696"/>
      <c r="G1696"/>
      <c r="H1696"/>
      <c r="L1696"/>
      <c r="M1696"/>
      <c r="N1696" s="642"/>
      <c r="O1696"/>
    </row>
    <row r="1697" spans="1:15" x14ac:dyDescent="0.2">
      <c r="A1697"/>
      <c r="B1697" s="642"/>
      <c r="C1697" s="642"/>
      <c r="F1697"/>
      <c r="G1697"/>
      <c r="H1697"/>
      <c r="I1697"/>
      <c r="L1697"/>
      <c r="M1697"/>
      <c r="N1697" s="642"/>
      <c r="O1697"/>
    </row>
    <row r="1698" spans="1:15" x14ac:dyDescent="0.2">
      <c r="A1698"/>
      <c r="B1698" s="642"/>
      <c r="C1698" s="642"/>
      <c r="F1698"/>
      <c r="G1698"/>
      <c r="H1698"/>
      <c r="I1698"/>
      <c r="L1698"/>
      <c r="M1698"/>
      <c r="N1698" s="642"/>
      <c r="O1698"/>
    </row>
    <row r="1699" spans="1:15" x14ac:dyDescent="0.2">
      <c r="A1699"/>
      <c r="B1699" s="642"/>
      <c r="C1699" s="642"/>
      <c r="F1699"/>
      <c r="G1699"/>
      <c r="I1699"/>
      <c r="L1699"/>
      <c r="M1699"/>
      <c r="N1699" s="642"/>
      <c r="O1699"/>
    </row>
    <row r="1700" spans="1:15" x14ac:dyDescent="0.2">
      <c r="A1700"/>
      <c r="B1700" s="642"/>
      <c r="C1700" s="642"/>
      <c r="F1700"/>
      <c r="G1700"/>
      <c r="I1700"/>
      <c r="L1700"/>
      <c r="M1700"/>
      <c r="N1700" s="642"/>
      <c r="O1700"/>
    </row>
    <row r="1701" spans="1:15" x14ac:dyDescent="0.2">
      <c r="A1701"/>
      <c r="B1701" s="642"/>
      <c r="C1701" s="642"/>
      <c r="F1701"/>
      <c r="G1701"/>
      <c r="H1701"/>
      <c r="I1701"/>
      <c r="L1701"/>
      <c r="M1701"/>
      <c r="N1701" s="642"/>
      <c r="O1701"/>
    </row>
    <row r="1702" spans="1:15" x14ac:dyDescent="0.2">
      <c r="A1702"/>
      <c r="B1702" s="642"/>
      <c r="C1702" s="642"/>
      <c r="F1702"/>
      <c r="G1702"/>
      <c r="H1702"/>
      <c r="I1702"/>
      <c r="L1702"/>
      <c r="N1702" s="642"/>
      <c r="O1702"/>
    </row>
    <row r="1703" spans="1:15" x14ac:dyDescent="0.2">
      <c r="A1703"/>
      <c r="B1703" s="642"/>
      <c r="C1703" s="642"/>
      <c r="F1703"/>
      <c r="G1703"/>
      <c r="H1703"/>
      <c r="I1703"/>
      <c r="L1703"/>
      <c r="M1703"/>
      <c r="N1703" s="642"/>
      <c r="O1703"/>
    </row>
    <row r="1704" spans="1:15" x14ac:dyDescent="0.2">
      <c r="A1704"/>
      <c r="B1704" s="642"/>
      <c r="C1704" s="642"/>
      <c r="F1704"/>
      <c r="G1704"/>
      <c r="H1704"/>
      <c r="I1704"/>
      <c r="L1704"/>
      <c r="N1704" s="642"/>
      <c r="O1704"/>
    </row>
    <row r="1705" spans="1:15" x14ac:dyDescent="0.2">
      <c r="A1705"/>
      <c r="B1705" s="642"/>
      <c r="C1705" s="642"/>
      <c r="F1705"/>
      <c r="G1705"/>
      <c r="L1705"/>
      <c r="M1705"/>
      <c r="N1705" s="642"/>
      <c r="O1705"/>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L3"/>
      <c r="M3"/>
      <c r="N3"/>
      <c r="O3"/>
      <c r="P3"/>
      <c r="Q3"/>
      <c r="R3"/>
    </row>
    <row r="4" spans="1:18" x14ac:dyDescent="0.2">
      <c r="A4"/>
      <c r="B4"/>
      <c r="C4"/>
      <c r="D4"/>
      <c r="E4"/>
      <c r="F4"/>
      <c r="G4"/>
      <c r="K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o3fzUniqJ6RYvHIy9KgB4+LrnRNQ+ASurvaD3az/Ef3yD/sCkdZLAVEYz5HavVsFwMGdcaZ1OsymoMgEtAEsBQ==" saltValue="HWUww+9Lyxmri9fBcBz2ag=="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8" priority="1">
      <formula>AND(ROW() &gt;= $Q$1, ROW() &lt;= $Q$2)</formula>
    </cfRule>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JeKSTfSPdjR9JNkqzfDCfRrVlRq/sTGZLxAqEwBWIE8qws8/H6JyhZyih0re2iPPAy5bR940HfitjlLxnr0+xg==" saltValue="sawLWj7oadFrdnoKiz/rJg=="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conditionalFormatting sqref="B14:P903">
    <cfRule type="expression" dxfId="5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cAOCpaeGH3XUnNSTvlIsabPPoBYmb9VWCYGFc076jWxcI4i1eveXBfP/NZbc4xjQotSBu4c5qiqx8bQomZDv4Q==" saltValue="F1/e03Fg7gBCXhxBqnV1YA=="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6"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bg4sK59MyI+pgwt4QJqhwv5+QwPtwoOEnRiDwBapZimzNaaHPS6V30JqSrXTXTUw4Jl0shPmqHwh0HS0sfj/iQ==" saltValue="b0hfgQ3ftzUU2jOUAY7k7A==" spinCount="100000" sheet="1" scenarios="1" selectLockedCells="1" autoFilter="0"/>
  <mergeCells count="2">
    <mergeCell ref="D32:M34"/>
    <mergeCell ref="C37:M40"/>
  </mergeCells>
  <phoneticPr fontId="21" type="noConversion"/>
  <conditionalFormatting sqref="C45">
    <cfRule type="expression" dxfId="53" priority="65">
      <formula>ISNUMBER(SEARCH(".",C45))</formula>
    </cfRule>
    <cfRule type="expression" dxfId="52" priority="66">
      <formula>ISERROR(SEARCH(".",C45))</formula>
    </cfRule>
  </conditionalFormatting>
  <conditionalFormatting sqref="D14:D18">
    <cfRule type="expression" dxfId="51" priority="63">
      <formula>ISERROR(SEARCH(1,$D$19))</formula>
    </cfRule>
    <cfRule type="expression" dxfId="50" priority="64">
      <formula>ISNUMBER(SEARCH(1,$D$19))</formula>
    </cfRule>
  </conditionalFormatting>
  <conditionalFormatting sqref="G14:G17">
    <cfRule type="expression" dxfId="49" priority="61">
      <formula>ISERROR(SEARCH(1,$G$19))</formula>
    </cfRule>
    <cfRule type="expression" dxfId="48" priority="62">
      <formula>ISNUMBER(SEARCH(1,$G$19))</formula>
    </cfRule>
  </conditionalFormatting>
  <conditionalFormatting sqref="J14:J17">
    <cfRule type="expression" dxfId="47" priority="57">
      <formula>ISERROR(SEARCH(1,$J$19))</formula>
    </cfRule>
    <cfRule type="expression" dxfId="46" priority="58">
      <formula>ISNUMBER(SEARCH(1,$J$19))</formula>
    </cfRule>
  </conditionalFormatting>
  <conditionalFormatting sqref="M14:M17">
    <cfRule type="expression" dxfId="45" priority="53">
      <formula>ISERROR(SEARCH(1,$M$19))</formula>
    </cfRule>
    <cfRule type="expression" dxfId="44" priority="54">
      <formula>ISNUMBER(SEARCH(1,$M$19))</formula>
    </cfRule>
  </conditionalFormatting>
  <conditionalFormatting sqref="G26:G29">
    <cfRule type="expression" dxfId="43" priority="45">
      <formula>ISERROR(SEARCH(1,$G$31))</formula>
    </cfRule>
    <cfRule type="expression" dxfId="42" priority="46">
      <formula>ISNUMBER(SEARCH(1,$G$31))</formula>
    </cfRule>
  </conditionalFormatting>
  <conditionalFormatting sqref="J26:J29">
    <cfRule type="expression" dxfId="41" priority="41">
      <formula>ISERROR(SEARCH(1,$J$31))</formula>
    </cfRule>
    <cfRule type="expression" dxfId="40" priority="42">
      <formula>ISNUMBER(SEARCH(1,$J$31))</formula>
    </cfRule>
  </conditionalFormatting>
  <conditionalFormatting sqref="M26:M29">
    <cfRule type="expression" dxfId="39" priority="37">
      <formula>ISERROR(SEARCH(1,$M$31))</formula>
    </cfRule>
    <cfRule type="expression" dxfId="38" priority="38">
      <formula>ISNUMBER(SEARCH(1,$M$31))</formula>
    </cfRule>
  </conditionalFormatting>
  <conditionalFormatting sqref="D26:D30">
    <cfRule type="expression" dxfId="37" priority="33">
      <formula>ISERROR(SEARCH(1,$D$19))</formula>
    </cfRule>
    <cfRule type="expression" dxfId="36" priority="34">
      <formula>ISNUMBER(SEARCH(1,$D$19))</formula>
    </cfRule>
  </conditionalFormatting>
  <conditionalFormatting sqref="D11:D13">
    <cfRule type="expression" dxfId="35" priority="31">
      <formula>ISERROR(SEARCH(1,$G$19))</formula>
    </cfRule>
    <cfRule type="expression" dxfId="34" priority="32">
      <formula>ISNUMBER(SEARCH(1,$G$19))</formula>
    </cfRule>
  </conditionalFormatting>
  <conditionalFormatting sqref="G11:G13">
    <cfRule type="expression" dxfId="33" priority="27">
      <formula>ISERROR(SEARCH(1,$G$19))</formula>
    </cfRule>
    <cfRule type="expression" dxfId="32" priority="28">
      <formula>ISNUMBER(SEARCH(1,$G$19))</formula>
    </cfRule>
  </conditionalFormatting>
  <conditionalFormatting sqref="G10">
    <cfRule type="expression" dxfId="31" priority="25">
      <formula>ISERROR(SEARCH(1,$G$19))</formula>
    </cfRule>
    <cfRule type="expression" dxfId="30" priority="26">
      <formula>ISNUMBER(SEARCH(1,$G$19))</formula>
    </cfRule>
  </conditionalFormatting>
  <conditionalFormatting sqref="J11:J13">
    <cfRule type="expression" dxfId="29" priority="23">
      <formula>ISERROR(SEARCH(1,$G$19))</formula>
    </cfRule>
    <cfRule type="expression" dxfId="28" priority="24">
      <formula>ISNUMBER(SEARCH(1,$G$19))</formula>
    </cfRule>
  </conditionalFormatting>
  <conditionalFormatting sqref="J10">
    <cfRule type="expression" dxfId="27" priority="21">
      <formula>ISERROR(SEARCH(1,$G$19))</formula>
    </cfRule>
    <cfRule type="expression" dxfId="26" priority="22">
      <formula>ISNUMBER(SEARCH(1,$G$19))</formula>
    </cfRule>
  </conditionalFormatting>
  <conditionalFormatting sqref="M11:M13">
    <cfRule type="expression" dxfId="25" priority="19">
      <formula>ISERROR(SEARCH(1,$G$19))</formula>
    </cfRule>
    <cfRule type="expression" dxfId="24" priority="20">
      <formula>ISNUMBER(SEARCH(1,$G$19))</formula>
    </cfRule>
  </conditionalFormatting>
  <conditionalFormatting sqref="M10">
    <cfRule type="expression" dxfId="23" priority="17">
      <formula>ISERROR(SEARCH(1,$G$19))</formula>
    </cfRule>
    <cfRule type="expression" dxfId="22" priority="18">
      <formula>ISNUMBER(SEARCH(1,$G$19))</formula>
    </cfRule>
  </conditionalFormatting>
  <conditionalFormatting sqref="D23:D25">
    <cfRule type="expression" dxfId="21" priority="15">
      <formula>ISERROR(SEARCH(1,$G$19))</formula>
    </cfRule>
    <cfRule type="expression" dxfId="20" priority="16">
      <formula>ISNUMBER(SEARCH(1,$G$19))</formula>
    </cfRule>
  </conditionalFormatting>
  <conditionalFormatting sqref="D22">
    <cfRule type="expression" dxfId="19" priority="13">
      <formula>ISERROR(SEARCH(1,$G$19))</formula>
    </cfRule>
    <cfRule type="expression" dxfId="18" priority="14">
      <formula>ISNUMBER(SEARCH(1,$G$19))</formula>
    </cfRule>
  </conditionalFormatting>
  <conditionalFormatting sqref="G23:G25">
    <cfRule type="expression" dxfId="17" priority="11">
      <formula>ISERROR(SEARCH(1,$G$19))</formula>
    </cfRule>
    <cfRule type="expression" dxfId="16" priority="12">
      <formula>ISNUMBER(SEARCH(1,$G$19))</formula>
    </cfRule>
  </conditionalFormatting>
  <conditionalFormatting sqref="G22">
    <cfRule type="expression" dxfId="15" priority="9">
      <formula>ISERROR(SEARCH(1,$G$19))</formula>
    </cfRule>
    <cfRule type="expression" dxfId="14" priority="10">
      <formula>ISNUMBER(SEARCH(1,$G$19))</formula>
    </cfRule>
  </conditionalFormatting>
  <conditionalFormatting sqref="J23:J25">
    <cfRule type="expression" dxfId="13" priority="7">
      <formula>ISERROR(SEARCH(1,$G$19))</formula>
    </cfRule>
    <cfRule type="expression" dxfId="12" priority="8">
      <formula>ISNUMBER(SEARCH(1,$G$19))</formula>
    </cfRule>
  </conditionalFormatting>
  <conditionalFormatting sqref="J22">
    <cfRule type="expression" dxfId="11" priority="5">
      <formula>ISERROR(SEARCH(1,$G$19))</formula>
    </cfRule>
    <cfRule type="expression" dxfId="10" priority="6">
      <formula>ISNUMBER(SEARCH(1,$G$19))</formula>
    </cfRule>
  </conditionalFormatting>
  <conditionalFormatting sqref="M23:M25">
    <cfRule type="expression" dxfId="9" priority="3">
      <formula>ISERROR(SEARCH(1,$G$19))</formula>
    </cfRule>
    <cfRule type="expression" dxfId="8" priority="4">
      <formula>ISNUMBER(SEARCH(1,$G$19))</formula>
    </cfRule>
  </conditionalFormatting>
  <conditionalFormatting sqref="M22">
    <cfRule type="expression" dxfId="7" priority="1">
      <formula>ISERROR(SEARCH(1,$G$19))</formula>
    </cfRule>
    <cfRule type="expression" dxfId="6"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topLeftCell="A9"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3" t="s">
        <v>274</v>
      </c>
      <c r="I28" s="613"/>
      <c r="J28" s="613"/>
      <c r="K28" s="613"/>
      <c r="L28" s="613"/>
      <c r="M28" s="613"/>
      <c r="N28" s="613"/>
      <c r="O28" s="613"/>
      <c r="P28" s="613"/>
      <c r="Q28" s="613"/>
      <c r="R28" s="613"/>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21" t="s">
        <v>276</v>
      </c>
      <c r="K29" s="622"/>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14" t="s">
        <v>264</v>
      </c>
      <c r="I30" s="614"/>
      <c r="J30" s="623" t="s">
        <v>305</v>
      </c>
      <c r="K30" s="624"/>
      <c r="L30" s="625"/>
      <c r="M30" s="253"/>
      <c r="O30" s="615" t="s">
        <v>308</v>
      </c>
      <c r="P30" s="616"/>
      <c r="Q30" s="617"/>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38" t="s">
        <v>313</v>
      </c>
      <c r="K31" s="639"/>
      <c r="L31" s="640"/>
      <c r="M31" s="254" t="str">
        <f>IF(Main!S49="","",Main!S49)</f>
        <v/>
      </c>
      <c r="O31" s="505" t="s">
        <v>315</v>
      </c>
      <c r="P31" s="506"/>
      <c r="Q31" s="618"/>
      <c r="R31" s="55" t="str">
        <f>IF(Main!X49="","",Main!X49)</f>
        <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9" t="s">
        <v>267</v>
      </c>
      <c r="K32" s="630"/>
      <c r="L32" s="631"/>
      <c r="M32" s="249"/>
      <c r="O32" s="629" t="s">
        <v>267</v>
      </c>
      <c r="P32" s="630"/>
      <c r="Q32" s="631"/>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6" t="s">
        <v>314</v>
      </c>
      <c r="K33" s="627"/>
      <c r="L33" s="628"/>
      <c r="M33" s="248" t="str">
        <f>IF(Main!S51="","",Main!S51)</f>
        <v/>
      </c>
      <c r="O33" s="626" t="s">
        <v>316</v>
      </c>
      <c r="P33" s="627"/>
      <c r="Q33" s="628"/>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9" t="s">
        <v>267</v>
      </c>
      <c r="K34" s="630"/>
      <c r="L34" s="631"/>
      <c r="O34" s="629" t="s">
        <v>267</v>
      </c>
      <c r="P34" s="630"/>
      <c r="Q34" s="631"/>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32" t="s">
        <v>317</v>
      </c>
      <c r="K35" s="633"/>
      <c r="L35" s="634"/>
      <c r="M35" s="256" t="str">
        <f>IF(Main!S53="","",Main!S53)</f>
        <v/>
      </c>
      <c r="O35" s="632" t="s">
        <v>318</v>
      </c>
      <c r="P35" s="633"/>
      <c r="Q35" s="634"/>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35"/>
      <c r="K36" s="636"/>
      <c r="L36" s="637"/>
      <c r="M36" s="252"/>
      <c r="O36" s="635"/>
      <c r="P36" s="636"/>
      <c r="Q36" s="637"/>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Eu2thyveLTNhsOPohcUj9jFC7yF7cMeGvitQzZuhPype6XJGdv1TRy1ev+KSkmpaX66qLrgWt9F+0EylfEhxjw==" saltValue="JP3L/EJHpmDbGXQluaCEhQ=="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dupx7mMk5+BwkJL3euwuaBL5LoKOVM5eyWuVnMSFwweb6aR86PR47PUMQznhoQotGPXimzCvv8eEqII4roIVUA==" saltValue="q9SzhcTYuBBEkcmqPcQdJ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8"/>
      <c r="C1" s="578"/>
      <c r="D1" s="578"/>
      <c r="E1" s="33" t="s">
        <v>145</v>
      </c>
      <c r="G1" s="578" t="s">
        <v>65</v>
      </c>
      <c r="H1" s="578"/>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BErW2i3Og/cpETSMInKNpWm3Ao982XZjz3rPM207RmF+LeZ+e1a15mYsDf7CyDTf/ktG4qtMXXZebYIZmfOZjQ==" saltValue="ZXnVbExSnns+PTSIQnrMDw=="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2026-03-12T02:03:31Z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