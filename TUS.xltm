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66BD874B-77AB-40DA-B759-C526760F6A70}"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K7" i="95" s="1"/>
  <c r="J8" i="95"/>
  <c r="K8" i="95" s="1"/>
  <c r="J9" i="95"/>
  <c r="J10" i="95"/>
  <c r="J11" i="95"/>
  <c r="J12" i="95"/>
  <c r="K12" i="95" s="1"/>
  <c r="J13" i="95"/>
  <c r="K13" i="95" s="1"/>
  <c r="J14" i="95"/>
  <c r="K14" i="95" s="1"/>
  <c r="J15" i="95"/>
  <c r="J16" i="95"/>
  <c r="J17" i="95"/>
  <c r="K17" i="95" s="1"/>
  <c r="J18" i="95"/>
  <c r="K18" i="95" s="1"/>
  <c r="J19" i="95"/>
  <c r="J20" i="95"/>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J38" i="95"/>
  <c r="K38" i="95" s="1"/>
  <c r="J39" i="95"/>
  <c r="K39" i="95" s="1"/>
  <c r="J40" i="95"/>
  <c r="K40" i="95" s="1"/>
  <c r="J41" i="95"/>
  <c r="K41" i="95" s="1"/>
  <c r="J42" i="95"/>
  <c r="K42" i="95" s="1"/>
  <c r="J43" i="95"/>
  <c r="K43" i="95" s="1"/>
  <c r="J44" i="95"/>
  <c r="K44" i="95" s="1"/>
  <c r="J45" i="95"/>
  <c r="K45" i="95" s="1"/>
  <c r="J46" i="95"/>
  <c r="K46" i="95" s="1"/>
  <c r="J47" i="95"/>
  <c r="J48" i="95"/>
  <c r="K48" i="95" s="1"/>
  <c r="J49" i="95"/>
  <c r="K49" i="95" s="1"/>
  <c r="J50" i="95"/>
  <c r="K50" i="95" s="1"/>
  <c r="J51" i="95"/>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K71" i="95" s="1"/>
  <c r="J72" i="95"/>
  <c r="K72" i="95" s="1"/>
  <c r="J73" i="95"/>
  <c r="J74" i="95"/>
  <c r="J75" i="95"/>
  <c r="J76" i="95"/>
  <c r="K76" i="95" s="1"/>
  <c r="J77" i="95"/>
  <c r="K77" i="95" s="1"/>
  <c r="J78" i="95"/>
  <c r="K78" i="95" s="1"/>
  <c r="J79" i="95"/>
  <c r="J80" i="95"/>
  <c r="J81" i="95"/>
  <c r="J82" i="95"/>
  <c r="K82" i="95" s="1"/>
  <c r="J83" i="95"/>
  <c r="J84" i="95"/>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J103" i="95"/>
  <c r="K103" i="95" s="1"/>
  <c r="J104" i="95"/>
  <c r="K104" i="95" s="1"/>
  <c r="J105" i="95"/>
  <c r="J106" i="95"/>
  <c r="J107" i="95"/>
  <c r="K107" i="95" s="1"/>
  <c r="J108" i="95"/>
  <c r="K108" i="95" s="1"/>
  <c r="J109" i="95"/>
  <c r="K109" i="95" s="1"/>
  <c r="J110" i="95"/>
  <c r="K110" i="95" s="1"/>
  <c r="J111" i="95"/>
  <c r="J112" i="95"/>
  <c r="J113" i="95"/>
  <c r="J114" i="95"/>
  <c r="J115" i="95"/>
  <c r="J116" i="95"/>
  <c r="J117" i="95"/>
  <c r="J118" i="95"/>
  <c r="K118" i="95" s="1"/>
  <c r="J119" i="95"/>
  <c r="K119" i="95" s="1"/>
  <c r="J120" i="95"/>
  <c r="K120" i="95" s="1"/>
  <c r="J121" i="95"/>
  <c r="K121" i="95" s="1"/>
  <c r="J122" i="95"/>
  <c r="K122" i="95" s="1"/>
  <c r="J123" i="95"/>
  <c r="K123" i="95" s="1"/>
  <c r="J124" i="95"/>
  <c r="K124" i="95" s="1"/>
  <c r="J125" i="95"/>
  <c r="K125" i="95" s="1"/>
  <c r="J126" i="95"/>
  <c r="K126" i="95" s="1"/>
  <c r="J127" i="95"/>
  <c r="J128" i="95"/>
  <c r="K128" i="95" s="1"/>
  <c r="J129" i="95"/>
  <c r="J130" i="95"/>
  <c r="J131" i="95"/>
  <c r="J132" i="95"/>
  <c r="J133" i="95"/>
  <c r="K133" i="95" s="1"/>
  <c r="J134" i="95"/>
  <c r="K134" i="95" s="1"/>
  <c r="J135" i="95"/>
  <c r="K135" i="95" s="1"/>
  <c r="J136" i="95"/>
  <c r="K136" i="95" s="1"/>
  <c r="J137" i="95"/>
  <c r="K137" i="95" s="1"/>
  <c r="J138" i="95"/>
  <c r="K138" i="95" s="1"/>
  <c r="J139" i="95"/>
  <c r="K139" i="95" s="1"/>
  <c r="J140" i="95"/>
  <c r="K140" i="95" s="1"/>
  <c r="J141" i="95"/>
  <c r="K141" i="95" s="1"/>
  <c r="J142" i="95"/>
  <c r="K142" i="95" s="1"/>
  <c r="J143" i="95"/>
  <c r="J144" i="95"/>
  <c r="K144" i="95" s="1"/>
  <c r="J145" i="95"/>
  <c r="K145" i="95" s="1"/>
  <c r="J146" i="95"/>
  <c r="K146" i="95" s="1"/>
  <c r="J147" i="95"/>
  <c r="J148" i="95"/>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J160" i="95"/>
  <c r="K160" i="95" s="1"/>
  <c r="J161" i="95"/>
  <c r="J162" i="95"/>
  <c r="J163" i="95"/>
  <c r="J164" i="95"/>
  <c r="J165" i="95"/>
  <c r="J166" i="95"/>
  <c r="J167" i="95"/>
  <c r="K167" i="95" s="1"/>
  <c r="J168" i="95"/>
  <c r="K168" i="95" s="1"/>
  <c r="J169" i="95"/>
  <c r="J170" i="95"/>
  <c r="J171" i="95"/>
  <c r="J172" i="95"/>
  <c r="K172" i="95" s="1"/>
  <c r="J173" i="95"/>
  <c r="K173" i="95" s="1"/>
  <c r="J174" i="95"/>
  <c r="K174" i="95" s="1"/>
  <c r="J175" i="95"/>
  <c r="J176" i="95"/>
  <c r="J177" i="95"/>
  <c r="J178" i="95"/>
  <c r="K178" i="95" s="1"/>
  <c r="J179" i="95"/>
  <c r="J180" i="95"/>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K192" i="95" s="1"/>
  <c r="J193" i="95"/>
  <c r="J194" i="95"/>
  <c r="J195" i="95"/>
  <c r="J196" i="95"/>
  <c r="J197" i="95"/>
  <c r="J198" i="95"/>
  <c r="J199" i="95"/>
  <c r="K199" i="95" s="1"/>
  <c r="J200" i="95"/>
  <c r="K200" i="95" s="1"/>
  <c r="J201" i="95"/>
  <c r="J202" i="95"/>
  <c r="J203" i="95"/>
  <c r="J204" i="95"/>
  <c r="K204" i="95" s="1"/>
  <c r="J205" i="95"/>
  <c r="K205" i="95" s="1"/>
  <c r="J206" i="95"/>
  <c r="K206" i="95" s="1"/>
  <c r="J207" i="95"/>
  <c r="J208" i="95"/>
  <c r="K208" i="95" s="1"/>
  <c r="J209" i="95"/>
  <c r="K209" i="95" s="1"/>
  <c r="J210" i="95"/>
  <c r="K210" i="95" s="1"/>
  <c r="J211" i="95"/>
  <c r="J212" i="95"/>
  <c r="K212" i="95" s="1"/>
  <c r="J213" i="95"/>
  <c r="K213" i="95" s="1"/>
  <c r="J214" i="95"/>
  <c r="K214" i="95" s="1"/>
  <c r="J215" i="95"/>
  <c r="K215" i="95" s="1"/>
  <c r="J216" i="95"/>
  <c r="K216" i="95" s="1"/>
  <c r="J217" i="95"/>
  <c r="K217" i="95" s="1"/>
  <c r="J218" i="95"/>
  <c r="K218" i="95" s="1"/>
  <c r="J219" i="95"/>
  <c r="K219" i="95" s="1"/>
  <c r="J220" i="95"/>
  <c r="K220" i="95" s="1"/>
  <c r="J221" i="95"/>
  <c r="J222" i="95"/>
  <c r="J223" i="95"/>
  <c r="J224" i="95"/>
  <c r="K224" i="95" s="1"/>
  <c r="J225" i="95"/>
  <c r="J226" i="95"/>
  <c r="J227" i="95"/>
  <c r="J228" i="95"/>
  <c r="J229" i="95"/>
  <c r="J230" i="95"/>
  <c r="K230" i="95" s="1"/>
  <c r="J231" i="95"/>
  <c r="K231" i="95" s="1"/>
  <c r="J232" i="95"/>
  <c r="K232" i="95" s="1"/>
  <c r="J233" i="95"/>
  <c r="K233" i="95" s="1"/>
  <c r="J234" i="95"/>
  <c r="K234" i="95" s="1"/>
  <c r="J235" i="95"/>
  <c r="K235" i="95" s="1"/>
  <c r="J236" i="95"/>
  <c r="K236" i="95" s="1"/>
  <c r="J237" i="95"/>
  <c r="K237" i="95" s="1"/>
  <c r="J238" i="95"/>
  <c r="K238" i="95" s="1"/>
  <c r="J239" i="95"/>
  <c r="J240" i="95"/>
  <c r="K240" i="95" s="1"/>
  <c r="J241" i="95"/>
  <c r="K241" i="95" s="1"/>
  <c r="J242" i="95"/>
  <c r="K242" i="95" s="1"/>
  <c r="J243" i="95"/>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K261" i="95" s="1"/>
  <c r="J262" i="95"/>
  <c r="J263" i="95"/>
  <c r="K263" i="95" s="1"/>
  <c r="J264" i="95"/>
  <c r="K264" i="95" s="1"/>
  <c r="J265" i="95"/>
  <c r="J266" i="95"/>
  <c r="J267" i="95"/>
  <c r="J268" i="95"/>
  <c r="K268" i="95" s="1"/>
  <c r="J269" i="95"/>
  <c r="K269" i="95" s="1"/>
  <c r="J270" i="95"/>
  <c r="K270" i="95" s="1"/>
  <c r="J271" i="95"/>
  <c r="J272" i="95"/>
  <c r="J273" i="95"/>
  <c r="J274" i="95"/>
  <c r="J275" i="95"/>
  <c r="J276" i="95"/>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K288" i="95" s="1"/>
  <c r="J289" i="95"/>
  <c r="J290" i="95"/>
  <c r="J291" i="95"/>
  <c r="J292" i="95"/>
  <c r="J293" i="95"/>
  <c r="J294" i="95"/>
  <c r="J295" i="95"/>
  <c r="K295" i="95" s="1"/>
  <c r="J296" i="95"/>
  <c r="K296" i="95" s="1"/>
  <c r="J297" i="95"/>
  <c r="J298" i="95"/>
  <c r="J299" i="95"/>
  <c r="J300" i="95"/>
  <c r="K300" i="95" s="1"/>
  <c r="J301" i="95"/>
  <c r="K301" i="95" s="1"/>
  <c r="J302" i="95"/>
  <c r="K302" i="95" s="1"/>
  <c r="J303" i="95"/>
  <c r="J304" i="95"/>
  <c r="J305" i="95"/>
  <c r="K305" i="95" s="1"/>
  <c r="J306" i="95"/>
  <c r="K306" i="95" s="1"/>
  <c r="J307" i="95"/>
  <c r="J308" i="95"/>
  <c r="J309" i="95"/>
  <c r="K309" i="95" s="1"/>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J323" i="95"/>
  <c r="J324" i="95"/>
  <c r="J325" i="95"/>
  <c r="J326" i="95"/>
  <c r="J327" i="95"/>
  <c r="K327" i="95" s="1"/>
  <c r="J328" i="95"/>
  <c r="K328" i="95" s="1"/>
  <c r="J329" i="95"/>
  <c r="J330" i="95"/>
  <c r="J331" i="95"/>
  <c r="K331" i="95" s="1"/>
  <c r="J332" i="95"/>
  <c r="K332" i="95" s="1"/>
  <c r="J333" i="95"/>
  <c r="K333" i="95" s="1"/>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K352" i="95" s="1"/>
  <c r="J353" i="95"/>
  <c r="J354" i="95"/>
  <c r="J355" i="95"/>
  <c r="J356" i="95"/>
  <c r="J357" i="95"/>
  <c r="J358" i="95"/>
  <c r="J359" i="95"/>
  <c r="K359" i="95" s="1"/>
  <c r="J360" i="95"/>
  <c r="K360" i="95" s="1"/>
  <c r="J361" i="95"/>
  <c r="J362" i="95"/>
  <c r="K362" i="95" s="1"/>
  <c r="J363" i="95"/>
  <c r="K363" i="95" s="1"/>
  <c r="J364" i="95"/>
  <c r="K364" i="95" s="1"/>
  <c r="J365" i="95"/>
  <c r="K365" i="95" s="1"/>
  <c r="J366" i="95"/>
  <c r="K366" i="95" s="1"/>
  <c r="J367" i="95"/>
  <c r="J368" i="95"/>
  <c r="J369" i="95"/>
  <c r="J370" i="95"/>
  <c r="J371" i="95"/>
  <c r="J372" i="95"/>
  <c r="J373" i="95"/>
  <c r="J374" i="95"/>
  <c r="K374" i="95" s="1"/>
  <c r="J375" i="95"/>
  <c r="K375" i="95" s="1"/>
  <c r="J376" i="95"/>
  <c r="K376" i="95" s="1"/>
  <c r="J377" i="95"/>
  <c r="K377" i="95" s="1"/>
  <c r="J378" i="95"/>
  <c r="K378" i="95" s="1"/>
  <c r="J379" i="95"/>
  <c r="K379" i="95" s="1"/>
  <c r="J380" i="95"/>
  <c r="K380" i="95" s="1"/>
  <c r="J381" i="95"/>
  <c r="K381" i="95" s="1"/>
  <c r="J382" i="95"/>
  <c r="K382" i="95" s="1"/>
  <c r="J383" i="95"/>
  <c r="J384" i="95"/>
  <c r="K384" i="95" s="1"/>
  <c r="J385" i="95"/>
  <c r="J386" i="95"/>
  <c r="J387" i="95"/>
  <c r="J388" i="95"/>
  <c r="J389" i="95"/>
  <c r="J390" i="95"/>
  <c r="J391" i="95"/>
  <c r="K391" i="95" s="1"/>
  <c r="J392" i="95"/>
  <c r="K392" i="95" s="1"/>
  <c r="J393" i="95"/>
  <c r="K393" i="95" s="1"/>
  <c r="J394" i="95"/>
  <c r="K394" i="95" s="1"/>
  <c r="J395" i="95"/>
  <c r="K395" i="95" s="1"/>
  <c r="J396" i="95"/>
  <c r="K396" i="95" s="1"/>
  <c r="J397" i="95"/>
  <c r="K397" i="95" s="1"/>
  <c r="J398" i="95"/>
  <c r="K398" i="95" s="1"/>
  <c r="J399" i="95"/>
  <c r="J400" i="95"/>
  <c r="J401" i="95"/>
  <c r="J402" i="95"/>
  <c r="J403" i="95"/>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K416" i="95" s="1"/>
  <c r="J417" i="95"/>
  <c r="J418" i="95"/>
  <c r="J419" i="95"/>
  <c r="J420" i="95"/>
  <c r="K2" i="95"/>
  <c r="K3" i="95"/>
  <c r="K4" i="95"/>
  <c r="K5" i="95"/>
  <c r="K6" i="95"/>
  <c r="K9" i="95"/>
  <c r="K10" i="95"/>
  <c r="K11" i="95"/>
  <c r="K15" i="95"/>
  <c r="K16" i="95"/>
  <c r="K19" i="95"/>
  <c r="K20" i="95"/>
  <c r="K31" i="95"/>
  <c r="K32" i="95"/>
  <c r="K33" i="95"/>
  <c r="K34" i="95"/>
  <c r="K35" i="95"/>
  <c r="K36" i="95"/>
  <c r="K37" i="95"/>
  <c r="K47" i="95"/>
  <c r="K51" i="95"/>
  <c r="K63" i="95"/>
  <c r="K64" i="95"/>
  <c r="K65" i="95"/>
  <c r="K66" i="95"/>
  <c r="K67" i="95"/>
  <c r="K68" i="95"/>
  <c r="K69" i="95"/>
  <c r="K70" i="95"/>
  <c r="K73" i="95"/>
  <c r="K74" i="95"/>
  <c r="K75" i="95"/>
  <c r="K79" i="95"/>
  <c r="K80" i="95"/>
  <c r="K81" i="95"/>
  <c r="K83" i="95"/>
  <c r="K84" i="95"/>
  <c r="K95" i="95"/>
  <c r="K96" i="95"/>
  <c r="K97" i="95"/>
  <c r="K98" i="95"/>
  <c r="K99" i="95"/>
  <c r="K100" i="95"/>
  <c r="K101" i="95"/>
  <c r="K102" i="95"/>
  <c r="K105" i="95"/>
  <c r="K106" i="95"/>
  <c r="K111" i="95"/>
  <c r="K112" i="95"/>
  <c r="K113" i="95"/>
  <c r="K114" i="95"/>
  <c r="K115" i="95"/>
  <c r="K116" i="95"/>
  <c r="K117" i="95"/>
  <c r="K127" i="95"/>
  <c r="K129" i="95"/>
  <c r="K130" i="95"/>
  <c r="K131" i="95"/>
  <c r="K132" i="95"/>
  <c r="K143" i="95"/>
  <c r="K147" i="95"/>
  <c r="K148" i="95"/>
  <c r="K159" i="95"/>
  <c r="K161" i="95"/>
  <c r="K162" i="95"/>
  <c r="K163" i="95"/>
  <c r="K164" i="95"/>
  <c r="K165" i="95"/>
  <c r="K166" i="95"/>
  <c r="K169" i="95"/>
  <c r="K170" i="95"/>
  <c r="K171" i="95"/>
  <c r="K175" i="95"/>
  <c r="K176" i="95"/>
  <c r="K177" i="95"/>
  <c r="K179" i="95"/>
  <c r="K180" i="95"/>
  <c r="K191" i="95"/>
  <c r="K193" i="95"/>
  <c r="K194" i="95"/>
  <c r="K195" i="95"/>
  <c r="K196" i="95"/>
  <c r="K197" i="95"/>
  <c r="K198" i="95"/>
  <c r="K201" i="95"/>
  <c r="K202" i="95"/>
  <c r="K203" i="95"/>
  <c r="K207" i="95"/>
  <c r="K211" i="95"/>
  <c r="K223" i="95"/>
  <c r="K225" i="95"/>
  <c r="K226" i="95"/>
  <c r="K227" i="95"/>
  <c r="K228" i="95"/>
  <c r="K229" i="95"/>
  <c r="K239" i="95"/>
  <c r="K243" i="95"/>
  <c r="K255" i="95"/>
  <c r="K257" i="95"/>
  <c r="K258" i="95"/>
  <c r="K259" i="95"/>
  <c r="K260" i="95"/>
  <c r="K262" i="95"/>
  <c r="K265" i="95"/>
  <c r="K266" i="95"/>
  <c r="K267" i="95"/>
  <c r="K271" i="95"/>
  <c r="K272" i="95"/>
  <c r="K273" i="95"/>
  <c r="K274" i="95"/>
  <c r="K275" i="95"/>
  <c r="K276" i="95"/>
  <c r="K287" i="95"/>
  <c r="K289" i="95"/>
  <c r="K290" i="95"/>
  <c r="K291" i="95"/>
  <c r="K292" i="95"/>
  <c r="K293" i="95"/>
  <c r="K294" i="95"/>
  <c r="K297" i="95"/>
  <c r="K298" i="95"/>
  <c r="K299" i="95"/>
  <c r="K303" i="95"/>
  <c r="K304" i="95"/>
  <c r="K307" i="95"/>
  <c r="K308" i="95"/>
  <c r="K322" i="95"/>
  <c r="K323" i="95"/>
  <c r="K324" i="95"/>
  <c r="K325" i="95"/>
  <c r="K326" i="95"/>
  <c r="K329" i="95"/>
  <c r="K330" i="95"/>
  <c r="K351" i="95"/>
  <c r="K353" i="95"/>
  <c r="K354" i="95"/>
  <c r="K355" i="95"/>
  <c r="K356" i="95"/>
  <c r="K357" i="95"/>
  <c r="K358" i="95"/>
  <c r="K361" i="95"/>
  <c r="K367" i="95"/>
  <c r="K368" i="95"/>
  <c r="K369" i="95"/>
  <c r="K370" i="95"/>
  <c r="K371" i="95"/>
  <c r="K372" i="95"/>
  <c r="K373" i="95"/>
  <c r="K383" i="95"/>
  <c r="K385" i="95"/>
  <c r="K386" i="95"/>
  <c r="K387" i="95"/>
  <c r="K388" i="95"/>
  <c r="K389" i="95"/>
  <c r="K390" i="95"/>
  <c r="K399" i="95"/>
  <c r="K400" i="95"/>
  <c r="K401" i="95"/>
  <c r="K402" i="95"/>
  <c r="K403" i="95"/>
  <c r="K415" i="95"/>
  <c r="K417" i="95"/>
  <c r="K418" i="95"/>
  <c r="K419" i="95"/>
  <c r="K420" i="95"/>
  <c r="L2" i="95"/>
  <c r="M2" i="95" s="1"/>
  <c r="L3" i="95"/>
  <c r="M3" i="95" s="1"/>
  <c r="L4" i="95"/>
  <c r="L5" i="95"/>
  <c r="L6" i="95"/>
  <c r="M6" i="95" s="1"/>
  <c r="L7" i="95"/>
  <c r="M7" i="95" s="1"/>
  <c r="L8" i="95"/>
  <c r="M8" i="95" s="1"/>
  <c r="L9" i="95"/>
  <c r="L10" i="95"/>
  <c r="L11" i="95"/>
  <c r="M11" i="95" s="1"/>
  <c r="L12" i="95"/>
  <c r="M12" i="95" s="1"/>
  <c r="L13" i="95"/>
  <c r="M13" i="95" s="1"/>
  <c r="L14" i="95"/>
  <c r="L15" i="95"/>
  <c r="M15" i="95" s="1"/>
  <c r="L16" i="95"/>
  <c r="M16" i="95" s="1"/>
  <c r="L17" i="95"/>
  <c r="M17" i="95" s="1"/>
  <c r="L18" i="95"/>
  <c r="M18" i="95" s="1"/>
  <c r="L19" i="95"/>
  <c r="M19" i="95" s="1"/>
  <c r="L20" i="95"/>
  <c r="M20" i="95" s="1"/>
  <c r="L21" i="95"/>
  <c r="M21" i="95" s="1"/>
  <c r="L22" i="95"/>
  <c r="M22" i="95" s="1"/>
  <c r="L23" i="95"/>
  <c r="M23" i="95" s="1"/>
  <c r="L24" i="95"/>
  <c r="M24" i="95" s="1"/>
  <c r="L25" i="95"/>
  <c r="L26" i="95"/>
  <c r="M26" i="95" s="1"/>
  <c r="L27" i="95"/>
  <c r="L28" i="95"/>
  <c r="L29" i="95"/>
  <c r="L30" i="95"/>
  <c r="M30" i="95" s="1"/>
  <c r="L31" i="95"/>
  <c r="M31" i="95" s="1"/>
  <c r="L32" i="95"/>
  <c r="M32" i="95" s="1"/>
  <c r="L33" i="95"/>
  <c r="M33" i="95" s="1"/>
  <c r="L34" i="95"/>
  <c r="M34" i="95" s="1"/>
  <c r="L35" i="95"/>
  <c r="M35" i="95" s="1"/>
  <c r="L36" i="95"/>
  <c r="M36" i="95" s="1"/>
  <c r="L37" i="95"/>
  <c r="L38" i="95"/>
  <c r="M38" i="95" s="1"/>
  <c r="L39" i="95"/>
  <c r="M39" i="95" s="1"/>
  <c r="L40" i="95"/>
  <c r="M40" i="95" s="1"/>
  <c r="L41" i="95"/>
  <c r="L42" i="95"/>
  <c r="L43" i="95"/>
  <c r="L44" i="95"/>
  <c r="L45" i="95"/>
  <c r="L46" i="95"/>
  <c r="L47" i="95"/>
  <c r="L48" i="95"/>
  <c r="M48" i="95" s="1"/>
  <c r="L49" i="95"/>
  <c r="M49" i="95" s="1"/>
  <c r="L50" i="95"/>
  <c r="L51" i="95"/>
  <c r="L52" i="95"/>
  <c r="M52" i="95" s="1"/>
  <c r="L53" i="95"/>
  <c r="M53" i="95" s="1"/>
  <c r="L54" i="95"/>
  <c r="M54" i="95" s="1"/>
  <c r="L55" i="95"/>
  <c r="M55" i="95" s="1"/>
  <c r="L56" i="95"/>
  <c r="M56" i="95" s="1"/>
  <c r="L57" i="95"/>
  <c r="L58" i="95"/>
  <c r="M58" i="95" s="1"/>
  <c r="L59" i="95"/>
  <c r="M59" i="95" s="1"/>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L74" i="95"/>
  <c r="L75" i="95"/>
  <c r="L76" i="95"/>
  <c r="L77" i="95"/>
  <c r="L78" i="95"/>
  <c r="L79" i="95"/>
  <c r="L80" i="95"/>
  <c r="M80" i="95" s="1"/>
  <c r="L81" i="95"/>
  <c r="M81" i="95" s="1"/>
  <c r="L82" i="95"/>
  <c r="L83" i="95"/>
  <c r="M83" i="95" s="1"/>
  <c r="L84" i="95"/>
  <c r="M84" i="95" s="1"/>
  <c r="L85" i="95"/>
  <c r="M85" i="95" s="1"/>
  <c r="L86" i="95"/>
  <c r="M86" i="95" s="1"/>
  <c r="L87" i="95"/>
  <c r="M87" i="95" s="1"/>
  <c r="L88" i="95"/>
  <c r="M88" i="95" s="1"/>
  <c r="L89" i="95"/>
  <c r="L90" i="95"/>
  <c r="M90" i="95" s="1"/>
  <c r="L91" i="95"/>
  <c r="L92" i="95"/>
  <c r="L93" i="95"/>
  <c r="L94" i="95"/>
  <c r="L95" i="95"/>
  <c r="L96" i="95"/>
  <c r="L97" i="95"/>
  <c r="M97" i="95" s="1"/>
  <c r="L98" i="95"/>
  <c r="M98" i="95" s="1"/>
  <c r="L99" i="95"/>
  <c r="M99" i="95" s="1"/>
  <c r="L100" i="95"/>
  <c r="L101" i="95"/>
  <c r="L102" i="95"/>
  <c r="M102" i="95" s="1"/>
  <c r="L103" i="95"/>
  <c r="M103" i="95" s="1"/>
  <c r="L104" i="95"/>
  <c r="M104" i="95" s="1"/>
  <c r="L105" i="95"/>
  <c r="L106" i="95"/>
  <c r="L107" i="95"/>
  <c r="L108" i="95"/>
  <c r="L109" i="95"/>
  <c r="M109" i="95" s="1"/>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L124" i="95"/>
  <c r="M124" i="95" s="1"/>
  <c r="L125" i="95"/>
  <c r="M125" i="95" s="1"/>
  <c r="L126" i="95"/>
  <c r="M126" i="95" s="1"/>
  <c r="L127" i="95"/>
  <c r="M127" i="95" s="1"/>
  <c r="L128" i="95"/>
  <c r="M128" i="95" s="1"/>
  <c r="L129" i="95"/>
  <c r="M129" i="95" s="1"/>
  <c r="L130" i="95"/>
  <c r="M130" i="95" s="1"/>
  <c r="L131" i="95"/>
  <c r="M131" i="95" s="1"/>
  <c r="L132" i="95"/>
  <c r="L133" i="95"/>
  <c r="L134" i="95"/>
  <c r="M134" i="95" s="1"/>
  <c r="L135" i="95"/>
  <c r="M135" i="95" s="1"/>
  <c r="L136" i="95"/>
  <c r="M136" i="95" s="1"/>
  <c r="L137" i="95"/>
  <c r="L138" i="95"/>
  <c r="L139" i="95"/>
  <c r="L140" i="95"/>
  <c r="L141" i="95"/>
  <c r="L142" i="95"/>
  <c r="L143" i="95"/>
  <c r="L144" i="95"/>
  <c r="M144" i="95" s="1"/>
  <c r="L145" i="95"/>
  <c r="M145" i="95" s="1"/>
  <c r="L146" i="95"/>
  <c r="L147" i="95"/>
  <c r="L148" i="95"/>
  <c r="L149" i="95"/>
  <c r="L150" i="95"/>
  <c r="M150" i="95" s="1"/>
  <c r="L151" i="95"/>
  <c r="M151" i="95" s="1"/>
  <c r="L152" i="95"/>
  <c r="M152" i="95" s="1"/>
  <c r="L153" i="95"/>
  <c r="L154" i="95"/>
  <c r="M154" i="95" s="1"/>
  <c r="L155" i="95"/>
  <c r="L156" i="95"/>
  <c r="L157" i="95"/>
  <c r="M157" i="95" s="1"/>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L170" i="95"/>
  <c r="L171" i="95"/>
  <c r="L172" i="95"/>
  <c r="L173" i="95"/>
  <c r="L174" i="95"/>
  <c r="L175" i="95"/>
  <c r="L176" i="95"/>
  <c r="M176" i="95" s="1"/>
  <c r="L177" i="95"/>
  <c r="M177" i="95" s="1"/>
  <c r="L178" i="95"/>
  <c r="L179" i="95"/>
  <c r="L180" i="95"/>
  <c r="L181" i="95"/>
  <c r="L182" i="95"/>
  <c r="M182" i="95" s="1"/>
  <c r="L183" i="95"/>
  <c r="M183" i="95" s="1"/>
  <c r="L184" i="95"/>
  <c r="M184" i="95" s="1"/>
  <c r="L185" i="95"/>
  <c r="L186" i="95"/>
  <c r="M186" i="95" s="1"/>
  <c r="L187" i="95"/>
  <c r="M187" i="95" s="1"/>
  <c r="L188" i="95"/>
  <c r="M188" i="95" s="1"/>
  <c r="L189" i="95"/>
  <c r="M189" i="95" s="1"/>
  <c r="L190" i="95"/>
  <c r="M190" i="95" s="1"/>
  <c r="L191" i="95"/>
  <c r="M191" i="95" s="1"/>
  <c r="L192" i="95"/>
  <c r="M192" i="95" s="1"/>
  <c r="L193" i="95"/>
  <c r="M193" i="95" s="1"/>
  <c r="L194" i="95"/>
  <c r="M194" i="95" s="1"/>
  <c r="L195" i="95"/>
  <c r="M195" i="95" s="1"/>
  <c r="L196" i="95"/>
  <c r="L197" i="95"/>
  <c r="L198" i="95"/>
  <c r="M198" i="95" s="1"/>
  <c r="L199" i="95"/>
  <c r="M199" i="95" s="1"/>
  <c r="L200" i="95"/>
  <c r="M200" i="95" s="1"/>
  <c r="L201" i="95"/>
  <c r="L202" i="95"/>
  <c r="L203" i="95"/>
  <c r="L204" i="95"/>
  <c r="L205" i="95"/>
  <c r="L206" i="95"/>
  <c r="L207" i="95"/>
  <c r="L208" i="95"/>
  <c r="M208" i="95" s="1"/>
  <c r="L209" i="95"/>
  <c r="M209" i="95" s="1"/>
  <c r="L210" i="95"/>
  <c r="L211" i="95"/>
  <c r="M211" i="95" s="1"/>
  <c r="L212" i="95"/>
  <c r="M212" i="95" s="1"/>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L234" i="95"/>
  <c r="L235" i="95"/>
  <c r="L236" i="95"/>
  <c r="L237" i="95"/>
  <c r="M237" i="95" s="1"/>
  <c r="L238" i="95"/>
  <c r="L239" i="95"/>
  <c r="L240" i="95"/>
  <c r="M240" i="95" s="1"/>
  <c r="L241" i="95"/>
  <c r="M241" i="95" s="1"/>
  <c r="L242" i="95"/>
  <c r="L243" i="95"/>
  <c r="M243" i="95" s="1"/>
  <c r="L244" i="95"/>
  <c r="M244" i="95" s="1"/>
  <c r="L245" i="95"/>
  <c r="M245" i="95" s="1"/>
  <c r="L246" i="95"/>
  <c r="M246" i="95" s="1"/>
  <c r="L247" i="95"/>
  <c r="M247" i="95" s="1"/>
  <c r="L248" i="95"/>
  <c r="M248" i="95" s="1"/>
  <c r="L249" i="95"/>
  <c r="L250" i="95"/>
  <c r="M250" i="95" s="1"/>
  <c r="L251" i="95"/>
  <c r="L252" i="95"/>
  <c r="L253" i="95"/>
  <c r="L254" i="95"/>
  <c r="L255" i="95"/>
  <c r="L256" i="95"/>
  <c r="M256" i="95" s="1"/>
  <c r="L257" i="95"/>
  <c r="M257" i="95" s="1"/>
  <c r="L258" i="95"/>
  <c r="M258" i="95" s="1"/>
  <c r="L259" i="95"/>
  <c r="M259" i="95" s="1"/>
  <c r="L260" i="95"/>
  <c r="L261" i="95"/>
  <c r="L262" i="95"/>
  <c r="M262" i="95" s="1"/>
  <c r="L263" i="95"/>
  <c r="M263" i="95" s="1"/>
  <c r="L264" i="95"/>
  <c r="M264" i="95" s="1"/>
  <c r="L265" i="95"/>
  <c r="L266" i="95"/>
  <c r="L267" i="95"/>
  <c r="M267" i="95" s="1"/>
  <c r="L268" i="95"/>
  <c r="M268" i="95" s="1"/>
  <c r="L269" i="95"/>
  <c r="M269" i="95" s="1"/>
  <c r="L270" i="95"/>
  <c r="L271" i="95"/>
  <c r="M271" i="95" s="1"/>
  <c r="L272" i="95"/>
  <c r="M272" i="95" s="1"/>
  <c r="L273" i="95"/>
  <c r="M273" i="95" s="1"/>
  <c r="L274" i="95"/>
  <c r="M274" i="95" s="1"/>
  <c r="L275" i="95"/>
  <c r="M275" i="95" s="1"/>
  <c r="L276" i="95"/>
  <c r="M276" i="95" s="1"/>
  <c r="L277" i="95"/>
  <c r="M277" i="95" s="1"/>
  <c r="L278" i="95"/>
  <c r="M278" i="95" s="1"/>
  <c r="L279" i="95"/>
  <c r="M279" i="95" s="1"/>
  <c r="L280" i="95"/>
  <c r="M280" i="95" s="1"/>
  <c r="L281" i="95"/>
  <c r="L282" i="95"/>
  <c r="M282" i="95" s="1"/>
  <c r="L283" i="95"/>
  <c r="L284" i="95"/>
  <c r="L285" i="95"/>
  <c r="L286" i="95"/>
  <c r="M286" i="95" s="1"/>
  <c r="L287" i="95"/>
  <c r="M287" i="95" s="1"/>
  <c r="L288" i="95"/>
  <c r="M288" i="95" s="1"/>
  <c r="L289" i="95"/>
  <c r="M289" i="95" s="1"/>
  <c r="L290" i="95"/>
  <c r="M290" i="95" s="1"/>
  <c r="L291" i="95"/>
  <c r="M291" i="95" s="1"/>
  <c r="L292" i="95"/>
  <c r="M292" i="95" s="1"/>
  <c r="L293" i="95"/>
  <c r="L294" i="95"/>
  <c r="M294" i="95" s="1"/>
  <c r="L295" i="95"/>
  <c r="M295" i="95" s="1"/>
  <c r="L296" i="95"/>
  <c r="M296" i="95" s="1"/>
  <c r="L297" i="95"/>
  <c r="L298" i="95"/>
  <c r="L299" i="95"/>
  <c r="L300" i="95"/>
  <c r="L301" i="95"/>
  <c r="L302" i="95"/>
  <c r="L303" i="95"/>
  <c r="L304" i="95"/>
  <c r="M304" i="95" s="1"/>
  <c r="L305" i="95"/>
  <c r="M305" i="95" s="1"/>
  <c r="L306" i="95"/>
  <c r="L307" i="95"/>
  <c r="L308" i="95"/>
  <c r="M308" i="95" s="1"/>
  <c r="L309" i="95"/>
  <c r="M309" i="95" s="1"/>
  <c r="L310" i="95"/>
  <c r="M310" i="95" s="1"/>
  <c r="L311" i="95"/>
  <c r="M311" i="95" s="1"/>
  <c r="L312" i="95"/>
  <c r="M312" i="95" s="1"/>
  <c r="L313" i="95"/>
  <c r="L314" i="95"/>
  <c r="M314" i="95" s="1"/>
  <c r="L315" i="95"/>
  <c r="M315" i="95" s="1"/>
  <c r="L316" i="95"/>
  <c r="M316" i="95" s="1"/>
  <c r="L317" i="95"/>
  <c r="M317" i="95" s="1"/>
  <c r="L318" i="95"/>
  <c r="M318" i="95" s="1"/>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L330" i="95"/>
  <c r="L331" i="95"/>
  <c r="L332" i="95"/>
  <c r="L333" i="95"/>
  <c r="L334" i="95"/>
  <c r="L335" i="95"/>
  <c r="L336" i="95"/>
  <c r="M336" i="95" s="1"/>
  <c r="L337" i="95"/>
  <c r="M337" i="95" s="1"/>
  <c r="L338" i="95"/>
  <c r="L339" i="95"/>
  <c r="M339" i="95" s="1"/>
  <c r="L340" i="95"/>
  <c r="M340" i="95" s="1"/>
  <c r="L341" i="95"/>
  <c r="M341" i="95" s="1"/>
  <c r="L342" i="95"/>
  <c r="M342" i="95" s="1"/>
  <c r="L343" i="95"/>
  <c r="M343" i="95" s="1"/>
  <c r="L344" i="95"/>
  <c r="M344" i="95" s="1"/>
  <c r="L345" i="95"/>
  <c r="L346" i="95"/>
  <c r="M346" i="95" s="1"/>
  <c r="L347" i="95"/>
  <c r="L348" i="95"/>
  <c r="L349" i="95"/>
  <c r="L350" i="95"/>
  <c r="L351" i="95"/>
  <c r="M351" i="95" s="1"/>
  <c r="L352" i="95"/>
  <c r="L353" i="95"/>
  <c r="M353" i="95" s="1"/>
  <c r="L354" i="95"/>
  <c r="M354" i="95" s="1"/>
  <c r="L355" i="95"/>
  <c r="M355" i="95" s="1"/>
  <c r="L356" i="95"/>
  <c r="L357" i="95"/>
  <c r="L358" i="95"/>
  <c r="M358" i="95" s="1"/>
  <c r="L359" i="95"/>
  <c r="M359" i="95" s="1"/>
  <c r="L360" i="95"/>
  <c r="M360" i="95" s="1"/>
  <c r="L361" i="95"/>
  <c r="L362" i="95"/>
  <c r="L363" i="95"/>
  <c r="L364" i="95"/>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L380" i="95"/>
  <c r="M380" i="95" s="1"/>
  <c r="L381" i="95"/>
  <c r="M381" i="95" s="1"/>
  <c r="L382" i="95"/>
  <c r="M382" i="95" s="1"/>
  <c r="L383" i="95"/>
  <c r="M383" i="95" s="1"/>
  <c r="L384" i="95"/>
  <c r="M384" i="95" s="1"/>
  <c r="L385" i="95"/>
  <c r="M385" i="95" s="1"/>
  <c r="L386" i="95"/>
  <c r="M386" i="95" s="1"/>
  <c r="L387" i="95"/>
  <c r="M387" i="95" s="1"/>
  <c r="L388" i="95"/>
  <c r="L389" i="95"/>
  <c r="L390" i="95"/>
  <c r="M390" i="95" s="1"/>
  <c r="L391" i="95"/>
  <c r="M391" i="95" s="1"/>
  <c r="L392" i="95"/>
  <c r="M392" i="95" s="1"/>
  <c r="L393" i="95"/>
  <c r="L394" i="95"/>
  <c r="L395" i="95"/>
  <c r="L396" i="95"/>
  <c r="L397" i="95"/>
  <c r="L398" i="95"/>
  <c r="L399" i="95"/>
  <c r="L400" i="95"/>
  <c r="M400" i="95" s="1"/>
  <c r="L401" i="95"/>
  <c r="M401" i="95" s="1"/>
  <c r="L402" i="95"/>
  <c r="L403" i="95"/>
  <c r="L404" i="95"/>
  <c r="L405" i="95"/>
  <c r="L406" i="95"/>
  <c r="M406" i="95" s="1"/>
  <c r="L407" i="95"/>
  <c r="M407" i="95" s="1"/>
  <c r="L408" i="95"/>
  <c r="M408" i="95" s="1"/>
  <c r="L409" i="95"/>
  <c r="L410" i="95"/>
  <c r="M410" i="95" s="1"/>
  <c r="L411" i="95"/>
  <c r="L412" i="95"/>
  <c r="L413" i="95"/>
  <c r="M413" i="95" s="1"/>
  <c r="L414" i="95"/>
  <c r="M414" i="95" s="1"/>
  <c r="L415" i="95"/>
  <c r="M415" i="95" s="1"/>
  <c r="L416" i="95"/>
  <c r="M416" i="95" s="1"/>
  <c r="L417" i="95"/>
  <c r="M417" i="95" s="1"/>
  <c r="L418" i="95"/>
  <c r="M418" i="95" s="1"/>
  <c r="L419" i="95"/>
  <c r="M419" i="95" s="1"/>
  <c r="L420" i="95"/>
  <c r="M420" i="95" s="1"/>
  <c r="M4" i="95"/>
  <c r="M5" i="95"/>
  <c r="M9" i="95"/>
  <c r="M10" i="95"/>
  <c r="M14" i="95"/>
  <c r="M25" i="95"/>
  <c r="M27" i="95"/>
  <c r="M28" i="95"/>
  <c r="M29" i="95"/>
  <c r="M37" i="95"/>
  <c r="M41" i="95"/>
  <c r="M42" i="95"/>
  <c r="M43" i="95"/>
  <c r="M44" i="95"/>
  <c r="M45" i="95"/>
  <c r="M46" i="95"/>
  <c r="M47" i="95"/>
  <c r="M50" i="95"/>
  <c r="M51" i="95"/>
  <c r="M57" i="95"/>
  <c r="M73" i="95"/>
  <c r="M74" i="95"/>
  <c r="M75" i="95"/>
  <c r="M76" i="95"/>
  <c r="M77" i="95"/>
  <c r="M78" i="95"/>
  <c r="M79" i="95"/>
  <c r="M82" i="95"/>
  <c r="M89" i="95"/>
  <c r="M91" i="95"/>
  <c r="M92" i="95"/>
  <c r="M93" i="95"/>
  <c r="M94" i="95"/>
  <c r="M95" i="95"/>
  <c r="M96" i="95"/>
  <c r="M100" i="95"/>
  <c r="M101" i="95"/>
  <c r="M105" i="95"/>
  <c r="M106" i="95"/>
  <c r="M107" i="95"/>
  <c r="M108" i="95"/>
  <c r="M123" i="95"/>
  <c r="M132" i="95"/>
  <c r="M133" i="95"/>
  <c r="M137" i="95"/>
  <c r="M138" i="95"/>
  <c r="M139" i="95"/>
  <c r="M140" i="95"/>
  <c r="M141" i="95"/>
  <c r="M142" i="95"/>
  <c r="M143" i="95"/>
  <c r="M146" i="95"/>
  <c r="M147" i="95"/>
  <c r="M148" i="95"/>
  <c r="M149" i="95"/>
  <c r="M153" i="95"/>
  <c r="M155" i="95"/>
  <c r="M156" i="95"/>
  <c r="M169" i="95"/>
  <c r="M170" i="95"/>
  <c r="M171" i="95"/>
  <c r="M172" i="95"/>
  <c r="M173" i="95"/>
  <c r="M174" i="95"/>
  <c r="M175" i="95"/>
  <c r="M178" i="95"/>
  <c r="M179" i="95"/>
  <c r="M180" i="95"/>
  <c r="M181" i="95"/>
  <c r="M185" i="95"/>
  <c r="M196" i="95"/>
  <c r="M197" i="95"/>
  <c r="M201" i="95"/>
  <c r="M202" i="95"/>
  <c r="M203" i="95"/>
  <c r="M204" i="95"/>
  <c r="M205" i="95"/>
  <c r="M206" i="95"/>
  <c r="M207" i="95"/>
  <c r="M210" i="95"/>
  <c r="M233" i="95"/>
  <c r="M234" i="95"/>
  <c r="M235" i="95"/>
  <c r="M236" i="95"/>
  <c r="M238" i="95"/>
  <c r="M239" i="95"/>
  <c r="M242" i="95"/>
  <c r="M249" i="95"/>
  <c r="M251" i="95"/>
  <c r="M252" i="95"/>
  <c r="M253" i="95"/>
  <c r="M254" i="95"/>
  <c r="M255" i="95"/>
  <c r="M260" i="95"/>
  <c r="M261" i="95"/>
  <c r="M265" i="95"/>
  <c r="M266" i="95"/>
  <c r="M270" i="95"/>
  <c r="M281" i="95"/>
  <c r="M283" i="95"/>
  <c r="M284" i="95"/>
  <c r="M285" i="95"/>
  <c r="M293" i="95"/>
  <c r="M297" i="95"/>
  <c r="M298" i="95"/>
  <c r="M299" i="95"/>
  <c r="M300" i="95"/>
  <c r="M301" i="95"/>
  <c r="M302" i="95"/>
  <c r="M303" i="95"/>
  <c r="M306" i="95"/>
  <c r="M307" i="95"/>
  <c r="M313" i="95"/>
  <c r="M329" i="95"/>
  <c r="M330" i="95"/>
  <c r="M331" i="95"/>
  <c r="M332" i="95"/>
  <c r="M333" i="95"/>
  <c r="M334" i="95"/>
  <c r="M335" i="95"/>
  <c r="M338" i="95"/>
  <c r="M345" i="95"/>
  <c r="M347" i="95"/>
  <c r="M348" i="95"/>
  <c r="M349" i="95"/>
  <c r="M350" i="95"/>
  <c r="M352" i="95"/>
  <c r="M356" i="95"/>
  <c r="M357" i="95"/>
  <c r="M361" i="95"/>
  <c r="M362" i="95"/>
  <c r="M363" i="95"/>
  <c r="M364" i="95"/>
  <c r="M379" i="95"/>
  <c r="M388" i="95"/>
  <c r="M389" i="95"/>
  <c r="M393" i="95"/>
  <c r="M394" i="95"/>
  <c r="M395" i="95"/>
  <c r="M396" i="95"/>
  <c r="M397" i="95"/>
  <c r="M398" i="95"/>
  <c r="M399" i="95"/>
  <c r="M402" i="95"/>
  <c r="M403" i="95"/>
  <c r="M404" i="95"/>
  <c r="M405" i="95"/>
  <c r="M409" i="95"/>
  <c r="M411" i="95"/>
  <c r="M412" i="95"/>
  <c r="P5" i="8"/>
  <c r="P5" i="8" a="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c r="L8" i="70" a="1"/>
  <c r="L8" i="70"/>
  <c r="L9" i="70" a="1"/>
  <c r="L9" i="70"/>
  <c r="L10" i="70" a="1"/>
  <c r="L10" i="70"/>
  <c r="L11" i="70" a="1"/>
  <c r="L11" i="70" s="1"/>
  <c r="L12" i="70" a="1"/>
  <c r="L12" i="70" s="1"/>
  <c r="L13" i="70" a="1"/>
  <c r="L13" i="70" s="1"/>
  <c r="L14" i="70" a="1"/>
  <c r="L14" i="70" s="1"/>
  <c r="L15" i="70" a="1"/>
  <c r="L15" i="70"/>
  <c r="L16" i="70" a="1"/>
  <c r="L16" i="70"/>
  <c r="L17" i="70" a="1"/>
  <c r="L17" i="70"/>
  <c r="L18" i="70" a="1"/>
  <c r="L18" i="70"/>
  <c r="L19" i="70" a="1"/>
  <c r="L19" i="70"/>
  <c r="L20" i="70" a="1"/>
  <c r="L20" i="70"/>
  <c r="L21" i="70" a="1"/>
  <c r="L21" i="70"/>
  <c r="L22" i="70" a="1"/>
  <c r="L22" i="70"/>
  <c r="L23" i="70" a="1"/>
  <c r="L23" i="70"/>
  <c r="L24" i="70" a="1"/>
  <c r="L24" i="70"/>
  <c r="L25" i="70" a="1"/>
  <c r="L25" i="70"/>
  <c r="L26" i="70" a="1"/>
  <c r="L26" i="70"/>
  <c r="L27" i="70" a="1"/>
  <c r="L27" i="70" s="1"/>
  <c r="L28" i="70" a="1"/>
  <c r="L28" i="70"/>
  <c r="M17" i="70" a="1"/>
  <c r="M17" i="70" s="1"/>
  <c r="R2" i="74"/>
  <c r="F2" i="74" s="1" a="1"/>
  <c r="F2" i="74" s="1"/>
  <c r="D47" i="8"/>
  <c r="D14" i="8"/>
  <c r="D13" i="8"/>
  <c r="D12" i="8"/>
  <c r="D11" i="8" a="1"/>
  <c r="D11" i="8" s="1"/>
  <c r="K2" i="70"/>
  <c r="I47" i="8"/>
  <c r="H47" i="8"/>
  <c r="G47" i="8"/>
  <c r="F47" i="8"/>
  <c r="E47" i="8"/>
  <c r="M14" i="70" s="1" a="1"/>
  <c r="M14" i="70" s="1"/>
  <c r="G1" i="8" a="1"/>
  <c r="K318" i="95" l="1"/>
  <c r="K222" i="95"/>
  <c r="K221" i="95"/>
  <c r="K320" i="95"/>
  <c r="K256" i="95"/>
  <c r="M18" i="70" a="1"/>
  <c r="M18" i="70" s="1"/>
  <c r="M26" i="70" a="1"/>
  <c r="M26" i="70" s="1"/>
  <c r="M5" i="70" a="1"/>
  <c r="M5" i="70" s="1"/>
  <c r="M19" i="70" a="1"/>
  <c r="M19" i="70" s="1"/>
  <c r="M20" i="70" a="1"/>
  <c r="M20" i="70" s="1"/>
  <c r="M16" i="70" a="1"/>
  <c r="M16" i="70" s="1"/>
  <c r="M15" i="70" a="1"/>
  <c r="M15" i="70" s="1"/>
  <c r="M13" i="70" a="1"/>
  <c r="M13" i="70" s="1"/>
  <c r="M24" i="70" a="1"/>
  <c r="M24" i="70" s="1"/>
  <c r="M8" i="70" a="1"/>
  <c r="M8" i="70" s="1"/>
  <c r="M12" i="70" a="1"/>
  <c r="M12" i="70" s="1"/>
  <c r="M27" i="70" a="1"/>
  <c r="M27" i="70" s="1"/>
  <c r="M23" i="70" a="1"/>
  <c r="M23" i="70" s="1"/>
  <c r="M7" i="70" a="1"/>
  <c r="M7" i="70" s="1"/>
  <c r="M28" i="70" a="1"/>
  <c r="M28" i="70" s="1"/>
  <c r="M11" i="70" a="1"/>
  <c r="M11" i="70" s="1"/>
  <c r="M10" i="70" a="1"/>
  <c r="M10" i="70" s="1"/>
  <c r="M9" i="70" a="1"/>
  <c r="M9" i="70" s="1"/>
  <c r="M25" i="70" a="1"/>
  <c r="M25" i="70" s="1"/>
  <c r="M22" i="70" a="1"/>
  <c r="M22" i="70" s="1"/>
  <c r="M6" i="70" a="1"/>
  <c r="M6" i="70" s="1"/>
  <c r="M21" i="70" a="1"/>
  <c r="M21" i="70" s="1"/>
  <c r="G2" i="100" a="1"/>
  <c r="G2" i="100" s="1"/>
  <c r="G1" i="8"/>
  <c r="L2" i="70" a="1"/>
  <c r="L2" i="70" s="1"/>
  <c r="M2" i="70" l="1" a="1"/>
  <c r="M2" i="70" s="1"/>
  <c r="N27" i="70" s="1"/>
  <c r="N16" i="70" l="1"/>
  <c r="N15" i="70"/>
  <c r="N9" i="70"/>
  <c r="N12" i="70"/>
  <c r="N23" i="70"/>
  <c r="N8" i="70"/>
  <c r="N7" i="70"/>
  <c r="N22" i="70"/>
  <c r="N20" i="70"/>
  <c r="N25" i="70"/>
  <c r="N17" i="70"/>
  <c r="N26" i="70"/>
  <c r="N19" i="70"/>
  <c r="N18" i="70"/>
  <c r="N5" i="70"/>
  <c r="N14" i="70"/>
  <c r="N24" i="70"/>
  <c r="N6" i="70"/>
  <c r="N11" i="70"/>
  <c r="N21" i="70"/>
  <c r="N28" i="70"/>
  <c r="N13" i="70"/>
  <c r="N10" i="70"/>
  <c r="I2" i="100" a="1"/>
  <c r="I2" i="100" s="1"/>
  <c r="Q5" i="70" l="1" a="1"/>
  <c r="Q5" i="70" s="1"/>
  <c r="R5" i="70" a="1"/>
  <c r="R5" i="70" s="1"/>
  <c r="Z2" i="78" a="1"/>
  <c r="AG2" i="78" l="1" a="1"/>
  <c r="AG2" i="78" s="1"/>
  <c r="Z2" i="78"/>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1" i="78" a="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<sst xmlns="http://schemas.openxmlformats.org/spreadsheetml/2006/main" count="1283" uniqueCount="751">
  <si>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</si>
  <si>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</si>
  <si>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</si>
  <si>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</si>
  <si>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</si>
  <si>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</si>
  <si>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</si>
  <si>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</si>
  <si>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</si>
  <si>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</si>
  <si>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</si>
  <si>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</si>
  <si>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</si>
  <si>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</si>
  <si>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</si>
  <si>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</si>
  <si>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</si>
  <si>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</si>
  <si>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</si>
  <si>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</si>
  <si>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</si>
  <si>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</si>
  <si>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</si>
  <si>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</si>
  <si>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</si>
  <si>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</si>
  <si>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</si>
  <si>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</si>
  <si>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</si>
  <si>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</si>
  <si>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</si>
  <si>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</si>
  <si>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</si>
  <si>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</si>
  <si>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</si>
  <si>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</si>
  <si>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</si>
  <si>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</si>
  <si>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</si>
  <si>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</si>
  <si>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</si>
  <si>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</si>
  <si>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</si>
  <si>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</si>
  <si>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</si>
  <si>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</si>
  <si>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</si>
  <si>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</si>
  <si>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</si>
  <si>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</si>
  <si>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</si>
  <si>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</si>
  <si>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</si>
  <si>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</si>
  <si>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</si>
  <si>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</si>
  <si>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</si>
  <si>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</si>
  <si>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</si>
  <si>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</si>
  <si>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</si>
  <si>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</si>
  <si>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</si>
  <si>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</si>
  <si>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</si>
  <si>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</si>
  <si>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</si>
  <si>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</si>
  <si>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</si>
  <si>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</si>
  <si>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</si>
  <si>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</si>
  <si>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</si>
  <si>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</si>
  <si>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</si>
  <si>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</si>
  <si>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</si>
  <si>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</si>
  <si>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</si>
  <si>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</si>
  <si>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</si>
  <si>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</si>
  <si>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</si>
  <si>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</si>
  <si>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</si>
  <si>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</si>
  <si>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</si>
  <si>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</si>
  <si>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</si>
  <si>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</si>
  <si>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</si>
  <si>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</si>
  <si>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</si>
  <si>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</si>
  <si>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</si>
  <si>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</si>
  <si>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</si>
  <si>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</si>
  <si>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</si>
  <si>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</si>
  <si>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</si>
  <si>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</si>
  <si>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</si>
  <si>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</si>
  <si>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</si>
  <si>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</si>
  <si>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</si>
  <si>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</si>
  <si>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</si>
  <si>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</si>
  <si>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</si>
  <si>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</si>
  <si>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</si>
  <si>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</si>
  <si>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</si>
  <si>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</si>
  <si>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</si>
  <si>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</si>
  <si>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</si>
  <si>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</si>
  <si>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</si>
  <si>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</si>
  <si>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</si>
  <si>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</si>
  <si>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</si>
  <si>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</si>
  <si>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</si>
  <si>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</si>
  <si>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</si>
  <si>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</si>
  <si>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</si>
  <si>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</si>
  <si>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</si>
  <si>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</si>
  <si>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</si>
  <si>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</si>
  <si>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</si>
  <si>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</si>
  <si>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</si>
  <si>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</si>
  <si>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</si>
  <si>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</si>
  <si>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</si>
  <si>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</si>
  <si>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</si>
  <si>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</si>
  <si>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</si>
  <si>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</si>
  <si>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</si>
  <si>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</si>
  <si>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</si>
  <si>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</si>
  <si>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</si>
  <si>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</si>
  <si>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</si>
  <si>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</si>
  <si>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</si>
  <si>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</si>
  <si>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</si>
  <si>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</si>
  <si>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</si>
  <si>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</si>
  <si>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</si>
  <si>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</si>
  <si>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</si>
  <si>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</si>
  <si>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</si>
  <si>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</si>
  <si>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</si>
  <si>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</si>
  <si>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</si>
  <si>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</si>
  <si>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</si>
  <si>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</si>
  <si>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</si>
  <si>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</si>
  <si>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</si>
  <si>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</si>
  <si>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</si>
  <si>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</si>
  <si>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</si>
  <si>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</si>
  <si>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</si>
  <si>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</si>
  <si>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</si>
  <si>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</si>
  <si>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</si>
  <si>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</si>
  <si>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</si>
  <si>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</si>
  <si>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</si>
  <si>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</si>
  <si>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</si>
  <si>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</si>
  <si>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</si>
  <si>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</si>
  <si>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</si>
  <si>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</si>
  <si>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</si>
  <si>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</si>
  <si>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</si>
  <si>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</si>
  <si>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</si>
  <si>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</si>
  <si>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</si>
  <si>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</si>
  <si>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</si>
  <si>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</si>
  <si>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</si>
  <si>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</si>
  <si>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</si>
  <si>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</si>
  <si>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</si>
  <si>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</si>
  <si>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</si>
  <si>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</si>
  <si>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</si>
  <si>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</si>
  <si>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</si>
  <si>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</si>
  <si>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</si>
  <si>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</si>
  <si>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</si>
  <si>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</si>
  <si>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</si>
  <si>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</si>
  <si>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</si>
  <si>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</si>
  <si>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</si>
  <si>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</si>
  <si>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</si>
  <si>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</si>
  <si>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</si>
  <si>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</si>
  <si>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</si>
  <si>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</si>
  <si>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</si>
  <si>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</si>
  <si>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</si>
  <si>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</si>
  <si>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</si>
  <si>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</si>
  <si>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</si>
  <si>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</si>
  <si>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</si>
  <si>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</si>
  <si>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</si>
  <si>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</si>
  <si>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</si>
  <si>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</si>
  <si>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</si>
  <si>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</si>
  <si>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</si>
  <si>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</si>
  <si>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</si>
  <si>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</si>
  <si>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</si>
  <si>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</si>
  <si>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</si>
  <si>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</si>
  <si>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</si>
  <si>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</si>
  <si>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</si>
  <si>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</si>
  <si>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</si>
  <si>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</si>
  <si>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</si>
  <si>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</si>
  <si>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</si>
  <si>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</si>
  <si>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</si>
  <si>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</si>
  <si>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</si>
  <si>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</si>
  <si>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</si>
  <si>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</si>
  <si>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</si>
  <si>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</si>
  <si>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</si>
  <si>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</si>
  <si>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</si>
  <si>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</si>
  <si>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</si>
  <si>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</si>
  <si>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</si>
  <si>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</si>
  <si>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</si>
  <si>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</si>
  <si>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</si>
  <si>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</si>
  <si>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</si>
  <si>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</si>
  <si>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</si>
  <si>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</si>
  <si>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</si>
  <si>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</si>
  <si>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</si>
  <si>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</si>
  <si>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</si>
  <si>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</si>
  <si>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</si>
  <si>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</si>
  <si>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</si>
  <si>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</si>
  <si>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</si>
  <si>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</si>
  <si>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</si>
  <si>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</si>
  <si>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</si>
  <si>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</si>
  <si>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</si>
  <si>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</si>
  <si>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</si>
  <si>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</si>
  <si>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</si>
  <si>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</si>
  <si>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</si>
  <si>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</si>
  <si>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</si>
  <si>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</si>
  <si>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</si>
  <si>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</si>
  <si>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</si>
  <si>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</si>
  <si>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</si>
  <si>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</si>
  <si>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</si>
  <si>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</si>
  <si>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</si>
  <si>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</si>
  <si>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</si>
  <si>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</si>
  <si>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</si>
  <si>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</si>
  <si>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</si>
  <si>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</si>
  <si>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</si>
  <si>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</si>
  <si>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</si>
  <si>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</si>
  <si>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</si>
  <si>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</si>
  <si>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</si>
  <si>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</si>
  <si>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</si>
  <si>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</si>
  <si>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</si>
  <si>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</si>
  <si>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</si>
  <si>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</si>
  <si>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</si>
  <si>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</si>
  <si>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</si>
  <si>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</si>
  <si>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</si>
  <si>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</si>
  <si>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</si>
  <si>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</si>
  <si>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</si>
  <si>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</si>
  <si>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</si>
  <si>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</si>
  <si>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</si>
  <si>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</si>
  <si>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</si>
  <si>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</si>
  <si>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</si>
  <si>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</si>
  <si>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</si>
  <si>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</si>
  <si>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</si>
  <si>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</si>
  <si>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</si>
  <si>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</si>
  <si>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</si>
  <si>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</si>
  <si>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</si>
  <si>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</si>
  <si>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</si>
  <si>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</si>
  <si>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</si>
  <si>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</si>
  <si>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</si>
  <si>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</si>
  <si>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</si>
  <si>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</si>
  <si>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</si>
  <si>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</si>
  <si>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</si>
  <si>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</si>
  <si>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</si>
  <si>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</si>
  <si>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</si>
  <si>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</si>
  <si>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</si>
  <si>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</si>
  <si>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</si>
  <si>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</si>
  <si>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</si>
  <si>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</si>
  <si>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</si>
  <si>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</si>
  <si>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</si>
  <si>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</si>
  <si>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</si>
  <si>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</si>
  <si>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</si>
  <si>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</si>
  <si>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</si>
  <si>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</si>
  <si>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</si>
  <si>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</si>
  <si>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</si>
  <si>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</si>
  <si>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</si>
  <si>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</si>
  <si>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</si>
  <si>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</si>
  <si>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</si>
  <si>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</si>
  <si>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</si>
  <si>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</si>
  <si>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</si>
  <si>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</si>
  <si>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</si>
  <si>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</si>
  <si>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</si>
  <si>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</si>
  <si>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</si>
  <si>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</si>
  <si>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</si>
  <si>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</si>
  <si>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</si>
  <si>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</si>
  <si>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</si>
  <si>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</si>
  <si>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</si>
  <si>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</si>
  <si>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</si>
  <si>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</si>
  <si>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</si>
  <si>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</si>
  <si>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</si>
  <si>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</si>
  <si>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</si>
  <si>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</si>
  <si>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</si>
  <si>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</si>
  <si>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</si>
  <si>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</si>
  <si>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</si>
  <si>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</si>
  <si>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</si>
  <si>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</si>
  <si>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</si>
  <si>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</si>
  <si>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</si>
  <si>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</si>
  <si>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</si>
  <si>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</si>
  <si>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</si>
  <si>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</si>
  <si>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</si>
  <si>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</si>
  <si>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</si>
  <si>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</si>
  <si>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</si>
  <si>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</si>
  <si>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</si>
  <si>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</si>
  <si>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</si>
  <si>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</si>
  <si>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</si>
  <si>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</si>
  <si>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</si>
  <si>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</si>
  <si>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</si>
  <si>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</si>
  <si>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</si>
  <si>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</si>
  <si>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</si>
  <si>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</si>
  <si>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</si>
  <si>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</si>
  <si>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</si>
  <si>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</si>
  <si>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</si>
  <si>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</si>
  <si>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</si>
  <si>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</si>
  <si>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</si>
  <si>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</si>
  <si>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</si>
  <si>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</si>
  <si>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</si>
  <si>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</si>
  <si>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</si>
  <si>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</si>
  <si>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</si>
  <si>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</si>
  <si>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</si>
  <si>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</si>
  <si>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</si>
  <si>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</si>
  <si>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</si>
  <si>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</si>
  <si>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</si>
  <si>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</si>
  <si>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</si>
  <si>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</si>
  <si>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</si>
  <si>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</si>
  <si>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</si>
  <si>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</si>
  <si>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</si>
  <si>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</si>
  <si>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</si>
  <si>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</si>
  <si>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</si>
  <si>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</si>
  <si>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</si>
  <si>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</si>
  <si>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</si>
  <si>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</si>
  <si>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</si>
  <si>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</si>
  <si>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</si>
  <si>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</si>
  <si>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</si>
  <si>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</si>
  <si>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</si>
  <si>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</si>
  <si>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</si>
  <si>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</si>
  <si>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</si>
  <si>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</si>
  <si>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</si>
  <si>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</si>
  <si>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</si>
  <si>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</si>
  <si>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</si>
  <si>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</si>
  <si>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</si>
  <si>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</si>
  <si>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</si>
  <si>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</si>
  <si>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</si>
  <si>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</si>
  <si>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</si>
  <si>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</si>
  <si>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</si>
  <si>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</si>
  <si>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</si>
  <si>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</si>
  <si>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</si>
  <si>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</si>
  <si>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</si>
  <si>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</si>
  <si>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</si>
  <si>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</si>
  <si>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</si>
  <si>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</si>
  <si>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</si>
  <si>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</si>
  <si>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</si>
  <si>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</si>
  <si>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</si>
  <si>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</si>
  <si>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</si>
  <si>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</si>
  <si>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</si>
  <si>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</si>
  <si>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</si>
  <si>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</si>
  <si>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</si>
  <si>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</si>
  <si>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</si>
  <si>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</si>
  <si>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</si>
  <si>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</si>
  <si>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</si>
  <si>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</si>
  <si>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</si>
  <si>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</si>
  <si>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</si>
  <si>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</si>
  <si>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</si>
  <si>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</si>
  <si>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</si>
  <si>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</si>
  <si>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</si>
  <si>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</si>
  <si>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</si>
  <si>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</si>
  <si>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</si>
  <si>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</si>
  <si>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</si>
  <si>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</si>
  <si>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</si>
  <si>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</si>
  <si>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</si>
  <si>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</si>
  <si>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</si>
  <si>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</si>
  <si>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</si>
  <si>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</si>
  <si>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</si>
  <si>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</si>
  <si>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</si>
  <si>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</si>
  <si>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</si>
  <si>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</si>
  <si>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</si>
  <si>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</si>
  <si>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</si>
  <si>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</si>
  <si>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</si>
  <si>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</si>
  <si>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</si>
  <si>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</si>
  <si>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</si>
  <si>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</si>
  <si>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</si>
  <si>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</si>
  <si>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</si>
  <si>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</si>
  <si>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</si>
  <si>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</si>
  <si>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</si>
  <si>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</si>
  <si>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</si>
  <si>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</si>
  <si>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</si>
  <si>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</si>
  <si>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</si>
  <si>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</si>
  <si>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</si>
  <si>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</si>
  <si>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</si>
  <si>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</si>
  <si>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</si>
  <si>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</si>
  <si>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</si>
  <si>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</si>
  <si>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</si>
  <si>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</si>
  <si>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</si>
  <si>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</si>
  <si>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</si>
  <si>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</si>
  <si>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</si>
  <si>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</si>
  <si>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</si>
  <si>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</si>
  <si>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</si>
  <si>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</si>
  <si>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</si>
  <si>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</si>
  <si>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</si>
  <si>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</si>
  <si>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</si>
  <si>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</si>
  <si>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</si>
  <si>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</si>
  <si>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</si>
  <si>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</si>
  <si>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</si>
  <si>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</si>
  <si>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</si>
  <si>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</si>
  <si>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</si>
  <si>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</si>
  <si>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</si>
  <si>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</si>
  <si>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</si>
  <si>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</si>
  <si>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</si>
  <si>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</si>
  <si>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</si>
  <si>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</si>
  <si>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</si>
  <si>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</si>
  <si>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</si>
  <si>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</si>
  <si>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</si>
  <si>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</si>
  <si>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</si>
  <si>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</si>
  <si>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</si>
  <si>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</si>
  <si>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</si>
  <si>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</si>
  <si>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</si>
  <si>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</si>
  <si>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</si>
  <si>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</si>
  <si>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</si>
  <si>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</si>
  <si>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</si>
  <si>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</si>
  <si>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</si>
  <si>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</si>
  <si>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</si>
  <si>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</si>
  <si>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</si>
  <si>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</si>
  <si>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</si>
  <si>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</si>
  <si>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</si>
  <si>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</si>
  <si>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</si>
  <si>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</si>
  <si>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</si>
  <si>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</si>
  <si>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</si>
  <si>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</si>
  <si>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</si>
  <si>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</si>
  <si>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</si>
  <si>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</si>
  <si>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</si>
  <si>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</si>
  <si>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</si>
  <si>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</si>
  <si>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</si>
  <si>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</si>
  <si>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</si>
  <si>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</si>
  <si>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</si>
  <si>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</si>
  <si>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</si>
  <si>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</si>
  <si>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</si>
  <si>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</si>
  <si>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</si>
  <si>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</si>
  <si>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</si>
  <si>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</si>
  <si>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</si>
  <si>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</si>
  <si>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</si>
  <si>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</si>
  <si>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</si>
  <si>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</si>
  <si>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</si>
  <si>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</si>
  <si>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</si>
  <si>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Ver. 03.01.26</t>
  </si>
  <si>
    <t>sort1</t>
  </si>
  <si>
    <t>sort2</t>
  </si>
  <si>
    <t>Daqbook Compatibility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</si>
</sst>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9"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3" fillId="18" borderId="0" xfId="0" applyFont="1" applyFill="1"/>
    <xf numFmtId="0" fontId="128" fillId="2" borderId="0" xfId="0" applyFont="1" applyFill="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19" formatCode="m/d/yyyy"/>
    </dxf>
    <dxf>
      <numFmt numFmtId="19" formatCode="m/d/yyyy"/>
    </dxf>
    <dxf>
      <numFmt numFmtId="2" formatCode="0.00"/>
    </dxf>
    <dxf>
      <numFmt numFmtId="184"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4"/>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200">
      <calculatedColumnFormula>_xlfn.XLOOKUP(WireSets[[#This Row],[type]],Table6[TC Type],Table6[Daqbook Type],NA())</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Compatibility]])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2"/>
    <tableColumn id="6" xr3:uid="{5062893C-BBB1-47DF-8675-99516DA753A8}" uniqueName="6" name="sort1" queryTableFieldId="6" dataDxfId="191">
      <calculatedColumnFormula>LEFT(AllWireRollCerts[[#This Row],[traceability_no]],6)</calculatedColumnFormula>
    </tableColumn>
    <tableColumn id="7" xr3:uid="{2A19E68F-29D7-404E-820F-E990CEF43BD1}" uniqueName="7" name="sort2" queryTableFieldId="7" dataDxfId="190">
      <calculatedColumnFormula>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8">
      <calculatedColumnFormula>IF(Main!O3="","",Main!N3)</calculatedColumnFormula>
    </tableColumn>
    <tableColumn id="3" xr3:uid="{FCE5D856-7234-4CCA-97EE-22B74741E437}" name="Alert" dataDxfId="187">
      <calculatedColumnFormula array="1">_xlfn.TEXTJOIN("; ", TRUE, IF(Alerts[[#This Row],[Dropped]],"DROPPED",""),
    IF(Alerts[[#This Row],[High]:[Out Of Tolerance]] &lt;&gt; "",
        Alerts[[#Headers],[High]:[Out Of Tolerance]],
        "")
)</calculatedColumnFormula>
    </tableColumn>
    <tableColumn id="4" xr3:uid="{8AD94D64-1483-4168-80EC-0F5FF5FBFB54}" name="Temp" dataDxfId="186">
      <calculatedColumnFormula array="1">_xlfn.XLOOKUP(1,
  (Survey[TestPoint]=Alerts[[#This Row],[TestPoint]])*(Survey[Time]=--Alerts[[#This Row],[Time]]),
  Survey[RawTemp],
  "")</calculatedColumnFormula>
    </tableColumn>
    <tableColumn id="5" xr3:uid="{7F528BD7-7CA6-42E2-8288-BF3DEA461539}" name="Time" dataDxfId="185">
      <calculatedColumnFormula>IFERROR(IF(OR(Alerts[[#This Row],[High]],Alerts[[#This Row],[Low]]),VALUE(Alerts[[#This Row],[High]]&amp;Alerts[[#This Row],[Low]]),Alerts[[#This Row],[Out Of Tolerance]]),"")</calculatedColumnFormula>
    </tableColumn>
    <tableColumn id="6" xr3:uid="{C6C3F45B-0C03-4E9C-9412-DBABE4DA80B3}" name="Dropped" dataDxfId="184">
      <calculatedColumnFormula>IF(
  Main!O5 = "",
  FALSE,
  COUNTIF(Survey[TestPoint], Alerts[[#This Row],[TestPoint]]) = 0
)</calculatedColumnFormula>
    </tableColumn>
    <tableColumn id="8" xr3:uid="{96F3D492-9D35-4D95-988A-C7309D2CB11D}" name="High" dataDxfId="183">
      <calculatedColumnFormula array="1">_xlfn.XLOOKUP(1,
  (Survey[TestPoint]=Alerts[[#This Row],[TestPoint]])*Survey[High],
  Survey[Time],
  "")</calculatedColumnFormula>
    </tableColumn>
    <tableColumn id="9" xr3:uid="{FA598A09-68F3-4996-908B-720C01A5CB36}" name="Low" dataDxfId="182">
      <calculatedColumnFormula array="1">_xlfn.XLOOKUP(1,
  (Survey[TestPoint]=Alerts[[#This Row],[TestPoint]])*Survey[Low],
  Survey[Time],
  "")</calculatedColumnFormula>
    </tableColumn>
    <tableColumn id="10" xr3:uid="{8BF38346-ED30-41C4-A7C5-C5AD74EDAE4E}" name="Out Of Tolerance" dataDxfId="18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0"/>
    <tableColumn id="2" xr3:uid="{80F1DE28-79AD-483F-A7F0-673E715EECBE}" uniqueName="2" name="reading" queryTableFieldId="2" dataDxfId="179"/>
    <tableColumn id="1" xr3:uid="{B4839395-B86E-4AA6-ADFB-57CDD2F7F61D}" uniqueName="1" name="point" queryTableFieldId="1"/>
    <tableColumn id="3" xr3:uid="{2724CA85-C781-4E38-A0DA-097BFEEFE8B1}" uniqueName="3" name="Temp" queryTableFieldId="3" dataDxfId="178"/>
    <tableColumn id="5" xr3:uid="{D8FBA668-C3CE-41DC-B112-B2663A4558F7}" uniqueName="5" name="Offset" queryTableFieldId="5" dataDxfId="177"/>
    <tableColumn id="4" xr3:uid="{3984E3BA-ECF9-4974-BA1B-4E1212BB2A83}" uniqueName="4" name="AssetTag" queryTableFieldId="8" dataDxfId="17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5" headerRowBorderDxfId="174">
  <autoFilter ref="M1:T41" xr:uid="{26B6A9B0-C535-497C-80B0-B1E532DC9DFD}"/>
  <tableColumns count="8">
    <tableColumn id="2" xr3:uid="{AA763339-65AF-434D-A711-61DA35F163AD}" name="Point"/>
    <tableColumn id="3" xr3:uid="{3B356035-E587-4027-87A0-DE8E0B2FE7E1}" name="DaqbookInterp" dataDxfId="17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2">
      <calculatedColumnFormula array="1">IF(DaqbookInterp[[#This Row],[Include]],QRound(N2),NA())</calculatedColumnFormula>
    </tableColumn>
    <tableColumn id="5" xr3:uid="{D54F6D03-3723-4E00-912E-150DF9F71E5B}" name="T/C Name" dataDxfId="171">
      <calculatedColumnFormula>IF(DaqbookInterp[[#This Row],[Include]],Main!O5, NA())</calculatedColumnFormula>
    </tableColumn>
    <tableColumn id="6" xr3:uid="{4A823077-65D9-48F8-825F-BAEBD9008EA4}" name="Include" dataDxfId="170">
      <calculatedColumnFormula>NOT(ISBLANK(Main!O5))</calculatedColumnFormula>
    </tableColumn>
    <tableColumn id="7" xr3:uid="{9B0EC045-52DF-4F3C-A037-09C5D494BF52}" name="WireSet" dataDxfId="169">
      <calculatedColumnFormula>LOOKUP(DaqbookInterp[[#This Row],[T/C Name]],_xlfn.ANCHORARRAY($Z$2))</calculatedColumnFormula>
    </tableColumn>
    <tableColumn id="8" xr3:uid="{FEFB3CF3-C3B5-4AEA-A75C-80F9610E9833}" name="Wire Lot #" dataDxfId="168">
      <calculatedColumnFormula>HLOOKUP(DaqbookInterp[[#This Row],[WireSet]],Main!$D$48:$I$55,8,0)</calculatedColumnFormula>
    </tableColumn>
    <tableColumn id="9" xr3:uid="{C4BC88F4-CA08-4EF4-9C53-A23F32164EA9}" name="TC CF" dataDxfId="16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1" tableType="queryTable" totalsRowShown="0" headerRowDxfId="82" dataDxfId="81">
  <autoFilter ref="A1:O1701"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750</v>
      </c>
      <c r="J4"/>
      <c r="K4" s="37" t="s">
        <v>746</v>
      </c>
      <c r="L4" s="37" t="s">
        <v>741</v>
      </c>
      <c r="M4" s="37" t="s">
        <v>742</v>
      </c>
      <c r="N4" s="37" t="s">
        <v>738</v>
      </c>
      <c r="S4" t="s">
        <v>331</v>
      </c>
      <c r="T4" t="s">
        <v>331</v>
      </c>
    </row>
    <row r="5" spans="1:20" x14ac:dyDescent="0.2">
      <c r="A5"/>
      <c r="B5"/>
      <c r="C5"/>
      <c r="D5"/>
      <c r="E5" s="477"/>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_xlfn.XLOOKUP(WireSets[[#This Row],[type]],Table6[TC Type],Table6[Daqbook Type],NA())</f>
        <v>K</v>
      </c>
      <c r="J17" s="37"/>
      <c r="K17" s="37"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_xlfn.XLOOKUP(WireSets[[#This Row],[type]],Table6[TC Type],Table6[Daqbook Type],NA())</f>
        <v>K</v>
      </c>
      <c r="J18" s="37"/>
      <c r="K18" s="37"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I5" sqref="I5"/>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748</v>
      </c>
      <c r="P1" s="37" t="s">
        <v>749</v>
      </c>
      <c r="R1" s="475" t="s">
        <v>744</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LEFT(AllWireRollCerts[[#This Row],[traceability_no]],6)</f>
        <v>081197</v>
      </c>
      <c r="P2" t="str">
        <f>SUBSTITUTE(AllWireRollCerts[[#This Row],[traceability_no]],AllWireRollCerts[[#This Row],[sort1]],"")</f>
        <v>C</v>
      </c>
      <c r="R2" t="e">
        <f>IF(DaqbookAssetTag&lt;&gt;"",LEFT(DaqbookAssetTag,1),NA())</f>
        <v>#N/A</v>
      </c>
    </row>
    <row r="3" spans="1:18" x14ac:dyDescent="0.2">
      <c r="A3"/>
      <c r="B3"/>
      <c r="C3"/>
      <c r="D3"/>
      <c r="H3" t="str">
        <v/>
      </c>
      <c r="K3"/>
      <c r="L3"/>
      <c r="M3"/>
      <c r="N3"/>
      <c r="O3" t="str">
        <f>LEFT(AllWireRollCerts[[#This Row],[traceability_no]],6)</f>
        <v>081197</v>
      </c>
      <c r="P3" t="str">
        <f>SUBSTITUTE(AllWireRollCerts[[#This Row],[traceability_no]],AllWireRollCerts[[#This Row],[sort1]],"")</f>
        <v>E</v>
      </c>
    </row>
    <row r="4" spans="1:18" x14ac:dyDescent="0.2">
      <c r="A4"/>
      <c r="B4"/>
      <c r="C4"/>
      <c r="D4"/>
      <c r="H4" t="str">
        <v/>
      </c>
      <c r="K4"/>
      <c r="L4"/>
      <c r="M4"/>
      <c r="N4"/>
      <c r="O4" t="str">
        <f>LEFT(AllWireRollCerts[[#This Row],[traceability_no]],6)</f>
        <v>081197</v>
      </c>
      <c r="P4" t="str">
        <f>SUBSTITUTE(AllWireRollCerts[[#This Row],[traceability_no]],AllWireRollCerts[[#This Row],[sort1]],"")</f>
        <v>F</v>
      </c>
    </row>
    <row r="5" spans="1:18" x14ac:dyDescent="0.2">
      <c r="A5"/>
      <c r="B5"/>
      <c r="C5"/>
      <c r="D5"/>
      <c r="H5" t="str">
        <v/>
      </c>
      <c r="K5"/>
      <c r="L5"/>
      <c r="M5"/>
      <c r="N5"/>
      <c r="O5" t="str">
        <f>LEFT(AllWireRollCerts[[#This Row],[traceability_no]],6)</f>
        <v>081197</v>
      </c>
      <c r="P5" t="str">
        <f>SUBSTITUTE(AllWireRollCerts[[#This Row],[traceability_no]],AllWireRollCerts[[#This Row],[sort1]],"")</f>
        <v>G</v>
      </c>
    </row>
    <row r="6" spans="1:18" x14ac:dyDescent="0.2">
      <c r="A6"/>
      <c r="B6"/>
      <c r="C6"/>
      <c r="D6"/>
      <c r="H6" t="str">
        <v/>
      </c>
      <c r="K6"/>
      <c r="L6"/>
      <c r="M6"/>
      <c r="N6"/>
      <c r="O6" t="str">
        <f>LEFT(AllWireRollCerts[[#This Row],[traceability_no]],6)</f>
        <v>081197</v>
      </c>
      <c r="P6" t="str">
        <f>SUBSTITUTE(AllWireRollCerts[[#This Row],[traceability_no]],AllWireRollCerts[[#This Row],[sort1]],"")</f>
        <v>I</v>
      </c>
    </row>
    <row r="7" spans="1:18" x14ac:dyDescent="0.2">
      <c r="A7"/>
      <c r="B7"/>
      <c r="C7"/>
      <c r="D7"/>
      <c r="H7" t="str">
        <v/>
      </c>
      <c r="K7"/>
      <c r="L7"/>
      <c r="M7"/>
      <c r="N7"/>
      <c r="O7" t="str">
        <f>LEFT(AllWireRollCerts[[#This Row],[traceability_no]],6)</f>
        <v>081197</v>
      </c>
      <c r="P7" t="str">
        <f>SUBSTITUTE(AllWireRollCerts[[#This Row],[traceability_no]],AllWireRollCerts[[#This Row],[sort1]],"")</f>
        <v>J</v>
      </c>
    </row>
    <row r="8" spans="1:18" x14ac:dyDescent="0.2">
      <c r="A8"/>
      <c r="B8"/>
      <c r="C8"/>
      <c r="D8"/>
      <c r="K8"/>
      <c r="L8"/>
      <c r="M8"/>
      <c r="N8"/>
      <c r="O8" t="str">
        <f>LEFT(AllWireRollCerts[[#This Row],[traceability_no]],6)</f>
        <v>081197</v>
      </c>
      <c r="P8" t="str">
        <f>SUBSTITUTE(AllWireRollCerts[[#This Row],[traceability_no]],AllWireRollCerts[[#This Row],[sort1]],"")</f>
        <v>K</v>
      </c>
    </row>
    <row r="9" spans="1:18" x14ac:dyDescent="0.2">
      <c r="A9"/>
      <c r="B9"/>
      <c r="C9"/>
      <c r="D9"/>
      <c r="K9"/>
      <c r="L9"/>
      <c r="M9"/>
      <c r="N9"/>
      <c r="O9" t="str">
        <f>LEFT(AllWireRollCerts[[#This Row],[traceability_no]],6)</f>
        <v>081197</v>
      </c>
      <c r="P9" t="str">
        <f>SUBSTITUTE(AllWireRollCerts[[#This Row],[traceability_no]],AllWireRollCerts[[#This Row],[sort1]],"")</f>
        <v>S</v>
      </c>
    </row>
    <row r="10" spans="1:18" x14ac:dyDescent="0.2">
      <c r="A10"/>
      <c r="B10"/>
      <c r="C10"/>
      <c r="D10"/>
      <c r="K10"/>
      <c r="L10"/>
      <c r="M10"/>
      <c r="N10"/>
      <c r="O10" t="str">
        <f>LEFT(AllWireRollCerts[[#This Row],[traceability_no]],6)</f>
        <v>081197</v>
      </c>
      <c r="P10" t="str">
        <f>SUBSTITUTE(AllWireRollCerts[[#This Row],[traceability_no]],AllWireRollCerts[[#This Row],[sort1]],"")</f>
        <v>T</v>
      </c>
    </row>
    <row r="11" spans="1:18" x14ac:dyDescent="0.2">
      <c r="A11"/>
      <c r="B11"/>
      <c r="C11"/>
      <c r="D11"/>
      <c r="K11"/>
      <c r="L11"/>
      <c r="M11"/>
      <c r="N11"/>
      <c r="O11" t="str">
        <f>LEFT(AllWireRollCerts[[#This Row],[traceability_no]],6)</f>
        <v>074618</v>
      </c>
      <c r="P11" t="str">
        <f>SUBSTITUTE(AllWireRollCerts[[#This Row],[traceability_no]],AllWireRollCerts[[#This Row],[sort1]],"")</f>
        <v>A</v>
      </c>
    </row>
    <row r="12" spans="1:18" x14ac:dyDescent="0.2">
      <c r="A12"/>
      <c r="B12"/>
      <c r="C12"/>
      <c r="D12"/>
      <c r="K12"/>
      <c r="L12"/>
      <c r="M12"/>
      <c r="N12"/>
      <c r="O12" t="str">
        <f>LEFT(AllWireRollCerts[[#This Row],[traceability_no]],6)</f>
        <v>074618</v>
      </c>
      <c r="P12" t="str">
        <f>SUBSTITUTE(AllWireRollCerts[[#This Row],[traceability_no]],AllWireRollCerts[[#This Row],[sort1]],"")</f>
        <v>B</v>
      </c>
    </row>
    <row r="13" spans="1:18" x14ac:dyDescent="0.2">
      <c r="A13"/>
      <c r="B13"/>
      <c r="C13"/>
      <c r="D13"/>
      <c r="K13"/>
      <c r="L13"/>
      <c r="M13"/>
      <c r="N13"/>
      <c r="O13" t="str">
        <f>LEFT(AllWireRollCerts[[#This Row],[traceability_no]],6)</f>
        <v>072513</v>
      </c>
      <c r="P13" t="str">
        <f>SUBSTITUTE(AllWireRollCerts[[#This Row],[traceability_no]],AllWireRollCerts[[#This Row],[sort1]],"")</f>
        <v>C</v>
      </c>
    </row>
    <row r="14" spans="1:18" x14ac:dyDescent="0.2">
      <c r="A14"/>
      <c r="B14"/>
      <c r="C14"/>
      <c r="D14"/>
      <c r="K14"/>
      <c r="L14"/>
      <c r="M14"/>
      <c r="N14"/>
      <c r="O14" t="str">
        <f>LEFT(AllWireRollCerts[[#This Row],[traceability_no]],6)</f>
        <v>072513</v>
      </c>
      <c r="P14" t="str">
        <f>SUBSTITUTE(AllWireRollCerts[[#This Row],[traceability_no]],AllWireRollCerts[[#This Row],[sort1]],"")</f>
        <v>E</v>
      </c>
    </row>
    <row r="15" spans="1:18" x14ac:dyDescent="0.2">
      <c r="A15"/>
      <c r="B15"/>
      <c r="C15"/>
      <c r="D15"/>
      <c r="K15"/>
      <c r="L15"/>
      <c r="M15"/>
      <c r="N15"/>
      <c r="O15" t="str">
        <f>LEFT(AllWireRollCerts[[#This Row],[traceability_no]],6)</f>
        <v>072513</v>
      </c>
      <c r="P15" t="str">
        <f>SUBSTITUTE(AllWireRollCerts[[#This Row],[traceability_no]],AllWireRollCerts[[#This Row],[sort1]],"")</f>
        <v>F</v>
      </c>
    </row>
    <row r="16" spans="1:18" x14ac:dyDescent="0.2">
      <c r="A16"/>
      <c r="B16"/>
      <c r="C16"/>
      <c r="D16"/>
      <c r="H16" s="37"/>
      <c r="K16"/>
      <c r="L16"/>
      <c r="M16"/>
      <c r="N16"/>
      <c r="O16" t="str">
        <f>LEFT(AllWireRollCerts[[#This Row],[traceability_no]],6)</f>
        <v>072513</v>
      </c>
      <c r="P16" t="str">
        <f>SUBSTITUTE(AllWireRollCerts[[#This Row],[traceability_no]],AllWireRollCerts[[#This Row],[sort1]],"")</f>
        <v>G</v>
      </c>
    </row>
    <row r="17" spans="1:16" x14ac:dyDescent="0.2">
      <c r="A17"/>
      <c r="B17"/>
      <c r="C17"/>
      <c r="D17"/>
      <c r="K17"/>
      <c r="L17"/>
      <c r="M17"/>
      <c r="N17"/>
      <c r="O17" t="str">
        <f>LEFT(AllWireRollCerts[[#This Row],[traceability_no]],6)</f>
        <v>072513</v>
      </c>
      <c r="P17" t="str">
        <f>SUBSTITUTE(AllWireRollCerts[[#This Row],[traceability_no]],AllWireRollCerts[[#This Row],[sort1]],"")</f>
        <v>H</v>
      </c>
    </row>
    <row r="18" spans="1:16" x14ac:dyDescent="0.2">
      <c r="A18"/>
      <c r="B18"/>
      <c r="C18"/>
      <c r="D18"/>
      <c r="K18"/>
      <c r="L18"/>
      <c r="M18"/>
      <c r="N18"/>
      <c r="O18" t="str">
        <f>LEFT(AllWireRollCerts[[#This Row],[traceability_no]],6)</f>
        <v>072513</v>
      </c>
      <c r="P18" t="str">
        <f>SUBSTITUTE(AllWireRollCerts[[#This Row],[traceability_no]],AllWireRollCerts[[#This Row],[sort1]],"")</f>
        <v>I</v>
      </c>
    </row>
    <row r="19" spans="1:16" x14ac:dyDescent="0.2">
      <c r="A19"/>
      <c r="B19"/>
      <c r="C19"/>
      <c r="D19"/>
      <c r="K19"/>
      <c r="L19"/>
      <c r="M19"/>
      <c r="N19"/>
      <c r="O19" t="str">
        <f>LEFT(AllWireRollCerts[[#This Row],[traceability_no]],6)</f>
        <v>072513</v>
      </c>
      <c r="P19" t="str">
        <f>SUBSTITUTE(AllWireRollCerts[[#This Row],[traceability_no]],AllWireRollCerts[[#This Row],[sort1]],"")</f>
        <v>K</v>
      </c>
    </row>
    <row r="20" spans="1:16" x14ac:dyDescent="0.2">
      <c r="A20"/>
      <c r="B20"/>
      <c r="C20"/>
      <c r="D20"/>
      <c r="K20"/>
      <c r="L20"/>
      <c r="M20"/>
      <c r="N20"/>
      <c r="O20" t="str">
        <f>LEFT(AllWireRollCerts[[#This Row],[traceability_no]],6)</f>
        <v>072513</v>
      </c>
      <c r="P20" t="str">
        <f>SUBSTITUTE(AllWireRollCerts[[#This Row],[traceability_no]],AllWireRollCerts[[#This Row],[sort1]],"")</f>
        <v>L</v>
      </c>
    </row>
    <row r="21" spans="1:16" x14ac:dyDescent="0.2">
      <c r="A21"/>
      <c r="B21"/>
      <c r="C21"/>
      <c r="D21"/>
      <c r="K21"/>
      <c r="L21"/>
      <c r="M21"/>
      <c r="N21"/>
      <c r="O21" t="str">
        <f>LEFT(AllWireRollCerts[[#This Row],[traceability_no]],6)</f>
        <v>072513</v>
      </c>
      <c r="P21" t="str">
        <f>SUBSTITUTE(AllWireRollCerts[[#This Row],[traceability_no]],AllWireRollCerts[[#This Row],[sort1]],"")</f>
        <v>M</v>
      </c>
    </row>
    <row r="22" spans="1:16" x14ac:dyDescent="0.2">
      <c r="A22"/>
      <c r="B22"/>
      <c r="C22"/>
      <c r="D22"/>
      <c r="K22"/>
      <c r="L22"/>
      <c r="M22"/>
      <c r="N22"/>
      <c r="O22" t="str">
        <f>LEFT(AllWireRollCerts[[#This Row],[traceability_no]],6)</f>
        <v>072513</v>
      </c>
      <c r="P22" t="str">
        <f>SUBSTITUTE(AllWireRollCerts[[#This Row],[traceability_no]],AllWireRollCerts[[#This Row],[sort1]],"")</f>
        <v>N</v>
      </c>
    </row>
    <row r="23" spans="1:16" x14ac:dyDescent="0.2">
      <c r="A23"/>
      <c r="B23"/>
      <c r="C23"/>
      <c r="D23"/>
      <c r="K23"/>
      <c r="L23"/>
      <c r="M23"/>
      <c r="N23"/>
      <c r="O23" t="str">
        <f>LEFT(AllWireRollCerts[[#This Row],[traceability_no]],6)</f>
        <v>065908</v>
      </c>
      <c r="P23" t="str">
        <f>SUBSTITUTE(AllWireRollCerts[[#This Row],[traceability_no]],AllWireRollCerts[[#This Row],[sort1]],"")</f>
        <v>I</v>
      </c>
    </row>
    <row r="24" spans="1:16" x14ac:dyDescent="0.2">
      <c r="A24"/>
      <c r="B24"/>
      <c r="C24"/>
      <c r="D24"/>
      <c r="K24"/>
      <c r="L24"/>
      <c r="M24"/>
      <c r="N24"/>
      <c r="O24" t="str">
        <f>LEFT(AllWireRollCerts[[#This Row],[traceability_no]],6)</f>
        <v>065908</v>
      </c>
      <c r="P24" t="str">
        <f>SUBSTITUTE(AllWireRollCerts[[#This Row],[traceability_no]],AllWireRollCerts[[#This Row],[sort1]],"")</f>
        <v>M</v>
      </c>
    </row>
    <row r="25" spans="1:16" x14ac:dyDescent="0.2">
      <c r="A25"/>
      <c r="B25"/>
      <c r="C25"/>
      <c r="D25"/>
      <c r="K25"/>
      <c r="L25"/>
      <c r="M25"/>
      <c r="N25"/>
      <c r="O25" t="str">
        <f>LEFT(AllWireRollCerts[[#This Row],[traceability_no]],6)</f>
        <v>065908</v>
      </c>
      <c r="P25" t="str">
        <f>SUBSTITUTE(AllWireRollCerts[[#This Row],[traceability_no]],AllWireRollCerts[[#This Row],[sort1]],"")</f>
        <v>N</v>
      </c>
    </row>
    <row r="26" spans="1:16" x14ac:dyDescent="0.2">
      <c r="A26"/>
      <c r="B26"/>
      <c r="C26"/>
      <c r="D26"/>
      <c r="K26"/>
      <c r="L26"/>
      <c r="M26"/>
      <c r="N26"/>
      <c r="O26" t="str">
        <f>LEFT(AllWireRollCerts[[#This Row],[traceability_no]],6)</f>
        <v>065908</v>
      </c>
      <c r="P26" t="str">
        <f>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7" t="s">
        <v>390</v>
      </c>
      <c r="K1" s="548"/>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480"/>
      <c r="AC1" s="480"/>
      <c r="AD1" s="480"/>
      <c r="AE1" s="480"/>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rpDhvF9tmnU8/7VlPQtDPuwygiJgmNYPRm/hlfQvhdMvbdKV1en7EwZxLkja47rjzhgfY+nNu4hgS4dUmTO+qw==" saltValue="w76mfzTJ7vJY7cCM4fASD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s="37"/>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7"/>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747</v>
      </c>
      <c r="B1" s="318"/>
      <c r="C1" s="512" t="s">
        <v>49</v>
      </c>
      <c r="D1" s="513"/>
      <c r="E1" s="513"/>
      <c r="F1" s="513"/>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14" t="s">
        <v>99</v>
      </c>
      <c r="K3" s="515"/>
      <c r="L3" s="516"/>
      <c r="M3" s="301"/>
      <c r="N3" s="530" t="s">
        <v>88</v>
      </c>
      <c r="O3" s="530"/>
      <c r="P3" s="530"/>
      <c r="Q3" s="530"/>
      <c r="R3" s="530"/>
      <c r="S3" s="530"/>
    </row>
    <row r="4" spans="1:19" s="278" customFormat="1" x14ac:dyDescent="0.2">
      <c r="A4" s="319"/>
      <c r="B4" s="141"/>
      <c r="C4" s="142" t="s">
        <v>188</v>
      </c>
      <c r="D4" s="285" t="str">
        <f>IF(Condition="","",Condition)</f>
        <v/>
      </c>
      <c r="E4" s="301"/>
      <c r="F4" s="301"/>
      <c r="G4" s="301"/>
      <c r="H4" s="301"/>
      <c r="I4" s="301"/>
      <c r="J4" s="519" t="s">
        <v>1</v>
      </c>
      <c r="K4" s="520"/>
      <c r="L4" s="143">
        <f>MAX(Survey[Deviations])</f>
        <v>0</v>
      </c>
      <c r="M4" s="301"/>
      <c r="N4" s="144" t="s">
        <v>87</v>
      </c>
      <c r="O4" s="145" t="s">
        <v>86</v>
      </c>
      <c r="P4" s="517" t="s">
        <v>97</v>
      </c>
      <c r="Q4" s="518"/>
      <c r="R4" s="144" t="s">
        <v>129</v>
      </c>
      <c r="S4" s="144" t="s">
        <v>133</v>
      </c>
    </row>
    <row r="5" spans="1:19" s="278" customFormat="1" x14ac:dyDescent="0.2">
      <c r="A5" s="319"/>
      <c r="B5" s="141"/>
      <c r="C5" s="142" t="s">
        <v>41</v>
      </c>
      <c r="D5" s="534" t="e">
        <f>companyName</f>
        <v>#N/A</v>
      </c>
      <c r="E5" s="535"/>
      <c r="F5" s="535"/>
      <c r="G5" s="535"/>
      <c r="H5" s="536"/>
      <c r="I5" s="286"/>
      <c r="J5" s="519" t="s">
        <v>2</v>
      </c>
      <c r="K5" s="520"/>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31" t="e">
        <f>VLOOKUP("assetName",WorkItemDetails[],2,FALSE)</f>
        <v>#N/A</v>
      </c>
      <c r="E6" s="532"/>
      <c r="F6" s="532"/>
      <c r="G6" s="532"/>
      <c r="H6" s="533"/>
      <c r="J6" s="519" t="s">
        <v>98</v>
      </c>
      <c r="K6" s="520"/>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28" t="str">
        <f>IFERROR(VLOOKUP("PoNumber",WorkItemDetails[],2,FALSE),"")</f>
        <v/>
      </c>
      <c r="L13" s="529"/>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37"/>
      <c r="L14" s="538"/>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23"/>
      <c r="L15" s="524"/>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485" t="s">
        <v>151</v>
      </c>
      <c r="K16" s="486"/>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485" t="s">
        <v>152</v>
      </c>
      <c r="K17" s="486"/>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539" t="s">
        <v>19</v>
      </c>
      <c r="H18" s="540"/>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21" t="str">
        <f>IF(K15="Salt",0, IF(OR(K15="Hot",K15="SIM Load Hot"),IF(OR(D26="",D28=""),"N/A",IF(ISBLANK(D26),"N/A",D28-D26)),"N/A"))</f>
        <v>N/A</v>
      </c>
      <c r="H19" s="522"/>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25" t="s">
        <v>441</v>
      </c>
      <c r="C20" s="526"/>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02" t="s">
        <v>301</v>
      </c>
      <c r="H23" s="503"/>
      <c r="I23" s="503"/>
      <c r="J23" s="503"/>
      <c r="K23" s="504"/>
      <c r="L23" s="302"/>
      <c r="M23" s="301"/>
      <c r="N23" s="405">
        <v>19</v>
      </c>
      <c r="O23" s="146"/>
      <c r="P23" s="458" t="str">
        <v/>
      </c>
      <c r="Q23" s="459"/>
      <c r="R23" s="457" t="e">
        <v>#VALUE!</v>
      </c>
      <c r="S23" s="147" t="str">
        <v/>
      </c>
      <c r="T23" s="431"/>
      <c r="U23" s="286" t="s">
        <v>419</v>
      </c>
      <c r="V23" s="286">
        <f>V20+V21</f>
        <v>40</v>
      </c>
    </row>
    <row r="24" spans="2:22" s="278" customFormat="1" x14ac:dyDescent="0.2">
      <c r="B24" s="525" t="s">
        <v>328</v>
      </c>
      <c r="C24" s="527"/>
      <c r="D24" s="282">
        <v>1</v>
      </c>
      <c r="E24" s="301"/>
      <c r="F24" s="160" t="s">
        <v>95</v>
      </c>
      <c r="G24" s="505"/>
      <c r="H24" s="506"/>
      <c r="I24" s="506"/>
      <c r="J24" s="506"/>
      <c r="K24" s="507"/>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05"/>
      <c r="H25" s="506"/>
      <c r="I25" s="506"/>
      <c r="J25" s="506"/>
      <c r="K25" s="507"/>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00" t="str">
        <f>IF(ISBLANK(D6),"",IF(CheckRec="x","CHECK INSTRUMENT CAL DATES!!!!             CHECK INSTRUMENT CAL DATES!!!!",""))</f>
        <v/>
      </c>
      <c r="I27" s="501"/>
      <c r="J27" s="501"/>
      <c r="K27" s="501"/>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00"/>
      <c r="I28" s="501"/>
      <c r="J28" s="501"/>
      <c r="K28" s="501"/>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14" t="s">
        <v>48</v>
      </c>
      <c r="C34" s="515"/>
      <c r="D34" s="515"/>
      <c r="E34" s="515"/>
      <c r="F34" s="515"/>
      <c r="G34" s="515"/>
      <c r="H34" s="515"/>
      <c r="I34" s="515"/>
      <c r="J34" s="515"/>
      <c r="K34" s="515"/>
      <c r="L34" s="516"/>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482" t="s">
        <v>33</v>
      </c>
      <c r="E46" s="483"/>
      <c r="F46" s="483"/>
      <c r="G46" s="483"/>
      <c r="H46" s="483"/>
      <c r="I46" s="484"/>
      <c r="J46" s="345"/>
      <c r="K46" s="345"/>
      <c r="L46" s="345"/>
      <c r="M46" s="508" t="s">
        <v>259</v>
      </c>
      <c r="N46" s="509"/>
      <c r="O46" s="510"/>
      <c r="P46" s="511"/>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481">
        <v>1</v>
      </c>
      <c r="L47" s="301"/>
      <c r="M47" s="240" t="s">
        <v>260</v>
      </c>
      <c r="N47" s="299" t="s">
        <v>261</v>
      </c>
      <c r="O47" s="346"/>
      <c r="P47" s="489" t="s">
        <v>262</v>
      </c>
      <c r="Q47" s="489"/>
      <c r="R47" s="385" t="s">
        <v>263</v>
      </c>
      <c r="T47" s="305"/>
      <c r="U47" s="305"/>
    </row>
    <row r="48" spans="1:24" x14ac:dyDescent="0.2">
      <c r="A48" s="319"/>
      <c r="B48" s="343"/>
      <c r="C48" s="383" t="s">
        <v>34</v>
      </c>
      <c r="D48" s="288"/>
      <c r="E48" s="288"/>
      <c r="F48" s="288"/>
      <c r="G48" s="288"/>
      <c r="H48" s="288"/>
      <c r="I48" s="288"/>
      <c r="J48" s="345"/>
      <c r="K48" s="345"/>
      <c r="L48" s="345"/>
      <c r="M48" s="490" t="s">
        <v>264</v>
      </c>
      <c r="N48" s="490"/>
      <c r="O48" s="347"/>
      <c r="P48" s="491" t="s">
        <v>309</v>
      </c>
      <c r="Q48" s="492"/>
      <c r="R48" s="493"/>
      <c r="S48" s="468" t="b">
        <f>_xlfn.REGEXTEST(TRIM(Class),"^[0-9][AC]",1)</f>
        <v>0</v>
      </c>
      <c r="T48" s="306"/>
      <c r="U48" s="491" t="s">
        <v>312</v>
      </c>
      <c r="V48" s="492"/>
      <c r="W48" s="493"/>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4" t="s">
        <v>314</v>
      </c>
      <c r="Q49" s="495"/>
      <c r="R49" s="496"/>
      <c r="S49" s="386" t="str">
        <f>IF($S$48, IF(MAX(Survey[RawTemp])&lt;=HalfTolMax,"Yes","No"), "N/A")</f>
        <v>N/A</v>
      </c>
      <c r="T49" s="307"/>
      <c r="U49" s="494" t="s">
        <v>313</v>
      </c>
      <c r="V49" s="495"/>
      <c r="W49" s="496"/>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97" t="s">
        <v>267</v>
      </c>
      <c r="Q50" s="498"/>
      <c r="R50" s="499"/>
      <c r="S50" s="348"/>
      <c r="T50" s="308"/>
      <c r="U50" s="497" t="s">
        <v>267</v>
      </c>
      <c r="V50" s="498"/>
      <c r="W50" s="499"/>
      <c r="X50" s="305"/>
    </row>
    <row r="51" spans="3:24" x14ac:dyDescent="0.2">
      <c r="C51" s="382" t="s">
        <v>54</v>
      </c>
      <c r="D51" s="288"/>
      <c r="E51" s="288"/>
      <c r="F51" s="288"/>
      <c r="G51" s="288"/>
      <c r="H51" s="288"/>
      <c r="I51" s="288"/>
      <c r="J51" s="345"/>
      <c r="K51" s="349"/>
      <c r="L51" s="345"/>
      <c r="M51" s="369" t="s">
        <v>268</v>
      </c>
      <c r="N51" s="298" t="str">
        <f>IF(Derivative="","",Derivative)</f>
        <v/>
      </c>
      <c r="O51" s="301"/>
      <c r="P51" s="494" t="s">
        <v>310</v>
      </c>
      <c r="Q51" s="495"/>
      <c r="R51" s="496"/>
      <c r="S51" s="386"/>
      <c r="T51" s="309"/>
      <c r="U51" s="494" t="s">
        <v>315</v>
      </c>
      <c r="V51" s="495"/>
      <c r="W51" s="496"/>
      <c r="X51" s="386"/>
    </row>
    <row r="52" spans="3:24" x14ac:dyDescent="0.2">
      <c r="C52" s="382" t="s">
        <v>274</v>
      </c>
      <c r="D52" s="288"/>
      <c r="E52" s="288"/>
      <c r="F52" s="288"/>
      <c r="G52" s="288"/>
      <c r="H52" s="288"/>
      <c r="I52" s="288"/>
      <c r="J52" s="345"/>
      <c r="K52" s="349"/>
      <c r="L52" s="345"/>
      <c r="M52" s="369" t="s">
        <v>269</v>
      </c>
      <c r="N52" s="298" t="str">
        <f>IF(Other1="","",Other1)</f>
        <v/>
      </c>
      <c r="O52" s="315"/>
      <c r="P52" s="497" t="s">
        <v>267</v>
      </c>
      <c r="Q52" s="498"/>
      <c r="R52" s="499"/>
      <c r="S52" s="348"/>
      <c r="T52" s="310"/>
      <c r="U52" s="497" t="s">
        <v>267</v>
      </c>
      <c r="V52" s="498"/>
      <c r="W52" s="499"/>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541" t="s">
        <v>311</v>
      </c>
      <c r="Q53" s="542"/>
      <c r="R53" s="543"/>
      <c r="S53" s="386"/>
      <c r="T53" s="311"/>
      <c r="U53" s="541" t="s">
        <v>316</v>
      </c>
      <c r="V53" s="542"/>
      <c r="W53" s="543"/>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544"/>
      <c r="Q54" s="545"/>
      <c r="R54" s="546"/>
      <c r="S54" s="352"/>
      <c r="T54" s="312"/>
      <c r="U54" s="544"/>
      <c r="V54" s="545"/>
      <c r="W54" s="546"/>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482" t="s">
        <v>146</v>
      </c>
      <c r="D58" s="483"/>
      <c r="E58" s="483"/>
      <c r="F58" s="483"/>
      <c r="G58" s="483"/>
      <c r="H58" s="483"/>
      <c r="I58" s="483"/>
      <c r="J58" s="483"/>
      <c r="K58" s="487"/>
      <c r="L58" s="488"/>
      <c r="M58" s="305"/>
      <c r="N58" s="305"/>
      <c r="O58" s="305"/>
      <c r="P58" s="301"/>
      <c r="Q58" s="455"/>
      <c r="S58" s="305"/>
      <c r="T58" s="305"/>
      <c r="U58" s="305"/>
      <c r="V58" s="453"/>
    </row>
    <row r="59" spans="3:24" x14ac:dyDescent="0.2">
      <c r="C59" s="482" t="s">
        <v>149</v>
      </c>
      <c r="D59" s="483"/>
      <c r="E59" s="483"/>
      <c r="F59" s="483"/>
      <c r="G59" s="483"/>
      <c r="H59" s="483"/>
      <c r="I59" s="483"/>
      <c r="J59" s="483"/>
      <c r="K59" s="483"/>
      <c r="L59" s="484"/>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NYpiTzN5UCK/4+dWtfTH8deZYWO09sWqFm1K3ZHTRr1xbjoabdz90MiYqCFYz0FdFjfF9zV5RgIhLpiflH6uRg==" saltValue="3fo9zn/69m9KZtb47y9eMw=="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031oghSu3wgrBI5F8RUuVvS0DVlRbMXs6xkavMhGtcbCdmUXMDbhbSJOlY0igveXUPxeeLagVxZ99M3W82G32w==" saltValue="TLpKk59hxSSjC8ZF+L+bQg=="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NCQAG3gqQfWsmH8oEmVfy1yqw3eImlp4F8/TKsJHJhYa6z4oNuNMBy6YwvO4FHGwYy2wtBTh5LY2Cu/NWE/K3A==" saltValue="V1s5Y6N5LNKv01vwn8Nej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51">
        <f>Main!D3</f>
        <v>0</v>
      </c>
      <c r="E10" s="551"/>
      <c r="F10" s="551"/>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50" t="s">
        <v>303</v>
      </c>
      <c r="F15" s="550"/>
      <c r="G15" s="550"/>
      <c r="H15" s="550"/>
    </row>
    <row r="16" spans="3:8" ht="15" x14ac:dyDescent="0.2">
      <c r="C16" s="130"/>
      <c r="D16" s="73"/>
      <c r="E16" s="287" t="s">
        <v>116</v>
      </c>
      <c r="F16" s="287"/>
      <c r="G16" s="287"/>
      <c r="H16" s="287"/>
    </row>
    <row r="17" spans="3:8" ht="15" x14ac:dyDescent="0.2">
      <c r="C17" s="130"/>
      <c r="D17" s="73"/>
      <c r="E17" s="549" t="s">
        <v>117</v>
      </c>
      <c r="F17" s="549"/>
      <c r="G17" s="549"/>
      <c r="H17" s="549"/>
    </row>
    <row r="18" spans="3:8" ht="15" x14ac:dyDescent="0.2">
      <c r="C18" s="130"/>
      <c r="D18" s="73"/>
      <c r="E18" s="549" t="s">
        <v>6</v>
      </c>
      <c r="F18" s="549"/>
      <c r="G18" s="549"/>
      <c r="H18" s="549"/>
    </row>
    <row r="19" spans="3:8" ht="15" x14ac:dyDescent="0.2">
      <c r="C19" s="130"/>
      <c r="D19" s="73"/>
      <c r="E19" s="549" t="s">
        <v>122</v>
      </c>
      <c r="F19" s="549"/>
      <c r="G19" s="549"/>
      <c r="H19" s="549"/>
    </row>
    <row r="20" spans="3:8" ht="15" x14ac:dyDescent="0.2">
      <c r="C20" s="130"/>
      <c r="D20" s="73"/>
      <c r="E20" s="549" t="s">
        <v>119</v>
      </c>
      <c r="F20" s="549"/>
      <c r="G20" s="549"/>
      <c r="H20" s="549"/>
    </row>
    <row r="21" spans="3:8" ht="15" x14ac:dyDescent="0.2">
      <c r="C21" s="130"/>
      <c r="D21" s="73"/>
      <c r="E21" s="549" t="s">
        <v>120</v>
      </c>
      <c r="F21" s="549"/>
      <c r="G21" s="549"/>
      <c r="H21" s="549"/>
    </row>
    <row r="22" spans="3:8" ht="15" x14ac:dyDescent="0.2">
      <c r="C22" s="130"/>
      <c r="D22" s="73"/>
      <c r="E22" s="549" t="s">
        <v>103</v>
      </c>
      <c r="F22" s="549"/>
      <c r="G22" s="549"/>
      <c r="H22" s="549"/>
    </row>
    <row r="23" spans="3:8" ht="15" x14ac:dyDescent="0.2">
      <c r="C23" s="130"/>
      <c r="D23" s="73"/>
      <c r="E23" s="549" t="s">
        <v>121</v>
      </c>
      <c r="F23" s="549"/>
      <c r="G23" s="549"/>
      <c r="H23" s="549"/>
    </row>
    <row r="24" spans="3:8" ht="15" x14ac:dyDescent="0.2">
      <c r="C24" s="82"/>
      <c r="D24" s="73"/>
      <c r="E24" s="549" t="s">
        <v>139</v>
      </c>
      <c r="F24" s="549"/>
      <c r="G24" s="549"/>
      <c r="H24" s="549"/>
    </row>
    <row r="25" spans="3:8" ht="15" x14ac:dyDescent="0.2">
      <c r="C25" s="82"/>
      <c r="D25" s="73"/>
      <c r="E25" s="549"/>
      <c r="F25" s="549"/>
      <c r="G25" s="549"/>
      <c r="H25" s="549"/>
    </row>
    <row r="26" spans="3:8" ht="15" x14ac:dyDescent="0.2">
      <c r="C26" s="82"/>
      <c r="D26" s="73"/>
      <c r="E26" s="549"/>
      <c r="F26" s="549"/>
      <c r="G26" s="549"/>
      <c r="H26" s="549"/>
    </row>
    <row r="27" spans="3:8" ht="15" x14ac:dyDescent="0.2">
      <c r="C27" s="82"/>
      <c r="D27" s="73"/>
      <c r="E27" s="549"/>
      <c r="F27" s="549"/>
      <c r="G27" s="549"/>
      <c r="H27" s="549"/>
    </row>
    <row r="28" spans="3:8" ht="15" x14ac:dyDescent="0.2">
      <c r="C28" s="82"/>
      <c r="D28" s="73"/>
      <c r="E28" s="549"/>
      <c r="F28" s="549"/>
      <c r="G28" s="549"/>
      <c r="H28" s="549"/>
    </row>
    <row r="29" spans="3:8" ht="15" x14ac:dyDescent="0.2">
      <c r="C29" s="82"/>
      <c r="D29" s="73"/>
      <c r="E29" s="549"/>
      <c r="F29" s="549"/>
      <c r="G29" s="549"/>
      <c r="H29" s="549"/>
    </row>
    <row r="30" spans="3:8" ht="15" x14ac:dyDescent="0.2">
      <c r="C30" s="82"/>
      <c r="D30" s="73"/>
      <c r="E30" s="549"/>
      <c r="F30" s="549"/>
      <c r="G30" s="549"/>
      <c r="H30" s="549"/>
    </row>
    <row r="31" spans="3:8" ht="15" x14ac:dyDescent="0.2">
      <c r="C31" s="248" t="s">
        <v>304</v>
      </c>
      <c r="E31" s="549"/>
      <c r="F31" s="549"/>
      <c r="G31" s="549"/>
      <c r="H31" s="549"/>
    </row>
    <row r="32" spans="3:8" ht="15" x14ac:dyDescent="0.2">
      <c r="C32" s="82"/>
      <c r="D32" s="73"/>
      <c r="E32" s="549"/>
      <c r="F32" s="549"/>
      <c r="G32" s="549"/>
      <c r="H32" s="549"/>
    </row>
    <row r="33" spans="3:8" ht="15" x14ac:dyDescent="0.2">
      <c r="C33" s="82"/>
      <c r="D33" s="73"/>
      <c r="E33" s="549"/>
      <c r="F33" s="549"/>
      <c r="G33" s="549"/>
      <c r="H33" s="549"/>
    </row>
    <row r="34" spans="3:8" ht="15" x14ac:dyDescent="0.2">
      <c r="C34" s="82"/>
      <c r="D34" s="73"/>
      <c r="E34" s="549"/>
      <c r="F34" s="549"/>
      <c r="G34" s="549"/>
      <c r="H34" s="549"/>
    </row>
    <row r="35" spans="3:8" ht="15" x14ac:dyDescent="0.2">
      <c r="C35" s="82"/>
      <c r="D35" s="73"/>
      <c r="E35" s="549"/>
      <c r="F35" s="549"/>
      <c r="G35" s="549"/>
      <c r="H35" s="549"/>
    </row>
    <row r="36" spans="3:8" ht="15" x14ac:dyDescent="0.2">
      <c r="C36" s="73"/>
      <c r="D36" s="73"/>
      <c r="E36" s="549"/>
      <c r="F36" s="549"/>
      <c r="G36" s="549"/>
      <c r="H36" s="549"/>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Jn/8lItw62hdwXOJVbqvGCORlBRhV3zwEgfsvIEykRt3syTn82aeXkDj5M2lHfSzG7nhBL1JOrsc73Gt5i/Q5Q==" saltValue="/IfURdbJ8ibt4cI4rL+O6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71" t="s">
        <v>108</v>
      </c>
      <c r="E1" s="571"/>
      <c r="F1" s="571"/>
      <c r="G1" s="571"/>
      <c r="H1" s="571"/>
      <c r="I1" s="571"/>
      <c r="J1" s="571"/>
      <c r="K1" s="571"/>
      <c r="L1" s="571"/>
      <c r="M1" s="571"/>
    </row>
    <row r="2" spans="1:18" ht="23.25" customHeight="1" x14ac:dyDescent="0.3">
      <c r="C2" s="230"/>
      <c r="D2" s="230" t="s">
        <v>255</v>
      </c>
      <c r="E2" s="230"/>
      <c r="F2" s="230"/>
      <c r="G2" s="230"/>
      <c r="H2" s="230"/>
      <c r="I2" s="230"/>
      <c r="J2" s="230"/>
      <c r="K2" s="230"/>
      <c r="L2" s="230"/>
      <c r="M2" s="230"/>
    </row>
    <row r="3" spans="1:18" ht="23.25" x14ac:dyDescent="0.35">
      <c r="C3" s="572"/>
      <c r="D3" s="572"/>
      <c r="E3" s="572"/>
      <c r="F3" s="572"/>
      <c r="G3" s="572"/>
      <c r="H3" s="572"/>
      <c r="I3" s="572"/>
      <c r="J3" s="572"/>
      <c r="K3" s="572"/>
      <c r="L3" s="572"/>
      <c r="M3" s="572"/>
    </row>
    <row r="4" spans="1:18" ht="23.25" x14ac:dyDescent="0.35">
      <c r="C4" s="214"/>
      <c r="D4" s="214"/>
      <c r="E4" s="214"/>
      <c r="F4" s="214"/>
      <c r="G4" s="214"/>
      <c r="H4" s="214"/>
      <c r="I4" s="214"/>
      <c r="J4" s="214"/>
      <c r="K4" s="214"/>
      <c r="L4" s="214"/>
      <c r="M4" s="214"/>
    </row>
    <row r="5" spans="1:18" ht="23.25" x14ac:dyDescent="0.35">
      <c r="C5" s="568" t="s">
        <v>6</v>
      </c>
      <c r="D5" s="568"/>
      <c r="E5" s="568"/>
      <c r="F5" s="568"/>
      <c r="G5" s="568"/>
      <c r="H5" s="568"/>
      <c r="I5" s="568"/>
      <c r="J5" s="568"/>
      <c r="K5" s="568"/>
      <c r="L5" s="568"/>
      <c r="M5" s="568"/>
    </row>
    <row r="6" spans="1:18" ht="23.25" x14ac:dyDescent="0.35">
      <c r="C6" s="215"/>
      <c r="D6" s="215"/>
      <c r="E6" s="588" t="str">
        <f>IFERROR(CONCATENATE("Report Number: ", WorkItemNumber),"")</f>
        <v/>
      </c>
      <c r="F6" s="588"/>
      <c r="G6" s="588"/>
      <c r="H6" s="588"/>
      <c r="I6" s="588"/>
      <c r="J6" s="588"/>
      <c r="K6" s="588"/>
      <c r="L6" s="215"/>
      <c r="M6" s="215"/>
    </row>
    <row r="7" spans="1:18" ht="18.75" customHeight="1" x14ac:dyDescent="0.3">
      <c r="G7" s="569"/>
      <c r="H7" s="569"/>
      <c r="I7" s="192"/>
      <c r="R7" t="str">
        <f>CONCATENATE("Page ",Main!L9," of ",Main!L10)</f>
        <v xml:space="preserve">Page  of </v>
      </c>
    </row>
    <row r="8" spans="1:18" ht="18" customHeight="1" x14ac:dyDescent="0.25">
      <c r="G8" s="581"/>
      <c r="H8" s="581"/>
      <c r="J8" s="79"/>
      <c r="K8" s="216" t="s">
        <v>252</v>
      </c>
      <c r="L8" s="592">
        <f>FormNumber</f>
        <v>0</v>
      </c>
      <c r="M8" s="592"/>
      <c r="N8" s="592"/>
      <c r="O8" s="592"/>
    </row>
    <row r="9" spans="1:18" ht="18" customHeight="1" x14ac:dyDescent="0.25">
      <c r="A9" s="216" t="s">
        <v>209</v>
      </c>
      <c r="B9" s="33" t="e">
        <f>Main!D5</f>
        <v>#N/A</v>
      </c>
      <c r="J9" s="79"/>
      <c r="K9" s="216" t="s">
        <v>253</v>
      </c>
      <c r="L9" s="583" t="str">
        <f>"JGI WP4100, "&amp;CalMethod</f>
        <v xml:space="preserve">JGI WP4100, </v>
      </c>
      <c r="M9" s="583"/>
      <c r="N9" s="583"/>
      <c r="O9" s="583"/>
    </row>
    <row r="10" spans="1:18" ht="18" customHeight="1" x14ac:dyDescent="0.25">
      <c r="A10" s="87"/>
      <c r="B10" s="211" t="str" cm="1">
        <f t="array" ref="B10">IFZERO('Customer Table'!R2,"")</f>
        <v/>
      </c>
      <c r="J10" s="79"/>
      <c r="K10" s="216"/>
      <c r="L10" s="583"/>
      <c r="M10" s="583"/>
      <c r="N10" s="583"/>
      <c r="O10" s="583"/>
    </row>
    <row r="11" spans="1:18" ht="18" customHeight="1" x14ac:dyDescent="0.25">
      <c r="A11" s="87"/>
      <c r="B11" s="211" t="str" cm="1">
        <f t="array" ref="B11">IFZERO('Customer Table'!S2,"")</f>
        <v/>
      </c>
      <c r="J11" s="79"/>
      <c r="K11" s="216" t="s">
        <v>254</v>
      </c>
      <c r="L11" s="592">
        <f>TolSource</f>
        <v>0</v>
      </c>
      <c r="M11" s="592"/>
      <c r="N11" s="592"/>
      <c r="O11" s="592"/>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4">
        <f>SerialNumber</f>
        <v>0</v>
      </c>
      <c r="C16" s="584"/>
      <c r="D16" s="584"/>
      <c r="E16" s="584"/>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5">
        <f>Class</f>
        <v>0</v>
      </c>
      <c r="C18" s="575"/>
      <c r="D18" s="575"/>
      <c r="E18" s="575"/>
      <c r="G18" s="216" t="s">
        <v>219</v>
      </c>
      <c r="H18" s="220">
        <f>CubicFeet</f>
        <v>0</v>
      </c>
      <c r="M18" s="216" t="s">
        <v>223</v>
      </c>
      <c r="N18" s="220" t="str">
        <f>Main!G18</f>
        <v>ACCEPTED</v>
      </c>
      <c r="O18" s="195"/>
    </row>
    <row r="19" spans="1:19" ht="18" customHeight="1" x14ac:dyDescent="0.25">
      <c r="A19" s="206"/>
      <c r="B19" s="576"/>
      <c r="C19" s="576"/>
      <c r="D19" s="576"/>
      <c r="E19" s="57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5">
        <f>Controller</f>
        <v>0</v>
      </c>
      <c r="C21" s="585"/>
      <c r="D21" s="585"/>
      <c r="E21" s="585"/>
      <c r="F21" s="207" t="s">
        <v>226</v>
      </c>
      <c r="G21" s="585">
        <f>ContSN</f>
        <v>0</v>
      </c>
      <c r="H21" s="585"/>
      <c r="I21" s="585"/>
      <c r="J21" s="207" t="s">
        <v>227</v>
      </c>
      <c r="K21" s="219">
        <f>ContTol</f>
        <v>0</v>
      </c>
      <c r="L21" s="193"/>
      <c r="M21" s="207" t="s">
        <v>228</v>
      </c>
      <c r="N21" s="232" t="str">
        <f>Main!G27</f>
        <v/>
      </c>
      <c r="O21" s="194"/>
    </row>
    <row r="22" spans="1:19" ht="18" customHeight="1" x14ac:dyDescent="0.25">
      <c r="A22" s="225" t="s">
        <v>225</v>
      </c>
      <c r="B22" s="586">
        <f>_xlnm.Recorder</f>
        <v>0</v>
      </c>
      <c r="C22" s="586"/>
      <c r="D22" s="586"/>
      <c r="E22" s="586"/>
      <c r="F22" s="208" t="s">
        <v>226</v>
      </c>
      <c r="G22" s="586">
        <f>RecSN</f>
        <v>0</v>
      </c>
      <c r="H22" s="586"/>
      <c r="I22" s="586"/>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2" t="s">
        <v>237</v>
      </c>
      <c r="D27" s="582"/>
      <c r="E27" s="582"/>
      <c r="F27" s="582"/>
      <c r="G27" s="582"/>
      <c r="H27" s="582"/>
      <c r="I27" s="582"/>
      <c r="J27" s="582"/>
      <c r="K27" s="582"/>
      <c r="L27" s="582"/>
      <c r="M27" s="582"/>
      <c r="N27" s="196"/>
      <c r="O27" s="197"/>
    </row>
    <row r="28" spans="1:19" ht="8.1" customHeight="1" x14ac:dyDescent="0.2"/>
    <row r="29" spans="1:19" ht="18" customHeight="1" x14ac:dyDescent="0.2">
      <c r="A29" s="578" t="s">
        <v>207</v>
      </c>
      <c r="B29" s="579"/>
      <c r="C29" s="580"/>
      <c r="D29" s="578" t="s">
        <v>238</v>
      </c>
      <c r="E29" s="579"/>
      <c r="F29" s="579"/>
      <c r="G29" s="580"/>
      <c r="H29" s="578" t="s">
        <v>208</v>
      </c>
      <c r="I29" s="579"/>
      <c r="J29" s="579"/>
      <c r="K29" s="580"/>
      <c r="L29" s="578" t="s">
        <v>194</v>
      </c>
      <c r="M29" s="579"/>
      <c r="N29" s="579"/>
      <c r="O29" s="580"/>
    </row>
    <row r="30" spans="1:19" ht="18" customHeight="1" x14ac:dyDescent="0.2">
      <c r="A30" s="212"/>
      <c r="B30" s="202" t="s">
        <v>435</v>
      </c>
      <c r="C30" s="213"/>
      <c r="D30" s="561" t="str">
        <f>CONCATENATE(Main!D22,Unit," / ",Main!D23,"% RH")</f>
        <v>°F / % RH</v>
      </c>
      <c r="E30" s="562"/>
      <c r="F30" s="562"/>
      <c r="G30" s="563"/>
      <c r="H30" s="561">
        <f>OvenLocation</f>
        <v>0</v>
      </c>
      <c r="I30" s="562"/>
      <c r="J30" s="562"/>
      <c r="K30" s="563"/>
      <c r="L30" s="561">
        <f>Condition</f>
        <v>0</v>
      </c>
      <c r="M30" s="562"/>
      <c r="N30" s="562"/>
      <c r="O30" s="563"/>
    </row>
    <row r="31" spans="1:19" ht="18" customHeight="1" x14ac:dyDescent="0.2"/>
    <row r="32" spans="1:19" ht="18" customHeight="1" x14ac:dyDescent="0.25">
      <c r="A32" s="235" t="s">
        <v>239</v>
      </c>
      <c r="B32" s="570" t="s">
        <v>240</v>
      </c>
      <c r="C32" s="570"/>
      <c r="D32" s="235" t="s">
        <v>203</v>
      </c>
      <c r="E32" s="235" t="s">
        <v>202</v>
      </c>
      <c r="F32" s="235" t="s">
        <v>241</v>
      </c>
      <c r="G32" s="79"/>
      <c r="H32" s="79"/>
      <c r="I32" s="235" t="s">
        <v>239</v>
      </c>
      <c r="J32" s="570" t="s">
        <v>240</v>
      </c>
      <c r="K32" s="570"/>
      <c r="L32" s="235" t="s">
        <v>203</v>
      </c>
      <c r="M32" s="235" t="s">
        <v>202</v>
      </c>
      <c r="N32" s="235" t="s">
        <v>241</v>
      </c>
    </row>
    <row r="33" spans="1:14" ht="18" customHeight="1" x14ac:dyDescent="0.2">
      <c r="A33" s="236" t="str">
        <f>IF(B33="","",1)</f>
        <v/>
      </c>
      <c r="B33" s="569" t="str">
        <f>IF(Main!O5="","",Main!O5)</f>
        <v/>
      </c>
      <c r="C33" s="569"/>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9" t="str">
        <f>IF(Main!O25="","",Main!O25)</f>
        <v/>
      </c>
      <c r="K33" s="569"/>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9" t="str">
        <f>IF(Main!O6="","",Main!O6)</f>
        <v/>
      </c>
      <c r="C34" s="569"/>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9" t="str">
        <f>IF(Main!O26="","",Main!O26)</f>
        <v/>
      </c>
      <c r="K34" s="569"/>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9" t="str">
        <f>IF(Main!O7="","",Main!O7)</f>
        <v/>
      </c>
      <c r="C35" s="569"/>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9" t="str">
        <f>IF(Main!O27="","",Main!O27)</f>
        <v/>
      </c>
      <c r="K35" s="569"/>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9" t="str">
        <f>IF(Main!O8="","",Main!O8)</f>
        <v/>
      </c>
      <c r="C36" s="569"/>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9" t="str">
        <f>IF(Main!O28="","",Main!O28)</f>
        <v/>
      </c>
      <c r="K36" s="569"/>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9" t="str">
        <f>IF(Main!O9="","",Main!O9)</f>
        <v/>
      </c>
      <c r="C37" s="569"/>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9" t="str">
        <f>IF(Main!O29="","",Main!O29)</f>
        <v/>
      </c>
      <c r="K37" s="569"/>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9" t="str">
        <f>IF(Main!O10="","",Main!O10)</f>
        <v/>
      </c>
      <c r="C38" s="569"/>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9" t="str">
        <f>IF(Main!O30="","",Main!O30)</f>
        <v/>
      </c>
      <c r="K38" s="569"/>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9" t="str">
        <f>IF(Main!O11="","",Main!O11)</f>
        <v/>
      </c>
      <c r="C39" s="569"/>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9" t="str">
        <f>IF(Main!O31="","",Main!O31)</f>
        <v/>
      </c>
      <c r="K39" s="569"/>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9" t="str">
        <f>IF(Main!O12="","",Main!O12)</f>
        <v/>
      </c>
      <c r="C40" s="569"/>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9" t="str">
        <f>IF(Main!O32="","",Main!O32)</f>
        <v/>
      </c>
      <c r="K40" s="569"/>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9" t="str">
        <f>IF(Main!O13="","",Main!O13)</f>
        <v/>
      </c>
      <c r="C41" s="569"/>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9" t="str">
        <f>IF(Main!O33="","",Main!O33)</f>
        <v/>
      </c>
      <c r="K41" s="569"/>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9" t="str">
        <f>IF(Main!O14="","",Main!O14)</f>
        <v/>
      </c>
      <c r="C42" s="569"/>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9" t="str">
        <f>IF(Main!O34="","",Main!O34)</f>
        <v/>
      </c>
      <c r="K42" s="569"/>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9" t="str">
        <f>IF(Main!O15="","",Main!O15)</f>
        <v/>
      </c>
      <c r="C43" s="569"/>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9" t="str">
        <f>IF(Main!O35="","",Main!O35)</f>
        <v/>
      </c>
      <c r="K43" s="569"/>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9" t="str">
        <f>IF(Main!O16="","",Main!O16)</f>
        <v/>
      </c>
      <c r="C44" s="569"/>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9" t="str">
        <f>IF(Main!O36="","",Main!O36)</f>
        <v/>
      </c>
      <c r="K44" s="569"/>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9" t="str">
        <f>IF(Main!O17="","",Main!O17)</f>
        <v/>
      </c>
      <c r="C45" s="569"/>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9" t="str">
        <f>IF(Main!O37="","",Main!O37)</f>
        <v/>
      </c>
      <c r="K45" s="569"/>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9" t="str">
        <f>IF(Main!O18="","",Main!O18)</f>
        <v/>
      </c>
      <c r="C46" s="569"/>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9" t="str">
        <f>IF(Main!O38="","",Main!O38)</f>
        <v/>
      </c>
      <c r="K46" s="569"/>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9" t="str">
        <f>IF(Main!O19="","",Main!O19)</f>
        <v/>
      </c>
      <c r="C47" s="569"/>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9" t="str">
        <f>IF(Main!O39="","",Main!O39)</f>
        <v/>
      </c>
      <c r="K47" s="569"/>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9" t="str">
        <f>IF(Main!O20="","",Main!O20)</f>
        <v/>
      </c>
      <c r="C48" s="569"/>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9" t="str">
        <f>IF(Main!O40="","",Main!O40)</f>
        <v/>
      </c>
      <c r="K48" s="569"/>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9" t="str">
        <f>IF(Main!O21="","",Main!O21)</f>
        <v/>
      </c>
      <c r="C49" s="569"/>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9" t="str">
        <f>IF(Main!O41="","",Main!O41)</f>
        <v/>
      </c>
      <c r="K49" s="569"/>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9" t="str">
        <f>IF(Main!O22="","",Main!O22)</f>
        <v/>
      </c>
      <c r="C50" s="569"/>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9" t="str">
        <f>IF(Main!O42="","",Main!O42)</f>
        <v/>
      </c>
      <c r="K50" s="569"/>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9" t="str">
        <f>IF(Main!O23="","",Main!O23)</f>
        <v/>
      </c>
      <c r="C51" s="569"/>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9" t="str">
        <f>IF(Main!O43="","",Main!O43)</f>
        <v/>
      </c>
      <c r="K51" s="569"/>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9" t="str">
        <f>IF(Main!O24="","",Main!O24)</f>
        <v/>
      </c>
      <c r="C52" s="569"/>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9" t="str">
        <f>IF(Main!O44="","",Main!O44)</f>
        <v/>
      </c>
      <c r="K52" s="569"/>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4" t="s">
        <v>242</v>
      </c>
      <c r="C53" s="574"/>
      <c r="D53" s="574"/>
      <c r="E53" s="574"/>
      <c r="F53" s="574"/>
      <c r="G53" s="574"/>
      <c r="H53" s="574"/>
      <c r="I53" s="574"/>
      <c r="J53" s="574"/>
      <c r="K53" s="574"/>
      <c r="L53" s="574"/>
      <c r="M53" s="574"/>
      <c r="N53" s="574"/>
    </row>
    <row r="54" spans="1:21" ht="18" customHeight="1" x14ac:dyDescent="0.25">
      <c r="A54" s="238" t="s">
        <v>243</v>
      </c>
      <c r="B54" s="583" t="str">
        <f>CONCATENATE(Main!G23,"  ",FurnaceSpecificComments,Main!V24)</f>
        <v xml:space="preserve">Found in tolerance.  No adjustment required.  </v>
      </c>
      <c r="C54" s="583"/>
      <c r="D54" s="583"/>
      <c r="E54" s="583"/>
      <c r="F54" s="583"/>
      <c r="G54" s="583"/>
      <c r="H54" s="583"/>
      <c r="I54" s="583"/>
      <c r="J54" s="583"/>
      <c r="K54" s="583"/>
      <c r="L54" s="583"/>
      <c r="M54" s="583"/>
      <c r="N54" s="583"/>
      <c r="O54" s="583"/>
    </row>
    <row r="55" spans="1:21" ht="18" customHeight="1" x14ac:dyDescent="0.25">
      <c r="A55" s="76"/>
      <c r="B55" s="583"/>
      <c r="C55" s="583"/>
      <c r="D55" s="583"/>
      <c r="E55" s="583"/>
      <c r="F55" s="583"/>
      <c r="G55" s="583"/>
      <c r="H55" s="583"/>
      <c r="I55" s="583"/>
      <c r="J55" s="583"/>
      <c r="K55" s="583"/>
      <c r="L55" s="583"/>
      <c r="M55" s="583"/>
      <c r="N55" s="583"/>
      <c r="O55" s="583"/>
    </row>
    <row r="56" spans="1:21" ht="18" customHeight="1" x14ac:dyDescent="0.25">
      <c r="A56" s="76"/>
      <c r="B56" s="583"/>
      <c r="C56" s="583"/>
      <c r="D56" s="583"/>
      <c r="E56" s="583"/>
      <c r="F56" s="583"/>
      <c r="G56" s="583"/>
      <c r="H56" s="583"/>
      <c r="I56" s="583"/>
      <c r="J56" s="583"/>
      <c r="K56" s="583"/>
      <c r="L56" s="583"/>
      <c r="M56" s="583"/>
      <c r="N56" s="583"/>
      <c r="O56" s="583"/>
    </row>
    <row r="57" spans="1:21" ht="18" customHeight="1" x14ac:dyDescent="0.25">
      <c r="A57" s="76"/>
      <c r="B57" s="583"/>
      <c r="C57" s="583"/>
      <c r="D57" s="583"/>
      <c r="E57" s="583"/>
      <c r="F57" s="583"/>
      <c r="G57" s="583"/>
      <c r="H57" s="583"/>
      <c r="I57" s="583"/>
      <c r="J57" s="583"/>
      <c r="K57" s="583"/>
      <c r="L57" s="583"/>
      <c r="M57" s="583"/>
      <c r="N57" s="583"/>
      <c r="O57" s="583"/>
    </row>
    <row r="58" spans="1:21" ht="18" customHeight="1" x14ac:dyDescent="0.25">
      <c r="A58" s="76"/>
      <c r="B58" s="583"/>
      <c r="C58" s="583"/>
      <c r="D58" s="583"/>
      <c r="E58" s="583"/>
      <c r="F58" s="583"/>
      <c r="G58" s="583"/>
      <c r="H58" s="583"/>
      <c r="I58" s="583"/>
      <c r="J58" s="583"/>
      <c r="K58" s="583"/>
      <c r="L58" s="583"/>
      <c r="M58" s="583"/>
      <c r="N58" s="583"/>
      <c r="O58" s="583"/>
    </row>
    <row r="59" spans="1:21" ht="18" customHeight="1" x14ac:dyDescent="0.25">
      <c r="A59" s="76"/>
      <c r="B59" s="583"/>
      <c r="C59" s="583"/>
      <c r="D59" s="583"/>
      <c r="E59" s="583"/>
      <c r="F59" s="583"/>
      <c r="G59" s="583"/>
      <c r="H59" s="583"/>
      <c r="I59" s="583"/>
      <c r="J59" s="583"/>
      <c r="K59" s="583"/>
      <c r="L59" s="583"/>
      <c r="M59" s="583"/>
      <c r="N59" s="583"/>
      <c r="O59" s="583"/>
    </row>
    <row r="60" spans="1:21" ht="18" customHeight="1" x14ac:dyDescent="0.2">
      <c r="A60" s="573" t="s">
        <v>251</v>
      </c>
      <c r="B60" s="573"/>
      <c r="C60" s="573"/>
      <c r="D60" s="573"/>
      <c r="E60" s="573"/>
      <c r="F60" s="573"/>
      <c r="G60" s="573"/>
      <c r="H60" s="573"/>
      <c r="I60" s="573"/>
      <c r="J60" s="573"/>
      <c r="K60" s="573"/>
      <c r="L60" s="573"/>
      <c r="M60" s="573"/>
      <c r="N60" s="573"/>
      <c r="O60" s="573"/>
    </row>
    <row r="61" spans="1:21" ht="18" customHeight="1" x14ac:dyDescent="0.2">
      <c r="A61" s="577" t="s">
        <v>244</v>
      </c>
      <c r="B61" s="577"/>
      <c r="C61" s="577"/>
      <c r="D61" s="577"/>
      <c r="E61" s="577"/>
      <c r="F61" s="591" t="s">
        <v>245</v>
      </c>
      <c r="G61" s="591"/>
      <c r="H61" s="591"/>
      <c r="I61" s="591" t="s">
        <v>246</v>
      </c>
      <c r="J61" s="591"/>
      <c r="K61" s="591" t="s">
        <v>247</v>
      </c>
      <c r="L61" s="591"/>
      <c r="M61" s="591" t="s">
        <v>248</v>
      </c>
      <c r="N61" s="591"/>
      <c r="O61" s="591"/>
      <c r="R61" s="37" t="s">
        <v>335</v>
      </c>
      <c r="T61" s="37" t="s">
        <v>336</v>
      </c>
      <c r="U61" s="37" t="s">
        <v>65</v>
      </c>
    </row>
    <row r="62" spans="1:21" ht="18" customHeight="1" x14ac:dyDescent="0.2">
      <c r="A62" s="558" t="str">
        <f>IF(F62="","",CONCATENATE(T62," - ",R62))</f>
        <v/>
      </c>
      <c r="B62" s="559"/>
      <c r="C62" s="559"/>
      <c r="D62" s="559"/>
      <c r="E62" s="560"/>
      <c r="F62" s="558" t="str" cm="1">
        <f t="array" ref="F62">IFERROR(
  _xlfn.XLOOKUP(
    Main!D9,
    _xlfn._xlws.FILTER(AssetPool[AssetTag], AssetPool[RootCategoryName]= "DAQ Modules"),
    _xlfn._xlws.FILTER(AssetPool[SerialNumber], AssetPool[RootCategoryName]= "DAQ Modules")
  ),
  ""
)</f>
        <v/>
      </c>
      <c r="G62" s="559"/>
      <c r="H62" s="560"/>
      <c r="I62" s="589" t="str">
        <f>IF(F62="","",Main!D12)</f>
        <v/>
      </c>
      <c r="J62" s="590"/>
      <c r="K62" s="589" t="str">
        <f>IF(F62="","",Main!D13)</f>
        <v/>
      </c>
      <c r="L62" s="590"/>
      <c r="M62" s="555" t="str">
        <f>IF(F62="","",Main!D14)</f>
        <v/>
      </c>
      <c r="N62" s="556"/>
      <c r="O62" s="557"/>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2" t="str">
        <f>IF(Q63="","",CONCATENATE("Type """,U63,""" Thermocouple"))</f>
        <v/>
      </c>
      <c r="B63" s="553"/>
      <c r="C63" s="553"/>
      <c r="D63" s="553"/>
      <c r="E63" s="554"/>
      <c r="F63" s="552" t="str">
        <f>IF(Main!D48="","",Main!D48)</f>
        <v/>
      </c>
      <c r="G63" s="553"/>
      <c r="H63" s="554"/>
      <c r="I63" s="566" t="str">
        <f>IF(Q63="","",Main!D49)</f>
        <v/>
      </c>
      <c r="J63" s="567"/>
      <c r="K63" s="566" t="str">
        <f>IF(Q63="","",Main!D50)</f>
        <v/>
      </c>
      <c r="L63" s="567"/>
      <c r="M63" s="552" t="str">
        <f>IF(Q63="","",Main!D54)</f>
        <v/>
      </c>
      <c r="N63" s="553"/>
      <c r="O63" s="554"/>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2" t="str">
        <f t="shared" ref="A64:A69" si="0">IF(Q64="","",CONCATENATE("Type """,U64,""" Thermocouple"))</f>
        <v/>
      </c>
      <c r="B64" s="553"/>
      <c r="C64" s="553"/>
      <c r="D64" s="553"/>
      <c r="E64" s="554"/>
      <c r="F64" s="552" t="str">
        <f>IF(Main!E48="","",Main!E48)</f>
        <v/>
      </c>
      <c r="G64" s="553"/>
      <c r="H64" s="554"/>
      <c r="I64" s="566" t="str">
        <f>IF(Q64="","",Main!E49)</f>
        <v/>
      </c>
      <c r="J64" s="567"/>
      <c r="K64" s="566" t="str">
        <f>IF(Q64="","",Main!E50)</f>
        <v/>
      </c>
      <c r="L64" s="567"/>
      <c r="M64" s="552" t="str">
        <f>IF(Q64="","",Main!E54)</f>
        <v/>
      </c>
      <c r="N64" s="553"/>
      <c r="O64" s="554"/>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2" t="str">
        <f t="shared" si="0"/>
        <v/>
      </c>
      <c r="B65" s="553"/>
      <c r="C65" s="553"/>
      <c r="D65" s="553"/>
      <c r="E65" s="554"/>
      <c r="F65" s="552" t="str">
        <f>IF(Main!F48="","",Main!F48)</f>
        <v/>
      </c>
      <c r="G65" s="553"/>
      <c r="H65" s="554"/>
      <c r="I65" s="566" t="str">
        <f>IF(Q65="","",Main!F49)</f>
        <v/>
      </c>
      <c r="J65" s="567"/>
      <c r="K65" s="566" t="str">
        <f>IF(Q65="","",Main!F50)</f>
        <v/>
      </c>
      <c r="L65" s="567"/>
      <c r="M65" s="552" t="str">
        <f>IF(Q65="","",Main!F54)</f>
        <v/>
      </c>
      <c r="N65" s="553"/>
      <c r="O65" s="554"/>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2" t="str">
        <f t="shared" si="0"/>
        <v/>
      </c>
      <c r="B66" s="553"/>
      <c r="C66" s="553"/>
      <c r="D66" s="553"/>
      <c r="E66" s="554"/>
      <c r="F66" s="552" t="str">
        <f>IF(Main!G48="","",Main!G48)</f>
        <v/>
      </c>
      <c r="G66" s="553"/>
      <c r="H66" s="554"/>
      <c r="I66" s="566" t="str">
        <f>IF(Q66="","",Main!G49)</f>
        <v/>
      </c>
      <c r="J66" s="567"/>
      <c r="K66" s="566" t="str">
        <f>IF(Q66="","",Main!G50)</f>
        <v/>
      </c>
      <c r="L66" s="567"/>
      <c r="M66" s="552" t="str">
        <f>IF(Q66="","",Main!G54)</f>
        <v/>
      </c>
      <c r="N66" s="553"/>
      <c r="O66" s="554"/>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2" t="str">
        <f t="shared" si="0"/>
        <v/>
      </c>
      <c r="B67" s="553"/>
      <c r="C67" s="553"/>
      <c r="D67" s="553"/>
      <c r="E67" s="554"/>
      <c r="F67" s="552" t="str">
        <f>IF(Main!H48="","",Main!H48)</f>
        <v/>
      </c>
      <c r="G67" s="553"/>
      <c r="H67" s="554"/>
      <c r="I67" s="566" t="str">
        <f>IF(Q67="","",Main!H49)</f>
        <v/>
      </c>
      <c r="J67" s="567"/>
      <c r="K67" s="566" t="str">
        <f>IF(Q67="","",Main!H50)</f>
        <v/>
      </c>
      <c r="L67" s="567"/>
      <c r="M67" s="552" t="str">
        <f>IF(Q67="","",Main!H54)</f>
        <v/>
      </c>
      <c r="N67" s="553"/>
      <c r="O67" s="554"/>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2" t="str">
        <f t="shared" si="0"/>
        <v/>
      </c>
      <c r="B68" s="553"/>
      <c r="C68" s="553"/>
      <c r="D68" s="553"/>
      <c r="E68" s="554"/>
      <c r="F68" s="552" t="str">
        <f>IF(Main!I48="","",Main!I48)</f>
        <v/>
      </c>
      <c r="G68" s="553"/>
      <c r="H68" s="554"/>
      <c r="I68" s="566" t="str">
        <f>IF(Q68="","",Main!I49)</f>
        <v/>
      </c>
      <c r="J68" s="567"/>
      <c r="K68" s="566" t="str">
        <f>IF(Q68="","",Main!I50)</f>
        <v/>
      </c>
      <c r="L68" s="567"/>
      <c r="M68" s="552" t="str">
        <f>IF(Q68="","",Main!I54)</f>
        <v/>
      </c>
      <c r="N68" s="553"/>
      <c r="O68" s="554"/>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2" t="str">
        <f t="shared" si="0"/>
        <v/>
      </c>
      <c r="B69" s="553"/>
      <c r="C69" s="553"/>
      <c r="D69" s="553"/>
      <c r="E69" s="554"/>
      <c r="F69" s="561" t="str">
        <f>IF(Main!J48="","",Main!J48)</f>
        <v/>
      </c>
      <c r="G69" s="562"/>
      <c r="H69" s="563"/>
      <c r="I69" s="564" t="str">
        <f>IF(Q69="","",Main!J49)</f>
        <v/>
      </c>
      <c r="J69" s="565"/>
      <c r="K69" s="564" t="str">
        <f>IF(Q69="","",Main!J50)</f>
        <v/>
      </c>
      <c r="L69" s="565"/>
      <c r="M69" s="561" t="str">
        <f>IF(Q69="","",Main!J54)</f>
        <v/>
      </c>
      <c r="N69" s="562"/>
      <c r="O69" s="563"/>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87" t="s">
        <v>439</v>
      </c>
      <c r="B71" s="587"/>
      <c r="C71" s="587"/>
      <c r="D71" s="587"/>
      <c r="E71" s="587"/>
      <c r="F71" s="587"/>
      <c r="G71" s="587"/>
      <c r="H71" s="587"/>
      <c r="I71" s="587"/>
      <c r="J71" s="587"/>
      <c r="K71" s="587"/>
      <c r="L71" s="587"/>
      <c r="M71" s="587"/>
      <c r="N71" s="587"/>
      <c r="O71" s="587"/>
    </row>
    <row r="72" spans="1:21" ht="18" customHeight="1" x14ac:dyDescent="0.2">
      <c r="A72" s="587"/>
      <c r="B72" s="587"/>
      <c r="C72" s="587"/>
      <c r="D72" s="587"/>
      <c r="E72" s="587"/>
      <c r="F72" s="587"/>
      <c r="G72" s="587"/>
      <c r="H72" s="587"/>
      <c r="I72" s="587"/>
      <c r="J72" s="587"/>
      <c r="K72" s="587"/>
      <c r="L72" s="587"/>
      <c r="M72" s="587"/>
      <c r="N72" s="587"/>
      <c r="O72" s="587"/>
    </row>
    <row r="73" spans="1:21" ht="18" customHeight="1" x14ac:dyDescent="0.2">
      <c r="A73" s="587"/>
      <c r="B73" s="587"/>
      <c r="C73" s="587"/>
      <c r="D73" s="587"/>
      <c r="E73" s="587"/>
      <c r="F73" s="587"/>
      <c r="G73" s="587"/>
      <c r="H73" s="587"/>
      <c r="I73" s="587"/>
      <c r="J73" s="587"/>
      <c r="K73" s="587"/>
      <c r="L73" s="587"/>
      <c r="M73" s="587"/>
      <c r="N73" s="587"/>
      <c r="O73" s="587"/>
    </row>
    <row r="74" spans="1:21" ht="18" customHeight="1" x14ac:dyDescent="0.2">
      <c r="A74" s="587"/>
      <c r="B74" s="587"/>
      <c r="C74" s="587"/>
      <c r="D74" s="587"/>
      <c r="E74" s="587"/>
      <c r="F74" s="587"/>
      <c r="G74" s="587"/>
      <c r="H74" s="587"/>
      <c r="I74" s="587"/>
      <c r="J74" s="587"/>
      <c r="K74" s="587"/>
      <c r="L74" s="587"/>
      <c r="M74" s="587"/>
      <c r="N74" s="587"/>
      <c r="O74" s="587"/>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pvvWfb9RFIZ8YMP8UZ0AzGTgGuSCdQ9AZ34PsVvmpm4rqRdx741hAfC/G0NbQLE+if6nJRsPJal/Oqe6d2bMXg==" saltValue="El54AT6OjaLcFRTh9rdhHg=="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H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H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H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H383"/>
      <c r="I383"/>
      <c r="J383"/>
      <c r="K383"/>
      <c r="L383"/>
      <c r="M383"/>
      <c r="N383"/>
      <c r="O383"/>
    </row>
    <row r="384" spans="1:15" x14ac:dyDescent="0.2">
      <c r="A384"/>
      <c r="B384"/>
      <c r="C384"/>
      <c r="F384"/>
      <c r="G384"/>
      <c r="L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L388"/>
      <c r="M388"/>
      <c r="N388"/>
      <c r="O388"/>
    </row>
    <row r="389" spans="1:15" x14ac:dyDescent="0.2">
      <c r="A389"/>
      <c r="B389"/>
      <c r="C389"/>
      <c r="F389"/>
      <c r="G389"/>
      <c r="J389"/>
      <c r="K389"/>
      <c r="L389"/>
      <c r="M389"/>
      <c r="N389"/>
      <c r="O389"/>
    </row>
    <row r="390" spans="1:15" x14ac:dyDescent="0.2">
      <c r="A390"/>
      <c r="B390"/>
      <c r="C390"/>
      <c r="F390"/>
      <c r="G390"/>
      <c r="H390"/>
      <c r="I390"/>
      <c r="L390"/>
      <c r="M390"/>
      <c r="N390"/>
      <c r="O390"/>
    </row>
    <row r="391" spans="1:15" x14ac:dyDescent="0.2">
      <c r="A391"/>
      <c r="B391"/>
      <c r="C391"/>
      <c r="F391"/>
      <c r="G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M395"/>
      <c r="N395"/>
      <c r="O395"/>
    </row>
    <row r="396" spans="1:15" x14ac:dyDescent="0.2">
      <c r="A396"/>
      <c r="B396"/>
      <c r="C396"/>
      <c r="F396"/>
      <c r="G396"/>
      <c r="J396"/>
      <c r="K396"/>
      <c r="L396"/>
      <c r="M396"/>
      <c r="N396"/>
      <c r="O396"/>
    </row>
    <row r="397" spans="1:15" x14ac:dyDescent="0.2">
      <c r="A397"/>
      <c r="B397"/>
      <c r="C397"/>
      <c r="F397"/>
      <c r="G397"/>
      <c r="H397"/>
      <c r="I397"/>
      <c r="L397"/>
      <c r="M397"/>
      <c r="N397"/>
      <c r="O397"/>
    </row>
    <row r="398" spans="1:15" x14ac:dyDescent="0.2">
      <c r="A398"/>
      <c r="B398"/>
      <c r="C398"/>
      <c r="F398"/>
      <c r="G398"/>
      <c r="I398"/>
      <c r="L398"/>
      <c r="M398"/>
      <c r="N398"/>
      <c r="O398"/>
    </row>
    <row r="399" spans="1:15" x14ac:dyDescent="0.2">
      <c r="A399"/>
      <c r="B399"/>
      <c r="C399"/>
      <c r="F399"/>
      <c r="G399"/>
      <c r="H399"/>
      <c r="I399"/>
      <c r="L399"/>
      <c r="M399"/>
      <c r="N399"/>
      <c r="O399"/>
    </row>
    <row r="400" spans="1:15" x14ac:dyDescent="0.2">
      <c r="A400"/>
      <c r="B400"/>
      <c r="C400"/>
      <c r="F400"/>
      <c r="G400"/>
      <c r="I400"/>
      <c r="L400"/>
      <c r="M400"/>
      <c r="N400"/>
      <c r="O400"/>
    </row>
    <row r="401" spans="1:15" x14ac:dyDescent="0.2">
      <c r="A401"/>
      <c r="B401"/>
      <c r="C401"/>
      <c r="F401"/>
      <c r="G401"/>
      <c r="J401"/>
      <c r="K401"/>
      <c r="L401"/>
      <c r="M401"/>
      <c r="N401"/>
      <c r="O401"/>
    </row>
    <row r="402" spans="1:15" x14ac:dyDescent="0.2">
      <c r="A402"/>
      <c r="B402"/>
      <c r="C402"/>
      <c r="F402"/>
      <c r="G402"/>
      <c r="I402"/>
      <c r="L402"/>
      <c r="M402"/>
      <c r="N402"/>
      <c r="O402"/>
    </row>
    <row r="403" spans="1:15" x14ac:dyDescent="0.2">
      <c r="A403"/>
      <c r="B403"/>
      <c r="C403"/>
      <c r="F403"/>
      <c r="G403"/>
      <c r="H403"/>
      <c r="I403"/>
      <c r="L403"/>
      <c r="N403"/>
      <c r="O403"/>
    </row>
    <row r="404" spans="1:15" x14ac:dyDescent="0.2">
      <c r="A404"/>
      <c r="B404"/>
      <c r="C404"/>
      <c r="F404"/>
      <c r="G404"/>
      <c r="H404"/>
      <c r="I404"/>
      <c r="L404"/>
      <c r="M404"/>
      <c r="N404"/>
      <c r="O404"/>
    </row>
    <row r="405" spans="1:15" x14ac:dyDescent="0.2">
      <c r="A405"/>
      <c r="B405"/>
      <c r="C405"/>
      <c r="F405"/>
      <c r="G405"/>
      <c r="H405"/>
      <c r="I405"/>
      <c r="L405"/>
      <c r="M405"/>
      <c r="N405"/>
      <c r="O405"/>
    </row>
    <row r="406" spans="1:15" x14ac:dyDescent="0.2">
      <c r="A406"/>
      <c r="B406"/>
      <c r="C406"/>
      <c r="F406"/>
      <c r="G406"/>
      <c r="L406"/>
      <c r="M406"/>
      <c r="N406"/>
      <c r="O406"/>
    </row>
    <row r="407" spans="1:15" x14ac:dyDescent="0.2">
      <c r="A407"/>
      <c r="B407"/>
      <c r="C407"/>
      <c r="F407"/>
      <c r="G407"/>
      <c r="I407"/>
      <c r="L407"/>
      <c r="M407"/>
      <c r="N407"/>
      <c r="O407"/>
    </row>
    <row r="408" spans="1:15" x14ac:dyDescent="0.2">
      <c r="A408"/>
      <c r="B408"/>
      <c r="C408"/>
      <c r="F408"/>
      <c r="G408"/>
      <c r="H408"/>
      <c r="I408"/>
      <c r="L408"/>
      <c r="M408"/>
      <c r="N408"/>
      <c r="O408"/>
    </row>
    <row r="409" spans="1:15" x14ac:dyDescent="0.2">
      <c r="A409"/>
      <c r="B409"/>
      <c r="C409"/>
      <c r="F409"/>
      <c r="G409"/>
      <c r="M409"/>
      <c r="N409"/>
      <c r="O409"/>
    </row>
    <row r="410" spans="1:15" x14ac:dyDescent="0.2">
      <c r="A410"/>
      <c r="B410"/>
      <c r="C410"/>
      <c r="F410"/>
      <c r="G410"/>
      <c r="H410"/>
      <c r="J410"/>
      <c r="K410"/>
      <c r="L410"/>
      <c r="M410"/>
      <c r="N410"/>
      <c r="O410"/>
    </row>
    <row r="411" spans="1:15" x14ac:dyDescent="0.2">
      <c r="A411"/>
      <c r="B411"/>
      <c r="C411"/>
      <c r="F411"/>
      <c r="G411"/>
      <c r="H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J414"/>
      <c r="K414"/>
      <c r="L414"/>
      <c r="M414"/>
      <c r="N414"/>
      <c r="O414"/>
    </row>
    <row r="415" spans="1:15" x14ac:dyDescent="0.2">
      <c r="A415"/>
      <c r="B415"/>
      <c r="C415"/>
      <c r="G415"/>
      <c r="M415"/>
      <c r="N415"/>
      <c r="O415"/>
    </row>
    <row r="416" spans="1:15" x14ac:dyDescent="0.2">
      <c r="A416"/>
      <c r="B416"/>
      <c r="C416"/>
      <c r="F416"/>
      <c r="G416"/>
      <c r="H416"/>
      <c r="J416"/>
      <c r="K416"/>
      <c r="L416"/>
      <c r="M416"/>
      <c r="N416"/>
      <c r="O416"/>
    </row>
    <row r="417" spans="1:15" x14ac:dyDescent="0.2">
      <c r="A417"/>
      <c r="B417"/>
      <c r="C417"/>
      <c r="F417"/>
      <c r="G417"/>
      <c r="H417"/>
      <c r="K417"/>
      <c r="L417"/>
      <c r="M417"/>
      <c r="N417"/>
      <c r="O417"/>
    </row>
    <row r="418" spans="1:15" x14ac:dyDescent="0.2">
      <c r="A418"/>
      <c r="B418"/>
      <c r="C418"/>
      <c r="F418"/>
      <c r="G418"/>
      <c r="H418"/>
      <c r="I418"/>
      <c r="L418"/>
      <c r="N418"/>
      <c r="O418"/>
    </row>
    <row r="419" spans="1:15" x14ac:dyDescent="0.2">
      <c r="A419"/>
      <c r="B419"/>
      <c r="C419"/>
      <c r="F419"/>
      <c r="G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L428"/>
      <c r="M428"/>
      <c r="N428"/>
      <c r="O428"/>
    </row>
    <row r="429" spans="1:15" x14ac:dyDescent="0.2">
      <c r="A429"/>
      <c r="B429"/>
      <c r="C429"/>
      <c r="F429"/>
      <c r="G429"/>
      <c r="I429"/>
      <c r="L429"/>
      <c r="M429"/>
      <c r="N429"/>
      <c r="O429"/>
    </row>
    <row r="430" spans="1:15" x14ac:dyDescent="0.2">
      <c r="A430"/>
      <c r="B430"/>
      <c r="C430"/>
      <c r="F430"/>
      <c r="G430"/>
      <c r="H430"/>
      <c r="I430"/>
      <c r="L430"/>
      <c r="N430"/>
      <c r="O430"/>
    </row>
    <row r="431" spans="1:15" x14ac:dyDescent="0.2">
      <c r="A431"/>
      <c r="B431"/>
      <c r="C431"/>
      <c r="F431"/>
      <c r="G431"/>
      <c r="H431"/>
      <c r="I431"/>
      <c r="L431"/>
      <c r="M431"/>
      <c r="N431"/>
      <c r="O431"/>
    </row>
    <row r="432" spans="1:15" x14ac:dyDescent="0.2">
      <c r="A432"/>
      <c r="B432"/>
      <c r="C432"/>
      <c r="F432"/>
      <c r="G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N444"/>
      <c r="O444"/>
    </row>
    <row r="445" spans="1:15" x14ac:dyDescent="0.2">
      <c r="A445"/>
      <c r="B445"/>
      <c r="C445"/>
      <c r="F445"/>
      <c r="G445"/>
      <c r="I445"/>
      <c r="L445"/>
      <c r="M445"/>
      <c r="N445"/>
      <c r="O445"/>
    </row>
    <row r="446" spans="1:15" x14ac:dyDescent="0.2">
      <c r="A446"/>
      <c r="B446"/>
      <c r="C446"/>
      <c r="F446"/>
      <c r="G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I464"/>
      <c r="L464"/>
      <c r="M464"/>
      <c r="N464"/>
      <c r="O464"/>
    </row>
    <row r="465" spans="1:15" x14ac:dyDescent="0.2">
      <c r="A465"/>
      <c r="B465"/>
      <c r="C465"/>
      <c r="F465"/>
      <c r="G465"/>
      <c r="I465"/>
      <c r="L465"/>
      <c r="M465"/>
      <c r="N465"/>
      <c r="O465"/>
    </row>
    <row r="466" spans="1:15" x14ac:dyDescent="0.2">
      <c r="A466"/>
      <c r="B466"/>
      <c r="C466"/>
      <c r="F466"/>
      <c r="G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M469"/>
      <c r="N469"/>
      <c r="O469"/>
    </row>
    <row r="470" spans="1:15" x14ac:dyDescent="0.2">
      <c r="A470"/>
      <c r="B470"/>
      <c r="C470"/>
      <c r="F470"/>
      <c r="G470"/>
      <c r="H470"/>
      <c r="I470"/>
      <c r="J470"/>
      <c r="K470"/>
      <c r="L470"/>
      <c r="M470"/>
      <c r="N470"/>
      <c r="O470"/>
    </row>
    <row r="471" spans="1:15" x14ac:dyDescent="0.2">
      <c r="A471"/>
      <c r="B471"/>
      <c r="C471"/>
      <c r="F471"/>
      <c r="G471"/>
      <c r="I471"/>
      <c r="L471"/>
      <c r="M471"/>
      <c r="N471"/>
      <c r="O471"/>
    </row>
    <row r="472" spans="1:15" x14ac:dyDescent="0.2">
      <c r="A472"/>
      <c r="B472"/>
      <c r="C472"/>
      <c r="F472"/>
      <c r="G472"/>
      <c r="L472"/>
      <c r="M472"/>
      <c r="N472"/>
      <c r="O472"/>
    </row>
    <row r="473" spans="1:15" x14ac:dyDescent="0.2">
      <c r="A473"/>
      <c r="B473"/>
      <c r="C473"/>
      <c r="F473"/>
      <c r="G473"/>
      <c r="H473"/>
      <c r="I473"/>
      <c r="L473"/>
      <c r="M473"/>
      <c r="N473"/>
      <c r="O473"/>
    </row>
    <row r="474" spans="1:15" x14ac:dyDescent="0.2">
      <c r="A474"/>
      <c r="B474"/>
      <c r="C474"/>
      <c r="F474"/>
      <c r="G474"/>
      <c r="I474"/>
      <c r="L474"/>
      <c r="M474"/>
      <c r="N474"/>
      <c r="O474"/>
    </row>
    <row r="475" spans="1:15" x14ac:dyDescent="0.2">
      <c r="A475"/>
      <c r="B475"/>
      <c r="C475"/>
      <c r="F475"/>
      <c r="G475"/>
      <c r="H475"/>
      <c r="I475"/>
      <c r="L475"/>
      <c r="M475"/>
      <c r="N475"/>
      <c r="O475"/>
    </row>
    <row r="476" spans="1:15" x14ac:dyDescent="0.2">
      <c r="A476"/>
      <c r="B476"/>
      <c r="C476"/>
      <c r="F476"/>
      <c r="G476"/>
      <c r="H476"/>
      <c r="I476"/>
      <c r="L476"/>
      <c r="M476"/>
      <c r="N476"/>
      <c r="O476"/>
    </row>
    <row r="477" spans="1:15" x14ac:dyDescent="0.2">
      <c r="A477"/>
      <c r="B477"/>
      <c r="C477"/>
      <c r="F477"/>
      <c r="G477"/>
      <c r="H477"/>
      <c r="L477"/>
      <c r="M477"/>
      <c r="N477"/>
      <c r="O477"/>
    </row>
    <row r="478" spans="1:15" x14ac:dyDescent="0.2">
      <c r="A478"/>
      <c r="B478"/>
      <c r="C478"/>
      <c r="F478"/>
      <c r="G478"/>
      <c r="H478"/>
      <c r="I478"/>
      <c r="L478"/>
      <c r="M478"/>
      <c r="N478"/>
      <c r="O478"/>
    </row>
    <row r="479" spans="1:15" x14ac:dyDescent="0.2">
      <c r="A479"/>
      <c r="B479"/>
      <c r="C479"/>
      <c r="F479"/>
      <c r="G479"/>
      <c r="H479"/>
      <c r="J479"/>
      <c r="K479"/>
      <c r="L479"/>
      <c r="M479"/>
      <c r="N479"/>
      <c r="O479"/>
    </row>
    <row r="480" spans="1:15" x14ac:dyDescent="0.2">
      <c r="A480"/>
      <c r="B480"/>
      <c r="C480"/>
      <c r="F480"/>
      <c r="G480"/>
      <c r="H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H484"/>
      <c r="I484"/>
      <c r="L484"/>
      <c r="N484"/>
      <c r="O484"/>
    </row>
    <row r="485" spans="1:15" x14ac:dyDescent="0.2">
      <c r="A485"/>
      <c r="B485"/>
      <c r="C485"/>
      <c r="F485"/>
      <c r="G485"/>
      <c r="J485"/>
      <c r="K485"/>
      <c r="L485"/>
      <c r="M485"/>
      <c r="N485"/>
      <c r="O485"/>
    </row>
    <row r="486" spans="1:15" x14ac:dyDescent="0.2">
      <c r="A486"/>
      <c r="B486"/>
      <c r="C486"/>
      <c r="F486"/>
      <c r="G486"/>
      <c r="I486"/>
      <c r="L486"/>
      <c r="M486"/>
      <c r="N486"/>
      <c r="O486"/>
    </row>
    <row r="487" spans="1:15" x14ac:dyDescent="0.2">
      <c r="A487"/>
      <c r="B487"/>
      <c r="C487"/>
      <c r="F487"/>
      <c r="G487"/>
      <c r="H487"/>
      <c r="I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J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L507"/>
      <c r="M507"/>
      <c r="N507"/>
      <c r="O507"/>
    </row>
    <row r="508" spans="1:15" x14ac:dyDescent="0.2">
      <c r="A508"/>
      <c r="B508"/>
      <c r="C508"/>
      <c r="F508"/>
      <c r="G508"/>
      <c r="H508"/>
      <c r="I508"/>
      <c r="J508"/>
      <c r="K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J523"/>
      <c r="K523"/>
      <c r="L523"/>
      <c r="M523"/>
      <c r="N523"/>
      <c r="O523"/>
    </row>
    <row r="524" spans="1:15" x14ac:dyDescent="0.2">
      <c r="A524"/>
      <c r="B524"/>
      <c r="C524"/>
      <c r="F524"/>
      <c r="G524"/>
      <c r="H524"/>
      <c r="I524"/>
      <c r="L524"/>
      <c r="M524"/>
      <c r="N524"/>
      <c r="O524"/>
    </row>
    <row r="525" spans="1:15" x14ac:dyDescent="0.2">
      <c r="A525"/>
      <c r="B525"/>
      <c r="C525"/>
      <c r="F525"/>
      <c r="G525"/>
      <c r="H525"/>
      <c r="J525"/>
      <c r="K525"/>
      <c r="L525"/>
      <c r="M525"/>
      <c r="N525"/>
      <c r="O525"/>
    </row>
    <row r="526" spans="1:15" x14ac:dyDescent="0.2">
      <c r="A526"/>
      <c r="B526"/>
      <c r="C526"/>
      <c r="F526"/>
      <c r="G526"/>
      <c r="H526"/>
      <c r="I526"/>
      <c r="L526"/>
      <c r="M526"/>
      <c r="N526"/>
      <c r="O526"/>
    </row>
    <row r="527" spans="1:15" x14ac:dyDescent="0.2">
      <c r="A527"/>
      <c r="B527"/>
      <c r="C527"/>
      <c r="F527"/>
      <c r="G527"/>
      <c r="I527"/>
      <c r="L527"/>
      <c r="M527"/>
      <c r="N527"/>
      <c r="O527"/>
    </row>
    <row r="528" spans="1:15" x14ac:dyDescent="0.2">
      <c r="A528"/>
      <c r="B528"/>
      <c r="C528"/>
      <c r="F528"/>
      <c r="G528"/>
      <c r="I528"/>
      <c r="L528"/>
      <c r="M528"/>
      <c r="N528"/>
      <c r="O528"/>
    </row>
    <row r="529" spans="1:15" x14ac:dyDescent="0.2">
      <c r="A529"/>
      <c r="B529"/>
      <c r="C529"/>
      <c r="F529"/>
      <c r="G529"/>
      <c r="H529"/>
      <c r="I529"/>
      <c r="L529"/>
      <c r="M529"/>
      <c r="N529"/>
      <c r="O529"/>
    </row>
    <row r="530" spans="1:15" x14ac:dyDescent="0.2">
      <c r="A530"/>
      <c r="B530"/>
      <c r="C530"/>
      <c r="F530"/>
      <c r="G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J536"/>
      <c r="L536"/>
      <c r="M536"/>
      <c r="N536"/>
      <c r="O536"/>
    </row>
    <row r="537" spans="1:15" x14ac:dyDescent="0.2">
      <c r="A537"/>
      <c r="B537"/>
      <c r="C537"/>
      <c r="F537"/>
      <c r="G537"/>
      <c r="H537"/>
      <c r="L537"/>
      <c r="M537"/>
      <c r="N537"/>
      <c r="O537"/>
    </row>
    <row r="538" spans="1:15" x14ac:dyDescent="0.2">
      <c r="A538"/>
      <c r="B538"/>
      <c r="C538"/>
      <c r="F538"/>
      <c r="G538"/>
      <c r="J538"/>
      <c r="K538"/>
      <c r="L538"/>
      <c r="M538"/>
      <c r="N538"/>
      <c r="O538"/>
    </row>
    <row r="539" spans="1:15" x14ac:dyDescent="0.2">
      <c r="A539"/>
      <c r="B539"/>
      <c r="C539"/>
      <c r="F539"/>
      <c r="G539"/>
      <c r="L539"/>
      <c r="M539"/>
      <c r="N539"/>
      <c r="O539"/>
    </row>
    <row r="540" spans="1:15" x14ac:dyDescent="0.2">
      <c r="A540"/>
      <c r="B540"/>
      <c r="C540"/>
      <c r="F540"/>
      <c r="G540"/>
      <c r="H540"/>
      <c r="J540"/>
      <c r="K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H551"/>
      <c r="I551"/>
      <c r="L551"/>
      <c r="M551"/>
      <c r="N551"/>
      <c r="O551"/>
    </row>
    <row r="552" spans="1:15" x14ac:dyDescent="0.2">
      <c r="A552"/>
      <c r="B552"/>
      <c r="C552"/>
      <c r="F552"/>
      <c r="G552"/>
      <c r="L552"/>
      <c r="M552"/>
      <c r="N552"/>
      <c r="O552"/>
    </row>
    <row r="553" spans="1:15" x14ac:dyDescent="0.2">
      <c r="A553"/>
      <c r="B553"/>
      <c r="C553"/>
      <c r="F553"/>
      <c r="G553"/>
      <c r="L553"/>
      <c r="M553"/>
      <c r="N553"/>
      <c r="O553"/>
    </row>
    <row r="554" spans="1:15" x14ac:dyDescent="0.2">
      <c r="A554"/>
      <c r="B554"/>
      <c r="C554"/>
      <c r="F554"/>
      <c r="G554"/>
      <c r="H554"/>
      <c r="I554"/>
      <c r="L554"/>
      <c r="M554"/>
      <c r="N554"/>
      <c r="O554"/>
    </row>
    <row r="555" spans="1:15" x14ac:dyDescent="0.2">
      <c r="A555"/>
      <c r="B555"/>
      <c r="C555"/>
      <c r="F555"/>
      <c r="G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M558"/>
      <c r="N558"/>
      <c r="O558"/>
    </row>
    <row r="559" spans="1:15" x14ac:dyDescent="0.2">
      <c r="A559"/>
      <c r="B559"/>
      <c r="C559"/>
      <c r="F559"/>
      <c r="G559"/>
      <c r="H559"/>
      <c r="I559"/>
      <c r="L559"/>
      <c r="M559"/>
      <c r="N559"/>
      <c r="O559"/>
    </row>
    <row r="560" spans="1:15" x14ac:dyDescent="0.2">
      <c r="A560"/>
      <c r="B560"/>
      <c r="C560"/>
      <c r="F560"/>
      <c r="G560"/>
      <c r="H560"/>
      <c r="L560"/>
      <c r="M560"/>
      <c r="N560"/>
      <c r="O560"/>
    </row>
    <row r="561" spans="1:15" x14ac:dyDescent="0.2">
      <c r="A561"/>
      <c r="B561"/>
      <c r="C561"/>
      <c r="F561"/>
      <c r="G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L566"/>
      <c r="M566"/>
      <c r="N566"/>
      <c r="O566"/>
    </row>
    <row r="567" spans="1:15" x14ac:dyDescent="0.2">
      <c r="A567"/>
      <c r="B567"/>
      <c r="C567"/>
      <c r="F567"/>
      <c r="G567"/>
      <c r="H567"/>
      <c r="I567"/>
      <c r="L567"/>
      <c r="M567"/>
      <c r="N567"/>
      <c r="O567"/>
    </row>
    <row r="568" spans="1:15" x14ac:dyDescent="0.2">
      <c r="A568"/>
      <c r="B568"/>
      <c r="C568"/>
      <c r="F568"/>
      <c r="G568"/>
      <c r="I568"/>
      <c r="L568"/>
      <c r="M568"/>
      <c r="N568"/>
      <c r="O568"/>
    </row>
    <row r="569" spans="1:15" x14ac:dyDescent="0.2">
      <c r="A569"/>
      <c r="B569"/>
      <c r="C569"/>
      <c r="F569"/>
      <c r="G569"/>
      <c r="L569"/>
      <c r="M569"/>
      <c r="N569"/>
      <c r="O569"/>
    </row>
    <row r="570" spans="1:15" x14ac:dyDescent="0.2">
      <c r="A570"/>
      <c r="B570"/>
      <c r="C570"/>
      <c r="F570"/>
      <c r="G570"/>
      <c r="I570"/>
      <c r="L570"/>
      <c r="M570"/>
      <c r="N570"/>
      <c r="O570"/>
    </row>
    <row r="571" spans="1:15" x14ac:dyDescent="0.2">
      <c r="A571"/>
      <c r="B571"/>
      <c r="C571"/>
      <c r="F571"/>
      <c r="G571"/>
      <c r="H571"/>
      <c r="I571"/>
      <c r="L571"/>
      <c r="N571"/>
      <c r="O571"/>
    </row>
    <row r="572" spans="1:15" x14ac:dyDescent="0.2">
      <c r="A572"/>
      <c r="B572"/>
      <c r="C572"/>
      <c r="F572"/>
      <c r="G572"/>
      <c r="H572"/>
      <c r="I572"/>
      <c r="L572"/>
      <c r="N572"/>
      <c r="O572"/>
    </row>
    <row r="573" spans="1:15" x14ac:dyDescent="0.2">
      <c r="A573"/>
      <c r="B573"/>
      <c r="C573"/>
      <c r="F573"/>
      <c r="G573"/>
      <c r="M573"/>
      <c r="N573"/>
      <c r="O573"/>
    </row>
    <row r="574" spans="1:15" x14ac:dyDescent="0.2">
      <c r="A574"/>
      <c r="B574"/>
      <c r="C574"/>
      <c r="F574"/>
      <c r="G574"/>
      <c r="I574"/>
      <c r="L574"/>
      <c r="M574"/>
      <c r="N574"/>
      <c r="O574"/>
    </row>
    <row r="575" spans="1:15" x14ac:dyDescent="0.2">
      <c r="A575"/>
      <c r="B575"/>
      <c r="C575"/>
      <c r="F575"/>
      <c r="G575"/>
      <c r="H575"/>
      <c r="I575"/>
      <c r="L575"/>
      <c r="M575"/>
      <c r="N575"/>
      <c r="O575"/>
    </row>
    <row r="576" spans="1:15" x14ac:dyDescent="0.2">
      <c r="A576"/>
      <c r="B576"/>
      <c r="C576"/>
      <c r="F576"/>
      <c r="G576"/>
      <c r="L576"/>
      <c r="M576"/>
      <c r="N576"/>
      <c r="O576"/>
    </row>
    <row r="577" spans="1:15" x14ac:dyDescent="0.2">
      <c r="A577"/>
      <c r="B577"/>
      <c r="C577"/>
      <c r="F577"/>
      <c r="G577"/>
      <c r="H577"/>
      <c r="I577"/>
      <c r="L577"/>
      <c r="M577"/>
      <c r="N577"/>
      <c r="O577"/>
    </row>
    <row r="578" spans="1:15" x14ac:dyDescent="0.2">
      <c r="A578"/>
      <c r="B578"/>
      <c r="C578"/>
      <c r="F578"/>
      <c r="G578"/>
      <c r="J578"/>
      <c r="K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J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N586"/>
      <c r="O586"/>
    </row>
    <row r="587" spans="1:15" x14ac:dyDescent="0.2">
      <c r="A587"/>
      <c r="B587"/>
      <c r="C587"/>
      <c r="F587"/>
      <c r="G587"/>
      <c r="H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I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H593"/>
      <c r="I593"/>
      <c r="L593"/>
      <c r="M593"/>
      <c r="N593"/>
      <c r="O593"/>
    </row>
    <row r="594" spans="1:15" x14ac:dyDescent="0.2">
      <c r="A594"/>
      <c r="B594"/>
      <c r="C594"/>
      <c r="F594"/>
      <c r="G594"/>
      <c r="H594"/>
      <c r="I594"/>
      <c r="L594"/>
      <c r="M594"/>
      <c r="N594"/>
      <c r="O594"/>
    </row>
    <row r="595" spans="1:15" x14ac:dyDescent="0.2">
      <c r="A595"/>
      <c r="B595"/>
      <c r="C595"/>
      <c r="F595"/>
      <c r="G595"/>
      <c r="H595"/>
      <c r="J595"/>
      <c r="K595"/>
      <c r="L595"/>
      <c r="M595"/>
      <c r="N595"/>
      <c r="O595"/>
    </row>
    <row r="596" spans="1:15" x14ac:dyDescent="0.2">
      <c r="A596"/>
      <c r="B596"/>
      <c r="C596"/>
      <c r="F596"/>
      <c r="G596"/>
      <c r="H596"/>
      <c r="J596"/>
      <c r="K596"/>
      <c r="L596"/>
      <c r="M596"/>
      <c r="N596"/>
      <c r="O596"/>
    </row>
    <row r="597" spans="1:15" x14ac:dyDescent="0.2">
      <c r="A597"/>
      <c r="B597"/>
      <c r="C597"/>
      <c r="F597"/>
      <c r="G597"/>
      <c r="L597"/>
      <c r="M597"/>
      <c r="N597"/>
      <c r="O597"/>
    </row>
    <row r="598" spans="1:15" x14ac:dyDescent="0.2">
      <c r="A598"/>
      <c r="B598"/>
      <c r="C598"/>
      <c r="F598"/>
      <c r="G598"/>
      <c r="J598"/>
      <c r="K598"/>
      <c r="L598"/>
      <c r="M598"/>
      <c r="N598"/>
      <c r="O598"/>
    </row>
    <row r="599" spans="1:15" x14ac:dyDescent="0.2">
      <c r="A599"/>
      <c r="B599"/>
      <c r="C599"/>
      <c r="F599"/>
      <c r="G599"/>
      <c r="H599"/>
      <c r="I599"/>
      <c r="L599"/>
      <c r="M599"/>
      <c r="N599"/>
      <c r="O599"/>
    </row>
    <row r="600" spans="1:15" x14ac:dyDescent="0.2">
      <c r="A600"/>
      <c r="B600"/>
      <c r="C600"/>
      <c r="F600"/>
      <c r="G600"/>
      <c r="I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J603"/>
      <c r="K603"/>
      <c r="L603"/>
      <c r="M603"/>
      <c r="N603"/>
      <c r="O603"/>
    </row>
    <row r="604" spans="1:15" x14ac:dyDescent="0.2">
      <c r="A604"/>
      <c r="B604"/>
      <c r="C604"/>
      <c r="F604"/>
      <c r="G604"/>
      <c r="M604"/>
      <c r="N604"/>
      <c r="O604"/>
    </row>
    <row r="605" spans="1:15" x14ac:dyDescent="0.2">
      <c r="A605"/>
      <c r="B605"/>
      <c r="C605"/>
      <c r="F605"/>
      <c r="G605"/>
      <c r="L605"/>
      <c r="M605"/>
      <c r="N605"/>
      <c r="O605"/>
    </row>
    <row r="606" spans="1:15" x14ac:dyDescent="0.2">
      <c r="A606"/>
      <c r="B606"/>
      <c r="C606"/>
      <c r="F606"/>
      <c r="G606"/>
      <c r="H606"/>
      <c r="I606"/>
      <c r="L606"/>
      <c r="N606"/>
      <c r="O606"/>
    </row>
    <row r="607" spans="1:15" x14ac:dyDescent="0.2">
      <c r="A607"/>
      <c r="B607"/>
      <c r="C607"/>
      <c r="F607"/>
      <c r="G607"/>
      <c r="H607"/>
      <c r="I607"/>
      <c r="L607"/>
      <c r="M607"/>
      <c r="N607"/>
      <c r="O607"/>
    </row>
    <row r="608" spans="1:15" x14ac:dyDescent="0.2">
      <c r="A608"/>
      <c r="B608"/>
      <c r="C608"/>
      <c r="F608"/>
      <c r="G608"/>
      <c r="L608"/>
      <c r="M608"/>
      <c r="N608"/>
      <c r="O608"/>
    </row>
    <row r="609" spans="1:15" x14ac:dyDescent="0.2">
      <c r="A609"/>
      <c r="B609"/>
      <c r="C609"/>
      <c r="F609"/>
      <c r="G609"/>
      <c r="H609"/>
      <c r="I609"/>
      <c r="L609"/>
      <c r="M609"/>
      <c r="N609"/>
      <c r="O609"/>
    </row>
    <row r="610" spans="1:15" x14ac:dyDescent="0.2">
      <c r="A610"/>
      <c r="B610"/>
      <c r="C610"/>
      <c r="F610"/>
      <c r="G610"/>
      <c r="I610"/>
      <c r="L610"/>
      <c r="M610"/>
      <c r="N610"/>
      <c r="O610"/>
    </row>
    <row r="611" spans="1:15" x14ac:dyDescent="0.2">
      <c r="A611"/>
      <c r="B611"/>
      <c r="C611"/>
      <c r="F611"/>
      <c r="G611"/>
      <c r="I611"/>
      <c r="L611"/>
      <c r="M611"/>
      <c r="N611"/>
      <c r="O611"/>
    </row>
    <row r="612" spans="1:15" x14ac:dyDescent="0.2">
      <c r="A612"/>
      <c r="B612"/>
      <c r="C612"/>
      <c r="F612"/>
      <c r="G612"/>
      <c r="H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M619"/>
      <c r="N619"/>
      <c r="O619"/>
    </row>
    <row r="620" spans="1:15" x14ac:dyDescent="0.2">
      <c r="A620"/>
      <c r="B620"/>
      <c r="C620"/>
      <c r="F620"/>
      <c r="G620"/>
      <c r="I620"/>
      <c r="L620"/>
      <c r="M620"/>
      <c r="N620"/>
      <c r="O620"/>
    </row>
    <row r="621" spans="1:15" x14ac:dyDescent="0.2">
      <c r="A621"/>
      <c r="B621"/>
      <c r="C621"/>
      <c r="F621"/>
      <c r="G621"/>
      <c r="H621"/>
      <c r="I621"/>
      <c r="L621"/>
      <c r="M621"/>
      <c r="N621"/>
      <c r="O621"/>
    </row>
    <row r="622" spans="1:15" x14ac:dyDescent="0.2">
      <c r="A622"/>
      <c r="B622"/>
      <c r="C622"/>
      <c r="F622"/>
      <c r="G622"/>
      <c r="I622"/>
      <c r="L622"/>
      <c r="M622"/>
      <c r="N622"/>
      <c r="O622"/>
    </row>
    <row r="623" spans="1:15" x14ac:dyDescent="0.2">
      <c r="A623"/>
      <c r="B623"/>
      <c r="C623"/>
      <c r="F623"/>
      <c r="G623"/>
      <c r="H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H631"/>
      <c r="J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L636"/>
      <c r="M636"/>
      <c r="N636"/>
      <c r="O636"/>
    </row>
    <row r="637" spans="1:15" x14ac:dyDescent="0.2">
      <c r="A637"/>
      <c r="B637"/>
      <c r="C637"/>
      <c r="F637"/>
      <c r="G637"/>
      <c r="J637"/>
      <c r="K637"/>
      <c r="L637"/>
      <c r="M637"/>
      <c r="N637"/>
      <c r="O637"/>
    </row>
    <row r="638" spans="1:15" x14ac:dyDescent="0.2">
      <c r="A638"/>
      <c r="B638"/>
      <c r="C638"/>
      <c r="F638"/>
      <c r="G638"/>
      <c r="L638"/>
      <c r="M638"/>
      <c r="N638"/>
      <c r="O638"/>
    </row>
    <row r="639" spans="1:15" x14ac:dyDescent="0.2">
      <c r="A639"/>
      <c r="B639"/>
      <c r="C639"/>
      <c r="F639"/>
      <c r="G639"/>
      <c r="H639"/>
      <c r="I639"/>
      <c r="L639"/>
      <c r="M639"/>
      <c r="N639"/>
      <c r="O639"/>
    </row>
    <row r="640" spans="1:15" x14ac:dyDescent="0.2">
      <c r="A640"/>
      <c r="B640"/>
      <c r="C640"/>
      <c r="F640"/>
      <c r="G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L643"/>
      <c r="M643"/>
      <c r="N643"/>
      <c r="O643"/>
    </row>
    <row r="644" spans="1:15" x14ac:dyDescent="0.2">
      <c r="A644"/>
      <c r="B644"/>
      <c r="C644"/>
      <c r="F644"/>
      <c r="G644"/>
      <c r="H644"/>
      <c r="I644"/>
      <c r="L644"/>
      <c r="M644"/>
      <c r="N644"/>
      <c r="O644"/>
    </row>
    <row r="645" spans="1:15" x14ac:dyDescent="0.2">
      <c r="A645"/>
      <c r="B645"/>
      <c r="C645"/>
      <c r="F645"/>
      <c r="G645"/>
      <c r="H645"/>
      <c r="I645"/>
      <c r="L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H649"/>
      <c r="J649"/>
      <c r="K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H655"/>
      <c r="I655"/>
      <c r="L655"/>
      <c r="N655"/>
      <c r="O655"/>
    </row>
    <row r="656" spans="1:15" x14ac:dyDescent="0.2">
      <c r="A656"/>
      <c r="B656"/>
      <c r="C656"/>
      <c r="F656"/>
      <c r="G656"/>
      <c r="H656"/>
      <c r="I656"/>
      <c r="L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N670"/>
      <c r="O670"/>
    </row>
    <row r="671" spans="1:15" x14ac:dyDescent="0.2">
      <c r="A671"/>
      <c r="B671"/>
      <c r="C671"/>
      <c r="F671"/>
      <c r="G671"/>
      <c r="H671"/>
      <c r="I671"/>
      <c r="L671"/>
      <c r="M671"/>
      <c r="N671"/>
      <c r="O671"/>
    </row>
    <row r="672" spans="1:15" x14ac:dyDescent="0.2">
      <c r="A672"/>
      <c r="B672"/>
      <c r="C672"/>
      <c r="F672"/>
      <c r="G672"/>
      <c r="J672"/>
      <c r="K672"/>
      <c r="L672"/>
      <c r="M672"/>
      <c r="N672"/>
      <c r="O672"/>
    </row>
    <row r="673" spans="1:15" x14ac:dyDescent="0.2">
      <c r="A673"/>
      <c r="B673"/>
      <c r="C673"/>
      <c r="F673"/>
      <c r="G673"/>
      <c r="H673"/>
      <c r="I673"/>
      <c r="L673"/>
      <c r="M673"/>
      <c r="N673"/>
      <c r="O673"/>
    </row>
    <row r="674" spans="1:15" x14ac:dyDescent="0.2">
      <c r="A674"/>
      <c r="B674"/>
      <c r="C674"/>
      <c r="F674"/>
      <c r="G674"/>
      <c r="H674"/>
      <c r="I674"/>
      <c r="L674"/>
      <c r="M674"/>
      <c r="N674"/>
      <c r="O674"/>
    </row>
    <row r="675" spans="1:15" x14ac:dyDescent="0.2">
      <c r="A675"/>
      <c r="B675"/>
      <c r="C675"/>
      <c r="F675"/>
      <c r="G675"/>
      <c r="I675"/>
      <c r="L675"/>
      <c r="M675"/>
      <c r="N675"/>
      <c r="O675"/>
    </row>
    <row r="676" spans="1:15" x14ac:dyDescent="0.2">
      <c r="A676"/>
      <c r="B676"/>
      <c r="C676"/>
      <c r="F676"/>
      <c r="G676"/>
      <c r="H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H684"/>
      <c r="I684"/>
      <c r="L684"/>
      <c r="N684"/>
      <c r="O684"/>
    </row>
    <row r="685" spans="1:15" x14ac:dyDescent="0.2">
      <c r="A685"/>
      <c r="B685"/>
      <c r="C685"/>
      <c r="F685"/>
      <c r="G685"/>
      <c r="H685"/>
      <c r="I685"/>
      <c r="L685"/>
      <c r="M685"/>
      <c r="N685"/>
      <c r="O685"/>
    </row>
    <row r="686" spans="1:15" x14ac:dyDescent="0.2">
      <c r="A686"/>
      <c r="B686"/>
      <c r="C686"/>
      <c r="F686"/>
      <c r="G686"/>
      <c r="H686"/>
      <c r="J686"/>
      <c r="L686"/>
      <c r="M686"/>
      <c r="N686"/>
      <c r="O686"/>
    </row>
    <row r="687" spans="1:15" x14ac:dyDescent="0.2">
      <c r="A687"/>
      <c r="B687"/>
      <c r="C687"/>
      <c r="F687"/>
      <c r="G687"/>
      <c r="H687"/>
      <c r="I687"/>
      <c r="L687"/>
      <c r="M687"/>
      <c r="N687"/>
      <c r="O687"/>
    </row>
    <row r="688" spans="1:15" x14ac:dyDescent="0.2">
      <c r="A688"/>
      <c r="B688"/>
      <c r="C688"/>
      <c r="F688"/>
      <c r="G688"/>
      <c r="I688"/>
      <c r="L688"/>
      <c r="M688"/>
      <c r="N688"/>
      <c r="O688"/>
    </row>
    <row r="689" spans="1:15" x14ac:dyDescent="0.2">
      <c r="A689"/>
      <c r="B689"/>
      <c r="C689"/>
      <c r="F689"/>
      <c r="G689"/>
      <c r="M689"/>
      <c r="N689"/>
      <c r="O689"/>
    </row>
    <row r="690" spans="1:15" x14ac:dyDescent="0.2">
      <c r="A690"/>
      <c r="B690"/>
      <c r="C690"/>
      <c r="F690"/>
      <c r="G690"/>
      <c r="H690"/>
      <c r="M690"/>
      <c r="N690"/>
      <c r="O690"/>
    </row>
    <row r="691" spans="1:15" x14ac:dyDescent="0.2">
      <c r="A691"/>
      <c r="B691"/>
      <c r="C691"/>
      <c r="F691"/>
      <c r="G691"/>
      <c r="L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H695"/>
      <c r="I695"/>
      <c r="L695"/>
      <c r="M695"/>
      <c r="N695"/>
      <c r="O695"/>
    </row>
    <row r="696" spans="1:15" x14ac:dyDescent="0.2">
      <c r="A696"/>
      <c r="B696"/>
      <c r="C696"/>
      <c r="F696"/>
      <c r="G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M701"/>
      <c r="N701"/>
      <c r="O701"/>
    </row>
    <row r="702" spans="1:15" x14ac:dyDescent="0.2">
      <c r="A702"/>
      <c r="B702"/>
      <c r="C702"/>
      <c r="F702"/>
      <c r="G702"/>
      <c r="L702"/>
      <c r="M702"/>
      <c r="N702"/>
      <c r="O702"/>
    </row>
    <row r="703" spans="1:15" x14ac:dyDescent="0.2">
      <c r="A703"/>
      <c r="B703"/>
      <c r="C703"/>
      <c r="F703"/>
      <c r="G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N708"/>
      <c r="O708"/>
    </row>
    <row r="709" spans="1:15" x14ac:dyDescent="0.2">
      <c r="A709"/>
      <c r="B709"/>
      <c r="C709"/>
      <c r="F709"/>
      <c r="G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L715"/>
      <c r="M715"/>
      <c r="N715"/>
      <c r="O715"/>
    </row>
    <row r="716" spans="1:15" x14ac:dyDescent="0.2">
      <c r="A716"/>
      <c r="B716"/>
      <c r="C716"/>
      <c r="F716"/>
      <c r="G716"/>
      <c r="I716"/>
      <c r="L716"/>
      <c r="M716"/>
      <c r="N716"/>
      <c r="O716"/>
    </row>
    <row r="717" spans="1:15" x14ac:dyDescent="0.2">
      <c r="A717"/>
      <c r="B717"/>
      <c r="C717"/>
      <c r="F717"/>
      <c r="G717"/>
      <c r="L717"/>
      <c r="M717"/>
      <c r="N717"/>
      <c r="O717"/>
    </row>
    <row r="718" spans="1:15" x14ac:dyDescent="0.2">
      <c r="A718"/>
      <c r="B718"/>
      <c r="C718"/>
      <c r="F718"/>
      <c r="G718"/>
      <c r="H718"/>
      <c r="J718"/>
      <c r="K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I721"/>
      <c r="L721"/>
      <c r="M721"/>
      <c r="N721"/>
      <c r="O721"/>
    </row>
    <row r="722" spans="1:15" x14ac:dyDescent="0.2">
      <c r="A722"/>
      <c r="B722"/>
      <c r="C722"/>
      <c r="F722"/>
      <c r="G722"/>
      <c r="I722"/>
      <c r="L722"/>
      <c r="M722"/>
      <c r="N722"/>
      <c r="O722"/>
    </row>
    <row r="723" spans="1:15" x14ac:dyDescent="0.2">
      <c r="A723"/>
      <c r="B723"/>
      <c r="C723"/>
      <c r="F723"/>
      <c r="G723"/>
      <c r="J723"/>
      <c r="K723"/>
      <c r="L723"/>
      <c r="M723"/>
      <c r="N723"/>
      <c r="O723"/>
    </row>
    <row r="724" spans="1:15" x14ac:dyDescent="0.2">
      <c r="A724"/>
      <c r="B724"/>
      <c r="C724"/>
      <c r="F724"/>
      <c r="G724"/>
      <c r="H724"/>
      <c r="I724"/>
      <c r="J724"/>
      <c r="K724"/>
      <c r="L724"/>
      <c r="M724"/>
      <c r="N724"/>
      <c r="O724"/>
    </row>
    <row r="725" spans="1:15" x14ac:dyDescent="0.2">
      <c r="A725"/>
      <c r="B725"/>
      <c r="C725"/>
      <c r="F725"/>
      <c r="G725"/>
      <c r="H725"/>
      <c r="I725"/>
      <c r="L725"/>
      <c r="M725"/>
      <c r="N725"/>
      <c r="O725"/>
    </row>
    <row r="726" spans="1:15" x14ac:dyDescent="0.2">
      <c r="A726"/>
      <c r="B726"/>
      <c r="C726"/>
      <c r="F726"/>
      <c r="G726"/>
      <c r="H726"/>
      <c r="I726"/>
      <c r="J726"/>
      <c r="K726"/>
      <c r="L726"/>
      <c r="M726"/>
      <c r="N726"/>
      <c r="O726"/>
    </row>
    <row r="727" spans="1:15" x14ac:dyDescent="0.2">
      <c r="A727"/>
      <c r="B727"/>
      <c r="C727"/>
      <c r="F727"/>
      <c r="G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I739"/>
      <c r="L739"/>
      <c r="M739"/>
      <c r="N739"/>
      <c r="O739"/>
    </row>
    <row r="740" spans="1:15" x14ac:dyDescent="0.2">
      <c r="A740"/>
      <c r="B740"/>
      <c r="C740"/>
      <c r="F740"/>
      <c r="G740"/>
      <c r="H740"/>
      <c r="L740"/>
      <c r="M740"/>
      <c r="N740"/>
      <c r="O740"/>
    </row>
    <row r="741" spans="1:15" x14ac:dyDescent="0.2">
      <c r="A741"/>
      <c r="B741"/>
      <c r="C741"/>
      <c r="F741"/>
      <c r="G741"/>
      <c r="H741"/>
      <c r="J741"/>
      <c r="K741"/>
      <c r="L741"/>
      <c r="M741"/>
      <c r="N741"/>
      <c r="O741"/>
    </row>
    <row r="742" spans="1:15" x14ac:dyDescent="0.2">
      <c r="A742"/>
      <c r="B742"/>
      <c r="C742"/>
      <c r="F742"/>
      <c r="G742"/>
      <c r="H742"/>
      <c r="I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H745"/>
      <c r="I745"/>
      <c r="L745"/>
      <c r="M745"/>
      <c r="N745"/>
      <c r="O745"/>
    </row>
    <row r="746" spans="1:15" x14ac:dyDescent="0.2">
      <c r="A746"/>
      <c r="B746"/>
      <c r="C746"/>
      <c r="F746"/>
      <c r="G746"/>
      <c r="H746"/>
      <c r="I746"/>
      <c r="K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J749"/>
      <c r="L749"/>
      <c r="M749"/>
      <c r="N749"/>
      <c r="O749"/>
    </row>
    <row r="750" spans="1:15" x14ac:dyDescent="0.2">
      <c r="A750"/>
      <c r="B750"/>
      <c r="C750"/>
      <c r="F750"/>
      <c r="G750"/>
      <c r="H750"/>
      <c r="L750"/>
      <c r="M750"/>
      <c r="N750"/>
      <c r="O750"/>
    </row>
    <row r="751" spans="1:15" x14ac:dyDescent="0.2">
      <c r="A751"/>
      <c r="B751"/>
      <c r="C751"/>
      <c r="F751"/>
      <c r="G751"/>
      <c r="H751"/>
      <c r="I751"/>
      <c r="L751"/>
      <c r="M751"/>
      <c r="N751"/>
      <c r="O751"/>
    </row>
    <row r="752" spans="1:15" x14ac:dyDescent="0.2">
      <c r="A752"/>
      <c r="B752"/>
      <c r="C752"/>
      <c r="F752"/>
      <c r="G752"/>
      <c r="L752"/>
      <c r="M752"/>
      <c r="N752"/>
      <c r="O752"/>
    </row>
    <row r="753" spans="1:15" x14ac:dyDescent="0.2">
      <c r="A753"/>
      <c r="B753"/>
      <c r="C753"/>
      <c r="F753"/>
      <c r="G753"/>
      <c r="J753"/>
      <c r="K753"/>
      <c r="L753"/>
      <c r="M753"/>
      <c r="N753"/>
      <c r="O753"/>
    </row>
    <row r="754" spans="1:15" x14ac:dyDescent="0.2">
      <c r="A754"/>
      <c r="B754"/>
      <c r="C754"/>
      <c r="F754"/>
      <c r="G754"/>
      <c r="H754"/>
      <c r="I754"/>
      <c r="L754"/>
      <c r="M754"/>
      <c r="N754"/>
      <c r="O754"/>
    </row>
    <row r="755" spans="1:15" x14ac:dyDescent="0.2">
      <c r="A755"/>
      <c r="B755"/>
      <c r="C755"/>
      <c r="F755"/>
      <c r="G755"/>
      <c r="M755"/>
      <c r="N755"/>
      <c r="O755"/>
    </row>
    <row r="756" spans="1:15" x14ac:dyDescent="0.2">
      <c r="A756"/>
      <c r="B756"/>
      <c r="C756"/>
      <c r="F756"/>
      <c r="G756"/>
      <c r="H756"/>
      <c r="I756"/>
      <c r="L756"/>
      <c r="M756"/>
      <c r="N756"/>
      <c r="O756"/>
    </row>
    <row r="757" spans="1:15" x14ac:dyDescent="0.2">
      <c r="A757"/>
      <c r="B757"/>
      <c r="C757"/>
      <c r="F757"/>
      <c r="G757"/>
      <c r="I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H760"/>
      <c r="I760"/>
      <c r="L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L763"/>
      <c r="M763"/>
      <c r="N763"/>
      <c r="O763"/>
    </row>
    <row r="764" spans="1:15" x14ac:dyDescent="0.2">
      <c r="A764"/>
      <c r="B764"/>
      <c r="C764"/>
      <c r="F764"/>
      <c r="G764"/>
      <c r="H764"/>
      <c r="I764"/>
      <c r="L764"/>
      <c r="M764"/>
      <c r="N764"/>
      <c r="O764"/>
    </row>
    <row r="765" spans="1:15" x14ac:dyDescent="0.2">
      <c r="A765"/>
      <c r="B765"/>
      <c r="C765"/>
      <c r="F765"/>
      <c r="G765"/>
      <c r="H765"/>
      <c r="J765"/>
      <c r="K765"/>
      <c r="L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J775"/>
      <c r="K775"/>
      <c r="L775"/>
      <c r="M775"/>
      <c r="N775"/>
      <c r="O775"/>
    </row>
    <row r="776" spans="1:15" x14ac:dyDescent="0.2">
      <c r="A776"/>
      <c r="B776"/>
      <c r="C776"/>
      <c r="F776"/>
      <c r="G776"/>
      <c r="H776"/>
      <c r="L776"/>
      <c r="M776"/>
      <c r="N776"/>
      <c r="O776"/>
    </row>
    <row r="777" spans="1:15" x14ac:dyDescent="0.2">
      <c r="A777"/>
      <c r="B777"/>
      <c r="C777"/>
      <c r="F777"/>
      <c r="G777"/>
      <c r="H777"/>
      <c r="I777"/>
      <c r="L777"/>
      <c r="M777"/>
      <c r="N777"/>
      <c r="O777"/>
    </row>
    <row r="778" spans="1:15" x14ac:dyDescent="0.2">
      <c r="A778"/>
      <c r="B778"/>
      <c r="C778"/>
      <c r="F778"/>
      <c r="G778"/>
      <c r="I778"/>
      <c r="L778"/>
      <c r="M778"/>
      <c r="N778"/>
      <c r="O778"/>
    </row>
    <row r="779" spans="1:15" x14ac:dyDescent="0.2">
      <c r="A779"/>
      <c r="B779"/>
      <c r="C779"/>
      <c r="F779"/>
      <c r="G779"/>
      <c r="H779"/>
      <c r="J779"/>
      <c r="K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M784"/>
      <c r="N784"/>
      <c r="O784"/>
    </row>
    <row r="785" spans="1:15" x14ac:dyDescent="0.2">
      <c r="A785"/>
      <c r="B785"/>
      <c r="C785"/>
      <c r="F785"/>
      <c r="G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L789"/>
      <c r="M789"/>
      <c r="N789"/>
      <c r="O789"/>
    </row>
    <row r="790" spans="1:15" x14ac:dyDescent="0.2">
      <c r="A790"/>
      <c r="B790"/>
      <c r="C790"/>
      <c r="F790"/>
      <c r="G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L793"/>
      <c r="M793"/>
      <c r="N793"/>
      <c r="O793"/>
    </row>
    <row r="794" spans="1:15" x14ac:dyDescent="0.2">
      <c r="A794"/>
      <c r="B794"/>
      <c r="C794"/>
      <c r="F794"/>
      <c r="G794"/>
      <c r="M794"/>
      <c r="N794"/>
      <c r="O794"/>
    </row>
    <row r="795" spans="1:15" x14ac:dyDescent="0.2">
      <c r="A795"/>
      <c r="B795"/>
      <c r="C795"/>
      <c r="F795"/>
      <c r="G795"/>
      <c r="H795"/>
      <c r="I795"/>
      <c r="L795"/>
      <c r="N795"/>
      <c r="O795"/>
    </row>
    <row r="796" spans="1:15" x14ac:dyDescent="0.2">
      <c r="A796"/>
      <c r="B796"/>
      <c r="C796"/>
      <c r="F796"/>
      <c r="G796"/>
      <c r="H796"/>
      <c r="J796"/>
      <c r="K796"/>
      <c r="L796"/>
      <c r="M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J799"/>
      <c r="K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H802"/>
      <c r="J802"/>
      <c r="K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I806"/>
      <c r="L806"/>
      <c r="M806"/>
      <c r="N806"/>
      <c r="O806"/>
    </row>
    <row r="807" spans="1:15" x14ac:dyDescent="0.2">
      <c r="A807"/>
      <c r="B807"/>
      <c r="C807"/>
      <c r="F807"/>
      <c r="G807"/>
      <c r="H807"/>
      <c r="I807"/>
      <c r="L807"/>
      <c r="M807"/>
      <c r="N807"/>
      <c r="O807"/>
    </row>
    <row r="808" spans="1:15" x14ac:dyDescent="0.2">
      <c r="A808"/>
      <c r="B808"/>
      <c r="C808"/>
      <c r="F808"/>
      <c r="G808"/>
      <c r="H808"/>
      <c r="I808"/>
      <c r="L808"/>
      <c r="N808"/>
      <c r="O808"/>
    </row>
    <row r="809" spans="1:15" x14ac:dyDescent="0.2">
      <c r="A809"/>
      <c r="B809"/>
      <c r="C809"/>
      <c r="F809"/>
      <c r="G809"/>
      <c r="H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L812"/>
      <c r="M812"/>
      <c r="N812"/>
      <c r="O812"/>
    </row>
    <row r="813" spans="1:15" x14ac:dyDescent="0.2">
      <c r="A813"/>
      <c r="B813"/>
      <c r="C813"/>
      <c r="F813"/>
      <c r="G813"/>
      <c r="H813"/>
      <c r="I813"/>
      <c r="J813"/>
      <c r="K813"/>
      <c r="L813"/>
      <c r="M813"/>
      <c r="N813"/>
      <c r="O813"/>
    </row>
    <row r="814" spans="1:15" x14ac:dyDescent="0.2">
      <c r="A814"/>
      <c r="B814"/>
      <c r="C814"/>
      <c r="F814"/>
      <c r="G814"/>
      <c r="J814"/>
      <c r="M814"/>
      <c r="N814"/>
      <c r="O814"/>
    </row>
    <row r="815" spans="1:15" x14ac:dyDescent="0.2">
      <c r="A815"/>
      <c r="B815"/>
      <c r="C815"/>
      <c r="F815"/>
      <c r="G815"/>
      <c r="I815"/>
      <c r="L815"/>
      <c r="M815"/>
      <c r="N815"/>
      <c r="O815"/>
    </row>
    <row r="816" spans="1:15" x14ac:dyDescent="0.2">
      <c r="A816"/>
      <c r="B816"/>
      <c r="C816"/>
      <c r="F816"/>
      <c r="G816"/>
      <c r="H816"/>
      <c r="J816"/>
      <c r="K816"/>
      <c r="L816"/>
      <c r="M816"/>
      <c r="N816"/>
      <c r="O816"/>
    </row>
    <row r="817" spans="1:15" x14ac:dyDescent="0.2">
      <c r="A817"/>
      <c r="B817"/>
      <c r="C817"/>
      <c r="F817"/>
      <c r="G817"/>
      <c r="L817"/>
      <c r="M817"/>
      <c r="N817"/>
      <c r="O817"/>
    </row>
    <row r="818" spans="1:15" x14ac:dyDescent="0.2">
      <c r="A818"/>
      <c r="B818"/>
      <c r="C818"/>
      <c r="F818"/>
      <c r="G818"/>
      <c r="L818"/>
      <c r="M818"/>
      <c r="N818"/>
      <c r="O818"/>
    </row>
    <row r="819" spans="1:15" x14ac:dyDescent="0.2">
      <c r="A819"/>
      <c r="B819"/>
      <c r="C819"/>
      <c r="F819"/>
      <c r="G819"/>
      <c r="J819"/>
      <c r="K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H826"/>
      <c r="J826"/>
      <c r="K826"/>
      <c r="L826"/>
      <c r="M826"/>
      <c r="N826"/>
      <c r="O826"/>
    </row>
    <row r="827" spans="1:15" x14ac:dyDescent="0.2">
      <c r="A827"/>
      <c r="B827"/>
      <c r="C827"/>
      <c r="F827"/>
      <c r="G827"/>
      <c r="H827"/>
      <c r="I827"/>
      <c r="L827"/>
      <c r="M827"/>
      <c r="N827"/>
      <c r="O827"/>
    </row>
    <row r="828" spans="1:15" x14ac:dyDescent="0.2">
      <c r="A828"/>
      <c r="B828"/>
      <c r="C828"/>
      <c r="F828"/>
      <c r="G828"/>
      <c r="I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H832"/>
      <c r="I832"/>
      <c r="L832"/>
      <c r="M832"/>
      <c r="N832"/>
      <c r="O832"/>
    </row>
    <row r="833" spans="1:15" x14ac:dyDescent="0.2">
      <c r="A833"/>
      <c r="B833"/>
      <c r="C833"/>
      <c r="F833"/>
      <c r="G833"/>
      <c r="J833"/>
      <c r="K833"/>
      <c r="L833"/>
      <c r="M833"/>
      <c r="N833"/>
      <c r="O833"/>
    </row>
    <row r="834" spans="1:15" x14ac:dyDescent="0.2">
      <c r="A834"/>
      <c r="B834"/>
      <c r="C834"/>
      <c r="F834"/>
      <c r="G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H837"/>
      <c r="L837"/>
      <c r="M837"/>
      <c r="N837"/>
      <c r="O837"/>
    </row>
    <row r="838" spans="1:15" x14ac:dyDescent="0.2">
      <c r="A838"/>
      <c r="B838"/>
      <c r="C838"/>
      <c r="F838"/>
      <c r="G838"/>
      <c r="H838"/>
      <c r="I838"/>
      <c r="L838"/>
      <c r="M838"/>
      <c r="N838"/>
      <c r="O838"/>
    </row>
    <row r="839" spans="1:15" x14ac:dyDescent="0.2">
      <c r="A839"/>
      <c r="B839"/>
      <c r="C839"/>
      <c r="F839"/>
      <c r="G839"/>
      <c r="H839"/>
      <c r="I839"/>
      <c r="L839"/>
      <c r="M839"/>
      <c r="N839"/>
      <c r="O839"/>
    </row>
    <row r="840" spans="1:15" x14ac:dyDescent="0.2">
      <c r="A840"/>
      <c r="B840"/>
      <c r="C840"/>
      <c r="F840"/>
      <c r="G840"/>
      <c r="L840"/>
      <c r="M840"/>
      <c r="N840"/>
      <c r="O840"/>
    </row>
    <row r="841" spans="1:15" x14ac:dyDescent="0.2">
      <c r="A841"/>
      <c r="B841"/>
      <c r="C841"/>
      <c r="F841"/>
      <c r="G841"/>
      <c r="I841"/>
      <c r="L841"/>
      <c r="M841"/>
      <c r="N841"/>
      <c r="O841"/>
    </row>
    <row r="842" spans="1:15" x14ac:dyDescent="0.2">
      <c r="A842"/>
      <c r="B842"/>
      <c r="C842"/>
      <c r="F842"/>
      <c r="G842"/>
      <c r="L842"/>
      <c r="M842"/>
      <c r="N842"/>
      <c r="O842"/>
    </row>
    <row r="843" spans="1:15" x14ac:dyDescent="0.2">
      <c r="A843"/>
      <c r="B843"/>
      <c r="C843"/>
      <c r="F843"/>
      <c r="G843"/>
      <c r="H843"/>
      <c r="I843"/>
      <c r="L843"/>
      <c r="N843"/>
      <c r="O843"/>
    </row>
    <row r="844" spans="1:15" x14ac:dyDescent="0.2">
      <c r="A844"/>
      <c r="B844"/>
      <c r="C844"/>
      <c r="F844"/>
      <c r="G844"/>
      <c r="I844"/>
      <c r="L844"/>
      <c r="M844"/>
      <c r="N844"/>
      <c r="O844"/>
    </row>
    <row r="845" spans="1:15" x14ac:dyDescent="0.2">
      <c r="A845"/>
      <c r="B845"/>
      <c r="C845"/>
      <c r="F845"/>
      <c r="G845"/>
      <c r="H845"/>
      <c r="L845"/>
      <c r="M845"/>
      <c r="N845"/>
      <c r="O845"/>
    </row>
    <row r="846" spans="1:15" x14ac:dyDescent="0.2">
      <c r="A846"/>
      <c r="B846"/>
      <c r="C846"/>
      <c r="F846"/>
      <c r="G846"/>
      <c r="H846"/>
      <c r="I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M849"/>
      <c r="N849"/>
      <c r="O849"/>
    </row>
    <row r="850" spans="1:15" x14ac:dyDescent="0.2">
      <c r="A850"/>
      <c r="B850"/>
      <c r="C850"/>
      <c r="F850"/>
      <c r="G850"/>
      <c r="H850"/>
      <c r="M850"/>
      <c r="N850"/>
      <c r="O850"/>
    </row>
    <row r="851" spans="1:15" x14ac:dyDescent="0.2">
      <c r="A851"/>
      <c r="B851"/>
      <c r="C851"/>
      <c r="F851"/>
      <c r="G851"/>
      <c r="I851"/>
      <c r="L851"/>
      <c r="M851"/>
      <c r="N851"/>
      <c r="O851"/>
    </row>
    <row r="852" spans="1:15" x14ac:dyDescent="0.2">
      <c r="A852"/>
      <c r="B852"/>
      <c r="C852"/>
      <c r="F852"/>
      <c r="G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L856"/>
      <c r="M856"/>
      <c r="N856"/>
      <c r="O856"/>
    </row>
    <row r="857" spans="1:15" x14ac:dyDescent="0.2">
      <c r="A857"/>
      <c r="B857"/>
      <c r="C857"/>
      <c r="F857"/>
      <c r="G857"/>
      <c r="H857"/>
      <c r="I857"/>
      <c r="L857"/>
      <c r="M857"/>
      <c r="N857"/>
      <c r="O857"/>
    </row>
    <row r="858" spans="1:15" x14ac:dyDescent="0.2">
      <c r="A858"/>
      <c r="B858"/>
      <c r="C858"/>
      <c r="F858"/>
      <c r="G858"/>
      <c r="L858"/>
      <c r="M858"/>
      <c r="N858"/>
      <c r="O858"/>
    </row>
    <row r="859" spans="1:15" x14ac:dyDescent="0.2">
      <c r="A859"/>
      <c r="B859"/>
      <c r="C859"/>
      <c r="F859"/>
      <c r="G859"/>
      <c r="L859"/>
      <c r="M859"/>
      <c r="N859"/>
      <c r="O859"/>
    </row>
    <row r="860" spans="1:15" x14ac:dyDescent="0.2">
      <c r="A860"/>
      <c r="B860"/>
      <c r="C860"/>
      <c r="F860"/>
      <c r="G860"/>
      <c r="H860"/>
      <c r="I860"/>
      <c r="J860"/>
      <c r="K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I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J866"/>
      <c r="K866"/>
      <c r="L866"/>
      <c r="M866"/>
      <c r="N866"/>
      <c r="O866"/>
    </row>
    <row r="867" spans="1:15" x14ac:dyDescent="0.2">
      <c r="A867"/>
      <c r="B867"/>
      <c r="C867"/>
      <c r="F867"/>
      <c r="G867"/>
      <c r="I867"/>
      <c r="L867"/>
      <c r="M867"/>
      <c r="N867"/>
      <c r="O867"/>
    </row>
    <row r="868" spans="1:15" x14ac:dyDescent="0.2">
      <c r="A868"/>
      <c r="B868"/>
      <c r="C868"/>
      <c r="F868"/>
      <c r="G868"/>
      <c r="H868"/>
      <c r="I868"/>
      <c r="L868"/>
      <c r="N868"/>
      <c r="O868"/>
    </row>
    <row r="869" spans="1:15" x14ac:dyDescent="0.2">
      <c r="A869"/>
      <c r="B869"/>
      <c r="C869"/>
      <c r="F869"/>
      <c r="G869"/>
      <c r="H869"/>
      <c r="I869"/>
      <c r="L869"/>
      <c r="M869"/>
      <c r="N869"/>
      <c r="O869"/>
    </row>
    <row r="870" spans="1:15" x14ac:dyDescent="0.2">
      <c r="A870"/>
      <c r="B870"/>
      <c r="C870"/>
      <c r="F870"/>
      <c r="G870"/>
      <c r="J870"/>
      <c r="K870"/>
      <c r="L870"/>
      <c r="M870"/>
      <c r="N870"/>
      <c r="O870"/>
    </row>
    <row r="871" spans="1:15" x14ac:dyDescent="0.2">
      <c r="A871"/>
      <c r="B871"/>
      <c r="C871"/>
      <c r="F871"/>
      <c r="G871"/>
      <c r="H871"/>
      <c r="I871"/>
      <c r="L871"/>
      <c r="M871"/>
      <c r="N871"/>
      <c r="O871"/>
    </row>
    <row r="872" spans="1:15" x14ac:dyDescent="0.2">
      <c r="A872"/>
      <c r="B872"/>
      <c r="C872"/>
      <c r="F872"/>
      <c r="G872"/>
      <c r="H872"/>
      <c r="I872"/>
      <c r="L872"/>
      <c r="M872"/>
      <c r="N872"/>
      <c r="O872"/>
    </row>
    <row r="873" spans="1:15" x14ac:dyDescent="0.2">
      <c r="A873"/>
      <c r="B873"/>
      <c r="C873"/>
      <c r="F873"/>
      <c r="G873"/>
      <c r="L873"/>
      <c r="M873"/>
      <c r="N873"/>
      <c r="O873"/>
    </row>
    <row r="874" spans="1:15" x14ac:dyDescent="0.2">
      <c r="A874"/>
      <c r="B874"/>
      <c r="C874"/>
      <c r="F874"/>
      <c r="G874"/>
      <c r="L874"/>
      <c r="M874"/>
      <c r="N874"/>
      <c r="O874"/>
    </row>
    <row r="875" spans="1:15" x14ac:dyDescent="0.2">
      <c r="A875"/>
      <c r="B875"/>
      <c r="C875"/>
      <c r="F875"/>
      <c r="G875"/>
      <c r="H875"/>
      <c r="L875"/>
      <c r="M875"/>
      <c r="N875"/>
      <c r="O875"/>
    </row>
    <row r="876" spans="1:15" x14ac:dyDescent="0.2">
      <c r="A876"/>
      <c r="B876"/>
      <c r="C876"/>
      <c r="F876"/>
      <c r="G876"/>
      <c r="H876"/>
      <c r="J876"/>
      <c r="K876"/>
      <c r="L876"/>
      <c r="M876"/>
      <c r="N876"/>
      <c r="O876"/>
    </row>
    <row r="877" spans="1:15" x14ac:dyDescent="0.2">
      <c r="A877"/>
      <c r="B877"/>
      <c r="C877"/>
      <c r="F877"/>
      <c r="G877"/>
      <c r="J877"/>
      <c r="K877"/>
      <c r="L877"/>
      <c r="M877"/>
      <c r="N877"/>
      <c r="O877"/>
    </row>
    <row r="878" spans="1:15" x14ac:dyDescent="0.2">
      <c r="A878"/>
      <c r="B878"/>
      <c r="C878"/>
      <c r="F878"/>
      <c r="G878"/>
      <c r="H878"/>
      <c r="J878"/>
      <c r="K878"/>
      <c r="L878"/>
      <c r="M878"/>
      <c r="N878"/>
      <c r="O878"/>
    </row>
    <row r="879" spans="1:15" x14ac:dyDescent="0.2">
      <c r="A879"/>
      <c r="B879"/>
      <c r="C879"/>
      <c r="F879"/>
      <c r="G879"/>
      <c r="H879"/>
      <c r="J879"/>
      <c r="K879"/>
      <c r="L879"/>
      <c r="M879"/>
      <c r="N879"/>
      <c r="O879"/>
    </row>
    <row r="880" spans="1:15" x14ac:dyDescent="0.2">
      <c r="A880"/>
      <c r="B880"/>
      <c r="C880"/>
      <c r="F880"/>
      <c r="G880"/>
      <c r="J880"/>
      <c r="K880"/>
      <c r="L880"/>
      <c r="M880"/>
      <c r="N880"/>
      <c r="O880"/>
    </row>
    <row r="881" spans="1:15" x14ac:dyDescent="0.2">
      <c r="A881"/>
      <c r="B881"/>
      <c r="C881"/>
      <c r="F881"/>
      <c r="G881"/>
      <c r="H881"/>
      <c r="J881"/>
      <c r="K881"/>
      <c r="L881"/>
      <c r="M881"/>
      <c r="N881"/>
      <c r="O881"/>
    </row>
    <row r="882" spans="1:15" x14ac:dyDescent="0.2">
      <c r="A882"/>
      <c r="B882"/>
      <c r="C882"/>
      <c r="F882"/>
      <c r="G882"/>
      <c r="H882"/>
      <c r="I882"/>
      <c r="L882"/>
      <c r="N882"/>
      <c r="O882"/>
    </row>
    <row r="883" spans="1:15" x14ac:dyDescent="0.2">
      <c r="A883"/>
      <c r="B883"/>
      <c r="C883"/>
      <c r="F883"/>
      <c r="G883"/>
      <c r="I883"/>
      <c r="L883"/>
      <c r="M883"/>
      <c r="N883"/>
      <c r="O883"/>
    </row>
    <row r="884" spans="1:15" x14ac:dyDescent="0.2">
      <c r="A884"/>
      <c r="B884"/>
      <c r="C884"/>
      <c r="F884"/>
      <c r="G884"/>
      <c r="L884"/>
      <c r="M884"/>
      <c r="N884"/>
      <c r="O884"/>
    </row>
    <row r="885" spans="1:15" x14ac:dyDescent="0.2">
      <c r="A885"/>
      <c r="B885"/>
      <c r="C885"/>
      <c r="F885"/>
      <c r="G885"/>
      <c r="H885"/>
      <c r="J885"/>
      <c r="K885"/>
      <c r="L885"/>
      <c r="M885"/>
      <c r="N885"/>
      <c r="O885"/>
    </row>
    <row r="886" spans="1:15" x14ac:dyDescent="0.2">
      <c r="A886"/>
      <c r="B886"/>
      <c r="C886"/>
      <c r="F886"/>
      <c r="G886"/>
      <c r="H886"/>
      <c r="I886"/>
      <c r="L886"/>
      <c r="M886"/>
      <c r="N886"/>
      <c r="O886"/>
    </row>
    <row r="887" spans="1:15" x14ac:dyDescent="0.2">
      <c r="A887"/>
      <c r="B887"/>
      <c r="C887"/>
      <c r="F887"/>
      <c r="G887"/>
      <c r="H887"/>
      <c r="I887"/>
      <c r="L887"/>
      <c r="N887"/>
      <c r="O887"/>
    </row>
    <row r="888" spans="1:15" x14ac:dyDescent="0.2">
      <c r="A888"/>
      <c r="B888"/>
      <c r="C888"/>
      <c r="F888"/>
      <c r="G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I892"/>
      <c r="L892"/>
      <c r="M892"/>
      <c r="N892"/>
      <c r="O892"/>
    </row>
    <row r="893" spans="1:15" x14ac:dyDescent="0.2">
      <c r="A893"/>
      <c r="B893"/>
      <c r="C893"/>
      <c r="F893"/>
      <c r="G893"/>
      <c r="L893"/>
      <c r="M893"/>
      <c r="N893"/>
      <c r="O893"/>
    </row>
    <row r="894" spans="1:15" x14ac:dyDescent="0.2">
      <c r="A894"/>
      <c r="B894"/>
      <c r="C894"/>
      <c r="F894"/>
      <c r="G894"/>
      <c r="H894"/>
      <c r="J894"/>
      <c r="K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H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L914"/>
      <c r="M914"/>
      <c r="N914"/>
      <c r="O914"/>
    </row>
    <row r="915" spans="1:15" x14ac:dyDescent="0.2">
      <c r="A915"/>
      <c r="B915"/>
      <c r="C915"/>
      <c r="F915"/>
      <c r="G915"/>
      <c r="I915"/>
      <c r="J915"/>
      <c r="K915"/>
      <c r="L915"/>
      <c r="M915"/>
      <c r="N915"/>
      <c r="O915"/>
    </row>
    <row r="916" spans="1:15" x14ac:dyDescent="0.2">
      <c r="A916"/>
      <c r="B916"/>
      <c r="C916"/>
      <c r="F916"/>
      <c r="G916"/>
      <c r="I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I927"/>
      <c r="L927"/>
      <c r="M927"/>
      <c r="N927"/>
      <c r="O927"/>
    </row>
    <row r="928" spans="1:15" x14ac:dyDescent="0.2">
      <c r="A928"/>
      <c r="B928"/>
      <c r="C928"/>
      <c r="F928"/>
      <c r="G928"/>
      <c r="J928"/>
      <c r="K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J931"/>
      <c r="K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J938"/>
      <c r="K938"/>
      <c r="L938"/>
      <c r="M938"/>
      <c r="N938"/>
      <c r="O938"/>
    </row>
    <row r="939" spans="1:15" x14ac:dyDescent="0.2">
      <c r="A939"/>
      <c r="B939"/>
      <c r="C939"/>
      <c r="F939"/>
      <c r="G939"/>
      <c r="H939"/>
      <c r="J939"/>
      <c r="K939"/>
      <c r="L939"/>
      <c r="M939"/>
      <c r="N939"/>
      <c r="O939"/>
    </row>
    <row r="940" spans="1:15" x14ac:dyDescent="0.2">
      <c r="A940"/>
      <c r="B940"/>
      <c r="C940"/>
      <c r="F940"/>
      <c r="G940"/>
      <c r="L940"/>
      <c r="M940"/>
      <c r="N940"/>
      <c r="O940"/>
    </row>
    <row r="941" spans="1:15" x14ac:dyDescent="0.2">
      <c r="A941"/>
      <c r="B941"/>
      <c r="C941"/>
      <c r="F941"/>
      <c r="G941"/>
      <c r="H941"/>
      <c r="J941"/>
      <c r="K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J946"/>
      <c r="K946"/>
      <c r="L946"/>
      <c r="M946"/>
      <c r="N946"/>
      <c r="O946"/>
    </row>
    <row r="947" spans="1:15" x14ac:dyDescent="0.2">
      <c r="A947"/>
      <c r="B947"/>
      <c r="C947"/>
      <c r="F947"/>
      <c r="G947"/>
      <c r="H947"/>
      <c r="I947"/>
      <c r="L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L950"/>
      <c r="M950"/>
      <c r="N950"/>
      <c r="O950"/>
    </row>
    <row r="951" spans="1:15" x14ac:dyDescent="0.2">
      <c r="A951"/>
      <c r="B951"/>
      <c r="C951"/>
      <c r="F951"/>
      <c r="G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I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J970"/>
      <c r="K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I974"/>
      <c r="L974"/>
      <c r="M974"/>
      <c r="N974"/>
      <c r="O974"/>
    </row>
    <row r="975" spans="1:15" x14ac:dyDescent="0.2">
      <c r="A975"/>
      <c r="B975"/>
      <c r="C975"/>
      <c r="F975"/>
      <c r="G975"/>
      <c r="H975"/>
      <c r="I975"/>
      <c r="L975"/>
      <c r="M975"/>
      <c r="N975"/>
      <c r="O975"/>
    </row>
    <row r="976" spans="1:15" x14ac:dyDescent="0.2">
      <c r="A976"/>
      <c r="B976"/>
      <c r="C976"/>
      <c r="F976"/>
      <c r="G976"/>
      <c r="H976"/>
      <c r="J976"/>
      <c r="K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H984"/>
      <c r="I984"/>
      <c r="L984"/>
      <c r="M984"/>
      <c r="N984"/>
      <c r="O984"/>
    </row>
    <row r="985" spans="1:15" x14ac:dyDescent="0.2">
      <c r="A985"/>
      <c r="B985"/>
      <c r="C985"/>
      <c r="F985"/>
      <c r="G985"/>
      <c r="H985"/>
      <c r="J985"/>
      <c r="K985"/>
      <c r="L985"/>
      <c r="M985"/>
      <c r="N985"/>
      <c r="O985"/>
    </row>
    <row r="986" spans="1:15" x14ac:dyDescent="0.2">
      <c r="A986"/>
      <c r="B986"/>
      <c r="C986"/>
      <c r="F986"/>
      <c r="G986"/>
      <c r="H986"/>
      <c r="J986"/>
      <c r="K986"/>
      <c r="L986"/>
      <c r="M986"/>
      <c r="N986"/>
      <c r="O986"/>
    </row>
    <row r="987" spans="1:15" x14ac:dyDescent="0.2">
      <c r="A987"/>
      <c r="B987"/>
      <c r="C987"/>
      <c r="F987"/>
      <c r="G987"/>
      <c r="H987"/>
      <c r="I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L990"/>
      <c r="M990"/>
      <c r="N990"/>
      <c r="O990"/>
    </row>
    <row r="991" spans="1:15" x14ac:dyDescent="0.2">
      <c r="A991"/>
      <c r="B991"/>
      <c r="C991"/>
      <c r="F991"/>
      <c r="G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M1001"/>
      <c r="N1001"/>
      <c r="O1001"/>
    </row>
    <row r="1002" spans="1:15" x14ac:dyDescent="0.2">
      <c r="A1002"/>
      <c r="B1002"/>
      <c r="C1002"/>
      <c r="F1002"/>
      <c r="G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J1010"/>
      <c r="K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H1021"/>
      <c r="I1021"/>
      <c r="L1021"/>
      <c r="M1021"/>
      <c r="N1021"/>
      <c r="O1021"/>
    </row>
    <row r="1022" spans="1:15" x14ac:dyDescent="0.2">
      <c r="A1022"/>
      <c r="B1022"/>
      <c r="C1022"/>
      <c r="F1022"/>
      <c r="G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I1029"/>
      <c r="L1029"/>
      <c r="M1029"/>
      <c r="N1029"/>
      <c r="O1029"/>
    </row>
    <row r="1030" spans="1:15" x14ac:dyDescent="0.2">
      <c r="A1030"/>
      <c r="B1030"/>
      <c r="C1030"/>
      <c r="F1030"/>
      <c r="G1030"/>
      <c r="I1030"/>
      <c r="L1030"/>
      <c r="M1030"/>
      <c r="N1030"/>
      <c r="O1030"/>
    </row>
    <row r="1031" spans="1:15" x14ac:dyDescent="0.2">
      <c r="A1031"/>
      <c r="B1031"/>
      <c r="C1031"/>
      <c r="F1031"/>
      <c r="G1031"/>
      <c r="I1031"/>
      <c r="J1031"/>
      <c r="K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J1041"/>
      <c r="K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I1045"/>
      <c r="L1045"/>
      <c r="M1045"/>
      <c r="N1045"/>
      <c r="O1045"/>
    </row>
    <row r="1046" spans="1:15" x14ac:dyDescent="0.2">
      <c r="A1046"/>
      <c r="B1046"/>
      <c r="C1046"/>
      <c r="F1046"/>
      <c r="G1046"/>
      <c r="H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I1052"/>
      <c r="L1052"/>
      <c r="M1052"/>
      <c r="N1052"/>
      <c r="O1052"/>
    </row>
    <row r="1053" spans="1:15" x14ac:dyDescent="0.2">
      <c r="A1053"/>
      <c r="B1053"/>
      <c r="C1053"/>
      <c r="F1053"/>
      <c r="G1053"/>
      <c r="L1053"/>
      <c r="M1053"/>
      <c r="N1053"/>
      <c r="O1053"/>
    </row>
    <row r="1054" spans="1:15" x14ac:dyDescent="0.2">
      <c r="A1054"/>
      <c r="B1054"/>
      <c r="C1054"/>
      <c r="F1054"/>
      <c r="G1054"/>
      <c r="H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J1057"/>
      <c r="K1057"/>
      <c r="L1057"/>
      <c r="M1057"/>
      <c r="N1057"/>
      <c r="O1057"/>
    </row>
    <row r="1058" spans="1:15" x14ac:dyDescent="0.2">
      <c r="A1058"/>
      <c r="B1058"/>
      <c r="C1058"/>
      <c r="F1058"/>
      <c r="G1058"/>
      <c r="I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J1063"/>
      <c r="K1063"/>
      <c r="L1063"/>
      <c r="M1063"/>
      <c r="N1063"/>
      <c r="O1063"/>
    </row>
    <row r="1064" spans="1:15" x14ac:dyDescent="0.2">
      <c r="A1064"/>
      <c r="B1064"/>
      <c r="C1064"/>
      <c r="F1064"/>
      <c r="G1064"/>
      <c r="H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J1066"/>
      <c r="K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I1068"/>
      <c r="L1068"/>
      <c r="N1068"/>
      <c r="O1068"/>
    </row>
    <row r="1069" spans="1:15" x14ac:dyDescent="0.2">
      <c r="A1069"/>
      <c r="B1069"/>
      <c r="C1069"/>
      <c r="F1069"/>
      <c r="G1069"/>
      <c r="H1069"/>
      <c r="J1069"/>
      <c r="K1069"/>
      <c r="L1069"/>
      <c r="M1069"/>
      <c r="N1069"/>
      <c r="O1069"/>
    </row>
    <row r="1070" spans="1:15" x14ac:dyDescent="0.2">
      <c r="A1070"/>
      <c r="B1070"/>
      <c r="C1070"/>
      <c r="F1070"/>
      <c r="G1070"/>
      <c r="H1070"/>
      <c r="L1070"/>
      <c r="M1070"/>
      <c r="N1070"/>
      <c r="O1070"/>
    </row>
    <row r="1071" spans="1:15" x14ac:dyDescent="0.2">
      <c r="A1071"/>
      <c r="B1071"/>
      <c r="C1071"/>
      <c r="F1071"/>
      <c r="G1071"/>
      <c r="H1071"/>
      <c r="J1071"/>
      <c r="K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I1073"/>
      <c r="L1073"/>
      <c r="M1073"/>
      <c r="N1073"/>
      <c r="O1073"/>
    </row>
    <row r="1074" spans="1:15" x14ac:dyDescent="0.2">
      <c r="A1074"/>
      <c r="B1074"/>
      <c r="C1074"/>
      <c r="F1074"/>
      <c r="G1074"/>
      <c r="H1074"/>
      <c r="J1074"/>
      <c r="K1074"/>
      <c r="L1074"/>
      <c r="M1074"/>
      <c r="N1074"/>
      <c r="O1074"/>
    </row>
    <row r="1075" spans="1:15" x14ac:dyDescent="0.2">
      <c r="A1075"/>
      <c r="B1075"/>
      <c r="C1075"/>
      <c r="G1075"/>
      <c r="J1075"/>
      <c r="K1075"/>
      <c r="L1075"/>
      <c r="M1075"/>
      <c r="N1075"/>
      <c r="O1075"/>
    </row>
    <row r="1076" spans="1:15" x14ac:dyDescent="0.2">
      <c r="A1076"/>
      <c r="B1076"/>
      <c r="C1076"/>
      <c r="F1076"/>
      <c r="G1076"/>
      <c r="H1076"/>
      <c r="I1076"/>
      <c r="L1076"/>
      <c r="N1076"/>
      <c r="O1076"/>
    </row>
    <row r="1077" spans="1:15" x14ac:dyDescent="0.2">
      <c r="A1077"/>
      <c r="B1077"/>
      <c r="C1077"/>
      <c r="F1077"/>
      <c r="G1077"/>
      <c r="L1077"/>
      <c r="M1077"/>
      <c r="N1077"/>
      <c r="O1077"/>
    </row>
    <row r="1078" spans="1:15" x14ac:dyDescent="0.2">
      <c r="A1078"/>
      <c r="B1078"/>
      <c r="C1078"/>
      <c r="F1078"/>
      <c r="G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L1081"/>
      <c r="M1081"/>
      <c r="N1081"/>
      <c r="O1081"/>
    </row>
    <row r="1082" spans="1:15" x14ac:dyDescent="0.2">
      <c r="A1082"/>
      <c r="B1082"/>
      <c r="C1082"/>
      <c r="F1082"/>
      <c r="G1082"/>
      <c r="I1082"/>
      <c r="L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H1088"/>
      <c r="I1088"/>
      <c r="L1088"/>
      <c r="M1088"/>
      <c r="N1088"/>
      <c r="O1088"/>
    </row>
    <row r="1089" spans="1:15" x14ac:dyDescent="0.2">
      <c r="A1089"/>
      <c r="B1089"/>
      <c r="C1089"/>
      <c r="F1089"/>
      <c r="G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N1091"/>
      <c r="O1091"/>
    </row>
    <row r="1092" spans="1:15" x14ac:dyDescent="0.2">
      <c r="A1092"/>
      <c r="B1092"/>
      <c r="C1092"/>
      <c r="F1092"/>
      <c r="G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I1095"/>
      <c r="L1095"/>
      <c r="M1095"/>
      <c r="N1095"/>
      <c r="O1095"/>
    </row>
    <row r="1096" spans="1:15" x14ac:dyDescent="0.2">
      <c r="A1096"/>
      <c r="B1096"/>
      <c r="C1096"/>
      <c r="F1096"/>
      <c r="G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L1099"/>
      <c r="M1099"/>
      <c r="N1099"/>
      <c r="O1099"/>
    </row>
    <row r="1100" spans="1:15" x14ac:dyDescent="0.2">
      <c r="A1100"/>
      <c r="B1100"/>
      <c r="C1100"/>
      <c r="F1100"/>
      <c r="G1100"/>
      <c r="H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I1113"/>
      <c r="L1113"/>
      <c r="M1113"/>
      <c r="N1113"/>
      <c r="O1113"/>
    </row>
    <row r="1114" spans="1:15" x14ac:dyDescent="0.2">
      <c r="A1114"/>
      <c r="B1114"/>
      <c r="C1114"/>
      <c r="F1114"/>
      <c r="G1114"/>
      <c r="J1114"/>
      <c r="K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N1116"/>
      <c r="O1116"/>
    </row>
    <row r="1117" spans="1:15" x14ac:dyDescent="0.2">
      <c r="A1117"/>
      <c r="B1117"/>
      <c r="C1117"/>
      <c r="F1117"/>
      <c r="G1117"/>
      <c r="H1117"/>
      <c r="J1117"/>
      <c r="K1117"/>
      <c r="L1117"/>
      <c r="M1117"/>
      <c r="N1117"/>
      <c r="O1117"/>
    </row>
    <row r="1118" spans="1:15" x14ac:dyDescent="0.2">
      <c r="A1118"/>
      <c r="B1118"/>
      <c r="C1118"/>
      <c r="F1118"/>
      <c r="G1118"/>
      <c r="H1118"/>
      <c r="I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H1127"/>
      <c r="I1127"/>
      <c r="L1127"/>
      <c r="M1127"/>
      <c r="N1127"/>
      <c r="O1127"/>
    </row>
    <row r="1128" spans="1:15" x14ac:dyDescent="0.2">
      <c r="A1128"/>
      <c r="B1128"/>
      <c r="C1128"/>
      <c r="F1128"/>
      <c r="G1128"/>
      <c r="I1128"/>
      <c r="L1128"/>
      <c r="M1128"/>
      <c r="N1128"/>
      <c r="O1128"/>
    </row>
    <row r="1129" spans="1:15" x14ac:dyDescent="0.2">
      <c r="A1129"/>
      <c r="B1129"/>
      <c r="C1129"/>
      <c r="F1129"/>
      <c r="G1129"/>
      <c r="H1129"/>
      <c r="L1129"/>
      <c r="M1129"/>
      <c r="N1129"/>
      <c r="O1129"/>
    </row>
    <row r="1130" spans="1:15" x14ac:dyDescent="0.2">
      <c r="A1130"/>
      <c r="B1130"/>
      <c r="C1130"/>
      <c r="F1130"/>
      <c r="G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I1135"/>
      <c r="L1135"/>
      <c r="M1135"/>
      <c r="N1135"/>
      <c r="O1135"/>
    </row>
    <row r="1136" spans="1:15" x14ac:dyDescent="0.2">
      <c r="A1136"/>
      <c r="B1136"/>
      <c r="C1136"/>
      <c r="F1136"/>
      <c r="G1136"/>
      <c r="J1136"/>
      <c r="K1136"/>
      <c r="L1136"/>
      <c r="M1136"/>
      <c r="N1136"/>
      <c r="O1136"/>
    </row>
    <row r="1137" spans="1:15" x14ac:dyDescent="0.2">
      <c r="A1137"/>
      <c r="B1137"/>
      <c r="C1137"/>
      <c r="F1137"/>
      <c r="G1137"/>
      <c r="J1137"/>
      <c r="K1137"/>
      <c r="L1137"/>
      <c r="M1137"/>
      <c r="N1137"/>
      <c r="O1137"/>
    </row>
    <row r="1138" spans="1:15" x14ac:dyDescent="0.2">
      <c r="A1138"/>
      <c r="B1138"/>
      <c r="C1138"/>
      <c r="F1138"/>
      <c r="G1138"/>
      <c r="I1138"/>
      <c r="L1138"/>
      <c r="M1138"/>
      <c r="N1138"/>
      <c r="O1138"/>
    </row>
    <row r="1139" spans="1:15" x14ac:dyDescent="0.2">
      <c r="A1139"/>
      <c r="B1139"/>
      <c r="C1139"/>
      <c r="F1139"/>
      <c r="G1139"/>
      <c r="I1139"/>
      <c r="L1139"/>
      <c r="M1139"/>
      <c r="N1139"/>
      <c r="O1139"/>
    </row>
    <row r="1140" spans="1:15" x14ac:dyDescent="0.2">
      <c r="A1140"/>
      <c r="B1140"/>
      <c r="C1140"/>
      <c r="F1140"/>
      <c r="G1140"/>
      <c r="M1140"/>
      <c r="N1140"/>
      <c r="O1140"/>
    </row>
    <row r="1141" spans="1:15" x14ac:dyDescent="0.2">
      <c r="A1141"/>
      <c r="B1141"/>
      <c r="C1141"/>
      <c r="F1141"/>
      <c r="G1141"/>
      <c r="H1141"/>
      <c r="L1141"/>
      <c r="M1141"/>
      <c r="N1141"/>
      <c r="O1141"/>
    </row>
    <row r="1142" spans="1:15" x14ac:dyDescent="0.2">
      <c r="A1142"/>
      <c r="B1142"/>
      <c r="C1142"/>
      <c r="F1142"/>
      <c r="G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K1145"/>
      <c r="L1145"/>
      <c r="M1145"/>
      <c r="N1145"/>
      <c r="O1145"/>
    </row>
    <row r="1146" spans="1:15" x14ac:dyDescent="0.2">
      <c r="A1146"/>
      <c r="B1146"/>
      <c r="C1146"/>
      <c r="F1146"/>
      <c r="G1146"/>
      <c r="L1146"/>
      <c r="M1146"/>
      <c r="N1146"/>
      <c r="O1146"/>
    </row>
    <row r="1147" spans="1:15" x14ac:dyDescent="0.2">
      <c r="A1147"/>
      <c r="B1147"/>
      <c r="C1147"/>
      <c r="F1147"/>
      <c r="G1147"/>
      <c r="H1147"/>
      <c r="L1147"/>
      <c r="M1147"/>
      <c r="N1147"/>
      <c r="O1147"/>
    </row>
    <row r="1148" spans="1:15" x14ac:dyDescent="0.2">
      <c r="A1148"/>
      <c r="B1148"/>
      <c r="C1148"/>
      <c r="F1148"/>
      <c r="G1148"/>
      <c r="J1148"/>
      <c r="K1148"/>
      <c r="L1148"/>
      <c r="M1148"/>
      <c r="N1148"/>
      <c r="O1148"/>
    </row>
    <row r="1149" spans="1:15" x14ac:dyDescent="0.2">
      <c r="A1149"/>
      <c r="B1149"/>
      <c r="C1149"/>
      <c r="F1149"/>
      <c r="G1149"/>
      <c r="L1149"/>
      <c r="M1149"/>
      <c r="N1149"/>
      <c r="O1149"/>
    </row>
    <row r="1150" spans="1:15" x14ac:dyDescent="0.2">
      <c r="A1150"/>
      <c r="B1150"/>
      <c r="C1150"/>
      <c r="F1150"/>
      <c r="G1150"/>
      <c r="L1150"/>
      <c r="M1150"/>
      <c r="N1150"/>
      <c r="O1150"/>
    </row>
    <row r="1151" spans="1:15" x14ac:dyDescent="0.2">
      <c r="A1151"/>
      <c r="B1151"/>
      <c r="C1151"/>
      <c r="F1151"/>
      <c r="G1151"/>
      <c r="H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L1154"/>
      <c r="M1154"/>
      <c r="N1154"/>
      <c r="O1154"/>
    </row>
    <row r="1155" spans="1:15" x14ac:dyDescent="0.2">
      <c r="A1155"/>
      <c r="B1155"/>
      <c r="C1155"/>
      <c r="F1155"/>
      <c r="G1155"/>
      <c r="H1155"/>
      <c r="I1155"/>
      <c r="L1155"/>
      <c r="M1155"/>
      <c r="N1155"/>
      <c r="O1155"/>
    </row>
    <row r="1156" spans="1:15" x14ac:dyDescent="0.2">
      <c r="A1156"/>
      <c r="B1156"/>
      <c r="C1156"/>
      <c r="F1156"/>
      <c r="G1156"/>
      <c r="J1156"/>
      <c r="K1156"/>
      <c r="L1156"/>
      <c r="M1156"/>
      <c r="N1156"/>
      <c r="O1156"/>
    </row>
    <row r="1157" spans="1:15" x14ac:dyDescent="0.2">
      <c r="A1157"/>
      <c r="B1157"/>
      <c r="C1157"/>
      <c r="F1157"/>
      <c r="G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J1159"/>
      <c r="K1159"/>
      <c r="L1159"/>
      <c r="M1159"/>
      <c r="N1159"/>
      <c r="O1159"/>
    </row>
    <row r="1160" spans="1:15" x14ac:dyDescent="0.2">
      <c r="A1160"/>
      <c r="B1160"/>
      <c r="C1160"/>
      <c r="F1160"/>
      <c r="G1160"/>
      <c r="H1160"/>
      <c r="J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I1168"/>
      <c r="L1168"/>
      <c r="M1168"/>
      <c r="N1168"/>
      <c r="O1168"/>
    </row>
    <row r="1169" spans="1:15" x14ac:dyDescent="0.2">
      <c r="A1169"/>
      <c r="B1169"/>
      <c r="C1169"/>
      <c r="F1169"/>
      <c r="G1169"/>
      <c r="J1169"/>
      <c r="K1169"/>
      <c r="L1169"/>
      <c r="M1169"/>
      <c r="N1169"/>
      <c r="O1169"/>
    </row>
    <row r="1170" spans="1:15" x14ac:dyDescent="0.2">
      <c r="A1170"/>
      <c r="B1170"/>
      <c r="C1170"/>
      <c r="F1170"/>
      <c r="G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I1176"/>
      <c r="L1176"/>
      <c r="M1176"/>
      <c r="N1176"/>
      <c r="O1176"/>
    </row>
    <row r="1177" spans="1:15" x14ac:dyDescent="0.2">
      <c r="A1177"/>
      <c r="B1177"/>
      <c r="C1177"/>
      <c r="F1177"/>
      <c r="G1177"/>
      <c r="H1177"/>
      <c r="I1177"/>
      <c r="L1177"/>
      <c r="M1177"/>
      <c r="N1177"/>
      <c r="O1177"/>
    </row>
    <row r="1178" spans="1:15" x14ac:dyDescent="0.2">
      <c r="A1178"/>
      <c r="B1178"/>
      <c r="C1178"/>
      <c r="F1178"/>
      <c r="G1178"/>
      <c r="H1178"/>
      <c r="I1178"/>
      <c r="L1178"/>
      <c r="N1178"/>
      <c r="O1178"/>
    </row>
    <row r="1179" spans="1:15" x14ac:dyDescent="0.2">
      <c r="A1179"/>
      <c r="B1179"/>
      <c r="C1179"/>
      <c r="F1179"/>
      <c r="G1179"/>
      <c r="I1179"/>
      <c r="L1179"/>
      <c r="M1179"/>
      <c r="N1179"/>
      <c r="O1179"/>
    </row>
    <row r="1180" spans="1:15" x14ac:dyDescent="0.2">
      <c r="A1180"/>
      <c r="B1180"/>
      <c r="C1180"/>
      <c r="F1180"/>
      <c r="G1180"/>
      <c r="H1180"/>
      <c r="I1180"/>
      <c r="L1180"/>
      <c r="M1180"/>
      <c r="N1180"/>
      <c r="O1180"/>
    </row>
    <row r="1181" spans="1:15" x14ac:dyDescent="0.2">
      <c r="A1181"/>
      <c r="B1181"/>
      <c r="C1181"/>
      <c r="F1181"/>
      <c r="G1181"/>
      <c r="L1181"/>
      <c r="M1181"/>
      <c r="N1181"/>
      <c r="O1181"/>
    </row>
    <row r="1182" spans="1:15" x14ac:dyDescent="0.2">
      <c r="A1182"/>
      <c r="B1182"/>
      <c r="C1182"/>
      <c r="F1182"/>
      <c r="G1182"/>
      <c r="H1182"/>
      <c r="L1182"/>
      <c r="M1182"/>
      <c r="N1182"/>
      <c r="O1182"/>
    </row>
    <row r="1183" spans="1:15" x14ac:dyDescent="0.2">
      <c r="A1183"/>
      <c r="B1183"/>
      <c r="C1183"/>
      <c r="F1183"/>
      <c r="G1183"/>
      <c r="H1183"/>
      <c r="I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L1186"/>
      <c r="M1186"/>
      <c r="N1186"/>
      <c r="O1186"/>
    </row>
    <row r="1187" spans="1:15" x14ac:dyDescent="0.2">
      <c r="A1187"/>
      <c r="B1187"/>
      <c r="C1187"/>
      <c r="F1187"/>
      <c r="G1187"/>
      <c r="H1187"/>
      <c r="I1187"/>
      <c r="L1187"/>
      <c r="M1187"/>
      <c r="N1187"/>
      <c r="O1187"/>
    </row>
    <row r="1188" spans="1:15" x14ac:dyDescent="0.2">
      <c r="A1188"/>
      <c r="B1188"/>
      <c r="C1188"/>
      <c r="F1188"/>
      <c r="G1188"/>
      <c r="M1188"/>
      <c r="N1188"/>
      <c r="O1188"/>
    </row>
    <row r="1189" spans="1:15" x14ac:dyDescent="0.2">
      <c r="A1189"/>
      <c r="B1189"/>
      <c r="C1189"/>
      <c r="F1189"/>
      <c r="G1189"/>
      <c r="H1189"/>
      <c r="L1189"/>
      <c r="M1189"/>
      <c r="N1189"/>
      <c r="O1189"/>
    </row>
    <row r="1190" spans="1:15" x14ac:dyDescent="0.2">
      <c r="A1190"/>
      <c r="B1190"/>
      <c r="C1190"/>
      <c r="F1190"/>
      <c r="G1190"/>
      <c r="H1190"/>
      <c r="I1190"/>
      <c r="L1190"/>
      <c r="M1190"/>
      <c r="N1190"/>
      <c r="O1190"/>
    </row>
    <row r="1191" spans="1:15" x14ac:dyDescent="0.2">
      <c r="A1191"/>
      <c r="B1191"/>
      <c r="C1191"/>
      <c r="F1191"/>
      <c r="G1191"/>
      <c r="L1191"/>
      <c r="M1191"/>
      <c r="N1191"/>
      <c r="O1191"/>
    </row>
    <row r="1192" spans="1:15" x14ac:dyDescent="0.2">
      <c r="A1192"/>
      <c r="B1192"/>
      <c r="C1192"/>
      <c r="F1192"/>
      <c r="G1192"/>
      <c r="I1192"/>
      <c r="L1192"/>
      <c r="M1192"/>
      <c r="N1192"/>
      <c r="O1192"/>
    </row>
    <row r="1193" spans="1:15" x14ac:dyDescent="0.2">
      <c r="A1193"/>
      <c r="B1193"/>
      <c r="C1193"/>
      <c r="F1193"/>
      <c r="G1193"/>
      <c r="H1193"/>
      <c r="J1193"/>
      <c r="K1193"/>
      <c r="L1193"/>
      <c r="M1193"/>
      <c r="N1193"/>
      <c r="O1193"/>
    </row>
    <row r="1194" spans="1:15" x14ac:dyDescent="0.2">
      <c r="A1194"/>
      <c r="B1194"/>
      <c r="C1194"/>
      <c r="F1194"/>
      <c r="G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L1197"/>
      <c r="M1197"/>
      <c r="N1197"/>
      <c r="O1197"/>
    </row>
    <row r="1198" spans="1:15" x14ac:dyDescent="0.2">
      <c r="A1198"/>
      <c r="B1198"/>
      <c r="C1198"/>
      <c r="F1198"/>
      <c r="G1198"/>
      <c r="H1198"/>
      <c r="J1198"/>
      <c r="K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J1204"/>
      <c r="K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N1211"/>
      <c r="O1211"/>
    </row>
    <row r="1212" spans="1:15" x14ac:dyDescent="0.2">
      <c r="A1212"/>
      <c r="B1212"/>
      <c r="C1212"/>
      <c r="F1212"/>
      <c r="G1212"/>
      <c r="J1212"/>
      <c r="K1212"/>
      <c r="L1212"/>
      <c r="M1212"/>
      <c r="N1212"/>
      <c r="O1212"/>
    </row>
    <row r="1213" spans="1:15" x14ac:dyDescent="0.2">
      <c r="A1213"/>
      <c r="B1213"/>
      <c r="C1213"/>
      <c r="F1213"/>
      <c r="G1213"/>
      <c r="H1213"/>
      <c r="I1213"/>
      <c r="L1213"/>
      <c r="M1213"/>
      <c r="N1213"/>
      <c r="O1213"/>
    </row>
    <row r="1214" spans="1:15" x14ac:dyDescent="0.2">
      <c r="A1214"/>
      <c r="B1214"/>
      <c r="C1214"/>
      <c r="F1214"/>
      <c r="G1214"/>
      <c r="I1214"/>
      <c r="L1214"/>
      <c r="M1214"/>
      <c r="N1214"/>
      <c r="O1214"/>
    </row>
    <row r="1215" spans="1:15" x14ac:dyDescent="0.2">
      <c r="A1215"/>
      <c r="B1215"/>
      <c r="C1215"/>
      <c r="F1215"/>
      <c r="G1215"/>
      <c r="J1215"/>
      <c r="K1215"/>
      <c r="L1215"/>
      <c r="M1215"/>
      <c r="N1215"/>
      <c r="O1215"/>
    </row>
    <row r="1216" spans="1:15" x14ac:dyDescent="0.2">
      <c r="A1216"/>
      <c r="B1216"/>
      <c r="C1216"/>
      <c r="F1216"/>
      <c r="G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I1219"/>
      <c r="L1219"/>
      <c r="M1219"/>
      <c r="N1219"/>
      <c r="O1219"/>
    </row>
    <row r="1220" spans="1:15" x14ac:dyDescent="0.2">
      <c r="A1220"/>
      <c r="B1220"/>
      <c r="C1220"/>
      <c r="F1220"/>
      <c r="G1220"/>
      <c r="H1220"/>
      <c r="L1220"/>
      <c r="M1220"/>
      <c r="N1220"/>
      <c r="O1220"/>
    </row>
    <row r="1221" spans="1:15" x14ac:dyDescent="0.2">
      <c r="A1221"/>
      <c r="B1221"/>
      <c r="C1221"/>
      <c r="F1221"/>
      <c r="G1221"/>
      <c r="H1221"/>
      <c r="I1221"/>
      <c r="L1221"/>
      <c r="M1221"/>
      <c r="N1221"/>
      <c r="O1221"/>
    </row>
    <row r="1222" spans="1:15" x14ac:dyDescent="0.2">
      <c r="A1222"/>
      <c r="B1222"/>
      <c r="C1222"/>
      <c r="F1222"/>
      <c r="G1222"/>
      <c r="I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I1224"/>
      <c r="L1224"/>
      <c r="M1224"/>
      <c r="N1224"/>
      <c r="O1224"/>
    </row>
    <row r="1225" spans="1:15" x14ac:dyDescent="0.2">
      <c r="A1225"/>
      <c r="B1225"/>
      <c r="C1225"/>
      <c r="F1225"/>
      <c r="G1225"/>
      <c r="H1225"/>
      <c r="I1225"/>
      <c r="L1225"/>
      <c r="M1225"/>
      <c r="N1225"/>
      <c r="O1225"/>
    </row>
    <row r="1226" spans="1:15" x14ac:dyDescent="0.2">
      <c r="A1226"/>
      <c r="B1226"/>
      <c r="C1226"/>
      <c r="F1226"/>
      <c r="G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I1230"/>
      <c r="L1230"/>
      <c r="M1230"/>
      <c r="N1230"/>
      <c r="O1230"/>
    </row>
    <row r="1231" spans="1:15" x14ac:dyDescent="0.2">
      <c r="A1231"/>
      <c r="B1231"/>
      <c r="C1231"/>
      <c r="F1231"/>
      <c r="G1231"/>
      <c r="H1231"/>
      <c r="I1231"/>
      <c r="L1231"/>
      <c r="M1231"/>
      <c r="N1231"/>
      <c r="O1231"/>
    </row>
    <row r="1232" spans="1:15" x14ac:dyDescent="0.2">
      <c r="A1232"/>
      <c r="B1232"/>
      <c r="C1232"/>
      <c r="F1232"/>
      <c r="G1232"/>
      <c r="I1232"/>
      <c r="L1232"/>
      <c r="M1232"/>
      <c r="N1232"/>
      <c r="O1232"/>
    </row>
    <row r="1233" spans="1:15" x14ac:dyDescent="0.2">
      <c r="A1233"/>
      <c r="B1233"/>
      <c r="C1233"/>
      <c r="F1233"/>
      <c r="G1233"/>
      <c r="H1233"/>
      <c r="L1233"/>
      <c r="M1233"/>
      <c r="N1233"/>
      <c r="O1233"/>
    </row>
    <row r="1234" spans="1:15" x14ac:dyDescent="0.2">
      <c r="A1234"/>
      <c r="B1234"/>
      <c r="C1234"/>
      <c r="F1234"/>
      <c r="G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L1237"/>
      <c r="M1237"/>
      <c r="N1237"/>
      <c r="O1237"/>
    </row>
    <row r="1238" spans="1:15" x14ac:dyDescent="0.2">
      <c r="A1238"/>
      <c r="B1238"/>
      <c r="C1238"/>
      <c r="F1238"/>
      <c r="G1238"/>
      <c r="H1238"/>
      <c r="M1238"/>
      <c r="N1238"/>
      <c r="O1238"/>
    </row>
    <row r="1239" spans="1:15" x14ac:dyDescent="0.2">
      <c r="A1239"/>
      <c r="B1239"/>
      <c r="C1239"/>
      <c r="F1239"/>
      <c r="G1239"/>
      <c r="H1239"/>
      <c r="J1239"/>
      <c r="K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L1242"/>
      <c r="M1242"/>
      <c r="N1242"/>
      <c r="O1242"/>
    </row>
    <row r="1243" spans="1:15" x14ac:dyDescent="0.2">
      <c r="A1243"/>
      <c r="B1243"/>
      <c r="C1243"/>
      <c r="F1243"/>
      <c r="G1243"/>
      <c r="H1243"/>
      <c r="I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I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I1257"/>
      <c r="L1257"/>
      <c r="M1257"/>
      <c r="N1257"/>
      <c r="O1257"/>
    </row>
    <row r="1258" spans="1:15" x14ac:dyDescent="0.2">
      <c r="A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L1265"/>
      <c r="M1265"/>
      <c r="N1265"/>
      <c r="O1265"/>
    </row>
    <row r="1266" spans="1:15" x14ac:dyDescent="0.2">
      <c r="A1266"/>
      <c r="B1266"/>
      <c r="C1266"/>
      <c r="F1266"/>
      <c r="G1266"/>
      <c r="H1266"/>
      <c r="I1266"/>
      <c r="L1266"/>
      <c r="M1266"/>
      <c r="N1266"/>
      <c r="O1266"/>
    </row>
    <row r="1267" spans="1:15" x14ac:dyDescent="0.2">
      <c r="A1267"/>
      <c r="B1267"/>
      <c r="C1267"/>
      <c r="F1267"/>
      <c r="G1267"/>
      <c r="L1267"/>
      <c r="M1267"/>
      <c r="N1267"/>
      <c r="O1267"/>
    </row>
    <row r="1268" spans="1:15" x14ac:dyDescent="0.2">
      <c r="A1268"/>
      <c r="B1268"/>
      <c r="C1268"/>
      <c r="F1268"/>
      <c r="G1268"/>
      <c r="I1268"/>
      <c r="L1268"/>
      <c r="M1268"/>
      <c r="N1268"/>
      <c r="O1268"/>
    </row>
    <row r="1269" spans="1:15" x14ac:dyDescent="0.2">
      <c r="A1269"/>
      <c r="B1269"/>
      <c r="C1269"/>
      <c r="F1269"/>
      <c r="G1269"/>
      <c r="J1269"/>
      <c r="K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I1276"/>
      <c r="L1276"/>
      <c r="M1276"/>
      <c r="N1276"/>
      <c r="O1276"/>
    </row>
    <row r="1277" spans="1:15" x14ac:dyDescent="0.2">
      <c r="A1277"/>
      <c r="B1277"/>
      <c r="C1277"/>
      <c r="F1277"/>
      <c r="G1277"/>
      <c r="I1277"/>
      <c r="L1277"/>
      <c r="M1277"/>
      <c r="N1277"/>
      <c r="O1277"/>
    </row>
    <row r="1278" spans="1:15" x14ac:dyDescent="0.2">
      <c r="A1278"/>
      <c r="B1278"/>
      <c r="C1278"/>
      <c r="F1278"/>
      <c r="G1278"/>
      <c r="H1278"/>
      <c r="I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J1286"/>
      <c r="K1286"/>
      <c r="L1286"/>
      <c r="M1286"/>
      <c r="N1286"/>
      <c r="O1286"/>
    </row>
    <row r="1287" spans="1:15" x14ac:dyDescent="0.2">
      <c r="A1287"/>
      <c r="B1287"/>
      <c r="C1287"/>
      <c r="F1287"/>
      <c r="G1287"/>
      <c r="H1287"/>
      <c r="J1287"/>
      <c r="K1287"/>
      <c r="L1287"/>
      <c r="M1287"/>
      <c r="N1287"/>
      <c r="O1287"/>
    </row>
    <row r="1288" spans="1:15" x14ac:dyDescent="0.2">
      <c r="A1288"/>
      <c r="B1288"/>
      <c r="C1288"/>
      <c r="F1288"/>
      <c r="G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J1291"/>
      <c r="K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J1294"/>
      <c r="K1294"/>
      <c r="L1294"/>
      <c r="M1294"/>
      <c r="N1294"/>
      <c r="O1294"/>
    </row>
    <row r="1295" spans="1:15" x14ac:dyDescent="0.2">
      <c r="A1295"/>
      <c r="B1295"/>
      <c r="C1295"/>
      <c r="F1295"/>
      <c r="G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J1300"/>
      <c r="K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J1326"/>
      <c r="K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L1330"/>
      <c r="M1330"/>
      <c r="N1330"/>
      <c r="O1330"/>
    </row>
    <row r="1331" spans="1:15" x14ac:dyDescent="0.2">
      <c r="A1331"/>
      <c r="B1331"/>
      <c r="C1331"/>
      <c r="F1331"/>
      <c r="G1331"/>
      <c r="H1331"/>
      <c r="J1331"/>
      <c r="K1331"/>
      <c r="L1331"/>
      <c r="M1331"/>
      <c r="N1331"/>
      <c r="O1331"/>
    </row>
    <row r="1332" spans="1:15" x14ac:dyDescent="0.2">
      <c r="A1332"/>
      <c r="B1332"/>
      <c r="C1332"/>
      <c r="F1332"/>
      <c r="G1332"/>
      <c r="J1332"/>
      <c r="K1332"/>
      <c r="L1332"/>
      <c r="M1332"/>
      <c r="N1332"/>
      <c r="O1332"/>
    </row>
    <row r="1333" spans="1:15" x14ac:dyDescent="0.2">
      <c r="A1333"/>
      <c r="B1333"/>
      <c r="C1333"/>
      <c r="F1333"/>
      <c r="G1333"/>
      <c r="H1333"/>
      <c r="I1333"/>
      <c r="L1333"/>
      <c r="N1333"/>
      <c r="O1333"/>
    </row>
    <row r="1334" spans="1:15" x14ac:dyDescent="0.2">
      <c r="A1334"/>
      <c r="B1334"/>
      <c r="C1334"/>
      <c r="F1334"/>
      <c r="G1334"/>
      <c r="I1334"/>
      <c r="L1334"/>
      <c r="M1334"/>
      <c r="N1334"/>
      <c r="O1334"/>
    </row>
    <row r="1335" spans="1:15" x14ac:dyDescent="0.2">
      <c r="A1335"/>
      <c r="B1335"/>
      <c r="C1335"/>
      <c r="F1335"/>
      <c r="G1335"/>
      <c r="L1335"/>
      <c r="M1335"/>
      <c r="N1335"/>
      <c r="O1335"/>
    </row>
    <row r="1336" spans="1:15" x14ac:dyDescent="0.2">
      <c r="A1336"/>
      <c r="B1336"/>
      <c r="C1336"/>
      <c r="F1336"/>
      <c r="G1336"/>
      <c r="H1336"/>
      <c r="I1336"/>
      <c r="L1336"/>
      <c r="M1336"/>
      <c r="N1336"/>
      <c r="O1336"/>
    </row>
    <row r="1337" spans="1:15" x14ac:dyDescent="0.2">
      <c r="A1337"/>
      <c r="B1337"/>
      <c r="C1337"/>
      <c r="F1337"/>
      <c r="G1337"/>
      <c r="L1337"/>
      <c r="M1337"/>
      <c r="N1337"/>
      <c r="O1337"/>
    </row>
    <row r="1338" spans="1:15" x14ac:dyDescent="0.2">
      <c r="A1338"/>
      <c r="B1338"/>
      <c r="C1338"/>
      <c r="F1338"/>
      <c r="G1338"/>
      <c r="L1338"/>
      <c r="M1338"/>
      <c r="N1338"/>
      <c r="O1338"/>
    </row>
    <row r="1339" spans="1:15" x14ac:dyDescent="0.2">
      <c r="A1339"/>
      <c r="B1339"/>
      <c r="C1339"/>
      <c r="F1339"/>
      <c r="G1339"/>
      <c r="I1339"/>
      <c r="L1339"/>
      <c r="M1339"/>
      <c r="N1339"/>
      <c r="O1339"/>
    </row>
    <row r="1340" spans="1:15" x14ac:dyDescent="0.2">
      <c r="A1340"/>
      <c r="B1340"/>
      <c r="C1340"/>
      <c r="F1340"/>
      <c r="G1340"/>
      <c r="H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J1355"/>
      <c r="K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L1425"/>
      <c r="M1425"/>
      <c r="N1425"/>
      <c r="O1425"/>
    </row>
    <row r="1426" spans="1:15" x14ac:dyDescent="0.2">
      <c r="A1426"/>
      <c r="B1426"/>
      <c r="C1426"/>
      <c r="F1426"/>
      <c r="G1426"/>
      <c r="J1426"/>
      <c r="K1426"/>
      <c r="L1426"/>
      <c r="M1426"/>
      <c r="N1426"/>
      <c r="O1426"/>
    </row>
    <row r="1427" spans="1:15" x14ac:dyDescent="0.2">
      <c r="A1427"/>
      <c r="B1427"/>
      <c r="C1427"/>
      <c r="F1427"/>
      <c r="G1427"/>
      <c r="L1427"/>
      <c r="M1427"/>
      <c r="N1427"/>
      <c r="O1427"/>
    </row>
    <row r="1428" spans="1:15" x14ac:dyDescent="0.2">
      <c r="A1428"/>
      <c r="B1428"/>
      <c r="C1428"/>
      <c r="F1428"/>
      <c r="G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I1431"/>
      <c r="L1431"/>
      <c r="M1431"/>
      <c r="N1431"/>
      <c r="O1431"/>
    </row>
    <row r="1432" spans="1:15" x14ac:dyDescent="0.2">
      <c r="A1432"/>
      <c r="B1432"/>
      <c r="C1432"/>
      <c r="F1432"/>
      <c r="G1432"/>
      <c r="H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I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N1439"/>
      <c r="O1439"/>
    </row>
    <row r="1440" spans="1:15" x14ac:dyDescent="0.2">
      <c r="A1440"/>
      <c r="B1440"/>
      <c r="C1440"/>
      <c r="F1440"/>
      <c r="G1440"/>
      <c r="J1440"/>
      <c r="K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J1443"/>
      <c r="K1443"/>
      <c r="L1443"/>
      <c r="M1443"/>
      <c r="N1443"/>
      <c r="O1443"/>
    </row>
    <row r="1444" spans="1:15" x14ac:dyDescent="0.2">
      <c r="A1444"/>
      <c r="B1444"/>
      <c r="C1444"/>
      <c r="F1444"/>
      <c r="G1444"/>
      <c r="H1444"/>
      <c r="J1444"/>
      <c r="K1444"/>
      <c r="M1444"/>
      <c r="N1444"/>
      <c r="O1444"/>
    </row>
    <row r="1445" spans="1:15" x14ac:dyDescent="0.2">
      <c r="A1445"/>
      <c r="B1445"/>
      <c r="C1445"/>
      <c r="F1445"/>
      <c r="G1445"/>
      <c r="H1445"/>
      <c r="J1445"/>
      <c r="K1445"/>
      <c r="L1445"/>
      <c r="M1445"/>
      <c r="N1445"/>
      <c r="O1445"/>
    </row>
    <row r="1446" spans="1:15" x14ac:dyDescent="0.2">
      <c r="A1446"/>
      <c r="B1446"/>
      <c r="C1446"/>
      <c r="F1446"/>
      <c r="G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J1450"/>
      <c r="L1450"/>
      <c r="M1450"/>
      <c r="N1450"/>
      <c r="O1450"/>
    </row>
    <row r="1451" spans="1:15" x14ac:dyDescent="0.2">
      <c r="A1451"/>
      <c r="B1451"/>
      <c r="C1451"/>
      <c r="F1451"/>
      <c r="G1451"/>
      <c r="I1451"/>
      <c r="L1451"/>
      <c r="N1451"/>
      <c r="O1451"/>
    </row>
    <row r="1452" spans="1:15" x14ac:dyDescent="0.2">
      <c r="A1452"/>
      <c r="B1452"/>
      <c r="C1452"/>
      <c r="F1452"/>
      <c r="G1452"/>
      <c r="L1452"/>
      <c r="M1452"/>
      <c r="N1452"/>
      <c r="O1452"/>
    </row>
    <row r="1453" spans="1:15" x14ac:dyDescent="0.2">
      <c r="A1453"/>
      <c r="B1453"/>
      <c r="C1453"/>
      <c r="F1453"/>
      <c r="G1453"/>
      <c r="H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J1455"/>
      <c r="K1455"/>
      <c r="L1455"/>
      <c r="M1455"/>
      <c r="N1455"/>
      <c r="O1455"/>
    </row>
    <row r="1456" spans="1:15" x14ac:dyDescent="0.2">
      <c r="A1456"/>
      <c r="B1456"/>
      <c r="C1456"/>
      <c r="F1456"/>
      <c r="G1456"/>
      <c r="H1456"/>
      <c r="I1456"/>
      <c r="L1456"/>
      <c r="M1456"/>
      <c r="N1456"/>
      <c r="O1456"/>
    </row>
    <row r="1457" spans="1:15" x14ac:dyDescent="0.2">
      <c r="A1457"/>
      <c r="B1457"/>
      <c r="C1457"/>
      <c r="F1457"/>
      <c r="G1457"/>
      <c r="H1457"/>
      <c r="L1457"/>
      <c r="M1457"/>
      <c r="N1457"/>
      <c r="O1457"/>
    </row>
    <row r="1458" spans="1:15" x14ac:dyDescent="0.2">
      <c r="A1458"/>
      <c r="B1458"/>
      <c r="C1458"/>
      <c r="F1458"/>
      <c r="G1458"/>
      <c r="H1458"/>
      <c r="I1458"/>
      <c r="L1458"/>
      <c r="N1458"/>
      <c r="O1458"/>
    </row>
    <row r="1459" spans="1:15" x14ac:dyDescent="0.2">
      <c r="A1459"/>
      <c r="B1459"/>
      <c r="C1459"/>
      <c r="F1459"/>
      <c r="G1459"/>
      <c r="I1459"/>
      <c r="L1459"/>
      <c r="M1459"/>
      <c r="N1459"/>
      <c r="O1459"/>
    </row>
    <row r="1460" spans="1:15" x14ac:dyDescent="0.2">
      <c r="A1460"/>
      <c r="B1460"/>
      <c r="C1460"/>
      <c r="F1460"/>
      <c r="G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L1468"/>
      <c r="M1468"/>
      <c r="N1468"/>
      <c r="O1468"/>
    </row>
    <row r="1469" spans="1:15" x14ac:dyDescent="0.2">
      <c r="A1469"/>
      <c r="B1469"/>
      <c r="C1469"/>
      <c r="F1469"/>
      <c r="G1469"/>
      <c r="H1469"/>
      <c r="I1469"/>
      <c r="L1469"/>
      <c r="M1469"/>
      <c r="N1469"/>
      <c r="O1469"/>
    </row>
    <row r="1470" spans="1:15" x14ac:dyDescent="0.2">
      <c r="A1470"/>
      <c r="B1470"/>
      <c r="C1470"/>
      <c r="F1470"/>
      <c r="G1470"/>
      <c r="H1470"/>
      <c r="I1470"/>
      <c r="L1470"/>
      <c r="M1470"/>
      <c r="N1470"/>
      <c r="O1470"/>
    </row>
    <row r="1471" spans="1:15" x14ac:dyDescent="0.2">
      <c r="A1471"/>
      <c r="B1471"/>
      <c r="C1471"/>
      <c r="F1471"/>
      <c r="G1471"/>
      <c r="J1471"/>
      <c r="K1471"/>
      <c r="L1471"/>
      <c r="M1471"/>
      <c r="N1471"/>
      <c r="O1471"/>
    </row>
    <row r="1472" spans="1:15" x14ac:dyDescent="0.2">
      <c r="A1472"/>
      <c r="B1472"/>
      <c r="C1472"/>
      <c r="F1472"/>
      <c r="G1472"/>
      <c r="H1472"/>
      <c r="I1472"/>
      <c r="L1472"/>
      <c r="M1472"/>
      <c r="N1472"/>
      <c r="O1472"/>
    </row>
    <row r="1473" spans="1:15" x14ac:dyDescent="0.2">
      <c r="A1473"/>
      <c r="B1473"/>
      <c r="C1473"/>
      <c r="F1473"/>
      <c r="G1473"/>
      <c r="I1473"/>
      <c r="L1473"/>
      <c r="M1473"/>
      <c r="N1473"/>
      <c r="O1473"/>
    </row>
    <row r="1474" spans="1:15" x14ac:dyDescent="0.2">
      <c r="A1474"/>
      <c r="B1474"/>
      <c r="C1474"/>
      <c r="F1474"/>
      <c r="G1474"/>
      <c r="H1474"/>
      <c r="I1474"/>
      <c r="J1474"/>
      <c r="K1474"/>
      <c r="L1474"/>
      <c r="M1474"/>
      <c r="N1474"/>
      <c r="O1474"/>
    </row>
    <row r="1475" spans="1:15" x14ac:dyDescent="0.2">
      <c r="A1475"/>
      <c r="B1475"/>
      <c r="C1475"/>
      <c r="F1475"/>
      <c r="G1475"/>
      <c r="I1475"/>
      <c r="L1475"/>
      <c r="M1475"/>
      <c r="N1475"/>
      <c r="O1475"/>
    </row>
    <row r="1476" spans="1:15" x14ac:dyDescent="0.2">
      <c r="A1476"/>
      <c r="B1476"/>
      <c r="C1476"/>
      <c r="F1476"/>
      <c r="G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N1478"/>
      <c r="O1478"/>
    </row>
    <row r="1479" spans="1:15" x14ac:dyDescent="0.2">
      <c r="A1479"/>
      <c r="B1479"/>
      <c r="C1479"/>
      <c r="F1479"/>
      <c r="G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J1483"/>
      <c r="K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M1485"/>
      <c r="N1485"/>
      <c r="O1485"/>
    </row>
    <row r="1486" spans="1:15" x14ac:dyDescent="0.2">
      <c r="A1486"/>
      <c r="B1486"/>
      <c r="C1486"/>
      <c r="F1486"/>
      <c r="G1486"/>
      <c r="H1486"/>
      <c r="L1486"/>
      <c r="M1486"/>
      <c r="N1486"/>
      <c r="O1486"/>
    </row>
    <row r="1487" spans="1:15" x14ac:dyDescent="0.2">
      <c r="A1487"/>
      <c r="B1487"/>
      <c r="C1487"/>
      <c r="F1487"/>
      <c r="G1487"/>
      <c r="H1487"/>
      <c r="I1487"/>
      <c r="L1487"/>
      <c r="M1487"/>
      <c r="N1487"/>
      <c r="O1487"/>
    </row>
    <row r="1488" spans="1:15" x14ac:dyDescent="0.2">
      <c r="A1488"/>
      <c r="B1488"/>
      <c r="C1488"/>
      <c r="F1488"/>
      <c r="G1488"/>
      <c r="H1488"/>
      <c r="I1488"/>
      <c r="L1488"/>
      <c r="N1488"/>
      <c r="O1488"/>
    </row>
    <row r="1489" spans="1:15" x14ac:dyDescent="0.2">
      <c r="A1489"/>
      <c r="B1489"/>
      <c r="C1489"/>
      <c r="F1489"/>
      <c r="G1489"/>
      <c r="H1489"/>
      <c r="I1489"/>
      <c r="L1489"/>
      <c r="M1489"/>
      <c r="N1489"/>
      <c r="O1489"/>
    </row>
    <row r="1490" spans="1:15" x14ac:dyDescent="0.2">
      <c r="A1490"/>
      <c r="B1490"/>
      <c r="C1490"/>
      <c r="F1490"/>
      <c r="G1490"/>
      <c r="H1490"/>
      <c r="I1490"/>
      <c r="J1490"/>
      <c r="K1490"/>
      <c r="L1490"/>
      <c r="M1490"/>
      <c r="N1490"/>
      <c r="O1490"/>
    </row>
    <row r="1491" spans="1:15" x14ac:dyDescent="0.2">
      <c r="A1491"/>
      <c r="B1491"/>
      <c r="C1491"/>
      <c r="F1491"/>
      <c r="G1491"/>
      <c r="H1491"/>
      <c r="J1491"/>
      <c r="K1491"/>
      <c r="L1491"/>
      <c r="M1491"/>
      <c r="N1491"/>
      <c r="O1491"/>
    </row>
    <row r="1492" spans="1:15" x14ac:dyDescent="0.2">
      <c r="A1492"/>
      <c r="B1492"/>
      <c r="C1492"/>
      <c r="F1492"/>
      <c r="G1492"/>
      <c r="L1492"/>
      <c r="M1492"/>
      <c r="N1492"/>
      <c r="O1492"/>
    </row>
    <row r="1493" spans="1:15" x14ac:dyDescent="0.2">
      <c r="A1493"/>
      <c r="B1493"/>
      <c r="C1493"/>
      <c r="F1493"/>
      <c r="G1493"/>
      <c r="H1493"/>
      <c r="I1493"/>
      <c r="L1493"/>
      <c r="M1493"/>
      <c r="N1493"/>
      <c r="O1493"/>
    </row>
    <row r="1494" spans="1:15" x14ac:dyDescent="0.2">
      <c r="A1494"/>
      <c r="B1494"/>
      <c r="C1494"/>
      <c r="F1494"/>
      <c r="G1494"/>
      <c r="M1494"/>
      <c r="N1494"/>
      <c r="O1494"/>
    </row>
    <row r="1495" spans="1:15" x14ac:dyDescent="0.2">
      <c r="A1495"/>
      <c r="B1495"/>
      <c r="C1495"/>
      <c r="F1495"/>
      <c r="G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J1500"/>
      <c r="K1500"/>
      <c r="L1500"/>
      <c r="M1500"/>
      <c r="N1500"/>
      <c r="O1500"/>
    </row>
    <row r="1501" spans="1:15" x14ac:dyDescent="0.2">
      <c r="A1501"/>
      <c r="B1501"/>
      <c r="C1501"/>
      <c r="F1501"/>
      <c r="G1501"/>
      <c r="H1501"/>
      <c r="I1501"/>
      <c r="L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L1504"/>
      <c r="M1504"/>
      <c r="N1504"/>
      <c r="O1504"/>
    </row>
    <row r="1505" spans="1:15" x14ac:dyDescent="0.2">
      <c r="A1505"/>
      <c r="B1505"/>
      <c r="C1505"/>
      <c r="F1505"/>
      <c r="G1505"/>
      <c r="H1505"/>
      <c r="I1505"/>
      <c r="L1505"/>
      <c r="M1505"/>
      <c r="N1505"/>
      <c r="O1505"/>
    </row>
    <row r="1506" spans="1:15" x14ac:dyDescent="0.2">
      <c r="A1506"/>
      <c r="B1506"/>
      <c r="C1506"/>
      <c r="F1506"/>
      <c r="G1506"/>
      <c r="H1506"/>
      <c r="I1506"/>
      <c r="L1506"/>
      <c r="M1506"/>
      <c r="N1506"/>
      <c r="O1506"/>
    </row>
    <row r="1507" spans="1:15" x14ac:dyDescent="0.2">
      <c r="A1507"/>
      <c r="B1507"/>
      <c r="C1507"/>
      <c r="F1507"/>
      <c r="G1507"/>
      <c r="H1507"/>
      <c r="L1507"/>
      <c r="M1507"/>
      <c r="N1507"/>
      <c r="O1507"/>
    </row>
    <row r="1508" spans="1:15" x14ac:dyDescent="0.2">
      <c r="A1508"/>
      <c r="B1508"/>
      <c r="C1508"/>
      <c r="F1508"/>
      <c r="G1508"/>
      <c r="L1508"/>
      <c r="M1508"/>
      <c r="N1508"/>
      <c r="O1508"/>
    </row>
    <row r="1509" spans="1:15" x14ac:dyDescent="0.2">
      <c r="A1509"/>
      <c r="B1509"/>
      <c r="C1509"/>
      <c r="F1509"/>
      <c r="G1509"/>
      <c r="M1509"/>
      <c r="N1509"/>
      <c r="O1509"/>
    </row>
    <row r="1510" spans="1:15" x14ac:dyDescent="0.2">
      <c r="A1510"/>
      <c r="B1510"/>
      <c r="C1510"/>
      <c r="F1510"/>
      <c r="G1510"/>
      <c r="H1510"/>
      <c r="I1510"/>
      <c r="L1510"/>
      <c r="M1510"/>
      <c r="N1510"/>
      <c r="O1510"/>
    </row>
    <row r="1511" spans="1:15" x14ac:dyDescent="0.2">
      <c r="A1511"/>
      <c r="B1511"/>
      <c r="C1511"/>
      <c r="F1511"/>
      <c r="G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J1513"/>
      <c r="K1513"/>
      <c r="L1513"/>
      <c r="M1513"/>
      <c r="N1513"/>
      <c r="O1513"/>
    </row>
    <row r="1514" spans="1:15" x14ac:dyDescent="0.2">
      <c r="A1514"/>
      <c r="B1514"/>
      <c r="C1514"/>
      <c r="F1514"/>
      <c r="G1514"/>
      <c r="H1514"/>
      <c r="I1514"/>
      <c r="L1514"/>
      <c r="M1514"/>
      <c r="N1514"/>
      <c r="O1514"/>
    </row>
    <row r="1515" spans="1:15" x14ac:dyDescent="0.2">
      <c r="A1515"/>
      <c r="B1515"/>
      <c r="C1515"/>
      <c r="F1515"/>
      <c r="G1515"/>
      <c r="L1515"/>
      <c r="M1515"/>
      <c r="N1515"/>
      <c r="O1515"/>
    </row>
    <row r="1516" spans="1:15" x14ac:dyDescent="0.2">
      <c r="A1516"/>
      <c r="B1516"/>
      <c r="C1516"/>
      <c r="F1516"/>
      <c r="G1516"/>
      <c r="H1516"/>
      <c r="I1516"/>
      <c r="L1516"/>
      <c r="M1516"/>
      <c r="N1516"/>
      <c r="O1516"/>
    </row>
    <row r="1517" spans="1:15" x14ac:dyDescent="0.2">
      <c r="A1517"/>
      <c r="B1517"/>
      <c r="C1517"/>
      <c r="F1517"/>
      <c r="G1517"/>
      <c r="H1517"/>
      <c r="I1517"/>
      <c r="L1517"/>
      <c r="N1517"/>
      <c r="O1517"/>
    </row>
    <row r="1518" spans="1:15" x14ac:dyDescent="0.2">
      <c r="A1518"/>
      <c r="B1518"/>
      <c r="C1518"/>
      <c r="F1518"/>
      <c r="G1518"/>
      <c r="L1518"/>
      <c r="M1518"/>
      <c r="N1518"/>
      <c r="O1518"/>
    </row>
    <row r="1519" spans="1:15" x14ac:dyDescent="0.2">
      <c r="A1519"/>
      <c r="B1519"/>
      <c r="C1519"/>
      <c r="F1519"/>
      <c r="G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I1525"/>
      <c r="L1525"/>
      <c r="M1525"/>
      <c r="N1525"/>
      <c r="O1525"/>
    </row>
    <row r="1526" spans="1:15" x14ac:dyDescent="0.2">
      <c r="A1526"/>
      <c r="B1526"/>
      <c r="C1526"/>
      <c r="F1526"/>
      <c r="G1526"/>
      <c r="I1526"/>
      <c r="L1526"/>
      <c r="M1526"/>
      <c r="N1526"/>
      <c r="O1526"/>
    </row>
    <row r="1527" spans="1:15" x14ac:dyDescent="0.2">
      <c r="A1527"/>
      <c r="B1527"/>
      <c r="C1527"/>
      <c r="F1527"/>
      <c r="G1527"/>
      <c r="L1527"/>
      <c r="M1527"/>
      <c r="N1527"/>
      <c r="O1527"/>
    </row>
    <row r="1528" spans="1:15" x14ac:dyDescent="0.2">
      <c r="A1528"/>
      <c r="B1528"/>
      <c r="C1528"/>
      <c r="F1528"/>
      <c r="G1528"/>
      <c r="H1528"/>
      <c r="I1528"/>
      <c r="L1528"/>
      <c r="M1528"/>
      <c r="N1528"/>
      <c r="O1528"/>
    </row>
    <row r="1529" spans="1:15" x14ac:dyDescent="0.2">
      <c r="A1529"/>
      <c r="B1529"/>
      <c r="C1529"/>
      <c r="F1529"/>
      <c r="G1529"/>
      <c r="J1529"/>
      <c r="K1529"/>
      <c r="L1529"/>
      <c r="M1529"/>
      <c r="N1529"/>
      <c r="O1529"/>
    </row>
    <row r="1530" spans="1:15" x14ac:dyDescent="0.2">
      <c r="A1530"/>
      <c r="B1530"/>
      <c r="C1530"/>
      <c r="F1530"/>
      <c r="G1530"/>
      <c r="M1530"/>
      <c r="N1530"/>
      <c r="O1530"/>
    </row>
    <row r="1531" spans="1:15" x14ac:dyDescent="0.2">
      <c r="A1531"/>
      <c r="B1531"/>
      <c r="C1531"/>
      <c r="F1531"/>
      <c r="G1531"/>
      <c r="L1531"/>
      <c r="M1531"/>
      <c r="N1531"/>
      <c r="O1531"/>
    </row>
    <row r="1532" spans="1:15" x14ac:dyDescent="0.2">
      <c r="A1532"/>
      <c r="B1532"/>
      <c r="C1532"/>
      <c r="F1532"/>
      <c r="G1532"/>
      <c r="L1532"/>
      <c r="M1532"/>
      <c r="N1532"/>
      <c r="O1532"/>
    </row>
    <row r="1533" spans="1:15" x14ac:dyDescent="0.2">
      <c r="A1533"/>
      <c r="B1533"/>
      <c r="C1533"/>
      <c r="F1533"/>
      <c r="G1533"/>
      <c r="H1533"/>
      <c r="I1533"/>
      <c r="J1533"/>
      <c r="K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N1536"/>
      <c r="O1536"/>
    </row>
    <row r="1537" spans="1:15" x14ac:dyDescent="0.2">
      <c r="A1537"/>
      <c r="B1537"/>
      <c r="C1537"/>
      <c r="F1537"/>
      <c r="G1537"/>
      <c r="H1537"/>
      <c r="I1537"/>
      <c r="L1537"/>
      <c r="M1537"/>
      <c r="N1537"/>
      <c r="O1537"/>
    </row>
    <row r="1538" spans="1:15" x14ac:dyDescent="0.2">
      <c r="A1538"/>
      <c r="B1538"/>
      <c r="C1538"/>
      <c r="F1538"/>
      <c r="G1538"/>
      <c r="H1538"/>
      <c r="L1538"/>
      <c r="M1538"/>
      <c r="N1538"/>
      <c r="O1538"/>
    </row>
    <row r="1539" spans="1:15" x14ac:dyDescent="0.2">
      <c r="A1539"/>
      <c r="B1539"/>
      <c r="C1539"/>
      <c r="F1539"/>
      <c r="G1539"/>
      <c r="L1539"/>
      <c r="M1539"/>
      <c r="N1539"/>
      <c r="O1539"/>
    </row>
    <row r="1540" spans="1:15" x14ac:dyDescent="0.2">
      <c r="A1540"/>
      <c r="B1540"/>
      <c r="C1540"/>
      <c r="F1540"/>
      <c r="G1540"/>
      <c r="H1540"/>
      <c r="J1540"/>
      <c r="K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L1548"/>
      <c r="M1548"/>
      <c r="N1548"/>
      <c r="O1548"/>
    </row>
    <row r="1549" spans="1:15" x14ac:dyDescent="0.2">
      <c r="A1549"/>
      <c r="B1549"/>
      <c r="C1549"/>
      <c r="F1549"/>
      <c r="G1549"/>
      <c r="H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M1556"/>
      <c r="N1556"/>
      <c r="O1556"/>
    </row>
    <row r="1557" spans="1:15" x14ac:dyDescent="0.2">
      <c r="A1557"/>
      <c r="B1557"/>
      <c r="C1557"/>
      <c r="F1557"/>
      <c r="G1557"/>
      <c r="L1557"/>
      <c r="M1557"/>
      <c r="N1557"/>
      <c r="O1557"/>
    </row>
    <row r="1558" spans="1:15" x14ac:dyDescent="0.2">
      <c r="A1558"/>
      <c r="B1558"/>
      <c r="C1558"/>
      <c r="F1558"/>
      <c r="G1558"/>
      <c r="H1558"/>
      <c r="I1558"/>
      <c r="J1558"/>
      <c r="K1558"/>
      <c r="L1558"/>
      <c r="M1558"/>
      <c r="N1558"/>
      <c r="O1558"/>
    </row>
    <row r="1559" spans="1:15" x14ac:dyDescent="0.2">
      <c r="A1559"/>
      <c r="B1559"/>
      <c r="C1559"/>
      <c r="F1559"/>
      <c r="G1559"/>
      <c r="H1559"/>
      <c r="I1559"/>
      <c r="L1559"/>
      <c r="M1559"/>
      <c r="N1559"/>
      <c r="O1559"/>
    </row>
    <row r="1560" spans="1:15" x14ac:dyDescent="0.2">
      <c r="A1560"/>
      <c r="B1560"/>
      <c r="C1560"/>
      <c r="F1560"/>
      <c r="G1560"/>
      <c r="L1560"/>
      <c r="M1560"/>
      <c r="N1560"/>
      <c r="O1560"/>
    </row>
    <row r="1561" spans="1:15" x14ac:dyDescent="0.2">
      <c r="A1561"/>
      <c r="B1561"/>
      <c r="C1561"/>
      <c r="F1561"/>
      <c r="G1561"/>
      <c r="J1561"/>
      <c r="K1561"/>
      <c r="L1561"/>
      <c r="M1561"/>
      <c r="N1561"/>
      <c r="O1561"/>
    </row>
    <row r="1562" spans="1:15" x14ac:dyDescent="0.2">
      <c r="A1562"/>
      <c r="B1562"/>
      <c r="C1562"/>
      <c r="F1562"/>
      <c r="G1562"/>
      <c r="H1562"/>
      <c r="J1562"/>
      <c r="K1562"/>
      <c r="L1562"/>
      <c r="M1562"/>
      <c r="N1562"/>
      <c r="O1562"/>
    </row>
    <row r="1563" spans="1:15" x14ac:dyDescent="0.2">
      <c r="A1563"/>
      <c r="B1563"/>
      <c r="C1563"/>
      <c r="F1563"/>
      <c r="G1563"/>
      <c r="H1563"/>
      <c r="L1563"/>
      <c r="M1563"/>
      <c r="N1563"/>
      <c r="O1563"/>
    </row>
    <row r="1564" spans="1:15" x14ac:dyDescent="0.2">
      <c r="A1564"/>
      <c r="B1564"/>
      <c r="C1564"/>
      <c r="F1564"/>
      <c r="G1564"/>
      <c r="H1564"/>
      <c r="I1564"/>
      <c r="J1564"/>
      <c r="K1564"/>
      <c r="L1564"/>
      <c r="M1564"/>
      <c r="N1564"/>
      <c r="O1564"/>
    </row>
    <row r="1565" spans="1:15" x14ac:dyDescent="0.2">
      <c r="A1565"/>
      <c r="B1565"/>
      <c r="C1565"/>
      <c r="F1565"/>
      <c r="G1565"/>
      <c r="H1565"/>
      <c r="J1565"/>
      <c r="K1565"/>
      <c r="L1565"/>
      <c r="M1565"/>
      <c r="N1565"/>
      <c r="O1565"/>
    </row>
    <row r="1566" spans="1:15" x14ac:dyDescent="0.2">
      <c r="A1566"/>
      <c r="B1566"/>
      <c r="C1566"/>
      <c r="F1566"/>
      <c r="G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L1568"/>
      <c r="M1568"/>
      <c r="N1568"/>
      <c r="O1568"/>
    </row>
    <row r="1569" spans="1:15" x14ac:dyDescent="0.2">
      <c r="A1569"/>
      <c r="B1569"/>
      <c r="C1569"/>
      <c r="F1569"/>
      <c r="G1569"/>
      <c r="H1569"/>
      <c r="I1569"/>
      <c r="L1569"/>
      <c r="M1569"/>
      <c r="N1569"/>
      <c r="O1569"/>
    </row>
    <row r="1570" spans="1:15" x14ac:dyDescent="0.2">
      <c r="A1570"/>
      <c r="B1570"/>
      <c r="C1570"/>
      <c r="F1570"/>
      <c r="G1570"/>
      <c r="J1570"/>
      <c r="K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I1576"/>
      <c r="L1576"/>
      <c r="M1576"/>
      <c r="N1576"/>
      <c r="O1576"/>
    </row>
    <row r="1577" spans="1:15" x14ac:dyDescent="0.2">
      <c r="A1577"/>
      <c r="B1577"/>
      <c r="C1577"/>
      <c r="F1577"/>
      <c r="G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H1583"/>
      <c r="I1583"/>
      <c r="L1583"/>
      <c r="M1583"/>
      <c r="N1583"/>
      <c r="O1583"/>
    </row>
    <row r="1584" spans="1:15" x14ac:dyDescent="0.2">
      <c r="A1584"/>
      <c r="B1584"/>
      <c r="C1584"/>
      <c r="F1584"/>
      <c r="G1584"/>
      <c r="J1584"/>
      <c r="K1584"/>
      <c r="L1584"/>
      <c r="M1584"/>
      <c r="N1584"/>
      <c r="O1584"/>
    </row>
    <row r="1585" spans="1:15" x14ac:dyDescent="0.2">
      <c r="A1585"/>
      <c r="B1585"/>
      <c r="C1585"/>
      <c r="F1585"/>
      <c r="G1585"/>
      <c r="H1585"/>
      <c r="I1585"/>
      <c r="L1585"/>
      <c r="M1585"/>
      <c r="N1585"/>
      <c r="O1585"/>
    </row>
    <row r="1586" spans="1:15" x14ac:dyDescent="0.2">
      <c r="A1586"/>
      <c r="B1586"/>
      <c r="C1586"/>
      <c r="F1586"/>
      <c r="G1586"/>
      <c r="L1586"/>
      <c r="M1586"/>
      <c r="N1586"/>
      <c r="O1586"/>
    </row>
    <row r="1587" spans="1:15" x14ac:dyDescent="0.2">
      <c r="A1587"/>
      <c r="B1587"/>
      <c r="C1587"/>
      <c r="F1587"/>
      <c r="G1587"/>
      <c r="H1587"/>
      <c r="I1587"/>
      <c r="L1587"/>
      <c r="M1587"/>
      <c r="N1587"/>
      <c r="O1587"/>
    </row>
    <row r="1588" spans="1:15" x14ac:dyDescent="0.2">
      <c r="A1588"/>
      <c r="B1588"/>
      <c r="C1588"/>
      <c r="F1588"/>
      <c r="G1588"/>
      <c r="H1588"/>
      <c r="J1588"/>
      <c r="K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H1599"/>
      <c r="I1599"/>
      <c r="L1599"/>
      <c r="N1599"/>
      <c r="O1599"/>
    </row>
    <row r="1600" spans="1:15" x14ac:dyDescent="0.2">
      <c r="A1600"/>
      <c r="B1600"/>
      <c r="C1600"/>
      <c r="F1600"/>
      <c r="G1600"/>
      <c r="I1600"/>
      <c r="L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L1606"/>
      <c r="M1606"/>
      <c r="N1606"/>
      <c r="O1606"/>
    </row>
    <row r="1607" spans="1:15" x14ac:dyDescent="0.2">
      <c r="A1607"/>
      <c r="B1607"/>
      <c r="C1607"/>
      <c r="F1607"/>
      <c r="G1607"/>
      <c r="H1607"/>
      <c r="I1607"/>
      <c r="L1607"/>
      <c r="M1607"/>
      <c r="N1607"/>
      <c r="O1607"/>
    </row>
    <row r="1608" spans="1:15" x14ac:dyDescent="0.2">
      <c r="A1608"/>
      <c r="B1608"/>
      <c r="C1608"/>
      <c r="F1608"/>
      <c r="G1608"/>
      <c r="J1608"/>
      <c r="K1608"/>
      <c r="L1608"/>
      <c r="M1608"/>
      <c r="N1608"/>
      <c r="O1608"/>
    </row>
    <row r="1609" spans="1:15" x14ac:dyDescent="0.2">
      <c r="A1609"/>
      <c r="B1609"/>
      <c r="C1609"/>
      <c r="F1609"/>
      <c r="G1609"/>
      <c r="I1609"/>
      <c r="L1609"/>
      <c r="M1609"/>
      <c r="N1609"/>
      <c r="O1609"/>
    </row>
    <row r="1610" spans="1:15" x14ac:dyDescent="0.2">
      <c r="A1610"/>
      <c r="B1610"/>
      <c r="C1610"/>
      <c r="F1610"/>
      <c r="G1610"/>
      <c r="H1610"/>
      <c r="I1610"/>
      <c r="L1610"/>
      <c r="N1610"/>
      <c r="O1610"/>
    </row>
    <row r="1611" spans="1:15" x14ac:dyDescent="0.2">
      <c r="A1611"/>
      <c r="B1611"/>
      <c r="C1611"/>
      <c r="F1611"/>
      <c r="G1611"/>
      <c r="M1611"/>
      <c r="N1611"/>
      <c r="O1611"/>
    </row>
    <row r="1612" spans="1:15" x14ac:dyDescent="0.2">
      <c r="A1612"/>
      <c r="B1612"/>
      <c r="C1612"/>
      <c r="F1612"/>
      <c r="G1612"/>
      <c r="M1612"/>
      <c r="N1612"/>
      <c r="O1612"/>
    </row>
    <row r="1613" spans="1:15" x14ac:dyDescent="0.2">
      <c r="A1613"/>
      <c r="B1613"/>
      <c r="C1613"/>
      <c r="F1613"/>
      <c r="G1613"/>
      <c r="H1613"/>
      <c r="I1613"/>
      <c r="L1613"/>
      <c r="N1613"/>
      <c r="O1613"/>
    </row>
    <row r="1614" spans="1:15" x14ac:dyDescent="0.2">
      <c r="A1614"/>
      <c r="B1614"/>
      <c r="C1614"/>
      <c r="F1614"/>
      <c r="G1614"/>
      <c r="H1614"/>
      <c r="I1614"/>
      <c r="L1614"/>
      <c r="M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I1621"/>
      <c r="L1621"/>
      <c r="M1621"/>
      <c r="N1621"/>
      <c r="O1621"/>
    </row>
    <row r="1622" spans="1:15" x14ac:dyDescent="0.2">
      <c r="A1622"/>
      <c r="B1622"/>
      <c r="C1622"/>
      <c r="F1622"/>
      <c r="G1622"/>
      <c r="H1622"/>
      <c r="J1622"/>
      <c r="L1622"/>
      <c r="M1622"/>
      <c r="N1622"/>
      <c r="O1622"/>
    </row>
    <row r="1623" spans="1:15" x14ac:dyDescent="0.2">
      <c r="A1623"/>
      <c r="B1623"/>
      <c r="C1623"/>
      <c r="F1623"/>
      <c r="G1623"/>
      <c r="L1623"/>
      <c r="M1623"/>
      <c r="N1623"/>
      <c r="O1623"/>
    </row>
    <row r="1624" spans="1:15" x14ac:dyDescent="0.2">
      <c r="A1624"/>
      <c r="B1624"/>
      <c r="C1624"/>
      <c r="F1624"/>
      <c r="G1624"/>
      <c r="H1624"/>
      <c r="J1624"/>
      <c r="K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K1632"/>
      <c r="L1632"/>
      <c r="M1632"/>
      <c r="N1632"/>
      <c r="O1632"/>
    </row>
    <row r="1633" spans="1:15" x14ac:dyDescent="0.2">
      <c r="A1633"/>
      <c r="B1633"/>
      <c r="C1633"/>
      <c r="F1633"/>
      <c r="G1633"/>
      <c r="I1633"/>
      <c r="L1633"/>
      <c r="M1633"/>
      <c r="N1633"/>
      <c r="O1633"/>
    </row>
    <row r="1634" spans="1:15" x14ac:dyDescent="0.2">
      <c r="A1634"/>
      <c r="B1634"/>
      <c r="C1634"/>
      <c r="F1634"/>
      <c r="G1634"/>
      <c r="J1634"/>
      <c r="K1634"/>
      <c r="L1634"/>
      <c r="M1634"/>
      <c r="N1634"/>
      <c r="O1634"/>
    </row>
    <row r="1635" spans="1:15" x14ac:dyDescent="0.2">
      <c r="A1635"/>
      <c r="B1635"/>
      <c r="C1635"/>
      <c r="F1635"/>
      <c r="G1635"/>
      <c r="L1635"/>
      <c r="M1635"/>
      <c r="N1635"/>
      <c r="O1635"/>
    </row>
    <row r="1636" spans="1:15" x14ac:dyDescent="0.2">
      <c r="A1636"/>
      <c r="B1636"/>
      <c r="C1636"/>
      <c r="F1636"/>
      <c r="G1636"/>
      <c r="H1636"/>
      <c r="I1636"/>
      <c r="L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J1642"/>
      <c r="K1642"/>
      <c r="M1642"/>
      <c r="N1642"/>
      <c r="O1642"/>
    </row>
    <row r="1643" spans="1:15" x14ac:dyDescent="0.2">
      <c r="A1643"/>
      <c r="B1643"/>
      <c r="C1643"/>
      <c r="F1643"/>
      <c r="G1643"/>
      <c r="H1643"/>
      <c r="I1643"/>
      <c r="L1643"/>
      <c r="M1643"/>
      <c r="N1643"/>
      <c r="O1643"/>
    </row>
    <row r="1644" spans="1:15" x14ac:dyDescent="0.2">
      <c r="A1644"/>
      <c r="B1644"/>
      <c r="C1644"/>
      <c r="F1644"/>
      <c r="G1644"/>
      <c r="I1644"/>
      <c r="L1644"/>
      <c r="M1644"/>
      <c r="N1644"/>
      <c r="O1644"/>
    </row>
    <row r="1645" spans="1:15" x14ac:dyDescent="0.2">
      <c r="A1645"/>
      <c r="B1645"/>
      <c r="C1645"/>
      <c r="F1645"/>
      <c r="G1645"/>
      <c r="I1645"/>
      <c r="L1645"/>
      <c r="M1645"/>
      <c r="N1645"/>
      <c r="O1645"/>
    </row>
    <row r="1646" spans="1:15" x14ac:dyDescent="0.2">
      <c r="A1646"/>
      <c r="B1646"/>
      <c r="C1646"/>
      <c r="F1646"/>
      <c r="G1646"/>
      <c r="H1646"/>
      <c r="I1646"/>
      <c r="L1646"/>
      <c r="N1646"/>
      <c r="O1646"/>
    </row>
    <row r="1647" spans="1:15" x14ac:dyDescent="0.2">
      <c r="A1647"/>
      <c r="B1647"/>
      <c r="C1647"/>
      <c r="F1647"/>
      <c r="G1647"/>
      <c r="H1647"/>
      <c r="I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L1651"/>
      <c r="M1651"/>
      <c r="N1651"/>
      <c r="O1651"/>
    </row>
    <row r="1652" spans="1:15" x14ac:dyDescent="0.2">
      <c r="A1652"/>
      <c r="B1652"/>
      <c r="C1652"/>
      <c r="F1652"/>
      <c r="G1652"/>
      <c r="H1652"/>
      <c r="L1652"/>
      <c r="M1652"/>
      <c r="N1652"/>
      <c r="O1652"/>
    </row>
    <row r="1653" spans="1:15" x14ac:dyDescent="0.2">
      <c r="A1653"/>
      <c r="B1653"/>
      <c r="C1653"/>
      <c r="F1653"/>
      <c r="G1653"/>
      <c r="H1653"/>
      <c r="I1653"/>
      <c r="L1653"/>
      <c r="M1653"/>
      <c r="N1653"/>
      <c r="O1653"/>
    </row>
    <row r="1654" spans="1:15" x14ac:dyDescent="0.2">
      <c r="A1654"/>
      <c r="B1654"/>
      <c r="C1654"/>
      <c r="F1654"/>
      <c r="G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L1657"/>
      <c r="M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L1666"/>
      <c r="M1666"/>
      <c r="N1666"/>
      <c r="O1666"/>
    </row>
    <row r="1667" spans="1:15" x14ac:dyDescent="0.2">
      <c r="A1667"/>
      <c r="B1667"/>
      <c r="C1667"/>
      <c r="F1667"/>
      <c r="G1667"/>
      <c r="I1667"/>
      <c r="L1667"/>
      <c r="M1667"/>
      <c r="N1667"/>
      <c r="O1667"/>
    </row>
    <row r="1668" spans="1:15" x14ac:dyDescent="0.2">
      <c r="A1668"/>
      <c r="B1668"/>
      <c r="C1668"/>
      <c r="F1668"/>
      <c r="G1668"/>
      <c r="H1668"/>
      <c r="I1668"/>
      <c r="L1668"/>
      <c r="M1668"/>
      <c r="N1668"/>
      <c r="O1668"/>
    </row>
    <row r="1669" spans="1:15" x14ac:dyDescent="0.2">
      <c r="A1669"/>
      <c r="B1669"/>
      <c r="C1669"/>
      <c r="F1669"/>
      <c r="G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J1679"/>
      <c r="K1679"/>
      <c r="L1679"/>
      <c r="M1679"/>
      <c r="N1679"/>
      <c r="O1679"/>
    </row>
    <row r="1680" spans="1:15" x14ac:dyDescent="0.2">
      <c r="A1680"/>
      <c r="B1680"/>
      <c r="C1680"/>
      <c r="F1680"/>
      <c r="G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I1690"/>
      <c r="L1690"/>
      <c r="M1690"/>
      <c r="N1690"/>
      <c r="O1690"/>
    </row>
    <row r="1691" spans="1:15" x14ac:dyDescent="0.2">
      <c r="A1691"/>
      <c r="B1691"/>
      <c r="C1691"/>
      <c r="F1691"/>
      <c r="G1691"/>
      <c r="I1691"/>
      <c r="L1691"/>
      <c r="M1691"/>
      <c r="N1691"/>
      <c r="O1691"/>
    </row>
    <row r="1692" spans="1:15" x14ac:dyDescent="0.2">
      <c r="A1692"/>
      <c r="B1692"/>
      <c r="C1692"/>
      <c r="F1692"/>
      <c r="G1692"/>
      <c r="H1692"/>
      <c r="L1692"/>
      <c r="M1692"/>
      <c r="N1692"/>
      <c r="O1692"/>
    </row>
    <row r="1693" spans="1:15" x14ac:dyDescent="0.2">
      <c r="A1693"/>
      <c r="B1693"/>
      <c r="C1693"/>
      <c r="F1693"/>
      <c r="G1693"/>
      <c r="H1693"/>
      <c r="I1693"/>
      <c r="L1693"/>
      <c r="M1693"/>
      <c r="N1693"/>
      <c r="O1693"/>
    </row>
    <row r="1694" spans="1:15" x14ac:dyDescent="0.2">
      <c r="A1694"/>
      <c r="B1694"/>
      <c r="C1694"/>
      <c r="F1694"/>
      <c r="G1694"/>
      <c r="H1694"/>
      <c r="I1694"/>
      <c r="L1694"/>
      <c r="M1694"/>
      <c r="N1694"/>
      <c r="O1694"/>
    </row>
    <row r="1695" spans="1:15" x14ac:dyDescent="0.2">
      <c r="A1695"/>
      <c r="B1695"/>
      <c r="C1695"/>
      <c r="F1695"/>
      <c r="G1695"/>
      <c r="I1695"/>
      <c r="L1695"/>
      <c r="M1695"/>
      <c r="N1695"/>
      <c r="O1695"/>
    </row>
    <row r="1696" spans="1:15" x14ac:dyDescent="0.2">
      <c r="A1696"/>
      <c r="B1696"/>
      <c r="C1696"/>
      <c r="F1696"/>
      <c r="G1696"/>
      <c r="I1696"/>
      <c r="L1696"/>
      <c r="M1696"/>
      <c r="N1696"/>
      <c r="O1696"/>
    </row>
    <row r="1697" spans="1:15" x14ac:dyDescent="0.2">
      <c r="A1697"/>
      <c r="B1697"/>
      <c r="C1697"/>
      <c r="F1697"/>
      <c r="G1697"/>
      <c r="H1697"/>
      <c r="I1697"/>
      <c r="L1697"/>
      <c r="M1697"/>
      <c r="N1697"/>
      <c r="O1697"/>
    </row>
    <row r="1698" spans="1:15" x14ac:dyDescent="0.2">
      <c r="A1698"/>
      <c r="B1698"/>
      <c r="C1698"/>
      <c r="F1698"/>
      <c r="G1698"/>
      <c r="H1698"/>
      <c r="I1698"/>
      <c r="L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L1701"/>
      <c r="M1701"/>
      <c r="N1701"/>
      <c r="O1701"/>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6" t="s">
        <v>100</v>
      </c>
      <c r="N2" s="596"/>
      <c r="O2" s="596"/>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7" t="s">
        <v>101</v>
      </c>
      <c r="N3" s="598"/>
      <c r="O3" s="599"/>
      <c r="P3" s="103"/>
      <c r="Q3" s="103"/>
    </row>
    <row r="4" spans="1:18" ht="15" x14ac:dyDescent="0.25">
      <c r="B4" s="113" t="s">
        <v>25</v>
      </c>
      <c r="C4" s="60"/>
      <c r="D4" s="37"/>
      <c r="E4" s="37"/>
      <c r="F4" s="37"/>
      <c r="G4" s="37"/>
      <c r="H4" s="37"/>
      <c r="I4" s="37"/>
      <c r="J4" s="37"/>
      <c r="K4" s="37"/>
      <c r="L4" s="37"/>
      <c r="M4" s="600" t="s">
        <v>136</v>
      </c>
      <c r="N4" s="601"/>
      <c r="O4" s="602"/>
      <c r="P4" s="85"/>
    </row>
    <row r="5" spans="1:18" x14ac:dyDescent="0.2">
      <c r="B5" s="114" t="s">
        <v>26</v>
      </c>
      <c r="C5" s="54">
        <f>Main!D3</f>
        <v>0</v>
      </c>
      <c r="D5" s="37"/>
      <c r="E5" s="37"/>
      <c r="F5" s="37"/>
      <c r="G5" s="37"/>
      <c r="H5" s="37"/>
      <c r="I5" s="52" t="s">
        <v>4</v>
      </c>
      <c r="J5" s="37" t="e">
        <f>Main!D5</f>
        <v>#N/A</v>
      </c>
      <c r="L5" s="37"/>
      <c r="M5" s="603" t="s">
        <v>135</v>
      </c>
      <c r="N5" s="604"/>
      <c r="O5" s="605"/>
      <c r="P5" s="129"/>
    </row>
    <row r="6" spans="1:18" ht="13.5" thickBot="1" x14ac:dyDescent="0.25">
      <c r="B6" s="114" t="s">
        <v>3</v>
      </c>
      <c r="C6" s="55" t="e">
        <f>Main!D6</f>
        <v>#N/A</v>
      </c>
      <c r="D6" s="37"/>
      <c r="E6" s="37"/>
      <c r="F6" s="37"/>
      <c r="G6" s="37"/>
      <c r="H6" s="37"/>
      <c r="I6" s="52" t="s">
        <v>5</v>
      </c>
      <c r="J6" s="51">
        <f>Main!D16</f>
        <v>0</v>
      </c>
      <c r="L6" s="37"/>
      <c r="M6" s="606" t="str">
        <f>IF(MaxMode,"","In 1/2 Tolerance")</f>
        <v>In 1/2 Tolerance</v>
      </c>
      <c r="N6" s="607"/>
      <c r="O6" s="608"/>
      <c r="P6" s="86"/>
    </row>
    <row r="7" spans="1:18" ht="13.5" thickBot="1" x14ac:dyDescent="0.25">
      <c r="B7" s="114" t="s">
        <v>27</v>
      </c>
      <c r="C7" s="55" t="str">
        <f>Main!D7</f>
        <v>Jeff Hall</v>
      </c>
      <c r="D7" s="37"/>
      <c r="E7" s="37"/>
      <c r="F7" s="37"/>
      <c r="G7" s="37"/>
      <c r="H7" s="37"/>
      <c r="I7" s="57" t="s">
        <v>154</v>
      </c>
      <c r="J7" s="594">
        <f>Main!$D$30</f>
        <v>0</v>
      </c>
      <c r="K7" s="595"/>
      <c r="L7" s="100"/>
      <c r="M7" s="593" t="s">
        <v>134</v>
      </c>
      <c r="N7" s="593"/>
      <c r="O7" s="593"/>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un7qxTulHKceWggs2WvyKcZWZXFSdRXqDyRkmSHhMq0hvpgPrboc+EYtkdfHawD5oPVdK7y5K57Uismn5MszxA==" saltValue="Ff/5coQEZ0fOyG7810YS2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t="e">
        <f>Main!D5</f>
        <v>#N/A</v>
      </c>
      <c r="M5" s="610" t="s">
        <v>135</v>
      </c>
      <c r="N5" s="611"/>
      <c r="O5" s="612"/>
    </row>
    <row r="6" spans="1:17" ht="13.5" thickBot="1" x14ac:dyDescent="0.25">
      <c r="B6" s="114" t="s">
        <v>3</v>
      </c>
      <c r="C6" s="55" t="e">
        <f>Main!D6</f>
        <v>#N/A</v>
      </c>
      <c r="D6" s="37"/>
      <c r="E6" s="37"/>
      <c r="F6" s="37"/>
      <c r="G6" s="37"/>
      <c r="H6" s="37"/>
      <c r="I6" s="52" t="s">
        <v>5</v>
      </c>
      <c r="J6" s="39">
        <f>Main!D16</f>
        <v>0</v>
      </c>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Yj1KMVWwTrsYxUrJd3hCAWdBFYpT1aao7/2CUH6Bd1S+dw5UMBbbYUMDBfJ/HAM/xGwpclARoaMrYZoUu7ITsQ==" saltValue="EvWX6ILKCgrQyl1ZogFdi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s="37" t="e">
        <f>Main!D5</f>
        <v>#N/A</v>
      </c>
      <c r="L5" s="37"/>
      <c r="M5" s="603" t="s">
        <v>135</v>
      </c>
      <c r="N5" s="604"/>
      <c r="O5" s="605"/>
    </row>
    <row r="6" spans="1:17" ht="13.5" thickBot="1" x14ac:dyDescent="0.25">
      <c r="B6" s="114" t="s">
        <v>3</v>
      </c>
      <c r="C6" s="55" t="e">
        <f>Main!D6</f>
        <v>#N/A</v>
      </c>
      <c r="D6" s="37"/>
      <c r="E6" s="37"/>
      <c r="F6" s="37"/>
      <c r="G6" s="37"/>
      <c r="H6" s="37"/>
      <c r="I6" s="52" t="s">
        <v>5</v>
      </c>
      <c r="J6" s="51">
        <f>Main!D16</f>
        <v>0</v>
      </c>
      <c r="L6" s="37"/>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PgPbghVH1JL6bfi+0PxHRDQz+Xg6rjVDcuIXHxNfsMBJbdd+poNpKj1wElp5a7svRS844fxYKL58Owjom57rw==" saltValue="/9cxD9TvGspsEfIVS7eaE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5" sqref="U25"/>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3"/>
    </row>
    <row r="34" spans="1:14" x14ac:dyDescent="0.25">
      <c r="A34" s="18"/>
      <c r="B34" s="18"/>
      <c r="D34" s="614"/>
      <c r="E34" s="614"/>
      <c r="F34" s="614"/>
      <c r="G34" s="614"/>
      <c r="H34" s="614"/>
      <c r="I34" s="614"/>
      <c r="J34" s="614"/>
      <c r="K34" s="614"/>
      <c r="L34" s="614"/>
      <c r="M34" s="614"/>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5" t="s">
        <v>20</v>
      </c>
      <c r="D37" s="615"/>
      <c r="E37" s="615"/>
      <c r="F37" s="615"/>
      <c r="G37" s="615"/>
      <c r="H37" s="615"/>
      <c r="I37" s="615"/>
      <c r="J37" s="615"/>
      <c r="K37" s="615"/>
      <c r="L37" s="615"/>
      <c r="M37" s="615"/>
    </row>
    <row r="38" spans="1:14" x14ac:dyDescent="0.25">
      <c r="A38" s="18"/>
      <c r="B38" s="18"/>
      <c r="C38" s="615"/>
      <c r="D38" s="615"/>
      <c r="E38" s="615"/>
      <c r="F38" s="615"/>
      <c r="G38" s="615"/>
      <c r="H38" s="615"/>
      <c r="I38" s="615"/>
      <c r="J38" s="615"/>
      <c r="K38" s="615"/>
      <c r="L38" s="615"/>
      <c r="M38" s="615"/>
    </row>
    <row r="39" spans="1:14" x14ac:dyDescent="0.25">
      <c r="A39" s="18"/>
      <c r="B39" s="18"/>
      <c r="C39" s="615"/>
      <c r="D39" s="615"/>
      <c r="E39" s="615"/>
      <c r="F39" s="615"/>
      <c r="G39" s="615"/>
      <c r="H39" s="615"/>
      <c r="I39" s="615"/>
      <c r="J39" s="615"/>
      <c r="K39" s="615"/>
      <c r="L39" s="615"/>
      <c r="M39" s="615"/>
    </row>
    <row r="40" spans="1:14" x14ac:dyDescent="0.25">
      <c r="A40" s="18"/>
      <c r="B40" s="18"/>
      <c r="C40" s="615"/>
      <c r="D40" s="615"/>
      <c r="E40" s="615"/>
      <c r="F40" s="615"/>
      <c r="G40" s="615"/>
      <c r="H40" s="615"/>
      <c r="I40" s="615"/>
      <c r="J40" s="615"/>
      <c r="K40" s="615"/>
      <c r="L40" s="615"/>
      <c r="M40" s="615"/>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WcIVCmnuFxET+MPl4rW4rdK+1+d6qVR3gQFMnTywl+sUmZk13TJum7dQ7FNph5lb/VfeZKdXlxH3jFBqO87H/Q==" saltValue="lCcOGwuWYmhBt2ccgMuAiA==" spinCount="100000" sheet="1" objects="1" scenarios="1" selectLockedCells="1" autoFilter="0"/>
  <mergeCells count="2">
    <mergeCell ref="D32:M34"/>
    <mergeCell ref="C37:M40"/>
  </mergeCells>
  <phoneticPr fontId="20"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16" t="s">
        <v>276</v>
      </c>
      <c r="I28" s="616"/>
      <c r="J28" s="616"/>
      <c r="K28" s="616"/>
      <c r="L28" s="616"/>
      <c r="M28" s="616"/>
      <c r="N28" s="616"/>
      <c r="O28" s="616"/>
      <c r="P28" s="616"/>
      <c r="Q28" s="616"/>
      <c r="R28" s="616"/>
    </row>
    <row r="29" spans="1:20" x14ac:dyDescent="0.2">
      <c r="A29" s="622" t="s">
        <v>34</v>
      </c>
      <c r="B29" s="623"/>
      <c r="C29" s="47" t="str">
        <f>IF(Main!D48="","",Main!D48)</f>
        <v/>
      </c>
      <c r="D29" s="47" t="str">
        <f>IF(Main!E48="","",Main!E48)</f>
        <v/>
      </c>
      <c r="E29" s="47" t="str">
        <f>IF(Main!F48="","",Main!F48)</f>
        <v/>
      </c>
      <c r="F29" s="47" t="str">
        <f>IF(Main!G48="","",Main!G48)</f>
        <v/>
      </c>
      <c r="G29" s="259"/>
      <c r="H29" s="256" t="s">
        <v>277</v>
      </c>
      <c r="I29" s="112" t="str">
        <f>IF(Main!N47="","",Main!N47)</f>
        <v>Periodic</v>
      </c>
      <c r="J29" s="624" t="s">
        <v>278</v>
      </c>
      <c r="K29" s="625"/>
      <c r="L29" s="112" t="str">
        <f>IF(Main!R47="","",Main!R47)</f>
        <v>Air</v>
      </c>
    </row>
    <row r="30" spans="1:20" x14ac:dyDescent="0.2">
      <c r="A30" s="622" t="s">
        <v>35</v>
      </c>
      <c r="B30" s="623"/>
      <c r="C30" s="48" t="str">
        <f>IF(Main!D49="","",Main!D49)</f>
        <v/>
      </c>
      <c r="D30" s="48" t="str">
        <f>IF(Main!E49="","",Main!E49)</f>
        <v/>
      </c>
      <c r="E30" s="48" t="str">
        <f>IF(Main!F49="","",Main!F49)</f>
        <v/>
      </c>
      <c r="F30" s="48" t="str">
        <f>IF(Main!G49="","",Main!G49)</f>
        <v/>
      </c>
      <c r="G30" s="261"/>
      <c r="H30" s="617" t="s">
        <v>264</v>
      </c>
      <c r="I30" s="617"/>
      <c r="J30" s="626" t="s">
        <v>309</v>
      </c>
      <c r="K30" s="627"/>
      <c r="L30" s="628"/>
      <c r="M30" s="254"/>
      <c r="O30" s="618" t="s">
        <v>312</v>
      </c>
      <c r="P30" s="619"/>
      <c r="Q30" s="620"/>
      <c r="T30" s="37"/>
    </row>
    <row r="31" spans="1:20" x14ac:dyDescent="0.2">
      <c r="A31" s="622" t="s">
        <v>36</v>
      </c>
      <c r="B31" s="623"/>
      <c r="C31" s="48" t="str">
        <f>IF(Main!D50="","",Main!D50)</f>
        <v/>
      </c>
      <c r="D31" s="48" t="str">
        <f>IF(Main!E50="","",Main!E50)</f>
        <v/>
      </c>
      <c r="E31" s="48" t="str">
        <f>IF(Main!F50="","",Main!F50)</f>
        <v/>
      </c>
      <c r="F31" s="48" t="str">
        <f>IF(Main!G50="","",Main!G50)</f>
        <v/>
      </c>
      <c r="G31" s="261"/>
      <c r="H31" s="242" t="s">
        <v>279</v>
      </c>
      <c r="I31" s="244" t="str">
        <f>IF(Main!N49="","",Main!N49)</f>
        <v/>
      </c>
      <c r="J31" s="641" t="s">
        <v>317</v>
      </c>
      <c r="K31" s="642"/>
      <c r="L31" s="643"/>
      <c r="M31" s="255" t="str">
        <f>IF(Main!S49="","",Main!S49)</f>
        <v>N/A</v>
      </c>
      <c r="O31" s="508" t="s">
        <v>319</v>
      </c>
      <c r="P31" s="509"/>
      <c r="Q31" s="621"/>
      <c r="R31" s="56" t="str">
        <f>IF(Main!X49="","",Main!X49)</f>
        <v>N/A</v>
      </c>
      <c r="T31" s="37"/>
    </row>
    <row r="32" spans="1:20" ht="12.75" customHeight="1" x14ac:dyDescent="0.2">
      <c r="A32" s="622" t="s">
        <v>37</v>
      </c>
      <c r="B32" s="623"/>
      <c r="C32" s="47" t="str">
        <f>IF(Main!D51="","",Main!D51)</f>
        <v/>
      </c>
      <c r="D32" s="47" t="str">
        <f>IF(Main!E51="","",Main!E51)</f>
        <v/>
      </c>
      <c r="E32" s="47" t="str">
        <f>IF(Main!F51="","",Main!F51)</f>
        <v/>
      </c>
      <c r="F32" s="47" t="str">
        <f>IF(Main!G51="","",Main!G51)</f>
        <v/>
      </c>
      <c r="G32" s="259"/>
      <c r="H32" s="242" t="s">
        <v>295</v>
      </c>
      <c r="I32" s="244" t="str">
        <f>IF(Main!N50="","",Main!N50)</f>
        <v/>
      </c>
      <c r="J32" s="632" t="s">
        <v>267</v>
      </c>
      <c r="K32" s="633"/>
      <c r="L32" s="634"/>
      <c r="M32" s="250"/>
      <c r="O32" s="632" t="s">
        <v>267</v>
      </c>
      <c r="P32" s="633"/>
      <c r="Q32" s="634"/>
      <c r="T32" s="37"/>
    </row>
    <row r="33" spans="1:20" ht="12.75" customHeight="1" x14ac:dyDescent="0.2">
      <c r="A33" s="622" t="s">
        <v>280</v>
      </c>
      <c r="B33" s="623"/>
      <c r="C33" s="47" t="str">
        <f>IF(Main!D52="","",Main!D52)</f>
        <v/>
      </c>
      <c r="D33" s="47" t="str">
        <f>IF(Main!E52="","",Main!E52)</f>
        <v/>
      </c>
      <c r="E33" s="47" t="str">
        <f>IF(Main!F52="","",Main!F52)</f>
        <v/>
      </c>
      <c r="F33" s="47" t="str">
        <f>IF(Main!G52="","",Main!G52)</f>
        <v/>
      </c>
      <c r="G33" s="259"/>
      <c r="H33" s="242" t="s">
        <v>281</v>
      </c>
      <c r="I33" s="244" t="str">
        <f>IF(Main!N51="","",Main!N51)</f>
        <v/>
      </c>
      <c r="J33" s="629" t="s">
        <v>318</v>
      </c>
      <c r="K33" s="630"/>
      <c r="L33" s="631"/>
      <c r="M33" s="249" t="str">
        <f>IF(Main!S51="","",Main!S51)</f>
        <v/>
      </c>
      <c r="O33" s="629" t="s">
        <v>320</v>
      </c>
      <c r="P33" s="630"/>
      <c r="Q33" s="631"/>
      <c r="R33" s="56" t="str">
        <f>IF(Main!X51="","",Main!X51)</f>
        <v/>
      </c>
      <c r="T33" s="37"/>
    </row>
    <row r="34" spans="1:20" ht="12.75" customHeight="1" x14ac:dyDescent="0.2">
      <c r="A34" s="622" t="s">
        <v>38</v>
      </c>
      <c r="B34" s="623"/>
      <c r="C34" s="49" t="str">
        <f>IF(Main!D53="","",Main!D53)</f>
        <v/>
      </c>
      <c r="D34" s="49" t="str">
        <f>IF(Main!E53="","",Main!E53)</f>
        <v/>
      </c>
      <c r="E34" s="49" t="str">
        <f>IF(Main!F53="","",Main!F53)</f>
        <v/>
      </c>
      <c r="F34" s="49" t="str">
        <f>IF(Main!G53="","",Main!G53)</f>
        <v/>
      </c>
      <c r="G34" s="262"/>
      <c r="H34" s="242" t="s">
        <v>282</v>
      </c>
      <c r="I34" s="241" t="str">
        <f>IF(Main!N52="","",Main!N52)</f>
        <v/>
      </c>
      <c r="J34" s="632" t="s">
        <v>267</v>
      </c>
      <c r="K34" s="633"/>
      <c r="L34" s="634"/>
      <c r="O34" s="632" t="s">
        <v>267</v>
      </c>
      <c r="P34" s="633"/>
      <c r="Q34" s="634"/>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35" t="s">
        <v>321</v>
      </c>
      <c r="K35" s="636"/>
      <c r="L35" s="637"/>
      <c r="M35" s="257" t="str">
        <f>IF(Main!S53="","",Main!S53)</f>
        <v/>
      </c>
      <c r="O35" s="635" t="s">
        <v>322</v>
      </c>
      <c r="P35" s="636"/>
      <c r="Q35" s="637"/>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38"/>
      <c r="K36" s="639"/>
      <c r="L36" s="640"/>
      <c r="M36" s="253"/>
      <c r="O36" s="638"/>
      <c r="P36" s="639"/>
      <c r="Q36" s="640"/>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dldFkkVurqKUuePR9mqDjAp0Joau4fgvyCRhyyFBCbEYGdUHw4c8fy/2QIzb7sq2rGi4SNr9ifJ5BvpvQp7vTw==" saltValue="93ZXeICtIpnECM4XMxLTD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5tv8N+Y8yEzv6/ZOxtHmQlx99Q6hkf+qylcTwL8heqw6HvByq1L5BhOdRyUS8jTG8gypfaM8R7eBu31iebPBAQ==" saltValue="V/a9URf5pcLOGuDFNZWDX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1"/>
      <c r="C1" s="581"/>
      <c r="D1" s="581"/>
      <c r="E1" s="34" t="s">
        <v>145</v>
      </c>
      <c r="G1" s="581" t="s">
        <v>65</v>
      </c>
      <c r="H1" s="581"/>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aESfmj3Im9/j/v/u4HSZ7j1nEiTeUYnp6F1HOaGnr8JYwidtrrRe2hlbS/6Bmv0/XfjyHOHFxLmcZ4PFgjowzA==" saltValue="eJ1HJO+MqbGtq16Z4xmy6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2026-03-02T03:29:03Z</cp:lastPrinted>
  <dcterms:created xsi:type="dcterms:W3CDTF">2005-05-27T19:03:57Z</dcterms:created>
  <dcterms:modified xsi:type="dcterms:W3CDTF">2026-03-02T05:26:19Z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