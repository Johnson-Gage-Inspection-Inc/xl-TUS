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tables/table25.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ACC4BDE-5D53-4DDD-8ED9-CE5C6928955C}"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SBPOffsets" sheetId="100"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20"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DaqbookServiceRecords!$A$1:$B$2</definedName>
    <definedName name="ExternalData_1" localSheetId="22" hidden="1">Employees!$A$1:$D$53</definedName>
    <definedName name="ExternalData_1" localSheetId="10" hidden="1">Header_Info!$A$1:$AK$408</definedName>
    <definedName name="ExternalData_1" localSheetId="13" hidden="1">SBPOffsets!$A$1:$D$64</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WireOffsets!$A$1:$C$115</definedName>
    <definedName name="ExternalData_1" localSheetId="0" hidden="1">WireSets!$A$1:$I$26</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Table'!$A$1:$O$1699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K3" i="95" s="1"/>
  <c r="J4" i="95"/>
  <c r="J5" i="95"/>
  <c r="K5" i="95" s="1"/>
  <c r="J6" i="95"/>
  <c r="K6" i="95" s="1"/>
  <c r="J7" i="95"/>
  <c r="K7" i="95" s="1"/>
  <c r="J8" i="95"/>
  <c r="K8" i="95" s="1"/>
  <c r="J9" i="95"/>
  <c r="J10" i="95"/>
  <c r="K10" i="95" s="1"/>
  <c r="J11" i="95"/>
  <c r="K11" i="95" s="1"/>
  <c r="J12" i="95"/>
  <c r="K12" i="95" s="1"/>
  <c r="J13" i="95"/>
  <c r="J14" i="95"/>
  <c r="J15" i="95"/>
  <c r="J16" i="95"/>
  <c r="K16" i="95" s="1"/>
  <c r="J17" i="95"/>
  <c r="K17" i="95" s="1"/>
  <c r="J18" i="95"/>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K37" i="95" s="1"/>
  <c r="J38" i="95"/>
  <c r="J39" i="95"/>
  <c r="K39" i="95" s="1"/>
  <c r="J40" i="95"/>
  <c r="K40" i="95" s="1"/>
  <c r="J41" i="95"/>
  <c r="K41" i="95" s="1"/>
  <c r="J42" i="95"/>
  <c r="K42" i="95" s="1"/>
  <c r="J43" i="95"/>
  <c r="K43" i="95" s="1"/>
  <c r="J44" i="95"/>
  <c r="K44" i="95" s="1"/>
  <c r="J45" i="95"/>
  <c r="K45" i="95" s="1"/>
  <c r="J46" i="95"/>
  <c r="J47" i="95"/>
  <c r="J48" i="95"/>
  <c r="J49" i="95"/>
  <c r="J50" i="95"/>
  <c r="J51" i="95"/>
  <c r="J52" i="95"/>
  <c r="K52" i="95" s="1"/>
  <c r="J53" i="95"/>
  <c r="J54" i="95"/>
  <c r="K54" i="95" s="1"/>
  <c r="J55" i="95"/>
  <c r="K55" i="95" s="1"/>
  <c r="J56" i="95"/>
  <c r="K56" i="95" s="1"/>
  <c r="J57" i="95"/>
  <c r="K57" i="95" s="1"/>
  <c r="J58" i="95"/>
  <c r="K58" i="95" s="1"/>
  <c r="J59" i="95"/>
  <c r="K59" i="95" s="1"/>
  <c r="J60" i="95"/>
  <c r="K60" i="95" s="1"/>
  <c r="J61" i="95"/>
  <c r="K61" i="95" s="1"/>
  <c r="J62" i="95"/>
  <c r="K62" i="95" s="1"/>
  <c r="J63" i="95"/>
  <c r="J64" i="95"/>
  <c r="J65" i="95"/>
  <c r="K65" i="95" s="1"/>
  <c r="J66" i="95"/>
  <c r="J67" i="95"/>
  <c r="K67" i="95" s="1"/>
  <c r="J68" i="95"/>
  <c r="J69" i="95"/>
  <c r="K69" i="95" s="1"/>
  <c r="J70" i="95"/>
  <c r="J71" i="95"/>
  <c r="K71" i="95" s="1"/>
  <c r="J72" i="95"/>
  <c r="K72" i="95" s="1"/>
  <c r="J73" i="95"/>
  <c r="K73" i="95" s="1"/>
  <c r="J74" i="95"/>
  <c r="K74" i="95" s="1"/>
  <c r="J75" i="95"/>
  <c r="K75" i="95" s="1"/>
  <c r="J76" i="95"/>
  <c r="K76" i="95" s="1"/>
  <c r="J77" i="95"/>
  <c r="J78" i="95"/>
  <c r="J79" i="95"/>
  <c r="J80" i="95"/>
  <c r="J81" i="95"/>
  <c r="J82" i="95"/>
  <c r="J83" i="95"/>
  <c r="J84" i="95"/>
  <c r="J85" i="95"/>
  <c r="J86" i="95"/>
  <c r="K86" i="95" s="1"/>
  <c r="J87" i="95"/>
  <c r="J88" i="95"/>
  <c r="K88" i="95" s="1"/>
  <c r="J89" i="95"/>
  <c r="K89" i="95" s="1"/>
  <c r="J90" i="95"/>
  <c r="K90" i="95" s="1"/>
  <c r="J91" i="95"/>
  <c r="K91" i="95" s="1"/>
  <c r="J92" i="95"/>
  <c r="K92" i="95" s="1"/>
  <c r="J93" i="95"/>
  <c r="K93" i="95" s="1"/>
  <c r="J94" i="95"/>
  <c r="K94" i="95" s="1"/>
  <c r="J95" i="95"/>
  <c r="J96" i="95"/>
  <c r="J97" i="95"/>
  <c r="J98" i="95"/>
  <c r="J99" i="95"/>
  <c r="J100" i="95"/>
  <c r="J101" i="95"/>
  <c r="J102" i="95"/>
  <c r="K102" i="95" s="1"/>
  <c r="J103" i="95"/>
  <c r="K103" i="95" s="1"/>
  <c r="J104" i="95"/>
  <c r="K104" i="95" s="1"/>
  <c r="J105" i="95"/>
  <c r="K105" i="95" s="1"/>
  <c r="J106" i="95"/>
  <c r="K106" i="95" s="1"/>
  <c r="J107" i="95"/>
  <c r="K107" i="95" s="1"/>
  <c r="J108" i="95"/>
  <c r="K108" i="95" s="1"/>
  <c r="J109" i="95"/>
  <c r="J110" i="95"/>
  <c r="J111" i="95"/>
  <c r="J112" i="95"/>
  <c r="J113" i="95"/>
  <c r="K113" i="95" s="1"/>
  <c r="J114" i="95"/>
  <c r="K114" i="95" s="1"/>
  <c r="J115" i="95"/>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K135" i="95" s="1"/>
  <c r="J136" i="95"/>
  <c r="K136" i="95" s="1"/>
  <c r="J137" i="95"/>
  <c r="K137" i="95" s="1"/>
  <c r="J138" i="95"/>
  <c r="K138" i="95" s="1"/>
  <c r="J139" i="95"/>
  <c r="K139" i="95" s="1"/>
  <c r="J140" i="95"/>
  <c r="K140" i="95" s="1"/>
  <c r="J141" i="95"/>
  <c r="J142" i="95"/>
  <c r="K142" i="95" s="1"/>
  <c r="J143" i="95"/>
  <c r="K143" i="95" s="1"/>
  <c r="J144" i="95"/>
  <c r="J145" i="95"/>
  <c r="J146" i="95"/>
  <c r="J147" i="95"/>
  <c r="J148" i="95"/>
  <c r="J149" i="95"/>
  <c r="K149" i="95" s="1"/>
  <c r="J150" i="95"/>
  <c r="J151" i="95"/>
  <c r="K151" i="95" s="1"/>
  <c r="J152" i="95"/>
  <c r="K152" i="95" s="1"/>
  <c r="J153" i="95"/>
  <c r="K153" i="95" s="1"/>
  <c r="J154" i="95"/>
  <c r="K154" i="95" s="1"/>
  <c r="J155" i="95"/>
  <c r="K155" i="95" s="1"/>
  <c r="J156" i="95"/>
  <c r="K156" i="95" s="1"/>
  <c r="J157" i="95"/>
  <c r="K157" i="95" s="1"/>
  <c r="J158" i="95"/>
  <c r="K158" i="95" s="1"/>
  <c r="J159" i="95"/>
  <c r="J160" i="95"/>
  <c r="J161" i="95"/>
  <c r="K161" i="95" s="1"/>
  <c r="J162" i="95"/>
  <c r="K162" i="95" s="1"/>
  <c r="J163" i="95"/>
  <c r="K163" i="95" s="1"/>
  <c r="J164" i="95"/>
  <c r="J165" i="95"/>
  <c r="K165" i="95" s="1"/>
  <c r="J166" i="95"/>
  <c r="K166" i="95" s="1"/>
  <c r="J167" i="95"/>
  <c r="K167" i="95" s="1"/>
  <c r="J168" i="95"/>
  <c r="K168" i="95" s="1"/>
  <c r="J169" i="95"/>
  <c r="K169" i="95" s="1"/>
  <c r="J170" i="95"/>
  <c r="K170" i="95" s="1"/>
  <c r="J171" i="95"/>
  <c r="K171" i="95" s="1"/>
  <c r="J172" i="95"/>
  <c r="K172" i="95" s="1"/>
  <c r="J173" i="95"/>
  <c r="J174" i="95"/>
  <c r="J175" i="95"/>
  <c r="J176" i="95"/>
  <c r="J177" i="95"/>
  <c r="J178" i="95"/>
  <c r="J179" i="95"/>
  <c r="J180" i="95"/>
  <c r="J181" i="95"/>
  <c r="J182" i="95"/>
  <c r="J183" i="95"/>
  <c r="K183" i="95" s="1"/>
  <c r="J184" i="95"/>
  <c r="J185" i="95"/>
  <c r="K185" i="95" s="1"/>
  <c r="J186" i="95"/>
  <c r="K186" i="95" s="1"/>
  <c r="J187" i="95"/>
  <c r="K187" i="95" s="1"/>
  <c r="J188" i="95"/>
  <c r="K188" i="95" s="1"/>
  <c r="J189" i="95"/>
  <c r="K189" i="95" s="1"/>
  <c r="J190" i="95"/>
  <c r="K190" i="95" s="1"/>
  <c r="J191" i="95"/>
  <c r="J192" i="95"/>
  <c r="J193" i="95"/>
  <c r="J194" i="95"/>
  <c r="J195" i="95"/>
  <c r="K195" i="95" s="1"/>
  <c r="J196" i="95"/>
  <c r="J197" i="95"/>
  <c r="K197" i="95" s="1"/>
  <c r="J198" i="95"/>
  <c r="J199" i="95"/>
  <c r="K199" i="95" s="1"/>
  <c r="J200" i="95"/>
  <c r="K200" i="95" s="1"/>
  <c r="J201" i="95"/>
  <c r="K201" i="95" s="1"/>
  <c r="J202" i="95"/>
  <c r="K202" i="95" s="1"/>
  <c r="J203" i="95"/>
  <c r="K203" i="95" s="1"/>
  <c r="J204" i="95"/>
  <c r="K204" i="95" s="1"/>
  <c r="J205" i="95"/>
  <c r="J206" i="95"/>
  <c r="J207" i="95"/>
  <c r="K207" i="95" s="1"/>
  <c r="J208" i="95"/>
  <c r="J209" i="95"/>
  <c r="J210" i="95"/>
  <c r="K210" i="95" s="1"/>
  <c r="J211" i="95"/>
  <c r="K211" i="95" s="1"/>
  <c r="J212" i="95"/>
  <c r="K212" i="95" s="1"/>
  <c r="J213" i="95"/>
  <c r="K213" i="95" s="1"/>
  <c r="J214" i="95"/>
  <c r="K214" i="95" s="1"/>
  <c r="J215" i="95"/>
  <c r="K215" i="95" s="1"/>
  <c r="J216" i="95"/>
  <c r="K216" i="95" s="1"/>
  <c r="J217" i="95"/>
  <c r="K217" i="95" s="1"/>
  <c r="J218" i="95"/>
  <c r="K218" i="95" s="1"/>
  <c r="J219" i="95"/>
  <c r="J220" i="95"/>
  <c r="K220" i="95" s="1"/>
  <c r="J221" i="95"/>
  <c r="J222" i="95"/>
  <c r="K222" i="95" s="1"/>
  <c r="J223" i="95"/>
  <c r="J224" i="95"/>
  <c r="J225" i="95"/>
  <c r="J226" i="95"/>
  <c r="J227" i="95"/>
  <c r="J228" i="95"/>
  <c r="J229" i="95"/>
  <c r="J230" i="95"/>
  <c r="J231" i="95"/>
  <c r="K231" i="95" s="1"/>
  <c r="J232" i="95"/>
  <c r="K232" i="95" s="1"/>
  <c r="J233" i="95"/>
  <c r="K233" i="95" s="1"/>
  <c r="J234" i="95"/>
  <c r="K234" i="95" s="1"/>
  <c r="J235" i="95"/>
  <c r="K235" i="95" s="1"/>
  <c r="J236" i="95"/>
  <c r="K236" i="95" s="1"/>
  <c r="J237" i="95"/>
  <c r="J238" i="95"/>
  <c r="J239" i="95"/>
  <c r="K239" i="95" s="1"/>
  <c r="J240" i="95"/>
  <c r="K240" i="95" s="1"/>
  <c r="J241" i="95"/>
  <c r="J242" i="95"/>
  <c r="J243" i="95"/>
  <c r="J244" i="95"/>
  <c r="K244" i="95" s="1"/>
  <c r="J245" i="95"/>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K258" i="95" s="1"/>
  <c r="J259" i="95"/>
  <c r="K259" i="95" s="1"/>
  <c r="J260" i="95"/>
  <c r="J261" i="95"/>
  <c r="K261" i="95" s="1"/>
  <c r="J262" i="95"/>
  <c r="K262" i="95" s="1"/>
  <c r="J263" i="95"/>
  <c r="K263" i="95" s="1"/>
  <c r="J264" i="95"/>
  <c r="K264" i="95" s="1"/>
  <c r="J265" i="95"/>
  <c r="K265" i="95" s="1"/>
  <c r="J266" i="95"/>
  <c r="K266" i="95" s="1"/>
  <c r="J267" i="95"/>
  <c r="K267" i="95" s="1"/>
  <c r="J268" i="95"/>
  <c r="K268" i="95" s="1"/>
  <c r="J269" i="95"/>
  <c r="J270" i="95"/>
  <c r="J271" i="95"/>
  <c r="J272" i="95"/>
  <c r="J273" i="95"/>
  <c r="J274" i="95"/>
  <c r="J275" i="95"/>
  <c r="J276" i="95"/>
  <c r="J277" i="95"/>
  <c r="J278" i="95"/>
  <c r="J279" i="95"/>
  <c r="J280" i="95"/>
  <c r="K280" i="95" s="1"/>
  <c r="J281" i="95"/>
  <c r="J282" i="95"/>
  <c r="K282" i="95" s="1"/>
  <c r="J283" i="95"/>
  <c r="K283" i="95" s="1"/>
  <c r="J284" i="95"/>
  <c r="K284" i="95" s="1"/>
  <c r="J285" i="95"/>
  <c r="K285" i="95" s="1"/>
  <c r="J286" i="95"/>
  <c r="K286" i="95" s="1"/>
  <c r="J287" i="95"/>
  <c r="J288" i="95"/>
  <c r="J289" i="95"/>
  <c r="J290" i="95"/>
  <c r="J291" i="95"/>
  <c r="J292" i="95"/>
  <c r="J293" i="95"/>
  <c r="J294" i="95"/>
  <c r="J295" i="95"/>
  <c r="K295" i="95" s="1"/>
  <c r="J296" i="95"/>
  <c r="K296" i="95" s="1"/>
  <c r="J297" i="95"/>
  <c r="K297" i="95" s="1"/>
  <c r="J298" i="95"/>
  <c r="K298" i="95" s="1"/>
  <c r="J299" i="95"/>
  <c r="K299" i="95" s="1"/>
  <c r="J300" i="95"/>
  <c r="K300" i="95" s="1"/>
  <c r="J301" i="95"/>
  <c r="J302" i="95"/>
  <c r="J303" i="95"/>
  <c r="J304" i="95"/>
  <c r="J305" i="95"/>
  <c r="J306" i="95"/>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K327" i="95" s="1"/>
  <c r="J328" i="95"/>
  <c r="K328" i="95" s="1"/>
  <c r="J329" i="95"/>
  <c r="K329" i="95" s="1"/>
  <c r="J330" i="95"/>
  <c r="K330" i="95" s="1"/>
  <c r="J331" i="95"/>
  <c r="K331" i="95" s="1"/>
  <c r="J332" i="95"/>
  <c r="K332" i="95" s="1"/>
  <c r="J333" i="95"/>
  <c r="J334" i="95"/>
  <c r="J335" i="95"/>
  <c r="J336" i="95"/>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K354" i="95" s="1"/>
  <c r="J355" i="95"/>
  <c r="J356" i="95"/>
  <c r="J357" i="95"/>
  <c r="K357" i="95" s="1"/>
  <c r="J358" i="95"/>
  <c r="K358" i="95" s="1"/>
  <c r="J359" i="95"/>
  <c r="K359" i="95" s="1"/>
  <c r="J360" i="95"/>
  <c r="K360" i="95" s="1"/>
  <c r="J361" i="95"/>
  <c r="K361" i="95" s="1"/>
  <c r="J362" i="95"/>
  <c r="K362" i="95" s="1"/>
  <c r="J363" i="95"/>
  <c r="K363" i="95" s="1"/>
  <c r="J364" i="95"/>
  <c r="K364" i="95" s="1"/>
  <c r="J365" i="95"/>
  <c r="J366" i="95"/>
  <c r="J367" i="95"/>
  <c r="J368" i="95"/>
  <c r="K368" i="95" s="1"/>
  <c r="J369" i="95"/>
  <c r="J370" i="95"/>
  <c r="J371" i="95"/>
  <c r="J372" i="95"/>
  <c r="J373" i="95"/>
  <c r="J374" i="95"/>
  <c r="J375" i="95"/>
  <c r="J376" i="95"/>
  <c r="J377" i="95"/>
  <c r="J378" i="95"/>
  <c r="K378" i="95" s="1"/>
  <c r="J379" i="95"/>
  <c r="K379" i="95" s="1"/>
  <c r="J380" i="95"/>
  <c r="K380" i="95" s="1"/>
  <c r="J381" i="95"/>
  <c r="K381" i="95" s="1"/>
  <c r="J382" i="95"/>
  <c r="K382" i="95" s="1"/>
  <c r="J383" i="95"/>
  <c r="J384" i="95"/>
  <c r="J385" i="95"/>
  <c r="J386" i="95"/>
  <c r="K386" i="95" s="1"/>
  <c r="J387" i="95"/>
  <c r="K387" i="95" s="1"/>
  <c r="J388" i="95"/>
  <c r="J389" i="95"/>
  <c r="K389" i="95" s="1"/>
  <c r="J390" i="95"/>
  <c r="J391" i="95"/>
  <c r="K391" i="95" s="1"/>
  <c r="J392" i="95"/>
  <c r="K392" i="95" s="1"/>
  <c r="J393" i="95"/>
  <c r="K393" i="95" s="1"/>
  <c r="J394" i="95"/>
  <c r="K394" i="95" s="1"/>
  <c r="J395" i="95"/>
  <c r="K395" i="95" s="1"/>
  <c r="J396" i="95"/>
  <c r="K396" i="95" s="1"/>
  <c r="J397" i="95"/>
  <c r="J398" i="95"/>
  <c r="J399" i="95"/>
  <c r="J400" i="95"/>
  <c r="J401" i="95"/>
  <c r="J402" i="95"/>
  <c r="J403" i="95"/>
  <c r="K403" i="95" s="1"/>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4" i="95"/>
  <c r="K9" i="95"/>
  <c r="K13" i="95"/>
  <c r="K14" i="95"/>
  <c r="K15" i="95"/>
  <c r="K18" i="95"/>
  <c r="K31" i="95"/>
  <c r="K32" i="95"/>
  <c r="K33" i="95"/>
  <c r="K34" i="95"/>
  <c r="K35" i="95"/>
  <c r="K36" i="95"/>
  <c r="K38" i="95"/>
  <c r="K46" i="95"/>
  <c r="K47" i="95"/>
  <c r="K48" i="95"/>
  <c r="K49" i="95"/>
  <c r="K50" i="95"/>
  <c r="K51" i="95"/>
  <c r="K53" i="95"/>
  <c r="K63" i="95"/>
  <c r="K64" i="95"/>
  <c r="K66" i="95"/>
  <c r="K68" i="95"/>
  <c r="K70" i="95"/>
  <c r="K77" i="95"/>
  <c r="K78" i="95"/>
  <c r="K79" i="95"/>
  <c r="K80" i="95"/>
  <c r="K81" i="95"/>
  <c r="K82" i="95"/>
  <c r="K83" i="95"/>
  <c r="K84" i="95"/>
  <c r="K85" i="95"/>
  <c r="K87" i="95"/>
  <c r="K95" i="95"/>
  <c r="K96" i="95"/>
  <c r="K97" i="95"/>
  <c r="K98" i="95"/>
  <c r="K99" i="95"/>
  <c r="K100" i="95"/>
  <c r="K101" i="95"/>
  <c r="K109" i="95"/>
  <c r="K110" i="95"/>
  <c r="K111" i="95"/>
  <c r="K112" i="95"/>
  <c r="K115" i="95"/>
  <c r="K127" i="95"/>
  <c r="K128" i="95"/>
  <c r="K129" i="95"/>
  <c r="K130" i="95"/>
  <c r="K131" i="95"/>
  <c r="K132" i="95"/>
  <c r="K133" i="95"/>
  <c r="K134" i="95"/>
  <c r="K141" i="95"/>
  <c r="K144" i="95"/>
  <c r="K145" i="95"/>
  <c r="K146" i="95"/>
  <c r="K147" i="95"/>
  <c r="K148" i="95"/>
  <c r="K150" i="95"/>
  <c r="K159" i="95"/>
  <c r="K160" i="95"/>
  <c r="K164" i="95"/>
  <c r="K173" i="95"/>
  <c r="K174" i="95"/>
  <c r="K175" i="95"/>
  <c r="K176" i="95"/>
  <c r="K177" i="95"/>
  <c r="K178" i="95"/>
  <c r="K179" i="95"/>
  <c r="K180" i="95"/>
  <c r="K181" i="95"/>
  <c r="K182" i="95"/>
  <c r="K184" i="95"/>
  <c r="K191" i="95"/>
  <c r="K192" i="95"/>
  <c r="K193" i="95"/>
  <c r="K194" i="95"/>
  <c r="K196" i="95"/>
  <c r="K198" i="95"/>
  <c r="K205" i="95"/>
  <c r="K206" i="95"/>
  <c r="K208" i="95"/>
  <c r="K209" i="95"/>
  <c r="K223" i="95"/>
  <c r="K224" i="95"/>
  <c r="K225" i="95"/>
  <c r="K226" i="95"/>
  <c r="K227" i="95"/>
  <c r="K228" i="95"/>
  <c r="K229" i="95"/>
  <c r="K230" i="95"/>
  <c r="K237" i="95"/>
  <c r="K238" i="95"/>
  <c r="K241" i="95"/>
  <c r="K242" i="95"/>
  <c r="K243" i="95"/>
  <c r="K245" i="95"/>
  <c r="K255" i="95"/>
  <c r="K256" i="95"/>
  <c r="K257" i="95"/>
  <c r="K260" i="95"/>
  <c r="K269" i="95"/>
  <c r="K270" i="95"/>
  <c r="K271" i="95"/>
  <c r="K272" i="95"/>
  <c r="K273" i="95"/>
  <c r="K274" i="95"/>
  <c r="K275" i="95"/>
  <c r="K276" i="95"/>
  <c r="K277" i="95"/>
  <c r="K278" i="95"/>
  <c r="K279" i="95"/>
  <c r="K281" i="95"/>
  <c r="K287" i="95"/>
  <c r="K288" i="95"/>
  <c r="K289" i="95"/>
  <c r="K290" i="95"/>
  <c r="K291" i="95"/>
  <c r="K292" i="95"/>
  <c r="K293" i="95"/>
  <c r="K294" i="95"/>
  <c r="K301" i="95"/>
  <c r="K302" i="95"/>
  <c r="K303" i="95"/>
  <c r="K304" i="95"/>
  <c r="K305" i="95"/>
  <c r="K306" i="95"/>
  <c r="K320" i="95"/>
  <c r="K322" i="95"/>
  <c r="K323" i="95"/>
  <c r="K324" i="95"/>
  <c r="K325" i="95"/>
  <c r="K326" i="95"/>
  <c r="K333" i="95"/>
  <c r="K334" i="95"/>
  <c r="K335" i="95"/>
  <c r="K336" i="95"/>
  <c r="K337" i="95"/>
  <c r="K351" i="95"/>
  <c r="K352" i="95"/>
  <c r="K353" i="95"/>
  <c r="K355" i="95"/>
  <c r="K356" i="95"/>
  <c r="K365" i="95"/>
  <c r="K366" i="95"/>
  <c r="K367" i="95"/>
  <c r="K369" i="95"/>
  <c r="K370" i="95"/>
  <c r="K371" i="95"/>
  <c r="K372" i="95"/>
  <c r="K373" i="95"/>
  <c r="K374" i="95"/>
  <c r="K375" i="95"/>
  <c r="K376" i="95"/>
  <c r="K377" i="95"/>
  <c r="K383" i="95"/>
  <c r="K384" i="95"/>
  <c r="K385" i="95"/>
  <c r="K388" i="95"/>
  <c r="K390" i="95"/>
  <c r="K397" i="95"/>
  <c r="K398" i="95"/>
  <c r="K399" i="95"/>
  <c r="K400" i="95"/>
  <c r="K401" i="95"/>
  <c r="K402" i="95"/>
  <c r="K404" i="95"/>
  <c r="K405" i="95"/>
  <c r="K415" i="95"/>
  <c r="K416" i="95"/>
  <c r="K417" i="95"/>
  <c r="K418" i="95"/>
  <c r="K419" i="95"/>
  <c r="K420" i="95"/>
  <c r="L2" i="95"/>
  <c r="M2" i="95" s="1"/>
  <c r="L3" i="95"/>
  <c r="M3" i="95" s="1"/>
  <c r="L4" i="95"/>
  <c r="M4" i="95" s="1"/>
  <c r="L5" i="95"/>
  <c r="M5" i="95" s="1"/>
  <c r="L6" i="95"/>
  <c r="M6" i="95" s="1"/>
  <c r="L7" i="95"/>
  <c r="M7" i="95" s="1"/>
  <c r="L8" i="95"/>
  <c r="L9" i="95"/>
  <c r="L10" i="95"/>
  <c r="L11" i="95"/>
  <c r="L12" i="95"/>
  <c r="M12" i="95" s="1"/>
  <c r="L13" i="95"/>
  <c r="M13" i="95" s="1"/>
  <c r="L14" i="95"/>
  <c r="M14" i="95" s="1"/>
  <c r="L15" i="95"/>
  <c r="L16" i="95"/>
  <c r="M16" i="95" s="1"/>
  <c r="L17" i="95"/>
  <c r="M17" i="95" s="1"/>
  <c r="L18" i="95"/>
  <c r="M18" i="95" s="1"/>
  <c r="L19" i="95"/>
  <c r="L20" i="95"/>
  <c r="M20" i="95" s="1"/>
  <c r="L21" i="95"/>
  <c r="M21" i="95" s="1"/>
  <c r="L22" i="95"/>
  <c r="M22" i="95" s="1"/>
  <c r="L23" i="95"/>
  <c r="M23" i="95" s="1"/>
  <c r="L24" i="95"/>
  <c r="M24" i="95" s="1"/>
  <c r="L25" i="95"/>
  <c r="L26" i="95"/>
  <c r="L27" i="95"/>
  <c r="L28" i="95"/>
  <c r="L29" i="95"/>
  <c r="L30" i="95"/>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L52" i="95"/>
  <c r="M52" i="95" s="1"/>
  <c r="L53" i="95"/>
  <c r="M53" i="95" s="1"/>
  <c r="L54" i="95"/>
  <c r="M54" i="95" s="1"/>
  <c r="L55" i="95"/>
  <c r="M55" i="95" s="1"/>
  <c r="L56" i="95"/>
  <c r="M56" i="95" s="1"/>
  <c r="L57" i="95"/>
  <c r="L58" i="95"/>
  <c r="L59" i="95"/>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L73" i="95"/>
  <c r="M73" i="95" s="1"/>
  <c r="L74" i="95"/>
  <c r="L75" i="95"/>
  <c r="L76" i="95"/>
  <c r="L77" i="95"/>
  <c r="L78" i="95"/>
  <c r="L79" i="95"/>
  <c r="L80" i="95"/>
  <c r="M80" i="95" s="1"/>
  <c r="L81" i="95"/>
  <c r="M81" i="95" s="1"/>
  <c r="L82" i="95"/>
  <c r="M82" i="95" s="1"/>
  <c r="L83" i="95"/>
  <c r="L84" i="95"/>
  <c r="M84" i="95" s="1"/>
  <c r="L85" i="95"/>
  <c r="M85" i="95" s="1"/>
  <c r="L86" i="95"/>
  <c r="M86" i="95" s="1"/>
  <c r="L87" i="95"/>
  <c r="M87" i="95" s="1"/>
  <c r="L88" i="95"/>
  <c r="M88" i="95" s="1"/>
  <c r="L89" i="95"/>
  <c r="L90" i="95"/>
  <c r="M90" i="95" s="1"/>
  <c r="L91" i="95"/>
  <c r="L92" i="95"/>
  <c r="L93" i="95"/>
  <c r="L94" i="95"/>
  <c r="L95" i="95"/>
  <c r="L96" i="95"/>
  <c r="L97" i="95"/>
  <c r="M97" i="95" s="1"/>
  <c r="L98" i="95"/>
  <c r="M98" i="95" s="1"/>
  <c r="L99" i="95"/>
  <c r="M99" i="95" s="1"/>
  <c r="L100" i="95"/>
  <c r="M100" i="95" s="1"/>
  <c r="L101" i="95"/>
  <c r="M101" i="95" s="1"/>
  <c r="L102" i="95"/>
  <c r="M102" i="95" s="1"/>
  <c r="L103" i="95"/>
  <c r="M103" i="95" s="1"/>
  <c r="L104" i="95"/>
  <c r="L105" i="95"/>
  <c r="L106" i="95"/>
  <c r="L107" i="95"/>
  <c r="L108" i="95"/>
  <c r="L109" i="95"/>
  <c r="M109" i="95" s="1"/>
  <c r="L110" i="95"/>
  <c r="M110" i="95" s="1"/>
  <c r="L111" i="95"/>
  <c r="M111" i="95" s="1"/>
  <c r="L112" i="95"/>
  <c r="M112" i="95" s="1"/>
  <c r="L113" i="95"/>
  <c r="L114" i="95"/>
  <c r="M114" i="95" s="1"/>
  <c r="L115" i="95"/>
  <c r="L116" i="95"/>
  <c r="M116" i="95" s="1"/>
  <c r="L117" i="95"/>
  <c r="M117" i="95" s="1"/>
  <c r="L118" i="95"/>
  <c r="M118" i="95" s="1"/>
  <c r="L119" i="95"/>
  <c r="M119" i="95" s="1"/>
  <c r="L120" i="95"/>
  <c r="M120" i="95" s="1"/>
  <c r="L121" i="95"/>
  <c r="L122" i="95"/>
  <c r="L123" i="95"/>
  <c r="L124" i="95"/>
  <c r="L125" i="95"/>
  <c r="L126" i="95"/>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L145" i="95"/>
  <c r="L146" i="95"/>
  <c r="L147" i="95"/>
  <c r="L148" i="95"/>
  <c r="M148" i="95" s="1"/>
  <c r="L149" i="95"/>
  <c r="M149" i="95" s="1"/>
  <c r="L150" i="95"/>
  <c r="M150" i="95" s="1"/>
  <c r="L151" i="95"/>
  <c r="M151" i="95" s="1"/>
  <c r="L152" i="95"/>
  <c r="M152" i="95" s="1"/>
  <c r="L153" i="95"/>
  <c r="L154" i="95"/>
  <c r="L155" i="95"/>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M174" i="95" s="1"/>
  <c r="L175" i="95"/>
  <c r="L176" i="95"/>
  <c r="L177" i="95"/>
  <c r="M177" i="95" s="1"/>
  <c r="L178" i="95"/>
  <c r="M178" i="95" s="1"/>
  <c r="L179" i="95"/>
  <c r="L180" i="95"/>
  <c r="M180" i="95" s="1"/>
  <c r="L181" i="95"/>
  <c r="M181" i="95" s="1"/>
  <c r="L182" i="95"/>
  <c r="M182" i="95" s="1"/>
  <c r="L183" i="95"/>
  <c r="M183" i="95" s="1"/>
  <c r="L184" i="95"/>
  <c r="M184" i="95" s="1"/>
  <c r="L185" i="95"/>
  <c r="L186" i="95"/>
  <c r="L187" i="95"/>
  <c r="M187" i="95" s="1"/>
  <c r="L188" i="95"/>
  <c r="M188" i="95" s="1"/>
  <c r="L189" i="95"/>
  <c r="L190" i="95"/>
  <c r="L191" i="95"/>
  <c r="L192" i="95"/>
  <c r="L193" i="95"/>
  <c r="M193" i="95" s="1"/>
  <c r="L194" i="95"/>
  <c r="M194" i="95" s="1"/>
  <c r="L195" i="95"/>
  <c r="M195" i="95" s="1"/>
  <c r="L196" i="95"/>
  <c r="M196" i="95" s="1"/>
  <c r="L197" i="95"/>
  <c r="M197" i="95" s="1"/>
  <c r="L198" i="95"/>
  <c r="M198" i="95" s="1"/>
  <c r="L199" i="95"/>
  <c r="M199" i="95" s="1"/>
  <c r="L200" i="95"/>
  <c r="L201" i="95"/>
  <c r="L202" i="95"/>
  <c r="L203" i="95"/>
  <c r="L204" i="95"/>
  <c r="L205" i="95"/>
  <c r="L206" i="95"/>
  <c r="M206" i="95" s="1"/>
  <c r="L207" i="95"/>
  <c r="M207" i="95" s="1"/>
  <c r="L208" i="95"/>
  <c r="M208" i="95" s="1"/>
  <c r="L209" i="95"/>
  <c r="M209" i="95" s="1"/>
  <c r="L210" i="95"/>
  <c r="M210" i="95" s="1"/>
  <c r="L211" i="95"/>
  <c r="L212" i="95"/>
  <c r="M212" i="95" s="1"/>
  <c r="L213" i="95"/>
  <c r="M213" i="95" s="1"/>
  <c r="L214" i="95"/>
  <c r="M214" i="95" s="1"/>
  <c r="L215" i="95"/>
  <c r="M215" i="95" s="1"/>
  <c r="L216" i="95"/>
  <c r="M216" i="95" s="1"/>
  <c r="L217" i="95"/>
  <c r="L218" i="95"/>
  <c r="L219" i="95"/>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M236" i="95" s="1"/>
  <c r="L237" i="95"/>
  <c r="M237" i="95" s="1"/>
  <c r="L238" i="95"/>
  <c r="M238" i="95" s="1"/>
  <c r="L239" i="95"/>
  <c r="L240" i="95"/>
  <c r="L241" i="95"/>
  <c r="L242" i="95"/>
  <c r="L243" i="95"/>
  <c r="L244" i="95"/>
  <c r="M244" i="95" s="1"/>
  <c r="L245" i="95"/>
  <c r="M245" i="95" s="1"/>
  <c r="L246" i="95"/>
  <c r="M246" i="95" s="1"/>
  <c r="L247" i="95"/>
  <c r="M247" i="95" s="1"/>
  <c r="L248" i="95"/>
  <c r="M248" i="95" s="1"/>
  <c r="L249" i="95"/>
  <c r="L250" i="95"/>
  <c r="L251" i="95"/>
  <c r="L252" i="95"/>
  <c r="L253" i="95"/>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L265" i="95"/>
  <c r="M265" i="95" s="1"/>
  <c r="L266" i="95"/>
  <c r="L267" i="95"/>
  <c r="L268" i="95"/>
  <c r="L269" i="95"/>
  <c r="M269" i="95" s="1"/>
  <c r="L270" i="95"/>
  <c r="L271" i="95"/>
  <c r="L272" i="95"/>
  <c r="L273" i="95"/>
  <c r="L274" i="95"/>
  <c r="M274" i="95" s="1"/>
  <c r="L275" i="95"/>
  <c r="M275" i="95" s="1"/>
  <c r="L276" i="95"/>
  <c r="M276" i="95" s="1"/>
  <c r="L277" i="95"/>
  <c r="M277" i="95" s="1"/>
  <c r="L278" i="95"/>
  <c r="M278" i="95" s="1"/>
  <c r="L279" i="95"/>
  <c r="M279" i="95" s="1"/>
  <c r="L280" i="95"/>
  <c r="M280" i="95" s="1"/>
  <c r="L281" i="95"/>
  <c r="L282" i="95"/>
  <c r="L283" i="95"/>
  <c r="L284" i="95"/>
  <c r="M284" i="95" s="1"/>
  <c r="L285" i="95"/>
  <c r="L286" i="95"/>
  <c r="L287" i="95"/>
  <c r="L288" i="95"/>
  <c r="L289" i="95"/>
  <c r="M289" i="95" s="1"/>
  <c r="L290" i="95"/>
  <c r="M290" i="95" s="1"/>
  <c r="L291" i="95"/>
  <c r="M291" i="95" s="1"/>
  <c r="L292" i="95"/>
  <c r="M292" i="95" s="1"/>
  <c r="L293" i="95"/>
  <c r="M293" i="95" s="1"/>
  <c r="L294" i="95"/>
  <c r="M294" i="95" s="1"/>
  <c r="L295" i="95"/>
  <c r="M295" i="95" s="1"/>
  <c r="L296" i="95"/>
  <c r="L297" i="95"/>
  <c r="M297" i="95" s="1"/>
  <c r="L298" i="95"/>
  <c r="L299" i="95"/>
  <c r="L300" i="95"/>
  <c r="L301" i="95"/>
  <c r="L302" i="95"/>
  <c r="L303" i="95"/>
  <c r="M303" i="95" s="1"/>
  <c r="L304" i="95"/>
  <c r="M304" i="95" s="1"/>
  <c r="L305" i="95"/>
  <c r="M305" i="95" s="1"/>
  <c r="L306" i="95"/>
  <c r="M306" i="95" s="1"/>
  <c r="L307" i="95"/>
  <c r="L308" i="95"/>
  <c r="M308" i="95" s="1"/>
  <c r="L309" i="95"/>
  <c r="M309" i="95" s="1"/>
  <c r="L310" i="95"/>
  <c r="M310" i="95" s="1"/>
  <c r="L311" i="95"/>
  <c r="M311" i="95" s="1"/>
  <c r="L312" i="95"/>
  <c r="M312" i="95" s="1"/>
  <c r="L313" i="95"/>
  <c r="L314" i="95"/>
  <c r="L315" i="95"/>
  <c r="L316" i="95"/>
  <c r="L317" i="95"/>
  <c r="L318" i="95"/>
  <c r="L319" i="95"/>
  <c r="M319" i="95" s="1"/>
  <c r="L320" i="95"/>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M333" i="95" s="1"/>
  <c r="L334" i="95"/>
  <c r="M334" i="95" s="1"/>
  <c r="L335" i="95"/>
  <c r="L336" i="95"/>
  <c r="M336" i="95" s="1"/>
  <c r="L337" i="95"/>
  <c r="L338" i="95"/>
  <c r="L339" i="95"/>
  <c r="L340" i="95"/>
  <c r="M340" i="95" s="1"/>
  <c r="L341" i="95"/>
  <c r="M341" i="95" s="1"/>
  <c r="L342" i="95"/>
  <c r="M342" i="95" s="1"/>
  <c r="L343" i="95"/>
  <c r="M343" i="95" s="1"/>
  <c r="L344" i="95"/>
  <c r="M344" i="95" s="1"/>
  <c r="L345" i="95"/>
  <c r="L346" i="95"/>
  <c r="L347" i="95"/>
  <c r="L348" i="95"/>
  <c r="L349" i="95"/>
  <c r="L350" i="95"/>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M366" i="95" s="1"/>
  <c r="L367" i="95"/>
  <c r="L368" i="95"/>
  <c r="M368" i="95" s="1"/>
  <c r="L369" i="95"/>
  <c r="L370" i="95"/>
  <c r="L371" i="95"/>
  <c r="M371" i="95" s="1"/>
  <c r="L372" i="95"/>
  <c r="M372" i="95" s="1"/>
  <c r="L373" i="95"/>
  <c r="M373" i="95" s="1"/>
  <c r="L374" i="95"/>
  <c r="M374" i="95" s="1"/>
  <c r="L375" i="95"/>
  <c r="M375" i="95" s="1"/>
  <c r="L376" i="95"/>
  <c r="M376" i="95" s="1"/>
  <c r="L377" i="95"/>
  <c r="L378" i="95"/>
  <c r="L379" i="95"/>
  <c r="L380" i="95"/>
  <c r="L381" i="95"/>
  <c r="L382" i="95"/>
  <c r="L383" i="95"/>
  <c r="L384" i="95"/>
  <c r="L385" i="95"/>
  <c r="M385" i="95" s="1"/>
  <c r="L386" i="95"/>
  <c r="M386" i="95" s="1"/>
  <c r="L387" i="95"/>
  <c r="M387" i="95" s="1"/>
  <c r="L388" i="95"/>
  <c r="M388" i="95" s="1"/>
  <c r="L389" i="95"/>
  <c r="M389" i="95" s="1"/>
  <c r="L390" i="95"/>
  <c r="M390" i="95" s="1"/>
  <c r="L391" i="95"/>
  <c r="M391" i="95" s="1"/>
  <c r="L392" i="95"/>
  <c r="L393" i="95"/>
  <c r="M393" i="95" s="1"/>
  <c r="L394" i="95"/>
  <c r="L395" i="95"/>
  <c r="L396" i="95"/>
  <c r="L397" i="95"/>
  <c r="L398" i="95"/>
  <c r="L399" i="95"/>
  <c r="L400" i="95"/>
  <c r="M400" i="95" s="1"/>
  <c r="L401" i="95"/>
  <c r="M401" i="95" s="1"/>
  <c r="L402" i="95"/>
  <c r="M402" i="95" s="1"/>
  <c r="L403" i="95"/>
  <c r="L404" i="95"/>
  <c r="M404" i="95" s="1"/>
  <c r="L405" i="95"/>
  <c r="M405" i="95" s="1"/>
  <c r="L406" i="95"/>
  <c r="M406" i="95" s="1"/>
  <c r="L407" i="95"/>
  <c r="M407" i="95" s="1"/>
  <c r="L408" i="95"/>
  <c r="M408" i="95" s="1"/>
  <c r="L409" i="95"/>
  <c r="L410" i="95"/>
  <c r="L411" i="95"/>
  <c r="L412" i="95"/>
  <c r="L413" i="95"/>
  <c r="L414" i="95"/>
  <c r="L415" i="95"/>
  <c r="L416" i="95"/>
  <c r="M416" i="95" s="1"/>
  <c r="L417" i="95"/>
  <c r="M417" i="95" s="1"/>
  <c r="L418" i="95"/>
  <c r="M418" i="95" s="1"/>
  <c r="L419" i="95"/>
  <c r="M419" i="95" s="1"/>
  <c r="L420" i="95"/>
  <c r="M420" i="95" s="1"/>
  <c r="M8" i="95"/>
  <c r="M9" i="95"/>
  <c r="M10" i="95"/>
  <c r="M11" i="95"/>
  <c r="M15" i="95"/>
  <c r="M19" i="95"/>
  <c r="M25" i="95"/>
  <c r="M26" i="95"/>
  <c r="M27" i="95"/>
  <c r="M28" i="95"/>
  <c r="M29" i="95"/>
  <c r="M30" i="95"/>
  <c r="M42" i="95"/>
  <c r="M43" i="95"/>
  <c r="M44" i="95"/>
  <c r="M45" i="95"/>
  <c r="M46" i="95"/>
  <c r="M47" i="95"/>
  <c r="M48" i="95"/>
  <c r="M49" i="95"/>
  <c r="M50" i="95"/>
  <c r="M51" i="95"/>
  <c r="M57" i="95"/>
  <c r="M58" i="95"/>
  <c r="M59" i="95"/>
  <c r="M72" i="95"/>
  <c r="M74" i="95"/>
  <c r="M75" i="95"/>
  <c r="M76" i="95"/>
  <c r="M77" i="95"/>
  <c r="M78" i="95"/>
  <c r="M79" i="95"/>
  <c r="M83" i="95"/>
  <c r="M89" i="95"/>
  <c r="M91" i="95"/>
  <c r="M92" i="95"/>
  <c r="M93" i="95"/>
  <c r="M94" i="95"/>
  <c r="M95" i="95"/>
  <c r="M96" i="95"/>
  <c r="M104" i="95"/>
  <c r="M105" i="95"/>
  <c r="M106" i="95"/>
  <c r="M107" i="95"/>
  <c r="M108" i="95"/>
  <c r="M113" i="95"/>
  <c r="M115" i="95"/>
  <c r="M121" i="95"/>
  <c r="M122" i="95"/>
  <c r="M123" i="95"/>
  <c r="M124" i="95"/>
  <c r="M125" i="95"/>
  <c r="M126" i="95"/>
  <c r="M127" i="95"/>
  <c r="M138" i="95"/>
  <c r="M139" i="95"/>
  <c r="M140" i="95"/>
  <c r="M141" i="95"/>
  <c r="M142" i="95"/>
  <c r="M143" i="95"/>
  <c r="M144" i="95"/>
  <c r="M145" i="95"/>
  <c r="M146" i="95"/>
  <c r="M147" i="95"/>
  <c r="M153" i="95"/>
  <c r="M154" i="95"/>
  <c r="M155" i="95"/>
  <c r="M156" i="95"/>
  <c r="M170" i="95"/>
  <c r="M171" i="95"/>
  <c r="M172" i="95"/>
  <c r="M173" i="95"/>
  <c r="M175" i="95"/>
  <c r="M176" i="95"/>
  <c r="M179" i="95"/>
  <c r="M185" i="95"/>
  <c r="M186" i="95"/>
  <c r="M189" i="95"/>
  <c r="M190" i="95"/>
  <c r="M191" i="95"/>
  <c r="M192" i="95"/>
  <c r="M200" i="95"/>
  <c r="M201" i="95"/>
  <c r="M202" i="95"/>
  <c r="M203" i="95"/>
  <c r="M204" i="95"/>
  <c r="M205" i="95"/>
  <c r="M211" i="95"/>
  <c r="M217" i="95"/>
  <c r="M218" i="95"/>
  <c r="M219" i="95"/>
  <c r="M220" i="95"/>
  <c r="M221" i="95"/>
  <c r="M222" i="95"/>
  <c r="M223" i="95"/>
  <c r="M224" i="95"/>
  <c r="M234" i="95"/>
  <c r="M235" i="95"/>
  <c r="M239" i="95"/>
  <c r="M240" i="95"/>
  <c r="M241" i="95"/>
  <c r="M242" i="95"/>
  <c r="M243" i="95"/>
  <c r="M249" i="95"/>
  <c r="M250" i="95"/>
  <c r="M251" i="95"/>
  <c r="M252" i="95"/>
  <c r="M253" i="95"/>
  <c r="M264" i="95"/>
  <c r="M266" i="95"/>
  <c r="M267" i="95"/>
  <c r="M268" i="95"/>
  <c r="M270" i="95"/>
  <c r="M271" i="95"/>
  <c r="M272" i="95"/>
  <c r="M273" i="95"/>
  <c r="M281" i="95"/>
  <c r="M282" i="95"/>
  <c r="M283" i="95"/>
  <c r="M285" i="95"/>
  <c r="M286" i="95"/>
  <c r="M287" i="95"/>
  <c r="M288" i="95"/>
  <c r="M296" i="95"/>
  <c r="M298" i="95"/>
  <c r="M299" i="95"/>
  <c r="M300" i="95"/>
  <c r="M301" i="95"/>
  <c r="M302" i="95"/>
  <c r="M307" i="95"/>
  <c r="M313" i="95"/>
  <c r="M314" i="95"/>
  <c r="M315" i="95"/>
  <c r="M316" i="95"/>
  <c r="M317" i="95"/>
  <c r="M318" i="95"/>
  <c r="M320" i="95"/>
  <c r="M330" i="95"/>
  <c r="M331" i="95"/>
  <c r="M332" i="95"/>
  <c r="M335" i="95"/>
  <c r="M337" i="95"/>
  <c r="M338" i="95"/>
  <c r="M339" i="95"/>
  <c r="M345" i="95"/>
  <c r="M346" i="95"/>
  <c r="M347" i="95"/>
  <c r="M348" i="95"/>
  <c r="M349" i="95"/>
  <c r="M350" i="95"/>
  <c r="M362" i="95"/>
  <c r="M363" i="95"/>
  <c r="M364" i="95"/>
  <c r="M365" i="95"/>
  <c r="M367" i="95"/>
  <c r="M369" i="95"/>
  <c r="M370" i="95"/>
  <c r="M377" i="95"/>
  <c r="M378" i="95"/>
  <c r="M379" i="95"/>
  <c r="M380" i="95"/>
  <c r="M381" i="95"/>
  <c r="M382" i="95"/>
  <c r="M383" i="95"/>
  <c r="M384" i="95"/>
  <c r="M392" i="95"/>
  <c r="M394" i="95"/>
  <c r="M395" i="95"/>
  <c r="M396" i="95"/>
  <c r="M397" i="95"/>
  <c r="M398" i="95"/>
  <c r="M399" i="95"/>
  <c r="M403" i="95"/>
  <c r="M409" i="95"/>
  <c r="M410" i="95"/>
  <c r="M411" i="95"/>
  <c r="M412" i="95"/>
  <c r="M413" i="95"/>
  <c r="M414" i="95"/>
  <c r="M415"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K221" i="95" l="1"/>
  <c r="K219" i="95"/>
  <c r="G2" i="100" a="1"/>
  <c r="G2" i="100" l="1"/>
  <c r="I2" i="100" s="1" a="1"/>
  <c r="I2" i="100" s="1"/>
  <c r="Z2" i="78" l="1" a="1"/>
  <c r="Z2" i="78" s="1"/>
  <c r="E55" i="8" l="1"/>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5" i="78" a="1"/>
  <c r="O2"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0" i="78" a="1"/>
  <c r="O8" i="78" a="1"/>
  <c r="O3" i="78" a="1"/>
  <c r="O19" i="78" a="1"/>
  <c r="O12" i="78" a="1"/>
  <c r="O9" i="78" a="1"/>
  <c r="O7" i="78" a="1"/>
  <c r="O6" i="78" a="1"/>
  <c r="O4"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V56" i="8" l="1" a="1"/>
  <c r="V56" i="8" s="1"/>
  <c r="P56" i="8"/>
  <c r="Q56" i="8" a="1"/>
  <c r="Q56" i="8" s="1"/>
  <c r="U56" i="8"/>
  <c r="F60" i="8"/>
  <c r="N24" i="26"/>
  <c r="E36" i="8"/>
  <c r="F36" i="8" s="1"/>
  <c r="G36" i="8" s="1"/>
  <c r="E6" i="4"/>
  <c r="P6" i="95"/>
  <c r="P7" i="95"/>
  <c r="Q7" i="95"/>
  <c r="S49" i="8" s="1"/>
  <c r="D30" i="26"/>
  <c r="L60" i="8"/>
  <c r="K61" i="8"/>
  <c r="Q6" i="95"/>
  <c r="X49" i="8" s="1"/>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C10" i="4" l="1" a="1"/>
  <c r="C10" i="4" s="1"/>
  <c r="L10" i="4" a="1"/>
  <c r="L10" i="4" s="1"/>
  <c r="A10" i="4"/>
  <c r="F10" i="4" s="1" a="1"/>
  <c r="F10" i="4" s="1"/>
  <c r="A22" i="4" a="1"/>
  <c r="G1" i="8"/>
  <c r="E6" i="26" s="1"/>
  <c r="I10" i="4" l="1" a="1"/>
  <c r="I10" i="4" s="1"/>
  <c r="K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<sst xmlns="http://schemas.openxmlformats.org/spreadsheetml/2006/main" count="2502" uniqueCount="1255">
  <si>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</si>
  <si>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</si>
  <si>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</si>
  <si>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</si>
  <si>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</si>
  <si>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</si>
  <si>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</si>
  <si>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</si>
  <si>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</si>
  <si>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</si>
  <si>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</si>
  <si>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</si>
  <si>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</si>
  <si>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</si>
  <si>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</si>
  <si>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</si>
  <si>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</si>
  <si>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</si>
  <si>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</si>
  <si>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</si>
  <si>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</si>
  <si>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</si>
  <si>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</si>
  <si>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</si>
  <si>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</si>
  <si>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</si>
  <si>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</si>
  <si>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</si>
  <si>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</si>
  <si>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</si>
  <si>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</si>
  <si>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</si>
  <si>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</si>
  <si>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</si>
  <si>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</si>
  <si>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</si>
  <si>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</si>
  <si>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</si>
  <si>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</si>
  <si>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</si>
  <si>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</si>
  <si>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</si>
  <si>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</si>
  <si>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</si>
  <si>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</si>
  <si>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</si>
  <si>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</si>
  <si>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</si>
  <si>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</si>
  <si>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</si>
  <si>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</si>
  <si>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</si>
  <si>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</si>
  <si>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</si>
  <si>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</si>
  <si>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</si>
  <si>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</si>
  <si>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</si>
  <si>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</si>
  <si>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</si>
  <si>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</si>
  <si>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</si>
  <si>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</si>
  <si>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</si>
  <si>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</si>
  <si>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</si>
  <si>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</si>
  <si>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</si>
  <si>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</si>
  <si>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</si>
  <si>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</si>
  <si>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</si>
  <si>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</si>
  <si>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</si>
  <si>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</si>
  <si>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</si>
  <si>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</si>
  <si>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</si>
  <si>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</si>
  <si>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</si>
  <si>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</si>
  <si>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</si>
  <si>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</si>
  <si>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</si>
  <si>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</si>
  <si>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</si>
  <si>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</si>
  <si>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</si>
  <si>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</si>
  <si>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</si>
  <si>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</si>
  <si>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</si>
  <si>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</si>
  <si>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</si>
  <si>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</si>
  <si>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</si>
  <si>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</si>
  <si>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</si>
  <si>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</si>
  <si>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</si>
  <si>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</si>
  <si>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</si>
  <si>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</si>
  <si>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</si>
  <si>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</si>
  <si>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</si>
  <si>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</si>
  <si>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</si>
  <si>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</si>
  <si>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</si>
  <si>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</si>
  <si>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</si>
  <si>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</si>
  <si>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</si>
  <si>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</si>
  <si>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</si>
  <si>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</si>
  <si>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</si>
  <si>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</si>
  <si>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</si>
  <si>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</si>
  <si>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</si>
  <si>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</si>
  <si>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</si>
  <si>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</si>
  <si>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</si>
  <si>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</si>
  <si>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</si>
  <si>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</si>
  <si>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</si>
  <si>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</si>
  <si>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</si>
  <si>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</si>
  <si>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</si>
  <si>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</si>
  <si>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</si>
  <si>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</si>
  <si>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</si>
  <si>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</si>
  <si>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</si>
  <si>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</si>
  <si>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</si>
  <si>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</si>
  <si>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</si>
  <si>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</si>
  <si>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</si>
  <si>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</si>
  <si>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</si>
  <si>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</si>
  <si>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</si>
  <si>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</si>
  <si>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</si>
  <si>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</si>
  <si>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</si>
  <si>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</si>
  <si>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</si>
  <si>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</si>
  <si>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</si>
  <si>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</si>
  <si>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</si>
  <si>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</si>
  <si>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</si>
  <si>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</si>
  <si>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</si>
  <si>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</si>
  <si>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</si>
  <si>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</si>
  <si>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</si>
  <si>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</si>
  <si>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</si>
  <si>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</si>
  <si>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</si>
  <si>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</si>
  <si>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</si>
  <si>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</si>
  <si>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</si>
  <si>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</si>
  <si>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</si>
  <si>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</si>
  <si>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</si>
  <si>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</si>
  <si>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</si>
  <si>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</si>
  <si>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</si>
  <si>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</si>
  <si>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</si>
  <si>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</si>
  <si>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</si>
  <si>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</si>
  <si>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</si>
  <si>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</si>
  <si>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</si>
  <si>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</si>
  <si>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</si>
  <si>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</si>
  <si>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</si>
  <si>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</si>
  <si>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</si>
  <si>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</si>
  <si>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</si>
  <si>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</si>
  <si>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</si>
  <si>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</si>
  <si>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</si>
  <si>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</si>
  <si>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</si>
  <si>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</si>
  <si>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</si>
  <si>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</si>
  <si>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</si>
  <si>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</si>
  <si>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</si>
  <si>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</si>
  <si>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</si>
  <si>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</si>
  <si>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</si>
  <si>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</si>
  <si>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</si>
  <si>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</si>
  <si>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</si>
  <si>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</si>
  <si>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</si>
  <si>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</si>
  <si>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</si>
  <si>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</si>
  <si>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</si>
  <si>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</si>
  <si>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</si>
  <si>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</si>
  <si>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</si>
  <si>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</si>
  <si>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</si>
  <si>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</si>
  <si>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</si>
  <si>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</si>
  <si>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</si>
  <si>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</si>
  <si>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</si>
  <si>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</si>
  <si>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</si>
  <si>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</si>
  <si>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</si>
  <si>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</si>
  <si>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</si>
  <si>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</si>
  <si>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</si>
  <si>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</si>
  <si>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</si>
  <si>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</si>
  <si>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</si>
  <si>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</si>
  <si>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</si>
  <si>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</si>
  <si>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</si>
  <si>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</si>
  <si>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</si>
  <si>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</si>
  <si>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</si>
  <si>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</si>
  <si>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</si>
  <si>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</si>
  <si>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</si>
  <si>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</si>
  <si>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</si>
  <si>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</si>
  <si>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</si>
  <si>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</si>
  <si>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</si>
  <si>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</si>
  <si>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</si>
  <si>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</si>
  <si>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</si>
  <si>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</si>
  <si>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</si>
  <si>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</si>
  <si>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</si>
  <si>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</si>
  <si>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</si>
  <si>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</si>
  <si>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</si>
  <si>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</si>
  <si>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</si>
  <si>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</si>
  <si>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</si>
  <si>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</si>
  <si>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</si>
  <si>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</si>
  <si>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</si>
  <si>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</si>
  <si>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</si>
  <si>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</si>
  <si>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</si>
  <si>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</si>
  <si>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</si>
  <si>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</si>
  <si>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</si>
  <si>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</si>
  <si>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</si>
  <si>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</si>
  <si>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</si>
  <si>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</si>
  <si>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</si>
  <si>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</si>
  <si>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</si>
  <si>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</si>
  <si>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</si>
  <si>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</si>
  <si>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</si>
  <si>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</si>
  <si>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</si>
  <si>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</si>
  <si>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</si>
  <si>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</si>
  <si>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</si>
  <si>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</si>
  <si>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</si>
  <si>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</si>
  <si>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</si>
  <si>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</si>
  <si>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</si>
  <si>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</si>
  <si>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</si>
  <si>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</si>
  <si>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</si>
  <si>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</si>
  <si>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</si>
  <si>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</si>
  <si>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</si>
  <si>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</si>
  <si>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</si>
  <si>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</si>
  <si>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</si>
  <si>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</si>
  <si>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</si>
  <si>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</si>
  <si>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</si>
  <si>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</si>
  <si>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</si>
  <si>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</si>
  <si>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</si>
  <si>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</si>
  <si>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</si>
  <si>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</si>
  <si>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</si>
  <si>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</si>
  <si>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</si>
  <si>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</si>
  <si>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</si>
  <si>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</si>
  <si>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</si>
  <si>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</si>
  <si>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</si>
  <si>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</si>
  <si>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</si>
  <si>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</si>
  <si>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</si>
  <si>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</si>
  <si>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</si>
  <si>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</si>
  <si>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</si>
  <si>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</si>
  <si>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</si>
  <si>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</si>
  <si>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</si>
  <si>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</si>
  <si>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</si>
  <si>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</si>
  <si>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</si>
  <si>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</si>
  <si>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</si>
  <si>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</si>
  <si>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</si>
  <si>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</si>
  <si>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</si>
  <si>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</si>
  <si>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</si>
  <si>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</si>
  <si>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</si>
  <si>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</si>
  <si>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</si>
  <si>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</si>
  <si>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</si>
  <si>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</si>
  <si>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</si>
  <si>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</si>
  <si>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</si>
  <si>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</si>
  <si>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</si>
  <si>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</si>
  <si>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</si>
  <si>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</si>
  <si>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</si>
  <si>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</si>
  <si>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</si>
  <si>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</si>
  <si>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</si>
  <si>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</si>
  <si>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</si>
  <si>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</si>
  <si>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</si>
  <si>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</si>
  <si>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</si>
  <si>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</si>
  <si>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</si>
  <si>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</si>
  <si>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</si>
  <si>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</si>
  <si>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</si>
  <si>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</si>
  <si>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</si>
  <si>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</si>
  <si>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</si>
  <si>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</si>
  <si>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</si>
  <si>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</si>
  <si>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</si>
  <si>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</si>
  <si>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</si>
  <si>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</si>
  <si>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</si>
  <si>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</si>
  <si>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</si>
  <si>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</si>
  <si>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</si>
  <si>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</si>
  <si>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</si>
  <si>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</si>
  <si>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</si>
  <si>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</si>
  <si>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</si>
  <si>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</si>
  <si>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</si>
  <si>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</si>
  <si>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</si>
  <si>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</si>
  <si>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</si>
  <si>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</si>
  <si>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</si>
  <si>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</si>
  <si>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</si>
  <si>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</si>
  <si>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</si>
  <si>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</si>
  <si>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</si>
  <si>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</si>
  <si>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</si>
  <si>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</si>
  <si>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</si>
  <si>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</si>
  <si>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</si>
  <si>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</si>
  <si>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</si>
  <si>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</si>
  <si>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</si>
  <si>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</si>
  <si>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</si>
  <si>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</si>
  <si>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</si>
  <si>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</si>
  <si>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</si>
  <si>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</si>
  <si>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</si>
  <si>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</si>
  <si>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</si>
  <si>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</si>
  <si>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</si>
  <si>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</si>
  <si>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</si>
  <si>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</si>
  <si>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</si>
  <si>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</si>
  <si>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</si>
  <si>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</si>
  <si>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</si>
  <si>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</si>
  <si>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</si>
  <si>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</si>
  <si>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</si>
  <si>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</si>
  <si>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</si>
  <si>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</si>
  <si>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</si>
  <si>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</si>
  <si>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</si>
  <si>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</si>
  <si>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</si>
  <si>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</si>
  <si>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</si>
  <si>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</si>
  <si>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</si>
  <si>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</si>
  <si>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</si>
  <si>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</si>
  <si>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</si>
  <si>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</si>
  <si>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</si>
  <si>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</si>
  <si>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</si>
  <si>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</si>
  <si>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</si>
  <si>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</si>
  <si>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</si>
  <si>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</si>
  <si>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</si>
  <si>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</si>
  <si>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</si>
  <si>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</si>
  <si>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</si>
  <si>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</si>
  <si>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</si>
  <si>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</si>
  <si>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</si>
  <si>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</si>
  <si>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</si>
  <si>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</si>
  <si>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</si>
  <si>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</si>
  <si>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</si>
  <si>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</si>
  <si>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</si>
  <si>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</si>
  <si>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</si>
  <si>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</si>
  <si>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</si>
  <si>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</si>
  <si>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</si>
  <si>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</si>
  <si>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</si>
  <si>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</si>
  <si>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</si>
  <si>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</si>
  <si>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</si>
  <si>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</si>
  <si>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</si>
  <si>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</si>
  <si>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</si>
  <si>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</si>
  <si>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</si>
  <si>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</si>
  <si>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</si>
  <si>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</si>
  <si>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</si>
  <si>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</si>
  <si>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</si>
  <si>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</si>
  <si>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</si>
  <si>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</si>
  <si>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</si>
  <si>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</si>
  <si>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</si>
  <si>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</si>
  <si>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</si>
  <si>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</si>
  <si>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</si>
  <si>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</si>
  <si>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</si>
  <si>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</si>
  <si>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</si>
  <si>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</si>
  <si>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</si>
  <si>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</si>
  <si>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</si>
  <si>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</si>
  <si>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</si>
  <si>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</si>
  <si>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</si>
  <si>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</si>
  <si>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</si>
  <si>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</si>
  <si>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</si>
  <si>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</si>
  <si>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</si>
  <si>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</si>
  <si>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</si>
  <si>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</si>
  <si>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</si>
  <si>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</si>
  <si>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</si>
  <si>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</si>
  <si>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</si>
  <si>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</si>
  <si>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</si>
  <si>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</si>
  <si>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</si>
  <si>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</si>
  <si>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</si>
  <si>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</si>
  <si>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</si>
  <si>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</si>
  <si>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</si>
  <si>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</si>
  <si>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</si>
  <si>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</si>
  <si>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</si>
  <si>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</si>
  <si>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</si>
  <si>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</si>
  <si>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</si>
  <si>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</si>
  <si>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</si>
  <si>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</si>
  <si>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</si>
  <si>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</si>
  <si>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</si>
  <si>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</si>
  <si>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</si>
  <si>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</si>
  <si>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</si>
  <si>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</si>
  <si>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</si>
  <si>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</si>
  <si>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</si>
  <si>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</si>
  <si>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</si>
  <si>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</si>
  <si>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</si>
  <si>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</si>
  <si>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</si>
  <si>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</si>
  <si>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</si>
  <si>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</si>
  <si>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</si>
  <si>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</si>
  <si>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</si>
  <si>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</si>
  <si>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</si>
  <si>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</si>
  <si>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</si>
  <si>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</si>
  <si>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</si>
  <si>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</si>
  <si>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</si>
  <si>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</si>
  <si>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</si>
  <si>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</si>
  <si>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</si>
  <si>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</si>
  <si>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</si>
  <si>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</si>
  <si>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</si>
  <si>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</si>
  <si>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</si>
  <si>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</si>
  <si>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</si>
  <si>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</si>
  <si>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</si>
  <si>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</si>
  <si>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</si>
  <si>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</si>
  <si>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</si>
  <si>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</si>
  <si>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</si>
  <si>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</si>
  <si>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</si>
  <si>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</si>
  <si>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</si>
  <si>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</si>
  <si>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</si>
  <si>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</si>
  <si>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</si>
  <si>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</si>
  <si>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</si>
  <si>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</si>
  <si>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</si>
  <si>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</si>
  <si>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</si>
  <si>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</si>
  <si>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</si>
  <si>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</si>
  <si>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</si>
  <si>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</si>
  <si>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</si>
  <si>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</si>
  <si>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</si>
  <si>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</si>
  <si>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</si>
  <si>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</si>
  <si>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</si>
  <si>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</si>
  <si>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</si>
  <si>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</si>
  <si>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</si>
  <si>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</si>
  <si>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</si>
  <si>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</si>
  <si>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</si>
  <si>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</si>
  <si>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</si>
  <si>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</si>
  <si>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</si>
  <si>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</si>
  <si>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</si>
  <si>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</si>
  <si>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</si>
  <si>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</si>
  <si>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</si>
  <si>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</si>
  <si>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</si>
  <si>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</si>
  <si>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</si>
  <si>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</si>
  <si>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</si>
  <si>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</si>
  <si>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</si>
  <si>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</si>
  <si>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</si>
  <si>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</si>
  <si>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</si>
  <si>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</si>
  <si>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</si>
  <si>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</si>
  <si>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</si>
  <si>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</si>
  <si>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</si>
  <si>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</si>
  <si>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</si>
  <si>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</si>
  <si>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</si>
  <si>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</si>
  <si>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</si>
  <si>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</si>
  <si>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</si>
  <si>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</si>
  <si>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</si>
  <si>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</si>
  <si>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</si>
  <si>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</si>
  <si>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</si>
  <si>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</si>
  <si>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</si>
  <si>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</si>
  <si>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</si>
  <si>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</si>
  <si>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</si>
  <si>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</si>
  <si>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</si>
  <si>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</si>
  <si>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</si>
  <si>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</si>
  <si>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</si>
  <si>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</si>
  <si>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</si>
  <si>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</si>
  <si>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</si>
  <si>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</si>
  <si>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</si>
  <si>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</si>
  <si>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</si>
  <si>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</si>
  <si>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</si>
  <si>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</si>
  <si>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</si>
  <si>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</si>
  <si>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</si>
  <si>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</si>
  <si>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</si>
  <si>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</si>
  <si>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</si>
  <si>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</si>
  <si>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</si>
  <si>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</si>
  <si>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</si>
  <si>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</si>
  <si>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</si>
  <si>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</si>
  <si>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</si>
  <si>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</si>
  <si>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</si>
  <si>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</si>
  <si>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</si>
  <si>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</si>
  <si>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</si>
  <si>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</si>
  <si>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</si>
  <si>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</si>
  <si>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</si>
  <si>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</si>
  <si>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</si>
  <si>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</si>
  <si>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</si>
  <si>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</si>
  <si>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</si>
  <si>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</si>
  <si>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</si>
  <si>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</si>
  <si>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</si>
  <si>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</si>
  <si>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</si>
  <si>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</si>
  <si>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</si>
  <si>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</si>
  <si>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</si>
  <si>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</si>
  <si>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</si>
  <si>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</si>
  <si>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</si>
  <si>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</si>
  <si>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</si>
  <si>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</si>
  <si>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</si>
  <si>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</si>
  <si>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</si>
  <si>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</si>
  <si>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</si>
  <si>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</si>
  <si>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</si>
  <si>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</si>
  <si>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</si>
  <si>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</si>
  <si>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</si>
  <si>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</si>
  <si>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</si>
  <si>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</si>
  <si>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</si>
  <si>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</si>
  <si>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</si>
  <si>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</si>
  <si>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</si>
  <si>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</si>
  <si>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</si>
  <si>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</si>
  <si>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</si>
  <si>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</si>
  <si>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</si>
  <si>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</si>
  <si>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</si>
  <si>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</si>
  <si>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</si>
  <si>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</si>
  <si>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</si>
  <si>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</si>
  <si>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</si>
  <si>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</si>
  <si>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</si>
  <si>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</si>
  <si>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</si>
  <si>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</si>
  <si>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</si>
  <si>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</si>
  <si>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</si>
  <si>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</si>
  <si>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</si>
  <si>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</si>
  <si>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</si>
  <si>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</si>
  <si>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</si>
  <si>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</si>
  <si>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</si>
  <si>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</si>
  <si>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</si>
  <si>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</si>
  <si>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</si>
  <si>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</si>
  <si>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</si>
  <si>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</si>
  <si>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</si>
  <si>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</si>
  <si>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</si>
  <si>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</si>
  <si>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</si>
  <si>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</si>
  <si>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</si>
  <si>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</si>
  <si>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</si>
  <si>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</si>
  <si>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</si>
  <si>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</si>
  <si>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</si>
  <si>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</si>
  <si>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</si>
  <si>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</si>
  <si>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</si>
  <si>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</si>
  <si>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</si>
  <si>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</si>
  <si>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</si>
  <si>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</si>
  <si>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</si>
  <si>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</si>
  <si>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</si>
  <si>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</si>
  <si>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</si>
  <si>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</si>
  <si>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</si>
  <si>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</si>
  <si>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</si>
  <si>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</si>
  <si>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</si>
  <si>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</si>
  <si>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</si>
  <si>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</si>
  <si>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</si>
  <si>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</si>
  <si>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</si>
  <si>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</si>
  <si>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</si>
  <si>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</si>
  <si>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</si>
  <si>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</si>
  <si>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</si>
  <si>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</si>
  <si>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</si>
  <si>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</si>
  <si>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</si>
  <si>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</si>
  <si>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</si>
  <si>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</si>
  <si>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</si>
  <si>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</si>
  <si>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</si>
  <si>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</si>
  <si>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</si>
  <si>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</si>
  <si>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</si>
  <si>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</si>
  <si>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</si>
  <si>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</si>
  <si>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</si>
  <si>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</si>
  <si>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</si>
  <si>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</si>
  <si>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</si>
  <si>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</si>
  <si>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</si>
  <si>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</si>
  <si>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</si>
  <si>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</si>
  <si>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</si>
  <si>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</si>
  <si>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</si>
  <si>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</si>
  <si>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</si>
  <si>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</si>
  <si>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</si>
  <si>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</si>
  <si>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</si>
  <si>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</si>
  <si>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</si>
  <si>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</si>
  <si>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</si>
  <si>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</si>
  <si>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</si>
  <si>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</si>
  <si>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</si>
  <si>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</si>
  <si>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</si>
  <si>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</si>
  <si>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</si>
  <si>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</si>
  <si>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</si>
  <si>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</si>
  <si>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</si>
  <si>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</si>
  <si>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</si>
  <si>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</si>
  <si>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</si>
  <si>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</si>
  <si>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</si>
  <si>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</si>
  <si>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</si>
  <si>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</si>
  <si>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</si>
  <si>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</si>
  <si>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</si>
  <si>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</si>
  <si>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</si>
  <si>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</si>
  <si>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</si>
  <si>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</si>
  <si>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</si>
  <si>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</si>
  <si>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</si>
  <si>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</si>
  <si>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</si>
  <si>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</si>
  <si>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</si>
  <si>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</si>
  <si>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</si>
  <si>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</si>
  <si>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</si>
  <si>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</si>
  <si>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</si>
  <si>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</si>
  <si>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</si>
  <si>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</si>
  <si>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</si>
  <si>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</si>
  <si>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</si>
  <si>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</si>
  <si>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</si>
  <si>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</si>
  <si>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</si>
  <si>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</si>
  <si>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</si>
  <si>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</si>
  <si>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</si>
  <si>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</si>
  <si>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</si>
  <si>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</si>
  <si>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</si>
  <si>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</si>
  <si>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</si>
  <si>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</si>
  <si>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</si>
  <si>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</si>
  <si>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</si>
  <si>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</si>
  <si>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</si>
  <si>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</si>
  <si>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</si>
  <si>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</si>
  <si>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</si>
  <si>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</si>
  <si>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</si>
  <si>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</si>
  <si>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</si>
  <si>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</si>
  <si>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</si>
  <si>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</si>
  <si>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</si>
  <si>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</si>
  <si>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</si>
  <si>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</si>
  <si>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</si>
  <si>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</si>
  <si>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</si>
  <si>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</si>
  <si>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</si>
  <si>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</si>
  <si>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</si>
  <si>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</si>
  <si>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</si>
  <si>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</si>
  <si>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</si>
  <si>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</si>
  <si>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</si>
  <si>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</si>
  <si>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</si>
  <si>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</si>
  <si>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</si>
  <si>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</si>
  <si>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</si>
  <si>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</si>
  <si>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</si>
  <si>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</si>
  <si>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</si>
  <si>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</si>
  <si>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</si>
  <si>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</si>
  <si>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</si>
  <si>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</si>
  <si>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</si>
  <si>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</si>
  <si>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</si>
  <si>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</si>
  <si>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</si>
  <si>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</si>
  <si>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</si>
  <si>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</si>
  <si>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</si>
  <si>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</si>
  <si>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</si>
  <si>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</si>
  <si>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</si>
  <si>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</si>
  <si>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</si>
  <si>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</si>
  <si>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</si>
  <si>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</si>
  <si>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</si>
  <si>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</si>
  <si>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</si>
  <si>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</si>
  <si>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</si>
  <si>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</si>
  <si>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</si>
  <si>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</si>
  <si>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</si>
  <si>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</si>
  <si>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</si>
  <si>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</si>
  <si>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</si>
  <si>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</si>
  <si>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</si>
  <si>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</si>
  <si>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</si>
  <si>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</si>
  <si>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</si>
  <si>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</si>
  <si>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</si>
  <si>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</si>
  <si>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</si>
  <si>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</si>
  <si>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</si>
  <si>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</si>
  <si>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</si>
  <si>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</si>
  <si>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</si>
  <si>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</si>
  <si>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</si>
  <si>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</si>
  <si>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</si>
  <si>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</si>
  <si>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</si>
  <si>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</si>
  <si>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</si>
  <si>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</si>
  <si>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</si>
  <si>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</si>
  <si>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</si>
  <si>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</si>
  <si>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</si>
  <si>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</si>
  <si>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</si>
  <si>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</si>
  <si>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</si>
  <si>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</si>
  <si>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</si>
  <si>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</si>
  <si>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</si>
  <si>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</si>
  <si>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</si>
  <si>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</si>
  <si>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</si>
  <si>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</si>
  <si>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</si>
  <si>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</si>
  <si>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</si>
  <si>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</si>
  <si>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</si>
  <si>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</si>
  <si>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</si>
  <si>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</si>
  <si>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</si>
  <si>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</si>
  <si>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</si>
  <si>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</si>
  <si>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</si>
  <si>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</si>
  <si>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</si>
  <si>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</si>
  <si>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</si>
  <si>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</si>
  <si>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</si>
  <si>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</si>
  <si>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</si>
  <si>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</si>
  <si>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</si>
  <si>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</si>
  <si>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</si>
  <si>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</si>
  <si>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</si>
  <si>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</si>
  <si>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</si>
  <si>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</si>
  <si>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</si>
  <si>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</si>
  <si>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</si>
  <si>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</si>
  <si>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</si>
  <si>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</si>
  <si>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</si>
  <si>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</si>
  <si>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</si>
  <si>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</si>
  <si>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</si>
  <si>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</si>
  <si>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</si>
  <si>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</si>
  <si>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</si>
  <si>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</si>
  <si>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</si>
  <si>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</si>
  <si>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</si>
  <si>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</si>
  <si>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</si>
  <si>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</si>
  <si>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</si>
  <si>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</si>
  <si>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</si>
  <si>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</si>
  <si>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</si>
  <si>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</si>
  <si>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</si>
  <si>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</si>
  <si>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</si>
  <si>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</si>
  <si>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</si>
  <si>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</si>
  <si>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</si>
  <si>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</si>
  <si>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</si>
  <si>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</si>
  <si>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</si>
  <si>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</si>
  <si>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</si>
  <si>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</si>
  <si>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</si>
  <si>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</si>
  <si>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</si>
  <si>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</si>
  <si>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</si>
  <si>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</si>
  <si>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</si>
  <si>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</si>
  <si>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</si>
  <si>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</si>
  <si>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</si>
  <si>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</si>
  <si>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</si>
  <si>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</si>
  <si>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</si>
  <si>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</si>
  <si>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</si>
  <si>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</si>
  <si>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</si>
  <si>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</si>
  <si>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</si>
  <si>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</si>
  <si>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</si>
  <si>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</si>
  <si>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</si>
  <si>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</si>
  <si>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</si>
  <si>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</si>
  <si>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</si>
  <si>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</si>
  <si>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</si>
  <si>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</si>
  <si>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</si>
  <si>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</si>
  <si>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</si>
  <si>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</si>
  <si>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</si>
  <si>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</si>
  <si>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</si>
  <si>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</si>
  <si>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</si>
  <si>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</si>
  <si>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</si>
  <si>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</si>
  <si>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</si>
  <si>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</si>
  <si>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</si>
  <si>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</si>
  <si>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</si>
  <si>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</si>
  <si>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</si>
  <si>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</si>
  <si>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</si>
  <si>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</si>
  <si>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Column1</t>
  </si>
  <si>
    <t>SN</t>
  </si>
  <si>
    <t>Set</t>
  </si>
  <si>
    <t>Ver. 02.09.26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</si>
</sst>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1">
    <dxf>
      <numFmt numFmtId="2" formatCode="0.00"/>
    </dxf>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E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6" tableType="queryTable" totalsRowShown="0">
  <autoFilter ref="A1:I26" xr:uid="{2F912760-816C-4002-B982-1183C623C4D4}"/>
  <tableColumns count="9">
    <tableColumn id="1" xr3:uid="{4CB1C976-73DA-4579-B7F8-9D891581EA5A}" uniqueName="1" name="asset_id" queryTableFieldId="1" dataDxfId="200"/>
    <tableColumn id="2" xr3:uid="{D07D770F-21F7-425E-8CCA-AA85FFD513A3}" uniqueName="2" name="serial_number" queryTableFieldId="2" dataDxfId="199"/>
    <tableColumn id="3" xr3:uid="{D963BD5C-EE98-4CDD-ABAE-5315BBDA1135}" uniqueName="3" name="asset_tag" queryTableFieldId="3" dataDxfId="198"/>
    <tableColumn id="4" xr3:uid="{44F03B5B-6C09-4D5C-B2E2-D809B4EDF2B0}" uniqueName="4" name="custom_order_number" queryTableFieldId="4" dataDxfId="197"/>
    <tableColumn id="5" xr3:uid="{412A70E1-7452-417E-A3A9-BD3499EBD33C}" uniqueName="5" name="service_date" queryTableFieldId="5" dataDxfId="66"/>
    <tableColumn id="7" xr3:uid="{297A4F29-F6E9-4BD3-A7A2-5F1039480BAE}" uniqueName="7" name="certificate_number" queryTableFieldId="7" dataDxfId="196"/>
    <tableColumn id="6" xr3:uid="{7231074C-78F5-4F41-8E96-7068B6555E6F}" uniqueName="6" name="traceability_number" queryTableFieldId="61"/>
    <tableColumn id="8" xr3:uid="{7C740CB9-37DA-435E-A87E-AF050E31623C}" uniqueName="8" name="wire_roll_cert_number" queryTableFieldId="8" dataDxfId="195"/>
    <tableColumn id="9" xr3:uid="{5B17E9FC-0D68-4EA9-9145-B5DC8FAF5A93}" uniqueName="9" name="type" queryTableFieldId="9" dataDxfId="6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15" tableType="queryTable" totalsRowShown="0">
  <autoFilter ref="A1:C115" xr:uid="{DD841DB9-A242-4050-A7E6-984852778526}"/>
  <tableColumns count="3">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93">
  <autoFilter ref="A1:C9" xr:uid="{8AF992F3-27EF-4265-960D-70EC6F74FAFA}"/>
  <sortState xmlns:xlrd2="http://schemas.microsoft.com/office/spreadsheetml/2017/richdata2" ref="A2:C9">
    <sortCondition ref="B1:B9"/>
  </sortState>
  <tableColumns count="3">
    <tableColumn id="1" xr3:uid="{1F7D0D09-7152-4679-B25C-65CF0E0AB2D4}" name="Type" dataDxfId="192"/>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0">
      <calculatedColumnFormula>IF(Main!O3="","",Main!N3)</calculatedColumnFormula>
    </tableColumn>
    <tableColumn id="3" xr3:uid="{FCE5D856-7234-4CCA-97EE-22B74741E437}" name="Alert" dataDxfId="189">
      <calculatedColumnFormula array="1">_xlfn.TEXTJOIN("; ", TRUE, IF(Alerts[[#This Row],[Dropped]],"DROPPED",""),
    IF(Alerts[[#This Row],[High]:[Out Of Tolerance]] &lt;&gt; "",
        Alerts[[#Headers],[High]:[Out Of Tolerance]],
        "")
)</calculatedColumnFormula>
    </tableColumn>
    <tableColumn id="4" xr3:uid="{8AD94D64-1483-4168-80EC-0F5FF5FBFB54}" name="Temp" dataDxfId="188">
      <calculatedColumnFormula array="1">_xlfn.XLOOKUP(1,
  (Survey[TestPoint]=Alerts[[#This Row],[TestPoint]])*(Survey[Time]=--Alerts[[#This Row],[Time]]),
  Survey[RawTemp],
  "")</calculatedColumnFormula>
    </tableColumn>
    <tableColumn id="5" xr3:uid="{7F528BD7-7CA6-42E2-8288-BF3DEA461539}" name="Time" dataDxfId="187">
      <calculatedColumnFormula>IFERROR(IF(OR(Alerts[[#This Row],[High]],Alerts[[#This Row],[Low]]),VALUE(Alerts[[#This Row],[High]]&amp;Alerts[[#This Row],[Low]]),Alerts[[#This Row],[Out Of Tolerance]]),"")</calculatedColumnFormula>
    </tableColumn>
    <tableColumn id="6" xr3:uid="{C6C3F45B-0C03-4E9C-9412-DBABE4DA80B3}" name="Dropped" dataDxfId="186">
      <calculatedColumnFormula>IF(
  Main!O5 = "",
  FALSE,
  COUNTIF(Survey[TestPoint], Alerts[[#This Row],[TestPoint]]) = 0
)</calculatedColumnFormula>
    </tableColumn>
    <tableColumn id="8" xr3:uid="{96F3D492-9D35-4D95-988A-C7309D2CB11D}" name="High" dataDxfId="185">
      <calculatedColumnFormula array="1">_xlfn.XLOOKUP(1,
  (Survey[TestPoint]=Alerts[[#This Row],[TestPoint]])*Survey[High],
  Survey[Time],
  "")</calculatedColumnFormula>
    </tableColumn>
    <tableColumn id="9" xr3:uid="{FA598A09-68F3-4996-908B-720C01A5CB36}" name="Low" dataDxfId="184">
      <calculatedColumnFormula array="1">_xlfn.XLOOKUP(1,
  (Survey[TestPoint]=Alerts[[#This Row],[TestPoint]])*Survey[Low],
  Survey[Time],
  "")</calculatedColumnFormula>
    </tableColumn>
    <tableColumn id="10" xr3:uid="{8BF38346-ED30-41C4-A7C5-C5AD74EDAE4E}" name="Out Of Tolerance" dataDxfId="18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82"/>
    <tableColumn id="2" xr3:uid="{80F1DE28-79AD-483F-A7F0-673E715EECBE}" uniqueName="2" name="reading" queryTableFieldId="2" dataDxfId="181"/>
    <tableColumn id="1" xr3:uid="{B4839395-B86E-4AA6-ADFB-57CDD2F7F61D}" uniqueName="1" name="point" queryTableFieldId="1"/>
    <tableColumn id="3" xr3:uid="{2724CA85-C781-4E38-A0DA-097BFEEFE8B1}" uniqueName="3" name="Temp" queryTableFieldId="3" dataDxfId="180"/>
    <tableColumn id="5" xr3:uid="{D8FBA668-C3CE-41DC-B112-B2663A4558F7}" uniqueName="5" name="Offset" queryTableFieldId="5" dataDxfId="179"/>
    <tableColumn id="4" xr3:uid="{3984E3BA-ECF9-4974-BA1B-4E1212BB2A83}" uniqueName="4" name="AssetTag" queryTableFieldId="8" dataDxfId="178">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7" headerRowBorderDxfId="176">
  <autoFilter ref="M1:T41" xr:uid="{26B6A9B0-C535-497C-80B0-B1E532DC9DFD}"/>
  <tableColumns count="8">
    <tableColumn id="2" xr3:uid="{AA763339-65AF-434D-A711-61DA35F163AD}" name="Point"/>
    <tableColumn id="3" xr3:uid="{3B356035-E587-4027-87A0-DE8E0B2FE7E1}" name="DaqbookInterp" dataDxfId="175">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4">
      <calculatedColumnFormula array="1">IF(DaqbookInterp[[#This Row],[Include]],QRound(N2),NA())</calculatedColumnFormula>
    </tableColumn>
    <tableColumn id="5" xr3:uid="{D54F6D03-3723-4E00-912E-150DF9F71E5B}" name="T/C Name" dataDxfId="173">
      <calculatedColumnFormula>IF(DaqbookInterp[[#This Row],[Include]],Main!O5, NA())</calculatedColumnFormula>
    </tableColumn>
    <tableColumn id="6" xr3:uid="{4A823077-65D9-48F8-825F-BAEBD9008EA4}" name="Include" dataDxfId="172">
      <calculatedColumnFormula>NOT(ISBLANK(Main!O5))</calculatedColumnFormula>
    </tableColumn>
    <tableColumn id="7" xr3:uid="{9B0EC045-52DF-4F3C-A037-09C5D494BF52}" name="WireSet" dataDxfId="171">
      <calculatedColumnFormula>LOOKUP(DaqbookInterp[[#This Row],[T/C Name]],_xlfn.ANCHORARRAY($Z$2))</calculatedColumnFormula>
    </tableColumn>
    <tableColumn id="8" xr3:uid="{FEFB3CF3-C3B5-4AEA-A75C-80F9610E9833}" name="Wire Lot #" dataDxfId="170">
      <calculatedColumnFormula>HLOOKUP(DaqbookInterp[[#This Row],[WireSet]],Main!$D$48:$I$55,8,0)</calculatedColumnFormula>
    </tableColumn>
    <tableColumn id="9" xr3:uid="{C4BC88F4-CA08-4EF4-9C53-A23F32164EA9}" name="TC CF" dataDxfId="169">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8"/>
    <tableColumn id="5" xr3:uid="{27363C9A-3D85-416E-8BCC-52B2C8D77A72}" uniqueName="5" name="Uncert Units" queryTableFieldId="5" dataDxfId="16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6">
  <autoFilter ref="A3:C8" xr:uid="{5AC13131-9A1C-4C12-B4F9-A393708ED370}"/>
  <tableColumns count="3">
    <tableColumn id="1" xr3:uid="{97181276-3609-45C8-AD82-B2880A7AEDE4}" name="Min" dataDxfId="165"/>
    <tableColumn id="2" xr3:uid="{FCA9B2A8-03BC-4152-9483-74D5E30011E8}" name="Max" dataDxfId="164"/>
    <tableColumn id="3" xr3:uid="{53EFB432-094F-4AB8-B706-DACB84CFAD58}" name="CMC" dataDxfId="16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2"/>
    <tableColumn id="40" xr3:uid="{1FD78DD8-6141-4BCC-8B64-71669B160E7A}" uniqueName="40" name="ClientCompanyId" queryTableFieldId="165" dataDxfId="161"/>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dataDxfId="149"/>
    <tableColumn id="74" xr3:uid="{E0D578AE-61B1-4F16-BC5A-DF5388800162}" uniqueName="74" name="RecoveryLimit" queryTableFieldId="199" dataDxfId="14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Column1"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99" tableType="queryTable" totalsRowShown="0" headerRowDxfId="79" dataDxfId="78">
  <autoFilter ref="A1:O1699" xr:uid="{7FFB3A25-33B3-41D4-A4EC-161ECACD71F3}"/>
  <tableColumns count="15">
    <tableColumn id="1" xr3:uid="{11D744F1-EDFB-47DE-B384-CF9869615081}" uniqueName="1" name="company_name" queryTableFieldId="80"/>
    <tableColumn id="2" xr3:uid="{39B8308C-AB2D-4935-AB6D-60659663F9DB}" uniqueName="2" name="Address1" queryTableFieldId="81" dataDxfId="77"/>
    <tableColumn id="3" xr3:uid="{5F5E8FED-27C7-498A-86F2-8DE1BF0A773A}" uniqueName="3" name="Address2" queryTableFieldId="82" dataDxfId="7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5"/>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4" dataDxfId="73">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dataDxfId="71"/>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0" dataDxfId="69" headerRowCellStyle="Normal 2" dataCellStyle="Normal 2">
  <autoFilter ref="U11:V25" xr:uid="{DCCFF26E-EC5C-4962-98DB-A7DA1F3C8CE2}"/>
  <tableColumns count="2">
    <tableColumn id="1" xr3:uid="{DFC40837-B092-4826-9847-4A23BE22020F}" name="4" dataDxfId="68" dataCellStyle="Normal 2"/>
    <tableColumn id="2" xr3:uid="{0711DB07-19DA-4D5E-A417-C242A0304453}" name="10" dataDxfId="6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6"/>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H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row r="24" spans="1:9" x14ac:dyDescent="0.2">
      <c r="A24"/>
      <c r="B24"/>
      <c r="C24"/>
      <c r="D24"/>
      <c r="E24" s="444"/>
      <c r="F24"/>
      <c r="G24"/>
      <c r="H24"/>
      <c r="I24" s="73"/>
    </row>
    <row r="25" spans="1:9" x14ac:dyDescent="0.2">
      <c r="A25"/>
      <c r="B25"/>
      <c r="C25"/>
      <c r="D25"/>
      <c r="E25" s="444"/>
      <c r="F25"/>
      <c r="G25"/>
      <c r="H25"/>
      <c r="I25" s="73"/>
    </row>
    <row r="26" spans="1:9" x14ac:dyDescent="0.2">
      <c r="A26"/>
      <c r="B26"/>
      <c r="C26"/>
      <c r="D26"/>
      <c r="E26" s="444"/>
      <c r="F26"/>
      <c r="G26"/>
      <c r="H26"/>
      <c r="I26"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15"/>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5">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065908H</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065908I</v>
      </c>
      <c r="G4" t="str">
        <v/>
      </c>
    </row>
    <row r="5" spans="1:8" x14ac:dyDescent="0.2">
      <c r="A5"/>
      <c r="B5"/>
      <c r="C5"/>
      <c r="E5" t="str">
        <v>065908K</v>
      </c>
      <c r="G5" t="str">
        <v/>
      </c>
    </row>
    <row r="6" spans="1:8" x14ac:dyDescent="0.2">
      <c r="A6"/>
      <c r="B6"/>
      <c r="C6"/>
      <c r="E6" t="str">
        <v>065908M</v>
      </c>
      <c r="G6" t="str">
        <v/>
      </c>
    </row>
    <row r="7" spans="1:8" x14ac:dyDescent="0.2">
      <c r="A7"/>
      <c r="B7"/>
      <c r="C7"/>
      <c r="E7" t="str">
        <v>065908N</v>
      </c>
      <c r="G7" t="str">
        <v/>
      </c>
    </row>
    <row r="8" spans="1:8" x14ac:dyDescent="0.2">
      <c r="A8"/>
      <c r="B8"/>
      <c r="C8"/>
      <c r="E8" t="str">
        <v>065908O</v>
      </c>
    </row>
    <row r="9" spans="1:8" x14ac:dyDescent="0.2">
      <c r="A9"/>
      <c r="B9"/>
      <c r="C9"/>
      <c r="E9" t="str">
        <v>072513B</v>
      </c>
    </row>
    <row r="10" spans="1:8" x14ac:dyDescent="0.2">
      <c r="A10"/>
      <c r="B10"/>
      <c r="C10"/>
      <c r="E10" t="str">
        <v>072513C</v>
      </c>
    </row>
    <row r="11" spans="1:8" x14ac:dyDescent="0.2">
      <c r="A11"/>
      <c r="B11"/>
      <c r="C11"/>
      <c r="E11" t="str">
        <v>072513E</v>
      </c>
    </row>
    <row r="12" spans="1:8" x14ac:dyDescent="0.2">
      <c r="A12"/>
      <c r="B12"/>
      <c r="C12"/>
      <c r="E12" t="str">
        <v>072513F</v>
      </c>
    </row>
    <row r="13" spans="1:8" x14ac:dyDescent="0.2">
      <c r="A13"/>
      <c r="B13"/>
      <c r="C13"/>
      <c r="E13" t="str">
        <v>072513G</v>
      </c>
    </row>
    <row r="14" spans="1:8" x14ac:dyDescent="0.2">
      <c r="A14"/>
      <c r="B14"/>
      <c r="C14"/>
      <c r="E14" t="str">
        <v>072513H</v>
      </c>
    </row>
    <row r="15" spans="1:8" x14ac:dyDescent="0.2">
      <c r="A15"/>
      <c r="B15"/>
      <c r="C15"/>
      <c r="E15" t="str">
        <v>072513I</v>
      </c>
    </row>
    <row r="16" spans="1:8" x14ac:dyDescent="0.2">
      <c r="A16"/>
      <c r="B16"/>
      <c r="C16"/>
      <c r="E16" t="str">
        <v>072513K</v>
      </c>
      <c r="G16" s="37"/>
    </row>
    <row r="17" spans="1:5" x14ac:dyDescent="0.2">
      <c r="A17"/>
      <c r="B17"/>
      <c r="C17"/>
      <c r="E17" t="str">
        <v>072513L</v>
      </c>
    </row>
    <row r="18" spans="1:5" x14ac:dyDescent="0.2">
      <c r="A18"/>
      <c r="B18"/>
      <c r="C18"/>
      <c r="E18" t="str">
        <v>072513M</v>
      </c>
    </row>
    <row r="19" spans="1:5" x14ac:dyDescent="0.2">
      <c r="A19"/>
      <c r="B19"/>
      <c r="C19"/>
      <c r="E19" t="str">
        <v>072513N</v>
      </c>
    </row>
    <row r="20" spans="1:5" x14ac:dyDescent="0.2">
      <c r="A20"/>
      <c r="B20"/>
      <c r="C20"/>
      <c r="E20" t="str">
        <v>074618A</v>
      </c>
    </row>
    <row r="21" spans="1:5" x14ac:dyDescent="0.2">
      <c r="A21"/>
      <c r="B21"/>
      <c r="C21"/>
      <c r="E21" t="str">
        <v>074618B</v>
      </c>
    </row>
    <row r="22" spans="1:5" x14ac:dyDescent="0.2">
      <c r="A22"/>
      <c r="B22"/>
      <c r="C22"/>
      <c r="E22" t="str">
        <v>081197D</v>
      </c>
    </row>
    <row r="23" spans="1:5" x14ac:dyDescent="0.2">
      <c r="A23"/>
      <c r="B23"/>
      <c r="C23"/>
      <c r="E23" t="str">
        <v>081197I</v>
      </c>
    </row>
    <row r="24" spans="1:5" x14ac:dyDescent="0.2">
      <c r="A24"/>
      <c r="B24"/>
      <c r="C24"/>
      <c r="E24" t="str">
        <v>081197J</v>
      </c>
    </row>
    <row r="25" spans="1:5" x14ac:dyDescent="0.2">
      <c r="A25"/>
      <c r="B25"/>
      <c r="C25"/>
      <c r="E25" t="str">
        <v>081197K</v>
      </c>
    </row>
    <row r="26" spans="1:5" x14ac:dyDescent="0.2">
      <c r="A26"/>
      <c r="B26"/>
      <c r="C26"/>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RpduM/I9+K2QGy4aMqd2RPtECqyitOx5ItbBPttI7im6VplpSuquQeNuc0cVWaWgxKbwV0YHmv2AskJi1Xah8A==" saltValue="SANH/DayEiIQgxzHiy1o5Q=="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tYvGtyL3APJomvL4CC//0dCG+ww6dWOIiQAdaWgXtaZp+pOYy+KRC59gYZvHfx4nktpIYIO/jfIsAvKDwKCVqQ==" saltValue="S7LFCekKwlsT0tcyYKGQZ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1" t="s">
        <v>961</v>
      </c>
      <c r="R1" s="461" t="s">
        <v>266</v>
      </c>
      <c r="S1" s="461" t="s">
        <v>267</v>
      </c>
      <c r="T1" s="461" t="s">
        <v>962</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A1608"/>
  <sheetViews>
    <sheetView topLeftCell="H1" workbookViewId="0">
      <selection activeCell="T4" sqref="T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7" ht="13.5" thickBot="1" x14ac:dyDescent="0.25">
      <c r="A1"/>
      <c r="B1"/>
      <c r="C1"/>
      <c r="D1"/>
      <c r="E1"/>
      <c r="F1" s="37" t="s">
        <v>395</v>
      </c>
      <c r="I1" s="469" t="s">
        <v>964</v>
      </c>
      <c r="J1" s="469" t="s">
        <v>897</v>
      </c>
      <c r="K1" s="469" t="s">
        <v>963</v>
      </c>
      <c r="M1" s="469" t="s">
        <v>964</v>
      </c>
      <c r="N1" s="469" t="s">
        <v>1249</v>
      </c>
      <c r="O1" s="469" t="s">
        <v>1250</v>
      </c>
      <c r="P1" s="469" t="s">
        <v>89</v>
      </c>
      <c r="Q1" s="469" t="s">
        <v>984</v>
      </c>
      <c r="R1" s="469" t="s">
        <v>1246</v>
      </c>
      <c r="S1" s="469" t="s">
        <v>1247</v>
      </c>
      <c r="T1" s="469" t="s">
        <v>1248</v>
      </c>
      <c r="W1" t="s">
        <v>1063</v>
      </c>
      <c r="X1" t="s">
        <v>1062</v>
      </c>
    </row>
    <row r="2" spans="1:27" ht="13.5" thickTop="1" x14ac:dyDescent="0.2">
      <c r="A2"/>
      <c r="B2"/>
      <c r="C2"/>
      <c r="D2"/>
      <c r="E2"/>
      <c r="F2" t="str">
        <f>LEFT(AllDaqbookOffsets[[#This Row],[traceability_no]],2)</f>
        <v>J1</v>
      </c>
      <c r="I2" t="e" cm="1" vm="1">
        <f t="array" ref="I2">_xlfn._xlws.FILTER(AllDaqbookOffsets[[point]:[Offset]],AllDaqbookOffsets[AssetTag]=DaqbookAssetTag)</f>
        <v>#VALUE!</v>
      </c>
      <c r="M2">
        <v>1</v>
      </c>
      <c r="N2" s="472"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0"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965</v>
      </c>
      <c r="X2" t="s">
        <v>196</v>
      </c>
      <c r="Z2" t="str" cm="1">
        <f t="array" ref="Z2:AA300">_xlfn._xlws.SORT(_xlfn.VSTACK(WireSNs[],_xlfn.UNIQUE(SBPOffsets[[probe_serial_number]:[Column1]])))</f>
        <v>06A</v>
      </c>
      <c r="AA2" t="str">
        <v>SBP Set 1</v>
      </c>
    </row>
    <row r="3" spans="1:27" x14ac:dyDescent="0.2">
      <c r="A3"/>
      <c r="B3"/>
      <c r="C3"/>
      <c r="D3"/>
      <c r="E3"/>
      <c r="F3" t="str">
        <f>LEFT(AllDaqbookOffsets[[#This Row],[traceability_no]],2)</f>
        <v>J1</v>
      </c>
      <c r="M3">
        <v>2</v>
      </c>
      <c r="N3" s="472"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0"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966</v>
      </c>
      <c r="X3" t="s">
        <v>196</v>
      </c>
      <c r="Z3" t="str">
        <v>06B</v>
      </c>
      <c r="AA3" t="str">
        <v>SBP Set 1</v>
      </c>
    </row>
    <row r="4" spans="1:27" x14ac:dyDescent="0.2">
      <c r="A4"/>
      <c r="B4"/>
      <c r="C4"/>
      <c r="D4"/>
      <c r="E4"/>
      <c r="F4" t="str">
        <f>LEFT(AllDaqbookOffsets[[#This Row],[traceability_no]],2)</f>
        <v>J1</v>
      </c>
      <c r="M4">
        <v>3</v>
      </c>
      <c r="N4" s="472"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0"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967</v>
      </c>
      <c r="X4" t="s">
        <v>196</v>
      </c>
      <c r="Z4" t="str">
        <v>06C</v>
      </c>
      <c r="AA4" t="str">
        <v>SBP Set 1</v>
      </c>
    </row>
    <row r="5" spans="1:27" x14ac:dyDescent="0.2">
      <c r="A5"/>
      <c r="B5"/>
      <c r="C5"/>
      <c r="D5"/>
      <c r="E5"/>
      <c r="F5" t="str">
        <f>LEFT(AllDaqbookOffsets[[#This Row],[traceability_no]],2)</f>
        <v>J1</v>
      </c>
      <c r="M5">
        <v>4</v>
      </c>
      <c r="N5" s="472"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0"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968</v>
      </c>
      <c r="X5" t="s">
        <v>196</v>
      </c>
      <c r="Z5" t="str">
        <v>06D</v>
      </c>
      <c r="AA5" t="str">
        <v>SBP Set 1</v>
      </c>
    </row>
    <row r="6" spans="1:27" x14ac:dyDescent="0.2">
      <c r="A6"/>
      <c r="B6"/>
      <c r="C6"/>
      <c r="D6"/>
      <c r="E6"/>
      <c r="F6" t="str">
        <f>LEFT(AllDaqbookOffsets[[#This Row],[traceability_no]],2)</f>
        <v>J1</v>
      </c>
      <c r="M6">
        <v>5</v>
      </c>
      <c r="N6" s="472"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0"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969</v>
      </c>
      <c r="X6" t="s">
        <v>196</v>
      </c>
      <c r="Z6" t="str">
        <v>06E</v>
      </c>
      <c r="AA6" t="str">
        <v>SBP Set 1</v>
      </c>
    </row>
    <row r="7" spans="1:27" x14ac:dyDescent="0.2">
      <c r="A7"/>
      <c r="B7"/>
      <c r="C7"/>
      <c r="D7"/>
      <c r="E7"/>
      <c r="F7" t="str">
        <f>LEFT(AllDaqbookOffsets[[#This Row],[traceability_no]],2)</f>
        <v>J1</v>
      </c>
      <c r="M7">
        <v>6</v>
      </c>
      <c r="N7" s="472"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0"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970</v>
      </c>
      <c r="X7" t="s">
        <v>196</v>
      </c>
      <c r="Z7" t="str">
        <v>06F</v>
      </c>
      <c r="AA7" t="str">
        <v>SBP Set 1</v>
      </c>
    </row>
    <row r="8" spans="1:27" x14ac:dyDescent="0.2">
      <c r="A8"/>
      <c r="B8"/>
      <c r="C8"/>
      <c r="D8"/>
      <c r="E8"/>
      <c r="F8" t="str">
        <f>LEFT(AllDaqbookOffsets[[#This Row],[traceability_no]],2)</f>
        <v>J1</v>
      </c>
      <c r="M8">
        <v>7</v>
      </c>
      <c r="N8" s="472"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0" t="e" cm="1">
        <f t="array" ref="O8">IF(DaqbookInterp[[#This Row],[Include]],QRound(N8),NA())</f>
        <v>#N/A</v>
      </c>
      <c r="P8" t="e">
        <f>IF(DaqbookInterp[[#This Row],[Include]],Main!O11, NA())</f>
        <v>#N/A</v>
      </c>
      <c r="Q8" s="472"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971</v>
      </c>
      <c r="X8" t="s">
        <v>196</v>
      </c>
      <c r="Z8" t="str">
        <v>10A</v>
      </c>
      <c r="AA8" t="str">
        <v>SBP Set 1</v>
      </c>
    </row>
    <row r="9" spans="1:27" x14ac:dyDescent="0.2">
      <c r="A9"/>
      <c r="B9"/>
      <c r="C9"/>
      <c r="D9"/>
      <c r="E9"/>
      <c r="F9" t="str">
        <f>LEFT(AllDaqbookOffsets[[#This Row],[traceability_no]],2)</f>
        <v>J1</v>
      </c>
      <c r="M9">
        <v>8</v>
      </c>
      <c r="N9" s="472"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0" t="e" cm="1">
        <f t="array" ref="O9">IF(DaqbookInterp[[#This Row],[Include]],QRound(N9),NA())</f>
        <v>#N/A</v>
      </c>
      <c r="P9" s="472"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972</v>
      </c>
      <c r="X9" t="s">
        <v>196</v>
      </c>
      <c r="Z9" t="str">
        <v>10B</v>
      </c>
      <c r="AA9" t="str">
        <v>SBP Set 1</v>
      </c>
    </row>
    <row r="10" spans="1:27" x14ac:dyDescent="0.2">
      <c r="A10"/>
      <c r="B10"/>
      <c r="C10"/>
      <c r="D10"/>
      <c r="E10"/>
      <c r="F10" t="str">
        <f>LEFT(AllDaqbookOffsets[[#This Row],[traceability_no]],2)</f>
        <v>J1</v>
      </c>
      <c r="M10">
        <v>9</v>
      </c>
      <c r="N10" s="472"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0"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973</v>
      </c>
      <c r="X10" t="s">
        <v>196</v>
      </c>
      <c r="Z10" t="str">
        <v>10C</v>
      </c>
      <c r="AA10" t="str">
        <v>SBP Set 1</v>
      </c>
    </row>
    <row r="11" spans="1:27" x14ac:dyDescent="0.2">
      <c r="A11"/>
      <c r="B11"/>
      <c r="C11"/>
      <c r="D11"/>
      <c r="E11"/>
      <c r="F11" t="str">
        <f>LEFT(AllDaqbookOffsets[[#This Row],[traceability_no]],2)</f>
        <v>J1</v>
      </c>
      <c r="M11">
        <v>10</v>
      </c>
      <c r="N11" s="472"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0" t="e" cm="1">
        <f t="array" ref="O11">IF(DaqbookInterp[[#This Row],[Include]],QRound(N11),NA())</f>
        <v>#N/A</v>
      </c>
      <c r="P11" t="e">
        <f>IF(DaqbookInterp[[#This Row],[Include]],Main!O14, NA())</f>
        <v>#N/A</v>
      </c>
      <c r="Q11" s="472"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974</v>
      </c>
      <c r="X11" t="s">
        <v>196</v>
      </c>
      <c r="Z11" t="str">
        <v>10D</v>
      </c>
      <c r="AA11" t="str">
        <v>SBP Set 1</v>
      </c>
    </row>
    <row r="12" spans="1:27" x14ac:dyDescent="0.2">
      <c r="A12"/>
      <c r="B12"/>
      <c r="C12"/>
      <c r="D12"/>
      <c r="E12"/>
      <c r="F12" t="str">
        <f>LEFT(AllDaqbookOffsets[[#This Row],[traceability_no]],2)</f>
        <v>J1</v>
      </c>
      <c r="M12">
        <v>11</v>
      </c>
      <c r="N12" s="472"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0"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977</v>
      </c>
      <c r="X12" t="s">
        <v>197</v>
      </c>
      <c r="Z12" t="str">
        <v>10E</v>
      </c>
      <c r="AA12" t="str">
        <v>SBP Set 1</v>
      </c>
    </row>
    <row r="13" spans="1:27" x14ac:dyDescent="0.2">
      <c r="A13"/>
      <c r="B13"/>
      <c r="C13"/>
      <c r="D13"/>
      <c r="E13"/>
      <c r="F13" t="str">
        <f>LEFT(AllDaqbookOffsets[[#This Row],[traceability_no]],2)</f>
        <v>J1</v>
      </c>
      <c r="M13">
        <v>12</v>
      </c>
      <c r="N13" s="472"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0"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978</v>
      </c>
      <c r="X13" t="s">
        <v>197</v>
      </c>
      <c r="Z13" t="str">
        <v>210A</v>
      </c>
      <c r="AA13" t="str">
        <v>SBP Set 2</v>
      </c>
    </row>
    <row r="14" spans="1:27" x14ac:dyDescent="0.2">
      <c r="A14"/>
      <c r="B14"/>
      <c r="C14"/>
      <c r="D14"/>
      <c r="E14"/>
      <c r="F14" t="str">
        <f>LEFT(AllDaqbookOffsets[[#This Row],[traceability_no]],2)</f>
        <v>J1</v>
      </c>
      <c r="M14">
        <v>13</v>
      </c>
      <c r="N14" s="472"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0"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979</v>
      </c>
      <c r="X14" t="s">
        <v>197</v>
      </c>
      <c r="Z14" t="str">
        <v>210B</v>
      </c>
      <c r="AA14" t="str">
        <v>SBP Set 2</v>
      </c>
    </row>
    <row r="15" spans="1:27" x14ac:dyDescent="0.2">
      <c r="A15"/>
      <c r="B15"/>
      <c r="C15"/>
      <c r="D15"/>
      <c r="E15"/>
      <c r="F15" t="str">
        <f>LEFT(AllDaqbookOffsets[[#This Row],[traceability_no]],2)</f>
        <v>J1</v>
      </c>
      <c r="M15">
        <v>14</v>
      </c>
      <c r="N15" s="472"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0"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980</v>
      </c>
      <c r="X15" t="s">
        <v>197</v>
      </c>
      <c r="Z15" t="str">
        <v>210C</v>
      </c>
      <c r="AA15" t="str">
        <v>SBP Set 2</v>
      </c>
    </row>
    <row r="16" spans="1:27" x14ac:dyDescent="0.2">
      <c r="A16"/>
      <c r="B16"/>
      <c r="C16"/>
      <c r="D16"/>
      <c r="E16"/>
      <c r="F16" t="str">
        <f>LEFT(AllDaqbookOffsets[[#This Row],[traceability_no]],2)</f>
        <v>J1</v>
      </c>
      <c r="M16">
        <v>15</v>
      </c>
      <c r="N16" s="472"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0"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981</v>
      </c>
      <c r="X16" t="s">
        <v>197</v>
      </c>
      <c r="Z16" t="str">
        <v>210D</v>
      </c>
      <c r="AA16" t="str">
        <v>SBP Set 2</v>
      </c>
    </row>
    <row r="17" spans="1:27" x14ac:dyDescent="0.2">
      <c r="A17"/>
      <c r="B17"/>
      <c r="C17"/>
      <c r="D17"/>
      <c r="E17"/>
      <c r="F17" t="str">
        <f>LEFT(AllDaqbookOffsets[[#This Row],[traceability_no]],2)</f>
        <v>J1</v>
      </c>
      <c r="M17">
        <v>16</v>
      </c>
      <c r="N17" s="472"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0"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982</v>
      </c>
      <c r="X17" t="s">
        <v>197</v>
      </c>
      <c r="Z17" t="str">
        <v>210E</v>
      </c>
      <c r="AA17" t="str">
        <v>SBP Set 2</v>
      </c>
    </row>
    <row r="18" spans="1:27" x14ac:dyDescent="0.2">
      <c r="A18"/>
      <c r="B18"/>
      <c r="C18"/>
      <c r="D18"/>
      <c r="E18"/>
      <c r="F18" t="str">
        <f>LEFT(AllDaqbookOffsets[[#This Row],[traceability_no]],2)</f>
        <v>J1</v>
      </c>
      <c r="M18">
        <v>17</v>
      </c>
      <c r="N18" s="472"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0"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983</v>
      </c>
      <c r="X18" t="s">
        <v>197</v>
      </c>
      <c r="Z18" t="str">
        <v>26A</v>
      </c>
      <c r="AA18" t="str">
        <v>SBP Set 2</v>
      </c>
    </row>
    <row r="19" spans="1:27" x14ac:dyDescent="0.2">
      <c r="A19"/>
      <c r="B19"/>
      <c r="C19"/>
      <c r="D19"/>
      <c r="E19"/>
      <c r="F19" t="str">
        <f>LEFT(AllDaqbookOffsets[[#This Row],[traceability_no]],2)</f>
        <v>J1</v>
      </c>
      <c r="M19">
        <v>18</v>
      </c>
      <c r="N19" s="472"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0"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997</v>
      </c>
      <c r="X19" t="s">
        <v>197</v>
      </c>
      <c r="Z19" t="str">
        <v>26B</v>
      </c>
      <c r="AA19" t="str">
        <v>SBP Set 2</v>
      </c>
    </row>
    <row r="20" spans="1:27" x14ac:dyDescent="0.2">
      <c r="A20"/>
      <c r="B20"/>
      <c r="C20"/>
      <c r="D20"/>
      <c r="E20"/>
      <c r="F20" t="str">
        <f>LEFT(AllDaqbookOffsets[[#This Row],[traceability_no]],2)</f>
        <v>J1</v>
      </c>
      <c r="M20">
        <v>19</v>
      </c>
      <c r="N20" s="472"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0"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998</v>
      </c>
      <c r="X20" t="s">
        <v>197</v>
      </c>
      <c r="Z20" t="str">
        <v>26C</v>
      </c>
      <c r="AA20" t="str">
        <v>SBP Set 2</v>
      </c>
    </row>
    <row r="21" spans="1:27" x14ac:dyDescent="0.2">
      <c r="A21"/>
      <c r="B21"/>
      <c r="C21"/>
      <c r="D21"/>
      <c r="E21"/>
      <c r="F21" t="str">
        <f>LEFT(AllDaqbookOffsets[[#This Row],[traceability_no]],2)</f>
        <v>J1</v>
      </c>
      <c r="M21">
        <v>20</v>
      </c>
      <c r="N21" s="472"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0" t="e" cm="1">
        <f t="array" ref="O21">IF(DaqbookInterp[[#This Row],[Include]],QRound(N21),NA())</f>
        <v>#N/A</v>
      </c>
      <c r="P21" s="472"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975</v>
      </c>
      <c r="X21" t="s">
        <v>196</v>
      </c>
      <c r="Z21" t="str">
        <v>26D</v>
      </c>
      <c r="AA21" t="str">
        <v>SBP Set 2</v>
      </c>
    </row>
    <row r="22" spans="1:27" x14ac:dyDescent="0.2">
      <c r="A22"/>
      <c r="B22"/>
      <c r="C22"/>
      <c r="D22"/>
      <c r="E22"/>
      <c r="F22" t="str">
        <f>LEFT(AllDaqbookOffsets[[#This Row],[traceability_no]],2)</f>
        <v>J1</v>
      </c>
      <c r="M22">
        <v>21</v>
      </c>
      <c r="N22" s="472"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0"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999</v>
      </c>
      <c r="X22" t="s">
        <v>197</v>
      </c>
      <c r="Z22" t="str">
        <v>26E</v>
      </c>
      <c r="AA22" t="str">
        <v>SBP Set 2</v>
      </c>
    </row>
    <row r="23" spans="1:27" x14ac:dyDescent="0.2">
      <c r="A23"/>
      <c r="B23"/>
      <c r="C23"/>
      <c r="D23"/>
      <c r="E23"/>
      <c r="F23" t="str">
        <f>LEFT(AllDaqbookOffsets[[#This Row],[traceability_no]],2)</f>
        <v>J1</v>
      </c>
      <c r="M23">
        <v>22</v>
      </c>
      <c r="N23" s="472"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0"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1000</v>
      </c>
      <c r="X23" t="s">
        <v>198</v>
      </c>
      <c r="Z23" t="str">
        <v>J01</v>
      </c>
      <c r="AA23" t="str">
        <v>J01-J24</v>
      </c>
    </row>
    <row r="24" spans="1:27" x14ac:dyDescent="0.2">
      <c r="A24"/>
      <c r="B24"/>
      <c r="C24"/>
      <c r="D24"/>
      <c r="E24"/>
      <c r="F24" t="str">
        <f>LEFT(AllDaqbookOffsets[[#This Row],[traceability_no]],2)</f>
        <v>J1</v>
      </c>
      <c r="M24">
        <v>23</v>
      </c>
      <c r="N24" s="472"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0"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1001</v>
      </c>
      <c r="X24" t="s">
        <v>198</v>
      </c>
      <c r="Z24" t="str">
        <v>J02</v>
      </c>
      <c r="AA24" t="str">
        <v>J01-J24</v>
      </c>
    </row>
    <row r="25" spans="1:27" x14ac:dyDescent="0.2">
      <c r="A25"/>
      <c r="B25"/>
      <c r="C25"/>
      <c r="D25"/>
      <c r="E25"/>
      <c r="F25" t="str">
        <f>LEFT(AllDaqbookOffsets[[#This Row],[traceability_no]],2)</f>
        <v>J1</v>
      </c>
      <c r="M25">
        <v>24</v>
      </c>
      <c r="N25" s="472"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0"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1002</v>
      </c>
      <c r="X25" t="s">
        <v>198</v>
      </c>
      <c r="Z25" t="str">
        <v>J03</v>
      </c>
      <c r="AA25" t="str">
        <v>J01-J24</v>
      </c>
    </row>
    <row r="26" spans="1:27" x14ac:dyDescent="0.2">
      <c r="A26"/>
      <c r="B26"/>
      <c r="C26"/>
      <c r="D26"/>
      <c r="E26"/>
      <c r="F26" t="str">
        <f>LEFT(AllDaqbookOffsets[[#This Row],[traceability_no]],2)</f>
        <v>J1</v>
      </c>
      <c r="M26">
        <v>25</v>
      </c>
      <c r="N26" s="472"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0"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1003</v>
      </c>
      <c r="X26" t="s">
        <v>198</v>
      </c>
      <c r="Z26" t="str">
        <v>J04</v>
      </c>
      <c r="AA26" t="str">
        <v>J01-J24</v>
      </c>
    </row>
    <row r="27" spans="1:27" x14ac:dyDescent="0.2">
      <c r="A27"/>
      <c r="B27"/>
      <c r="C27"/>
      <c r="D27"/>
      <c r="E27"/>
      <c r="F27" t="str">
        <f>LEFT(AllDaqbookOffsets[[#This Row],[traceability_no]],2)</f>
        <v>J1</v>
      </c>
      <c r="M27">
        <v>26</v>
      </c>
      <c r="N27" s="472"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0" t="e" cm="1">
        <f t="array" ref="O27">IF(DaqbookInterp[[#This Row],[Include]],QRound(N27),NA())</f>
        <v>#N/A</v>
      </c>
      <c r="P27" s="472"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1004</v>
      </c>
      <c r="X27" t="s">
        <v>198</v>
      </c>
      <c r="Z27" t="str">
        <v>J05</v>
      </c>
      <c r="AA27" t="str">
        <v>J01-J24</v>
      </c>
    </row>
    <row r="28" spans="1:27" x14ac:dyDescent="0.2">
      <c r="A28"/>
      <c r="B28"/>
      <c r="C28"/>
      <c r="D28"/>
      <c r="E28"/>
      <c r="F28" t="str">
        <f>LEFT(AllDaqbookOffsets[[#This Row],[traceability_no]],2)</f>
        <v>J1</v>
      </c>
      <c r="M28">
        <v>27</v>
      </c>
      <c r="N28" s="472"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0"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1005</v>
      </c>
      <c r="X28" t="s">
        <v>198</v>
      </c>
      <c r="Z28" t="str">
        <v>J06</v>
      </c>
      <c r="AA28" t="str">
        <v>J01-J24</v>
      </c>
    </row>
    <row r="29" spans="1:27" x14ac:dyDescent="0.2">
      <c r="A29"/>
      <c r="B29"/>
      <c r="C29"/>
      <c r="D29"/>
      <c r="E29"/>
      <c r="F29" t="str">
        <f>LEFT(AllDaqbookOffsets[[#This Row],[traceability_no]],2)</f>
        <v>J1</v>
      </c>
      <c r="M29">
        <v>28</v>
      </c>
      <c r="N29" s="472"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0"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1006</v>
      </c>
      <c r="X29" t="s">
        <v>198</v>
      </c>
      <c r="Z29" t="str">
        <v>J07</v>
      </c>
      <c r="AA29" t="str">
        <v>J01-J24</v>
      </c>
    </row>
    <row r="30" spans="1:27" x14ac:dyDescent="0.2">
      <c r="A30"/>
      <c r="B30"/>
      <c r="C30"/>
      <c r="D30"/>
      <c r="E30"/>
      <c r="F30" t="str">
        <f>LEFT(AllDaqbookOffsets[[#This Row],[traceability_no]],2)</f>
        <v>J1</v>
      </c>
      <c r="M30">
        <v>29</v>
      </c>
      <c r="N30" s="472"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0"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1007</v>
      </c>
      <c r="X30" t="s">
        <v>198</v>
      </c>
      <c r="Z30" t="str">
        <v>J08</v>
      </c>
      <c r="AA30" t="str">
        <v>J01-J24</v>
      </c>
    </row>
    <row r="31" spans="1:27" x14ac:dyDescent="0.2">
      <c r="A31"/>
      <c r="B31"/>
      <c r="C31"/>
      <c r="D31"/>
      <c r="E31"/>
      <c r="F31" t="str">
        <f>LEFT(AllDaqbookOffsets[[#This Row],[traceability_no]],2)</f>
        <v>J1</v>
      </c>
      <c r="M31">
        <v>30</v>
      </c>
      <c r="N31" s="472"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0"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1008</v>
      </c>
      <c r="X31" t="s">
        <v>198</v>
      </c>
      <c r="Z31" t="str">
        <v>J09</v>
      </c>
      <c r="AA31" t="str">
        <v>J01-J24</v>
      </c>
    </row>
    <row r="32" spans="1:27" x14ac:dyDescent="0.2">
      <c r="A32"/>
      <c r="B32"/>
      <c r="C32"/>
      <c r="D32"/>
      <c r="E32"/>
      <c r="F32" t="str">
        <f>LEFT(AllDaqbookOffsets[[#This Row],[traceability_no]],2)</f>
        <v>J1</v>
      </c>
      <c r="M32">
        <v>31</v>
      </c>
      <c r="N32" s="472"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0" t="e" cm="1">
        <f t="array" ref="O32">IF(DaqbookInterp[[#This Row],[Include]],QRound(N32),NA())</f>
        <v>#N/A</v>
      </c>
      <c r="P32" s="472"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976</v>
      </c>
      <c r="X32" t="s">
        <v>196</v>
      </c>
      <c r="Z32" t="str">
        <v>J10</v>
      </c>
      <c r="AA32" t="str">
        <v>J01-J24</v>
      </c>
    </row>
    <row r="33" spans="1:27" x14ac:dyDescent="0.2">
      <c r="A33"/>
      <c r="B33"/>
      <c r="C33"/>
      <c r="D33"/>
      <c r="E33"/>
      <c r="F33" t="str">
        <f>LEFT(AllDaqbookOffsets[[#This Row],[traceability_no]],2)</f>
        <v>J1</v>
      </c>
      <c r="M33">
        <v>32</v>
      </c>
      <c r="N33" s="472"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0"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1009</v>
      </c>
      <c r="X33" t="s">
        <v>198</v>
      </c>
      <c r="Z33" t="str">
        <v>J101</v>
      </c>
      <c r="AA33" t="str">
        <v>J101-J110</v>
      </c>
    </row>
    <row r="34" spans="1:27" x14ac:dyDescent="0.2">
      <c r="A34"/>
      <c r="B34"/>
      <c r="C34"/>
      <c r="D34"/>
      <c r="E34"/>
      <c r="F34" t="str">
        <f>LEFT(AllDaqbookOffsets[[#This Row],[traceability_no]],2)</f>
        <v>J1</v>
      </c>
      <c r="M34">
        <v>33</v>
      </c>
      <c r="N34" s="472"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0"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985</v>
      </c>
      <c r="X34" t="s">
        <v>196</v>
      </c>
      <c r="Z34" t="str">
        <v>J102</v>
      </c>
      <c r="AA34" t="str">
        <v>J101-J110</v>
      </c>
    </row>
    <row r="35" spans="1:27" x14ac:dyDescent="0.2">
      <c r="A35"/>
      <c r="B35"/>
      <c r="C35"/>
      <c r="D35"/>
      <c r="E35"/>
      <c r="F35" t="str">
        <f>LEFT(AllDaqbookOffsets[[#This Row],[traceability_no]],2)</f>
        <v>J1</v>
      </c>
      <c r="M35">
        <v>34</v>
      </c>
      <c r="N35" s="472"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0"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986</v>
      </c>
      <c r="X35" t="s">
        <v>196</v>
      </c>
      <c r="Z35" t="str">
        <v>J103</v>
      </c>
      <c r="AA35" t="str">
        <v>J101-J110</v>
      </c>
    </row>
    <row r="36" spans="1:27" x14ac:dyDescent="0.2">
      <c r="A36"/>
      <c r="B36"/>
      <c r="C36"/>
      <c r="D36"/>
      <c r="E36"/>
      <c r="F36" t="str">
        <f>LEFT(AllDaqbookOffsets[[#This Row],[traceability_no]],2)</f>
        <v>J1</v>
      </c>
      <c r="M36">
        <v>35</v>
      </c>
      <c r="N36" s="472"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0"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987</v>
      </c>
      <c r="X36" t="s">
        <v>196</v>
      </c>
      <c r="Z36" t="str">
        <v>J104</v>
      </c>
      <c r="AA36" t="str">
        <v>J101-J110</v>
      </c>
    </row>
    <row r="37" spans="1:27" x14ac:dyDescent="0.2">
      <c r="A37"/>
      <c r="B37"/>
      <c r="C37"/>
      <c r="D37"/>
      <c r="E37"/>
      <c r="F37" t="str">
        <f>LEFT(AllDaqbookOffsets[[#This Row],[traceability_no]],2)</f>
        <v>J1</v>
      </c>
      <c r="M37">
        <v>36</v>
      </c>
      <c r="N37" s="472"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0"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988</v>
      </c>
      <c r="X37" t="s">
        <v>196</v>
      </c>
      <c r="Z37" t="str">
        <v>J105</v>
      </c>
      <c r="AA37" t="str">
        <v>J101-J110</v>
      </c>
    </row>
    <row r="38" spans="1:27" x14ac:dyDescent="0.2">
      <c r="A38"/>
      <c r="B38"/>
      <c r="C38"/>
      <c r="D38"/>
      <c r="E38"/>
      <c r="F38" t="str">
        <f>LEFT(AllDaqbookOffsets[[#This Row],[traceability_no]],2)</f>
        <v>J1</v>
      </c>
      <c r="M38">
        <v>37</v>
      </c>
      <c r="N38" s="472"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0"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989</v>
      </c>
      <c r="X38" t="s">
        <v>196</v>
      </c>
      <c r="Z38" t="str">
        <v>J106</v>
      </c>
      <c r="AA38" t="str">
        <v>J101-J110</v>
      </c>
    </row>
    <row r="39" spans="1:27" x14ac:dyDescent="0.2">
      <c r="A39"/>
      <c r="B39"/>
      <c r="C39"/>
      <c r="D39"/>
      <c r="E39"/>
      <c r="F39" t="str">
        <f>LEFT(AllDaqbookOffsets[[#This Row],[traceability_no]],2)</f>
        <v>J1</v>
      </c>
      <c r="M39">
        <v>38</v>
      </c>
      <c r="N39" s="472"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0"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990</v>
      </c>
      <c r="X39" t="s">
        <v>196</v>
      </c>
      <c r="Z39" t="str">
        <v>J107</v>
      </c>
      <c r="AA39" t="str">
        <v>J101-J110</v>
      </c>
    </row>
    <row r="40" spans="1:27" x14ac:dyDescent="0.2">
      <c r="A40"/>
      <c r="B40"/>
      <c r="C40"/>
      <c r="D40"/>
      <c r="E40"/>
      <c r="F40" t="str">
        <f>LEFT(AllDaqbookOffsets[[#This Row],[traceability_no]],2)</f>
        <v>J1</v>
      </c>
      <c r="M40">
        <v>39</v>
      </c>
      <c r="N40" s="472"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0"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991</v>
      </c>
      <c r="X40" t="s">
        <v>196</v>
      </c>
      <c r="Z40" t="str">
        <v>J108</v>
      </c>
      <c r="AA40" t="str">
        <v>J101-J110</v>
      </c>
    </row>
    <row r="41" spans="1:27" x14ac:dyDescent="0.2">
      <c r="A41"/>
      <c r="B41"/>
      <c r="C41"/>
      <c r="D41"/>
      <c r="E41"/>
      <c r="F41" t="str">
        <f>LEFT(AllDaqbookOffsets[[#This Row],[traceability_no]],2)</f>
        <v>J1</v>
      </c>
      <c r="M41">
        <v>40</v>
      </c>
      <c r="N41" s="472"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0"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992</v>
      </c>
      <c r="X41" t="s">
        <v>196</v>
      </c>
      <c r="Z41" t="str">
        <v>J109</v>
      </c>
      <c r="AA41" t="str">
        <v>J101-J110</v>
      </c>
    </row>
    <row r="42" spans="1:27" x14ac:dyDescent="0.2">
      <c r="A42"/>
      <c r="B42"/>
      <c r="C42"/>
      <c r="D42"/>
      <c r="E42"/>
      <c r="F42" t="str">
        <f>LEFT(AllDaqbookOffsets[[#This Row],[traceability_no]],2)</f>
        <v>J1</v>
      </c>
      <c r="W42" t="s">
        <v>1010</v>
      </c>
      <c r="X42" t="s">
        <v>199</v>
      </c>
      <c r="Z42" t="str">
        <v>J11</v>
      </c>
      <c r="AA42" t="str">
        <v>J01-J24</v>
      </c>
    </row>
    <row r="43" spans="1:27" x14ac:dyDescent="0.2">
      <c r="A43"/>
      <c r="B43"/>
      <c r="C43"/>
      <c r="D43"/>
      <c r="E43"/>
      <c r="F43" t="str">
        <f>LEFT(AllDaqbookOffsets[[#This Row],[traceability_no]],2)</f>
        <v>J1</v>
      </c>
      <c r="W43" t="s">
        <v>1011</v>
      </c>
      <c r="X43" t="s">
        <v>199</v>
      </c>
      <c r="Z43" t="str">
        <v>J110</v>
      </c>
      <c r="AA43" t="str">
        <v>J101-J110</v>
      </c>
    </row>
    <row r="44" spans="1:27" x14ac:dyDescent="0.2">
      <c r="A44"/>
      <c r="B44"/>
      <c r="C44"/>
      <c r="D44"/>
      <c r="E44"/>
      <c r="F44" t="str">
        <f>LEFT(AllDaqbookOffsets[[#This Row],[traceability_no]],2)</f>
        <v>J1</v>
      </c>
      <c r="W44" t="s">
        <v>1012</v>
      </c>
      <c r="X44" t="s">
        <v>199</v>
      </c>
      <c r="Z44" t="str">
        <v>J111</v>
      </c>
      <c r="AA44" t="str">
        <v>J111-J120</v>
      </c>
    </row>
    <row r="45" spans="1:27" x14ac:dyDescent="0.2">
      <c r="A45"/>
      <c r="B45"/>
      <c r="C45"/>
      <c r="D45"/>
      <c r="E45"/>
      <c r="F45" t="str">
        <f>LEFT(AllDaqbookOffsets[[#This Row],[traceability_no]],2)</f>
        <v>J1</v>
      </c>
      <c r="W45" t="s">
        <v>1013</v>
      </c>
      <c r="X45" t="s">
        <v>199</v>
      </c>
      <c r="Z45" t="str">
        <v>J112</v>
      </c>
      <c r="AA45" t="str">
        <v>J111-J120</v>
      </c>
    </row>
    <row r="46" spans="1:27" x14ac:dyDescent="0.2">
      <c r="A46"/>
      <c r="B46"/>
      <c r="C46"/>
      <c r="D46"/>
      <c r="E46"/>
      <c r="F46" t="str">
        <f>LEFT(AllDaqbookOffsets[[#This Row],[traceability_no]],2)</f>
        <v>J1</v>
      </c>
      <c r="W46" t="s">
        <v>1014</v>
      </c>
      <c r="X46" t="s">
        <v>199</v>
      </c>
      <c r="Z46" t="str">
        <v>J113</v>
      </c>
      <c r="AA46" t="str">
        <v>J111-J120</v>
      </c>
    </row>
    <row r="47" spans="1:27" x14ac:dyDescent="0.2">
      <c r="A47"/>
      <c r="B47"/>
      <c r="C47"/>
      <c r="D47"/>
      <c r="E47"/>
      <c r="F47" t="str">
        <f>LEFT(AllDaqbookOffsets[[#This Row],[traceability_no]],2)</f>
        <v>J1</v>
      </c>
      <c r="W47" t="s">
        <v>1015</v>
      </c>
      <c r="X47" t="s">
        <v>199</v>
      </c>
      <c r="Z47" t="str">
        <v>J114</v>
      </c>
      <c r="AA47" t="str">
        <v>J111-J120</v>
      </c>
    </row>
    <row r="48" spans="1:27" x14ac:dyDescent="0.2">
      <c r="A48"/>
      <c r="B48"/>
      <c r="C48"/>
      <c r="D48"/>
      <c r="E48"/>
      <c r="F48" t="str">
        <f>LEFT(AllDaqbookOffsets[[#This Row],[traceability_no]],2)</f>
        <v>J1</v>
      </c>
      <c r="W48" t="s">
        <v>1016</v>
      </c>
      <c r="X48" t="s">
        <v>199</v>
      </c>
      <c r="Z48" t="str">
        <v>J115</v>
      </c>
      <c r="AA48" t="str">
        <v>J111-J120</v>
      </c>
    </row>
    <row r="49" spans="1:27" x14ac:dyDescent="0.2">
      <c r="A49"/>
      <c r="B49"/>
      <c r="C49"/>
      <c r="D49"/>
      <c r="E49"/>
      <c r="F49" t="str">
        <f>LEFT(AllDaqbookOffsets[[#This Row],[traceability_no]],2)</f>
        <v>J1</v>
      </c>
      <c r="W49" t="s">
        <v>1017</v>
      </c>
      <c r="X49" t="s">
        <v>199</v>
      </c>
      <c r="Z49" t="str">
        <v>J116</v>
      </c>
      <c r="AA49" t="str">
        <v>J111-J120</v>
      </c>
    </row>
    <row r="50" spans="1:27" x14ac:dyDescent="0.2">
      <c r="A50"/>
      <c r="B50"/>
      <c r="C50"/>
      <c r="D50"/>
      <c r="E50"/>
      <c r="F50" t="str">
        <f>LEFT(AllDaqbookOffsets[[#This Row],[traceability_no]],2)</f>
        <v>J1</v>
      </c>
      <c r="W50" t="s">
        <v>1018</v>
      </c>
      <c r="X50" t="s">
        <v>199</v>
      </c>
      <c r="Z50" t="str">
        <v>J117</v>
      </c>
      <c r="AA50" t="str">
        <v>J111-J120</v>
      </c>
    </row>
    <row r="51" spans="1:27" x14ac:dyDescent="0.2">
      <c r="A51"/>
      <c r="B51"/>
      <c r="C51"/>
      <c r="D51"/>
      <c r="E51"/>
      <c r="F51" t="str">
        <f>LEFT(AllDaqbookOffsets[[#This Row],[traceability_no]],2)</f>
        <v>J1</v>
      </c>
      <c r="W51" t="s">
        <v>993</v>
      </c>
      <c r="X51" t="s">
        <v>196</v>
      </c>
      <c r="Z51" t="str">
        <v>J118</v>
      </c>
      <c r="AA51" t="str">
        <v>J111-J120</v>
      </c>
    </row>
    <row r="52" spans="1:27" x14ac:dyDescent="0.2">
      <c r="A52"/>
      <c r="B52"/>
      <c r="C52"/>
      <c r="D52"/>
      <c r="E52"/>
      <c r="F52" t="str">
        <f>LEFT(AllDaqbookOffsets[[#This Row],[traceability_no]],2)</f>
        <v>J1</v>
      </c>
      <c r="W52" t="s">
        <v>1019</v>
      </c>
      <c r="X52" t="s">
        <v>199</v>
      </c>
      <c r="Z52" t="str">
        <v>J119</v>
      </c>
      <c r="AA52" t="str">
        <v>J111-J120</v>
      </c>
    </row>
    <row r="53" spans="1:27" x14ac:dyDescent="0.2">
      <c r="A53"/>
      <c r="B53"/>
      <c r="C53"/>
      <c r="D53"/>
      <c r="E53"/>
      <c r="F53" t="str">
        <f>LEFT(AllDaqbookOffsets[[#This Row],[traceability_no]],2)</f>
        <v>J1</v>
      </c>
      <c r="W53" t="s">
        <v>1020</v>
      </c>
      <c r="X53" t="s">
        <v>199</v>
      </c>
      <c r="Z53" t="str">
        <v>J12</v>
      </c>
      <c r="AA53" t="str">
        <v>J01-J24</v>
      </c>
    </row>
    <row r="54" spans="1:27" x14ac:dyDescent="0.2">
      <c r="A54"/>
      <c r="B54"/>
      <c r="C54"/>
      <c r="D54"/>
      <c r="E54"/>
      <c r="F54" t="str">
        <f>LEFT(AllDaqbookOffsets[[#This Row],[traceability_no]],2)</f>
        <v>J1</v>
      </c>
      <c r="W54" t="s">
        <v>1021</v>
      </c>
      <c r="X54" t="s">
        <v>199</v>
      </c>
      <c r="Z54" t="str">
        <v>J120</v>
      </c>
      <c r="AA54" t="str">
        <v>J111-J120</v>
      </c>
    </row>
    <row r="55" spans="1:27" x14ac:dyDescent="0.2">
      <c r="A55"/>
      <c r="B55"/>
      <c r="C55"/>
      <c r="D55"/>
      <c r="E55"/>
      <c r="F55" t="str">
        <f>LEFT(AllDaqbookOffsets[[#This Row],[traceability_no]],2)</f>
        <v>J1</v>
      </c>
      <c r="W55" t="s">
        <v>1022</v>
      </c>
      <c r="X55" t="s">
        <v>199</v>
      </c>
      <c r="Z55" t="str">
        <v>J13</v>
      </c>
      <c r="AA55" t="str">
        <v>J01-J24</v>
      </c>
    </row>
    <row r="56" spans="1:27" x14ac:dyDescent="0.2">
      <c r="A56"/>
      <c r="B56"/>
      <c r="C56"/>
      <c r="D56"/>
      <c r="E56"/>
      <c r="F56" t="str">
        <f>LEFT(AllDaqbookOffsets[[#This Row],[traceability_no]],2)</f>
        <v>J1</v>
      </c>
      <c r="W56" t="s">
        <v>1023</v>
      </c>
      <c r="X56" t="s">
        <v>199</v>
      </c>
      <c r="Z56" t="str">
        <v>J14</v>
      </c>
      <c r="AA56" t="str">
        <v>J01-J24</v>
      </c>
    </row>
    <row r="57" spans="1:27" x14ac:dyDescent="0.2">
      <c r="A57"/>
      <c r="B57"/>
      <c r="C57"/>
      <c r="D57"/>
      <c r="E57"/>
      <c r="F57" t="str">
        <f>LEFT(AllDaqbookOffsets[[#This Row],[traceability_no]],2)</f>
        <v>J1</v>
      </c>
      <c r="W57" t="s">
        <v>994</v>
      </c>
      <c r="X57" t="s">
        <v>196</v>
      </c>
      <c r="Z57" t="str">
        <v>J15</v>
      </c>
      <c r="AA57" t="str">
        <v>J01-J24</v>
      </c>
    </row>
    <row r="58" spans="1:27" x14ac:dyDescent="0.2">
      <c r="A58"/>
      <c r="B58"/>
      <c r="C58"/>
      <c r="D58"/>
      <c r="E58"/>
      <c r="F58" t="str">
        <f>LEFT(AllDaqbookOffsets[[#This Row],[traceability_no]],2)</f>
        <v>J1</v>
      </c>
      <c r="W58" t="s">
        <v>995</v>
      </c>
      <c r="X58" t="s">
        <v>196</v>
      </c>
      <c r="Z58" t="str">
        <v>J16</v>
      </c>
      <c r="AA58" t="str">
        <v>J01-J24</v>
      </c>
    </row>
    <row r="59" spans="1:27" x14ac:dyDescent="0.2">
      <c r="A59"/>
      <c r="B59"/>
      <c r="C59"/>
      <c r="D59"/>
      <c r="E59"/>
      <c r="F59" t="str">
        <f>LEFT(AllDaqbookOffsets[[#This Row],[traceability_no]],2)</f>
        <v>J1</v>
      </c>
      <c r="W59" t="s">
        <v>996</v>
      </c>
      <c r="X59" t="s">
        <v>196</v>
      </c>
      <c r="Z59" t="str">
        <v>J17</v>
      </c>
      <c r="AA59" t="str">
        <v>J01-J24</v>
      </c>
    </row>
    <row r="60" spans="1:27" x14ac:dyDescent="0.2">
      <c r="A60"/>
      <c r="B60"/>
      <c r="C60"/>
      <c r="D60"/>
      <c r="E60"/>
      <c r="F60" t="str">
        <f>LEFT(AllDaqbookOffsets[[#This Row],[traceability_no]],2)</f>
        <v>J1</v>
      </c>
      <c r="W60" t="s">
        <v>1024</v>
      </c>
      <c r="X60" t="s">
        <v>200</v>
      </c>
      <c r="Z60" t="str">
        <v>J18</v>
      </c>
      <c r="AA60" t="str">
        <v>J01-J24</v>
      </c>
    </row>
    <row r="61" spans="1:27" x14ac:dyDescent="0.2">
      <c r="A61"/>
      <c r="B61"/>
      <c r="C61"/>
      <c r="D61"/>
      <c r="E61"/>
      <c r="F61" t="str">
        <f>LEFT(AllDaqbookOffsets[[#This Row],[traceability_no]],2)</f>
        <v>J1</v>
      </c>
      <c r="W61" t="s">
        <v>1025</v>
      </c>
      <c r="X61" t="s">
        <v>200</v>
      </c>
      <c r="Z61" t="str">
        <v>J19</v>
      </c>
      <c r="AA61" t="str">
        <v>J01-J24</v>
      </c>
    </row>
    <row r="62" spans="1:27" x14ac:dyDescent="0.2">
      <c r="A62"/>
      <c r="B62"/>
      <c r="C62"/>
      <c r="D62"/>
      <c r="E62"/>
      <c r="F62" t="str">
        <f>LEFT(AllDaqbookOffsets[[#This Row],[traceability_no]],2)</f>
        <v>J1</v>
      </c>
      <c r="W62" t="s">
        <v>1026</v>
      </c>
      <c r="X62" t="s">
        <v>200</v>
      </c>
      <c r="Z62" t="str">
        <v>J20</v>
      </c>
      <c r="AA62" t="str">
        <v>J01-J24</v>
      </c>
    </row>
    <row r="63" spans="1:27" x14ac:dyDescent="0.2">
      <c r="A63"/>
      <c r="B63"/>
      <c r="C63"/>
      <c r="D63"/>
      <c r="E63"/>
      <c r="F63" t="str">
        <f>LEFT(AllDaqbookOffsets[[#This Row],[traceability_no]],2)</f>
        <v>J1</v>
      </c>
      <c r="W63" t="s">
        <v>1027</v>
      </c>
      <c r="X63" t="s">
        <v>200</v>
      </c>
      <c r="Z63" t="str">
        <v>J201</v>
      </c>
      <c r="AA63" t="str">
        <v>J201-J214</v>
      </c>
    </row>
    <row r="64" spans="1:27" x14ac:dyDescent="0.2">
      <c r="A64"/>
      <c r="B64"/>
      <c r="C64"/>
      <c r="D64"/>
      <c r="E64"/>
      <c r="F64" t="str">
        <f>LEFT(AllDaqbookOffsets[[#This Row],[traceability_no]],2)</f>
        <v>J1</v>
      </c>
      <c r="W64" t="s">
        <v>1028</v>
      </c>
      <c r="X64" t="s">
        <v>200</v>
      </c>
      <c r="Z64" t="str">
        <v>J202</v>
      </c>
      <c r="AA64" t="str">
        <v>J201-J214</v>
      </c>
    </row>
    <row r="65" spans="1:27" x14ac:dyDescent="0.2">
      <c r="A65"/>
      <c r="B65"/>
      <c r="C65"/>
      <c r="D65"/>
      <c r="E65"/>
      <c r="F65" t="str">
        <f>LEFT(AllDaqbookOffsets[[#This Row],[traceability_no]],2)</f>
        <v>J1</v>
      </c>
      <c r="W65" t="s">
        <v>1029</v>
      </c>
      <c r="X65" t="s">
        <v>200</v>
      </c>
      <c r="Z65" t="str">
        <v>J203</v>
      </c>
      <c r="AA65" t="str">
        <v>J201-J214</v>
      </c>
    </row>
    <row r="66" spans="1:27" x14ac:dyDescent="0.2">
      <c r="A66"/>
      <c r="B66"/>
      <c r="C66"/>
      <c r="D66"/>
      <c r="E66"/>
      <c r="F66" t="str">
        <f>LEFT(AllDaqbookOffsets[[#This Row],[traceability_no]],2)</f>
        <v>J1</v>
      </c>
      <c r="W66" t="s">
        <v>1030</v>
      </c>
      <c r="X66" t="s">
        <v>200</v>
      </c>
      <c r="Z66" t="str">
        <v>J204</v>
      </c>
      <c r="AA66" t="str">
        <v>J201-J214</v>
      </c>
    </row>
    <row r="67" spans="1:27" x14ac:dyDescent="0.2">
      <c r="A67"/>
      <c r="B67"/>
      <c r="C67"/>
      <c r="D67"/>
      <c r="E67"/>
      <c r="F67" t="str">
        <f>LEFT(AllDaqbookOffsets[[#This Row],[traceability_no]],2)</f>
        <v>J1</v>
      </c>
      <c r="W67" t="s">
        <v>1031</v>
      </c>
      <c r="X67" t="s">
        <v>200</v>
      </c>
      <c r="Z67" t="str">
        <v>J205</v>
      </c>
      <c r="AA67" t="str">
        <v>J201-J214</v>
      </c>
    </row>
    <row r="68" spans="1:27" x14ac:dyDescent="0.2">
      <c r="A68"/>
      <c r="B68"/>
      <c r="C68"/>
      <c r="D68"/>
      <c r="E68"/>
      <c r="F68" t="str">
        <f>LEFT(AllDaqbookOffsets[[#This Row],[traceability_no]],2)</f>
        <v>J1</v>
      </c>
      <c r="W68" t="s">
        <v>1032</v>
      </c>
      <c r="X68" t="s">
        <v>200</v>
      </c>
      <c r="Z68" t="str">
        <v>J206</v>
      </c>
      <c r="AA68" t="str">
        <v>J201-J214</v>
      </c>
    </row>
    <row r="69" spans="1:27" x14ac:dyDescent="0.2">
      <c r="A69"/>
      <c r="B69"/>
      <c r="C69"/>
      <c r="D69"/>
      <c r="E69"/>
      <c r="F69" t="str">
        <f>LEFT(AllDaqbookOffsets[[#This Row],[traceability_no]],2)</f>
        <v>J1</v>
      </c>
      <c r="W69" t="s">
        <v>1033</v>
      </c>
      <c r="X69" t="s">
        <v>200</v>
      </c>
      <c r="Z69" t="str">
        <v>J207</v>
      </c>
      <c r="AA69" t="str">
        <v>J201-J214</v>
      </c>
    </row>
    <row r="70" spans="1:27" x14ac:dyDescent="0.2">
      <c r="A70"/>
      <c r="B70"/>
      <c r="C70"/>
      <c r="D70"/>
      <c r="E70"/>
      <c r="F70" t="str">
        <f>LEFT(AllDaqbookOffsets[[#This Row],[traceability_no]],2)</f>
        <v>J1</v>
      </c>
      <c r="W70" t="s">
        <v>1034</v>
      </c>
      <c r="X70" t="s">
        <v>200</v>
      </c>
      <c r="Z70" t="str">
        <v>J208</v>
      </c>
      <c r="AA70" t="str">
        <v>J201-J214</v>
      </c>
    </row>
    <row r="71" spans="1:27" x14ac:dyDescent="0.2">
      <c r="A71"/>
      <c r="B71"/>
      <c r="C71"/>
      <c r="D71"/>
      <c r="E71"/>
      <c r="F71" t="str">
        <f>LEFT(AllDaqbookOffsets[[#This Row],[traceability_no]],2)</f>
        <v>J1</v>
      </c>
      <c r="W71" t="s">
        <v>1035</v>
      </c>
      <c r="X71" t="s">
        <v>200</v>
      </c>
      <c r="Z71" t="str">
        <v>J209</v>
      </c>
      <c r="AA71" t="str">
        <v>J201-J214</v>
      </c>
    </row>
    <row r="72" spans="1:27" x14ac:dyDescent="0.2">
      <c r="A72"/>
      <c r="B72"/>
      <c r="C72"/>
      <c r="D72"/>
      <c r="E72"/>
      <c r="F72" t="str">
        <f>LEFT(AllDaqbookOffsets[[#This Row],[traceability_no]],2)</f>
        <v>J1</v>
      </c>
      <c r="W72" t="s">
        <v>1036</v>
      </c>
      <c r="X72" t="s">
        <v>200</v>
      </c>
      <c r="Z72" t="str">
        <v>J21</v>
      </c>
      <c r="AA72" t="str">
        <v>J01-J24</v>
      </c>
    </row>
    <row r="73" spans="1:27" x14ac:dyDescent="0.2">
      <c r="A73"/>
      <c r="B73"/>
      <c r="C73"/>
      <c r="D73"/>
      <c r="E73"/>
      <c r="F73" t="str">
        <f>LEFT(AllDaqbookOffsets[[#This Row],[traceability_no]],2)</f>
        <v>J1</v>
      </c>
      <c r="W73" t="s">
        <v>1037</v>
      </c>
      <c r="X73" t="s">
        <v>200</v>
      </c>
      <c r="Z73" t="str">
        <v>J210</v>
      </c>
      <c r="AA73" t="str">
        <v>J201-J214</v>
      </c>
    </row>
    <row r="74" spans="1:27" x14ac:dyDescent="0.2">
      <c r="A74"/>
      <c r="B74"/>
      <c r="C74"/>
      <c r="D74"/>
      <c r="E74"/>
      <c r="F74" t="str">
        <f>LEFT(AllDaqbookOffsets[[#This Row],[traceability_no]],2)</f>
        <v>J1</v>
      </c>
      <c r="W74" t="s">
        <v>1038</v>
      </c>
      <c r="X74" t="s">
        <v>201</v>
      </c>
      <c r="Z74" t="str">
        <v>J211</v>
      </c>
      <c r="AA74" t="str">
        <v>J201-J214</v>
      </c>
    </row>
    <row r="75" spans="1:27" x14ac:dyDescent="0.2">
      <c r="A75"/>
      <c r="B75"/>
      <c r="C75"/>
      <c r="D75"/>
      <c r="E75"/>
      <c r="F75" t="str">
        <f>LEFT(AllDaqbookOffsets[[#This Row],[traceability_no]],2)</f>
        <v>J1</v>
      </c>
      <c r="W75" t="s">
        <v>1039</v>
      </c>
      <c r="X75" t="s">
        <v>201</v>
      </c>
      <c r="Z75" t="str">
        <v>J212</v>
      </c>
      <c r="AA75" t="str">
        <v>J201-J214</v>
      </c>
    </row>
    <row r="76" spans="1:27" x14ac:dyDescent="0.2">
      <c r="A76"/>
      <c r="B76"/>
      <c r="C76"/>
      <c r="D76"/>
      <c r="E76"/>
      <c r="F76" t="str">
        <f>LEFT(AllDaqbookOffsets[[#This Row],[traceability_no]],2)</f>
        <v>J1</v>
      </c>
      <c r="W76" t="s">
        <v>1040</v>
      </c>
      <c r="X76" t="s">
        <v>201</v>
      </c>
      <c r="Z76" t="str">
        <v>J213</v>
      </c>
      <c r="AA76" t="str">
        <v>J201-J214</v>
      </c>
    </row>
    <row r="77" spans="1:27" x14ac:dyDescent="0.2">
      <c r="A77"/>
      <c r="B77"/>
      <c r="C77"/>
      <c r="D77"/>
      <c r="E77"/>
      <c r="F77" t="str">
        <f>LEFT(AllDaqbookOffsets[[#This Row],[traceability_no]],2)</f>
        <v>J1</v>
      </c>
      <c r="W77" t="s">
        <v>1041</v>
      </c>
      <c r="X77" t="s">
        <v>201</v>
      </c>
      <c r="Z77" t="str">
        <v>J214</v>
      </c>
      <c r="AA77" t="str">
        <v>J201-J214</v>
      </c>
    </row>
    <row r="78" spans="1:27" x14ac:dyDescent="0.2">
      <c r="A78"/>
      <c r="B78"/>
      <c r="C78"/>
      <c r="D78"/>
      <c r="E78"/>
      <c r="F78" t="str">
        <f>LEFT(AllDaqbookOffsets[[#This Row],[traceability_no]],2)</f>
        <v>J1</v>
      </c>
      <c r="W78" t="s">
        <v>1042</v>
      </c>
      <c r="X78" t="s">
        <v>201</v>
      </c>
      <c r="Z78" t="str">
        <v>J22</v>
      </c>
      <c r="AA78" t="str">
        <v>J01-J24</v>
      </c>
    </row>
    <row r="79" spans="1:27" x14ac:dyDescent="0.2">
      <c r="A79"/>
      <c r="B79"/>
      <c r="C79"/>
      <c r="D79"/>
      <c r="E79"/>
      <c r="F79" t="str">
        <f>LEFT(AllDaqbookOffsets[[#This Row],[traceability_no]],2)</f>
        <v>J1</v>
      </c>
      <c r="W79" t="s">
        <v>1043</v>
      </c>
      <c r="X79" t="s">
        <v>201</v>
      </c>
      <c r="Z79" t="str">
        <v>J23</v>
      </c>
      <c r="AA79" t="str">
        <v>J01-J24</v>
      </c>
    </row>
    <row r="80" spans="1:27" x14ac:dyDescent="0.2">
      <c r="A80"/>
      <c r="B80"/>
      <c r="C80"/>
      <c r="D80"/>
      <c r="E80"/>
      <c r="F80" t="str">
        <f>LEFT(AllDaqbookOffsets[[#This Row],[traceability_no]],2)</f>
        <v>J1</v>
      </c>
      <c r="W80" t="s">
        <v>1044</v>
      </c>
      <c r="X80" t="s">
        <v>201</v>
      </c>
      <c r="Z80" t="str">
        <v>J24</v>
      </c>
      <c r="AA80" t="str">
        <v>J01-J24</v>
      </c>
    </row>
    <row r="81" spans="1:27" x14ac:dyDescent="0.2">
      <c r="A81"/>
      <c r="B81"/>
      <c r="C81"/>
      <c r="D81"/>
      <c r="E81"/>
      <c r="F81" t="str">
        <f>LEFT(AllDaqbookOffsets[[#This Row],[traceability_no]],2)</f>
        <v>J1</v>
      </c>
      <c r="W81" t="s">
        <v>1045</v>
      </c>
      <c r="X81" t="s">
        <v>201</v>
      </c>
      <c r="Z81" t="str">
        <v>J301</v>
      </c>
      <c r="AA81" t="str">
        <v>J301-J314</v>
      </c>
    </row>
    <row r="82" spans="1:27" x14ac:dyDescent="0.2">
      <c r="A82"/>
      <c r="B82"/>
      <c r="C82"/>
      <c r="D82"/>
      <c r="E82"/>
      <c r="F82" t="str">
        <f>LEFT(AllDaqbookOffsets[[#This Row],[traceability_no]],2)</f>
        <v>J1</v>
      </c>
      <c r="W82" t="s">
        <v>1046</v>
      </c>
      <c r="X82" t="s">
        <v>201</v>
      </c>
      <c r="Z82" t="str">
        <v>J302</v>
      </c>
      <c r="AA82" t="str">
        <v>J301-J314</v>
      </c>
    </row>
    <row r="83" spans="1:27" x14ac:dyDescent="0.2">
      <c r="A83"/>
      <c r="B83"/>
      <c r="C83"/>
      <c r="D83"/>
      <c r="E83"/>
      <c r="F83" t="str">
        <f>LEFT(AllDaqbookOffsets[[#This Row],[traceability_no]],2)</f>
        <v>J1</v>
      </c>
      <c r="W83" t="s">
        <v>1047</v>
      </c>
      <c r="X83" t="s">
        <v>201</v>
      </c>
      <c r="Z83" t="str">
        <v>J303</v>
      </c>
      <c r="AA83" t="str">
        <v>J301-J314</v>
      </c>
    </row>
    <row r="84" spans="1:27" x14ac:dyDescent="0.2">
      <c r="A84"/>
      <c r="B84"/>
      <c r="C84"/>
      <c r="D84"/>
      <c r="E84"/>
      <c r="F84" t="str">
        <f>LEFT(AllDaqbookOffsets[[#This Row],[traceability_no]],2)</f>
        <v>J1</v>
      </c>
      <c r="W84" t="s">
        <v>1048</v>
      </c>
      <c r="X84" t="s">
        <v>201</v>
      </c>
      <c r="Z84" t="str">
        <v>J304</v>
      </c>
      <c r="AA84" t="str">
        <v>J301-J314</v>
      </c>
    </row>
    <row r="85" spans="1:27" x14ac:dyDescent="0.2">
      <c r="A85"/>
      <c r="B85"/>
      <c r="C85"/>
      <c r="D85"/>
      <c r="E85"/>
      <c r="F85" t="str">
        <f>LEFT(AllDaqbookOffsets[[#This Row],[traceability_no]],2)</f>
        <v>J1</v>
      </c>
      <c r="W85" t="s">
        <v>1049</v>
      </c>
      <c r="X85" t="s">
        <v>201</v>
      </c>
      <c r="Z85" t="str">
        <v>J305</v>
      </c>
      <c r="AA85" t="str">
        <v>J301-J314</v>
      </c>
    </row>
    <row r="86" spans="1:27" x14ac:dyDescent="0.2">
      <c r="A86"/>
      <c r="B86"/>
      <c r="C86"/>
      <c r="D86"/>
      <c r="E86"/>
      <c r="F86" t="str">
        <f>LEFT(AllDaqbookOffsets[[#This Row],[traceability_no]],2)</f>
        <v>J1</v>
      </c>
      <c r="W86" t="s">
        <v>1050</v>
      </c>
      <c r="X86" t="s">
        <v>201</v>
      </c>
      <c r="Z86" t="str">
        <v>J306</v>
      </c>
      <c r="AA86" t="str">
        <v>J301-J314</v>
      </c>
    </row>
    <row r="87" spans="1:27" x14ac:dyDescent="0.2">
      <c r="A87"/>
      <c r="B87"/>
      <c r="C87"/>
      <c r="D87"/>
      <c r="E87"/>
      <c r="F87" t="str">
        <f>LEFT(AllDaqbookOffsets[[#This Row],[traceability_no]],2)</f>
        <v>J1</v>
      </c>
      <c r="W87" t="s">
        <v>1051</v>
      </c>
      <c r="X87" t="s">
        <v>201</v>
      </c>
      <c r="Z87" t="str">
        <v>J307</v>
      </c>
      <c r="AA87" t="str">
        <v>J301-J314</v>
      </c>
    </row>
    <row r="88" spans="1:27" x14ac:dyDescent="0.2">
      <c r="A88"/>
      <c r="B88"/>
      <c r="C88"/>
      <c r="D88"/>
      <c r="E88"/>
      <c r="F88" t="str">
        <f>LEFT(AllDaqbookOffsets[[#This Row],[traceability_no]],2)</f>
        <v>J1</v>
      </c>
      <c r="W88" t="s">
        <v>1052</v>
      </c>
      <c r="X88" t="s">
        <v>202</v>
      </c>
      <c r="Z88" t="str">
        <v>J308</v>
      </c>
      <c r="AA88" t="str">
        <v>J301-J314</v>
      </c>
    </row>
    <row r="89" spans="1:27" x14ac:dyDescent="0.2">
      <c r="A89"/>
      <c r="B89"/>
      <c r="C89"/>
      <c r="D89"/>
      <c r="E89"/>
      <c r="F89" t="str">
        <f>LEFT(AllDaqbookOffsets[[#This Row],[traceability_no]],2)</f>
        <v>J1</v>
      </c>
      <c r="W89" t="s">
        <v>1053</v>
      </c>
      <c r="X89" t="s">
        <v>202</v>
      </c>
      <c r="Z89" t="str">
        <v>J309</v>
      </c>
      <c r="AA89" t="str">
        <v>J301-J314</v>
      </c>
    </row>
    <row r="90" spans="1:27" x14ac:dyDescent="0.2">
      <c r="A90"/>
      <c r="B90"/>
      <c r="C90"/>
      <c r="D90"/>
      <c r="E90"/>
      <c r="F90" t="str">
        <f>LEFT(AllDaqbookOffsets[[#This Row],[traceability_no]],2)</f>
        <v>J1</v>
      </c>
      <c r="W90" t="s">
        <v>1054</v>
      </c>
      <c r="X90" t="s">
        <v>202</v>
      </c>
      <c r="Z90" t="str">
        <v>J310</v>
      </c>
      <c r="AA90" t="str">
        <v>J301-J314</v>
      </c>
    </row>
    <row r="91" spans="1:27" x14ac:dyDescent="0.2">
      <c r="A91"/>
      <c r="B91"/>
      <c r="C91"/>
      <c r="D91"/>
      <c r="E91"/>
      <c r="F91" t="str">
        <f>LEFT(AllDaqbookOffsets[[#This Row],[traceability_no]],2)</f>
        <v>J1</v>
      </c>
      <c r="W91" t="s">
        <v>1055</v>
      </c>
      <c r="X91" t="s">
        <v>202</v>
      </c>
      <c r="Z91" t="str">
        <v>J311</v>
      </c>
      <c r="AA91" t="str">
        <v>J301-J314</v>
      </c>
    </row>
    <row r="92" spans="1:27" x14ac:dyDescent="0.2">
      <c r="A92"/>
      <c r="B92"/>
      <c r="C92"/>
      <c r="D92"/>
      <c r="E92"/>
      <c r="F92" t="str">
        <f>LEFT(AllDaqbookOffsets[[#This Row],[traceability_no]],2)</f>
        <v>J1</v>
      </c>
      <c r="W92" t="s">
        <v>1056</v>
      </c>
      <c r="X92" t="s">
        <v>202</v>
      </c>
      <c r="Z92" t="str">
        <v>J312</v>
      </c>
      <c r="AA92" t="str">
        <v>J301-J314</v>
      </c>
    </row>
    <row r="93" spans="1:27" x14ac:dyDescent="0.2">
      <c r="A93"/>
      <c r="B93"/>
      <c r="C93"/>
      <c r="D93"/>
      <c r="E93"/>
      <c r="F93" t="str">
        <f>LEFT(AllDaqbookOffsets[[#This Row],[traceability_no]],2)</f>
        <v>J1</v>
      </c>
      <c r="W93" t="s">
        <v>1057</v>
      </c>
      <c r="X93" t="s">
        <v>202</v>
      </c>
      <c r="Z93" t="str">
        <v>J313</v>
      </c>
      <c r="AA93" t="str">
        <v>J301-J314</v>
      </c>
    </row>
    <row r="94" spans="1:27" x14ac:dyDescent="0.2">
      <c r="A94"/>
      <c r="B94"/>
      <c r="C94"/>
      <c r="D94"/>
      <c r="E94"/>
      <c r="F94" t="str">
        <f>LEFT(AllDaqbookOffsets[[#This Row],[traceability_no]],2)</f>
        <v>J1</v>
      </c>
      <c r="W94" t="s">
        <v>1058</v>
      </c>
      <c r="X94" t="s">
        <v>202</v>
      </c>
      <c r="Z94" t="str">
        <v>J314</v>
      </c>
      <c r="AA94" t="str">
        <v>J301-J314</v>
      </c>
    </row>
    <row r="95" spans="1:27" x14ac:dyDescent="0.2">
      <c r="A95"/>
      <c r="B95"/>
      <c r="C95"/>
      <c r="D95"/>
      <c r="E95"/>
      <c r="F95" t="str">
        <f>LEFT(AllDaqbookOffsets[[#This Row],[traceability_no]],2)</f>
        <v>J1</v>
      </c>
      <c r="W95" t="s">
        <v>1059</v>
      </c>
      <c r="X95" t="s">
        <v>202</v>
      </c>
      <c r="Z95" t="str">
        <v>J501</v>
      </c>
      <c r="AA95" t="str">
        <v>J501-J514</v>
      </c>
    </row>
    <row r="96" spans="1:27" x14ac:dyDescent="0.2">
      <c r="A96"/>
      <c r="B96"/>
      <c r="C96"/>
      <c r="D96"/>
      <c r="E96"/>
      <c r="F96" t="str">
        <f>LEFT(AllDaqbookOffsets[[#This Row],[traceability_no]],2)</f>
        <v>J1</v>
      </c>
      <c r="W96" t="s">
        <v>1060</v>
      </c>
      <c r="X96" t="s">
        <v>202</v>
      </c>
      <c r="Z96" t="str">
        <v>J502</v>
      </c>
      <c r="AA96" t="str">
        <v>J501-J514</v>
      </c>
    </row>
    <row r="97" spans="1:27" x14ac:dyDescent="0.2">
      <c r="A97"/>
      <c r="B97"/>
      <c r="C97"/>
      <c r="D97"/>
      <c r="E97"/>
      <c r="F97" t="str">
        <f>LEFT(AllDaqbookOffsets[[#This Row],[traceability_no]],2)</f>
        <v>J1</v>
      </c>
      <c r="W97" t="s">
        <v>1061</v>
      </c>
      <c r="X97" t="s">
        <v>202</v>
      </c>
      <c r="Z97" t="str">
        <v>J503</v>
      </c>
      <c r="AA97" t="str">
        <v>J501-J514</v>
      </c>
    </row>
    <row r="98" spans="1:27" x14ac:dyDescent="0.2">
      <c r="A98"/>
      <c r="B98"/>
      <c r="C98"/>
      <c r="D98"/>
      <c r="E98"/>
      <c r="F98" t="str">
        <f>LEFT(AllDaqbookOffsets[[#This Row],[traceability_no]],2)</f>
        <v>J1</v>
      </c>
      <c r="W98" t="s">
        <v>1064</v>
      </c>
      <c r="X98" t="s">
        <v>203</v>
      </c>
      <c r="Z98" t="str">
        <v>J504</v>
      </c>
      <c r="AA98" t="str">
        <v>J501-J514</v>
      </c>
    </row>
    <row r="99" spans="1:27" x14ac:dyDescent="0.2">
      <c r="A99"/>
      <c r="B99"/>
      <c r="C99"/>
      <c r="D99"/>
      <c r="E99"/>
      <c r="F99" t="str">
        <f>LEFT(AllDaqbookOffsets[[#This Row],[traceability_no]],2)</f>
        <v>J1</v>
      </c>
      <c r="W99" t="s">
        <v>1065</v>
      </c>
      <c r="X99" t="s">
        <v>203</v>
      </c>
      <c r="Z99" t="str">
        <v>J505</v>
      </c>
      <c r="AA99" t="str">
        <v>J501-J514</v>
      </c>
    </row>
    <row r="100" spans="1:27" x14ac:dyDescent="0.2">
      <c r="A100"/>
      <c r="B100"/>
      <c r="C100"/>
      <c r="D100"/>
      <c r="E100"/>
      <c r="F100" t="str">
        <f>LEFT(AllDaqbookOffsets[[#This Row],[traceability_no]],2)</f>
        <v>J1</v>
      </c>
      <c r="W100" t="s">
        <v>1066</v>
      </c>
      <c r="X100" t="s">
        <v>203</v>
      </c>
      <c r="Z100" t="str">
        <v>J506</v>
      </c>
      <c r="AA100" t="str">
        <v>J501-J514</v>
      </c>
    </row>
    <row r="101" spans="1:27" x14ac:dyDescent="0.2">
      <c r="A101"/>
      <c r="B101"/>
      <c r="C101"/>
      <c r="D101"/>
      <c r="E101"/>
      <c r="F101" t="str">
        <f>LEFT(AllDaqbookOffsets[[#This Row],[traceability_no]],2)</f>
        <v>J1</v>
      </c>
      <c r="W101" t="s">
        <v>1067</v>
      </c>
      <c r="X101" t="s">
        <v>203</v>
      </c>
      <c r="Z101" t="str">
        <v>J507</v>
      </c>
      <c r="AA101" t="str">
        <v>J501-J514</v>
      </c>
    </row>
    <row r="102" spans="1:27" x14ac:dyDescent="0.2">
      <c r="A102"/>
      <c r="B102"/>
      <c r="C102"/>
      <c r="D102"/>
      <c r="E102"/>
      <c r="F102" t="str">
        <f>LEFT(AllDaqbookOffsets[[#This Row],[traceability_no]],2)</f>
        <v>J1</v>
      </c>
      <c r="W102" t="s">
        <v>1068</v>
      </c>
      <c r="X102" t="s">
        <v>203</v>
      </c>
      <c r="Z102" t="str">
        <v>J508</v>
      </c>
      <c r="AA102" t="str">
        <v>J501-J514</v>
      </c>
    </row>
    <row r="103" spans="1:27" x14ac:dyDescent="0.2">
      <c r="A103"/>
      <c r="B103"/>
      <c r="C103"/>
      <c r="D103"/>
      <c r="E103"/>
      <c r="F103" t="str">
        <f>LEFT(AllDaqbookOffsets[[#This Row],[traceability_no]],2)</f>
        <v>J1</v>
      </c>
      <c r="W103" t="s">
        <v>1069</v>
      </c>
      <c r="X103" t="s">
        <v>203</v>
      </c>
      <c r="Z103" t="str">
        <v>J509</v>
      </c>
      <c r="AA103" t="str">
        <v>J501-J514</v>
      </c>
    </row>
    <row r="104" spans="1:27" x14ac:dyDescent="0.2">
      <c r="A104"/>
      <c r="B104"/>
      <c r="C104"/>
      <c r="D104"/>
      <c r="E104"/>
      <c r="F104" t="str">
        <f>LEFT(AllDaqbookOffsets[[#This Row],[traceability_no]],2)</f>
        <v>J1</v>
      </c>
      <c r="W104" t="s">
        <v>1070</v>
      </c>
      <c r="X104" t="s">
        <v>203</v>
      </c>
      <c r="Z104" t="str">
        <v>J510</v>
      </c>
      <c r="AA104" t="str">
        <v>J501-J514</v>
      </c>
    </row>
    <row r="105" spans="1:27" x14ac:dyDescent="0.2">
      <c r="A105"/>
      <c r="B105"/>
      <c r="C105"/>
      <c r="D105"/>
      <c r="E105"/>
      <c r="F105" t="str">
        <f>LEFT(AllDaqbookOffsets[[#This Row],[traceability_no]],2)</f>
        <v>J1</v>
      </c>
      <c r="W105" t="s">
        <v>1071</v>
      </c>
      <c r="X105" t="s">
        <v>203</v>
      </c>
      <c r="Z105" t="str">
        <v>J511</v>
      </c>
      <c r="AA105" t="str">
        <v>J501-J514</v>
      </c>
    </row>
    <row r="106" spans="1:27" x14ac:dyDescent="0.2">
      <c r="A106"/>
      <c r="B106"/>
      <c r="C106"/>
      <c r="D106"/>
      <c r="E106"/>
      <c r="F106" t="str">
        <f>LEFT(AllDaqbookOffsets[[#This Row],[traceability_no]],2)</f>
        <v>J1</v>
      </c>
      <c r="W106" t="s">
        <v>1072</v>
      </c>
      <c r="X106" t="s">
        <v>203</v>
      </c>
      <c r="Z106" t="str">
        <v>J512</v>
      </c>
      <c r="AA106" t="str">
        <v>J501-J514</v>
      </c>
    </row>
    <row r="107" spans="1:27" x14ac:dyDescent="0.2">
      <c r="A107"/>
      <c r="B107"/>
      <c r="C107"/>
      <c r="D107"/>
      <c r="E107"/>
      <c r="F107" t="str">
        <f>LEFT(AllDaqbookOffsets[[#This Row],[traceability_no]],2)</f>
        <v>J1</v>
      </c>
      <c r="W107" t="s">
        <v>1073</v>
      </c>
      <c r="X107" t="s">
        <v>203</v>
      </c>
      <c r="Z107" t="str">
        <v>J513</v>
      </c>
      <c r="AA107" t="str">
        <v>J501-J514</v>
      </c>
    </row>
    <row r="108" spans="1:27" x14ac:dyDescent="0.2">
      <c r="A108"/>
      <c r="B108"/>
      <c r="C108"/>
      <c r="D108"/>
      <c r="E108"/>
      <c r="F108" t="str">
        <f>LEFT(AllDaqbookOffsets[[#This Row],[traceability_no]],2)</f>
        <v>J1</v>
      </c>
      <c r="W108" t="s">
        <v>1074</v>
      </c>
      <c r="X108" t="s">
        <v>367</v>
      </c>
      <c r="Z108" t="str">
        <v>J514</v>
      </c>
      <c r="AA108" t="str">
        <v>J501-J514</v>
      </c>
    </row>
    <row r="109" spans="1:27" x14ac:dyDescent="0.2">
      <c r="A109"/>
      <c r="B109"/>
      <c r="C109"/>
      <c r="D109"/>
      <c r="E109"/>
      <c r="F109" t="str">
        <f>LEFT(AllDaqbookOffsets[[#This Row],[traceability_no]],2)</f>
        <v>J1</v>
      </c>
      <c r="W109" t="s">
        <v>1075</v>
      </c>
      <c r="X109" t="s">
        <v>367</v>
      </c>
      <c r="Z109" t="str">
        <v>J601</v>
      </c>
      <c r="AA109" t="str">
        <v>J601-J610</v>
      </c>
    </row>
    <row r="110" spans="1:27" x14ac:dyDescent="0.2">
      <c r="A110"/>
      <c r="B110"/>
      <c r="C110"/>
      <c r="D110"/>
      <c r="E110"/>
      <c r="F110" t="str">
        <f>LEFT(AllDaqbookOffsets[[#This Row],[traceability_no]],2)</f>
        <v>J1</v>
      </c>
      <c r="W110" t="s">
        <v>1076</v>
      </c>
      <c r="X110" t="s">
        <v>367</v>
      </c>
      <c r="Z110" t="str">
        <v>J602</v>
      </c>
      <c r="AA110" t="str">
        <v>J601-J610</v>
      </c>
    </row>
    <row r="111" spans="1:27" x14ac:dyDescent="0.2">
      <c r="A111"/>
      <c r="B111"/>
      <c r="C111"/>
      <c r="D111"/>
      <c r="E111"/>
      <c r="F111" t="str">
        <f>LEFT(AllDaqbookOffsets[[#This Row],[traceability_no]],2)</f>
        <v>J1</v>
      </c>
      <c r="W111" t="s">
        <v>1077</v>
      </c>
      <c r="X111" t="s">
        <v>367</v>
      </c>
      <c r="Z111" t="str">
        <v>J603</v>
      </c>
      <c r="AA111" t="str">
        <v>J601-J610</v>
      </c>
    </row>
    <row r="112" spans="1:27" x14ac:dyDescent="0.2">
      <c r="A112"/>
      <c r="B112"/>
      <c r="C112"/>
      <c r="D112"/>
      <c r="E112"/>
      <c r="F112" t="str">
        <f>LEFT(AllDaqbookOffsets[[#This Row],[traceability_no]],2)</f>
        <v>J1</v>
      </c>
      <c r="W112" t="s">
        <v>1078</v>
      </c>
      <c r="X112" t="s">
        <v>367</v>
      </c>
      <c r="Z112" t="str">
        <v>J604</v>
      </c>
      <c r="AA112" t="str">
        <v>J601-J610</v>
      </c>
    </row>
    <row r="113" spans="1:27" x14ac:dyDescent="0.2">
      <c r="A113"/>
      <c r="B113"/>
      <c r="C113"/>
      <c r="D113"/>
      <c r="E113"/>
      <c r="F113" t="str">
        <f>LEFT(AllDaqbookOffsets[[#This Row],[traceability_no]],2)</f>
        <v>J1</v>
      </c>
      <c r="W113" t="s">
        <v>1079</v>
      </c>
      <c r="X113" t="s">
        <v>367</v>
      </c>
      <c r="Z113" t="str">
        <v>J605</v>
      </c>
      <c r="AA113" t="str">
        <v>J601-J610</v>
      </c>
    </row>
    <row r="114" spans="1:27" x14ac:dyDescent="0.2">
      <c r="A114"/>
      <c r="B114"/>
      <c r="C114"/>
      <c r="D114"/>
      <c r="E114"/>
      <c r="F114" t="str">
        <f>LEFT(AllDaqbookOffsets[[#This Row],[traceability_no]],2)</f>
        <v>J1</v>
      </c>
      <c r="W114" t="s">
        <v>1080</v>
      </c>
      <c r="X114" t="s">
        <v>367</v>
      </c>
      <c r="Z114" t="str">
        <v>J606</v>
      </c>
      <c r="AA114" t="str">
        <v>J601-J610</v>
      </c>
    </row>
    <row r="115" spans="1:27" x14ac:dyDescent="0.2">
      <c r="A115"/>
      <c r="B115"/>
      <c r="C115"/>
      <c r="D115"/>
      <c r="E115"/>
      <c r="F115" t="str">
        <f>LEFT(AllDaqbookOffsets[[#This Row],[traceability_no]],2)</f>
        <v>J1</v>
      </c>
      <c r="W115" t="s">
        <v>1081</v>
      </c>
      <c r="X115" t="s">
        <v>367</v>
      </c>
      <c r="Z115" t="str">
        <v>J607</v>
      </c>
      <c r="AA115" t="str">
        <v>J601-J610</v>
      </c>
    </row>
    <row r="116" spans="1:27" x14ac:dyDescent="0.2">
      <c r="A116"/>
      <c r="B116"/>
      <c r="C116"/>
      <c r="D116"/>
      <c r="E116"/>
      <c r="F116" t="str">
        <f>LEFT(AllDaqbookOffsets[[#This Row],[traceability_no]],2)</f>
        <v>J1</v>
      </c>
      <c r="W116" t="s">
        <v>1082</v>
      </c>
      <c r="X116" t="s">
        <v>367</v>
      </c>
      <c r="Z116" t="str">
        <v>J608</v>
      </c>
      <c r="AA116" t="str">
        <v>J601-J610</v>
      </c>
    </row>
    <row r="117" spans="1:27" x14ac:dyDescent="0.2">
      <c r="A117"/>
      <c r="B117"/>
      <c r="C117"/>
      <c r="D117"/>
      <c r="E117"/>
      <c r="F117" t="str">
        <f>LEFT(AllDaqbookOffsets[[#This Row],[traceability_no]],2)</f>
        <v>J1</v>
      </c>
      <c r="W117" t="s">
        <v>1083</v>
      </c>
      <c r="X117" t="s">
        <v>367</v>
      </c>
      <c r="Z117" t="str">
        <v>J609</v>
      </c>
      <c r="AA117" t="str">
        <v>J601-J610</v>
      </c>
    </row>
    <row r="118" spans="1:27" x14ac:dyDescent="0.2">
      <c r="A118"/>
      <c r="B118"/>
      <c r="C118"/>
      <c r="D118"/>
      <c r="E118"/>
      <c r="F118" t="str">
        <f>LEFT(AllDaqbookOffsets[[#This Row],[traceability_no]],2)</f>
        <v>J1</v>
      </c>
      <c r="W118" t="s">
        <v>1090</v>
      </c>
      <c r="X118" t="s">
        <v>206</v>
      </c>
      <c r="Z118" t="str">
        <v>J610</v>
      </c>
      <c r="AA118" t="str">
        <v>J601-J610</v>
      </c>
    </row>
    <row r="119" spans="1:27" x14ac:dyDescent="0.2">
      <c r="A119"/>
      <c r="B119"/>
      <c r="C119"/>
      <c r="D119"/>
      <c r="E119"/>
      <c r="F119" t="str">
        <f>LEFT(AllDaqbookOffsets[[#This Row],[traceability_no]],2)</f>
        <v>J1</v>
      </c>
      <c r="W119" t="s">
        <v>1091</v>
      </c>
      <c r="X119" t="s">
        <v>206</v>
      </c>
      <c r="Z119" t="str">
        <v>J701</v>
      </c>
      <c r="AA119" t="str">
        <v>J701-J710</v>
      </c>
    </row>
    <row r="120" spans="1:27" x14ac:dyDescent="0.2">
      <c r="A120"/>
      <c r="B120"/>
      <c r="C120"/>
      <c r="D120"/>
      <c r="E120"/>
      <c r="F120" t="str">
        <f>LEFT(AllDaqbookOffsets[[#This Row],[traceability_no]],2)</f>
        <v>J1</v>
      </c>
      <c r="W120" t="s">
        <v>1092</v>
      </c>
      <c r="X120" t="s">
        <v>206</v>
      </c>
      <c r="Z120" t="str">
        <v>J702</v>
      </c>
      <c r="AA120" t="str">
        <v>J701-J710</v>
      </c>
    </row>
    <row r="121" spans="1:27" x14ac:dyDescent="0.2">
      <c r="A121"/>
      <c r="B121"/>
      <c r="C121"/>
      <c r="D121"/>
      <c r="E121"/>
      <c r="F121" t="str">
        <f>LEFT(AllDaqbookOffsets[[#This Row],[traceability_no]],2)</f>
        <v>J1</v>
      </c>
      <c r="W121" t="s">
        <v>1093</v>
      </c>
      <c r="X121" t="s">
        <v>206</v>
      </c>
      <c r="Z121" t="str">
        <v>J703</v>
      </c>
      <c r="AA121" t="str">
        <v>J701-J710</v>
      </c>
    </row>
    <row r="122" spans="1:27" x14ac:dyDescent="0.2">
      <c r="A122"/>
      <c r="B122"/>
      <c r="C122"/>
      <c r="D122"/>
      <c r="E122"/>
      <c r="F122" t="str">
        <f>LEFT(AllDaqbookOffsets[[#This Row],[traceability_no]],2)</f>
        <v>J1</v>
      </c>
      <c r="W122" t="s">
        <v>1094</v>
      </c>
      <c r="X122" t="s">
        <v>206</v>
      </c>
      <c r="Z122" t="str">
        <v>J704</v>
      </c>
      <c r="AA122" t="str">
        <v>J701-J710</v>
      </c>
    </row>
    <row r="123" spans="1:27" x14ac:dyDescent="0.2">
      <c r="A123"/>
      <c r="B123"/>
      <c r="C123"/>
      <c r="D123"/>
      <c r="E123"/>
      <c r="F123" t="str">
        <f>LEFT(AllDaqbookOffsets[[#This Row],[traceability_no]],2)</f>
        <v>J1</v>
      </c>
      <c r="W123" t="s">
        <v>1095</v>
      </c>
      <c r="X123" t="s">
        <v>206</v>
      </c>
      <c r="Z123" t="str">
        <v>J705</v>
      </c>
      <c r="AA123" t="str">
        <v>J701-J710</v>
      </c>
    </row>
    <row r="124" spans="1:27" x14ac:dyDescent="0.2">
      <c r="A124"/>
      <c r="B124"/>
      <c r="C124"/>
      <c r="D124"/>
      <c r="E124"/>
      <c r="F124" t="str">
        <f>LEFT(AllDaqbookOffsets[[#This Row],[traceability_no]],2)</f>
        <v>J1</v>
      </c>
      <c r="W124" t="s">
        <v>1096</v>
      </c>
      <c r="X124" t="s">
        <v>206</v>
      </c>
      <c r="Z124" t="str">
        <v>J706</v>
      </c>
      <c r="AA124" t="str">
        <v>J701-J710</v>
      </c>
    </row>
    <row r="125" spans="1:27" x14ac:dyDescent="0.2">
      <c r="A125"/>
      <c r="B125"/>
      <c r="C125"/>
      <c r="D125"/>
      <c r="E125"/>
      <c r="F125" t="str">
        <f>LEFT(AllDaqbookOffsets[[#This Row],[traceability_no]],2)</f>
        <v>J1</v>
      </c>
      <c r="W125" t="s">
        <v>1097</v>
      </c>
      <c r="X125" t="s">
        <v>206</v>
      </c>
      <c r="Z125" t="str">
        <v>J707</v>
      </c>
      <c r="AA125" t="str">
        <v>J701-J710</v>
      </c>
    </row>
    <row r="126" spans="1:27" x14ac:dyDescent="0.2">
      <c r="A126"/>
      <c r="B126"/>
      <c r="C126"/>
      <c r="D126"/>
      <c r="E126"/>
      <c r="F126" t="str">
        <f>LEFT(AllDaqbookOffsets[[#This Row],[traceability_no]],2)</f>
        <v>J1</v>
      </c>
      <c r="W126" t="s">
        <v>1098</v>
      </c>
      <c r="X126" t="s">
        <v>206</v>
      </c>
      <c r="Z126" t="str">
        <v>J708</v>
      </c>
      <c r="AA126" t="str">
        <v>J701-J710</v>
      </c>
    </row>
    <row r="127" spans="1:27" x14ac:dyDescent="0.2">
      <c r="A127"/>
      <c r="B127"/>
      <c r="C127"/>
      <c r="D127"/>
      <c r="E127"/>
      <c r="F127" t="str">
        <f>LEFT(AllDaqbookOffsets[[#This Row],[traceability_no]],2)</f>
        <v>J1</v>
      </c>
      <c r="W127" t="s">
        <v>1084</v>
      </c>
      <c r="X127" t="s">
        <v>367</v>
      </c>
      <c r="Z127" t="str">
        <v>J709</v>
      </c>
      <c r="AA127" t="str">
        <v>J701-J710</v>
      </c>
    </row>
    <row r="128" spans="1:27" x14ac:dyDescent="0.2">
      <c r="A128"/>
      <c r="B128"/>
      <c r="C128"/>
      <c r="D128"/>
      <c r="E128"/>
      <c r="F128" t="str">
        <f>LEFT(AllDaqbookOffsets[[#This Row],[traceability_no]],2)</f>
        <v>J1</v>
      </c>
      <c r="W128" t="s">
        <v>1099</v>
      </c>
      <c r="X128" t="s">
        <v>206</v>
      </c>
      <c r="Z128" t="str">
        <v>J710</v>
      </c>
      <c r="AA128" t="str">
        <v>J701-J710</v>
      </c>
    </row>
    <row r="129" spans="1:27" x14ac:dyDescent="0.2">
      <c r="A129"/>
      <c r="B129"/>
      <c r="C129"/>
      <c r="D129"/>
      <c r="E129"/>
      <c r="F129" t="str">
        <f>LEFT(AllDaqbookOffsets[[#This Row],[traceability_no]],2)</f>
        <v>J1</v>
      </c>
      <c r="W129" t="s">
        <v>1085</v>
      </c>
      <c r="X129" t="s">
        <v>367</v>
      </c>
      <c r="Z129" t="str">
        <v>K01</v>
      </c>
      <c r="AA129" t="str">
        <v>K01-K16</v>
      </c>
    </row>
    <row r="130" spans="1:27" x14ac:dyDescent="0.2">
      <c r="A130"/>
      <c r="B130"/>
      <c r="C130"/>
      <c r="D130"/>
      <c r="E130"/>
      <c r="F130" t="str">
        <f>LEFT(AllDaqbookOffsets[[#This Row],[traceability_no]],2)</f>
        <v>J1</v>
      </c>
      <c r="W130" t="s">
        <v>1086</v>
      </c>
      <c r="X130" t="s">
        <v>367</v>
      </c>
      <c r="Z130" t="str">
        <v>K02</v>
      </c>
      <c r="AA130" t="str">
        <v>K01-K16</v>
      </c>
    </row>
    <row r="131" spans="1:27" x14ac:dyDescent="0.2">
      <c r="A131"/>
      <c r="B131"/>
      <c r="C131"/>
      <c r="D131"/>
      <c r="E131"/>
      <c r="F131" t="str">
        <f>LEFT(AllDaqbookOffsets[[#This Row],[traceability_no]],2)</f>
        <v>J1</v>
      </c>
      <c r="W131" t="s">
        <v>1087</v>
      </c>
      <c r="X131" t="s">
        <v>367</v>
      </c>
      <c r="Z131" t="str">
        <v>K03</v>
      </c>
      <c r="AA131" t="str">
        <v>K01-K16</v>
      </c>
    </row>
    <row r="132" spans="1:27" x14ac:dyDescent="0.2">
      <c r="A132"/>
      <c r="B132"/>
      <c r="C132"/>
      <c r="D132"/>
      <c r="E132"/>
      <c r="F132" t="str">
        <f>LEFT(AllDaqbookOffsets[[#This Row],[traceability_no]],2)</f>
        <v>J1</v>
      </c>
      <c r="W132" t="s">
        <v>1088</v>
      </c>
      <c r="X132" t="s">
        <v>367</v>
      </c>
      <c r="Z132" t="str">
        <v>K04</v>
      </c>
      <c r="AA132" t="str">
        <v>K01-K16</v>
      </c>
    </row>
    <row r="133" spans="1:27" x14ac:dyDescent="0.2">
      <c r="A133"/>
      <c r="B133"/>
      <c r="C133"/>
      <c r="D133"/>
      <c r="E133"/>
      <c r="F133" t="str">
        <f>LEFT(AllDaqbookOffsets[[#This Row],[traceability_no]],2)</f>
        <v>J1</v>
      </c>
      <c r="W133" t="s">
        <v>1089</v>
      </c>
      <c r="X133" t="s">
        <v>367</v>
      </c>
      <c r="Z133" t="str">
        <v>K05</v>
      </c>
      <c r="AA133" t="str">
        <v>K01-K16</v>
      </c>
    </row>
    <row r="134" spans="1:27" x14ac:dyDescent="0.2">
      <c r="A134"/>
      <c r="B134"/>
      <c r="C134"/>
      <c r="D134"/>
      <c r="E134"/>
      <c r="F134" t="str">
        <f>LEFT(AllDaqbookOffsets[[#This Row],[traceability_no]],2)</f>
        <v>J1</v>
      </c>
      <c r="W134" t="s">
        <v>1100</v>
      </c>
      <c r="X134" t="s">
        <v>207</v>
      </c>
      <c r="Z134" t="str">
        <v>K06</v>
      </c>
      <c r="AA134" t="str">
        <v>K01-K16</v>
      </c>
    </row>
    <row r="135" spans="1:27" x14ac:dyDescent="0.2">
      <c r="A135"/>
      <c r="B135"/>
      <c r="C135"/>
      <c r="D135"/>
      <c r="E135"/>
      <c r="F135" t="str">
        <f>LEFT(AllDaqbookOffsets[[#This Row],[traceability_no]],2)</f>
        <v>J1</v>
      </c>
      <c r="W135" t="s">
        <v>1101</v>
      </c>
      <c r="X135" t="s">
        <v>207</v>
      </c>
      <c r="Z135" t="str">
        <v>K07</v>
      </c>
      <c r="AA135" t="str">
        <v>K01-K16</v>
      </c>
    </row>
    <row r="136" spans="1:27" x14ac:dyDescent="0.2">
      <c r="A136"/>
      <c r="B136"/>
      <c r="C136"/>
      <c r="D136"/>
      <c r="E136"/>
      <c r="F136" t="str">
        <f>LEFT(AllDaqbookOffsets[[#This Row],[traceability_no]],2)</f>
        <v>J1</v>
      </c>
      <c r="W136" t="s">
        <v>1102</v>
      </c>
      <c r="X136" t="s">
        <v>207</v>
      </c>
      <c r="Z136" t="str">
        <v>K08</v>
      </c>
      <c r="AA136" t="str">
        <v>K01-K16</v>
      </c>
    </row>
    <row r="137" spans="1:27" x14ac:dyDescent="0.2">
      <c r="A137"/>
      <c r="B137"/>
      <c r="C137"/>
      <c r="D137"/>
      <c r="E137"/>
      <c r="F137" t="str">
        <f>LEFT(AllDaqbookOffsets[[#This Row],[traceability_no]],2)</f>
        <v>J1</v>
      </c>
      <c r="W137" t="s">
        <v>1103</v>
      </c>
      <c r="X137" t="s">
        <v>207</v>
      </c>
      <c r="Z137" t="str">
        <v>K09</v>
      </c>
      <c r="AA137" t="str">
        <v>K01-K16</v>
      </c>
    </row>
    <row r="138" spans="1:27" x14ac:dyDescent="0.2">
      <c r="A138"/>
      <c r="B138"/>
      <c r="C138"/>
      <c r="D138"/>
      <c r="E138"/>
      <c r="F138" t="str">
        <f>LEFT(AllDaqbookOffsets[[#This Row],[traceability_no]],2)</f>
        <v>J1</v>
      </c>
      <c r="W138" t="s">
        <v>1104</v>
      </c>
      <c r="X138" t="s">
        <v>207</v>
      </c>
      <c r="Z138" t="str">
        <v>K10</v>
      </c>
      <c r="AA138" t="str">
        <v>K01-K16</v>
      </c>
    </row>
    <row r="139" spans="1:27" x14ac:dyDescent="0.2">
      <c r="A139"/>
      <c r="B139"/>
      <c r="C139"/>
      <c r="D139"/>
      <c r="E139"/>
      <c r="F139" t="str">
        <f>LEFT(AllDaqbookOffsets[[#This Row],[traceability_no]],2)</f>
        <v>J1</v>
      </c>
      <c r="W139" t="s">
        <v>1105</v>
      </c>
      <c r="X139" t="s">
        <v>207</v>
      </c>
      <c r="Z139" t="str">
        <v>K101</v>
      </c>
      <c r="AA139" t="str">
        <v>K101 - K110</v>
      </c>
    </row>
    <row r="140" spans="1:27" x14ac:dyDescent="0.2">
      <c r="A140"/>
      <c r="B140"/>
      <c r="C140"/>
      <c r="D140"/>
      <c r="E140"/>
      <c r="F140" t="str">
        <f>LEFT(AllDaqbookOffsets[[#This Row],[traceability_no]],2)</f>
        <v>J1</v>
      </c>
      <c r="W140" t="s">
        <v>1106</v>
      </c>
      <c r="X140" t="s">
        <v>207</v>
      </c>
      <c r="Z140" t="str">
        <v>K102</v>
      </c>
      <c r="AA140" t="str">
        <v>K101 - K110</v>
      </c>
    </row>
    <row r="141" spans="1:27" x14ac:dyDescent="0.2">
      <c r="A141"/>
      <c r="B141"/>
      <c r="C141"/>
      <c r="D141"/>
      <c r="E141"/>
      <c r="F141" t="str">
        <f>LEFT(AllDaqbookOffsets[[#This Row],[traceability_no]],2)</f>
        <v>J1</v>
      </c>
      <c r="W141" t="s">
        <v>1107</v>
      </c>
      <c r="X141" t="s">
        <v>207</v>
      </c>
      <c r="Z141" t="str">
        <v>K103</v>
      </c>
      <c r="AA141" t="str">
        <v>K101 - K110</v>
      </c>
    </row>
    <row r="142" spans="1:27" x14ac:dyDescent="0.2">
      <c r="A142"/>
      <c r="B142"/>
      <c r="C142"/>
      <c r="D142"/>
      <c r="E142"/>
      <c r="F142" t="str">
        <f>LEFT(AllDaqbookOffsets[[#This Row],[traceability_no]],2)</f>
        <v>J1</v>
      </c>
      <c r="W142" t="s">
        <v>1108</v>
      </c>
      <c r="X142" t="s">
        <v>207</v>
      </c>
      <c r="Z142" t="str">
        <v>K104</v>
      </c>
      <c r="AA142" t="str">
        <v>K101 - K110</v>
      </c>
    </row>
    <row r="143" spans="1:27" x14ac:dyDescent="0.2">
      <c r="A143"/>
      <c r="B143"/>
      <c r="C143"/>
      <c r="D143"/>
      <c r="E143"/>
      <c r="F143" t="str">
        <f>LEFT(AllDaqbookOffsets[[#This Row],[traceability_no]],2)</f>
        <v>J1</v>
      </c>
      <c r="W143" t="s">
        <v>1109</v>
      </c>
      <c r="X143" t="s">
        <v>207</v>
      </c>
      <c r="Z143" t="str">
        <v>K105</v>
      </c>
      <c r="AA143" t="str">
        <v>K101 - K110</v>
      </c>
    </row>
    <row r="144" spans="1:27" x14ac:dyDescent="0.2">
      <c r="A144"/>
      <c r="B144"/>
      <c r="C144"/>
      <c r="D144"/>
      <c r="E144"/>
      <c r="F144" t="str">
        <f>LEFT(AllDaqbookOffsets[[#This Row],[traceability_no]],2)</f>
        <v>J1</v>
      </c>
      <c r="W144" t="s">
        <v>1110</v>
      </c>
      <c r="X144" t="s">
        <v>207</v>
      </c>
      <c r="Z144" t="str">
        <v>K106</v>
      </c>
      <c r="AA144" t="str">
        <v>K101 - K110</v>
      </c>
    </row>
    <row r="145" spans="1:27" x14ac:dyDescent="0.2">
      <c r="A145"/>
      <c r="B145"/>
      <c r="C145"/>
      <c r="D145"/>
      <c r="E145"/>
      <c r="F145" t="str">
        <f>LEFT(AllDaqbookOffsets[[#This Row],[traceability_no]],2)</f>
        <v>J1</v>
      </c>
      <c r="W145" t="s">
        <v>1111</v>
      </c>
      <c r="X145" t="s">
        <v>207</v>
      </c>
      <c r="Z145" t="str">
        <v>K107</v>
      </c>
      <c r="AA145" t="str">
        <v>K101 - K110</v>
      </c>
    </row>
    <row r="146" spans="1:27" x14ac:dyDescent="0.2">
      <c r="A146"/>
      <c r="B146"/>
      <c r="C146"/>
      <c r="D146"/>
      <c r="E146"/>
      <c r="F146" t="str">
        <f>LEFT(AllDaqbookOffsets[[#This Row],[traceability_no]],2)</f>
        <v>J1</v>
      </c>
      <c r="W146" t="s">
        <v>1112</v>
      </c>
      <c r="X146" t="s">
        <v>207</v>
      </c>
      <c r="Z146" t="str">
        <v>K108</v>
      </c>
      <c r="AA146" t="str">
        <v>K101 - K110</v>
      </c>
    </row>
    <row r="147" spans="1:27" x14ac:dyDescent="0.2">
      <c r="A147"/>
      <c r="B147"/>
      <c r="C147"/>
      <c r="D147"/>
      <c r="E147"/>
      <c r="F147" t="str">
        <f>LEFT(AllDaqbookOffsets[[#This Row],[traceability_no]],2)</f>
        <v>J1</v>
      </c>
      <c r="W147" t="s">
        <v>1113</v>
      </c>
      <c r="X147" t="s">
        <v>207</v>
      </c>
      <c r="Z147" t="str">
        <v>K109</v>
      </c>
      <c r="AA147" t="str">
        <v>K101 - K110</v>
      </c>
    </row>
    <row r="148" spans="1:27" x14ac:dyDescent="0.2">
      <c r="A148"/>
      <c r="B148"/>
      <c r="C148"/>
      <c r="D148"/>
      <c r="E148"/>
      <c r="F148" t="str">
        <f>LEFT(AllDaqbookOffsets[[#This Row],[traceability_no]],2)</f>
        <v>J1</v>
      </c>
      <c r="W148" t="s">
        <v>1114</v>
      </c>
      <c r="X148" t="s">
        <v>208</v>
      </c>
      <c r="Z148" t="str">
        <v>K11</v>
      </c>
      <c r="AA148" t="str">
        <v>K01-K16</v>
      </c>
    </row>
    <row r="149" spans="1:27" x14ac:dyDescent="0.2">
      <c r="A149"/>
      <c r="B149"/>
      <c r="C149"/>
      <c r="D149"/>
      <c r="E149"/>
      <c r="F149" t="str">
        <f>LEFT(AllDaqbookOffsets[[#This Row],[traceability_no]],2)</f>
        <v>J1</v>
      </c>
      <c r="W149" t="s">
        <v>1115</v>
      </c>
      <c r="X149" t="s">
        <v>208</v>
      </c>
      <c r="Z149" t="str">
        <v>K110</v>
      </c>
      <c r="AA149" t="str">
        <v>K101 - K110</v>
      </c>
    </row>
    <row r="150" spans="1:27" x14ac:dyDescent="0.2">
      <c r="A150"/>
      <c r="B150"/>
      <c r="C150"/>
      <c r="D150"/>
      <c r="E150"/>
      <c r="F150" t="str">
        <f>LEFT(AllDaqbookOffsets[[#This Row],[traceability_no]],2)</f>
        <v>J1</v>
      </c>
      <c r="W150" t="s">
        <v>1116</v>
      </c>
      <c r="X150" t="s">
        <v>208</v>
      </c>
      <c r="Z150" t="str">
        <v>K12</v>
      </c>
      <c r="AA150" t="str">
        <v>K01-K16</v>
      </c>
    </row>
    <row r="151" spans="1:27" x14ac:dyDescent="0.2">
      <c r="A151"/>
      <c r="B151"/>
      <c r="C151"/>
      <c r="D151"/>
      <c r="E151"/>
      <c r="F151" t="str">
        <f>LEFT(AllDaqbookOffsets[[#This Row],[traceability_no]],2)</f>
        <v>J1</v>
      </c>
      <c r="W151" t="s">
        <v>1117</v>
      </c>
      <c r="X151" t="s">
        <v>208</v>
      </c>
      <c r="Z151" t="str">
        <v>K13</v>
      </c>
      <c r="AA151" t="str">
        <v>K01-K16</v>
      </c>
    </row>
    <row r="152" spans="1:27" x14ac:dyDescent="0.2">
      <c r="A152"/>
      <c r="B152"/>
      <c r="C152"/>
      <c r="D152"/>
      <c r="E152"/>
      <c r="F152" t="str">
        <f>LEFT(AllDaqbookOffsets[[#This Row],[traceability_no]],2)</f>
        <v>J1</v>
      </c>
      <c r="W152" t="s">
        <v>1118</v>
      </c>
      <c r="X152" t="s">
        <v>208</v>
      </c>
      <c r="Z152" t="str">
        <v>K14</v>
      </c>
      <c r="AA152" t="str">
        <v>K01-K16</v>
      </c>
    </row>
    <row r="153" spans="1:27" x14ac:dyDescent="0.2">
      <c r="A153"/>
      <c r="B153"/>
      <c r="C153"/>
      <c r="D153"/>
      <c r="E153"/>
      <c r="F153" t="str">
        <f>LEFT(AllDaqbookOffsets[[#This Row],[traceability_no]],2)</f>
        <v>J1</v>
      </c>
      <c r="W153" t="s">
        <v>1119</v>
      </c>
      <c r="X153" t="s">
        <v>208</v>
      </c>
      <c r="Z153" t="str">
        <v>K15</v>
      </c>
      <c r="AA153" t="str">
        <v>K01-K16</v>
      </c>
    </row>
    <row r="154" spans="1:27" x14ac:dyDescent="0.2">
      <c r="A154"/>
      <c r="B154"/>
      <c r="C154"/>
      <c r="D154"/>
      <c r="E154"/>
      <c r="F154" t="str">
        <f>LEFT(AllDaqbookOffsets[[#This Row],[traceability_no]],2)</f>
        <v>J1</v>
      </c>
      <c r="W154" t="s">
        <v>1120</v>
      </c>
      <c r="X154" t="s">
        <v>208</v>
      </c>
      <c r="Z154" t="str">
        <v>K16</v>
      </c>
      <c r="AA154" t="str">
        <v>K01-K16</v>
      </c>
    </row>
    <row r="155" spans="1:27" x14ac:dyDescent="0.2">
      <c r="A155"/>
      <c r="B155"/>
      <c r="C155"/>
      <c r="D155"/>
      <c r="E155"/>
      <c r="F155" t="str">
        <f>LEFT(AllDaqbookOffsets[[#This Row],[traceability_no]],2)</f>
        <v>J1</v>
      </c>
      <c r="W155" t="s">
        <v>1121</v>
      </c>
      <c r="X155" t="s">
        <v>208</v>
      </c>
      <c r="Z155" t="str">
        <v>K201</v>
      </c>
      <c r="AA155" t="str">
        <v>K201-K214</v>
      </c>
    </row>
    <row r="156" spans="1:27" x14ac:dyDescent="0.2">
      <c r="A156"/>
      <c r="B156"/>
      <c r="C156"/>
      <c r="D156"/>
      <c r="E156"/>
      <c r="F156" t="str">
        <f>LEFT(AllDaqbookOffsets[[#This Row],[traceability_no]],2)</f>
        <v>J1</v>
      </c>
      <c r="W156" t="s">
        <v>1122</v>
      </c>
      <c r="X156" t="s">
        <v>208</v>
      </c>
      <c r="Z156" t="str">
        <v>K202</v>
      </c>
      <c r="AA156" t="str">
        <v>K201-K214</v>
      </c>
    </row>
    <row r="157" spans="1:27" x14ac:dyDescent="0.2">
      <c r="A157"/>
      <c r="B157"/>
      <c r="C157"/>
      <c r="D157"/>
      <c r="E157"/>
      <c r="F157" t="str">
        <f>LEFT(AllDaqbookOffsets[[#This Row],[traceability_no]],2)</f>
        <v>J1</v>
      </c>
      <c r="W157" t="s">
        <v>1123</v>
      </c>
      <c r="X157" t="s">
        <v>208</v>
      </c>
      <c r="Z157" t="str">
        <v>K203</v>
      </c>
      <c r="AA157" t="str">
        <v>K201-K214</v>
      </c>
    </row>
    <row r="158" spans="1:27" x14ac:dyDescent="0.2">
      <c r="A158"/>
      <c r="B158"/>
      <c r="C158"/>
      <c r="D158"/>
      <c r="E158"/>
      <c r="F158" t="str">
        <f>LEFT(AllDaqbookOffsets[[#This Row],[traceability_no]],2)</f>
        <v>J1</v>
      </c>
      <c r="W158" t="s">
        <v>1124</v>
      </c>
      <c r="X158" t="s">
        <v>208</v>
      </c>
      <c r="Z158" t="str">
        <v>K204</v>
      </c>
      <c r="AA158" t="str">
        <v>K201-K214</v>
      </c>
    </row>
    <row r="159" spans="1:27" x14ac:dyDescent="0.2">
      <c r="A159"/>
      <c r="B159"/>
      <c r="C159"/>
      <c r="D159"/>
      <c r="E159"/>
      <c r="F159" t="str">
        <f>LEFT(AllDaqbookOffsets[[#This Row],[traceability_no]],2)</f>
        <v>J1</v>
      </c>
      <c r="W159" t="s">
        <v>1125</v>
      </c>
      <c r="X159" t="s">
        <v>208</v>
      </c>
      <c r="Z159" t="str">
        <v>K205</v>
      </c>
      <c r="AA159" t="str">
        <v>K201-K214</v>
      </c>
    </row>
    <row r="160" spans="1:27" x14ac:dyDescent="0.2">
      <c r="A160"/>
      <c r="B160"/>
      <c r="C160"/>
      <c r="D160"/>
      <c r="E160"/>
      <c r="F160" t="str">
        <f>LEFT(AllDaqbookOffsets[[#This Row],[traceability_no]],2)</f>
        <v>J1</v>
      </c>
      <c r="W160" t="s">
        <v>1126</v>
      </c>
      <c r="X160" t="s">
        <v>208</v>
      </c>
      <c r="Z160" t="str">
        <v>K206</v>
      </c>
      <c r="AA160" t="str">
        <v>K201-K214</v>
      </c>
    </row>
    <row r="161" spans="1:27" x14ac:dyDescent="0.2">
      <c r="A161"/>
      <c r="B161"/>
      <c r="C161"/>
      <c r="D161"/>
      <c r="E161"/>
      <c r="F161" t="str">
        <f>LEFT(AllDaqbookOffsets[[#This Row],[traceability_no]],2)</f>
        <v>J1</v>
      </c>
      <c r="W161" t="s">
        <v>1127</v>
      </c>
      <c r="X161" t="s">
        <v>208</v>
      </c>
      <c r="Z161" t="str">
        <v>K207</v>
      </c>
      <c r="AA161" t="str">
        <v>K201-K214</v>
      </c>
    </row>
    <row r="162" spans="1:27" x14ac:dyDescent="0.2">
      <c r="A162"/>
      <c r="B162"/>
      <c r="C162"/>
      <c r="D162"/>
      <c r="E162"/>
      <c r="F162" t="str">
        <f>LEFT(AllDaqbookOffsets[[#This Row],[traceability_no]],2)</f>
        <v>J1</v>
      </c>
      <c r="W162" t="s">
        <v>1128</v>
      </c>
      <c r="X162" t="s">
        <v>209</v>
      </c>
      <c r="Z162" t="str">
        <v>K208</v>
      </c>
      <c r="AA162" t="str">
        <v>K201-K214</v>
      </c>
    </row>
    <row r="163" spans="1:27" x14ac:dyDescent="0.2">
      <c r="A163"/>
      <c r="B163"/>
      <c r="C163"/>
      <c r="D163"/>
      <c r="E163"/>
      <c r="F163" t="str">
        <f>LEFT(AllDaqbookOffsets[[#This Row],[traceability_no]],2)</f>
        <v>J1</v>
      </c>
      <c r="W163" t="s">
        <v>1129</v>
      </c>
      <c r="X163" t="s">
        <v>209</v>
      </c>
      <c r="Z163" t="str">
        <v>K209</v>
      </c>
      <c r="AA163" t="str">
        <v>K201-K214</v>
      </c>
    </row>
    <row r="164" spans="1:27" x14ac:dyDescent="0.2">
      <c r="A164"/>
      <c r="B164"/>
      <c r="C164"/>
      <c r="D164"/>
      <c r="E164"/>
      <c r="F164" t="str">
        <f>LEFT(AllDaqbookOffsets[[#This Row],[traceability_no]],2)</f>
        <v>J1</v>
      </c>
      <c r="W164" t="s">
        <v>1130</v>
      </c>
      <c r="X164" t="s">
        <v>209</v>
      </c>
      <c r="Z164" t="str">
        <v>K210</v>
      </c>
      <c r="AA164" t="str">
        <v>K201-K214</v>
      </c>
    </row>
    <row r="165" spans="1:27" x14ac:dyDescent="0.2">
      <c r="A165"/>
      <c r="B165"/>
      <c r="C165"/>
      <c r="D165"/>
      <c r="E165"/>
      <c r="F165" t="str">
        <f>LEFT(AllDaqbookOffsets[[#This Row],[traceability_no]],2)</f>
        <v>J1</v>
      </c>
      <c r="W165" t="s">
        <v>1131</v>
      </c>
      <c r="X165" t="s">
        <v>209</v>
      </c>
      <c r="Z165" t="str">
        <v>K211</v>
      </c>
      <c r="AA165" t="str">
        <v>K201-K214</v>
      </c>
    </row>
    <row r="166" spans="1:27" x14ac:dyDescent="0.2">
      <c r="A166"/>
      <c r="B166"/>
      <c r="C166"/>
      <c r="D166"/>
      <c r="E166"/>
      <c r="F166" t="str">
        <f>LEFT(AllDaqbookOffsets[[#This Row],[traceability_no]],2)</f>
        <v>J1</v>
      </c>
      <c r="W166" t="s">
        <v>1132</v>
      </c>
      <c r="X166" t="s">
        <v>209</v>
      </c>
      <c r="Z166" t="str">
        <v>K212</v>
      </c>
      <c r="AA166" t="str">
        <v>K201-K214</v>
      </c>
    </row>
    <row r="167" spans="1:27" x14ac:dyDescent="0.2">
      <c r="A167"/>
      <c r="B167"/>
      <c r="C167"/>
      <c r="D167"/>
      <c r="E167"/>
      <c r="F167" t="str">
        <f>LEFT(AllDaqbookOffsets[[#This Row],[traceability_no]],2)</f>
        <v>J1</v>
      </c>
      <c r="W167" t="s">
        <v>1133</v>
      </c>
      <c r="X167" t="s">
        <v>209</v>
      </c>
      <c r="Z167" t="str">
        <v>K213</v>
      </c>
      <c r="AA167" t="str">
        <v>K201-K214</v>
      </c>
    </row>
    <row r="168" spans="1:27" x14ac:dyDescent="0.2">
      <c r="A168"/>
      <c r="B168"/>
      <c r="C168"/>
      <c r="D168"/>
      <c r="E168"/>
      <c r="F168" t="str">
        <f>LEFT(AllDaqbookOffsets[[#This Row],[traceability_no]],2)</f>
        <v>J1</v>
      </c>
      <c r="W168" t="s">
        <v>1134</v>
      </c>
      <c r="X168" t="s">
        <v>209</v>
      </c>
      <c r="Z168" t="str">
        <v>K214</v>
      </c>
      <c r="AA168" t="str">
        <v>K201-K214</v>
      </c>
    </row>
    <row r="169" spans="1:27" x14ac:dyDescent="0.2">
      <c r="A169"/>
      <c r="B169"/>
      <c r="C169"/>
      <c r="D169"/>
      <c r="E169"/>
      <c r="F169" t="str">
        <f>LEFT(AllDaqbookOffsets[[#This Row],[traceability_no]],2)</f>
        <v>J1</v>
      </c>
      <c r="W169" t="s">
        <v>1135</v>
      </c>
      <c r="X169" t="s">
        <v>209</v>
      </c>
      <c r="Z169" t="str">
        <v>K301</v>
      </c>
      <c r="AA169" t="str">
        <v>K301-K314</v>
      </c>
    </row>
    <row r="170" spans="1:27" x14ac:dyDescent="0.2">
      <c r="A170"/>
      <c r="B170"/>
      <c r="C170"/>
      <c r="D170"/>
      <c r="E170"/>
      <c r="F170" t="str">
        <f>LEFT(AllDaqbookOffsets[[#This Row],[traceability_no]],2)</f>
        <v>J1</v>
      </c>
      <c r="W170" t="s">
        <v>1136</v>
      </c>
      <c r="X170" t="s">
        <v>209</v>
      </c>
      <c r="Z170" t="str">
        <v>K302</v>
      </c>
      <c r="AA170" t="str">
        <v>K301-K314</v>
      </c>
    </row>
    <row r="171" spans="1:27" x14ac:dyDescent="0.2">
      <c r="A171"/>
      <c r="B171"/>
      <c r="C171"/>
      <c r="D171"/>
      <c r="E171"/>
      <c r="F171" t="str">
        <f>LEFT(AllDaqbookOffsets[[#This Row],[traceability_no]],2)</f>
        <v>J1</v>
      </c>
      <c r="W171" t="s">
        <v>1137</v>
      </c>
      <c r="X171" t="s">
        <v>209</v>
      </c>
      <c r="Z171" t="str">
        <v>K303</v>
      </c>
      <c r="AA171" t="str">
        <v>K301-K314</v>
      </c>
    </row>
    <row r="172" spans="1:27" x14ac:dyDescent="0.2">
      <c r="A172"/>
      <c r="B172"/>
      <c r="C172"/>
      <c r="D172"/>
      <c r="E172"/>
      <c r="F172" t="str">
        <f>LEFT(AllDaqbookOffsets[[#This Row],[traceability_no]],2)</f>
        <v>J1</v>
      </c>
      <c r="W172" t="s">
        <v>1138</v>
      </c>
      <c r="X172" t="s">
        <v>209</v>
      </c>
      <c r="Z172" t="str">
        <v>K304</v>
      </c>
      <c r="AA172" t="str">
        <v>K301-K314</v>
      </c>
    </row>
    <row r="173" spans="1:27" x14ac:dyDescent="0.2">
      <c r="A173"/>
      <c r="B173"/>
      <c r="C173"/>
      <c r="D173"/>
      <c r="E173"/>
      <c r="F173" t="str">
        <f>LEFT(AllDaqbookOffsets[[#This Row],[traceability_no]],2)</f>
        <v>J1</v>
      </c>
      <c r="W173" t="s">
        <v>1139</v>
      </c>
      <c r="X173" t="s">
        <v>209</v>
      </c>
      <c r="Z173" t="str">
        <v>K305</v>
      </c>
      <c r="AA173" t="str">
        <v>K301-K314</v>
      </c>
    </row>
    <row r="174" spans="1:27" x14ac:dyDescent="0.2">
      <c r="A174"/>
      <c r="B174"/>
      <c r="C174"/>
      <c r="D174"/>
      <c r="E174"/>
      <c r="F174" t="str">
        <f>LEFT(AllDaqbookOffsets[[#This Row],[traceability_no]],2)</f>
        <v>J1</v>
      </c>
      <c r="W174" t="s">
        <v>1140</v>
      </c>
      <c r="X174" t="s">
        <v>209</v>
      </c>
      <c r="Z174" t="str">
        <v>K306</v>
      </c>
      <c r="AA174" t="str">
        <v>K301-K314</v>
      </c>
    </row>
    <row r="175" spans="1:27" x14ac:dyDescent="0.2">
      <c r="A175"/>
      <c r="B175"/>
      <c r="C175"/>
      <c r="D175"/>
      <c r="E175"/>
      <c r="F175" t="str">
        <f>LEFT(AllDaqbookOffsets[[#This Row],[traceability_no]],2)</f>
        <v>J1</v>
      </c>
      <c r="W175" t="s">
        <v>1141</v>
      </c>
      <c r="X175" t="s">
        <v>209</v>
      </c>
      <c r="Z175" t="str">
        <v>K307</v>
      </c>
      <c r="AA175" t="str">
        <v>K301-K314</v>
      </c>
    </row>
    <row r="176" spans="1:27" x14ac:dyDescent="0.2">
      <c r="A176"/>
      <c r="B176"/>
      <c r="C176"/>
      <c r="D176"/>
      <c r="E176"/>
      <c r="F176" t="str">
        <f>LEFT(AllDaqbookOffsets[[#This Row],[traceability_no]],2)</f>
        <v>J1</v>
      </c>
      <c r="W176" t="s">
        <v>1142</v>
      </c>
      <c r="X176" t="s">
        <v>209</v>
      </c>
      <c r="Z176" t="str">
        <v>K308</v>
      </c>
      <c r="AA176" t="str">
        <v>K301-K314</v>
      </c>
    </row>
    <row r="177" spans="1:27" x14ac:dyDescent="0.2">
      <c r="A177"/>
      <c r="B177"/>
      <c r="C177"/>
      <c r="D177"/>
      <c r="E177"/>
      <c r="F177" t="str">
        <f>LEFT(AllDaqbookOffsets[[#This Row],[traceability_no]],2)</f>
        <v>J1</v>
      </c>
      <c r="W177" t="s">
        <v>1143</v>
      </c>
      <c r="X177" t="s">
        <v>209</v>
      </c>
      <c r="Z177" t="str">
        <v>K309</v>
      </c>
      <c r="AA177" t="str">
        <v>K301-K314</v>
      </c>
    </row>
    <row r="178" spans="1:27" x14ac:dyDescent="0.2">
      <c r="A178"/>
      <c r="B178"/>
      <c r="C178"/>
      <c r="D178"/>
      <c r="E178"/>
      <c r="F178" t="str">
        <f>LEFT(AllDaqbookOffsets[[#This Row],[traceability_no]],2)</f>
        <v>J1</v>
      </c>
      <c r="W178" t="s">
        <v>1144</v>
      </c>
      <c r="X178" t="s">
        <v>210</v>
      </c>
      <c r="Z178" t="str">
        <v>K310</v>
      </c>
      <c r="AA178" t="str">
        <v>K301-K314</v>
      </c>
    </row>
    <row r="179" spans="1:27" x14ac:dyDescent="0.2">
      <c r="A179"/>
      <c r="B179"/>
      <c r="C179"/>
      <c r="D179"/>
      <c r="E179"/>
      <c r="F179" t="str">
        <f>LEFT(AllDaqbookOffsets[[#This Row],[traceability_no]],2)</f>
        <v>J1</v>
      </c>
      <c r="W179" t="s">
        <v>1145</v>
      </c>
      <c r="X179" t="s">
        <v>210</v>
      </c>
      <c r="Z179" t="str">
        <v>K311</v>
      </c>
      <c r="AA179" t="str">
        <v>K301-K314</v>
      </c>
    </row>
    <row r="180" spans="1:27" x14ac:dyDescent="0.2">
      <c r="A180"/>
      <c r="B180"/>
      <c r="C180"/>
      <c r="D180"/>
      <c r="E180"/>
      <c r="F180" t="str">
        <f>LEFT(AllDaqbookOffsets[[#This Row],[traceability_no]],2)</f>
        <v>J1</v>
      </c>
      <c r="W180" t="s">
        <v>1146</v>
      </c>
      <c r="X180" t="s">
        <v>210</v>
      </c>
      <c r="Z180" t="str">
        <v>K312</v>
      </c>
      <c r="AA180" t="str">
        <v>K301-K314</v>
      </c>
    </row>
    <row r="181" spans="1:27" x14ac:dyDescent="0.2">
      <c r="A181"/>
      <c r="B181"/>
      <c r="C181"/>
      <c r="D181"/>
      <c r="E181"/>
      <c r="F181" t="str">
        <f>LEFT(AllDaqbookOffsets[[#This Row],[traceability_no]],2)</f>
        <v>J1</v>
      </c>
      <c r="W181" t="s">
        <v>1147</v>
      </c>
      <c r="X181" t="s">
        <v>210</v>
      </c>
      <c r="Z181" t="str">
        <v>K313</v>
      </c>
      <c r="AA181" t="str">
        <v>K301-K314</v>
      </c>
    </row>
    <row r="182" spans="1:27" x14ac:dyDescent="0.2">
      <c r="A182"/>
      <c r="B182"/>
      <c r="C182"/>
      <c r="D182"/>
      <c r="E182"/>
      <c r="F182" t="str">
        <f>LEFT(AllDaqbookOffsets[[#This Row],[traceability_no]],2)</f>
        <v>J1</v>
      </c>
      <c r="W182" t="s">
        <v>1148</v>
      </c>
      <c r="X182" t="s">
        <v>210</v>
      </c>
      <c r="Z182" t="str">
        <v>K314</v>
      </c>
      <c r="AA182" t="str">
        <v>K301-K314</v>
      </c>
    </row>
    <row r="183" spans="1:27" x14ac:dyDescent="0.2">
      <c r="A183"/>
      <c r="B183"/>
      <c r="C183"/>
      <c r="D183"/>
      <c r="E183"/>
      <c r="F183" t="str">
        <f>LEFT(AllDaqbookOffsets[[#This Row],[traceability_no]],2)</f>
        <v>J1</v>
      </c>
      <c r="W183" t="s">
        <v>1149</v>
      </c>
      <c r="X183" t="s">
        <v>210</v>
      </c>
      <c r="Z183" t="str">
        <v>K401</v>
      </c>
      <c r="AA183" t="str">
        <v>K401-K416</v>
      </c>
    </row>
    <row r="184" spans="1:27" x14ac:dyDescent="0.2">
      <c r="A184"/>
      <c r="B184"/>
      <c r="C184"/>
      <c r="D184"/>
      <c r="E184"/>
      <c r="F184" t="str">
        <f>LEFT(AllDaqbookOffsets[[#This Row],[traceability_no]],2)</f>
        <v>J1</v>
      </c>
      <c r="W184" t="s">
        <v>1150</v>
      </c>
      <c r="X184" t="s">
        <v>210</v>
      </c>
      <c r="Z184" t="str">
        <v>K402</v>
      </c>
      <c r="AA184" t="str">
        <v>K401-K416</v>
      </c>
    </row>
    <row r="185" spans="1:27" x14ac:dyDescent="0.2">
      <c r="A185"/>
      <c r="B185"/>
      <c r="C185"/>
      <c r="D185"/>
      <c r="E185"/>
      <c r="F185" t="str">
        <f>LEFT(AllDaqbookOffsets[[#This Row],[traceability_no]],2)</f>
        <v>J1</v>
      </c>
      <c r="W185" t="s">
        <v>1151</v>
      </c>
      <c r="X185" t="s">
        <v>210</v>
      </c>
      <c r="Z185" t="str">
        <v>K403</v>
      </c>
      <c r="AA185" t="str">
        <v>K401-K416</v>
      </c>
    </row>
    <row r="186" spans="1:27" x14ac:dyDescent="0.2">
      <c r="A186"/>
      <c r="B186"/>
      <c r="C186"/>
      <c r="D186"/>
      <c r="E186"/>
      <c r="F186" t="str">
        <f>LEFT(AllDaqbookOffsets[[#This Row],[traceability_no]],2)</f>
        <v>J1</v>
      </c>
      <c r="W186" t="s">
        <v>1152</v>
      </c>
      <c r="X186" t="s">
        <v>210</v>
      </c>
      <c r="Z186" t="str">
        <v>K404</v>
      </c>
      <c r="AA186" t="str">
        <v>K401-K416</v>
      </c>
    </row>
    <row r="187" spans="1:27" x14ac:dyDescent="0.2">
      <c r="A187"/>
      <c r="B187"/>
      <c r="C187"/>
      <c r="D187"/>
      <c r="E187"/>
      <c r="F187" t="str">
        <f>LEFT(AllDaqbookOffsets[[#This Row],[traceability_no]],2)</f>
        <v>J1</v>
      </c>
      <c r="W187" t="s">
        <v>1153</v>
      </c>
      <c r="X187" t="s">
        <v>210</v>
      </c>
      <c r="Z187" t="str">
        <v>K405</v>
      </c>
      <c r="AA187" t="str">
        <v>K401-K416</v>
      </c>
    </row>
    <row r="188" spans="1:27" x14ac:dyDescent="0.2">
      <c r="A188"/>
      <c r="B188"/>
      <c r="C188"/>
      <c r="D188"/>
      <c r="E188"/>
      <c r="F188" t="str">
        <f>LEFT(AllDaqbookOffsets[[#This Row],[traceability_no]],2)</f>
        <v>J1</v>
      </c>
      <c r="W188" t="s">
        <v>1154</v>
      </c>
      <c r="X188" t="s">
        <v>210</v>
      </c>
      <c r="Z188" t="str">
        <v>K406</v>
      </c>
      <c r="AA188" t="str">
        <v>K401-K416</v>
      </c>
    </row>
    <row r="189" spans="1:27" x14ac:dyDescent="0.2">
      <c r="A189"/>
      <c r="B189"/>
      <c r="C189"/>
      <c r="D189"/>
      <c r="E189"/>
      <c r="F189" t="str">
        <f>LEFT(AllDaqbookOffsets[[#This Row],[traceability_no]],2)</f>
        <v>J1</v>
      </c>
      <c r="W189" t="s">
        <v>1155</v>
      </c>
      <c r="X189" t="s">
        <v>210</v>
      </c>
      <c r="Z189" t="str">
        <v>K407</v>
      </c>
      <c r="AA189" t="str">
        <v>K401-K416</v>
      </c>
    </row>
    <row r="190" spans="1:27" x14ac:dyDescent="0.2">
      <c r="A190"/>
      <c r="B190"/>
      <c r="C190"/>
      <c r="D190"/>
      <c r="E190"/>
      <c r="F190" t="str">
        <f>LEFT(AllDaqbookOffsets[[#This Row],[traceability_no]],2)</f>
        <v>J1</v>
      </c>
      <c r="W190" t="s">
        <v>1156</v>
      </c>
      <c r="X190" t="s">
        <v>210</v>
      </c>
      <c r="Z190" t="str">
        <v>K408</v>
      </c>
      <c r="AA190" t="str">
        <v>K401-K416</v>
      </c>
    </row>
    <row r="191" spans="1:27" x14ac:dyDescent="0.2">
      <c r="A191"/>
      <c r="B191"/>
      <c r="C191"/>
      <c r="D191"/>
      <c r="E191"/>
      <c r="F191" t="str">
        <f>LEFT(AllDaqbookOffsets[[#This Row],[traceability_no]],2)</f>
        <v>J1</v>
      </c>
      <c r="W191" t="s">
        <v>1157</v>
      </c>
      <c r="X191" t="s">
        <v>210</v>
      </c>
      <c r="Z191" t="str">
        <v>K409</v>
      </c>
      <c r="AA191" t="str">
        <v>K401-K416</v>
      </c>
    </row>
    <row r="192" spans="1:27" x14ac:dyDescent="0.2">
      <c r="A192"/>
      <c r="B192"/>
      <c r="C192"/>
      <c r="D192"/>
      <c r="E192"/>
      <c r="F192" t="str">
        <f>LEFT(AllDaqbookOffsets[[#This Row],[traceability_no]],2)</f>
        <v>J1</v>
      </c>
      <c r="W192" t="s">
        <v>1158</v>
      </c>
      <c r="X192" t="s">
        <v>211</v>
      </c>
      <c r="Z192" t="str">
        <v>K410</v>
      </c>
      <c r="AA192" t="str">
        <v>K401-K416</v>
      </c>
    </row>
    <row r="193" spans="1:27" x14ac:dyDescent="0.2">
      <c r="A193"/>
      <c r="B193"/>
      <c r="C193"/>
      <c r="D193"/>
      <c r="E193"/>
      <c r="F193" t="str">
        <f>LEFT(AllDaqbookOffsets[[#This Row],[traceability_no]],2)</f>
        <v>J1</v>
      </c>
      <c r="W193" t="s">
        <v>1159</v>
      </c>
      <c r="X193" t="s">
        <v>211</v>
      </c>
      <c r="Z193" t="str">
        <v>K411</v>
      </c>
      <c r="AA193" t="str">
        <v>K401-K416</v>
      </c>
    </row>
    <row r="194" spans="1:27" x14ac:dyDescent="0.2">
      <c r="A194"/>
      <c r="B194"/>
      <c r="C194"/>
      <c r="D194"/>
      <c r="E194"/>
      <c r="F194" t="str">
        <f>LEFT(AllDaqbookOffsets[[#This Row],[traceability_no]],2)</f>
        <v>J1</v>
      </c>
      <c r="W194" t="s">
        <v>1160</v>
      </c>
      <c r="X194" t="s">
        <v>211</v>
      </c>
      <c r="Z194" t="str">
        <v>K412</v>
      </c>
      <c r="AA194" t="str">
        <v>K401-K416</v>
      </c>
    </row>
    <row r="195" spans="1:27" x14ac:dyDescent="0.2">
      <c r="A195"/>
      <c r="B195"/>
      <c r="C195"/>
      <c r="D195"/>
      <c r="E195"/>
      <c r="F195" t="str">
        <f>LEFT(AllDaqbookOffsets[[#This Row],[traceability_no]],2)</f>
        <v>J1</v>
      </c>
      <c r="W195" t="s">
        <v>1161</v>
      </c>
      <c r="X195" t="s">
        <v>211</v>
      </c>
      <c r="Z195" t="str">
        <v>K413</v>
      </c>
      <c r="AA195" t="str">
        <v>K401-K416</v>
      </c>
    </row>
    <row r="196" spans="1:27" x14ac:dyDescent="0.2">
      <c r="A196"/>
      <c r="B196"/>
      <c r="C196"/>
      <c r="D196"/>
      <c r="E196"/>
      <c r="F196" t="str">
        <f>LEFT(AllDaqbookOffsets[[#This Row],[traceability_no]],2)</f>
        <v>J1</v>
      </c>
      <c r="W196" t="s">
        <v>1162</v>
      </c>
      <c r="X196" t="s">
        <v>211</v>
      </c>
      <c r="Z196" t="str">
        <v>K414</v>
      </c>
      <c r="AA196" t="str">
        <v>K401-K416</v>
      </c>
    </row>
    <row r="197" spans="1:27" x14ac:dyDescent="0.2">
      <c r="A197"/>
      <c r="B197"/>
      <c r="C197"/>
      <c r="D197"/>
      <c r="E197"/>
      <c r="F197" t="str">
        <f>LEFT(AllDaqbookOffsets[[#This Row],[traceability_no]],2)</f>
        <v>J1</v>
      </c>
      <c r="W197" t="s">
        <v>1163</v>
      </c>
      <c r="X197" t="s">
        <v>211</v>
      </c>
      <c r="Z197" t="str">
        <v>K415</v>
      </c>
      <c r="AA197" t="str">
        <v>K401-K416</v>
      </c>
    </row>
    <row r="198" spans="1:27" x14ac:dyDescent="0.2">
      <c r="A198"/>
      <c r="B198"/>
      <c r="C198"/>
      <c r="D198"/>
      <c r="E198"/>
      <c r="F198" t="str">
        <f>LEFT(AllDaqbookOffsets[[#This Row],[traceability_no]],2)</f>
        <v>J1</v>
      </c>
      <c r="W198" t="s">
        <v>1164</v>
      </c>
      <c r="X198" t="s">
        <v>211</v>
      </c>
      <c r="Z198" t="str">
        <v>K416</v>
      </c>
      <c r="AA198" t="str">
        <v>K401-K416</v>
      </c>
    </row>
    <row r="199" spans="1:27" x14ac:dyDescent="0.2">
      <c r="A199"/>
      <c r="B199"/>
      <c r="C199"/>
      <c r="D199"/>
      <c r="E199"/>
      <c r="F199" t="str">
        <f>LEFT(AllDaqbookOffsets[[#This Row],[traceability_no]],2)</f>
        <v>J1</v>
      </c>
      <c r="W199" t="s">
        <v>1165</v>
      </c>
      <c r="X199" t="s">
        <v>211</v>
      </c>
      <c r="Z199" t="str">
        <v>K521</v>
      </c>
      <c r="AA199" t="str">
        <v>K521-K534</v>
      </c>
    </row>
    <row r="200" spans="1:27" x14ac:dyDescent="0.2">
      <c r="A200"/>
      <c r="B200"/>
      <c r="C200"/>
      <c r="D200"/>
      <c r="E200"/>
      <c r="F200" t="str">
        <f>LEFT(AllDaqbookOffsets[[#This Row],[traceability_no]],2)</f>
        <v>J1</v>
      </c>
      <c r="W200" t="s">
        <v>1166</v>
      </c>
      <c r="X200" t="s">
        <v>211</v>
      </c>
      <c r="Z200" t="str">
        <v>K522</v>
      </c>
      <c r="AA200" t="str">
        <v>K521-K534</v>
      </c>
    </row>
    <row r="201" spans="1:27" x14ac:dyDescent="0.2">
      <c r="A201"/>
      <c r="B201"/>
      <c r="C201"/>
      <c r="D201"/>
      <c r="E201"/>
      <c r="F201" t="str">
        <f>LEFT(AllDaqbookOffsets[[#This Row],[traceability_no]],2)</f>
        <v>J1</v>
      </c>
      <c r="W201" t="s">
        <v>1167</v>
      </c>
      <c r="X201" t="s">
        <v>211</v>
      </c>
      <c r="Z201" t="str">
        <v>K523</v>
      </c>
      <c r="AA201" t="str">
        <v>K521-K534</v>
      </c>
    </row>
    <row r="202" spans="1:27" x14ac:dyDescent="0.2">
      <c r="A202"/>
      <c r="B202"/>
      <c r="C202"/>
      <c r="D202"/>
      <c r="E202"/>
      <c r="F202" t="str">
        <f>LEFT(AllDaqbookOffsets[[#This Row],[traceability_no]],2)</f>
        <v>J1</v>
      </c>
      <c r="W202" t="s">
        <v>1168</v>
      </c>
      <c r="X202" t="s">
        <v>212</v>
      </c>
      <c r="Z202" t="str">
        <v>K524</v>
      </c>
      <c r="AA202" t="str">
        <v>K521-K534</v>
      </c>
    </row>
    <row r="203" spans="1:27" x14ac:dyDescent="0.2">
      <c r="A203"/>
      <c r="B203"/>
      <c r="C203"/>
      <c r="D203"/>
      <c r="E203"/>
      <c r="F203" t="str">
        <f>LEFT(AllDaqbookOffsets[[#This Row],[traceability_no]],2)</f>
        <v>J1</v>
      </c>
      <c r="W203" t="s">
        <v>1169</v>
      </c>
      <c r="X203" t="s">
        <v>212</v>
      </c>
      <c r="Z203" t="str">
        <v>K525</v>
      </c>
      <c r="AA203" t="str">
        <v>K521-K534</v>
      </c>
    </row>
    <row r="204" spans="1:27" x14ac:dyDescent="0.2">
      <c r="A204"/>
      <c r="B204"/>
      <c r="C204"/>
      <c r="D204"/>
      <c r="E204"/>
      <c r="F204" t="str">
        <f>LEFT(AllDaqbookOffsets[[#This Row],[traceability_no]],2)</f>
        <v>J1</v>
      </c>
      <c r="W204" t="s">
        <v>1170</v>
      </c>
      <c r="X204" t="s">
        <v>212</v>
      </c>
      <c r="Z204" t="str">
        <v>K526</v>
      </c>
      <c r="AA204" t="str">
        <v>K521-K534</v>
      </c>
    </row>
    <row r="205" spans="1:27" x14ac:dyDescent="0.2">
      <c r="A205"/>
      <c r="B205"/>
      <c r="C205"/>
      <c r="D205"/>
      <c r="E205"/>
      <c r="F205" t="str">
        <f>LEFT(AllDaqbookOffsets[[#This Row],[traceability_no]],2)</f>
        <v>J1</v>
      </c>
      <c r="W205" t="s">
        <v>1171</v>
      </c>
      <c r="X205" t="s">
        <v>212</v>
      </c>
      <c r="Z205" t="str">
        <v>K527</v>
      </c>
      <c r="AA205" t="str">
        <v>K521-K534</v>
      </c>
    </row>
    <row r="206" spans="1:27" x14ac:dyDescent="0.2">
      <c r="A206"/>
      <c r="B206"/>
      <c r="C206"/>
      <c r="D206"/>
      <c r="E206"/>
      <c r="F206" t="str">
        <f>LEFT(AllDaqbookOffsets[[#This Row],[traceability_no]],2)</f>
        <v>J1</v>
      </c>
      <c r="W206" t="s">
        <v>1172</v>
      </c>
      <c r="X206" t="s">
        <v>212</v>
      </c>
      <c r="Z206" t="str">
        <v>K528</v>
      </c>
      <c r="AA206" t="str">
        <v>K521-K534</v>
      </c>
    </row>
    <row r="207" spans="1:27" x14ac:dyDescent="0.2">
      <c r="A207"/>
      <c r="B207"/>
      <c r="C207"/>
      <c r="D207"/>
      <c r="E207"/>
      <c r="F207" t="str">
        <f>LEFT(AllDaqbookOffsets[[#This Row],[traceability_no]],2)</f>
        <v>J1</v>
      </c>
      <c r="W207" t="s">
        <v>1173</v>
      </c>
      <c r="X207" t="s">
        <v>212</v>
      </c>
      <c r="Z207" t="str">
        <v>K529</v>
      </c>
      <c r="AA207" t="str">
        <v>K521-K534</v>
      </c>
    </row>
    <row r="208" spans="1:27" x14ac:dyDescent="0.2">
      <c r="A208"/>
      <c r="B208"/>
      <c r="C208"/>
      <c r="D208"/>
      <c r="E208"/>
      <c r="F208" t="str">
        <f>LEFT(AllDaqbookOffsets[[#This Row],[traceability_no]],2)</f>
        <v>J1</v>
      </c>
      <c r="W208" t="s">
        <v>1174</v>
      </c>
      <c r="X208" t="s">
        <v>212</v>
      </c>
      <c r="Z208" t="str">
        <v>K530</v>
      </c>
      <c r="AA208" t="str">
        <v>K521-K534</v>
      </c>
    </row>
    <row r="209" spans="1:27" x14ac:dyDescent="0.2">
      <c r="A209"/>
      <c r="B209"/>
      <c r="C209"/>
      <c r="D209"/>
      <c r="E209"/>
      <c r="F209" t="str">
        <f>LEFT(AllDaqbookOffsets[[#This Row],[traceability_no]],2)</f>
        <v>J1</v>
      </c>
      <c r="W209" t="s">
        <v>1175</v>
      </c>
      <c r="X209" t="s">
        <v>212</v>
      </c>
      <c r="Z209" t="str">
        <v>K531</v>
      </c>
      <c r="AA209" t="str">
        <v>K521-K534</v>
      </c>
    </row>
    <row r="210" spans="1:27" x14ac:dyDescent="0.2">
      <c r="A210"/>
      <c r="B210"/>
      <c r="C210"/>
      <c r="D210"/>
      <c r="E210"/>
      <c r="F210" t="str">
        <f>LEFT(AllDaqbookOffsets[[#This Row],[traceability_no]],2)</f>
        <v>J1</v>
      </c>
      <c r="W210" t="s">
        <v>1176</v>
      </c>
      <c r="X210" t="s">
        <v>212</v>
      </c>
      <c r="Z210" t="str">
        <v>K532</v>
      </c>
      <c r="AA210" t="str">
        <v>K521-K534</v>
      </c>
    </row>
    <row r="211" spans="1:27" x14ac:dyDescent="0.2">
      <c r="A211"/>
      <c r="B211"/>
      <c r="C211"/>
      <c r="D211"/>
      <c r="E211"/>
      <c r="F211" t="str">
        <f>LEFT(AllDaqbookOffsets[[#This Row],[traceability_no]],2)</f>
        <v>J1</v>
      </c>
      <c r="W211" t="s">
        <v>1177</v>
      </c>
      <c r="X211" t="s">
        <v>212</v>
      </c>
      <c r="Z211" t="str">
        <v>K533</v>
      </c>
      <c r="AA211" t="str">
        <v>K521-K534</v>
      </c>
    </row>
    <row r="212" spans="1:27" x14ac:dyDescent="0.2">
      <c r="A212"/>
      <c r="B212"/>
      <c r="C212"/>
      <c r="D212"/>
      <c r="E212"/>
      <c r="F212" t="str">
        <f>LEFT(AllDaqbookOffsets[[#This Row],[traceability_no]],2)</f>
        <v>J1</v>
      </c>
      <c r="W212" t="s">
        <v>1178</v>
      </c>
      <c r="X212" t="s">
        <v>213</v>
      </c>
      <c r="Z212" t="str">
        <v>K534</v>
      </c>
      <c r="AA212" t="str">
        <v>K521-K534</v>
      </c>
    </row>
    <row r="213" spans="1:27" x14ac:dyDescent="0.2">
      <c r="A213"/>
      <c r="B213"/>
      <c r="C213"/>
      <c r="D213"/>
      <c r="E213"/>
      <c r="F213" t="str">
        <f>LEFT(AllDaqbookOffsets[[#This Row],[traceability_no]],2)</f>
        <v>J1</v>
      </c>
      <c r="W213" t="s">
        <v>1179</v>
      </c>
      <c r="X213" t="s">
        <v>213</v>
      </c>
      <c r="Z213" t="str">
        <v>K601</v>
      </c>
      <c r="AA213" t="str">
        <v>K601-K610</v>
      </c>
    </row>
    <row r="214" spans="1:27" x14ac:dyDescent="0.2">
      <c r="A214"/>
      <c r="B214"/>
      <c r="C214"/>
      <c r="D214"/>
      <c r="E214"/>
      <c r="F214" t="str">
        <f>LEFT(AllDaqbookOffsets[[#This Row],[traceability_no]],2)</f>
        <v>J1</v>
      </c>
      <c r="W214" t="s">
        <v>1180</v>
      </c>
      <c r="X214" t="s">
        <v>213</v>
      </c>
      <c r="Z214" t="str">
        <v>K602</v>
      </c>
      <c r="AA214" t="str">
        <v>K601-K610</v>
      </c>
    </row>
    <row r="215" spans="1:27" x14ac:dyDescent="0.2">
      <c r="A215"/>
      <c r="B215"/>
      <c r="C215"/>
      <c r="D215"/>
      <c r="E215"/>
      <c r="F215" t="str">
        <f>LEFT(AllDaqbookOffsets[[#This Row],[traceability_no]],2)</f>
        <v>J1</v>
      </c>
      <c r="W215" t="s">
        <v>1181</v>
      </c>
      <c r="X215" t="s">
        <v>213</v>
      </c>
      <c r="Z215" t="str">
        <v>K603</v>
      </c>
      <c r="AA215" t="str">
        <v>K601-K610</v>
      </c>
    </row>
    <row r="216" spans="1:27" x14ac:dyDescent="0.2">
      <c r="A216"/>
      <c r="B216"/>
      <c r="C216"/>
      <c r="D216"/>
      <c r="E216"/>
      <c r="F216" t="str">
        <f>LEFT(AllDaqbookOffsets[[#This Row],[traceability_no]],2)</f>
        <v>J1</v>
      </c>
      <c r="W216" t="s">
        <v>1182</v>
      </c>
      <c r="X216" t="s">
        <v>213</v>
      </c>
      <c r="Z216" t="str">
        <v>K604</v>
      </c>
      <c r="AA216" t="str">
        <v>K601-K610</v>
      </c>
    </row>
    <row r="217" spans="1:27" x14ac:dyDescent="0.2">
      <c r="A217"/>
      <c r="B217"/>
      <c r="C217"/>
      <c r="D217"/>
      <c r="E217"/>
      <c r="F217" t="str">
        <f>LEFT(AllDaqbookOffsets[[#This Row],[traceability_no]],2)</f>
        <v>J1</v>
      </c>
      <c r="W217" t="s">
        <v>1183</v>
      </c>
      <c r="X217" t="s">
        <v>213</v>
      </c>
      <c r="Z217" t="str">
        <v>K605</v>
      </c>
      <c r="AA217" t="str">
        <v>K601-K610</v>
      </c>
    </row>
    <row r="218" spans="1:27" x14ac:dyDescent="0.2">
      <c r="A218"/>
      <c r="B218"/>
      <c r="C218"/>
      <c r="D218"/>
      <c r="E218"/>
      <c r="F218" t="str">
        <f>LEFT(AllDaqbookOffsets[[#This Row],[traceability_no]],2)</f>
        <v>J1</v>
      </c>
      <c r="W218" t="s">
        <v>1184</v>
      </c>
      <c r="X218" t="s">
        <v>213</v>
      </c>
      <c r="Z218" t="str">
        <v>K606</v>
      </c>
      <c r="AA218" t="str">
        <v>K601-K610</v>
      </c>
    </row>
    <row r="219" spans="1:27" x14ac:dyDescent="0.2">
      <c r="A219"/>
      <c r="B219"/>
      <c r="C219"/>
      <c r="D219"/>
      <c r="E219"/>
      <c r="F219" t="str">
        <f>LEFT(AllDaqbookOffsets[[#This Row],[traceability_no]],2)</f>
        <v>J1</v>
      </c>
      <c r="W219" t="s">
        <v>1185</v>
      </c>
      <c r="X219" t="s">
        <v>213</v>
      </c>
      <c r="Z219" t="str">
        <v>K607</v>
      </c>
      <c r="AA219" t="str">
        <v>K601-K610</v>
      </c>
    </row>
    <row r="220" spans="1:27" x14ac:dyDescent="0.2">
      <c r="A220"/>
      <c r="B220"/>
      <c r="C220"/>
      <c r="D220"/>
      <c r="E220"/>
      <c r="F220" t="str">
        <f>LEFT(AllDaqbookOffsets[[#This Row],[traceability_no]],2)</f>
        <v>J1</v>
      </c>
      <c r="W220" t="s">
        <v>1186</v>
      </c>
      <c r="X220" t="s">
        <v>213</v>
      </c>
      <c r="Z220" t="str">
        <v>K608</v>
      </c>
      <c r="AA220" t="str">
        <v>K601-K610</v>
      </c>
    </row>
    <row r="221" spans="1:27" x14ac:dyDescent="0.2">
      <c r="A221"/>
      <c r="B221"/>
      <c r="C221"/>
      <c r="D221"/>
      <c r="E221"/>
      <c r="F221" t="str">
        <f>LEFT(AllDaqbookOffsets[[#This Row],[traceability_no]],2)</f>
        <v>J1</v>
      </c>
      <c r="W221" t="s">
        <v>1187</v>
      </c>
      <c r="X221" t="s">
        <v>213</v>
      </c>
      <c r="Z221" t="str">
        <v>K609</v>
      </c>
      <c r="AA221" t="str">
        <v>K601-K610</v>
      </c>
    </row>
    <row r="222" spans="1:27" x14ac:dyDescent="0.2">
      <c r="A222"/>
      <c r="B222"/>
      <c r="C222"/>
      <c r="D222"/>
      <c r="E222"/>
      <c r="F222" t="str">
        <f>LEFT(AllDaqbookOffsets[[#This Row],[traceability_no]],2)</f>
        <v>J1</v>
      </c>
      <c r="W222" t="s">
        <v>1188</v>
      </c>
      <c r="X222" t="s">
        <v>213</v>
      </c>
      <c r="Z222" t="str">
        <v>K610</v>
      </c>
      <c r="AA222" t="str">
        <v>K601-K610</v>
      </c>
    </row>
    <row r="223" spans="1:27" x14ac:dyDescent="0.2">
      <c r="A223"/>
      <c r="B223"/>
      <c r="C223"/>
      <c r="D223"/>
      <c r="E223"/>
      <c r="F223" t="str">
        <f>LEFT(AllDaqbookOffsets[[#This Row],[traceability_no]],2)</f>
        <v>J1</v>
      </c>
      <c r="W223" t="s">
        <v>1189</v>
      </c>
      <c r="X223" t="s">
        <v>213</v>
      </c>
      <c r="Z223" t="str">
        <v>K701</v>
      </c>
      <c r="AA223" t="str">
        <v>K701-K710</v>
      </c>
    </row>
    <row r="224" spans="1:27" x14ac:dyDescent="0.2">
      <c r="A224"/>
      <c r="B224"/>
      <c r="C224"/>
      <c r="D224"/>
      <c r="E224"/>
      <c r="F224" t="str">
        <f>LEFT(AllDaqbookOffsets[[#This Row],[traceability_no]],2)</f>
        <v>J1</v>
      </c>
      <c r="W224" t="s">
        <v>1190</v>
      </c>
      <c r="X224" t="s">
        <v>213</v>
      </c>
      <c r="Z224" t="str">
        <v>K702</v>
      </c>
      <c r="AA224" t="str">
        <v>K701-K710</v>
      </c>
    </row>
    <row r="225" spans="1:27" x14ac:dyDescent="0.2">
      <c r="A225"/>
      <c r="B225"/>
      <c r="C225"/>
      <c r="D225"/>
      <c r="E225"/>
      <c r="F225" t="str">
        <f>LEFT(AllDaqbookOffsets[[#This Row],[traceability_no]],2)</f>
        <v>J1</v>
      </c>
      <c r="W225" t="s">
        <v>1191</v>
      </c>
      <c r="X225" t="s">
        <v>213</v>
      </c>
      <c r="Z225" t="str">
        <v>K703</v>
      </c>
      <c r="AA225" t="str">
        <v>K701-K710</v>
      </c>
    </row>
    <row r="226" spans="1:27" x14ac:dyDescent="0.2">
      <c r="A226"/>
      <c r="B226"/>
      <c r="C226"/>
      <c r="D226"/>
      <c r="E226"/>
      <c r="F226" t="str">
        <f>LEFT(AllDaqbookOffsets[[#This Row],[traceability_no]],2)</f>
        <v>J1</v>
      </c>
      <c r="W226" t="s">
        <v>1192</v>
      </c>
      <c r="X226" t="s">
        <v>213</v>
      </c>
      <c r="Z226" t="str">
        <v>K704</v>
      </c>
      <c r="AA226" t="str">
        <v>K701-K710</v>
      </c>
    </row>
    <row r="227" spans="1:27" x14ac:dyDescent="0.2">
      <c r="A227"/>
      <c r="B227"/>
      <c r="C227"/>
      <c r="D227"/>
      <c r="E227"/>
      <c r="F227" t="str">
        <f>LEFT(AllDaqbookOffsets[[#This Row],[traceability_no]],2)</f>
        <v>J1</v>
      </c>
      <c r="W227" t="s">
        <v>1193</v>
      </c>
      <c r="X227" t="s">
        <v>213</v>
      </c>
      <c r="Z227" t="str">
        <v>K705</v>
      </c>
      <c r="AA227" t="str">
        <v>K701-K710</v>
      </c>
    </row>
    <row r="228" spans="1:27" x14ac:dyDescent="0.2">
      <c r="A228"/>
      <c r="B228"/>
      <c r="C228"/>
      <c r="D228"/>
      <c r="E228"/>
      <c r="F228" t="str">
        <f>LEFT(AllDaqbookOffsets[[#This Row],[traceability_no]],2)</f>
        <v>J1</v>
      </c>
      <c r="W228" t="s">
        <v>1194</v>
      </c>
      <c r="X228" t="s">
        <v>214</v>
      </c>
      <c r="Z228" t="str">
        <v>K706</v>
      </c>
      <c r="AA228" t="str">
        <v>K701-K710</v>
      </c>
    </row>
    <row r="229" spans="1:27" x14ac:dyDescent="0.2">
      <c r="A229"/>
      <c r="B229"/>
      <c r="C229"/>
      <c r="D229"/>
      <c r="E229"/>
      <c r="F229" t="str">
        <f>LEFT(AllDaqbookOffsets[[#This Row],[traceability_no]],2)</f>
        <v>J1</v>
      </c>
      <c r="W229" t="s">
        <v>1195</v>
      </c>
      <c r="X229" t="s">
        <v>214</v>
      </c>
      <c r="Z229" t="str">
        <v>K707</v>
      </c>
      <c r="AA229" t="str">
        <v>K701-K710</v>
      </c>
    </row>
    <row r="230" spans="1:27" x14ac:dyDescent="0.2">
      <c r="A230"/>
      <c r="B230"/>
      <c r="C230"/>
      <c r="D230"/>
      <c r="E230"/>
      <c r="F230" t="str">
        <f>LEFT(AllDaqbookOffsets[[#This Row],[traceability_no]],2)</f>
        <v>J1</v>
      </c>
      <c r="W230" t="s">
        <v>1196</v>
      </c>
      <c r="X230" t="s">
        <v>214</v>
      </c>
      <c r="Z230" t="str">
        <v>K708</v>
      </c>
      <c r="AA230" t="str">
        <v>K701-K710</v>
      </c>
    </row>
    <row r="231" spans="1:27" x14ac:dyDescent="0.2">
      <c r="A231"/>
      <c r="B231"/>
      <c r="C231"/>
      <c r="D231"/>
      <c r="E231"/>
      <c r="F231" t="str">
        <f>LEFT(AllDaqbookOffsets[[#This Row],[traceability_no]],2)</f>
        <v>J1</v>
      </c>
      <c r="W231" t="s">
        <v>1197</v>
      </c>
      <c r="X231" t="s">
        <v>214</v>
      </c>
      <c r="Z231" t="str">
        <v>K709</v>
      </c>
      <c r="AA231" t="str">
        <v>K701-K710</v>
      </c>
    </row>
    <row r="232" spans="1:27" x14ac:dyDescent="0.2">
      <c r="A232"/>
      <c r="B232"/>
      <c r="C232"/>
      <c r="D232"/>
      <c r="E232"/>
      <c r="F232" t="str">
        <f>LEFT(AllDaqbookOffsets[[#This Row],[traceability_no]],2)</f>
        <v>J1</v>
      </c>
      <c r="W232" t="s">
        <v>1198</v>
      </c>
      <c r="X232" t="s">
        <v>214</v>
      </c>
      <c r="Z232" t="str">
        <v>K710</v>
      </c>
      <c r="AA232" t="str">
        <v>K701-K710</v>
      </c>
    </row>
    <row r="233" spans="1:27" x14ac:dyDescent="0.2">
      <c r="A233"/>
      <c r="B233"/>
      <c r="C233"/>
      <c r="D233"/>
      <c r="E233"/>
      <c r="F233" t="str">
        <f>LEFT(AllDaqbookOffsets[[#This Row],[traceability_no]],2)</f>
        <v>J1</v>
      </c>
      <c r="W233" t="s">
        <v>1199</v>
      </c>
      <c r="X233" t="s">
        <v>214</v>
      </c>
      <c r="Z233" t="str">
        <v>K801</v>
      </c>
      <c r="AA233" t="str">
        <v>K801-K816</v>
      </c>
    </row>
    <row r="234" spans="1:27" x14ac:dyDescent="0.2">
      <c r="A234"/>
      <c r="B234"/>
      <c r="C234"/>
      <c r="D234"/>
      <c r="E234"/>
      <c r="F234" t="str">
        <f>LEFT(AllDaqbookOffsets[[#This Row],[traceability_no]],2)</f>
        <v>J1</v>
      </c>
      <c r="W234" t="s">
        <v>1200</v>
      </c>
      <c r="X234" t="s">
        <v>214</v>
      </c>
      <c r="Z234" t="str">
        <v>K802</v>
      </c>
      <c r="AA234" t="str">
        <v>K801-K816</v>
      </c>
    </row>
    <row r="235" spans="1:27" x14ac:dyDescent="0.2">
      <c r="A235"/>
      <c r="B235"/>
      <c r="C235"/>
      <c r="D235"/>
      <c r="E235"/>
      <c r="F235" t="str">
        <f>LEFT(AllDaqbookOffsets[[#This Row],[traceability_no]],2)</f>
        <v>J1</v>
      </c>
      <c r="W235" t="s">
        <v>1201</v>
      </c>
      <c r="X235" t="s">
        <v>214</v>
      </c>
      <c r="Z235" t="str">
        <v>K803</v>
      </c>
      <c r="AA235" t="str">
        <v>K801-K816</v>
      </c>
    </row>
    <row r="236" spans="1:27" x14ac:dyDescent="0.2">
      <c r="A236"/>
      <c r="B236"/>
      <c r="C236"/>
      <c r="D236"/>
      <c r="E236"/>
      <c r="F236" t="str">
        <f>LEFT(AllDaqbookOffsets[[#This Row],[traceability_no]],2)</f>
        <v>J1</v>
      </c>
      <c r="W236" t="s">
        <v>1202</v>
      </c>
      <c r="X236" t="s">
        <v>214</v>
      </c>
      <c r="Z236" t="str">
        <v>K804</v>
      </c>
      <c r="AA236" t="str">
        <v>K801-K816</v>
      </c>
    </row>
    <row r="237" spans="1:27" x14ac:dyDescent="0.2">
      <c r="A237"/>
      <c r="B237"/>
      <c r="C237"/>
      <c r="D237"/>
      <c r="E237"/>
      <c r="F237" t="str">
        <f>LEFT(AllDaqbookOffsets[[#This Row],[traceability_no]],2)</f>
        <v>J1</v>
      </c>
      <c r="W237" t="s">
        <v>1203</v>
      </c>
      <c r="X237" t="s">
        <v>214</v>
      </c>
      <c r="Z237" t="str">
        <v>K805</v>
      </c>
      <c r="AA237" t="str">
        <v>K801-K816</v>
      </c>
    </row>
    <row r="238" spans="1:27" x14ac:dyDescent="0.2">
      <c r="A238"/>
      <c r="B238"/>
      <c r="C238"/>
      <c r="D238"/>
      <c r="E238"/>
      <c r="F238" t="str">
        <f>LEFT(AllDaqbookOffsets[[#This Row],[traceability_no]],2)</f>
        <v>J1</v>
      </c>
      <c r="W238" t="s">
        <v>1204</v>
      </c>
      <c r="X238" t="s">
        <v>325</v>
      </c>
      <c r="Z238" t="str">
        <v>K806</v>
      </c>
      <c r="AA238" t="str">
        <v>K801-K816</v>
      </c>
    </row>
    <row r="239" spans="1:27" x14ac:dyDescent="0.2">
      <c r="A239"/>
      <c r="B239"/>
      <c r="C239"/>
      <c r="D239"/>
      <c r="E239"/>
      <c r="F239" t="str">
        <f>LEFT(AllDaqbookOffsets[[#This Row],[traceability_no]],2)</f>
        <v>J1</v>
      </c>
      <c r="W239" t="s">
        <v>1205</v>
      </c>
      <c r="X239" t="s">
        <v>325</v>
      </c>
      <c r="Z239" t="str">
        <v>K807</v>
      </c>
      <c r="AA239" t="str">
        <v>K801-K816</v>
      </c>
    </row>
    <row r="240" spans="1:27" x14ac:dyDescent="0.2">
      <c r="A240"/>
      <c r="B240"/>
      <c r="C240"/>
      <c r="D240"/>
      <c r="E240"/>
      <c r="F240" t="str">
        <f>LEFT(AllDaqbookOffsets[[#This Row],[traceability_no]],2)</f>
        <v>J1</v>
      </c>
      <c r="W240" t="s">
        <v>1206</v>
      </c>
      <c r="X240" t="s">
        <v>325</v>
      </c>
      <c r="Z240" t="str">
        <v>K808</v>
      </c>
      <c r="AA240" t="str">
        <v>K801-K816</v>
      </c>
    </row>
    <row r="241" spans="1:27" x14ac:dyDescent="0.2">
      <c r="A241"/>
      <c r="B241"/>
      <c r="C241"/>
      <c r="D241"/>
      <c r="E241"/>
      <c r="F241" t="str">
        <f>LEFT(AllDaqbookOffsets[[#This Row],[traceability_no]],2)</f>
        <v>J1</v>
      </c>
      <c r="W241" t="s">
        <v>1207</v>
      </c>
      <c r="X241" t="s">
        <v>325</v>
      </c>
      <c r="Z241" t="str">
        <v>K809</v>
      </c>
      <c r="AA241" t="str">
        <v>K801-K816</v>
      </c>
    </row>
    <row r="242" spans="1:27" x14ac:dyDescent="0.2">
      <c r="A242"/>
      <c r="B242"/>
      <c r="C242"/>
      <c r="D242"/>
      <c r="E242"/>
      <c r="F242" t="str">
        <f>LEFT(AllDaqbookOffsets[[#This Row],[traceability_no]],2)</f>
        <v>J2</v>
      </c>
      <c r="W242" t="s">
        <v>1208</v>
      </c>
      <c r="X242" t="s">
        <v>325</v>
      </c>
      <c r="Z242" t="str">
        <v>K810</v>
      </c>
      <c r="AA242" t="str">
        <v>K801-K816</v>
      </c>
    </row>
    <row r="243" spans="1:27" x14ac:dyDescent="0.2">
      <c r="A243"/>
      <c r="B243"/>
      <c r="C243"/>
      <c r="D243"/>
      <c r="E243"/>
      <c r="F243" t="str">
        <f>LEFT(AllDaqbookOffsets[[#This Row],[traceability_no]],2)</f>
        <v>J2</v>
      </c>
      <c r="W243" t="s">
        <v>1209</v>
      </c>
      <c r="X243" t="s">
        <v>325</v>
      </c>
      <c r="Z243" t="str">
        <v>K811</v>
      </c>
      <c r="AA243" t="str">
        <v>K801-K816</v>
      </c>
    </row>
    <row r="244" spans="1:27" x14ac:dyDescent="0.2">
      <c r="A244"/>
      <c r="B244"/>
      <c r="C244"/>
      <c r="D244"/>
      <c r="E244"/>
      <c r="F244" t="str">
        <f>LEFT(AllDaqbookOffsets[[#This Row],[traceability_no]],2)</f>
        <v>J2</v>
      </c>
      <c r="W244" t="s">
        <v>1210</v>
      </c>
      <c r="X244" t="s">
        <v>325</v>
      </c>
      <c r="Z244" t="str">
        <v>K812</v>
      </c>
      <c r="AA244" t="str">
        <v>K801-K816</v>
      </c>
    </row>
    <row r="245" spans="1:27" x14ac:dyDescent="0.2">
      <c r="A245"/>
      <c r="B245"/>
      <c r="C245"/>
      <c r="D245"/>
      <c r="E245"/>
      <c r="F245" t="str">
        <f>LEFT(AllDaqbookOffsets[[#This Row],[traceability_no]],2)</f>
        <v>J2</v>
      </c>
      <c r="W245" t="s">
        <v>1211</v>
      </c>
      <c r="X245" t="s">
        <v>325</v>
      </c>
      <c r="Z245" t="str">
        <v>K813</v>
      </c>
      <c r="AA245" t="str">
        <v>K801-K816</v>
      </c>
    </row>
    <row r="246" spans="1:27" x14ac:dyDescent="0.2">
      <c r="A246"/>
      <c r="B246"/>
      <c r="C246"/>
      <c r="D246"/>
      <c r="E246"/>
      <c r="F246" t="str">
        <f>LEFT(AllDaqbookOffsets[[#This Row],[traceability_no]],2)</f>
        <v>J2</v>
      </c>
      <c r="W246" t="s">
        <v>1212</v>
      </c>
      <c r="X246" t="s">
        <v>325</v>
      </c>
      <c r="Z246" t="str">
        <v>K814</v>
      </c>
      <c r="AA246" t="str">
        <v>K801-K816</v>
      </c>
    </row>
    <row r="247" spans="1:27" x14ac:dyDescent="0.2">
      <c r="A247"/>
      <c r="B247"/>
      <c r="C247"/>
      <c r="D247"/>
      <c r="E247"/>
      <c r="F247" t="str">
        <f>LEFT(AllDaqbookOffsets[[#This Row],[traceability_no]],2)</f>
        <v>J2</v>
      </c>
      <c r="W247" t="s">
        <v>1213</v>
      </c>
      <c r="X247" t="s">
        <v>325</v>
      </c>
      <c r="Z247" t="str">
        <v>K815</v>
      </c>
      <c r="AA247" t="str">
        <v>K801-K816</v>
      </c>
    </row>
    <row r="248" spans="1:27" x14ac:dyDescent="0.2">
      <c r="A248"/>
      <c r="B248"/>
      <c r="C248"/>
      <c r="D248"/>
      <c r="E248"/>
      <c r="F248" t="str">
        <f>LEFT(AllDaqbookOffsets[[#This Row],[traceability_no]],2)</f>
        <v>J2</v>
      </c>
      <c r="W248" t="s">
        <v>1220</v>
      </c>
      <c r="X248" t="s">
        <v>215</v>
      </c>
      <c r="Z248" t="str">
        <v>K816</v>
      </c>
      <c r="AA248" t="str">
        <v>K801-K816</v>
      </c>
    </row>
    <row r="249" spans="1:27" x14ac:dyDescent="0.2">
      <c r="A249"/>
      <c r="B249"/>
      <c r="C249"/>
      <c r="D249"/>
      <c r="E249"/>
      <c r="F249" t="str">
        <f>LEFT(AllDaqbookOffsets[[#This Row],[traceability_no]],2)</f>
        <v>J2</v>
      </c>
      <c r="W249" t="s">
        <v>1221</v>
      </c>
      <c r="X249" t="s">
        <v>215</v>
      </c>
      <c r="Z249" t="str">
        <v>K901</v>
      </c>
      <c r="AA249" t="str">
        <v>K901-K910</v>
      </c>
    </row>
    <row r="250" spans="1:27" x14ac:dyDescent="0.2">
      <c r="A250"/>
      <c r="B250"/>
      <c r="C250"/>
      <c r="D250"/>
      <c r="E250"/>
      <c r="F250" t="str">
        <f>LEFT(AllDaqbookOffsets[[#This Row],[traceability_no]],2)</f>
        <v>J2</v>
      </c>
      <c r="W250" t="s">
        <v>1222</v>
      </c>
      <c r="X250" t="s">
        <v>215</v>
      </c>
      <c r="Z250" t="str">
        <v>K902</v>
      </c>
      <c r="AA250" t="str">
        <v>K901-K910</v>
      </c>
    </row>
    <row r="251" spans="1:27" x14ac:dyDescent="0.2">
      <c r="A251"/>
      <c r="B251"/>
      <c r="C251"/>
      <c r="D251"/>
      <c r="E251"/>
      <c r="F251" t="str">
        <f>LEFT(AllDaqbookOffsets[[#This Row],[traceability_no]],2)</f>
        <v>J2</v>
      </c>
      <c r="W251" t="s">
        <v>1223</v>
      </c>
      <c r="X251" t="s">
        <v>215</v>
      </c>
      <c r="Z251" t="str">
        <v>K903</v>
      </c>
      <c r="AA251" t="str">
        <v>K901-K910</v>
      </c>
    </row>
    <row r="252" spans="1:27" x14ac:dyDescent="0.2">
      <c r="A252"/>
      <c r="B252"/>
      <c r="C252"/>
      <c r="D252"/>
      <c r="E252"/>
      <c r="F252" t="str">
        <f>LEFT(AllDaqbookOffsets[[#This Row],[traceability_no]],2)</f>
        <v>J2</v>
      </c>
      <c r="W252" t="s">
        <v>1224</v>
      </c>
      <c r="X252" t="s">
        <v>215</v>
      </c>
      <c r="Z252" t="str">
        <v>K904</v>
      </c>
      <c r="AA252" t="str">
        <v>K901-K910</v>
      </c>
    </row>
    <row r="253" spans="1:27" x14ac:dyDescent="0.2">
      <c r="A253"/>
      <c r="B253"/>
      <c r="C253"/>
      <c r="D253"/>
      <c r="E253"/>
      <c r="F253" t="str">
        <f>LEFT(AllDaqbookOffsets[[#This Row],[traceability_no]],2)</f>
        <v>J2</v>
      </c>
      <c r="W253" t="s">
        <v>1225</v>
      </c>
      <c r="X253" t="s">
        <v>215</v>
      </c>
      <c r="Z253" t="str">
        <v>K905</v>
      </c>
      <c r="AA253" t="str">
        <v>K901-K910</v>
      </c>
    </row>
    <row r="254" spans="1:27" x14ac:dyDescent="0.2">
      <c r="A254"/>
      <c r="B254"/>
      <c r="C254"/>
      <c r="D254"/>
      <c r="E254"/>
      <c r="F254" t="str">
        <f>LEFT(AllDaqbookOffsets[[#This Row],[traceability_no]],2)</f>
        <v>J2</v>
      </c>
      <c r="W254" t="s">
        <v>1226</v>
      </c>
      <c r="X254" t="s">
        <v>215</v>
      </c>
      <c r="Z254" t="str">
        <v>K906</v>
      </c>
      <c r="AA254" t="str">
        <v>K901-K910</v>
      </c>
    </row>
    <row r="255" spans="1:27" x14ac:dyDescent="0.2">
      <c r="A255"/>
      <c r="B255"/>
      <c r="C255"/>
      <c r="D255"/>
      <c r="E255"/>
      <c r="F255" t="str">
        <f>LEFT(AllDaqbookOffsets[[#This Row],[traceability_no]],2)</f>
        <v>J2</v>
      </c>
      <c r="W255" t="s">
        <v>1227</v>
      </c>
      <c r="X255" t="s">
        <v>215</v>
      </c>
      <c r="Z255" t="str">
        <v>K907</v>
      </c>
      <c r="AA255" t="str">
        <v>K901-K910</v>
      </c>
    </row>
    <row r="256" spans="1:27" x14ac:dyDescent="0.2">
      <c r="A256"/>
      <c r="B256"/>
      <c r="C256"/>
      <c r="D256"/>
      <c r="E256"/>
      <c r="F256" t="str">
        <f>LEFT(AllDaqbookOffsets[[#This Row],[traceability_no]],2)</f>
        <v>J2</v>
      </c>
      <c r="W256" t="s">
        <v>1228</v>
      </c>
      <c r="X256" t="s">
        <v>215</v>
      </c>
      <c r="Z256" t="str">
        <v>K908</v>
      </c>
      <c r="AA256" t="str">
        <v>K901-K910</v>
      </c>
    </row>
    <row r="257" spans="1:27" x14ac:dyDescent="0.2">
      <c r="A257"/>
      <c r="B257"/>
      <c r="C257"/>
      <c r="D257"/>
      <c r="E257"/>
      <c r="F257" t="str">
        <f>LEFT(AllDaqbookOffsets[[#This Row],[traceability_no]],2)</f>
        <v>J2</v>
      </c>
      <c r="W257" t="s">
        <v>1214</v>
      </c>
      <c r="X257" t="s">
        <v>325</v>
      </c>
      <c r="Z257" t="str">
        <v>K909</v>
      </c>
      <c r="AA257" t="str">
        <v>K901-K910</v>
      </c>
    </row>
    <row r="258" spans="1:27" x14ac:dyDescent="0.2">
      <c r="A258"/>
      <c r="B258"/>
      <c r="C258"/>
      <c r="D258"/>
      <c r="E258"/>
      <c r="F258" t="str">
        <f>LEFT(AllDaqbookOffsets[[#This Row],[traceability_no]],2)</f>
        <v>J2</v>
      </c>
      <c r="W258" t="s">
        <v>1229</v>
      </c>
      <c r="X258" t="s">
        <v>215</v>
      </c>
      <c r="Z258" t="str">
        <v>K910</v>
      </c>
      <c r="AA258" t="str">
        <v>K901-K910</v>
      </c>
    </row>
    <row r="259" spans="1:27" x14ac:dyDescent="0.2">
      <c r="A259"/>
      <c r="B259"/>
      <c r="C259"/>
      <c r="D259"/>
      <c r="E259"/>
      <c r="F259" t="str">
        <f>LEFT(AllDaqbookOffsets[[#This Row],[traceability_no]],2)</f>
        <v>J2</v>
      </c>
      <c r="W259" t="s">
        <v>1230</v>
      </c>
      <c r="X259" t="s">
        <v>215</v>
      </c>
      <c r="Z259" t="str">
        <v>N01</v>
      </c>
      <c r="AA259" t="str">
        <v>N01-N16</v>
      </c>
    </row>
    <row r="260" spans="1:27" x14ac:dyDescent="0.2">
      <c r="A260"/>
      <c r="B260"/>
      <c r="C260"/>
      <c r="D260"/>
      <c r="E260"/>
      <c r="F260" t="str">
        <f>LEFT(AllDaqbookOffsets[[#This Row],[traceability_no]],2)</f>
        <v>J2</v>
      </c>
      <c r="W260" t="s">
        <v>1231</v>
      </c>
      <c r="X260" t="s">
        <v>215</v>
      </c>
      <c r="Z260" t="str">
        <v>N02</v>
      </c>
      <c r="AA260" t="str">
        <v>N01-N16</v>
      </c>
    </row>
    <row r="261" spans="1:27" x14ac:dyDescent="0.2">
      <c r="A261"/>
      <c r="B261"/>
      <c r="C261"/>
      <c r="D261"/>
      <c r="E261"/>
      <c r="F261" t="str">
        <f>LEFT(AllDaqbookOffsets[[#This Row],[traceability_no]],2)</f>
        <v>J2</v>
      </c>
      <c r="W261" t="s">
        <v>1215</v>
      </c>
      <c r="X261" t="s">
        <v>325</v>
      </c>
      <c r="Z261" t="str">
        <v>N03</v>
      </c>
      <c r="AA261" t="str">
        <v>N01-N16</v>
      </c>
    </row>
    <row r="262" spans="1:27" x14ac:dyDescent="0.2">
      <c r="A262"/>
      <c r="B262"/>
      <c r="C262"/>
      <c r="D262"/>
      <c r="E262"/>
      <c r="F262" t="str">
        <f>LEFT(AllDaqbookOffsets[[#This Row],[traceability_no]],2)</f>
        <v>J2</v>
      </c>
      <c r="W262" t="s">
        <v>1216</v>
      </c>
      <c r="X262" t="s">
        <v>325</v>
      </c>
      <c r="Z262" t="str">
        <v>N04</v>
      </c>
      <c r="AA262" t="str">
        <v>N01-N16</v>
      </c>
    </row>
    <row r="263" spans="1:27" x14ac:dyDescent="0.2">
      <c r="A263"/>
      <c r="B263"/>
      <c r="C263"/>
      <c r="D263"/>
      <c r="E263"/>
      <c r="F263" t="str">
        <f>LEFT(AllDaqbookOffsets[[#This Row],[traceability_no]],2)</f>
        <v>J2</v>
      </c>
      <c r="W263" t="s">
        <v>1217</v>
      </c>
      <c r="X263" t="s">
        <v>325</v>
      </c>
      <c r="Z263" t="str">
        <v>N05</v>
      </c>
      <c r="AA263" t="str">
        <v>N01-N16</v>
      </c>
    </row>
    <row r="264" spans="1:27" x14ac:dyDescent="0.2">
      <c r="A264"/>
      <c r="B264"/>
      <c r="C264"/>
      <c r="D264"/>
      <c r="E264"/>
      <c r="F264" t="str">
        <f>LEFT(AllDaqbookOffsets[[#This Row],[traceability_no]],2)</f>
        <v>J2</v>
      </c>
      <c r="W264" t="s">
        <v>1218</v>
      </c>
      <c r="X264" t="s">
        <v>325</v>
      </c>
      <c r="Z264" t="str">
        <v>N06</v>
      </c>
      <c r="AA264" t="str">
        <v>N01-N16</v>
      </c>
    </row>
    <row r="265" spans="1:27" x14ac:dyDescent="0.2">
      <c r="A265"/>
      <c r="B265"/>
      <c r="C265"/>
      <c r="D265"/>
      <c r="E265"/>
      <c r="F265" t="str">
        <f>LEFT(AllDaqbookOffsets[[#This Row],[traceability_no]],2)</f>
        <v>J2</v>
      </c>
      <c r="W265" t="s">
        <v>1219</v>
      </c>
      <c r="X265" t="s">
        <v>325</v>
      </c>
      <c r="Z265" t="str">
        <v>N07</v>
      </c>
      <c r="AA265" t="str">
        <v>N01-N16</v>
      </c>
    </row>
    <row r="266" spans="1:27" x14ac:dyDescent="0.2">
      <c r="A266"/>
      <c r="B266"/>
      <c r="C266"/>
      <c r="D266"/>
      <c r="E266"/>
      <c r="F266" t="str">
        <f>LEFT(AllDaqbookOffsets[[#This Row],[traceability_no]],2)</f>
        <v>J2</v>
      </c>
      <c r="W266" t="s">
        <v>1232</v>
      </c>
      <c r="X266" t="s">
        <v>216</v>
      </c>
      <c r="Z266" t="str">
        <v>N08</v>
      </c>
      <c r="AA266" t="str">
        <v>N01-N16</v>
      </c>
    </row>
    <row r="267" spans="1:27" x14ac:dyDescent="0.2">
      <c r="A267"/>
      <c r="B267"/>
      <c r="C267"/>
      <c r="D267"/>
      <c r="E267"/>
      <c r="F267" t="str">
        <f>LEFT(AllDaqbookOffsets[[#This Row],[traceability_no]],2)</f>
        <v>J2</v>
      </c>
      <c r="W267" t="s">
        <v>1233</v>
      </c>
      <c r="X267" t="s">
        <v>216</v>
      </c>
      <c r="Z267" t="str">
        <v>N09</v>
      </c>
      <c r="AA267" t="str">
        <v>N01-N16</v>
      </c>
    </row>
    <row r="268" spans="1:27" x14ac:dyDescent="0.2">
      <c r="A268"/>
      <c r="B268"/>
      <c r="C268"/>
      <c r="D268"/>
      <c r="E268"/>
      <c r="F268" t="str">
        <f>LEFT(AllDaqbookOffsets[[#This Row],[traceability_no]],2)</f>
        <v>J2</v>
      </c>
      <c r="W268" t="s">
        <v>1234</v>
      </c>
      <c r="X268" t="s">
        <v>216</v>
      </c>
      <c r="Z268" t="str">
        <v>N10</v>
      </c>
      <c r="AA268" t="str">
        <v>N01-N16</v>
      </c>
    </row>
    <row r="269" spans="1:27" x14ac:dyDescent="0.2">
      <c r="A269"/>
      <c r="B269"/>
      <c r="C269"/>
      <c r="D269"/>
      <c r="E269"/>
      <c r="F269" t="str">
        <f>LEFT(AllDaqbookOffsets[[#This Row],[traceability_no]],2)</f>
        <v>J2</v>
      </c>
      <c r="W269" t="s">
        <v>1235</v>
      </c>
      <c r="X269" t="s">
        <v>216</v>
      </c>
      <c r="Z269" t="str">
        <v>N101</v>
      </c>
      <c r="AA269" t="str">
        <v>N101-N112</v>
      </c>
    </row>
    <row r="270" spans="1:27" x14ac:dyDescent="0.2">
      <c r="A270"/>
      <c r="B270"/>
      <c r="C270"/>
      <c r="D270"/>
      <c r="E270"/>
      <c r="F270" t="str">
        <f>LEFT(AllDaqbookOffsets[[#This Row],[traceability_no]],2)</f>
        <v>J2</v>
      </c>
      <c r="W270" t="s">
        <v>1236</v>
      </c>
      <c r="X270" t="s">
        <v>216</v>
      </c>
      <c r="Z270" t="str">
        <v>N102</v>
      </c>
      <c r="AA270" t="str">
        <v>N101-N112</v>
      </c>
    </row>
    <row r="271" spans="1:27" x14ac:dyDescent="0.2">
      <c r="A271"/>
      <c r="B271"/>
      <c r="C271"/>
      <c r="D271"/>
      <c r="E271"/>
      <c r="F271" t="str">
        <f>LEFT(AllDaqbookOffsets[[#This Row],[traceability_no]],2)</f>
        <v>J2</v>
      </c>
      <c r="W271" t="s">
        <v>1237</v>
      </c>
      <c r="X271" t="s">
        <v>216</v>
      </c>
      <c r="Z271" t="str">
        <v>N103</v>
      </c>
      <c r="AA271" t="str">
        <v>N101-N112</v>
      </c>
    </row>
    <row r="272" spans="1:27" x14ac:dyDescent="0.2">
      <c r="A272"/>
      <c r="B272"/>
      <c r="C272"/>
      <c r="D272"/>
      <c r="E272"/>
      <c r="F272" t="str">
        <f>LEFT(AllDaqbookOffsets[[#This Row],[traceability_no]],2)</f>
        <v>J2</v>
      </c>
      <c r="W272" t="s">
        <v>1238</v>
      </c>
      <c r="X272" t="s">
        <v>216</v>
      </c>
      <c r="Z272" t="str">
        <v>N104</v>
      </c>
      <c r="AA272" t="str">
        <v>N101-N112</v>
      </c>
    </row>
    <row r="273" spans="1:27" x14ac:dyDescent="0.2">
      <c r="A273"/>
      <c r="B273"/>
      <c r="C273"/>
      <c r="D273"/>
      <c r="E273"/>
      <c r="F273" t="str">
        <f>LEFT(AllDaqbookOffsets[[#This Row],[traceability_no]],2)</f>
        <v>J2</v>
      </c>
      <c r="W273" t="s">
        <v>1239</v>
      </c>
      <c r="X273" t="s">
        <v>216</v>
      </c>
      <c r="Z273" t="str">
        <v>N105</v>
      </c>
      <c r="AA273" t="str">
        <v>N101-N112</v>
      </c>
    </row>
    <row r="274" spans="1:27" x14ac:dyDescent="0.2">
      <c r="A274"/>
      <c r="B274"/>
      <c r="C274"/>
      <c r="D274"/>
      <c r="E274"/>
      <c r="F274" t="str">
        <f>LEFT(AllDaqbookOffsets[[#This Row],[traceability_no]],2)</f>
        <v>J2</v>
      </c>
      <c r="W274" t="s">
        <v>1240</v>
      </c>
      <c r="X274" t="s">
        <v>216</v>
      </c>
      <c r="Z274" t="str">
        <v>N106</v>
      </c>
      <c r="AA274" t="str">
        <v>N101-N112</v>
      </c>
    </row>
    <row r="275" spans="1:27" x14ac:dyDescent="0.2">
      <c r="A275"/>
      <c r="B275"/>
      <c r="C275"/>
      <c r="D275"/>
      <c r="E275"/>
      <c r="F275" t="str">
        <f>LEFT(AllDaqbookOffsets[[#This Row],[traceability_no]],2)</f>
        <v>J2</v>
      </c>
      <c r="W275" t="s">
        <v>1241</v>
      </c>
      <c r="X275" t="s">
        <v>216</v>
      </c>
      <c r="Z275" t="str">
        <v>N107</v>
      </c>
      <c r="AA275" t="str">
        <v>N101-N112</v>
      </c>
    </row>
    <row r="276" spans="1:27" x14ac:dyDescent="0.2">
      <c r="A276"/>
      <c r="B276"/>
      <c r="C276"/>
      <c r="D276"/>
      <c r="E276"/>
      <c r="F276" t="str">
        <f>LEFT(AllDaqbookOffsets[[#This Row],[traceability_no]],2)</f>
        <v>J2</v>
      </c>
      <c r="W276" t="s">
        <v>1242</v>
      </c>
      <c r="X276" t="s">
        <v>216</v>
      </c>
      <c r="Z276" t="str">
        <v>N108</v>
      </c>
      <c r="AA276" t="str">
        <v>N101-N112</v>
      </c>
    </row>
    <row r="277" spans="1:27" x14ac:dyDescent="0.2">
      <c r="A277"/>
      <c r="B277"/>
      <c r="C277"/>
      <c r="D277"/>
      <c r="E277"/>
      <c r="F277" t="str">
        <f>LEFT(AllDaqbookOffsets[[#This Row],[traceability_no]],2)</f>
        <v>J2</v>
      </c>
      <c r="W277" t="s">
        <v>1243</v>
      </c>
      <c r="X277" t="s">
        <v>216</v>
      </c>
      <c r="Z277" t="str">
        <v>N109</v>
      </c>
      <c r="AA277" t="str">
        <v>N101-N112</v>
      </c>
    </row>
    <row r="278" spans="1:27" x14ac:dyDescent="0.2">
      <c r="A278"/>
      <c r="B278"/>
      <c r="C278"/>
      <c r="D278"/>
      <c r="E278"/>
      <c r="F278" t="str">
        <f>LEFT(AllDaqbookOffsets[[#This Row],[traceability_no]],2)</f>
        <v>J2</v>
      </c>
      <c r="W278" t="s">
        <v>1244</v>
      </c>
      <c r="X278" t="s">
        <v>216</v>
      </c>
      <c r="Z278" t="str">
        <v>N11</v>
      </c>
      <c r="AA278" t="str">
        <v>N01-N16</v>
      </c>
    </row>
    <row r="279" spans="1:27" x14ac:dyDescent="0.2">
      <c r="A279"/>
      <c r="B279"/>
      <c r="C279"/>
      <c r="D279"/>
      <c r="E279"/>
      <c r="F279" t="str">
        <f>LEFT(AllDaqbookOffsets[[#This Row],[traceability_no]],2)</f>
        <v>J2</v>
      </c>
      <c r="W279" t="s">
        <v>1245</v>
      </c>
      <c r="X279" t="s">
        <v>216</v>
      </c>
      <c r="Z279" t="str">
        <v>N110</v>
      </c>
      <c r="AA279" t="str">
        <v>N101-N112</v>
      </c>
    </row>
    <row r="280" spans="1:27" x14ac:dyDescent="0.2">
      <c r="A280"/>
      <c r="B280"/>
      <c r="C280"/>
      <c r="D280"/>
      <c r="E280"/>
      <c r="F280" t="str">
        <f>LEFT(AllDaqbookOffsets[[#This Row],[traceability_no]],2)</f>
        <v>J2</v>
      </c>
      <c r="Z280" t="str">
        <v>N111</v>
      </c>
      <c r="AA280" t="str">
        <v>N101-N112</v>
      </c>
    </row>
    <row r="281" spans="1:27" x14ac:dyDescent="0.2">
      <c r="A281"/>
      <c r="B281"/>
      <c r="C281"/>
      <c r="D281"/>
      <c r="E281"/>
      <c r="F281" t="str">
        <f>LEFT(AllDaqbookOffsets[[#This Row],[traceability_no]],2)</f>
        <v>J2</v>
      </c>
      <c r="Z281" t="str">
        <v>N112</v>
      </c>
      <c r="AA281" t="str">
        <v>N101-N112</v>
      </c>
    </row>
    <row r="282" spans="1:27" x14ac:dyDescent="0.2">
      <c r="A282"/>
      <c r="B282"/>
      <c r="C282"/>
      <c r="D282"/>
      <c r="E282"/>
      <c r="F282" t="str">
        <f>LEFT(AllDaqbookOffsets[[#This Row],[traceability_no]],2)</f>
        <v>J2</v>
      </c>
      <c r="Z282" t="str">
        <v>N12</v>
      </c>
      <c r="AA282" t="str">
        <v>N01-N16</v>
      </c>
    </row>
    <row r="283" spans="1:27" x14ac:dyDescent="0.2">
      <c r="A283"/>
      <c r="B283"/>
      <c r="C283"/>
      <c r="D283"/>
      <c r="E283"/>
      <c r="F283" t="str">
        <f>LEFT(AllDaqbookOffsets[[#This Row],[traceability_no]],2)</f>
        <v>J2</v>
      </c>
      <c r="Z283" t="str">
        <v>N13</v>
      </c>
      <c r="AA283" t="str">
        <v>N01-N16</v>
      </c>
    </row>
    <row r="284" spans="1:27" x14ac:dyDescent="0.2">
      <c r="A284"/>
      <c r="B284"/>
      <c r="C284"/>
      <c r="D284"/>
      <c r="E284"/>
      <c r="F284" t="str">
        <f>LEFT(AllDaqbookOffsets[[#This Row],[traceability_no]],2)</f>
        <v>J2</v>
      </c>
      <c r="Z284" t="str">
        <v>N14</v>
      </c>
      <c r="AA284" t="str">
        <v>N01-N16</v>
      </c>
    </row>
    <row r="285" spans="1:27" x14ac:dyDescent="0.2">
      <c r="A285"/>
      <c r="B285"/>
      <c r="C285"/>
      <c r="D285"/>
      <c r="E285"/>
      <c r="F285" t="str">
        <f>LEFT(AllDaqbookOffsets[[#This Row],[traceability_no]],2)</f>
        <v>J2</v>
      </c>
      <c r="Z285" t="str">
        <v>N15</v>
      </c>
      <c r="AA285" t="str">
        <v>N01-N16</v>
      </c>
    </row>
    <row r="286" spans="1:27" x14ac:dyDescent="0.2">
      <c r="A286"/>
      <c r="B286"/>
      <c r="C286"/>
      <c r="D286"/>
      <c r="E286"/>
      <c r="F286" t="str">
        <f>LEFT(AllDaqbookOffsets[[#This Row],[traceability_no]],2)</f>
        <v>J2</v>
      </c>
      <c r="Z286" t="str">
        <v>N16</v>
      </c>
      <c r="AA286" t="str">
        <v>N01-N16</v>
      </c>
    </row>
    <row r="287" spans="1:27" x14ac:dyDescent="0.2">
      <c r="A287"/>
      <c r="B287"/>
      <c r="C287"/>
      <c r="D287"/>
      <c r="E287"/>
      <c r="F287" t="str">
        <f>LEFT(AllDaqbookOffsets[[#This Row],[traceability_no]],2)</f>
        <v>J2</v>
      </c>
      <c r="Z287" t="str">
        <v>N21</v>
      </c>
      <c r="AA287" t="str">
        <v>N21-N34</v>
      </c>
    </row>
    <row r="288" spans="1:27" x14ac:dyDescent="0.2">
      <c r="A288"/>
      <c r="B288"/>
      <c r="C288"/>
      <c r="D288"/>
      <c r="E288"/>
      <c r="F288" t="str">
        <f>LEFT(AllDaqbookOffsets[[#This Row],[traceability_no]],2)</f>
        <v>J2</v>
      </c>
      <c r="Z288" t="str">
        <v>N22</v>
      </c>
      <c r="AA288" t="str">
        <v>N21-N34</v>
      </c>
    </row>
    <row r="289" spans="1:27" x14ac:dyDescent="0.2">
      <c r="A289"/>
      <c r="B289"/>
      <c r="C289"/>
      <c r="D289"/>
      <c r="E289"/>
      <c r="F289" t="str">
        <f>LEFT(AllDaqbookOffsets[[#This Row],[traceability_no]],2)</f>
        <v>J2</v>
      </c>
      <c r="Z289" t="str">
        <v>N23</v>
      </c>
      <c r="AA289" t="str">
        <v>N21-N34</v>
      </c>
    </row>
    <row r="290" spans="1:27" x14ac:dyDescent="0.2">
      <c r="A290"/>
      <c r="B290"/>
      <c r="C290"/>
      <c r="D290"/>
      <c r="E290"/>
      <c r="F290" t="str">
        <f>LEFT(AllDaqbookOffsets[[#This Row],[traceability_no]],2)</f>
        <v>J2</v>
      </c>
      <c r="Z290" t="str">
        <v>N24</v>
      </c>
      <c r="AA290" t="str">
        <v>N21-N34</v>
      </c>
    </row>
    <row r="291" spans="1:27" x14ac:dyDescent="0.2">
      <c r="A291"/>
      <c r="B291"/>
      <c r="C291"/>
      <c r="D291"/>
      <c r="E291"/>
      <c r="F291" t="str">
        <f>LEFT(AllDaqbookOffsets[[#This Row],[traceability_no]],2)</f>
        <v>J2</v>
      </c>
      <c r="Z291" t="str">
        <v>N25</v>
      </c>
      <c r="AA291" t="str">
        <v>N21-N34</v>
      </c>
    </row>
    <row r="292" spans="1:27" x14ac:dyDescent="0.2">
      <c r="A292"/>
      <c r="B292"/>
      <c r="C292"/>
      <c r="D292"/>
      <c r="E292"/>
      <c r="F292" t="str">
        <f>LEFT(AllDaqbookOffsets[[#This Row],[traceability_no]],2)</f>
        <v>J2</v>
      </c>
      <c r="Z292" t="str">
        <v>N26</v>
      </c>
      <c r="AA292" t="str">
        <v>N21-N34</v>
      </c>
    </row>
    <row r="293" spans="1:27" x14ac:dyDescent="0.2">
      <c r="A293"/>
      <c r="B293"/>
      <c r="C293"/>
      <c r="D293"/>
      <c r="E293"/>
      <c r="F293" t="str">
        <f>LEFT(AllDaqbookOffsets[[#This Row],[traceability_no]],2)</f>
        <v>J2</v>
      </c>
      <c r="Z293" t="str">
        <v>N27</v>
      </c>
      <c r="AA293" t="str">
        <v>N21-N34</v>
      </c>
    </row>
    <row r="294" spans="1:27" x14ac:dyDescent="0.2">
      <c r="A294"/>
      <c r="B294"/>
      <c r="C294"/>
      <c r="D294"/>
      <c r="E294"/>
      <c r="F294" t="str">
        <f>LEFT(AllDaqbookOffsets[[#This Row],[traceability_no]],2)</f>
        <v>J2</v>
      </c>
      <c r="Z294" t="str">
        <v>N28</v>
      </c>
      <c r="AA294" t="str">
        <v>N21-N34</v>
      </c>
    </row>
    <row r="295" spans="1:27" x14ac:dyDescent="0.2">
      <c r="A295"/>
      <c r="B295"/>
      <c r="C295"/>
      <c r="D295"/>
      <c r="E295"/>
      <c r="F295" t="str">
        <f>LEFT(AllDaqbookOffsets[[#This Row],[traceability_no]],2)</f>
        <v>J2</v>
      </c>
      <c r="Z295" t="str">
        <v>N29</v>
      </c>
      <c r="AA295" t="str">
        <v>N21-N34</v>
      </c>
    </row>
    <row r="296" spans="1:27" x14ac:dyDescent="0.2">
      <c r="A296"/>
      <c r="B296"/>
      <c r="C296"/>
      <c r="D296"/>
      <c r="E296"/>
      <c r="F296" t="str">
        <f>LEFT(AllDaqbookOffsets[[#This Row],[traceability_no]],2)</f>
        <v>J2</v>
      </c>
      <c r="Z296" t="str">
        <v>N30</v>
      </c>
      <c r="AA296" t="str">
        <v>N21-N34</v>
      </c>
    </row>
    <row r="297" spans="1:27" x14ac:dyDescent="0.2">
      <c r="A297"/>
      <c r="B297"/>
      <c r="C297"/>
      <c r="D297"/>
      <c r="E297"/>
      <c r="F297" t="str">
        <f>LEFT(AllDaqbookOffsets[[#This Row],[traceability_no]],2)</f>
        <v>J2</v>
      </c>
      <c r="Z297" t="str">
        <v>N31</v>
      </c>
      <c r="AA297" t="str">
        <v>N21-N34</v>
      </c>
    </row>
    <row r="298" spans="1:27" x14ac:dyDescent="0.2">
      <c r="A298"/>
      <c r="B298"/>
      <c r="C298"/>
      <c r="D298"/>
      <c r="E298"/>
      <c r="F298" t="str">
        <f>LEFT(AllDaqbookOffsets[[#This Row],[traceability_no]],2)</f>
        <v>J2</v>
      </c>
      <c r="Z298" t="str">
        <v>N32</v>
      </c>
      <c r="AA298" t="str">
        <v>N21-N34</v>
      </c>
    </row>
    <row r="299" spans="1:27" x14ac:dyDescent="0.2">
      <c r="A299"/>
      <c r="B299"/>
      <c r="C299"/>
      <c r="D299"/>
      <c r="E299"/>
      <c r="F299" t="str">
        <f>LEFT(AllDaqbookOffsets[[#This Row],[traceability_no]],2)</f>
        <v>J2</v>
      </c>
      <c r="Z299" t="str">
        <v>N33</v>
      </c>
      <c r="AA299" t="str">
        <v>N21-N34</v>
      </c>
    </row>
    <row r="300" spans="1:27" x14ac:dyDescent="0.2">
      <c r="A300"/>
      <c r="B300"/>
      <c r="C300"/>
      <c r="D300"/>
      <c r="E300"/>
      <c r="F300" t="str">
        <f>LEFT(AllDaqbookOffsets[[#This Row],[traceability_no]],2)</f>
        <v>J2</v>
      </c>
      <c r="Z300" t="str">
        <v>N34</v>
      </c>
      <c r="AA300" t="str">
        <v>N21-N34</v>
      </c>
    </row>
    <row r="301" spans="1:27" x14ac:dyDescent="0.2">
      <c r="A301"/>
      <c r="B301"/>
      <c r="C301"/>
      <c r="D301"/>
      <c r="E301"/>
      <c r="F301" t="str">
        <f>LEFT(AllDaqbookOffsets[[#This Row],[traceability_no]],2)</f>
        <v>J2</v>
      </c>
    </row>
    <row r="302" spans="1:27" x14ac:dyDescent="0.2">
      <c r="A302"/>
      <c r="B302"/>
      <c r="C302"/>
      <c r="D302"/>
      <c r="E302"/>
      <c r="F302" t="str">
        <f>LEFT(AllDaqbookOffsets[[#This Row],[traceability_no]],2)</f>
        <v>J2</v>
      </c>
    </row>
    <row r="303" spans="1:27" x14ac:dyDescent="0.2">
      <c r="A303"/>
      <c r="B303"/>
      <c r="C303"/>
      <c r="D303"/>
      <c r="E303"/>
      <c r="F303" t="str">
        <f>LEFT(AllDaqbookOffsets[[#This Row],[traceability_no]],2)</f>
        <v>J2</v>
      </c>
    </row>
    <row r="304" spans="1:27"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NpagaGq0C40nz8DjbJizquoFMFw8kISerbXTesOO1PWw3q3RHP21ncN/3/suAXGC8pD8c9Cv7ViCWKxqBEhToQ==" saltValue="vsuZxYZKfHDC/GMk8P+H0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K13" sqref="K13"/>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28515625" bestFit="1" customWidth="1"/>
  </cols>
  <sheetData>
    <row r="1" spans="1:14" x14ac:dyDescent="0.2">
      <c r="A1"/>
      <c r="B1"/>
      <c r="C1"/>
      <c r="D1"/>
      <c r="E1" t="s">
        <v>1251</v>
      </c>
      <c r="G1" s="35" t="s">
        <v>1252</v>
      </c>
      <c r="H1" s="35" t="s">
        <v>1253</v>
      </c>
      <c r="I1" s="35" t="s">
        <v>111</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_xlfn.UNIQUE(SBPOffsets[[probe_serial_number]:[Column1]])</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1254</v>
      </c>
      <c r="B1" s="320"/>
      <c r="C1" s="493" t="s">
        <v>50</v>
      </c>
      <c r="D1" s="494"/>
      <c r="E1" s="494"/>
      <c r="F1" s="494"/>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495" t="s">
        <v>102</v>
      </c>
      <c r="K3" s="496"/>
      <c r="L3" s="497"/>
      <c r="M3" s="303"/>
      <c r="N3" s="511" t="s">
        <v>91</v>
      </c>
      <c r="O3" s="511"/>
      <c r="P3" s="511"/>
      <c r="Q3" s="511"/>
      <c r="R3" s="511"/>
      <c r="S3" s="511"/>
    </row>
    <row r="4" spans="1:19" s="278" customFormat="1" x14ac:dyDescent="0.2">
      <c r="A4" s="321"/>
      <c r="B4" s="141"/>
      <c r="C4" s="142" t="s">
        <v>228</v>
      </c>
      <c r="D4" s="285" t="str">
        <f>IF(Condition="","",Condition)</f>
        <v/>
      </c>
      <c r="E4" s="303"/>
      <c r="F4" s="303"/>
      <c r="G4" s="303"/>
      <c r="H4" s="303"/>
      <c r="I4" s="303"/>
      <c r="J4" s="500" t="s">
        <v>1</v>
      </c>
      <c r="K4" s="501"/>
      <c r="L4" s="143">
        <f>MAX(Survey[Deviations])</f>
        <v>0</v>
      </c>
      <c r="M4" s="303"/>
      <c r="N4" s="144" t="s">
        <v>90</v>
      </c>
      <c r="O4" s="145" t="s">
        <v>89</v>
      </c>
      <c r="P4" s="498" t="s">
        <v>100</v>
      </c>
      <c r="Q4" s="499"/>
      <c r="R4" s="144" t="s">
        <v>137</v>
      </c>
      <c r="S4" s="144" t="s">
        <v>141</v>
      </c>
    </row>
    <row r="5" spans="1:19" s="278" customFormat="1" x14ac:dyDescent="0.2">
      <c r="A5" s="321"/>
      <c r="B5" s="141"/>
      <c r="C5" s="142" t="s">
        <v>41</v>
      </c>
      <c r="D5" s="515" t="e">
        <f>companyName</f>
        <v>#N/A</v>
      </c>
      <c r="E5" s="516"/>
      <c r="F5" s="516"/>
      <c r="G5" s="516"/>
      <c r="H5" s="517"/>
      <c r="I5" s="286"/>
      <c r="J5" s="500" t="s">
        <v>2</v>
      </c>
      <c r="K5" s="501"/>
      <c r="L5" s="143">
        <f>MIN(Survey[Deviations])</f>
        <v>0</v>
      </c>
      <c r="M5" s="303"/>
      <c r="N5" s="408">
        <v>1</v>
      </c>
      <c r="O5" s="146"/>
      <c r="P5" s="463" t="str" cm="1">
        <f t="array" ref="P5:P44">Alerts[Alert]</f>
        <v/>
      </c>
      <c r="Q5" s="464"/>
      <c r="R5" s="462" t="e" cm="1">
        <f t="array" ref="R5:R44">Alerts[Temp]</f>
        <v>#VALUE!</v>
      </c>
      <c r="S5" s="147" t="str" cm="1">
        <f t="array" ref="S5:S44">Alerts[Time]</f>
        <v/>
      </c>
    </row>
    <row r="6" spans="1:19" s="278" customFormat="1" x14ac:dyDescent="0.2">
      <c r="A6" s="321"/>
      <c r="B6" s="141"/>
      <c r="C6" s="142" t="s">
        <v>40</v>
      </c>
      <c r="D6" s="512" t="e">
        <f>VLOOKUP("assetName",WorkItemDetails[],2,FALSE)</f>
        <v>#N/A</v>
      </c>
      <c r="E6" s="513"/>
      <c r="F6" s="513"/>
      <c r="G6" s="513"/>
      <c r="H6" s="514"/>
      <c r="J6" s="500" t="s">
        <v>101</v>
      </c>
      <c r="K6" s="501"/>
      <c r="L6" s="143">
        <f>L4-L5</f>
        <v>0</v>
      </c>
      <c r="M6" s="303"/>
      <c r="N6" s="408">
        <v>2</v>
      </c>
      <c r="O6" s="146"/>
      <c r="P6" s="463" t="str">
        <v/>
      </c>
      <c r="Q6" s="464"/>
      <c r="R6" s="462"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3" t="str">
        <v/>
      </c>
      <c r="Q7" s="464"/>
      <c r="R7" s="462"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3" t="str">
        <v/>
      </c>
      <c r="Q8" s="464"/>
      <c r="R8" s="462"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3" t="str">
        <v/>
      </c>
      <c r="Q9" s="464"/>
      <c r="R9" s="462"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3" t="str">
        <v/>
      </c>
      <c r="Q10" s="464"/>
      <c r="R10" s="462"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3" t="str">
        <v/>
      </c>
      <c r="Q11" s="464"/>
      <c r="R11" s="462"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3" t="str">
        <v/>
      </c>
      <c r="Q12" s="464"/>
      <c r="R12" s="462"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09" t="str">
        <f>IFERROR(VLOOKUP("PoNumber",WorkItemDetails[],2,FALSE),"")</f>
        <v/>
      </c>
      <c r="L13" s="510"/>
      <c r="M13" s="303"/>
      <c r="N13" s="408">
        <v>9</v>
      </c>
      <c r="O13" s="146"/>
      <c r="P13" s="463" t="str">
        <v/>
      </c>
      <c r="Q13" s="464"/>
      <c r="R13" s="462"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18"/>
      <c r="L14" s="519"/>
      <c r="M14" s="303"/>
      <c r="N14" s="408">
        <v>10</v>
      </c>
      <c r="O14" s="146"/>
      <c r="P14" s="463" t="str">
        <v/>
      </c>
      <c r="Q14" s="464"/>
      <c r="R14" s="462" t="e">
        <v>#VALUE!</v>
      </c>
      <c r="S14" s="147" t="str">
        <v/>
      </c>
    </row>
    <row r="15" spans="1:19" s="278" customFormat="1" x14ac:dyDescent="0.2">
      <c r="A15" s="321"/>
      <c r="B15" s="188"/>
      <c r="C15" s="186" t="s">
        <v>65</v>
      </c>
      <c r="D15" s="296"/>
      <c r="E15" s="303"/>
      <c r="F15" s="303"/>
      <c r="G15" s="303"/>
      <c r="H15" s="423" t="b">
        <v>1</v>
      </c>
      <c r="I15" s="303"/>
      <c r="J15" s="154" t="s">
        <v>131</v>
      </c>
      <c r="K15" s="504"/>
      <c r="L15" s="505"/>
      <c r="M15" s="303"/>
      <c r="N15" s="408">
        <v>11</v>
      </c>
      <c r="O15" s="146"/>
      <c r="P15" s="463" t="str">
        <v/>
      </c>
      <c r="Q15" s="464"/>
      <c r="R15" s="462" t="e">
        <v>#VALUE!</v>
      </c>
      <c r="S15" s="147" t="str">
        <v/>
      </c>
    </row>
    <row r="16" spans="1:19" s="278" customFormat="1" x14ac:dyDescent="0.2">
      <c r="A16" s="321"/>
      <c r="B16" s="155"/>
      <c r="C16" s="187" t="s">
        <v>262</v>
      </c>
      <c r="D16" s="296"/>
      <c r="E16" s="303"/>
      <c r="F16" s="153" t="s">
        <v>77</v>
      </c>
      <c r="G16" s="396" t="s">
        <v>265</v>
      </c>
      <c r="H16" s="397"/>
      <c r="I16" s="303"/>
      <c r="J16" s="523" t="s">
        <v>161</v>
      </c>
      <c r="K16" s="524"/>
      <c r="L16" s="284"/>
      <c r="M16" s="303"/>
      <c r="N16" s="408">
        <v>12</v>
      </c>
      <c r="O16" s="146"/>
      <c r="P16" s="463" t="str">
        <v/>
      </c>
      <c r="Q16" s="464"/>
      <c r="R16" s="462" t="e">
        <v>#VALUE!</v>
      </c>
      <c r="S16" s="147" t="str">
        <v/>
      </c>
    </row>
    <row r="17" spans="2:22" s="278" customFormat="1" x14ac:dyDescent="0.2">
      <c r="B17" s="141"/>
      <c r="C17" s="142" t="s">
        <v>64</v>
      </c>
      <c r="D17" s="297"/>
      <c r="E17" s="303"/>
      <c r="F17" s="154" t="s">
        <v>96</v>
      </c>
      <c r="G17" s="371" t="str">
        <f>IF(ISBLANK(Load),"",Load)</f>
        <v/>
      </c>
      <c r="H17" s="303"/>
      <c r="I17" s="304"/>
      <c r="J17" s="523" t="s">
        <v>162</v>
      </c>
      <c r="K17" s="524"/>
      <c r="L17" s="157" t="str">
        <f>IF(K15="SIM Load Hot",TEXT(D26,"hh:mm"),"")</f>
        <v/>
      </c>
      <c r="M17" s="303"/>
      <c r="N17" s="408">
        <v>13</v>
      </c>
      <c r="O17" s="146"/>
      <c r="P17" s="463" t="str">
        <v/>
      </c>
      <c r="Q17" s="464"/>
      <c r="R17" s="462" t="e">
        <v>#VALUE!</v>
      </c>
      <c r="S17" s="147" t="str">
        <v/>
      </c>
      <c r="T17" s="435"/>
    </row>
    <row r="18" spans="2:22" s="278" customFormat="1" x14ac:dyDescent="0.2">
      <c r="B18" s="151"/>
      <c r="C18" s="158" t="s">
        <v>67</v>
      </c>
      <c r="D18" s="282"/>
      <c r="E18" s="303"/>
      <c r="F18" s="159" t="s">
        <v>78</v>
      </c>
      <c r="G18" s="476" t="s">
        <v>19</v>
      </c>
      <c r="H18" s="477"/>
      <c r="I18" s="304"/>
      <c r="J18" s="329"/>
      <c r="K18" s="303"/>
      <c r="L18" s="304"/>
      <c r="M18" s="303"/>
      <c r="N18" s="408">
        <v>14</v>
      </c>
      <c r="O18" s="146"/>
      <c r="P18" s="463" t="str">
        <v/>
      </c>
      <c r="Q18" s="464"/>
      <c r="R18" s="462"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02" t="str">
        <f>IF(K15="Salt",0, IF(OR(K15="Hot",K15="SIM Load Hot"),IF(OR(D26="",D28=""),"N/A",IF(ISBLANK(D26),"N/A",D28-D26)),"N/A"))</f>
        <v>N/A</v>
      </c>
      <c r="H19" s="503"/>
      <c r="I19" s="330" t="str">
        <f>IF(G19="N/A","N/A",IF(G19=0,"&lt;2",ROUND(IF(LEN(G19)&gt;3,G19*1440,RIGHT(TEXT(G19,"hh:mm"),2)),0))&amp;" MINUTES")</f>
        <v>N/A</v>
      </c>
      <c r="J19" s="437">
        <f>V21</f>
        <v>40</v>
      </c>
      <c r="K19" s="303"/>
      <c r="L19" s="304"/>
      <c r="M19" s="303"/>
      <c r="N19" s="408">
        <v>15</v>
      </c>
      <c r="O19" s="146"/>
      <c r="P19" s="463" t="str">
        <v/>
      </c>
      <c r="Q19" s="464"/>
      <c r="R19" s="462" t="e">
        <v>#VALUE!</v>
      </c>
      <c r="S19" s="147" t="str">
        <v/>
      </c>
      <c r="T19" s="435"/>
      <c r="U19" s="286" t="s">
        <v>940</v>
      </c>
      <c r="V19" s="286">
        <f>L20</f>
        <v>1</v>
      </c>
    </row>
    <row r="20" spans="2:22" s="278" customFormat="1" ht="13.7" customHeight="1" x14ac:dyDescent="0.2">
      <c r="B20" s="506" t="s">
        <v>958</v>
      </c>
      <c r="C20" s="507"/>
      <c r="D20" s="369">
        <f>G74*MAX(NominalTemp/1000,1)</f>
        <v>0</v>
      </c>
      <c r="E20" s="421"/>
      <c r="F20" s="303"/>
      <c r="G20" s="303"/>
      <c r="H20" s="303"/>
      <c r="I20" s="304"/>
      <c r="J20" s="303"/>
      <c r="K20" s="303"/>
      <c r="L20" s="422">
        <v>1</v>
      </c>
      <c r="M20" s="303"/>
      <c r="N20" s="408">
        <v>16</v>
      </c>
      <c r="O20" s="146"/>
      <c r="P20" s="463" t="str">
        <v/>
      </c>
      <c r="Q20" s="464"/>
      <c r="R20" s="462"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3" t="str">
        <v/>
      </c>
      <c r="Q21" s="464"/>
      <c r="R21" s="462"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3" t="str">
        <v/>
      </c>
      <c r="Q22" s="464"/>
      <c r="R22" s="462" t="e">
        <v>#VALUE!</v>
      </c>
      <c r="S22" s="147" t="str">
        <v/>
      </c>
      <c r="T22" s="435"/>
      <c r="U22" s="286" t="s">
        <v>937</v>
      </c>
      <c r="V22" s="286">
        <f>V20+1</f>
        <v>1</v>
      </c>
    </row>
    <row r="23" spans="2:22" s="278" customFormat="1" x14ac:dyDescent="0.2">
      <c r="B23" s="141"/>
      <c r="C23" s="399" t="s">
        <v>908</v>
      </c>
      <c r="D23" s="282"/>
      <c r="E23" s="303"/>
      <c r="F23" s="160" t="s">
        <v>97</v>
      </c>
      <c r="G23" s="531" t="s">
        <v>368</v>
      </c>
      <c r="H23" s="532"/>
      <c r="I23" s="532"/>
      <c r="J23" s="532"/>
      <c r="K23" s="533"/>
      <c r="L23" s="304"/>
      <c r="M23" s="303"/>
      <c r="N23" s="408">
        <v>19</v>
      </c>
      <c r="O23" s="146"/>
      <c r="P23" s="463" t="str">
        <v/>
      </c>
      <c r="Q23" s="464"/>
      <c r="R23" s="462" t="e">
        <v>#VALUE!</v>
      </c>
      <c r="S23" s="147" t="str">
        <v/>
      </c>
      <c r="T23" s="435"/>
      <c r="U23" s="286" t="s">
        <v>936</v>
      </c>
      <c r="V23" s="286">
        <f>V20+V21</f>
        <v>40</v>
      </c>
    </row>
    <row r="24" spans="2:22" s="278" customFormat="1" x14ac:dyDescent="0.2">
      <c r="B24" s="506" t="s">
        <v>549</v>
      </c>
      <c r="C24" s="508"/>
      <c r="D24" s="282">
        <v>1</v>
      </c>
      <c r="E24" s="303"/>
      <c r="F24" s="160" t="s">
        <v>98</v>
      </c>
      <c r="G24" s="534"/>
      <c r="H24" s="535"/>
      <c r="I24" s="535"/>
      <c r="J24" s="535"/>
      <c r="K24" s="536"/>
      <c r="L24" s="304"/>
      <c r="M24" s="303"/>
      <c r="N24" s="408">
        <v>20</v>
      </c>
      <c r="O24" s="146"/>
      <c r="P24" s="463" t="str">
        <v/>
      </c>
      <c r="Q24" s="464"/>
      <c r="R24" s="462" t="e">
        <v>#VALUE!</v>
      </c>
      <c r="S24" s="147" t="str">
        <v/>
      </c>
      <c r="T24" s="435"/>
      <c r="U24" s="286" t="s">
        <v>935</v>
      </c>
      <c r="V24" s="286" t="str">
        <f>IF(V19=1,"","DaqBook points "&amp;V22&amp;"-"&amp;V23&amp;" used.")</f>
        <v/>
      </c>
    </row>
    <row r="25" spans="2:22" s="278" customFormat="1" x14ac:dyDescent="0.2">
      <c r="B25" s="318"/>
      <c r="C25" s="319"/>
      <c r="D25" s="326"/>
      <c r="E25" s="303"/>
      <c r="F25" s="160" t="s">
        <v>99</v>
      </c>
      <c r="G25" s="534"/>
      <c r="H25" s="535"/>
      <c r="I25" s="535"/>
      <c r="J25" s="535"/>
      <c r="K25" s="536"/>
      <c r="L25" s="304"/>
      <c r="M25" s="303"/>
      <c r="N25" s="408">
        <v>21</v>
      </c>
      <c r="O25" s="146"/>
      <c r="P25" s="463" t="str">
        <v/>
      </c>
      <c r="Q25" s="464"/>
      <c r="R25" s="462"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3" t="str">
        <v/>
      </c>
      <c r="Q26" s="464"/>
      <c r="R26" s="462" t="e">
        <v>#VALUE!</v>
      </c>
      <c r="S26" s="147" t="str">
        <v/>
      </c>
      <c r="T26" s="435"/>
    </row>
    <row r="27" spans="2:22" s="278" customFormat="1" x14ac:dyDescent="0.2">
      <c r="B27" s="161">
        <v>10</v>
      </c>
      <c r="C27" s="142" t="s">
        <v>61</v>
      </c>
      <c r="D27" s="292"/>
      <c r="E27" s="305"/>
      <c r="F27" s="240" t="s">
        <v>268</v>
      </c>
      <c r="G27" s="239" t="str">
        <f>G28</f>
        <v/>
      </c>
      <c r="H27" s="529" t="str">
        <f>IF(ISBLANK(D6),"",IF(CheckRec="x","CHECK INSTRUMENT CAL DATES!!!!             CHECK INSTRUMENT CAL DATES!!!!",""))</f>
        <v/>
      </c>
      <c r="I27" s="530"/>
      <c r="J27" s="530"/>
      <c r="K27" s="530"/>
      <c r="L27" s="304"/>
      <c r="M27" s="303"/>
      <c r="N27" s="408">
        <v>23</v>
      </c>
      <c r="O27" s="146"/>
      <c r="P27" s="463" t="str">
        <v/>
      </c>
      <c r="Q27" s="464"/>
      <c r="R27" s="462" t="e">
        <v>#VALUE!</v>
      </c>
      <c r="S27" s="147" t="str">
        <v/>
      </c>
      <c r="T27" s="435"/>
    </row>
    <row r="28" spans="2:22" s="278" customFormat="1" x14ac:dyDescent="0.2">
      <c r="B28" s="162">
        <v>30</v>
      </c>
      <c r="C28" s="158" t="s">
        <v>62</v>
      </c>
      <c r="D28" s="292"/>
      <c r="E28" s="305"/>
      <c r="F28" s="240" t="s">
        <v>269</v>
      </c>
      <c r="G28" s="239" t="str">
        <f>IF(CheckRec="y","Cal by Customer",IF(D$3,D$3,""))</f>
        <v/>
      </c>
      <c r="H28" s="529"/>
      <c r="I28" s="530"/>
      <c r="J28" s="530"/>
      <c r="K28" s="530"/>
      <c r="L28" s="304"/>
      <c r="M28" s="303"/>
      <c r="N28" s="408">
        <v>24</v>
      </c>
      <c r="O28" s="146"/>
      <c r="P28" s="463" t="str">
        <v/>
      </c>
      <c r="Q28" s="464"/>
      <c r="R28" s="462"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3" t="str">
        <v/>
      </c>
      <c r="Q29" s="464"/>
      <c r="R29" s="462"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3" t="str">
        <v/>
      </c>
      <c r="Q30" s="464"/>
      <c r="R30" s="462"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3" t="str">
        <v/>
      </c>
      <c r="Q31" s="464"/>
      <c r="R31" s="462"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3" t="str">
        <v/>
      </c>
      <c r="Q32" s="464"/>
      <c r="R32" s="462"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3" t="str">
        <v/>
      </c>
      <c r="Q33" s="464"/>
      <c r="R33" s="462" t="e">
        <v>#VALUE!</v>
      </c>
      <c r="S33" s="147" t="str">
        <v/>
      </c>
      <c r="T33" s="435"/>
    </row>
    <row r="34" spans="1:24" s="278" customFormat="1" ht="12.75" customHeight="1" x14ac:dyDescent="0.2">
      <c r="A34" s="321"/>
      <c r="B34" s="495" t="s">
        <v>49</v>
      </c>
      <c r="C34" s="496"/>
      <c r="D34" s="496"/>
      <c r="E34" s="496"/>
      <c r="F34" s="496"/>
      <c r="G34" s="496"/>
      <c r="H34" s="496"/>
      <c r="I34" s="496"/>
      <c r="J34" s="496"/>
      <c r="K34" s="496"/>
      <c r="L34" s="497"/>
      <c r="M34" s="303"/>
      <c r="N34" s="408">
        <v>30</v>
      </c>
      <c r="O34" s="146"/>
      <c r="P34" s="463" t="str">
        <v/>
      </c>
      <c r="Q34" s="464"/>
      <c r="R34" s="462"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3" t="str">
        <v/>
      </c>
      <c r="Q35" s="464"/>
      <c r="R35" s="462"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3" t="str">
        <v/>
      </c>
      <c r="Q36" s="464"/>
      <c r="R36" s="462" t="e">
        <v>#VALUE!</v>
      </c>
      <c r="S36" s="147" t="str">
        <v/>
      </c>
      <c r="T36" s="436"/>
    </row>
    <row r="37" spans="1:24" s="278" customFormat="1" x14ac:dyDescent="0.2">
      <c r="A37" s="465" t="str">
        <f t="shared" ref="A37:A44" si="0">IF(B37,1,"")</f>
        <v/>
      </c>
      <c r="B37" s="466"/>
      <c r="C37" s="447"/>
      <c r="D37" s="448"/>
      <c r="E37" s="448"/>
      <c r="F37" s="448"/>
      <c r="G37" s="448"/>
      <c r="H37" s="448"/>
      <c r="I37" s="449"/>
      <c r="J37" s="449"/>
      <c r="K37" s="449"/>
      <c r="L37" s="449"/>
      <c r="M37" s="303"/>
      <c r="N37" s="408">
        <v>33</v>
      </c>
      <c r="O37" s="146"/>
      <c r="P37" s="463" t="str">
        <v/>
      </c>
      <c r="Q37" s="464"/>
      <c r="R37" s="462" t="e">
        <v>#VALUE!</v>
      </c>
      <c r="S37" s="147" t="str">
        <v/>
      </c>
      <c r="T37" s="436"/>
    </row>
    <row r="38" spans="1:24" s="278" customFormat="1" x14ac:dyDescent="0.2">
      <c r="A38" s="465" t="str">
        <f t="shared" si="0"/>
        <v/>
      </c>
      <c r="B38" s="467"/>
      <c r="C38" s="450"/>
      <c r="D38" s="448"/>
      <c r="E38" s="448"/>
      <c r="F38" s="448"/>
      <c r="G38" s="448"/>
      <c r="H38" s="448"/>
      <c r="I38" s="449"/>
      <c r="J38" s="449"/>
      <c r="K38" s="449"/>
      <c r="L38" s="449"/>
      <c r="M38" s="303"/>
      <c r="N38" s="408">
        <v>34</v>
      </c>
      <c r="O38" s="146"/>
      <c r="P38" s="463" t="str">
        <v/>
      </c>
      <c r="Q38" s="464"/>
      <c r="R38" s="462" t="e">
        <v>#VALUE!</v>
      </c>
      <c r="S38" s="147" t="str">
        <v/>
      </c>
      <c r="T38" s="436"/>
    </row>
    <row r="39" spans="1:24" s="278" customFormat="1" x14ac:dyDescent="0.2">
      <c r="A39" s="465" t="str">
        <f t="shared" si="0"/>
        <v/>
      </c>
      <c r="B39" s="467"/>
      <c r="C39" s="450"/>
      <c r="D39" s="448"/>
      <c r="E39" s="448"/>
      <c r="F39" s="448"/>
      <c r="G39" s="448"/>
      <c r="H39" s="449"/>
      <c r="I39" s="449"/>
      <c r="J39" s="449"/>
      <c r="K39" s="449"/>
      <c r="L39" s="449"/>
      <c r="M39" s="303"/>
      <c r="N39" s="408">
        <v>35</v>
      </c>
      <c r="O39" s="146"/>
      <c r="P39" s="463" t="str">
        <v/>
      </c>
      <c r="Q39" s="464"/>
      <c r="R39" s="462" t="e">
        <v>#VALUE!</v>
      </c>
      <c r="S39" s="147" t="str">
        <v/>
      </c>
      <c r="T39" s="436"/>
    </row>
    <row r="40" spans="1:24" s="278" customFormat="1" x14ac:dyDescent="0.2">
      <c r="A40" s="465" t="str">
        <f t="shared" si="0"/>
        <v/>
      </c>
      <c r="B40" s="467"/>
      <c r="C40" s="450"/>
      <c r="D40" s="448"/>
      <c r="E40" s="448"/>
      <c r="F40" s="448"/>
      <c r="G40" s="448"/>
      <c r="H40" s="449"/>
      <c r="I40" s="449"/>
      <c r="J40" s="449"/>
      <c r="K40" s="449"/>
      <c r="L40" s="449"/>
      <c r="M40" s="303"/>
      <c r="N40" s="408">
        <v>36</v>
      </c>
      <c r="O40" s="146"/>
      <c r="P40" s="463" t="str">
        <v/>
      </c>
      <c r="Q40" s="464"/>
      <c r="R40" s="462" t="e">
        <v>#VALUE!</v>
      </c>
      <c r="S40" s="147" t="str">
        <v/>
      </c>
      <c r="T40" s="436"/>
    </row>
    <row r="41" spans="1:24" s="278" customFormat="1" x14ac:dyDescent="0.2">
      <c r="A41" s="465" t="str">
        <f t="shared" si="0"/>
        <v/>
      </c>
      <c r="B41" s="468"/>
      <c r="C41" s="451"/>
      <c r="D41" s="452"/>
      <c r="E41" s="452"/>
      <c r="F41" s="452"/>
      <c r="G41" s="452"/>
      <c r="H41" s="452"/>
      <c r="I41" s="452"/>
      <c r="J41" s="452"/>
      <c r="K41" s="452"/>
      <c r="L41" s="452"/>
      <c r="M41" s="303"/>
      <c r="N41" s="408">
        <v>37</v>
      </c>
      <c r="O41" s="146"/>
      <c r="P41" s="463" t="str">
        <v/>
      </c>
      <c r="Q41" s="464"/>
      <c r="R41" s="462" t="e">
        <v>#VALUE!</v>
      </c>
      <c r="S41" s="147" t="str">
        <v/>
      </c>
      <c r="T41" s="436"/>
    </row>
    <row r="42" spans="1:24" s="278" customFormat="1" x14ac:dyDescent="0.2">
      <c r="A42" s="465" t="str">
        <f t="shared" si="0"/>
        <v/>
      </c>
      <c r="B42" s="468"/>
      <c r="C42" s="451"/>
      <c r="D42" s="452"/>
      <c r="E42" s="452"/>
      <c r="F42" s="452"/>
      <c r="G42" s="452"/>
      <c r="H42" s="452"/>
      <c r="I42" s="452"/>
      <c r="J42" s="452"/>
      <c r="K42" s="452"/>
      <c r="L42" s="452"/>
      <c r="M42" s="303"/>
      <c r="N42" s="408">
        <v>38</v>
      </c>
      <c r="O42" s="146"/>
      <c r="P42" s="463" t="str">
        <v/>
      </c>
      <c r="Q42" s="464"/>
      <c r="R42" s="462" t="e">
        <v>#VALUE!</v>
      </c>
      <c r="S42" s="147" t="str">
        <v/>
      </c>
      <c r="T42" s="436"/>
    </row>
    <row r="43" spans="1:24" s="278" customFormat="1" x14ac:dyDescent="0.2">
      <c r="A43" s="465" t="str">
        <f t="shared" si="0"/>
        <v/>
      </c>
      <c r="B43" s="468"/>
      <c r="C43" s="451"/>
      <c r="D43" s="452"/>
      <c r="E43" s="452"/>
      <c r="F43" s="452"/>
      <c r="G43" s="452"/>
      <c r="H43" s="452"/>
      <c r="I43" s="452"/>
      <c r="J43" s="452"/>
      <c r="K43" s="452"/>
      <c r="L43" s="452"/>
      <c r="M43" s="303"/>
      <c r="N43" s="408">
        <v>39</v>
      </c>
      <c r="O43" s="146"/>
      <c r="P43" s="463" t="str">
        <v/>
      </c>
      <c r="Q43" s="464"/>
      <c r="R43" s="462" t="e">
        <v>#VALUE!</v>
      </c>
      <c r="S43" s="147" t="str">
        <v/>
      </c>
      <c r="T43" s="436"/>
    </row>
    <row r="44" spans="1:24" s="278" customFormat="1" x14ac:dyDescent="0.2">
      <c r="A44" s="465" t="str">
        <f t="shared" si="0"/>
        <v/>
      </c>
      <c r="B44" s="468"/>
      <c r="C44" s="451"/>
      <c r="D44" s="452"/>
      <c r="E44" s="452"/>
      <c r="F44" s="452"/>
      <c r="G44" s="452"/>
      <c r="H44" s="452"/>
      <c r="I44" s="452"/>
      <c r="J44" s="452"/>
      <c r="K44" s="452"/>
      <c r="L44" s="452"/>
      <c r="M44" s="303"/>
      <c r="N44" s="408">
        <v>40</v>
      </c>
      <c r="O44" s="146"/>
      <c r="P44" s="463" t="str">
        <v/>
      </c>
      <c r="Q44" s="464"/>
      <c r="R44" s="462"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7"/>
      <c r="T45" s="305"/>
      <c r="X45" s="457"/>
    </row>
    <row r="46" spans="1:24" x14ac:dyDescent="0.2">
      <c r="A46" s="325"/>
      <c r="B46" s="345"/>
      <c r="C46" s="346"/>
      <c r="D46" s="520" t="s">
        <v>33</v>
      </c>
      <c r="E46" s="521"/>
      <c r="F46" s="521"/>
      <c r="G46" s="521"/>
      <c r="H46" s="521"/>
      <c r="I46" s="522"/>
      <c r="J46" s="347"/>
      <c r="K46" s="347"/>
      <c r="L46" s="347"/>
      <c r="M46" s="537" t="s">
        <v>326</v>
      </c>
      <c r="N46" s="538"/>
      <c r="O46" s="539"/>
      <c r="P46" s="540"/>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27" t="s">
        <v>329</v>
      </c>
      <c r="Q47" s="527"/>
      <c r="R47" s="388" t="s">
        <v>330</v>
      </c>
      <c r="T47" s="307"/>
      <c r="U47" s="307"/>
    </row>
    <row r="48" spans="1:24" x14ac:dyDescent="0.2">
      <c r="A48" s="321"/>
      <c r="B48" s="345"/>
      <c r="C48" s="386" t="s">
        <v>34</v>
      </c>
      <c r="D48" s="290"/>
      <c r="E48" s="290"/>
      <c r="F48" s="290"/>
      <c r="G48" s="290"/>
      <c r="H48" s="290"/>
      <c r="I48" s="290"/>
      <c r="J48" s="347"/>
      <c r="K48" s="347"/>
      <c r="L48" s="347"/>
      <c r="M48" s="528" t="s">
        <v>331</v>
      </c>
      <c r="N48" s="528"/>
      <c r="O48" s="349"/>
      <c r="P48" s="487" t="s">
        <v>377</v>
      </c>
      <c r="Q48" s="488"/>
      <c r="R48" s="489"/>
      <c r="S48" s="473" t="b">
        <f>_xlfn.REGEXTEST(TRIM(Class),"^[0-9][AC]",1)</f>
        <v>0</v>
      </c>
      <c r="T48" s="308"/>
      <c r="U48" s="487" t="s">
        <v>380</v>
      </c>
      <c r="V48" s="488"/>
      <c r="W48" s="489"/>
      <c r="X48" s="456"/>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90" t="s">
        <v>382</v>
      </c>
      <c r="Q49" s="491"/>
      <c r="R49" s="492"/>
      <c r="S49" s="389" t="str">
        <f>IF($S$48, IF(L4&lt;=HalfTolMax,"Yes","No"),
"N/A")</f>
        <v>N/A</v>
      </c>
      <c r="T49" s="309"/>
      <c r="U49" s="490" t="s">
        <v>381</v>
      </c>
      <c r="V49" s="491"/>
      <c r="W49" s="492"/>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78" t="s">
        <v>334</v>
      </c>
      <c r="Q50" s="479"/>
      <c r="R50" s="480"/>
      <c r="S50" s="350"/>
      <c r="T50" s="310"/>
      <c r="U50" s="478" t="s">
        <v>334</v>
      </c>
      <c r="V50" s="479"/>
      <c r="W50" s="480"/>
      <c r="X50" s="307"/>
    </row>
    <row r="51" spans="3:24" x14ac:dyDescent="0.2">
      <c r="C51" s="385" t="s">
        <v>57</v>
      </c>
      <c r="D51" s="290"/>
      <c r="E51" s="290"/>
      <c r="F51" s="290"/>
      <c r="G51" s="290"/>
      <c r="H51" s="290"/>
      <c r="I51" s="290"/>
      <c r="J51" s="347"/>
      <c r="K51" s="351"/>
      <c r="L51" s="347"/>
      <c r="M51" s="372" t="s">
        <v>335</v>
      </c>
      <c r="N51" s="300" t="str">
        <f>IF(Derivative="","",Derivative)</f>
        <v/>
      </c>
      <c r="O51" s="303"/>
      <c r="P51" s="490" t="s">
        <v>378</v>
      </c>
      <c r="Q51" s="491"/>
      <c r="R51" s="492"/>
      <c r="S51" s="389"/>
      <c r="T51" s="311"/>
      <c r="U51" s="490" t="s">
        <v>383</v>
      </c>
      <c r="V51" s="491"/>
      <c r="W51" s="492"/>
      <c r="X51" s="389"/>
    </row>
    <row r="52" spans="3:24" x14ac:dyDescent="0.2">
      <c r="C52" s="385" t="s">
        <v>341</v>
      </c>
      <c r="D52" s="290"/>
      <c r="E52" s="290"/>
      <c r="F52" s="290"/>
      <c r="G52" s="290"/>
      <c r="H52" s="290"/>
      <c r="I52" s="290"/>
      <c r="J52" s="347"/>
      <c r="K52" s="351"/>
      <c r="L52" s="347"/>
      <c r="M52" s="372" t="s">
        <v>336</v>
      </c>
      <c r="N52" s="300" t="str">
        <f>IF(Other1="","",Other1)</f>
        <v/>
      </c>
      <c r="O52" s="317"/>
      <c r="P52" s="478" t="s">
        <v>334</v>
      </c>
      <c r="Q52" s="479"/>
      <c r="R52" s="480"/>
      <c r="S52" s="350"/>
      <c r="T52" s="312"/>
      <c r="U52" s="478" t="s">
        <v>334</v>
      </c>
      <c r="V52" s="479"/>
      <c r="W52" s="480"/>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481" t="s">
        <v>379</v>
      </c>
      <c r="Q53" s="482"/>
      <c r="R53" s="483"/>
      <c r="S53" s="389"/>
      <c r="T53" s="313"/>
      <c r="U53" s="481" t="s">
        <v>384</v>
      </c>
      <c r="V53" s="482"/>
      <c r="W53" s="483"/>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484"/>
      <c r="Q54" s="485"/>
      <c r="R54" s="486"/>
      <c r="S54" s="354"/>
      <c r="T54" s="314"/>
      <c r="U54" s="484"/>
      <c r="V54" s="485"/>
      <c r="W54" s="486"/>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IF($S$48, _xlfn.TEXTJOIN(", ",TRUE, _xlfn.UNIQUE(TEXT(Alerts[High],"h:mm am/pm"))), "")</f>
        <v/>
      </c>
      <c r="R56" s="392"/>
      <c r="S56" s="358"/>
      <c r="T56" s="316"/>
      <c r="U56" s="393" t="str">
        <f>IF($S$48, MIN(Survey[RawTemp]), "")</f>
        <v/>
      </c>
      <c r="V56" s="391" t="str" cm="1">
        <f t="array" ref="V56">IF($S$48, _xlfn.TEXTJOIN(", ",TRUE, _xlfn.UNIQUE(TEXT(Alerts[Low],"h:mm am/pm"))), "")</f>
        <v/>
      </c>
      <c r="W56" s="390"/>
    </row>
    <row r="57" spans="3:24" x14ac:dyDescent="0.2">
      <c r="C57" s="240" t="s">
        <v>342</v>
      </c>
      <c r="D57" s="291"/>
      <c r="E57" s="291"/>
      <c r="F57" s="291"/>
      <c r="G57" s="291"/>
      <c r="H57" s="291"/>
      <c r="I57" s="291"/>
      <c r="J57" s="303"/>
      <c r="K57" s="382"/>
      <c r="L57" s="383"/>
      <c r="M57" s="384" t="s">
        <v>366</v>
      </c>
      <c r="N57" s="299">
        <v>0</v>
      </c>
      <c r="O57" s="305"/>
      <c r="P57" s="303"/>
      <c r="Q57" s="458"/>
      <c r="S57" s="303"/>
      <c r="V57" s="458"/>
    </row>
    <row r="58" spans="3:24" x14ac:dyDescent="0.2">
      <c r="C58" s="520" t="s">
        <v>156</v>
      </c>
      <c r="D58" s="521"/>
      <c r="E58" s="521"/>
      <c r="F58" s="521"/>
      <c r="G58" s="521"/>
      <c r="H58" s="521"/>
      <c r="I58" s="521"/>
      <c r="J58" s="521"/>
      <c r="K58" s="525"/>
      <c r="L58" s="526"/>
      <c r="M58" s="307"/>
      <c r="N58" s="307"/>
      <c r="O58" s="307"/>
      <c r="P58" s="303"/>
      <c r="Q58" s="460"/>
      <c r="S58" s="307"/>
      <c r="T58" s="307"/>
      <c r="U58" s="307"/>
      <c r="V58" s="458"/>
    </row>
    <row r="59" spans="3:24" x14ac:dyDescent="0.2">
      <c r="C59" s="520" t="s">
        <v>159</v>
      </c>
      <c r="D59" s="521"/>
      <c r="E59" s="521"/>
      <c r="F59" s="521"/>
      <c r="G59" s="521"/>
      <c r="H59" s="521"/>
      <c r="I59" s="521"/>
      <c r="J59" s="521"/>
      <c r="K59" s="521"/>
      <c r="L59" s="522"/>
      <c r="M59" s="307"/>
      <c r="N59" s="317" t="str">
        <f>"DOORS OPENED FOR " &amp;L16&amp; " SECONDS TO SIMULATE LOAD ENTRY AT " &amp;L17&amp; "."</f>
        <v>DOORS OPENED FOR  SECONDS TO SIMULATE LOAD ENTRY AT .</v>
      </c>
      <c r="O59" s="317"/>
      <c r="P59" s="317"/>
      <c r="Q59" s="459"/>
      <c r="R59" s="317"/>
      <c r="S59" s="317"/>
      <c r="T59" s="317"/>
      <c r="U59" s="317"/>
      <c r="V59" s="459"/>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59"/>
      <c r="R60" s="317"/>
      <c r="S60" s="317"/>
      <c r="T60" s="317"/>
      <c r="U60" s="317"/>
      <c r="V60" s="459"/>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59"/>
      <c r="R61" s="317"/>
      <c r="S61" s="317"/>
      <c r="T61" s="317"/>
      <c r="U61" s="317"/>
      <c r="V61" s="459"/>
    </row>
    <row r="62" spans="3:24" x14ac:dyDescent="0.2">
      <c r="C62" s="319"/>
      <c r="D62" s="303"/>
      <c r="E62" s="303"/>
      <c r="F62" s="307" t="s">
        <v>361</v>
      </c>
      <c r="G62" s="341"/>
      <c r="H62" s="341"/>
      <c r="I62" s="341"/>
      <c r="J62" s="303"/>
      <c r="K62" s="303"/>
      <c r="L62" s="303"/>
      <c r="M62" s="361"/>
      <c r="N62" s="360"/>
      <c r="O62" s="360"/>
      <c r="P62" s="317"/>
      <c r="Q62" s="459"/>
      <c r="R62" s="317"/>
      <c r="S62" s="317"/>
      <c r="T62" s="317"/>
      <c r="U62" s="317"/>
      <c r="V62" s="459"/>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row>
  </sheetData>
  <sheetProtection algorithmName="SHA-512" hashValue="iJosgYoqG0LdAuifVAOtmGbn/4heaqwANzbpcY4vizJeqd1Z0yKuDNqAZglAQR6FSY5XCwRfkle31V6ANnDHKQ==" saltValue="+uxxLLdDCP7iW9WrMR/dpw=="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AllDaqbookOffsets!$Z:$Z</xm:f>
          </x14:formula1>
          <xm:sqref>O5:O44</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xdBgw+M7MElLDqoLXVq6DDj5/Tss994vbDssYp+MBjBd68U6iY0oXjurdRLiUVFRyDmnmUAGtJgXxFw9UHYM9w==" saltValue="T7HRPpoD/VtwBY5MSesXQg=="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dLq4Q3awGIGrh7t0EAoFCIiwTG1718fn9cHyF9R4TkoJ5CxoVtUcqmcvUa3W3PagyBPX9/qZVcZ8yiENlQW2wQ==" saltValue="s5tsau+8tyv4zf87aUfxy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qAdQLEZm+IaMaww0HFL83qgnFeq4Kj/GuVH02TY7ijCsl9nZ1T4/anLIPled3frQYi5kQvwCG6fbMqC0CjutQ==" saltValue="W0EkgNW9TW1Lv2iyUdc5/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1" t="s">
        <v>116</v>
      </c>
      <c r="E1" s="561"/>
      <c r="F1" s="561"/>
      <c r="G1" s="561"/>
      <c r="H1" s="561"/>
      <c r="I1" s="561"/>
      <c r="J1" s="561"/>
      <c r="K1" s="561"/>
      <c r="L1" s="561"/>
      <c r="M1" s="561"/>
    </row>
    <row r="2" spans="1:18" ht="23.25" customHeight="1" x14ac:dyDescent="0.3">
      <c r="C2" s="230"/>
      <c r="D2" s="230" t="s">
        <v>319</v>
      </c>
      <c r="E2" s="230"/>
      <c r="F2" s="230"/>
      <c r="G2" s="230"/>
      <c r="H2" s="230"/>
      <c r="I2" s="230"/>
      <c r="J2" s="230"/>
      <c r="K2" s="230"/>
      <c r="L2" s="230"/>
      <c r="M2" s="230"/>
    </row>
    <row r="3" spans="1:18" ht="23.25" x14ac:dyDescent="0.35">
      <c r="C3" s="562"/>
      <c r="D3" s="562"/>
      <c r="E3" s="562"/>
      <c r="F3" s="562"/>
      <c r="G3" s="562"/>
      <c r="H3" s="562"/>
      <c r="I3" s="562"/>
      <c r="J3" s="562"/>
      <c r="K3" s="562"/>
      <c r="L3" s="562"/>
      <c r="M3" s="562"/>
    </row>
    <row r="4" spans="1:18" ht="23.25" x14ac:dyDescent="0.35">
      <c r="C4" s="214"/>
      <c r="D4" s="214"/>
      <c r="E4" s="214"/>
      <c r="F4" s="214"/>
      <c r="G4" s="214"/>
      <c r="H4" s="214"/>
      <c r="I4" s="214"/>
      <c r="J4" s="214"/>
      <c r="K4" s="214"/>
      <c r="L4" s="214"/>
      <c r="M4" s="214"/>
    </row>
    <row r="5" spans="1:18" ht="23.25" x14ac:dyDescent="0.35">
      <c r="C5" s="579" t="s">
        <v>6</v>
      </c>
      <c r="D5" s="579"/>
      <c r="E5" s="579"/>
      <c r="F5" s="579"/>
      <c r="G5" s="579"/>
      <c r="H5" s="579"/>
      <c r="I5" s="579"/>
      <c r="J5" s="579"/>
      <c r="K5" s="579"/>
      <c r="L5" s="579"/>
      <c r="M5" s="579"/>
    </row>
    <row r="6" spans="1:18" ht="23.25" x14ac:dyDescent="0.35">
      <c r="C6" s="215"/>
      <c r="D6" s="215"/>
      <c r="E6" s="545" t="str">
        <f>IFERROR(CONCATENATE("Report Number: ", WorkItemNumber),"")</f>
        <v/>
      </c>
      <c r="F6" s="545"/>
      <c r="G6" s="545"/>
      <c r="H6" s="545"/>
      <c r="I6" s="545"/>
      <c r="J6" s="545"/>
      <c r="K6" s="545"/>
      <c r="L6" s="215"/>
      <c r="M6" s="215"/>
    </row>
    <row r="7" spans="1:18" ht="18.75" customHeight="1" x14ac:dyDescent="0.3">
      <c r="G7" s="557"/>
      <c r="H7" s="557"/>
      <c r="I7" s="192"/>
      <c r="R7" t="str">
        <f>CONCATENATE("Page ",Main!L9," of ",Main!L10)</f>
        <v xml:space="preserve">Page  of </v>
      </c>
    </row>
    <row r="8" spans="1:18" ht="18" customHeight="1" x14ac:dyDescent="0.25">
      <c r="G8" s="574"/>
      <c r="H8" s="574"/>
      <c r="J8" s="79"/>
      <c r="K8" s="216" t="s">
        <v>316</v>
      </c>
      <c r="L8" s="558">
        <f>FormNumber</f>
        <v>0</v>
      </c>
      <c r="M8" s="558"/>
      <c r="N8" s="558"/>
      <c r="O8" s="558"/>
    </row>
    <row r="9" spans="1:18" ht="18" customHeight="1" x14ac:dyDescent="0.25">
      <c r="A9" s="216" t="s">
        <v>273</v>
      </c>
      <c r="B9" s="33" t="e">
        <f>Main!D5</f>
        <v>#N/A</v>
      </c>
      <c r="J9" s="79"/>
      <c r="K9" s="216" t="s">
        <v>317</v>
      </c>
      <c r="L9" s="559" t="str">
        <f>"JGI WP4100, "&amp;CalMethod</f>
        <v xml:space="preserve">JGI WP4100, </v>
      </c>
      <c r="M9" s="559"/>
      <c r="N9" s="559"/>
      <c r="O9" s="559"/>
    </row>
    <row r="10" spans="1:18" ht="18" customHeight="1" x14ac:dyDescent="0.25">
      <c r="A10" s="87"/>
      <c r="B10" s="211" t="str" cm="1">
        <f t="array" ref="B10">IFZERO('Customer Table'!R2,"")</f>
        <v/>
      </c>
      <c r="J10" s="79"/>
      <c r="K10" s="216"/>
      <c r="L10" s="559"/>
      <c r="M10" s="559"/>
      <c r="N10" s="559"/>
      <c r="O10" s="559"/>
    </row>
    <row r="11" spans="1:18" ht="18" customHeight="1" x14ac:dyDescent="0.25">
      <c r="A11" s="87"/>
      <c r="B11" s="211" t="str" cm="1">
        <f t="array" ref="B11">IFZERO('Customer Table'!S2,"")</f>
        <v/>
      </c>
      <c r="J11" s="79"/>
      <c r="K11" s="216" t="s">
        <v>318</v>
      </c>
      <c r="L11" s="558">
        <f>TolSource</f>
        <v>0</v>
      </c>
      <c r="M11" s="558"/>
      <c r="N11" s="558"/>
      <c r="O11" s="558"/>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5">
        <f>Class</f>
        <v>0</v>
      </c>
      <c r="C18" s="565"/>
      <c r="D18" s="565"/>
      <c r="E18" s="565"/>
      <c r="G18" s="216" t="s">
        <v>283</v>
      </c>
      <c r="H18" s="220">
        <f>CubicFeet</f>
        <v>0</v>
      </c>
      <c r="M18" s="216" t="s">
        <v>287</v>
      </c>
      <c r="N18" s="220" t="str">
        <f>Main!G18</f>
        <v>ACCEPTED</v>
      </c>
      <c r="O18" s="195"/>
    </row>
    <row r="19" spans="1:19" ht="18" customHeight="1" x14ac:dyDescent="0.25">
      <c r="A19" s="206"/>
      <c r="B19" s="566"/>
      <c r="C19" s="566"/>
      <c r="D19" s="566"/>
      <c r="E19" s="56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5" t="s">
        <v>301</v>
      </c>
      <c r="D27" s="575"/>
      <c r="E27" s="575"/>
      <c r="F27" s="575"/>
      <c r="G27" s="575"/>
      <c r="H27" s="575"/>
      <c r="I27" s="575"/>
      <c r="J27" s="575"/>
      <c r="K27" s="575"/>
      <c r="L27" s="575"/>
      <c r="M27" s="575"/>
      <c r="N27" s="196"/>
      <c r="O27" s="197"/>
    </row>
    <row r="28" spans="1:19" ht="8.1" customHeight="1" x14ac:dyDescent="0.2"/>
    <row r="29" spans="1:19" ht="18" customHeight="1" x14ac:dyDescent="0.2">
      <c r="A29" s="571" t="s">
        <v>271</v>
      </c>
      <c r="B29" s="572"/>
      <c r="C29" s="573"/>
      <c r="D29" s="571" t="s">
        <v>302</v>
      </c>
      <c r="E29" s="572"/>
      <c r="F29" s="572"/>
      <c r="G29" s="573"/>
      <c r="H29" s="571" t="s">
        <v>272</v>
      </c>
      <c r="I29" s="572"/>
      <c r="J29" s="572"/>
      <c r="K29" s="573"/>
      <c r="L29" s="571" t="s">
        <v>255</v>
      </c>
      <c r="M29" s="572"/>
      <c r="N29" s="572"/>
      <c r="O29" s="573"/>
    </row>
    <row r="30" spans="1:19" ht="18" customHeight="1" x14ac:dyDescent="0.2">
      <c r="A30" s="212"/>
      <c r="B30" s="202" t="s">
        <v>952</v>
      </c>
      <c r="C30" s="213"/>
      <c r="D30" s="568" t="str">
        <f>CONCATENATE(Main!D22,Unit," / ",Main!D23,"% RH")</f>
        <v>°F / % RH</v>
      </c>
      <c r="E30" s="569"/>
      <c r="F30" s="569"/>
      <c r="G30" s="570"/>
      <c r="H30" s="568">
        <f>OvenLocation</f>
        <v>0</v>
      </c>
      <c r="I30" s="569"/>
      <c r="J30" s="569"/>
      <c r="K30" s="570"/>
      <c r="L30" s="568">
        <f>Condition</f>
        <v>0</v>
      </c>
      <c r="M30" s="569"/>
      <c r="N30" s="569"/>
      <c r="O30" s="570"/>
    </row>
    <row r="31" spans="1:19" ht="18" customHeight="1" x14ac:dyDescent="0.2"/>
    <row r="32" spans="1:19" ht="18" customHeight="1" x14ac:dyDescent="0.25">
      <c r="A32" s="235" t="s">
        <v>303</v>
      </c>
      <c r="B32" s="560" t="s">
        <v>304</v>
      </c>
      <c r="C32" s="560"/>
      <c r="D32" s="235" t="s">
        <v>267</v>
      </c>
      <c r="E32" s="235" t="s">
        <v>266</v>
      </c>
      <c r="F32" s="235" t="s">
        <v>305</v>
      </c>
      <c r="G32" s="79"/>
      <c r="H32" s="79"/>
      <c r="I32" s="235" t="s">
        <v>303</v>
      </c>
      <c r="J32" s="560" t="s">
        <v>304</v>
      </c>
      <c r="K32" s="560"/>
      <c r="L32" s="235" t="s">
        <v>267</v>
      </c>
      <c r="M32" s="235" t="s">
        <v>266</v>
      </c>
      <c r="N32" s="235" t="s">
        <v>305</v>
      </c>
    </row>
    <row r="33" spans="1:14" ht="18" customHeight="1" x14ac:dyDescent="0.2">
      <c r="A33" s="236" t="str">
        <f>IF(B33="","",1)</f>
        <v/>
      </c>
      <c r="B33" s="557" t="str">
        <f>IF(Main!O5="","",Main!O5)</f>
        <v/>
      </c>
      <c r="C33" s="55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57" t="str">
        <f>IF(Main!O25="","",Main!O25)</f>
        <v/>
      </c>
      <c r="K33" s="55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57" t="str">
        <f>IF(Main!O6="","",Main!O6)</f>
        <v/>
      </c>
      <c r="C34" s="55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57" t="str">
        <f>IF(Main!O26="","",Main!O26)</f>
        <v/>
      </c>
      <c r="K34" s="55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57" t="str">
        <f>IF(Main!O7="","",Main!O7)</f>
        <v/>
      </c>
      <c r="C35" s="55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57" t="str">
        <f>IF(Main!O27="","",Main!O27)</f>
        <v/>
      </c>
      <c r="K35" s="55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57" t="str">
        <f>IF(Main!O8="","",Main!O8)</f>
        <v/>
      </c>
      <c r="C36" s="55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57" t="str">
        <f>IF(Main!O28="","",Main!O28)</f>
        <v/>
      </c>
      <c r="K36" s="55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57" t="str">
        <f>IF(Main!O9="","",Main!O9)</f>
        <v/>
      </c>
      <c r="C37" s="55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57" t="str">
        <f>IF(Main!O29="","",Main!O29)</f>
        <v/>
      </c>
      <c r="K37" s="55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57" t="str">
        <f>IF(Main!O10="","",Main!O10)</f>
        <v/>
      </c>
      <c r="C38" s="55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57" t="str">
        <f>IF(Main!O30="","",Main!O30)</f>
        <v/>
      </c>
      <c r="K38" s="55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57" t="str">
        <f>IF(Main!O11="","",Main!O11)</f>
        <v/>
      </c>
      <c r="C39" s="55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57" t="str">
        <f>IF(Main!O31="","",Main!O31)</f>
        <v/>
      </c>
      <c r="K39" s="55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57" t="str">
        <f>IF(Main!O12="","",Main!O12)</f>
        <v/>
      </c>
      <c r="C40" s="55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57" t="str">
        <f>IF(Main!O32="","",Main!O32)</f>
        <v/>
      </c>
      <c r="K40" s="55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57" t="str">
        <f>IF(Main!O13="","",Main!O13)</f>
        <v/>
      </c>
      <c r="C41" s="55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57" t="str">
        <f>IF(Main!O33="","",Main!O33)</f>
        <v/>
      </c>
      <c r="K41" s="55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57" t="str">
        <f>IF(Main!O14="","",Main!O14)</f>
        <v/>
      </c>
      <c r="C42" s="55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57" t="str">
        <f>IF(Main!O34="","",Main!O34)</f>
        <v/>
      </c>
      <c r="K42" s="55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57" t="str">
        <f>IF(Main!O15="","",Main!O15)</f>
        <v/>
      </c>
      <c r="C43" s="55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57" t="str">
        <f>IF(Main!O35="","",Main!O35)</f>
        <v/>
      </c>
      <c r="K43" s="55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57" t="str">
        <f>IF(Main!O16="","",Main!O16)</f>
        <v/>
      </c>
      <c r="C44" s="55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57" t="str">
        <f>IF(Main!O36="","",Main!O36)</f>
        <v/>
      </c>
      <c r="K44" s="55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57" t="str">
        <f>IF(Main!O17="","",Main!O17)</f>
        <v/>
      </c>
      <c r="C45" s="55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57" t="str">
        <f>IF(Main!O37="","",Main!O37)</f>
        <v/>
      </c>
      <c r="K45" s="55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57" t="str">
        <f>IF(Main!O18="","",Main!O18)</f>
        <v/>
      </c>
      <c r="C46" s="55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57" t="str">
        <f>IF(Main!O38="","",Main!O38)</f>
        <v/>
      </c>
      <c r="K46" s="55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57" t="str">
        <f>IF(Main!O19="","",Main!O19)</f>
        <v/>
      </c>
      <c r="C47" s="55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57" t="str">
        <f>IF(Main!O39="","",Main!O39)</f>
        <v/>
      </c>
      <c r="K47" s="55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57" t="str">
        <f>IF(Main!O20="","",Main!O20)</f>
        <v/>
      </c>
      <c r="C48" s="55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57" t="str">
        <f>IF(Main!O40="","",Main!O40)</f>
        <v/>
      </c>
      <c r="K48" s="55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57" t="str">
        <f>IF(Main!O21="","",Main!O21)</f>
        <v/>
      </c>
      <c r="C49" s="55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57" t="str">
        <f>IF(Main!O41="","",Main!O41)</f>
        <v/>
      </c>
      <c r="K49" s="55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57" t="str">
        <f>IF(Main!O22="","",Main!O22)</f>
        <v/>
      </c>
      <c r="C50" s="55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57" t="str">
        <f>IF(Main!O42="","",Main!O42)</f>
        <v/>
      </c>
      <c r="K50" s="55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57" t="str">
        <f>IF(Main!O23="","",Main!O23)</f>
        <v/>
      </c>
      <c r="C51" s="55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57" t="str">
        <f>IF(Main!O43="","",Main!O43)</f>
        <v/>
      </c>
      <c r="K51" s="55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57" t="str">
        <f>IF(Main!O24="","",Main!O24)</f>
        <v/>
      </c>
      <c r="C52" s="55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57" t="str">
        <f>IF(Main!O44="","",Main!O44)</f>
        <v/>
      </c>
      <c r="K52" s="55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4" t="s">
        <v>306</v>
      </c>
      <c r="C53" s="564"/>
      <c r="D53" s="564"/>
      <c r="E53" s="564"/>
      <c r="F53" s="564"/>
      <c r="G53" s="564"/>
      <c r="H53" s="564"/>
      <c r="I53" s="564"/>
      <c r="J53" s="564"/>
      <c r="K53" s="564"/>
      <c r="L53" s="564"/>
      <c r="M53" s="564"/>
      <c r="N53" s="564"/>
    </row>
    <row r="54" spans="1:21" ht="18" customHeight="1" x14ac:dyDescent="0.25">
      <c r="A54" s="238" t="s">
        <v>307</v>
      </c>
      <c r="B54" s="559" t="str">
        <f>CONCATENATE(Main!G23,"  ",FurnaceSpecificComments,Main!V24)</f>
        <v xml:space="preserve">Found in tolerance.  No adjustment required.  </v>
      </c>
      <c r="C54" s="559"/>
      <c r="D54" s="559"/>
      <c r="E54" s="559"/>
      <c r="F54" s="559"/>
      <c r="G54" s="559"/>
      <c r="H54" s="559"/>
      <c r="I54" s="559"/>
      <c r="J54" s="559"/>
      <c r="K54" s="559"/>
      <c r="L54" s="559"/>
      <c r="M54" s="559"/>
      <c r="N54" s="559"/>
      <c r="O54" s="559"/>
    </row>
    <row r="55" spans="1:21" ht="18" customHeight="1" x14ac:dyDescent="0.25">
      <c r="A55" s="76"/>
      <c r="B55" s="559"/>
      <c r="C55" s="559"/>
      <c r="D55" s="559"/>
      <c r="E55" s="559"/>
      <c r="F55" s="559"/>
      <c r="G55" s="559"/>
      <c r="H55" s="559"/>
      <c r="I55" s="559"/>
      <c r="J55" s="559"/>
      <c r="K55" s="559"/>
      <c r="L55" s="559"/>
      <c r="M55" s="559"/>
      <c r="N55" s="559"/>
      <c r="O55" s="559"/>
    </row>
    <row r="56" spans="1:21" ht="18" customHeight="1" x14ac:dyDescent="0.25">
      <c r="A56" s="76"/>
      <c r="B56" s="559"/>
      <c r="C56" s="559"/>
      <c r="D56" s="559"/>
      <c r="E56" s="559"/>
      <c r="F56" s="559"/>
      <c r="G56" s="559"/>
      <c r="H56" s="559"/>
      <c r="I56" s="559"/>
      <c r="J56" s="559"/>
      <c r="K56" s="559"/>
      <c r="L56" s="559"/>
      <c r="M56" s="559"/>
      <c r="N56" s="559"/>
      <c r="O56" s="559"/>
    </row>
    <row r="57" spans="1:21" ht="18" customHeight="1" x14ac:dyDescent="0.25">
      <c r="A57" s="76"/>
      <c r="B57" s="559"/>
      <c r="C57" s="559"/>
      <c r="D57" s="559"/>
      <c r="E57" s="559"/>
      <c r="F57" s="559"/>
      <c r="G57" s="559"/>
      <c r="H57" s="559"/>
      <c r="I57" s="559"/>
      <c r="J57" s="559"/>
      <c r="K57" s="559"/>
      <c r="L57" s="559"/>
      <c r="M57" s="559"/>
      <c r="N57" s="559"/>
      <c r="O57" s="559"/>
    </row>
    <row r="58" spans="1:21" ht="18" customHeight="1" x14ac:dyDescent="0.25">
      <c r="A58" s="76"/>
      <c r="B58" s="559"/>
      <c r="C58" s="559"/>
      <c r="D58" s="559"/>
      <c r="E58" s="559"/>
      <c r="F58" s="559"/>
      <c r="G58" s="559"/>
      <c r="H58" s="559"/>
      <c r="I58" s="559"/>
      <c r="J58" s="559"/>
      <c r="K58" s="559"/>
      <c r="L58" s="559"/>
      <c r="M58" s="559"/>
      <c r="N58" s="559"/>
      <c r="O58" s="559"/>
    </row>
    <row r="59" spans="1:21" ht="18" customHeight="1" x14ac:dyDescent="0.25">
      <c r="A59" s="76"/>
      <c r="B59" s="559"/>
      <c r="C59" s="559"/>
      <c r="D59" s="559"/>
      <c r="E59" s="559"/>
      <c r="F59" s="559"/>
      <c r="G59" s="559"/>
      <c r="H59" s="559"/>
      <c r="I59" s="559"/>
      <c r="J59" s="559"/>
      <c r="K59" s="559"/>
      <c r="L59" s="559"/>
      <c r="M59" s="559"/>
      <c r="N59" s="559"/>
      <c r="O59" s="559"/>
    </row>
    <row r="60" spans="1:21" ht="18" customHeight="1" x14ac:dyDescent="0.2">
      <c r="A60" s="563" t="s">
        <v>315</v>
      </c>
      <c r="B60" s="563"/>
      <c r="C60" s="563"/>
      <c r="D60" s="563"/>
      <c r="E60" s="563"/>
      <c r="F60" s="563"/>
      <c r="G60" s="563"/>
      <c r="H60" s="563"/>
      <c r="I60" s="563"/>
      <c r="J60" s="563"/>
      <c r="K60" s="563"/>
      <c r="L60" s="563"/>
      <c r="M60" s="563"/>
      <c r="N60" s="563"/>
      <c r="O60" s="563"/>
    </row>
    <row r="61" spans="1:21" ht="18" customHeight="1" x14ac:dyDescent="0.2">
      <c r="A61" s="567" t="s">
        <v>308</v>
      </c>
      <c r="B61" s="567"/>
      <c r="C61" s="567"/>
      <c r="D61" s="567"/>
      <c r="E61" s="567"/>
      <c r="F61" s="556" t="s">
        <v>309</v>
      </c>
      <c r="G61" s="556"/>
      <c r="H61" s="556"/>
      <c r="I61" s="556" t="s">
        <v>310</v>
      </c>
      <c r="J61" s="556"/>
      <c r="K61" s="556" t="s">
        <v>311</v>
      </c>
      <c r="L61" s="556"/>
      <c r="M61" s="556" t="s">
        <v>312</v>
      </c>
      <c r="N61" s="556"/>
      <c r="O61" s="556"/>
      <c r="R61" s="37" t="s">
        <v>852</v>
      </c>
      <c r="T61" s="37" t="s">
        <v>853</v>
      </c>
      <c r="U61" s="37" t="s">
        <v>68</v>
      </c>
    </row>
    <row r="62" spans="1:21" ht="18" customHeight="1" x14ac:dyDescent="0.2">
      <c r="A62" s="546" t="str">
        <f>IF(F62="","",CONCATENATE(T62," - ",R62))</f>
        <v/>
      </c>
      <c r="B62" s="547"/>
      <c r="C62" s="547"/>
      <c r="D62" s="547"/>
      <c r="E62" s="548"/>
      <c r="F62" s="546" t="str" cm="1">
        <f t="array" ref="F62">IFERROR(
  _xlfn.XLOOKUP(
    Main!D9,
    _xlfn._xlws.FILTER(AssetPool[AssetTag], AssetPool[RootCategoryName]= "DAQ Modules"),
    _xlfn._xlws.FILTER(AssetPool[SerialNumber], AssetPool[RootCategoryName]= "DAQ Modules")
  ),
  ""
)</f>
        <v/>
      </c>
      <c r="G62" s="547"/>
      <c r="H62" s="548"/>
      <c r="I62" s="552" t="str">
        <f>IF(F62="","",Main!D12)</f>
        <v/>
      </c>
      <c r="J62" s="553"/>
      <c r="K62" s="552" t="str">
        <f>IF(F62="","",Main!D13)</f>
        <v/>
      </c>
      <c r="L62" s="553"/>
      <c r="M62" s="580" t="str">
        <f>IF(F62="","",Main!D14)</f>
        <v/>
      </c>
      <c r="N62" s="581"/>
      <c r="O62" s="582"/>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54" t="str">
        <f>IF(Q63="","",Main!D49)</f>
        <v/>
      </c>
      <c r="J63" s="555"/>
      <c r="K63" s="554" t="str">
        <f>IF(Q63="","",Main!D50)</f>
        <v/>
      </c>
      <c r="L63" s="555"/>
      <c r="M63" s="549" t="str">
        <f>IF(Q63="","",Main!D54)</f>
        <v/>
      </c>
      <c r="N63" s="550"/>
      <c r="O63" s="551"/>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54" t="str">
        <f>IF(Q64="","",Main!E49)</f>
        <v/>
      </c>
      <c r="J64" s="555"/>
      <c r="K64" s="554" t="str">
        <f>IF(Q64="","",Main!E50)</f>
        <v/>
      </c>
      <c r="L64" s="555"/>
      <c r="M64" s="549" t="str">
        <f>IF(Q64="","",Main!E54)</f>
        <v/>
      </c>
      <c r="N64" s="550"/>
      <c r="O64" s="551"/>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54" t="str">
        <f>IF(Q65="","",Main!F49)</f>
        <v/>
      </c>
      <c r="J65" s="555"/>
      <c r="K65" s="554" t="str">
        <f>IF(Q65="","",Main!F50)</f>
        <v/>
      </c>
      <c r="L65" s="555"/>
      <c r="M65" s="549" t="str">
        <f>IF(Q65="","",Main!F54)</f>
        <v/>
      </c>
      <c r="N65" s="550"/>
      <c r="O65" s="551"/>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54" t="str">
        <f>IF(Q66="","",Main!G49)</f>
        <v/>
      </c>
      <c r="J66" s="555"/>
      <c r="K66" s="554" t="str">
        <f>IF(Q66="","",Main!G50)</f>
        <v/>
      </c>
      <c r="L66" s="555"/>
      <c r="M66" s="549" t="str">
        <f>IF(Q66="","",Main!G54)</f>
        <v/>
      </c>
      <c r="N66" s="550"/>
      <c r="O66" s="551"/>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54" t="str">
        <f>IF(Q67="","",Main!H49)</f>
        <v/>
      </c>
      <c r="J67" s="555"/>
      <c r="K67" s="554" t="str">
        <f>IF(Q67="","",Main!H50)</f>
        <v/>
      </c>
      <c r="L67" s="555"/>
      <c r="M67" s="549" t="str">
        <f>IF(Q67="","",Main!H54)</f>
        <v/>
      </c>
      <c r="N67" s="550"/>
      <c r="O67" s="551"/>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54" t="str">
        <f>IF(Q68="","",Main!I49)</f>
        <v/>
      </c>
      <c r="J68" s="555"/>
      <c r="K68" s="554" t="str">
        <f>IF(Q68="","",Main!I50)</f>
        <v/>
      </c>
      <c r="L68" s="555"/>
      <c r="M68" s="549" t="str">
        <f>IF(Q68="","",Main!I54)</f>
        <v/>
      </c>
      <c r="N68" s="550"/>
      <c r="O68" s="551"/>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68" t="str">
        <f>IF(Main!J48="","",Main!J48)</f>
        <v/>
      </c>
      <c r="G69" s="569"/>
      <c r="H69" s="570"/>
      <c r="I69" s="583" t="str">
        <f>IF(Q69="","",Main!J49)</f>
        <v/>
      </c>
      <c r="J69" s="584"/>
      <c r="K69" s="583" t="str">
        <f>IF(Q69="","",Main!J50)</f>
        <v/>
      </c>
      <c r="L69" s="584"/>
      <c r="M69" s="568" t="str">
        <f>IF(Q69="","",Main!J54)</f>
        <v/>
      </c>
      <c r="N69" s="569"/>
      <c r="O69" s="570"/>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44" t="s">
        <v>956</v>
      </c>
      <c r="B71" s="544"/>
      <c r="C71" s="544"/>
      <c r="D71" s="544"/>
      <c r="E71" s="544"/>
      <c r="F71" s="544"/>
      <c r="G71" s="544"/>
      <c r="H71" s="544"/>
      <c r="I71" s="544"/>
      <c r="J71" s="544"/>
      <c r="K71" s="544"/>
      <c r="L71" s="544"/>
      <c r="M71" s="544"/>
      <c r="N71" s="544"/>
      <c r="O71" s="544"/>
    </row>
    <row r="72" spans="1:21" ht="18" customHeight="1" x14ac:dyDescent="0.2">
      <c r="A72" s="544"/>
      <c r="B72" s="544"/>
      <c r="C72" s="544"/>
      <c r="D72" s="544"/>
      <c r="E72" s="544"/>
      <c r="F72" s="544"/>
      <c r="G72" s="544"/>
      <c r="H72" s="544"/>
      <c r="I72" s="544"/>
      <c r="J72" s="544"/>
      <c r="K72" s="544"/>
      <c r="L72" s="544"/>
      <c r="M72" s="544"/>
      <c r="N72" s="544"/>
      <c r="O72" s="544"/>
    </row>
    <row r="73" spans="1:21" ht="18" customHeight="1" x14ac:dyDescent="0.2">
      <c r="A73" s="544"/>
      <c r="B73" s="544"/>
      <c r="C73" s="544"/>
      <c r="D73" s="544"/>
      <c r="E73" s="544"/>
      <c r="F73" s="544"/>
      <c r="G73" s="544"/>
      <c r="H73" s="544"/>
      <c r="I73" s="544"/>
      <c r="J73" s="544"/>
      <c r="K73" s="544"/>
      <c r="L73" s="544"/>
      <c r="M73" s="544"/>
      <c r="N73" s="544"/>
      <c r="O73" s="544"/>
    </row>
    <row r="74" spans="1:21" ht="18" customHeight="1" x14ac:dyDescent="0.2">
      <c r="A74" s="544"/>
      <c r="B74" s="544"/>
      <c r="C74" s="544"/>
      <c r="D74" s="544"/>
      <c r="E74" s="544"/>
      <c r="F74" s="544"/>
      <c r="G74" s="544"/>
      <c r="H74" s="544"/>
      <c r="I74" s="544"/>
      <c r="J74" s="544"/>
      <c r="K74" s="544"/>
      <c r="L74" s="544"/>
      <c r="M74" s="544"/>
      <c r="N74" s="544"/>
      <c r="O74" s="544"/>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Jiq+rC7FBrf1G4WNWg+o68g35SzeJRqZE0f70JDOv9y+OZjg3gl9yHud5a4mhv//nBKLEVdm3QH5JLo1dx39Tw==" saltValue="LXlWzX975lLGToLolyt73w=="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9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L235"/>
      <c r="M235"/>
      <c r="N235"/>
      <c r="O235"/>
    </row>
    <row r="236" spans="1:15" x14ac:dyDescent="0.2">
      <c r="A236"/>
      <c r="B236"/>
      <c r="C236"/>
      <c r="F236"/>
      <c r="G236"/>
      <c r="H236"/>
      <c r="I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L239"/>
      <c r="M239"/>
      <c r="N239"/>
      <c r="O239"/>
    </row>
    <row r="240" spans="1:15" x14ac:dyDescent="0.2">
      <c r="A240"/>
      <c r="B240"/>
      <c r="C240"/>
      <c r="F240"/>
      <c r="G240"/>
      <c r="H240"/>
      <c r="L240"/>
      <c r="M240"/>
      <c r="N240"/>
      <c r="O240"/>
    </row>
    <row r="241" spans="1:15" x14ac:dyDescent="0.2">
      <c r="A241"/>
      <c r="B241"/>
      <c r="C241"/>
      <c r="F241"/>
      <c r="G241"/>
      <c r="I241"/>
      <c r="L241"/>
      <c r="M241"/>
      <c r="N241"/>
      <c r="O241"/>
    </row>
    <row r="242" spans="1:15" x14ac:dyDescent="0.2">
      <c r="A242"/>
      <c r="B242"/>
      <c r="C242"/>
      <c r="F242"/>
      <c r="G242"/>
      <c r="H242"/>
      <c r="I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J247"/>
      <c r="K247"/>
      <c r="L247"/>
      <c r="M247"/>
      <c r="N247"/>
      <c r="O247"/>
    </row>
    <row r="248" spans="1:15" x14ac:dyDescent="0.2">
      <c r="A248"/>
      <c r="B248"/>
      <c r="C248"/>
      <c r="F248"/>
      <c r="G248"/>
      <c r="M248"/>
      <c r="N248"/>
      <c r="O248"/>
    </row>
    <row r="249" spans="1:15" x14ac:dyDescent="0.2">
      <c r="A249"/>
      <c r="B249"/>
      <c r="C249"/>
      <c r="F249"/>
      <c r="G249"/>
      <c r="I249"/>
      <c r="L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H1039"/>
      <c r="I1039"/>
      <c r="L1039"/>
      <c r="M1039"/>
      <c r="N1039"/>
      <c r="O1039"/>
    </row>
    <row r="1040" spans="1:15" x14ac:dyDescent="0.2">
      <c r="A1040"/>
      <c r="B1040"/>
      <c r="C1040"/>
      <c r="F1040"/>
      <c r="G1040"/>
      <c r="J1040"/>
      <c r="K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I1056"/>
      <c r="L1056"/>
      <c r="M1056"/>
      <c r="N1056"/>
      <c r="O1056"/>
    </row>
    <row r="1057" spans="1:15" x14ac:dyDescent="0.2">
      <c r="A1057"/>
      <c r="B1057"/>
      <c r="C1057"/>
      <c r="F1057"/>
      <c r="G1057"/>
      <c r="H1057"/>
      <c r="I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J1133"/>
      <c r="K1133"/>
      <c r="L1133"/>
      <c r="M1133"/>
      <c r="N1133"/>
      <c r="O1133"/>
    </row>
    <row r="1134" spans="1:15" x14ac:dyDescent="0.2">
      <c r="A1134"/>
      <c r="B1134"/>
      <c r="C1134"/>
      <c r="F1134"/>
      <c r="G1134"/>
      <c r="I1134"/>
      <c r="L1134"/>
      <c r="M1134"/>
      <c r="N1134"/>
      <c r="O1134"/>
    </row>
    <row r="1135" spans="1:15" x14ac:dyDescent="0.2">
      <c r="A1135"/>
      <c r="B1135"/>
      <c r="C1135"/>
      <c r="F1135"/>
      <c r="G1135"/>
      <c r="J1135"/>
      <c r="K1135"/>
      <c r="L1135"/>
      <c r="M1135"/>
      <c r="N1135"/>
      <c r="O1135"/>
    </row>
    <row r="1136" spans="1:15" x14ac:dyDescent="0.2">
      <c r="A1136"/>
      <c r="B1136"/>
      <c r="C1136"/>
      <c r="F1136"/>
      <c r="G1136"/>
      <c r="J1136"/>
      <c r="K1136"/>
      <c r="L1136"/>
      <c r="M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M1139"/>
      <c r="N1139"/>
      <c r="O1139"/>
    </row>
    <row r="1140" spans="1:15" x14ac:dyDescent="0.2">
      <c r="A1140"/>
      <c r="B1140"/>
      <c r="C1140"/>
      <c r="F1140"/>
      <c r="G1140"/>
      <c r="H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J1144"/>
      <c r="K1144"/>
      <c r="L1144"/>
      <c r="M1144"/>
      <c r="N1144"/>
      <c r="O1144"/>
    </row>
    <row r="1145" spans="1:15" x14ac:dyDescent="0.2">
      <c r="A1145"/>
      <c r="B1145"/>
      <c r="C1145"/>
      <c r="F1145"/>
      <c r="G1145"/>
      <c r="L1145"/>
      <c r="M1145"/>
      <c r="N1145"/>
      <c r="O1145"/>
    </row>
    <row r="1146" spans="1:15" x14ac:dyDescent="0.2">
      <c r="A1146"/>
      <c r="B1146"/>
      <c r="C1146"/>
      <c r="F1146"/>
      <c r="G1146"/>
      <c r="H1146"/>
      <c r="L1146"/>
      <c r="M1146"/>
      <c r="N1146"/>
      <c r="O1146"/>
    </row>
    <row r="1147" spans="1:15" x14ac:dyDescent="0.2">
      <c r="A1147"/>
      <c r="B1147"/>
      <c r="C1147"/>
      <c r="F1147"/>
      <c r="G1147"/>
      <c r="J1147"/>
      <c r="K1147"/>
      <c r="L1147"/>
      <c r="M1147"/>
      <c r="N1147"/>
      <c r="O1147"/>
    </row>
    <row r="1148" spans="1:15" x14ac:dyDescent="0.2">
      <c r="A1148"/>
      <c r="B1148"/>
      <c r="C1148"/>
      <c r="F1148"/>
      <c r="G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H1151"/>
      <c r="I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I1154"/>
      <c r="L1154"/>
      <c r="M1154"/>
      <c r="N1154"/>
      <c r="O1154"/>
    </row>
    <row r="1155" spans="1:15" x14ac:dyDescent="0.2">
      <c r="A1155"/>
      <c r="B1155"/>
      <c r="C1155"/>
      <c r="F1155"/>
      <c r="G1155"/>
      <c r="J1155"/>
      <c r="K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J1158"/>
      <c r="K1158"/>
      <c r="L1158"/>
      <c r="M1158"/>
      <c r="N1158"/>
      <c r="O1158"/>
    </row>
    <row r="1159" spans="1:15" x14ac:dyDescent="0.2">
      <c r="A1159"/>
      <c r="B1159"/>
      <c r="C1159"/>
      <c r="F1159"/>
      <c r="G1159"/>
      <c r="H1159"/>
      <c r="J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N1165"/>
      <c r="O1165"/>
    </row>
    <row r="1166" spans="1:15" x14ac:dyDescent="0.2">
      <c r="A1166"/>
      <c r="B1166"/>
      <c r="C1166"/>
      <c r="F1166"/>
      <c r="G1166"/>
      <c r="I1166"/>
      <c r="L1166"/>
      <c r="M1166"/>
      <c r="N1166"/>
      <c r="O1166"/>
    </row>
    <row r="1167" spans="1:15" x14ac:dyDescent="0.2">
      <c r="A1167"/>
      <c r="B1167"/>
      <c r="C1167"/>
      <c r="F1167"/>
      <c r="G1167"/>
      <c r="I1167"/>
      <c r="L1167"/>
      <c r="M1167"/>
      <c r="N1167"/>
      <c r="O1167"/>
    </row>
    <row r="1168" spans="1:15" x14ac:dyDescent="0.2">
      <c r="A1168"/>
      <c r="B1168"/>
      <c r="C1168"/>
      <c r="F1168"/>
      <c r="G1168"/>
      <c r="J1168"/>
      <c r="K1168"/>
      <c r="L1168"/>
      <c r="M1168"/>
      <c r="N1168"/>
      <c r="O1168"/>
    </row>
    <row r="1169" spans="1:15" x14ac:dyDescent="0.2">
      <c r="A1169"/>
      <c r="B1169"/>
      <c r="C1169"/>
      <c r="F1169"/>
      <c r="G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H1181"/>
      <c r="L1181"/>
      <c r="M1181"/>
      <c r="N1181"/>
      <c r="O1181"/>
    </row>
    <row r="1182" spans="1:15" x14ac:dyDescent="0.2">
      <c r="A1182"/>
      <c r="B1182"/>
      <c r="C1182"/>
      <c r="F1182"/>
      <c r="G1182"/>
      <c r="H1182"/>
      <c r="I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M1186"/>
      <c r="N1186"/>
      <c r="O1186"/>
    </row>
    <row r="1187" spans="1:15" x14ac:dyDescent="0.2">
      <c r="A1187"/>
      <c r="B1187"/>
      <c r="C1187"/>
      <c r="F1187"/>
      <c r="G1187"/>
      <c r="H1187"/>
      <c r="I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I1191"/>
      <c r="L1191"/>
      <c r="M1191"/>
      <c r="N1191"/>
      <c r="O1191"/>
    </row>
    <row r="1192" spans="1:15" x14ac:dyDescent="0.2">
      <c r="A1192"/>
      <c r="B1192"/>
      <c r="C1192"/>
      <c r="F1192"/>
      <c r="G1192"/>
      <c r="H1192"/>
      <c r="J1192"/>
      <c r="K1192"/>
      <c r="L1192"/>
      <c r="M1192"/>
      <c r="N1192"/>
      <c r="O1192"/>
    </row>
    <row r="1193" spans="1:15" x14ac:dyDescent="0.2">
      <c r="A1193"/>
      <c r="B1193"/>
      <c r="C1193"/>
      <c r="F1193"/>
      <c r="G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J1209"/>
      <c r="K1209"/>
      <c r="L1209"/>
      <c r="M1209"/>
      <c r="N1209"/>
      <c r="O1209"/>
    </row>
    <row r="1210" spans="1:15" x14ac:dyDescent="0.2">
      <c r="A1210"/>
      <c r="B1210"/>
      <c r="C1210"/>
      <c r="F1210"/>
      <c r="G1210"/>
      <c r="H1210"/>
      <c r="I1210"/>
      <c r="L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J1214"/>
      <c r="K1214"/>
      <c r="L1214"/>
      <c r="M1214"/>
      <c r="N1214"/>
      <c r="O1214"/>
    </row>
    <row r="1215" spans="1:15" x14ac:dyDescent="0.2">
      <c r="A1215"/>
      <c r="B1215"/>
      <c r="C1215"/>
      <c r="F1215"/>
      <c r="G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I1218"/>
      <c r="L1218"/>
      <c r="M1218"/>
      <c r="N1218"/>
      <c r="O1218"/>
    </row>
    <row r="1219" spans="1:15" x14ac:dyDescent="0.2">
      <c r="A1219"/>
      <c r="B1219"/>
      <c r="C1219"/>
      <c r="F1219"/>
      <c r="G1219"/>
      <c r="H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H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L1236"/>
      <c r="M1236"/>
      <c r="N1236"/>
      <c r="O1236"/>
    </row>
    <row r="1237" spans="1:15" x14ac:dyDescent="0.2">
      <c r="A1237"/>
      <c r="B1237"/>
      <c r="C1237"/>
      <c r="F1237"/>
      <c r="G1237"/>
      <c r="H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H1242"/>
      <c r="I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L1256"/>
      <c r="M1256"/>
      <c r="N1256"/>
      <c r="O1256"/>
    </row>
    <row r="1257" spans="1:15" x14ac:dyDescent="0.2">
      <c r="A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B1261"/>
      <c r="C1261"/>
      <c r="F1261"/>
      <c r="G1261"/>
      <c r="H1261"/>
      <c r="I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I1267"/>
      <c r="L1267"/>
      <c r="M1267"/>
      <c r="N1267"/>
      <c r="O1267"/>
    </row>
    <row r="1268" spans="1:15" x14ac:dyDescent="0.2">
      <c r="A1268"/>
      <c r="B1268"/>
      <c r="C1268"/>
      <c r="F1268"/>
      <c r="G1268"/>
      <c r="J1268"/>
      <c r="K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J1285"/>
      <c r="K1285"/>
      <c r="L1285"/>
      <c r="M1285"/>
      <c r="N1285"/>
      <c r="O1285"/>
    </row>
    <row r="1286" spans="1:15" x14ac:dyDescent="0.2">
      <c r="A1286"/>
      <c r="B1286"/>
      <c r="C1286"/>
      <c r="F1286"/>
      <c r="G1286"/>
      <c r="H1286"/>
      <c r="J1286"/>
      <c r="K1286"/>
      <c r="L1286"/>
      <c r="M1286"/>
      <c r="N1286"/>
      <c r="O1286"/>
    </row>
    <row r="1287" spans="1:15" x14ac:dyDescent="0.2">
      <c r="A1287"/>
      <c r="B1287"/>
      <c r="C1287"/>
      <c r="F1287"/>
      <c r="G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J1299"/>
      <c r="K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H1332"/>
      <c r="J1332"/>
      <c r="K1332"/>
      <c r="L1332"/>
      <c r="M1332"/>
      <c r="N1332"/>
      <c r="O1332"/>
    </row>
    <row r="1333" spans="1:15" x14ac:dyDescent="0.2">
      <c r="A1333"/>
      <c r="B1333"/>
      <c r="C1333"/>
      <c r="F1333"/>
      <c r="G1333"/>
      <c r="I1333"/>
      <c r="L1333"/>
      <c r="M1333"/>
      <c r="N1333"/>
      <c r="O1333"/>
    </row>
    <row r="1334" spans="1:15" x14ac:dyDescent="0.2">
      <c r="A1334"/>
      <c r="B1334"/>
      <c r="C1334"/>
      <c r="F1334"/>
      <c r="G1334"/>
      <c r="L1334"/>
      <c r="M1334"/>
      <c r="N1334"/>
      <c r="O1334"/>
    </row>
    <row r="1335" spans="1:15" x14ac:dyDescent="0.2">
      <c r="A1335"/>
      <c r="B1335"/>
      <c r="C1335"/>
      <c r="F1335"/>
      <c r="G1335"/>
      <c r="H1335"/>
      <c r="I1335"/>
      <c r="L1335"/>
      <c r="M1335"/>
      <c r="N1335"/>
      <c r="O1335"/>
    </row>
    <row r="1336" spans="1:15" x14ac:dyDescent="0.2">
      <c r="A1336"/>
      <c r="B1336"/>
      <c r="C1336"/>
      <c r="F1336"/>
      <c r="G1336"/>
      <c r="L1336"/>
      <c r="M1336"/>
      <c r="N1336"/>
      <c r="O1336"/>
    </row>
    <row r="1337" spans="1:15" x14ac:dyDescent="0.2">
      <c r="A1337"/>
      <c r="B1337"/>
      <c r="C1337"/>
      <c r="F1337"/>
      <c r="G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J1375"/>
      <c r="K1375"/>
      <c r="L1375"/>
      <c r="M1375"/>
      <c r="N1375"/>
      <c r="O1375"/>
    </row>
    <row r="1376" spans="1:15" x14ac:dyDescent="0.2">
      <c r="A1376"/>
      <c r="B1376"/>
      <c r="C1376"/>
      <c r="F1376"/>
      <c r="G1376"/>
      <c r="H1376"/>
      <c r="I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hd22sjsI4yQG09G7nmrs7JfPtzv5ai0+R13NgiAfG0C6sqGGdDAUd4hUG1n04Bdnrzw02rjK1tfp3n99pp+kPg==" saltValue="lRmAZWNyGDd9A+aUOaIHm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4" priority="1">
      <formula>AND(ROW() &gt;= $Q$1, ROW() &lt;= $Q$2)</formula>
    </cfRule>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i5tVRm/ecuQt/65n2RjLAx49Iz0Up9yGHV3iSx/94+1R/fxvTce3MQMmucUydggXlAENfZDS+gTIbFSq6G3RuA==" saltValue="F8r60G0/HoBndr8UFXmeR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5"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HL88PV9U7EtbS9mLaAcA3IJ6zyML1rfU8AsBZ60K7egyWTELO2noB63RfUJ51VAKN7tuNfecK15G/qTd7ua9Gw==" saltValue="rblhTfU1qwrjhpXJ5tdhw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4" priority="2" stopIfTrue="1" operator="between">
      <formula>HalfTolMin</formula>
      <formula>HalfTolMax</formula>
    </cfRule>
    <cfRule type="cellIs" dxfId="53" priority="3" stopIfTrue="1" operator="greaterThan">
      <formula>TolMax</formula>
    </cfRule>
    <cfRule type="cellIs" dxfId="52" priority="4" stopIfTrue="1" operator="lessThan">
      <formula>TolMin</formula>
    </cfRule>
    <cfRule type="cellIs" dxfId="51" priority="6" stopIfTrue="1" operator="between">
      <formula>TolMin</formula>
      <formula>TolMax</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4" t="s">
        <v>14</v>
      </c>
      <c r="B9" s="16"/>
      <c r="C9" s="455" t="str" cm="1">
        <f t="array" ref="C9">IFERROR(_xlfn._TRO_TRAILING(Main!$B37:$C37),"")</f>
        <v/>
      </c>
      <c r="D9" s="17"/>
      <c r="E9" s="17" t="s">
        <v>15</v>
      </c>
      <c r="F9" s="455" t="str" cm="1">
        <f t="array" ref="F9">IFERROR(_xlfn._TRO_TRAILING(Main!B38:C38),"")</f>
        <v/>
      </c>
      <c r="G9" s="17"/>
      <c r="H9" s="17" t="s">
        <v>15</v>
      </c>
      <c r="I9" s="455" t="str" cm="1">
        <f t="array" ref="I9">IFERROR(_xlfn._TRO_TRAILING(Main!$B39:$C39),"")</f>
        <v/>
      </c>
      <c r="J9" s="17"/>
      <c r="K9" s="17" t="s">
        <v>15</v>
      </c>
      <c r="L9" s="455"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3"/>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3"/>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3"/>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4" t="s">
        <v>14</v>
      </c>
      <c r="B21" s="16"/>
      <c r="C21" s="455" t="str" cm="1">
        <f t="array" ref="C21">IFERROR(_xlfn._TRO_TRAILING(Main!$B41:$C41),"")</f>
        <v/>
      </c>
      <c r="D21" s="17"/>
      <c r="E21" s="17" t="s">
        <v>15</v>
      </c>
      <c r="F21" s="455" t="str" cm="1">
        <f t="array" ref="F21">IFERROR(_xlfn._TRO_TRAILING(Main!$B42:$C42),"")</f>
        <v/>
      </c>
      <c r="G21" s="17"/>
      <c r="H21" s="17" t="s">
        <v>15</v>
      </c>
      <c r="I21" s="455" t="str" cm="1">
        <f t="array" ref="I21">IFERROR(_xlfn._TRO_TRAILING(Main!$B43:$C43),"")</f>
        <v/>
      </c>
      <c r="J21" s="17"/>
      <c r="K21" s="17" t="s">
        <v>15</v>
      </c>
      <c r="L21" s="455"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jBQyoJ70F2FAmx5cfOERnKrgcHYuEP52Il+28AN43HrkoQncYcBGqx2TMyL4Avm97Vo+STUtGYy0NYdrfk5jQg==" saltValue="eAoDe06LzYgdZGOSZ+jRlA==" spinCount="100000" sheet="1" objects="1" scenarios="1" selectLockedCells="1" autoFilter="0"/>
  <mergeCells count="2">
    <mergeCell ref="D32:M34"/>
    <mergeCell ref="C37:M40"/>
  </mergeCells>
  <phoneticPr fontId="20"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7">
    <cfRule type="expression" dxfId="45" priority="61">
      <formula>ISERROR(SEARCH(1,$G$19))</formula>
    </cfRule>
    <cfRule type="expression" dxfId="44" priority="62">
      <formula>ISNUMBER(SEARCH(1,$G$19))</formula>
    </cfRule>
  </conditionalFormatting>
  <conditionalFormatting sqref="J14:J17">
    <cfRule type="expression" dxfId="43" priority="57">
      <formula>ISERROR(SEARCH(1,$J$19))</formula>
    </cfRule>
    <cfRule type="expression" dxfId="42" priority="58">
      <formula>ISNUMBER(SEARCH(1,$J$19))</formula>
    </cfRule>
  </conditionalFormatting>
  <conditionalFormatting sqref="M14:M17">
    <cfRule type="expression" dxfId="41" priority="53">
      <formula>ISERROR(SEARCH(1,$M$19))</formula>
    </cfRule>
    <cfRule type="expression" dxfId="40" priority="54">
      <formula>ISNUMBER(SEARCH(1,$M$19))</formula>
    </cfRule>
  </conditionalFormatting>
  <conditionalFormatting sqref="G26:G29">
    <cfRule type="expression" dxfId="39" priority="45">
      <formula>ISERROR(SEARCH(1,$G$31))</formula>
    </cfRule>
    <cfRule type="expression" dxfId="38" priority="46">
      <formula>ISNUMBER(SEARCH(1,$G$31))</formula>
    </cfRule>
  </conditionalFormatting>
  <conditionalFormatting sqref="J26:J29">
    <cfRule type="expression" dxfId="37" priority="41">
      <formula>ISERROR(SEARCH(1,$J$31))</formula>
    </cfRule>
    <cfRule type="expression" dxfId="36" priority="42">
      <formula>ISNUMBER(SEARCH(1,$J$31))</formula>
    </cfRule>
  </conditionalFormatting>
  <conditionalFormatting sqref="M26:M29">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G11:G13">
    <cfRule type="expression" dxfId="29" priority="27">
      <formula>ISERROR(SEARCH(1,$G$19))</formula>
    </cfRule>
    <cfRule type="expression" dxfId="28" priority="28">
      <formula>ISNUMBER(SEARCH(1,$G$19))</formula>
    </cfRule>
  </conditionalFormatting>
  <conditionalFormatting sqref="G10">
    <cfRule type="expression" dxfId="27" priority="25">
      <formula>ISERROR(SEARCH(1,$G$19))</formula>
    </cfRule>
    <cfRule type="expression" dxfId="26" priority="26">
      <formula>ISNUMBER(SEARCH(1,$G$19))</formula>
    </cfRule>
  </conditionalFormatting>
  <conditionalFormatting sqref="J11:J13">
    <cfRule type="expression" dxfId="25" priority="23">
      <formula>ISERROR(SEARCH(1,$G$19))</formula>
    </cfRule>
    <cfRule type="expression" dxfId="24" priority="24">
      <formula>ISNUMBER(SEARCH(1,$G$19))</formula>
    </cfRule>
  </conditionalFormatting>
  <conditionalFormatting sqref="J10">
    <cfRule type="expression" dxfId="23" priority="21">
      <formula>ISERROR(SEARCH(1,$G$19))</formula>
    </cfRule>
    <cfRule type="expression" dxfId="22" priority="22">
      <formula>ISNUMBER(SEARCH(1,$G$19))</formula>
    </cfRule>
  </conditionalFormatting>
  <conditionalFormatting sqref="M11:M13">
    <cfRule type="expression" dxfId="21" priority="19">
      <formula>ISERROR(SEARCH(1,$G$19))</formula>
    </cfRule>
    <cfRule type="expression" dxfId="20" priority="20">
      <formula>ISNUMBER(SEARCH(1,$G$19))</formula>
    </cfRule>
  </conditionalFormatting>
  <conditionalFormatting sqref="M10">
    <cfRule type="expression" dxfId="19" priority="17">
      <formula>ISERROR(SEARCH(1,$G$19))</formula>
    </cfRule>
    <cfRule type="expression" dxfId="18" priority="18">
      <formula>ISNUMBER(SEARCH(1,$G$19))</formula>
    </cfRule>
  </conditionalFormatting>
  <conditionalFormatting sqref="D23:D25">
    <cfRule type="expression" dxfId="17" priority="15">
      <formula>ISERROR(SEARCH(1,$G$19))</formula>
    </cfRule>
    <cfRule type="expression" dxfId="16" priority="16">
      <formula>ISNUMBER(SEARCH(1,$G$19))</formula>
    </cfRule>
  </conditionalFormatting>
  <conditionalFormatting sqref="D22">
    <cfRule type="expression" dxfId="15" priority="13">
      <formula>ISERROR(SEARCH(1,$G$19))</formula>
    </cfRule>
    <cfRule type="expression" dxfId="14" priority="14">
      <formula>ISNUMBER(SEARCH(1,$G$19))</formula>
    </cfRule>
  </conditionalFormatting>
  <conditionalFormatting sqref="G23:G25">
    <cfRule type="expression" dxfId="13" priority="11">
      <formula>ISERROR(SEARCH(1,$G$19))</formula>
    </cfRule>
    <cfRule type="expression" dxfId="12" priority="12">
      <formula>ISNUMBER(SEARCH(1,$G$19))</formula>
    </cfRule>
  </conditionalFormatting>
  <conditionalFormatting sqref="G22">
    <cfRule type="expression" dxfId="11" priority="9">
      <formula>ISERROR(SEARCH(1,$G$19))</formula>
    </cfRule>
    <cfRule type="expression" dxfId="10" priority="10">
      <formula>ISNUMBER(SEARCH(1,$G$19))</formula>
    </cfRule>
  </conditionalFormatting>
  <conditionalFormatting sqref="J23:J25">
    <cfRule type="expression" dxfId="9" priority="7">
      <formula>ISERROR(SEARCH(1,$G$19))</formula>
    </cfRule>
    <cfRule type="expression" dxfId="8" priority="8">
      <formula>ISNUMBER(SEARCH(1,$G$19))</formula>
    </cfRule>
  </conditionalFormatting>
  <conditionalFormatting sqref="J22">
    <cfRule type="expression" dxfId="7" priority="5">
      <formula>ISERROR(SEARCH(1,$G$19))</formula>
    </cfRule>
    <cfRule type="expression" dxfId="6" priority="6">
      <formula>ISNUMBER(SEARCH(1,$G$19))</formula>
    </cfRule>
  </conditionalFormatting>
  <conditionalFormatting sqref="M23:M25">
    <cfRule type="expression" dxfId="5" priority="3">
      <formula>ISERROR(SEARCH(1,$G$19))</formula>
    </cfRule>
    <cfRule type="expression" dxfId="4" priority="4">
      <formula>ISNUMBER(SEARCH(1,$G$19))</formula>
    </cfRule>
  </conditionalFormatting>
  <conditionalFormatting sqref="M22">
    <cfRule type="expression" dxfId="3" priority="1">
      <formula>ISERROR(SEARCH(1,$G$19))</formula>
    </cfRule>
    <cfRule type="expression" dxfId="2"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5" t="s">
        <v>343</v>
      </c>
      <c r="I28" s="625"/>
      <c r="J28" s="625"/>
      <c r="K28" s="625"/>
      <c r="L28" s="625"/>
      <c r="M28" s="625"/>
      <c r="N28" s="625"/>
      <c r="O28" s="625"/>
      <c r="P28" s="625"/>
      <c r="Q28" s="625"/>
      <c r="R28" s="625"/>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31" t="s">
        <v>345</v>
      </c>
      <c r="K29" s="632"/>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26" t="s">
        <v>331</v>
      </c>
      <c r="I30" s="626"/>
      <c r="J30" s="633" t="s">
        <v>377</v>
      </c>
      <c r="K30" s="634"/>
      <c r="L30" s="635"/>
      <c r="M30" s="254"/>
      <c r="O30" s="627" t="s">
        <v>380</v>
      </c>
      <c r="P30" s="628"/>
      <c r="Q30" s="629"/>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16" t="s">
        <v>385</v>
      </c>
      <c r="K31" s="617"/>
      <c r="L31" s="618"/>
      <c r="M31" s="255" t="str">
        <f>IF(Main!S49="","",Main!S49)</f>
        <v>N/A</v>
      </c>
      <c r="O31" s="537" t="s">
        <v>387</v>
      </c>
      <c r="P31" s="538"/>
      <c r="Q31" s="630"/>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19" t="s">
        <v>334</v>
      </c>
      <c r="K32" s="620"/>
      <c r="L32" s="621"/>
      <c r="M32" s="250"/>
      <c r="O32" s="619" t="s">
        <v>334</v>
      </c>
      <c r="P32" s="620"/>
      <c r="Q32" s="621"/>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2" t="s">
        <v>386</v>
      </c>
      <c r="K33" s="623"/>
      <c r="L33" s="624"/>
      <c r="M33" s="249" t="str">
        <f>IF(Main!S51="","",Main!S51)</f>
        <v/>
      </c>
      <c r="O33" s="622" t="s">
        <v>388</v>
      </c>
      <c r="P33" s="623"/>
      <c r="Q33" s="624"/>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19" t="s">
        <v>334</v>
      </c>
      <c r="K34" s="620"/>
      <c r="L34" s="621"/>
      <c r="O34" s="619" t="s">
        <v>334</v>
      </c>
      <c r="P34" s="620"/>
      <c r="Q34" s="621"/>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08" t="s">
        <v>389</v>
      </c>
      <c r="K35" s="609"/>
      <c r="L35" s="610"/>
      <c r="M35" s="257" t="str">
        <f>IF(Main!S53="","",Main!S53)</f>
        <v/>
      </c>
      <c r="O35" s="608" t="s">
        <v>390</v>
      </c>
      <c r="P35" s="609"/>
      <c r="Q35" s="610"/>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11"/>
      <c r="K36" s="612"/>
      <c r="L36" s="613"/>
      <c r="M36" s="253"/>
      <c r="O36" s="611"/>
      <c r="P36" s="612"/>
      <c r="Q36" s="613"/>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UknQaf4jzfz/OiJyB/0v6y0j/6YlFxctxiAg1zuluzhzjIJ6CdT1IbnAeaVaxOOOM5LgaJ9roee4z7GxHvbpaQ==" saltValue="uLZBJacYHCCgPepNY3RTt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1"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1"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0"/>
    </row>
    <row r="13" spans="1:14" x14ac:dyDescent="0.2">
      <c r="B13" t="str">
        <v/>
      </c>
      <c r="D13" s="47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1"/>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bLeSMhq2VFrpU+5xyfEX+QNyEryH2Bl0RqCJX3usEfkOIlvLfSVqNZsfZ9RaKGiytHiDnAiM4Os2XkViYey+Jw==" saltValue="oGKFaxvI1g2varLk3JmP4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4"/>
      <c r="C1" s="574"/>
      <c r="D1" s="574"/>
      <c r="E1" s="34" t="s">
        <v>154</v>
      </c>
      <c r="G1" s="574" t="s">
        <v>68</v>
      </c>
      <c r="H1" s="574"/>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fsgIz7br89/q5FP3vk1myD16vcmmcjNEJcP1mTVxzkJvWVz+etyWhIZYDxN9uu0FVM3kD/hwQbdjpilLZNmI6A==" saltValue="tx/u4m0tzBJl4KdYQ2c5S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86</vt:i4>
      </vt:variant>
    </vt:vector>
  </HeadingPairs>
  <TitlesOfParts>
    <vt:vector size="115"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2026-02-09T08:16:41Z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