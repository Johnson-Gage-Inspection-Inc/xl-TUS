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D04832C-27E8-4032-AAA6-5CA736EF4708}" xr6:coauthVersionLast="47" xr6:coauthVersionMax="47" xr10:uidLastSave="{00000000-0000-0000-0000-000000000000}"/>
  <bookViews>
    <workbookView xWindow="-120" yWindow="-120" windowWidth="29040" windowHeight="15720" tabRatio="892" firstSheet="7"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UUTRangeTol!$Y$2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K11" i="95" s="1"/>
  <c r="J12" i="95"/>
  <c r="J13" i="95"/>
  <c r="J14" i="95"/>
  <c r="K14" i="95" s="1"/>
  <c r="J15" i="95"/>
  <c r="K15" i="95" s="1"/>
  <c r="J16" i="95"/>
  <c r="K16" i="95" s="1"/>
  <c r="J17" i="95"/>
  <c r="J18" i="95"/>
  <c r="J19" i="95"/>
  <c r="K19" i="95" s="1"/>
  <c r="J20" i="95"/>
  <c r="K20" i="95" s="1"/>
  <c r="J21" i="95"/>
  <c r="K21" i="95" s="1"/>
  <c r="J22" i="95"/>
  <c r="K22" i="95" s="1"/>
  <c r="J23" i="95"/>
  <c r="K23" i="95" s="1"/>
  <c r="J24" i="95"/>
  <c r="K24" i="95" s="1"/>
  <c r="J25" i="95"/>
  <c r="J26" i="95"/>
  <c r="K26" i="95" s="1"/>
  <c r="J27" i="95"/>
  <c r="K27" i="95" s="1"/>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J50" i="95"/>
  <c r="J51" i="95"/>
  <c r="J52" i="95"/>
  <c r="J53" i="95"/>
  <c r="J54" i="95"/>
  <c r="J55" i="95"/>
  <c r="J56" i="95"/>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J104" i="95"/>
  <c r="J105" i="95"/>
  <c r="J106" i="95"/>
  <c r="J107" i="95"/>
  <c r="K107" i="95" s="1"/>
  <c r="J108" i="95"/>
  <c r="K108" i="95" s="1"/>
  <c r="J109" i="95"/>
  <c r="J110" i="95"/>
  <c r="K110" i="95" s="1"/>
  <c r="J111" i="95"/>
  <c r="K111" i="95" s="1"/>
  <c r="J112" i="95"/>
  <c r="K112" i="95" s="1"/>
  <c r="J113" i="95"/>
  <c r="J114" i="95"/>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J135" i="95"/>
  <c r="J136" i="95"/>
  <c r="J137" i="95"/>
  <c r="J138" i="95"/>
  <c r="K138" i="95" s="1"/>
  <c r="J139" i="95"/>
  <c r="K139" i="95" s="1"/>
  <c r="J140" i="95"/>
  <c r="K140" i="95" s="1"/>
  <c r="J141" i="95"/>
  <c r="K141" i="95" s="1"/>
  <c r="J142" i="95"/>
  <c r="K142" i="95" s="1"/>
  <c r="J143" i="95"/>
  <c r="K143" i="95" s="1"/>
  <c r="J144" i="95"/>
  <c r="K144" i="95" s="1"/>
  <c r="J145" i="95"/>
  <c r="J146" i="95"/>
  <c r="J147" i="95"/>
  <c r="J148" i="95"/>
  <c r="J149" i="95"/>
  <c r="J150" i="95"/>
  <c r="K150" i="95" s="1"/>
  <c r="J151" i="95"/>
  <c r="J152" i="95"/>
  <c r="J153" i="95"/>
  <c r="J154" i="95"/>
  <c r="J155" i="95"/>
  <c r="J156" i="95"/>
  <c r="K156" i="95" s="1"/>
  <c r="J157" i="95"/>
  <c r="K157" i="95" s="1"/>
  <c r="J158" i="95"/>
  <c r="K158" i="95" s="1"/>
  <c r="J159" i="95"/>
  <c r="J160" i="95"/>
  <c r="J161" i="95"/>
  <c r="J162" i="95"/>
  <c r="J163" i="95"/>
  <c r="J164" i="95"/>
  <c r="J165" i="95"/>
  <c r="J166" i="95"/>
  <c r="J167" i="95"/>
  <c r="J168" i="95"/>
  <c r="J169" i="95"/>
  <c r="J170" i="95"/>
  <c r="K170" i="95" s="1"/>
  <c r="J171" i="95"/>
  <c r="K171" i="95" s="1"/>
  <c r="J172" i="95"/>
  <c r="K172" i="95" s="1"/>
  <c r="J173" i="95"/>
  <c r="K173" i="95" s="1"/>
  <c r="J174" i="95"/>
  <c r="K174" i="95" s="1"/>
  <c r="J175" i="95"/>
  <c r="K175" i="95" s="1"/>
  <c r="J176" i="95"/>
  <c r="K176" i="95" s="1"/>
  <c r="J177" i="95"/>
  <c r="J178" i="95"/>
  <c r="J179" i="95"/>
  <c r="J180" i="95"/>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J210" i="95"/>
  <c r="J211" i="95"/>
  <c r="J212" i="95"/>
  <c r="K212" i="95" s="1"/>
  <c r="J213" i="95"/>
  <c r="K213" i="95" s="1"/>
  <c r="J214" i="95"/>
  <c r="K214" i="95" s="1"/>
  <c r="J215" i="95"/>
  <c r="K215" i="95" s="1"/>
  <c r="J216" i="95"/>
  <c r="K216" i="95" s="1"/>
  <c r="J217" i="95"/>
  <c r="J218" i="95"/>
  <c r="K218" i="95" s="1"/>
  <c r="J219" i="95"/>
  <c r="K219" i="95" s="1"/>
  <c r="J220" i="95"/>
  <c r="K220" i="95" s="1"/>
  <c r="J221" i="95"/>
  <c r="K221" i="95" s="1"/>
  <c r="J222" i="95"/>
  <c r="K222" i="95" s="1"/>
  <c r="J223" i="95"/>
  <c r="J224" i="95"/>
  <c r="J225" i="95"/>
  <c r="J226" i="95"/>
  <c r="J227" i="95"/>
  <c r="J228" i="95"/>
  <c r="J229" i="95"/>
  <c r="J230" i="95"/>
  <c r="J231" i="95"/>
  <c r="J232" i="95"/>
  <c r="J233" i="95"/>
  <c r="J234" i="95"/>
  <c r="J235" i="95"/>
  <c r="K235" i="95" s="1"/>
  <c r="J236" i="95"/>
  <c r="J237" i="95"/>
  <c r="J238" i="95"/>
  <c r="K238" i="95" s="1"/>
  <c r="J239" i="95"/>
  <c r="K239" i="95" s="1"/>
  <c r="J240" i="95"/>
  <c r="K240" i="95" s="1"/>
  <c r="J241" i="95"/>
  <c r="J242" i="95"/>
  <c r="J243" i="95"/>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J264" i="95"/>
  <c r="J265" i="95"/>
  <c r="J266" i="95"/>
  <c r="K266" i="95" s="1"/>
  <c r="J267" i="95"/>
  <c r="K267" i="95" s="1"/>
  <c r="J268" i="95"/>
  <c r="K268" i="95" s="1"/>
  <c r="J269" i="95"/>
  <c r="K269" i="95" s="1"/>
  <c r="J270" i="95"/>
  <c r="K270" i="95" s="1"/>
  <c r="J271" i="95"/>
  <c r="K271" i="95" s="1"/>
  <c r="J272" i="95"/>
  <c r="K272" i="95" s="1"/>
  <c r="J273" i="95"/>
  <c r="J274" i="95"/>
  <c r="J275" i="95"/>
  <c r="J276" i="95"/>
  <c r="J277" i="95"/>
  <c r="J278" i="95"/>
  <c r="J279" i="95"/>
  <c r="J280" i="95"/>
  <c r="J281" i="95"/>
  <c r="J282" i="95"/>
  <c r="J283" i="95"/>
  <c r="J284" i="95"/>
  <c r="K284" i="95" s="1"/>
  <c r="J285" i="95"/>
  <c r="K285" i="95" s="1"/>
  <c r="J286" i="95"/>
  <c r="K286" i="95" s="1"/>
  <c r="J287" i="95"/>
  <c r="J288" i="95"/>
  <c r="J289" i="95"/>
  <c r="J290" i="95"/>
  <c r="J291" i="95"/>
  <c r="J292" i="95"/>
  <c r="J293" i="95"/>
  <c r="J294" i="95"/>
  <c r="J295" i="95"/>
  <c r="J296" i="95"/>
  <c r="K296" i="95" s="1"/>
  <c r="J297" i="95"/>
  <c r="K297" i="95" s="1"/>
  <c r="J298" i="95"/>
  <c r="J299" i="95"/>
  <c r="K299" i="95" s="1"/>
  <c r="J300" i="95"/>
  <c r="K300" i="95" s="1"/>
  <c r="J301" i="95"/>
  <c r="K301" i="95" s="1"/>
  <c r="J302" i="95"/>
  <c r="K302" i="95" s="1"/>
  <c r="J303" i="95"/>
  <c r="K303" i="95" s="1"/>
  <c r="J304" i="95"/>
  <c r="K304" i="95" s="1"/>
  <c r="J305" i="95"/>
  <c r="J306" i="95"/>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K329" i="95" s="1"/>
  <c r="J330" i="95"/>
  <c r="K330" i="95" s="1"/>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J358" i="95"/>
  <c r="J359" i="95"/>
  <c r="J360" i="95"/>
  <c r="J361" i="95"/>
  <c r="J362" i="95"/>
  <c r="J363" i="95"/>
  <c r="K363" i="95" s="1"/>
  <c r="J364" i="95"/>
  <c r="J365" i="95"/>
  <c r="J366" i="95"/>
  <c r="K366" i="95" s="1"/>
  <c r="J367" i="95"/>
  <c r="K367" i="95" s="1"/>
  <c r="J368" i="95"/>
  <c r="K368" i="95" s="1"/>
  <c r="J369" i="95"/>
  <c r="J370" i="95"/>
  <c r="J371" i="95"/>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J392" i="95"/>
  <c r="J393" i="95"/>
  <c r="K393" i="95" s="1"/>
  <c r="J394" i="95"/>
  <c r="K394" i="95" s="1"/>
  <c r="J395" i="95"/>
  <c r="K395" i="95" s="1"/>
  <c r="J396" i="95"/>
  <c r="K396" i="95" s="1"/>
  <c r="J397" i="95"/>
  <c r="K397" i="95" s="1"/>
  <c r="J398" i="95"/>
  <c r="K398" i="95" s="1"/>
  <c r="J399" i="95"/>
  <c r="K399" i="95" s="1"/>
  <c r="J400" i="95"/>
  <c r="K400" i="95" s="1"/>
  <c r="J401" i="95"/>
  <c r="J402" i="95"/>
  <c r="J403" i="95"/>
  <c r="J404" i="95"/>
  <c r="J405" i="95"/>
  <c r="J406" i="95"/>
  <c r="J407" i="95"/>
  <c r="J408" i="95"/>
  <c r="J409" i="95"/>
  <c r="J410" i="95"/>
  <c r="J411" i="95"/>
  <c r="K411" i="95" s="1"/>
  <c r="J412" i="95"/>
  <c r="K412" i="95" s="1"/>
  <c r="J413" i="95"/>
  <c r="K413" i="95" s="1"/>
  <c r="J414" i="95"/>
  <c r="K414" i="95" s="1"/>
  <c r="J415" i="95"/>
  <c r="J416" i="95"/>
  <c r="J417" i="95"/>
  <c r="J418" i="95"/>
  <c r="J419" i="95"/>
  <c r="J420" i="95"/>
  <c r="K2" i="95"/>
  <c r="K3" i="95"/>
  <c r="K4" i="95"/>
  <c r="K5" i="95"/>
  <c r="K6" i="95"/>
  <c r="K7" i="95"/>
  <c r="K8" i="95"/>
  <c r="K9" i="95"/>
  <c r="K10" i="95"/>
  <c r="K12" i="95"/>
  <c r="K13" i="95"/>
  <c r="K17" i="95"/>
  <c r="K18" i="95"/>
  <c r="K25" i="95"/>
  <c r="K31" i="95"/>
  <c r="K32" i="95"/>
  <c r="K33" i="95"/>
  <c r="K34" i="95"/>
  <c r="K35" i="95"/>
  <c r="K36" i="95"/>
  <c r="K49" i="95"/>
  <c r="K50" i="95"/>
  <c r="K51" i="95"/>
  <c r="K52" i="95"/>
  <c r="K53" i="95"/>
  <c r="K54" i="95"/>
  <c r="K55" i="95"/>
  <c r="K56" i="95"/>
  <c r="K63" i="95"/>
  <c r="K64" i="95"/>
  <c r="K65" i="95"/>
  <c r="K66" i="95"/>
  <c r="K67" i="95"/>
  <c r="K68" i="95"/>
  <c r="K69" i="95"/>
  <c r="K70" i="95"/>
  <c r="K71" i="95"/>
  <c r="K72" i="95"/>
  <c r="K73" i="95"/>
  <c r="K95" i="95"/>
  <c r="K96" i="95"/>
  <c r="K97" i="95"/>
  <c r="K98" i="95"/>
  <c r="K99" i="95"/>
  <c r="K100" i="95"/>
  <c r="K101" i="95"/>
  <c r="K102" i="95"/>
  <c r="K103" i="95"/>
  <c r="K104" i="95"/>
  <c r="K105" i="95"/>
  <c r="K106" i="95"/>
  <c r="K109" i="95"/>
  <c r="K113" i="95"/>
  <c r="K114" i="95"/>
  <c r="K115" i="95"/>
  <c r="K116" i="95"/>
  <c r="K127" i="95"/>
  <c r="K128" i="95"/>
  <c r="K129" i="95"/>
  <c r="K130" i="95"/>
  <c r="K131" i="95"/>
  <c r="K132" i="95"/>
  <c r="K133" i="95"/>
  <c r="K134" i="95"/>
  <c r="K135" i="95"/>
  <c r="K136" i="95"/>
  <c r="K137" i="95"/>
  <c r="K145" i="95"/>
  <c r="K146" i="95"/>
  <c r="K147" i="95"/>
  <c r="K148" i="95"/>
  <c r="K149" i="95"/>
  <c r="K151" i="95"/>
  <c r="K152" i="95"/>
  <c r="K153" i="95"/>
  <c r="K154" i="95"/>
  <c r="K155" i="95"/>
  <c r="K159" i="95"/>
  <c r="K160" i="95"/>
  <c r="K161" i="95"/>
  <c r="K162" i="95"/>
  <c r="K163" i="95"/>
  <c r="K164" i="95"/>
  <c r="K165" i="95"/>
  <c r="K166" i="95"/>
  <c r="K167" i="95"/>
  <c r="K168" i="95"/>
  <c r="K169" i="95"/>
  <c r="K177" i="95"/>
  <c r="K178" i="95"/>
  <c r="K179" i="95"/>
  <c r="K180" i="95"/>
  <c r="K191" i="95"/>
  <c r="K192" i="95"/>
  <c r="K193" i="95"/>
  <c r="K194" i="95"/>
  <c r="K195" i="95"/>
  <c r="K196" i="95"/>
  <c r="K197" i="95"/>
  <c r="K217" i="95"/>
  <c r="K223" i="95"/>
  <c r="K224" i="95"/>
  <c r="K225" i="95"/>
  <c r="K226" i="95"/>
  <c r="K227" i="95"/>
  <c r="K228" i="95"/>
  <c r="K229" i="95"/>
  <c r="K230" i="95"/>
  <c r="K231" i="95"/>
  <c r="K232" i="95"/>
  <c r="K233" i="95"/>
  <c r="K234" i="95"/>
  <c r="K236" i="95"/>
  <c r="K237" i="95"/>
  <c r="K241" i="95"/>
  <c r="K242" i="95"/>
  <c r="K243" i="95"/>
  <c r="K255" i="95"/>
  <c r="K257" i="95"/>
  <c r="K258" i="95"/>
  <c r="K259" i="95"/>
  <c r="K260" i="95"/>
  <c r="K261" i="95"/>
  <c r="K262" i="95"/>
  <c r="K263" i="95"/>
  <c r="K264" i="95"/>
  <c r="K265" i="95"/>
  <c r="K273" i="95"/>
  <c r="K274" i="95"/>
  <c r="K275" i="95"/>
  <c r="K276" i="95"/>
  <c r="K277" i="95"/>
  <c r="K278" i="95"/>
  <c r="K279" i="95"/>
  <c r="K280" i="95"/>
  <c r="K281" i="95"/>
  <c r="K282" i="95"/>
  <c r="K283" i="95"/>
  <c r="K287" i="95"/>
  <c r="K288" i="95"/>
  <c r="K289" i="95"/>
  <c r="K290" i="95"/>
  <c r="K291" i="95"/>
  <c r="K292" i="95"/>
  <c r="K293" i="95"/>
  <c r="K294" i="95"/>
  <c r="K295" i="95"/>
  <c r="K298" i="95"/>
  <c r="K305" i="95"/>
  <c r="K306" i="95"/>
  <c r="K307" i="95"/>
  <c r="K308" i="95"/>
  <c r="K322" i="95"/>
  <c r="K323" i="95"/>
  <c r="K324" i="95"/>
  <c r="K325" i="95"/>
  <c r="K326" i="95"/>
  <c r="K327" i="95"/>
  <c r="K328" i="95"/>
  <c r="K351" i="95"/>
  <c r="K352" i="95"/>
  <c r="K353" i="95"/>
  <c r="K354" i="95"/>
  <c r="K355" i="95"/>
  <c r="K356" i="95"/>
  <c r="K357" i="95"/>
  <c r="K358" i="95"/>
  <c r="K359" i="95"/>
  <c r="K360" i="95"/>
  <c r="K361" i="95"/>
  <c r="K362" i="95"/>
  <c r="K364" i="95"/>
  <c r="K365" i="95"/>
  <c r="K369" i="95"/>
  <c r="K370" i="95"/>
  <c r="K371" i="95"/>
  <c r="K383" i="95"/>
  <c r="K384" i="95"/>
  <c r="K385" i="95"/>
  <c r="K386" i="95"/>
  <c r="K387" i="95"/>
  <c r="K388" i="95"/>
  <c r="K389" i="95"/>
  <c r="K390" i="95"/>
  <c r="K391" i="95"/>
  <c r="K392" i="95"/>
  <c r="K401" i="95"/>
  <c r="K402" i="95"/>
  <c r="K403" i="95"/>
  <c r="K404" i="95"/>
  <c r="K405" i="95"/>
  <c r="K406" i="95"/>
  <c r="K407" i="95"/>
  <c r="K408" i="95"/>
  <c r="K409" i="95"/>
  <c r="K410" i="95"/>
  <c r="K415" i="95"/>
  <c r="K416" i="95"/>
  <c r="K417" i="95"/>
  <c r="K418" i="95"/>
  <c r="K419" i="95"/>
  <c r="K420" i="95"/>
  <c r="L2" i="95"/>
  <c r="L3" i="95"/>
  <c r="L4" i="95"/>
  <c r="L5" i="95"/>
  <c r="M5" i="95" s="1"/>
  <c r="L6" i="95"/>
  <c r="L7" i="95"/>
  <c r="L8" i="95"/>
  <c r="M8" i="95" s="1"/>
  <c r="L9" i="95"/>
  <c r="M9" i="95" s="1"/>
  <c r="L10" i="95"/>
  <c r="M10" i="95" s="1"/>
  <c r="L11" i="95"/>
  <c r="L12" i="95"/>
  <c r="M12" i="95" s="1"/>
  <c r="L13" i="95"/>
  <c r="L14" i="95"/>
  <c r="L15" i="95"/>
  <c r="M15" i="95" s="1"/>
  <c r="L16" i="95"/>
  <c r="M16" i="95" s="1"/>
  <c r="L17" i="95"/>
  <c r="M17" i="95" s="1"/>
  <c r="L18" i="95"/>
  <c r="M18" i="95" s="1"/>
  <c r="L19" i="95"/>
  <c r="M19" i="95" s="1"/>
  <c r="L20" i="95"/>
  <c r="M20" i="95" s="1"/>
  <c r="L21" i="95"/>
  <c r="L22" i="95"/>
  <c r="M22" i="95" s="1"/>
  <c r="L23" i="95"/>
  <c r="M23" i="95" s="1"/>
  <c r="L24" i="95"/>
  <c r="M24" i="95" s="1"/>
  <c r="L25" i="95"/>
  <c r="M25" i="95" s="1"/>
  <c r="L26" i="95"/>
  <c r="M26" i="95" s="1"/>
  <c r="L27" i="95"/>
  <c r="L28" i="95"/>
  <c r="L29" i="95"/>
  <c r="L30" i="95"/>
  <c r="L31" i="95"/>
  <c r="L32" i="95"/>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L46" i="95"/>
  <c r="L47" i="95"/>
  <c r="L48" i="95"/>
  <c r="L49" i="95"/>
  <c r="L50" i="95"/>
  <c r="L51" i="95"/>
  <c r="L52" i="95"/>
  <c r="L53" i="95"/>
  <c r="M53" i="95" s="1"/>
  <c r="L54" i="95"/>
  <c r="M54" i="95" s="1"/>
  <c r="L55" i="95"/>
  <c r="M55" i="95" s="1"/>
  <c r="L56" i="95"/>
  <c r="M56" i="95" s="1"/>
  <c r="L57" i="95"/>
  <c r="M57" i="95" s="1"/>
  <c r="L58" i="95"/>
  <c r="M58" i="95" s="1"/>
  <c r="L59" i="95"/>
  <c r="L60" i="95"/>
  <c r="L61" i="95"/>
  <c r="L62" i="95"/>
  <c r="L63" i="95"/>
  <c r="L64" i="95"/>
  <c r="L65" i="95"/>
  <c r="L66" i="95"/>
  <c r="L67" i="95"/>
  <c r="L68" i="95"/>
  <c r="L69" i="95"/>
  <c r="M69" i="95" s="1"/>
  <c r="L70" i="95"/>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L92" i="95"/>
  <c r="L93" i="95"/>
  <c r="L94" i="95"/>
  <c r="L95" i="95"/>
  <c r="L96" i="95"/>
  <c r="L97" i="95"/>
  <c r="L98" i="95"/>
  <c r="L99" i="95"/>
  <c r="L100" i="95"/>
  <c r="L101" i="95"/>
  <c r="M101" i="95" s="1"/>
  <c r="L102" i="95"/>
  <c r="L103" i="95"/>
  <c r="L104" i="95"/>
  <c r="M104" i="95" s="1"/>
  <c r="L105" i="95"/>
  <c r="M105" i="95" s="1"/>
  <c r="L106" i="95"/>
  <c r="M106" i="95" s="1"/>
  <c r="L107" i="95"/>
  <c r="M107" i="95" s="1"/>
  <c r="L108" i="95"/>
  <c r="L109" i="95"/>
  <c r="L110" i="95"/>
  <c r="L111" i="95"/>
  <c r="L112" i="95"/>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L124" i="95"/>
  <c r="L125" i="95"/>
  <c r="L126" i="95"/>
  <c r="L127" i="95"/>
  <c r="L128" i="95"/>
  <c r="L129" i="95"/>
  <c r="L130" i="95"/>
  <c r="L131" i="95"/>
  <c r="L132" i="95"/>
  <c r="L133" i="95"/>
  <c r="M133" i="95" s="1"/>
  <c r="L134" i="95"/>
  <c r="L135" i="95"/>
  <c r="M135" i="95" s="1"/>
  <c r="L136" i="95"/>
  <c r="M136" i="95" s="1"/>
  <c r="L137" i="95"/>
  <c r="M137" i="95" s="1"/>
  <c r="L138" i="95"/>
  <c r="M138" i="95" s="1"/>
  <c r="L139" i="95"/>
  <c r="M139" i="95" s="1"/>
  <c r="L140" i="95"/>
  <c r="M140" i="95" s="1"/>
  <c r="L141" i="95"/>
  <c r="L142" i="95"/>
  <c r="L143" i="95"/>
  <c r="L144" i="95"/>
  <c r="L145" i="95"/>
  <c r="L146" i="95"/>
  <c r="L147" i="95"/>
  <c r="L148" i="95"/>
  <c r="L149" i="95"/>
  <c r="L150" i="95"/>
  <c r="M150" i="95" s="1"/>
  <c r="L151" i="95"/>
  <c r="M151" i="95" s="1"/>
  <c r="L152" i="95"/>
  <c r="M152" i="95" s="1"/>
  <c r="L153" i="95"/>
  <c r="L154" i="95"/>
  <c r="L155" i="95"/>
  <c r="L156" i="95"/>
  <c r="L157" i="95"/>
  <c r="L158" i="95"/>
  <c r="L159" i="95"/>
  <c r="L160" i="95"/>
  <c r="L161" i="95"/>
  <c r="L162" i="95"/>
  <c r="L163" i="95"/>
  <c r="L164" i="95"/>
  <c r="L165" i="95"/>
  <c r="L166" i="95"/>
  <c r="L167" i="95"/>
  <c r="L168" i="95"/>
  <c r="M168" i="95" s="1"/>
  <c r="L169" i="95"/>
  <c r="M169" i="95" s="1"/>
  <c r="L170" i="95"/>
  <c r="M170" i="95" s="1"/>
  <c r="L171" i="95"/>
  <c r="M171" i="95" s="1"/>
  <c r="L172" i="95"/>
  <c r="M172" i="95" s="1"/>
  <c r="L173" i="95"/>
  <c r="L174" i="95"/>
  <c r="L175" i="95"/>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L188" i="95"/>
  <c r="L189" i="95"/>
  <c r="L190" i="95"/>
  <c r="L191" i="95"/>
  <c r="L192" i="95"/>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L206" i="95"/>
  <c r="L207" i="95"/>
  <c r="L208" i="95"/>
  <c r="L209" i="95"/>
  <c r="L210" i="95"/>
  <c r="L211" i="95"/>
  <c r="L212" i="95"/>
  <c r="M212" i="95" s="1"/>
  <c r="L213" i="95"/>
  <c r="L214" i="95"/>
  <c r="M214" i="95" s="1"/>
  <c r="L215" i="95"/>
  <c r="M215" i="95" s="1"/>
  <c r="L216" i="95"/>
  <c r="M216" i="95" s="1"/>
  <c r="L217" i="95"/>
  <c r="M217" i="95" s="1"/>
  <c r="L218" i="95"/>
  <c r="M218" i="95" s="1"/>
  <c r="L219" i="95"/>
  <c r="L220" i="95"/>
  <c r="L221" i="95"/>
  <c r="L222" i="95"/>
  <c r="L223" i="95"/>
  <c r="L224" i="95"/>
  <c r="L225" i="95"/>
  <c r="L226" i="95"/>
  <c r="L227" i="95"/>
  <c r="L228" i="95"/>
  <c r="L229" i="95"/>
  <c r="L230" i="95"/>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L252" i="95"/>
  <c r="L253" i="95"/>
  <c r="L254" i="95"/>
  <c r="L255" i="95"/>
  <c r="L256" i="95"/>
  <c r="L257" i="95"/>
  <c r="L258" i="95"/>
  <c r="L259" i="95"/>
  <c r="L260" i="95"/>
  <c r="L261" i="95"/>
  <c r="L262" i="95"/>
  <c r="L263" i="95"/>
  <c r="L264" i="95"/>
  <c r="M264" i="95" s="1"/>
  <c r="L265" i="95"/>
  <c r="M265" i="95" s="1"/>
  <c r="L266" i="95"/>
  <c r="M266" i="95" s="1"/>
  <c r="L267" i="95"/>
  <c r="L268" i="95"/>
  <c r="L269" i="95"/>
  <c r="L270" i="95"/>
  <c r="L271" i="95"/>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L284" i="95"/>
  <c r="L285" i="95"/>
  <c r="L286" i="95"/>
  <c r="L287" i="95"/>
  <c r="L288" i="95"/>
  <c r="L289" i="95"/>
  <c r="L290" i="95"/>
  <c r="L291" i="95"/>
  <c r="L292" i="95"/>
  <c r="L293" i="95"/>
  <c r="M293" i="95" s="1"/>
  <c r="L294" i="95"/>
  <c r="M294" i="95" s="1"/>
  <c r="L295" i="95"/>
  <c r="M295" i="95" s="1"/>
  <c r="L296" i="95"/>
  <c r="M296" i="95" s="1"/>
  <c r="L297" i="95"/>
  <c r="M297" i="95" s="1"/>
  <c r="L298" i="95"/>
  <c r="M298" i="95" s="1"/>
  <c r="L299" i="95"/>
  <c r="M299" i="95" s="1"/>
  <c r="L300" i="95"/>
  <c r="M300" i="95" s="1"/>
  <c r="L301" i="95"/>
  <c r="L302" i="95"/>
  <c r="L303" i="95"/>
  <c r="L304" i="95"/>
  <c r="L305" i="95"/>
  <c r="L306" i="95"/>
  <c r="L307" i="95"/>
  <c r="L308" i="95"/>
  <c r="L309" i="95"/>
  <c r="L310" i="95"/>
  <c r="M310" i="95" s="1"/>
  <c r="L311" i="95"/>
  <c r="M311" i="95" s="1"/>
  <c r="L312" i="95"/>
  <c r="M312" i="95" s="1"/>
  <c r="L313" i="95"/>
  <c r="L314" i="95"/>
  <c r="M314" i="95" s="1"/>
  <c r="L315" i="95"/>
  <c r="L316" i="95"/>
  <c r="L317" i="95"/>
  <c r="L318" i="95"/>
  <c r="L319" i="95"/>
  <c r="L320" i="95"/>
  <c r="L321" i="95"/>
  <c r="L322" i="95"/>
  <c r="L323" i="95"/>
  <c r="L324" i="95"/>
  <c r="L325" i="95"/>
  <c r="L326" i="95"/>
  <c r="L327" i="95"/>
  <c r="L328" i="95"/>
  <c r="M328" i="95" s="1"/>
  <c r="L329" i="95"/>
  <c r="M329" i="95" s="1"/>
  <c r="L330" i="95"/>
  <c r="M330" i="95" s="1"/>
  <c r="L331" i="95"/>
  <c r="M331" i="95" s="1"/>
  <c r="L332" i="95"/>
  <c r="M332" i="95" s="1"/>
  <c r="L333" i="95"/>
  <c r="L334" i="95"/>
  <c r="L335" i="95"/>
  <c r="M335" i="95" s="1"/>
  <c r="L336" i="95"/>
  <c r="M336" i="95" s="1"/>
  <c r="L337" i="95"/>
  <c r="M337" i="95" s="1"/>
  <c r="L338" i="95"/>
  <c r="M338" i="95" s="1"/>
  <c r="L339" i="95"/>
  <c r="M339" i="95" s="1"/>
  <c r="L340" i="95"/>
  <c r="M340" i="95" s="1"/>
  <c r="L341" i="95"/>
  <c r="L342" i="95"/>
  <c r="M342" i="95" s="1"/>
  <c r="L343" i="95"/>
  <c r="M343" i="95" s="1"/>
  <c r="L344" i="95"/>
  <c r="M344" i="95" s="1"/>
  <c r="L345" i="95"/>
  <c r="M345" i="95" s="1"/>
  <c r="L346" i="95"/>
  <c r="M346" i="95" s="1"/>
  <c r="L347" i="95"/>
  <c r="L348" i="95"/>
  <c r="L349" i="95"/>
  <c r="L350" i="95"/>
  <c r="L351" i="95"/>
  <c r="L352" i="95"/>
  <c r="L353" i="95"/>
  <c r="M353" i="95" s="1"/>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L366" i="95"/>
  <c r="L367" i="95"/>
  <c r="L368" i="95"/>
  <c r="L369" i="95"/>
  <c r="L370" i="95"/>
  <c r="L371" i="95"/>
  <c r="L372" i="95"/>
  <c r="L373" i="95"/>
  <c r="M373" i="95" s="1"/>
  <c r="L374" i="95"/>
  <c r="M374" i="95" s="1"/>
  <c r="L375" i="95"/>
  <c r="M375" i="95" s="1"/>
  <c r="L376" i="95"/>
  <c r="M376" i="95" s="1"/>
  <c r="L377" i="95"/>
  <c r="M377" i="95" s="1"/>
  <c r="L378" i="95"/>
  <c r="M378" i="95" s="1"/>
  <c r="L379" i="95"/>
  <c r="L380" i="95"/>
  <c r="L381" i="95"/>
  <c r="L382" i="95"/>
  <c r="L383" i="95"/>
  <c r="L384" i="95"/>
  <c r="L385" i="95"/>
  <c r="L386" i="95"/>
  <c r="L387" i="95"/>
  <c r="L388" i="95"/>
  <c r="L389" i="95"/>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L412" i="95"/>
  <c r="L413" i="95"/>
  <c r="L414" i="95"/>
  <c r="L415" i="95"/>
  <c r="L416" i="95"/>
  <c r="L417" i="95"/>
  <c r="L418" i="95"/>
  <c r="L419" i="95"/>
  <c r="L420" i="95"/>
  <c r="M2" i="95"/>
  <c r="M3" i="95"/>
  <c r="M4" i="95"/>
  <c r="M6" i="95"/>
  <c r="M7" i="95"/>
  <c r="M11" i="95"/>
  <c r="M13" i="95"/>
  <c r="M14" i="95"/>
  <c r="M21" i="95"/>
  <c r="M27" i="95"/>
  <c r="M28" i="95"/>
  <c r="M29" i="95"/>
  <c r="M30" i="95"/>
  <c r="M31" i="95"/>
  <c r="M32" i="95"/>
  <c r="M45" i="95"/>
  <c r="M46" i="95"/>
  <c r="M47" i="95"/>
  <c r="M48" i="95"/>
  <c r="M49" i="95"/>
  <c r="M50" i="95"/>
  <c r="M51" i="95"/>
  <c r="M52" i="95"/>
  <c r="M59" i="95"/>
  <c r="M60" i="95"/>
  <c r="M61" i="95"/>
  <c r="M62" i="95"/>
  <c r="M63" i="95"/>
  <c r="M64" i="95"/>
  <c r="M65" i="95"/>
  <c r="M66" i="95"/>
  <c r="M67" i="95"/>
  <c r="M68" i="95"/>
  <c r="M70" i="95"/>
  <c r="M91" i="95"/>
  <c r="M92" i="95"/>
  <c r="M93" i="95"/>
  <c r="M94" i="95"/>
  <c r="M95" i="95"/>
  <c r="M96" i="95"/>
  <c r="M97" i="95"/>
  <c r="M98" i="95"/>
  <c r="M99" i="95"/>
  <c r="M100" i="95"/>
  <c r="M102" i="95"/>
  <c r="M103" i="95"/>
  <c r="M108" i="95"/>
  <c r="M109" i="95"/>
  <c r="M110" i="95"/>
  <c r="M111" i="95"/>
  <c r="M112" i="95"/>
  <c r="M123" i="95"/>
  <c r="M124" i="95"/>
  <c r="M125" i="95"/>
  <c r="M126" i="95"/>
  <c r="M127" i="95"/>
  <c r="M128" i="95"/>
  <c r="M129" i="95"/>
  <c r="M130" i="95"/>
  <c r="M131" i="95"/>
  <c r="M132" i="95"/>
  <c r="M134" i="95"/>
  <c r="M141" i="95"/>
  <c r="M142" i="95"/>
  <c r="M143" i="95"/>
  <c r="M144" i="95"/>
  <c r="M145" i="95"/>
  <c r="M146" i="95"/>
  <c r="M147" i="95"/>
  <c r="M148" i="95"/>
  <c r="M149" i="95"/>
  <c r="M153" i="95"/>
  <c r="M154" i="95"/>
  <c r="M155" i="95"/>
  <c r="M156" i="95"/>
  <c r="M157" i="95"/>
  <c r="M158" i="95"/>
  <c r="M159" i="95"/>
  <c r="M160" i="95"/>
  <c r="M161" i="95"/>
  <c r="M162" i="95"/>
  <c r="M163" i="95"/>
  <c r="M164" i="95"/>
  <c r="M165" i="95"/>
  <c r="M166" i="95"/>
  <c r="M167" i="95"/>
  <c r="M173" i="95"/>
  <c r="M174" i="95"/>
  <c r="M175" i="95"/>
  <c r="M187" i="95"/>
  <c r="M188" i="95"/>
  <c r="M189" i="95"/>
  <c r="M190" i="95"/>
  <c r="M191" i="95"/>
  <c r="M192" i="95"/>
  <c r="M205" i="95"/>
  <c r="M206" i="95"/>
  <c r="M207" i="95"/>
  <c r="M208" i="95"/>
  <c r="M209" i="95"/>
  <c r="M210" i="95"/>
  <c r="M211" i="95"/>
  <c r="M213" i="95"/>
  <c r="M219" i="95"/>
  <c r="M220" i="95"/>
  <c r="M221" i="95"/>
  <c r="M222" i="95"/>
  <c r="M223" i="95"/>
  <c r="M224" i="95"/>
  <c r="M225" i="95"/>
  <c r="M226" i="95"/>
  <c r="M227" i="95"/>
  <c r="M228" i="95"/>
  <c r="M229" i="95"/>
  <c r="M230" i="95"/>
  <c r="M251" i="95"/>
  <c r="M252" i="95"/>
  <c r="M253" i="95"/>
  <c r="M254" i="95"/>
  <c r="M255" i="95"/>
  <c r="M256" i="95"/>
  <c r="M257" i="95"/>
  <c r="M258" i="95"/>
  <c r="M259" i="95"/>
  <c r="M260" i="95"/>
  <c r="M261" i="95"/>
  <c r="M262" i="95"/>
  <c r="M263" i="95"/>
  <c r="M267" i="95"/>
  <c r="M268" i="95"/>
  <c r="M269" i="95"/>
  <c r="M270" i="95"/>
  <c r="M271" i="95"/>
  <c r="M283" i="95"/>
  <c r="M284" i="95"/>
  <c r="M285" i="95"/>
  <c r="M286" i="95"/>
  <c r="M287" i="95"/>
  <c r="M288" i="95"/>
  <c r="M289" i="95"/>
  <c r="M290" i="95"/>
  <c r="M291" i="95"/>
  <c r="M292" i="95"/>
  <c r="M301" i="95"/>
  <c r="M302" i="95"/>
  <c r="M303" i="95"/>
  <c r="M304" i="95"/>
  <c r="M305" i="95"/>
  <c r="M306" i="95"/>
  <c r="M307" i="95"/>
  <c r="M308" i="95"/>
  <c r="M309" i="95"/>
  <c r="M313" i="95"/>
  <c r="M315" i="95"/>
  <c r="M316" i="95"/>
  <c r="M317" i="95"/>
  <c r="M318" i="95"/>
  <c r="M319" i="95"/>
  <c r="M320" i="95"/>
  <c r="M321" i="95"/>
  <c r="M322" i="95"/>
  <c r="M323" i="95"/>
  <c r="M324" i="95"/>
  <c r="M325" i="95"/>
  <c r="M326" i="95"/>
  <c r="M327" i="95"/>
  <c r="M333" i="95"/>
  <c r="M334" i="95"/>
  <c r="M341" i="95"/>
  <c r="M347" i="95"/>
  <c r="M348" i="95"/>
  <c r="M349" i="95"/>
  <c r="M350" i="95"/>
  <c r="M351" i="95"/>
  <c r="M352" i="95"/>
  <c r="M365" i="95"/>
  <c r="M366" i="95"/>
  <c r="M367" i="95"/>
  <c r="M368" i="95"/>
  <c r="M369" i="95"/>
  <c r="M370" i="95"/>
  <c r="M371" i="95"/>
  <c r="M372" i="95"/>
  <c r="M379" i="95"/>
  <c r="M380" i="95"/>
  <c r="M381" i="95"/>
  <c r="M382" i="95"/>
  <c r="M383" i="95"/>
  <c r="M384" i="95"/>
  <c r="M385" i="95"/>
  <c r="M386" i="95"/>
  <c r="M387" i="95"/>
  <c r="M388" i="95"/>
  <c r="M389" i="95"/>
  <c r="M411" i="95"/>
  <c r="M412" i="95"/>
  <c r="M413" i="95"/>
  <c r="M414" i="95"/>
  <c r="M415" i="95"/>
  <c r="M416" i="95"/>
  <c r="M417" i="95"/>
  <c r="M418" i="95"/>
  <c r="M419" i="95"/>
  <c r="M420"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s="1"/>
  <c r="L8" i="70" a="1"/>
  <c r="L8" i="70" s="1"/>
  <c r="L9" i="70" a="1"/>
  <c r="L9" i="70" s="1"/>
  <c r="L10" i="70" a="1"/>
  <c r="L10" i="70" s="1"/>
  <c r="L11" i="70" a="1"/>
  <c r="L11" i="70"/>
  <c r="L12" i="70" a="1"/>
  <c r="L12" i="70" s="1"/>
  <c r="L13" i="70" a="1"/>
  <c r="L13" i="70" s="1"/>
  <c r="L14" i="70" a="1"/>
  <c r="L14" i="70" s="1"/>
  <c r="L15" i="70" a="1"/>
  <c r="L15" i="70" s="1"/>
  <c r="L16" i="70" a="1"/>
  <c r="L16" i="70" s="1"/>
  <c r="L17" i="70" a="1"/>
  <c r="L17" i="70"/>
  <c r="L18" i="70" a="1"/>
  <c r="L18" i="70" s="1"/>
  <c r="L19" i="70" a="1"/>
  <c r="L19" i="70" s="1"/>
  <c r="L20" i="70" a="1"/>
  <c r="L20" i="70" s="1"/>
  <c r="L21" i="70" a="1"/>
  <c r="L21" i="70"/>
  <c r="L22" i="70" a="1"/>
  <c r="L22" i="70" s="1"/>
  <c r="L23" i="70" a="1"/>
  <c r="L23" i="70" s="1"/>
  <c r="L24" i="70" a="1"/>
  <c r="L24" i="70" s="1"/>
  <c r="L25" i="70" a="1"/>
  <c r="L25" i="70" s="1"/>
  <c r="L26" i="70" a="1"/>
  <c r="L26" i="70"/>
  <c r="L27" i="70" a="1"/>
  <c r="L27" i="70" s="1"/>
  <c r="L28" i="70" a="1"/>
  <c r="L28" i="70" s="1"/>
  <c r="E3" i="4"/>
  <c r="D47" i="8"/>
  <c r="R2" i="74"/>
  <c r="F2" i="74" s="1" a="1"/>
  <c r="F2" i="74" s="1"/>
  <c r="D14" i="8"/>
  <c r="D13" i="8"/>
  <c r="D12" i="8"/>
  <c r="D11" i="8" a="1"/>
  <c r="D11" i="8" s="1"/>
  <c r="K2" i="70"/>
  <c r="I47" i="8"/>
  <c r="H47" i="8"/>
  <c r="G47" i="8"/>
  <c r="F47" i="8"/>
  <c r="E47" i="8"/>
  <c r="G1" i="8" a="1"/>
  <c r="M24" i="70" l="1" a="1"/>
  <c r="M24" i="70" s="1"/>
  <c r="M5" i="70" a="1"/>
  <c r="M5" i="70" s="1"/>
  <c r="M6" i="70" a="1"/>
  <c r="M6" i="70" s="1"/>
  <c r="M19" i="70" a="1"/>
  <c r="M19" i="70" s="1"/>
  <c r="M18" i="70" a="1"/>
  <c r="M18" i="70" s="1"/>
  <c r="M17" i="70" a="1"/>
  <c r="M17" i="70" s="1"/>
  <c r="M16" i="70" a="1"/>
  <c r="M16" i="70" s="1"/>
  <c r="M15" i="70" a="1"/>
  <c r="M15" i="70" s="1"/>
  <c r="M20" i="70" a="1"/>
  <c r="M20" i="70" s="1"/>
  <c r="M14" i="70" a="1"/>
  <c r="M14" i="70" s="1"/>
  <c r="M13" i="70" a="1"/>
  <c r="M13" i="70" s="1"/>
  <c r="M28" i="70" a="1"/>
  <c r="M28" i="70" s="1"/>
  <c r="M12" i="70" a="1"/>
  <c r="M12" i="70" s="1"/>
  <c r="M27" i="70" a="1"/>
  <c r="M27" i="70" s="1"/>
  <c r="M11" i="70" a="1"/>
  <c r="M11" i="70" s="1"/>
  <c r="M25" i="70" a="1"/>
  <c r="M25" i="70" s="1"/>
  <c r="M9" i="70" a="1"/>
  <c r="M9" i="70" s="1"/>
  <c r="M8" i="70" a="1"/>
  <c r="M8" i="70" s="1"/>
  <c r="M10" i="70" a="1"/>
  <c r="M10" i="70" s="1"/>
  <c r="M23" i="70" a="1"/>
  <c r="M23" i="70" s="1"/>
  <c r="M7" i="70" a="1"/>
  <c r="M7" i="70" s="1"/>
  <c r="M22" i="70" a="1"/>
  <c r="M22" i="70" s="1"/>
  <c r="M26" i="70" a="1"/>
  <c r="M26" i="70" s="1"/>
  <c r="M21" i="70" a="1"/>
  <c r="M21" i="70" s="1"/>
  <c r="G2" i="100" a="1"/>
  <c r="G2" i="100" s="1"/>
  <c r="G1" i="8"/>
  <c r="L2" i="70" a="1"/>
  <c r="L2" i="70" s="1"/>
  <c r="M2" i="70" l="1" a="1"/>
  <c r="M2" i="70" s="1"/>
  <c r="N26" i="70" s="1"/>
  <c r="N5" i="70" l="1"/>
  <c r="N6" i="70"/>
  <c r="N24" i="70"/>
  <c r="N17" i="70"/>
  <c r="N20" i="70"/>
  <c r="N27" i="70"/>
  <c r="N10" i="70"/>
  <c r="N18" i="70"/>
  <c r="N12" i="70"/>
  <c r="N8" i="70"/>
  <c r="N7" i="70"/>
  <c r="N19" i="70"/>
  <c r="N16" i="70"/>
  <c r="N13" i="70"/>
  <c r="N9" i="70"/>
  <c r="N22" i="70"/>
  <c r="N14" i="70"/>
  <c r="N11" i="70"/>
  <c r="N23" i="70"/>
  <c r="N15" i="70"/>
  <c r="N28" i="70"/>
  <c r="N25" i="70"/>
  <c r="N2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G19" i="4"/>
  <c r="J19" i="4"/>
  <c r="M19" i="4"/>
  <c r="D31" i="4"/>
  <c r="A43" i="8"/>
  <c r="J31" i="4" s="1"/>
  <c r="A44" i="8"/>
  <c r="M31" i="4" s="1"/>
  <c r="B11" i="26" a="1"/>
  <c r="B10" i="26" a="1"/>
  <c r="O2" i="95" l="1" a="1"/>
  <c r="G81" i="8" s="1"/>
  <c r="G82" i="8" s="1" a="1"/>
  <c r="G82" i="8" s="1"/>
  <c r="D19" i="8" a="1"/>
  <c r="D19" i="8" s="1"/>
  <c r="H15" i="26" s="1"/>
  <c r="H14" i="26" a="1"/>
  <c r="H14" i="26" s="1"/>
  <c r="AM2" i="77" a="1"/>
  <c r="B10" i="26"/>
  <c r="B11" i="26"/>
  <c r="Q2" i="29"/>
  <c r="D5" i="8" s="1"/>
  <c r="O2" i="95" l="1"/>
  <c r="S48" i="8"/>
  <c r="X2" i="95"/>
  <c r="S6" i="95"/>
  <c r="M6" i="15" s="1"/>
  <c r="AM2" i="77"/>
  <c r="L9" i="26"/>
  <c r="B54" i="26"/>
  <c r="D36" i="8"/>
  <c r="K2" i="90"/>
  <c r="K3" i="90" s="1"/>
  <c r="M26" i="26" s="1"/>
  <c r="Y2" i="95" l="1"/>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6" i="90" l="1"/>
  <c r="K7" i="90" s="1"/>
  <c r="C2" i="13"/>
  <c r="E2" i="13"/>
  <c r="E2" i="14"/>
  <c r="K8" i="90" a="1"/>
  <c r="K8" i="90" s="1"/>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1"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<sst xmlns="http://schemas.openxmlformats.org/spreadsheetml/2006/main" count="1307" uniqueCount="753">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</sst>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2">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9" formatCode="m/d/yyyy"/>
    </dxf>
    <dxf>
      <numFmt numFmtId="19" formatCode="m/d/yyyy"/>
    </dxf>
    <dxf>
      <numFmt numFmtId="2" formatCode="0.00"/>
    </dxf>
    <dxf>
      <numFmt numFmtId="19" formatCode="m/d/yyyy"/>
    </dxf>
    <dxf>
      <numFmt numFmtId="182" formatCode="[$-F400]h:mm:ss\ AM/P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3"/>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741</v>
      </c>
      <c r="L1" s="468" t="s">
        <v>736</v>
      </c>
      <c r="M1" s="469" t="s">
        <v>737</v>
      </c>
      <c r="S1" t="s">
        <v>742</v>
      </c>
      <c r="T1" t="s">
        <v>741</v>
      </c>
    </row>
    <row r="2" spans="1:20" x14ac:dyDescent="0.2">
      <c r="J2" s="51"/>
      <c r="K2" t="e">
        <f>IF(DaqbookAssetTag&lt;&gt;"",LEFT(DaqbookAssetTag,1),NA())</f>
        <v>#N/A</v>
      </c>
      <c r="L2" t="b" cm="1">
        <f t="array" ref="L2">AND(WireSetSNs="")</f>
        <v>1</v>
      </c>
      <c r="M2" t="b" cm="1">
        <f t="array" ref="M2">AND(types="")</f>
        <v>1</v>
      </c>
      <c r="S2" t="s">
        <v>330</v>
      </c>
      <c r="T2" t="s">
        <v>328</v>
      </c>
    </row>
    <row r="3" spans="1:20" x14ac:dyDescent="0.2">
      <c r="S3" t="s">
        <v>328</v>
      </c>
      <c r="T3" t="s">
        <v>328</v>
      </c>
    </row>
    <row r="4" spans="1:20" x14ac:dyDescent="0.2">
      <c r="A4"/>
      <c r="B4"/>
      <c r="C4"/>
      <c r="D4"/>
      <c r="E4"/>
      <c r="F4"/>
      <c r="G4"/>
      <c r="H4"/>
      <c r="I4" s="36" t="s">
        <v>746</v>
      </c>
      <c r="J4"/>
      <c r="K4" s="36" t="s">
        <v>743</v>
      </c>
      <c r="L4" s="36" t="s">
        <v>738</v>
      </c>
      <c r="M4" s="36" t="s">
        <v>739</v>
      </c>
      <c r="N4" s="36" t="s">
        <v>735</v>
      </c>
      <c r="S4" t="s">
        <v>329</v>
      </c>
      <c r="T4" t="s">
        <v>329</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327</v>
      </c>
      <c r="T5" t="s">
        <v>327</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740</v>
      </c>
      <c r="T6" s="36" t="s">
        <v>327</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379</v>
      </c>
      <c r="E1" s="34" t="s">
        <v>380</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437</v>
      </c>
      <c r="K1"/>
      <c r="L1"/>
      <c r="M1"/>
      <c r="N1"/>
      <c r="O1" s="36" t="s">
        <v>744</v>
      </c>
      <c r="P1" s="36" t="s">
        <v>745</v>
      </c>
      <c r="R1" s="468" t="s">
        <v>741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J18" sqref="J18"/>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389</v>
      </c>
      <c r="F1" s="36" t="s">
        <v>202</v>
      </c>
      <c r="G1" s="36" t="s">
        <v>203</v>
      </c>
      <c r="H1" s="36" t="s">
        <v>392</v>
      </c>
      <c r="J1" s="544" t="s">
        <v>387</v>
      </c>
      <c r="K1" s="545"/>
      <c r="M1" s="397" t="s">
        <v>382</v>
      </c>
      <c r="N1" s="398" t="s">
        <v>386</v>
      </c>
      <c r="O1" s="398" t="s">
        <v>378</v>
      </c>
      <c r="P1" s="398" t="s">
        <v>14</v>
      </c>
      <c r="Q1" s="449" t="s">
        <v>441</v>
      </c>
      <c r="R1" s="449" t="s">
        <v>202</v>
      </c>
      <c r="S1" s="449" t="s">
        <v>203</v>
      </c>
      <c r="T1" s="449" t="s">
        <v>442</v>
      </c>
    </row>
    <row r="2" spans="1:20" x14ac:dyDescent="0.2">
      <c r="A2" s="386"/>
      <c r="J2" s="400" t="s">
        <v>383</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390</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394</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395</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393</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384</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385</v>
      </c>
      <c r="K8" s="405" cm="1">
        <f t="array" ref="K8">_xlfn._xlws.FILTER(CMCs[CMC],CMCs[MatchingRow])</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391</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324</v>
      </c>
      <c r="I1" s="457" t="s">
        <v>444</v>
      </c>
      <c r="J1" s="457" t="s">
        <v>378</v>
      </c>
      <c r="K1" s="457" t="s">
        <v>443</v>
      </c>
      <c r="M1" s="457" t="s">
        <v>444</v>
      </c>
      <c r="N1" s="457" t="s">
        <v>727</v>
      </c>
      <c r="O1" s="457" t="s">
        <v>728</v>
      </c>
      <c r="P1" s="457" t="s">
        <v>86</v>
      </c>
      <c r="Q1" s="457" t="s">
        <v>464</v>
      </c>
      <c r="R1" s="457" t="s">
        <v>724</v>
      </c>
      <c r="S1" s="457" t="s">
        <v>725</v>
      </c>
      <c r="T1" s="457" t="s">
        <v>726</v>
      </c>
      <c r="W1" s="36" t="s">
        <v>729</v>
      </c>
      <c r="X1" s="36" t="s">
        <v>734</v>
      </c>
      <c r="Z1" s="463" t="s">
        <v>729</v>
      </c>
      <c r="AA1" s="464" t="s">
        <v>733</v>
      </c>
      <c r="AB1" s="473"/>
      <c r="AC1" s="473"/>
      <c r="AD1" s="473"/>
      <c r="AE1" s="473"/>
      <c r="AF1" s="1"/>
      <c r="AG1" s="465" t="s">
        <v>732</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445</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446</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447</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448</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449</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450</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451</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452</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453</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454</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457</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458</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459</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460</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461</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462</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463</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477</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478</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455</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479</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480</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481</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482</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483</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484</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485</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486</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487</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488</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456</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489</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465</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466</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467</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468</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469</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470</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471</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472</v>
      </c>
      <c r="X41" t="s">
        <v>165</v>
      </c>
      <c r="Z41" s="462" t="str">
        <v>J109</v>
      </c>
      <c r="AA41" s="194" t="str">
        <v>J101-J110</v>
      </c>
      <c r="AG41" s="69" t="str">
        <v>J109</v>
      </c>
    </row>
    <row r="42" spans="1:33" x14ac:dyDescent="0.2">
      <c r="A42"/>
      <c r="B42"/>
      <c r="C42"/>
      <c r="D42"/>
      <c r="E42"/>
      <c r="F42" t="str">
        <f>LEFT(AllDaqbookOffsets[[#This Row],[traceability_no]],2)</f>
        <v>J1</v>
      </c>
      <c r="W42" t="s">
        <v>490</v>
      </c>
      <c r="X42" t="s">
        <v>168</v>
      </c>
      <c r="Z42" s="462" t="str">
        <v>J11</v>
      </c>
      <c r="AA42" s="194" t="str">
        <v>J01-J24</v>
      </c>
      <c r="AG42" s="69" t="str">
        <v>J11</v>
      </c>
    </row>
    <row r="43" spans="1:33" x14ac:dyDescent="0.2">
      <c r="A43"/>
      <c r="B43"/>
      <c r="C43"/>
      <c r="D43"/>
      <c r="E43"/>
      <c r="F43" t="str">
        <f>LEFT(AllDaqbookOffsets[[#This Row],[traceability_no]],2)</f>
        <v>J1</v>
      </c>
      <c r="W43" t="s">
        <v>491</v>
      </c>
      <c r="X43" t="s">
        <v>168</v>
      </c>
      <c r="Z43" s="462" t="str">
        <v>J110</v>
      </c>
      <c r="AA43" s="194" t="str">
        <v>J101-J110</v>
      </c>
      <c r="AG43" s="69" t="str">
        <v>J110</v>
      </c>
    </row>
    <row r="44" spans="1:33" x14ac:dyDescent="0.2">
      <c r="A44"/>
      <c r="B44"/>
      <c r="C44"/>
      <c r="D44"/>
      <c r="E44"/>
      <c r="F44" t="str">
        <f>LEFT(AllDaqbookOffsets[[#This Row],[traceability_no]],2)</f>
        <v>J1</v>
      </c>
      <c r="W44" t="s">
        <v>492</v>
      </c>
      <c r="X44" t="s">
        <v>168</v>
      </c>
      <c r="Z44" s="462" t="str">
        <v>J111</v>
      </c>
      <c r="AA44" s="194" t="str">
        <v>J111-J120</v>
      </c>
      <c r="AG44" s="69" t="str">
        <v>J111</v>
      </c>
    </row>
    <row r="45" spans="1:33" x14ac:dyDescent="0.2">
      <c r="A45"/>
      <c r="B45"/>
      <c r="C45"/>
      <c r="D45"/>
      <c r="E45"/>
      <c r="F45" t="str">
        <f>LEFT(AllDaqbookOffsets[[#This Row],[traceability_no]],2)</f>
        <v>J1</v>
      </c>
      <c r="W45" t="s">
        <v>493</v>
      </c>
      <c r="X45" t="s">
        <v>168</v>
      </c>
      <c r="Z45" s="462" t="str">
        <v>J112</v>
      </c>
      <c r="AA45" s="194" t="str">
        <v>J111-J120</v>
      </c>
      <c r="AG45" s="69" t="str">
        <v>J112</v>
      </c>
    </row>
    <row r="46" spans="1:33" x14ac:dyDescent="0.2">
      <c r="A46"/>
      <c r="B46"/>
      <c r="C46"/>
      <c r="D46"/>
      <c r="E46"/>
      <c r="F46" t="str">
        <f>LEFT(AllDaqbookOffsets[[#This Row],[traceability_no]],2)</f>
        <v>J1</v>
      </c>
      <c r="W46" t="s">
        <v>494</v>
      </c>
      <c r="X46" t="s">
        <v>168</v>
      </c>
      <c r="Z46" s="462" t="str">
        <v>J113</v>
      </c>
      <c r="AA46" s="194" t="str">
        <v>J111-J120</v>
      </c>
      <c r="AG46" s="69" t="str">
        <v>J113</v>
      </c>
    </row>
    <row r="47" spans="1:33" x14ac:dyDescent="0.2">
      <c r="A47"/>
      <c r="B47"/>
      <c r="C47"/>
      <c r="D47"/>
      <c r="E47"/>
      <c r="F47" t="str">
        <f>LEFT(AllDaqbookOffsets[[#This Row],[traceability_no]],2)</f>
        <v>J1</v>
      </c>
      <c r="W47" t="s">
        <v>495</v>
      </c>
      <c r="X47" t="s">
        <v>168</v>
      </c>
      <c r="Z47" s="462" t="str">
        <v>J114</v>
      </c>
      <c r="AA47" s="194" t="str">
        <v>J111-J120</v>
      </c>
      <c r="AG47" s="69" t="str">
        <v>J114</v>
      </c>
    </row>
    <row r="48" spans="1:33" x14ac:dyDescent="0.2">
      <c r="A48"/>
      <c r="B48"/>
      <c r="C48"/>
      <c r="D48"/>
      <c r="E48"/>
      <c r="F48" t="str">
        <f>LEFT(AllDaqbookOffsets[[#This Row],[traceability_no]],2)</f>
        <v>J1</v>
      </c>
      <c r="W48" t="s">
        <v>496</v>
      </c>
      <c r="X48" t="s">
        <v>168</v>
      </c>
      <c r="Z48" s="462" t="str">
        <v>J115</v>
      </c>
      <c r="AA48" s="194" t="str">
        <v>J111-J120</v>
      </c>
      <c r="AG48" s="69" t="str">
        <v>J115</v>
      </c>
    </row>
    <row r="49" spans="1:33" x14ac:dyDescent="0.2">
      <c r="A49"/>
      <c r="B49"/>
      <c r="C49"/>
      <c r="D49"/>
      <c r="E49"/>
      <c r="F49" t="str">
        <f>LEFT(AllDaqbookOffsets[[#This Row],[traceability_no]],2)</f>
        <v>J1</v>
      </c>
      <c r="W49" t="s">
        <v>497</v>
      </c>
      <c r="X49" t="s">
        <v>168</v>
      </c>
      <c r="Z49" s="462" t="str">
        <v>J116</v>
      </c>
      <c r="AA49" s="194" t="str">
        <v>J111-J120</v>
      </c>
      <c r="AG49" s="69" t="str">
        <v>J116</v>
      </c>
    </row>
    <row r="50" spans="1:33" x14ac:dyDescent="0.2">
      <c r="A50"/>
      <c r="B50"/>
      <c r="C50"/>
      <c r="D50"/>
      <c r="E50"/>
      <c r="F50" t="str">
        <f>LEFT(AllDaqbookOffsets[[#This Row],[traceability_no]],2)</f>
        <v>J1</v>
      </c>
      <c r="W50" t="s">
        <v>498</v>
      </c>
      <c r="X50" t="s">
        <v>168</v>
      </c>
      <c r="Z50" s="462" t="str">
        <v>J117</v>
      </c>
      <c r="AA50" s="194" t="str">
        <v>J111-J120</v>
      </c>
      <c r="AG50" s="69" t="str">
        <v>J117</v>
      </c>
    </row>
    <row r="51" spans="1:33" x14ac:dyDescent="0.2">
      <c r="A51"/>
      <c r="B51"/>
      <c r="C51"/>
      <c r="D51"/>
      <c r="E51"/>
      <c r="F51" t="str">
        <f>LEFT(AllDaqbookOffsets[[#This Row],[traceability_no]],2)</f>
        <v>J1</v>
      </c>
      <c r="W51" t="s">
        <v>473</v>
      </c>
      <c r="X51" t="s">
        <v>165</v>
      </c>
      <c r="Z51" s="462" t="str">
        <v>J118</v>
      </c>
      <c r="AA51" s="194" t="str">
        <v>J111-J120</v>
      </c>
      <c r="AG51" s="69" t="str">
        <v>J118</v>
      </c>
    </row>
    <row r="52" spans="1:33" x14ac:dyDescent="0.2">
      <c r="A52"/>
      <c r="B52"/>
      <c r="C52"/>
      <c r="D52"/>
      <c r="E52"/>
      <c r="F52" t="str">
        <f>LEFT(AllDaqbookOffsets[[#This Row],[traceability_no]],2)</f>
        <v>J1</v>
      </c>
      <c r="W52" t="s">
        <v>499</v>
      </c>
      <c r="X52" t="s">
        <v>168</v>
      </c>
      <c r="Z52" s="462" t="str">
        <v>J119</v>
      </c>
      <c r="AA52" s="194" t="str">
        <v>J111-J120</v>
      </c>
      <c r="AG52" s="69" t="str">
        <v>J119</v>
      </c>
    </row>
    <row r="53" spans="1:33" x14ac:dyDescent="0.2">
      <c r="A53"/>
      <c r="B53"/>
      <c r="C53"/>
      <c r="D53"/>
      <c r="E53"/>
      <c r="F53" t="str">
        <f>LEFT(AllDaqbookOffsets[[#This Row],[traceability_no]],2)</f>
        <v>J1</v>
      </c>
      <c r="W53" t="s">
        <v>500</v>
      </c>
      <c r="X53" t="s">
        <v>168</v>
      </c>
      <c r="Z53" s="462" t="str">
        <v>J12</v>
      </c>
      <c r="AA53" s="194" t="str">
        <v>J01-J24</v>
      </c>
      <c r="AG53" s="69" t="str">
        <v>J12</v>
      </c>
    </row>
    <row r="54" spans="1:33" x14ac:dyDescent="0.2">
      <c r="A54"/>
      <c r="B54"/>
      <c r="C54"/>
      <c r="D54"/>
      <c r="E54"/>
      <c r="F54" t="str">
        <f>LEFT(AllDaqbookOffsets[[#This Row],[traceability_no]],2)</f>
        <v>J1</v>
      </c>
      <c r="W54" t="s">
        <v>501</v>
      </c>
      <c r="X54" t="s">
        <v>168</v>
      </c>
      <c r="Z54" s="462" t="str">
        <v>J120</v>
      </c>
      <c r="AA54" s="194" t="str">
        <v>J111-J120</v>
      </c>
      <c r="AG54" s="69" t="str">
        <v>J120</v>
      </c>
    </row>
    <row r="55" spans="1:33" x14ac:dyDescent="0.2">
      <c r="A55"/>
      <c r="B55"/>
      <c r="C55"/>
      <c r="D55"/>
      <c r="E55"/>
      <c r="F55" t="str">
        <f>LEFT(AllDaqbookOffsets[[#This Row],[traceability_no]],2)</f>
        <v>J1</v>
      </c>
      <c r="W55" t="s">
        <v>502</v>
      </c>
      <c r="X55" t="s">
        <v>168</v>
      </c>
      <c r="Z55" s="462" t="str">
        <v>J13</v>
      </c>
      <c r="AA55" s="194" t="str">
        <v>J01-J24</v>
      </c>
      <c r="AG55" s="69" t="str">
        <v>J13</v>
      </c>
    </row>
    <row r="56" spans="1:33" x14ac:dyDescent="0.2">
      <c r="A56"/>
      <c r="B56"/>
      <c r="C56"/>
      <c r="D56"/>
      <c r="E56"/>
      <c r="F56" t="str">
        <f>LEFT(AllDaqbookOffsets[[#This Row],[traceability_no]],2)</f>
        <v>J1</v>
      </c>
      <c r="W56" t="s">
        <v>503</v>
      </c>
      <c r="X56" t="s">
        <v>168</v>
      </c>
      <c r="Z56" s="462" t="str">
        <v>J14</v>
      </c>
      <c r="AA56" s="194" t="str">
        <v>J01-J24</v>
      </c>
      <c r="AG56" s="69" t="str">
        <v>J14</v>
      </c>
    </row>
    <row r="57" spans="1:33" x14ac:dyDescent="0.2">
      <c r="A57"/>
      <c r="B57"/>
      <c r="C57"/>
      <c r="D57"/>
      <c r="E57"/>
      <c r="F57" t="str">
        <f>LEFT(AllDaqbookOffsets[[#This Row],[traceability_no]],2)</f>
        <v>J1</v>
      </c>
      <c r="W57" t="s">
        <v>474</v>
      </c>
      <c r="X57" t="s">
        <v>165</v>
      </c>
      <c r="Z57" s="462" t="str">
        <v>J15</v>
      </c>
      <c r="AA57" s="194" t="str">
        <v>J01-J24</v>
      </c>
      <c r="AG57" s="69" t="str">
        <v>J15</v>
      </c>
    </row>
    <row r="58" spans="1:33" x14ac:dyDescent="0.2">
      <c r="A58"/>
      <c r="B58"/>
      <c r="C58"/>
      <c r="D58"/>
      <c r="E58"/>
      <c r="F58" t="str">
        <f>LEFT(AllDaqbookOffsets[[#This Row],[traceability_no]],2)</f>
        <v>J1</v>
      </c>
      <c r="W58" t="s">
        <v>475</v>
      </c>
      <c r="X58" t="s">
        <v>165</v>
      </c>
      <c r="Z58" s="462" t="str">
        <v>J16</v>
      </c>
      <c r="AA58" s="194" t="str">
        <v>J01-J24</v>
      </c>
      <c r="AG58" s="69" t="str">
        <v>J16</v>
      </c>
    </row>
    <row r="59" spans="1:33" x14ac:dyDescent="0.2">
      <c r="A59"/>
      <c r="B59"/>
      <c r="C59"/>
      <c r="D59"/>
      <c r="E59"/>
      <c r="F59" t="str">
        <f>LEFT(AllDaqbookOffsets[[#This Row],[traceability_no]],2)</f>
        <v>J1</v>
      </c>
      <c r="W59" t="s">
        <v>476</v>
      </c>
      <c r="X59" t="s">
        <v>165</v>
      </c>
      <c r="Z59" s="462" t="str">
        <v>J17</v>
      </c>
      <c r="AA59" s="194" t="str">
        <v>J01-J24</v>
      </c>
      <c r="AG59" s="69" t="str">
        <v>J17</v>
      </c>
    </row>
    <row r="60" spans="1:33" x14ac:dyDescent="0.2">
      <c r="A60"/>
      <c r="B60"/>
      <c r="C60"/>
      <c r="D60"/>
      <c r="E60"/>
      <c r="F60" t="str">
        <f>LEFT(AllDaqbookOffsets[[#This Row],[traceability_no]],2)</f>
        <v>J1</v>
      </c>
      <c r="W60" t="s">
        <v>504</v>
      </c>
      <c r="X60" t="s">
        <v>169</v>
      </c>
      <c r="Z60" s="462" t="str">
        <v>J18</v>
      </c>
      <c r="AA60" s="194" t="str">
        <v>J01-J24</v>
      </c>
      <c r="AG60" s="69" t="str">
        <v>J18</v>
      </c>
    </row>
    <row r="61" spans="1:33" x14ac:dyDescent="0.2">
      <c r="A61"/>
      <c r="B61"/>
      <c r="C61"/>
      <c r="D61"/>
      <c r="E61"/>
      <c r="F61" t="str">
        <f>LEFT(AllDaqbookOffsets[[#This Row],[traceability_no]],2)</f>
        <v>J1</v>
      </c>
      <c r="W61" t="s">
        <v>505</v>
      </c>
      <c r="X61" t="s">
        <v>169</v>
      </c>
      <c r="Z61" s="462" t="str">
        <v>J19</v>
      </c>
      <c r="AA61" s="194" t="str">
        <v>J01-J24</v>
      </c>
      <c r="AG61" s="69" t="str">
        <v>J19</v>
      </c>
    </row>
    <row r="62" spans="1:33" x14ac:dyDescent="0.2">
      <c r="A62"/>
      <c r="B62"/>
      <c r="C62"/>
      <c r="D62"/>
      <c r="E62"/>
      <c r="F62" t="str">
        <f>LEFT(AllDaqbookOffsets[[#This Row],[traceability_no]],2)</f>
        <v>J1</v>
      </c>
      <c r="W62" t="s">
        <v>506</v>
      </c>
      <c r="X62" t="s">
        <v>169</v>
      </c>
      <c r="Z62" s="462" t="str">
        <v>J20</v>
      </c>
      <c r="AA62" s="194" t="str">
        <v>J01-J24</v>
      </c>
      <c r="AG62" s="69" t="str">
        <v>J20</v>
      </c>
    </row>
    <row r="63" spans="1:33" x14ac:dyDescent="0.2">
      <c r="A63"/>
      <c r="B63"/>
      <c r="C63"/>
      <c r="D63"/>
      <c r="E63"/>
      <c r="F63" t="str">
        <f>LEFT(AllDaqbookOffsets[[#This Row],[traceability_no]],2)</f>
        <v>J1</v>
      </c>
      <c r="W63" t="s">
        <v>507</v>
      </c>
      <c r="X63" t="s">
        <v>169</v>
      </c>
      <c r="Z63" s="462" t="str">
        <v>J201</v>
      </c>
      <c r="AA63" s="194" t="str">
        <v>J201-J214</v>
      </c>
      <c r="AG63" s="69" t="str">
        <v>J201</v>
      </c>
    </row>
    <row r="64" spans="1:33" x14ac:dyDescent="0.2">
      <c r="A64"/>
      <c r="B64"/>
      <c r="C64"/>
      <c r="D64"/>
      <c r="E64"/>
      <c r="F64" t="str">
        <f>LEFT(AllDaqbookOffsets[[#This Row],[traceability_no]],2)</f>
        <v>J1</v>
      </c>
      <c r="W64" t="s">
        <v>508</v>
      </c>
      <c r="X64" t="s">
        <v>169</v>
      </c>
      <c r="Z64" s="462" t="str">
        <v>J202</v>
      </c>
      <c r="AA64" s="194" t="str">
        <v>J201-J214</v>
      </c>
      <c r="AG64" s="69" t="str">
        <v>J202</v>
      </c>
    </row>
    <row r="65" spans="1:33" x14ac:dyDescent="0.2">
      <c r="A65"/>
      <c r="B65"/>
      <c r="C65"/>
      <c r="D65"/>
      <c r="E65"/>
      <c r="F65" t="str">
        <f>LEFT(AllDaqbookOffsets[[#This Row],[traceability_no]],2)</f>
        <v>J1</v>
      </c>
      <c r="W65" t="s">
        <v>509</v>
      </c>
      <c r="X65" t="s">
        <v>169</v>
      </c>
      <c r="Z65" s="462" t="str">
        <v>J203</v>
      </c>
      <c r="AA65" s="194" t="str">
        <v>J201-J214</v>
      </c>
      <c r="AG65" s="69" t="str">
        <v>J203</v>
      </c>
    </row>
    <row r="66" spans="1:33" x14ac:dyDescent="0.2">
      <c r="A66"/>
      <c r="B66"/>
      <c r="C66"/>
      <c r="D66"/>
      <c r="E66"/>
      <c r="F66" t="str">
        <f>LEFT(AllDaqbookOffsets[[#This Row],[traceability_no]],2)</f>
        <v>J1</v>
      </c>
      <c r="W66" t="s">
        <v>510</v>
      </c>
      <c r="X66" t="s">
        <v>169</v>
      </c>
      <c r="Z66" s="462" t="str">
        <v>J204</v>
      </c>
      <c r="AA66" s="194" t="str">
        <v>J201-J214</v>
      </c>
      <c r="AG66" s="69" t="str">
        <v>J204</v>
      </c>
    </row>
    <row r="67" spans="1:33" x14ac:dyDescent="0.2">
      <c r="A67"/>
      <c r="B67"/>
      <c r="C67"/>
      <c r="D67"/>
      <c r="E67"/>
      <c r="F67" t="str">
        <f>LEFT(AllDaqbookOffsets[[#This Row],[traceability_no]],2)</f>
        <v>J1</v>
      </c>
      <c r="W67" t="s">
        <v>511</v>
      </c>
      <c r="X67" t="s">
        <v>169</v>
      </c>
      <c r="Z67" s="462" t="str">
        <v>J205</v>
      </c>
      <c r="AA67" s="194" t="str">
        <v>J201-J214</v>
      </c>
      <c r="AG67" s="69" t="str">
        <v>J205</v>
      </c>
    </row>
    <row r="68" spans="1:33" x14ac:dyDescent="0.2">
      <c r="A68"/>
      <c r="B68"/>
      <c r="C68"/>
      <c r="D68"/>
      <c r="E68"/>
      <c r="F68" t="str">
        <f>LEFT(AllDaqbookOffsets[[#This Row],[traceability_no]],2)</f>
        <v>J1</v>
      </c>
      <c r="W68" t="s">
        <v>512</v>
      </c>
      <c r="X68" t="s">
        <v>169</v>
      </c>
      <c r="Z68" s="462" t="str">
        <v>J206</v>
      </c>
      <c r="AA68" s="194" t="str">
        <v>J201-J214</v>
      </c>
      <c r="AG68" s="69" t="str">
        <v>J206</v>
      </c>
    </row>
    <row r="69" spans="1:33" x14ac:dyDescent="0.2">
      <c r="A69"/>
      <c r="B69"/>
      <c r="C69"/>
      <c r="D69"/>
      <c r="E69"/>
      <c r="F69" t="str">
        <f>LEFT(AllDaqbookOffsets[[#This Row],[traceability_no]],2)</f>
        <v>J1</v>
      </c>
      <c r="W69" t="s">
        <v>513</v>
      </c>
      <c r="X69" t="s">
        <v>169</v>
      </c>
      <c r="Z69" s="462" t="str">
        <v>J207</v>
      </c>
      <c r="AA69" s="194" t="str">
        <v>J201-J214</v>
      </c>
      <c r="AG69" s="69" t="str">
        <v>J207</v>
      </c>
    </row>
    <row r="70" spans="1:33" x14ac:dyDescent="0.2">
      <c r="A70"/>
      <c r="B70"/>
      <c r="C70"/>
      <c r="D70"/>
      <c r="E70"/>
      <c r="F70" t="str">
        <f>LEFT(AllDaqbookOffsets[[#This Row],[traceability_no]],2)</f>
        <v>J1</v>
      </c>
      <c r="W70" t="s">
        <v>514</v>
      </c>
      <c r="X70" t="s">
        <v>169</v>
      </c>
      <c r="Z70" s="462" t="str">
        <v>J208</v>
      </c>
      <c r="AA70" s="194" t="str">
        <v>J201-J214</v>
      </c>
      <c r="AG70" s="69" t="str">
        <v>J208</v>
      </c>
    </row>
    <row r="71" spans="1:33" x14ac:dyDescent="0.2">
      <c r="A71"/>
      <c r="B71"/>
      <c r="C71"/>
      <c r="D71"/>
      <c r="E71"/>
      <c r="F71" t="str">
        <f>LEFT(AllDaqbookOffsets[[#This Row],[traceability_no]],2)</f>
        <v>J1</v>
      </c>
      <c r="W71" t="s">
        <v>515</v>
      </c>
      <c r="X71" t="s">
        <v>169</v>
      </c>
      <c r="Z71" s="462" t="str">
        <v>J209</v>
      </c>
      <c r="AA71" s="194" t="str">
        <v>J201-J214</v>
      </c>
      <c r="AG71" s="69" t="str">
        <v>J209</v>
      </c>
    </row>
    <row r="72" spans="1:33" x14ac:dyDescent="0.2">
      <c r="A72"/>
      <c r="B72"/>
      <c r="C72"/>
      <c r="D72"/>
      <c r="E72"/>
      <c r="F72" t="str">
        <f>LEFT(AllDaqbookOffsets[[#This Row],[traceability_no]],2)</f>
        <v>J1</v>
      </c>
      <c r="W72" t="s">
        <v>516</v>
      </c>
      <c r="X72" t="s">
        <v>169</v>
      </c>
      <c r="Z72" s="462" t="str">
        <v>J21</v>
      </c>
      <c r="AA72" s="194" t="str">
        <v>J01-J24</v>
      </c>
      <c r="AG72" s="69" t="str">
        <v>J21</v>
      </c>
    </row>
    <row r="73" spans="1:33" x14ac:dyDescent="0.2">
      <c r="A73"/>
      <c r="B73"/>
      <c r="C73"/>
      <c r="D73"/>
      <c r="E73"/>
      <c r="F73" t="str">
        <f>LEFT(AllDaqbookOffsets[[#This Row],[traceability_no]],2)</f>
        <v>J1</v>
      </c>
      <c r="W73" t="s">
        <v>517</v>
      </c>
      <c r="X73" t="s">
        <v>169</v>
      </c>
      <c r="Z73" s="462" t="str">
        <v>J210</v>
      </c>
      <c r="AA73" s="194" t="str">
        <v>J201-J214</v>
      </c>
      <c r="AG73" s="69" t="str">
        <v>J210</v>
      </c>
    </row>
    <row r="74" spans="1:33" x14ac:dyDescent="0.2">
      <c r="A74"/>
      <c r="B74"/>
      <c r="C74"/>
      <c r="D74"/>
      <c r="E74"/>
      <c r="F74" t="str">
        <f>LEFT(AllDaqbookOffsets[[#This Row],[traceability_no]],2)</f>
        <v>J1</v>
      </c>
      <c r="W74" t="s">
        <v>518</v>
      </c>
      <c r="X74" t="s">
        <v>170</v>
      </c>
      <c r="Z74" s="462" t="str">
        <v>J211</v>
      </c>
      <c r="AA74" s="194" t="str">
        <v>J201-J214</v>
      </c>
      <c r="AG74" s="69" t="str">
        <v>J211</v>
      </c>
    </row>
    <row r="75" spans="1:33" x14ac:dyDescent="0.2">
      <c r="A75"/>
      <c r="B75"/>
      <c r="C75"/>
      <c r="D75"/>
      <c r="E75"/>
      <c r="F75" t="str">
        <f>LEFT(AllDaqbookOffsets[[#This Row],[traceability_no]],2)</f>
        <v>J1</v>
      </c>
      <c r="W75" t="s">
        <v>519</v>
      </c>
      <c r="X75" t="s">
        <v>170</v>
      </c>
      <c r="Z75" s="462" t="str">
        <v>J212</v>
      </c>
      <c r="AA75" s="194" t="str">
        <v>J201-J214</v>
      </c>
      <c r="AG75" s="69" t="str">
        <v>J212</v>
      </c>
    </row>
    <row r="76" spans="1:33" x14ac:dyDescent="0.2">
      <c r="A76"/>
      <c r="B76"/>
      <c r="C76"/>
      <c r="D76"/>
      <c r="E76"/>
      <c r="F76" t="str">
        <f>LEFT(AllDaqbookOffsets[[#This Row],[traceability_no]],2)</f>
        <v>J1</v>
      </c>
      <c r="W76" t="s">
        <v>520</v>
      </c>
      <c r="X76" t="s">
        <v>170</v>
      </c>
      <c r="Z76" s="462" t="str">
        <v>J213</v>
      </c>
      <c r="AA76" s="194" t="str">
        <v>J201-J214</v>
      </c>
      <c r="AG76" s="69" t="str">
        <v>J213</v>
      </c>
    </row>
    <row r="77" spans="1:33" x14ac:dyDescent="0.2">
      <c r="A77"/>
      <c r="B77"/>
      <c r="C77"/>
      <c r="D77"/>
      <c r="E77"/>
      <c r="F77" t="str">
        <f>LEFT(AllDaqbookOffsets[[#This Row],[traceability_no]],2)</f>
        <v>J1</v>
      </c>
      <c r="W77" t="s">
        <v>521</v>
      </c>
      <c r="X77" t="s">
        <v>170</v>
      </c>
      <c r="Z77" s="462" t="str">
        <v>J214</v>
      </c>
      <c r="AA77" s="194" t="str">
        <v>J201-J214</v>
      </c>
      <c r="AG77" s="69" t="str">
        <v>J214</v>
      </c>
    </row>
    <row r="78" spans="1:33" x14ac:dyDescent="0.2">
      <c r="A78"/>
      <c r="B78"/>
      <c r="C78"/>
      <c r="D78"/>
      <c r="E78"/>
      <c r="F78" t="str">
        <f>LEFT(AllDaqbookOffsets[[#This Row],[traceability_no]],2)</f>
        <v>J1</v>
      </c>
      <c r="W78" t="s">
        <v>522</v>
      </c>
      <c r="X78" t="s">
        <v>170</v>
      </c>
      <c r="Z78" s="462" t="str">
        <v>J22</v>
      </c>
      <c r="AA78" s="194" t="str">
        <v>J01-J24</v>
      </c>
      <c r="AG78" s="69" t="str">
        <v>J22</v>
      </c>
    </row>
    <row r="79" spans="1:33" x14ac:dyDescent="0.2">
      <c r="A79"/>
      <c r="B79"/>
      <c r="C79"/>
      <c r="D79"/>
      <c r="E79"/>
      <c r="F79" t="str">
        <f>LEFT(AllDaqbookOffsets[[#This Row],[traceability_no]],2)</f>
        <v>J1</v>
      </c>
      <c r="W79" t="s">
        <v>523</v>
      </c>
      <c r="X79" t="s">
        <v>170</v>
      </c>
      <c r="Z79" s="462" t="str">
        <v>J23</v>
      </c>
      <c r="AA79" s="194" t="str">
        <v>J01-J24</v>
      </c>
      <c r="AG79" s="69" t="str">
        <v>J23</v>
      </c>
    </row>
    <row r="80" spans="1:33" x14ac:dyDescent="0.2">
      <c r="A80"/>
      <c r="B80"/>
      <c r="C80"/>
      <c r="D80"/>
      <c r="E80"/>
      <c r="F80" t="str">
        <f>LEFT(AllDaqbookOffsets[[#This Row],[traceability_no]],2)</f>
        <v>J1</v>
      </c>
      <c r="W80" t="s">
        <v>524</v>
      </c>
      <c r="X80" t="s">
        <v>170</v>
      </c>
      <c r="Z80" s="462" t="str">
        <v>J24</v>
      </c>
      <c r="AA80" s="194" t="str">
        <v>J01-J24</v>
      </c>
      <c r="AG80" s="69" t="str">
        <v>J24</v>
      </c>
    </row>
    <row r="81" spans="1:33" x14ac:dyDescent="0.2">
      <c r="A81"/>
      <c r="B81"/>
      <c r="C81"/>
      <c r="D81"/>
      <c r="E81"/>
      <c r="F81" t="str">
        <f>LEFT(AllDaqbookOffsets[[#This Row],[traceability_no]],2)</f>
        <v>J1</v>
      </c>
      <c r="W81" t="s">
        <v>525</v>
      </c>
      <c r="X81" t="s">
        <v>170</v>
      </c>
      <c r="Z81" s="462" t="str">
        <v>J301</v>
      </c>
      <c r="AA81" s="194" t="str">
        <v>J301-J314</v>
      </c>
      <c r="AG81" s="69" t="str">
        <v>J301</v>
      </c>
    </row>
    <row r="82" spans="1:33" x14ac:dyDescent="0.2">
      <c r="A82"/>
      <c r="B82"/>
      <c r="C82"/>
      <c r="D82"/>
      <c r="E82"/>
      <c r="F82" t="str">
        <f>LEFT(AllDaqbookOffsets[[#This Row],[traceability_no]],2)</f>
        <v>J1</v>
      </c>
      <c r="W82" t="s">
        <v>526</v>
      </c>
      <c r="X82" t="s">
        <v>170</v>
      </c>
      <c r="Z82" s="462" t="str">
        <v>J302</v>
      </c>
      <c r="AA82" s="194" t="str">
        <v>J301-J314</v>
      </c>
      <c r="AG82" s="69" t="str">
        <v>J302</v>
      </c>
    </row>
    <row r="83" spans="1:33" x14ac:dyDescent="0.2">
      <c r="A83"/>
      <c r="B83"/>
      <c r="C83"/>
      <c r="D83"/>
      <c r="E83"/>
      <c r="F83" t="str">
        <f>LEFT(AllDaqbookOffsets[[#This Row],[traceability_no]],2)</f>
        <v>J1</v>
      </c>
      <c r="W83" t="s">
        <v>527</v>
      </c>
      <c r="X83" t="s">
        <v>170</v>
      </c>
      <c r="Z83" s="462" t="str">
        <v>J303</v>
      </c>
      <c r="AA83" s="194" t="str">
        <v>J301-J314</v>
      </c>
      <c r="AG83" s="69" t="str">
        <v>J303</v>
      </c>
    </row>
    <row r="84" spans="1:33" x14ac:dyDescent="0.2">
      <c r="A84"/>
      <c r="B84"/>
      <c r="C84"/>
      <c r="D84"/>
      <c r="E84"/>
      <c r="F84" t="str">
        <f>LEFT(AllDaqbookOffsets[[#This Row],[traceability_no]],2)</f>
        <v>J1</v>
      </c>
      <c r="W84" t="s">
        <v>528</v>
      </c>
      <c r="X84" t="s">
        <v>170</v>
      </c>
      <c r="Z84" s="462" t="str">
        <v>J304</v>
      </c>
      <c r="AA84" s="194" t="str">
        <v>J301-J314</v>
      </c>
      <c r="AG84" s="69" t="str">
        <v>J304</v>
      </c>
    </row>
    <row r="85" spans="1:33" x14ac:dyDescent="0.2">
      <c r="A85"/>
      <c r="B85"/>
      <c r="C85"/>
      <c r="D85"/>
      <c r="E85"/>
      <c r="F85" t="str">
        <f>LEFT(AllDaqbookOffsets[[#This Row],[traceability_no]],2)</f>
        <v>J1</v>
      </c>
      <c r="W85" t="s">
        <v>529</v>
      </c>
      <c r="X85" t="s">
        <v>170</v>
      </c>
      <c r="Z85" s="462" t="str">
        <v>J305</v>
      </c>
      <c r="AA85" s="194" t="str">
        <v>J301-J314</v>
      </c>
      <c r="AG85" s="69" t="str">
        <v>J305</v>
      </c>
    </row>
    <row r="86" spans="1:33" x14ac:dyDescent="0.2">
      <c r="A86"/>
      <c r="B86"/>
      <c r="C86"/>
      <c r="D86"/>
      <c r="E86"/>
      <c r="F86" t="str">
        <f>LEFT(AllDaqbookOffsets[[#This Row],[traceability_no]],2)</f>
        <v>J1</v>
      </c>
      <c r="W86" t="s">
        <v>530</v>
      </c>
      <c r="X86" t="s">
        <v>170</v>
      </c>
      <c r="Z86" s="462" t="str">
        <v>J306</v>
      </c>
      <c r="AA86" s="194" t="str">
        <v>J301-J314</v>
      </c>
      <c r="AG86" s="69" t="str">
        <v>J306</v>
      </c>
    </row>
    <row r="87" spans="1:33" x14ac:dyDescent="0.2">
      <c r="A87"/>
      <c r="B87"/>
      <c r="C87"/>
      <c r="D87"/>
      <c r="E87"/>
      <c r="F87" t="str">
        <f>LEFT(AllDaqbookOffsets[[#This Row],[traceability_no]],2)</f>
        <v>J1</v>
      </c>
      <c r="W87" t="s">
        <v>531</v>
      </c>
      <c r="X87" t="s">
        <v>170</v>
      </c>
      <c r="Z87" s="462" t="str">
        <v>J307</v>
      </c>
      <c r="AA87" s="194" t="str">
        <v>J301-J314</v>
      </c>
      <c r="AG87" s="69" t="str">
        <v>J307</v>
      </c>
    </row>
    <row r="88" spans="1:33" x14ac:dyDescent="0.2">
      <c r="A88"/>
      <c r="B88"/>
      <c r="C88"/>
      <c r="D88"/>
      <c r="E88"/>
      <c r="F88" t="str">
        <f>LEFT(AllDaqbookOffsets[[#This Row],[traceability_no]],2)</f>
        <v>J1</v>
      </c>
      <c r="W88" t="s">
        <v>532</v>
      </c>
      <c r="X88" t="s">
        <v>171</v>
      </c>
      <c r="Z88" s="462" t="str">
        <v>J308</v>
      </c>
      <c r="AA88" s="194" t="str">
        <v>J301-J314</v>
      </c>
      <c r="AG88" s="69" t="str">
        <v>J308</v>
      </c>
    </row>
    <row r="89" spans="1:33" x14ac:dyDescent="0.2">
      <c r="A89"/>
      <c r="B89"/>
      <c r="C89"/>
      <c r="D89"/>
      <c r="E89"/>
      <c r="F89" t="str">
        <f>LEFT(AllDaqbookOffsets[[#This Row],[traceability_no]],2)</f>
        <v>J1</v>
      </c>
      <c r="W89" t="s">
        <v>533</v>
      </c>
      <c r="X89" t="s">
        <v>171</v>
      </c>
      <c r="Z89" s="462" t="str">
        <v>J309</v>
      </c>
      <c r="AA89" s="194" t="str">
        <v>J301-J314</v>
      </c>
      <c r="AG89" s="69" t="str">
        <v>J309</v>
      </c>
    </row>
    <row r="90" spans="1:33" x14ac:dyDescent="0.2">
      <c r="A90"/>
      <c r="B90"/>
      <c r="C90"/>
      <c r="D90"/>
      <c r="E90"/>
      <c r="F90" t="str">
        <f>LEFT(AllDaqbookOffsets[[#This Row],[traceability_no]],2)</f>
        <v>J1</v>
      </c>
      <c r="W90" t="s">
        <v>534</v>
      </c>
      <c r="X90" t="s">
        <v>171</v>
      </c>
      <c r="Z90" s="462" t="str">
        <v>J310</v>
      </c>
      <c r="AA90" s="194" t="str">
        <v>J301-J314</v>
      </c>
      <c r="AG90" s="69" t="str">
        <v>J310</v>
      </c>
    </row>
    <row r="91" spans="1:33" x14ac:dyDescent="0.2">
      <c r="A91"/>
      <c r="B91"/>
      <c r="C91"/>
      <c r="D91"/>
      <c r="E91"/>
      <c r="F91" t="str">
        <f>LEFT(AllDaqbookOffsets[[#This Row],[traceability_no]],2)</f>
        <v>J1</v>
      </c>
      <c r="W91" t="s">
        <v>535</v>
      </c>
      <c r="X91" t="s">
        <v>171</v>
      </c>
      <c r="Z91" s="462" t="str">
        <v>J311</v>
      </c>
      <c r="AA91" s="194" t="str">
        <v>J301-J314</v>
      </c>
      <c r="AG91" s="69" t="str">
        <v>J311</v>
      </c>
    </row>
    <row r="92" spans="1:33" x14ac:dyDescent="0.2">
      <c r="A92"/>
      <c r="B92"/>
      <c r="C92"/>
      <c r="D92"/>
      <c r="E92"/>
      <c r="F92" t="str">
        <f>LEFT(AllDaqbookOffsets[[#This Row],[traceability_no]],2)</f>
        <v>J1</v>
      </c>
      <c r="W92" t="s">
        <v>536</v>
      </c>
      <c r="X92" t="s">
        <v>171</v>
      </c>
      <c r="Z92" s="462" t="str">
        <v>J312</v>
      </c>
      <c r="AA92" s="194" t="str">
        <v>J301-J314</v>
      </c>
      <c r="AG92" s="69" t="str">
        <v>J312</v>
      </c>
    </row>
    <row r="93" spans="1:33" x14ac:dyDescent="0.2">
      <c r="A93"/>
      <c r="B93"/>
      <c r="C93"/>
      <c r="D93"/>
      <c r="E93"/>
      <c r="F93" t="str">
        <f>LEFT(AllDaqbookOffsets[[#This Row],[traceability_no]],2)</f>
        <v>J1</v>
      </c>
      <c r="W93" t="s">
        <v>537</v>
      </c>
      <c r="X93" t="s">
        <v>171</v>
      </c>
      <c r="Z93" s="462" t="str">
        <v>J313</v>
      </c>
      <c r="AA93" s="194" t="str">
        <v>J301-J314</v>
      </c>
      <c r="AG93" s="69" t="str">
        <v>J313</v>
      </c>
    </row>
    <row r="94" spans="1:33" x14ac:dyDescent="0.2">
      <c r="A94"/>
      <c r="B94"/>
      <c r="C94"/>
      <c r="D94"/>
      <c r="E94"/>
      <c r="F94" t="str">
        <f>LEFT(AllDaqbookOffsets[[#This Row],[traceability_no]],2)</f>
        <v>J1</v>
      </c>
      <c r="W94" t="s">
        <v>538</v>
      </c>
      <c r="X94" t="s">
        <v>171</v>
      </c>
      <c r="Z94" s="462" t="str">
        <v>J314</v>
      </c>
      <c r="AA94" s="194" t="str">
        <v>J301-J314</v>
      </c>
      <c r="AG94" s="69" t="str">
        <v>J314</v>
      </c>
    </row>
    <row r="95" spans="1:33" x14ac:dyDescent="0.2">
      <c r="A95"/>
      <c r="B95"/>
      <c r="C95"/>
      <c r="D95"/>
      <c r="E95"/>
      <c r="F95" t="str">
        <f>LEFT(AllDaqbookOffsets[[#This Row],[traceability_no]],2)</f>
        <v>J1</v>
      </c>
      <c r="W95" t="s">
        <v>539</v>
      </c>
      <c r="X95" t="s">
        <v>171</v>
      </c>
      <c r="Z95" s="462" t="str">
        <v>J501</v>
      </c>
      <c r="AA95" s="194" t="str">
        <v>J501-J514</v>
      </c>
      <c r="AG95" s="69" t="str">
        <v>J501</v>
      </c>
    </row>
    <row r="96" spans="1:33" x14ac:dyDescent="0.2">
      <c r="A96"/>
      <c r="B96"/>
      <c r="C96"/>
      <c r="D96"/>
      <c r="E96"/>
      <c r="F96" t="str">
        <f>LEFT(AllDaqbookOffsets[[#This Row],[traceability_no]],2)</f>
        <v>J1</v>
      </c>
      <c r="W96" t="s">
        <v>540</v>
      </c>
      <c r="X96" t="s">
        <v>171</v>
      </c>
      <c r="Z96" s="462" t="str">
        <v>J502</v>
      </c>
      <c r="AA96" s="194" t="str">
        <v>J501-J514</v>
      </c>
      <c r="AG96" s="69" t="str">
        <v>J502</v>
      </c>
    </row>
    <row r="97" spans="1:33" x14ac:dyDescent="0.2">
      <c r="A97"/>
      <c r="B97"/>
      <c r="C97"/>
      <c r="D97"/>
      <c r="E97"/>
      <c r="F97" t="str">
        <f>LEFT(AllDaqbookOffsets[[#This Row],[traceability_no]],2)</f>
        <v>J1</v>
      </c>
      <c r="W97" t="s">
        <v>541</v>
      </c>
      <c r="X97" t="s">
        <v>171</v>
      </c>
      <c r="Z97" s="462" t="str">
        <v>J503</v>
      </c>
      <c r="AA97" s="194" t="str">
        <v>J501-J514</v>
      </c>
      <c r="AG97" s="69" t="str">
        <v>J503</v>
      </c>
    </row>
    <row r="98" spans="1:33" x14ac:dyDescent="0.2">
      <c r="A98"/>
      <c r="B98"/>
      <c r="C98"/>
      <c r="D98"/>
      <c r="E98"/>
      <c r="F98" t="str">
        <f>LEFT(AllDaqbookOffsets[[#This Row],[traceability_no]],2)</f>
        <v>J1</v>
      </c>
      <c r="W98" t="s">
        <v>542</v>
      </c>
      <c r="X98" t="s">
        <v>172</v>
      </c>
      <c r="Z98" s="462" t="str">
        <v>J504</v>
      </c>
      <c r="AA98" s="194" t="str">
        <v>J501-J514</v>
      </c>
      <c r="AG98" s="69" t="str">
        <v>J504</v>
      </c>
    </row>
    <row r="99" spans="1:33" x14ac:dyDescent="0.2">
      <c r="A99"/>
      <c r="B99"/>
      <c r="C99"/>
      <c r="D99"/>
      <c r="E99"/>
      <c r="F99" t="str">
        <f>LEFT(AllDaqbookOffsets[[#This Row],[traceability_no]],2)</f>
        <v>J1</v>
      </c>
      <c r="W99" t="s">
        <v>543</v>
      </c>
      <c r="X99" t="s">
        <v>172</v>
      </c>
      <c r="Z99" s="462" t="str">
        <v>J505</v>
      </c>
      <c r="AA99" s="194" t="str">
        <v>J501-J514</v>
      </c>
      <c r="AG99" s="69" t="str">
        <v>J505</v>
      </c>
    </row>
    <row r="100" spans="1:33" x14ac:dyDescent="0.2">
      <c r="A100"/>
      <c r="B100"/>
      <c r="C100"/>
      <c r="D100"/>
      <c r="E100"/>
      <c r="F100" t="str">
        <f>LEFT(AllDaqbookOffsets[[#This Row],[traceability_no]],2)</f>
        <v>J1</v>
      </c>
      <c r="W100" t="s">
        <v>544</v>
      </c>
      <c r="X100" t="s">
        <v>172</v>
      </c>
      <c r="Z100" s="462" t="str">
        <v>J506</v>
      </c>
      <c r="AA100" s="194" t="str">
        <v>J501-J514</v>
      </c>
      <c r="AG100" s="69" t="str">
        <v>J506</v>
      </c>
    </row>
    <row r="101" spans="1:33" x14ac:dyDescent="0.2">
      <c r="A101"/>
      <c r="B101"/>
      <c r="C101"/>
      <c r="D101"/>
      <c r="E101"/>
      <c r="F101" t="str">
        <f>LEFT(AllDaqbookOffsets[[#This Row],[traceability_no]],2)</f>
        <v>J1</v>
      </c>
      <c r="W101" t="s">
        <v>545</v>
      </c>
      <c r="X101" t="s">
        <v>172</v>
      </c>
      <c r="Z101" s="462" t="str">
        <v>J507</v>
      </c>
      <c r="AA101" s="194" t="str">
        <v>J501-J514</v>
      </c>
      <c r="AG101" s="69" t="str">
        <v>J507</v>
      </c>
    </row>
    <row r="102" spans="1:33" x14ac:dyDescent="0.2">
      <c r="A102"/>
      <c r="B102"/>
      <c r="C102"/>
      <c r="D102"/>
      <c r="E102"/>
      <c r="F102" t="str">
        <f>LEFT(AllDaqbookOffsets[[#This Row],[traceability_no]],2)</f>
        <v>J1</v>
      </c>
      <c r="W102" t="s">
        <v>546</v>
      </c>
      <c r="X102" t="s">
        <v>172</v>
      </c>
      <c r="Z102" s="462" t="str">
        <v>J508</v>
      </c>
      <c r="AA102" s="194" t="str">
        <v>J501-J514</v>
      </c>
      <c r="AG102" s="69" t="str">
        <v>J508</v>
      </c>
    </row>
    <row r="103" spans="1:33" x14ac:dyDescent="0.2">
      <c r="A103"/>
      <c r="B103"/>
      <c r="C103"/>
      <c r="D103"/>
      <c r="E103"/>
      <c r="F103" t="str">
        <f>LEFT(AllDaqbookOffsets[[#This Row],[traceability_no]],2)</f>
        <v>J1</v>
      </c>
      <c r="W103" t="s">
        <v>547</v>
      </c>
      <c r="X103" t="s">
        <v>172</v>
      </c>
      <c r="Z103" s="462" t="str">
        <v>J509</v>
      </c>
      <c r="AA103" s="194" t="str">
        <v>J501-J514</v>
      </c>
      <c r="AG103" s="69" t="str">
        <v>J509</v>
      </c>
    </row>
    <row r="104" spans="1:33" x14ac:dyDescent="0.2">
      <c r="A104"/>
      <c r="B104"/>
      <c r="C104"/>
      <c r="D104"/>
      <c r="E104"/>
      <c r="F104" t="str">
        <f>LEFT(AllDaqbookOffsets[[#This Row],[traceability_no]],2)</f>
        <v>J1</v>
      </c>
      <c r="W104" t="s">
        <v>548</v>
      </c>
      <c r="X104" t="s">
        <v>172</v>
      </c>
      <c r="Z104" s="462" t="str">
        <v>J510</v>
      </c>
      <c r="AA104" s="194" t="str">
        <v>J501-J514</v>
      </c>
      <c r="AG104" s="69" t="str">
        <v>J510</v>
      </c>
    </row>
    <row r="105" spans="1:33" x14ac:dyDescent="0.2">
      <c r="A105"/>
      <c r="B105"/>
      <c r="C105"/>
      <c r="D105"/>
      <c r="E105"/>
      <c r="F105" t="str">
        <f>LEFT(AllDaqbookOffsets[[#This Row],[traceability_no]],2)</f>
        <v>J1</v>
      </c>
      <c r="W105" t="s">
        <v>549</v>
      </c>
      <c r="X105" t="s">
        <v>172</v>
      </c>
      <c r="Z105" s="462" t="str">
        <v>J511</v>
      </c>
      <c r="AA105" s="194" t="str">
        <v>J501-J514</v>
      </c>
      <c r="AG105" s="69" t="str">
        <v>J511</v>
      </c>
    </row>
    <row r="106" spans="1:33" x14ac:dyDescent="0.2">
      <c r="A106"/>
      <c r="B106"/>
      <c r="C106"/>
      <c r="D106"/>
      <c r="E106"/>
      <c r="F106" t="str">
        <f>LEFT(AllDaqbookOffsets[[#This Row],[traceability_no]],2)</f>
        <v>J1</v>
      </c>
      <c r="W106" t="s">
        <v>550</v>
      </c>
      <c r="X106" t="s">
        <v>172</v>
      </c>
      <c r="Z106" s="462" t="str">
        <v>J512</v>
      </c>
      <c r="AA106" s="194" t="str">
        <v>J501-J514</v>
      </c>
      <c r="AG106" s="69" t="str">
        <v>J512</v>
      </c>
    </row>
    <row r="107" spans="1:33" x14ac:dyDescent="0.2">
      <c r="A107"/>
      <c r="B107"/>
      <c r="C107"/>
      <c r="D107"/>
      <c r="E107"/>
      <c r="F107" t="str">
        <f>LEFT(AllDaqbookOffsets[[#This Row],[traceability_no]],2)</f>
        <v>J1</v>
      </c>
      <c r="W107" t="s">
        <v>551</v>
      </c>
      <c r="X107" t="s">
        <v>172</v>
      </c>
      <c r="Z107" s="462" t="str">
        <v>J513</v>
      </c>
      <c r="AA107" s="194" t="str">
        <v>J501-J514</v>
      </c>
      <c r="AG107" s="69" t="str">
        <v>J513</v>
      </c>
    </row>
    <row r="108" spans="1:33" x14ac:dyDescent="0.2">
      <c r="A108"/>
      <c r="B108"/>
      <c r="C108"/>
      <c r="D108"/>
      <c r="E108"/>
      <c r="F108" t="str">
        <f>LEFT(AllDaqbookOffsets[[#This Row],[traceability_no]],2)</f>
        <v>J1</v>
      </c>
      <c r="W108" t="s">
        <v>552</v>
      </c>
      <c r="X108" t="s">
        <v>298</v>
      </c>
      <c r="Z108" s="462" t="str">
        <v>J514</v>
      </c>
      <c r="AA108" s="194" t="str">
        <v>J501-J514</v>
      </c>
      <c r="AG108" s="69" t="str">
        <v>J514</v>
      </c>
    </row>
    <row r="109" spans="1:33" x14ac:dyDescent="0.2">
      <c r="A109"/>
      <c r="B109"/>
      <c r="C109"/>
      <c r="D109"/>
      <c r="E109"/>
      <c r="F109" t="str">
        <f>LEFT(AllDaqbookOffsets[[#This Row],[traceability_no]],2)</f>
        <v>J1</v>
      </c>
      <c r="W109" t="s">
        <v>553</v>
      </c>
      <c r="X109" t="s">
        <v>298</v>
      </c>
      <c r="Z109" s="462" t="str">
        <v>J601</v>
      </c>
      <c r="AA109" s="194" t="str">
        <v>J601-J610</v>
      </c>
      <c r="AG109" s="69" t="str">
        <v>J601</v>
      </c>
    </row>
    <row r="110" spans="1:33" x14ac:dyDescent="0.2">
      <c r="A110"/>
      <c r="B110"/>
      <c r="C110"/>
      <c r="D110"/>
      <c r="E110"/>
      <c r="F110" t="str">
        <f>LEFT(AllDaqbookOffsets[[#This Row],[traceability_no]],2)</f>
        <v>J1</v>
      </c>
      <c r="W110" t="s">
        <v>554</v>
      </c>
      <c r="X110" t="s">
        <v>298</v>
      </c>
      <c r="Z110" s="462" t="str">
        <v>J602</v>
      </c>
      <c r="AA110" s="194" t="str">
        <v>J601-J610</v>
      </c>
      <c r="AG110" s="69" t="str">
        <v>J602</v>
      </c>
    </row>
    <row r="111" spans="1:33" x14ac:dyDescent="0.2">
      <c r="A111"/>
      <c r="B111"/>
      <c r="C111"/>
      <c r="D111"/>
      <c r="E111"/>
      <c r="F111" t="str">
        <f>LEFT(AllDaqbookOffsets[[#This Row],[traceability_no]],2)</f>
        <v>J1</v>
      </c>
      <c r="W111" t="s">
        <v>555</v>
      </c>
      <c r="X111" t="s">
        <v>298</v>
      </c>
      <c r="Z111" s="462" t="str">
        <v>J603</v>
      </c>
      <c r="AA111" s="194" t="str">
        <v>J601-J610</v>
      </c>
      <c r="AG111" s="69" t="str">
        <v>J603</v>
      </c>
    </row>
    <row r="112" spans="1:33" x14ac:dyDescent="0.2">
      <c r="A112"/>
      <c r="B112"/>
      <c r="C112"/>
      <c r="D112"/>
      <c r="E112"/>
      <c r="F112" t="str">
        <f>LEFT(AllDaqbookOffsets[[#This Row],[traceability_no]],2)</f>
        <v>J1</v>
      </c>
      <c r="W112" t="s">
        <v>556</v>
      </c>
      <c r="X112" t="s">
        <v>298</v>
      </c>
      <c r="Z112" s="462" t="str">
        <v>J604</v>
      </c>
      <c r="AA112" s="194" t="str">
        <v>J601-J610</v>
      </c>
      <c r="AG112" s="69" t="str">
        <v>J604</v>
      </c>
    </row>
    <row r="113" spans="1:33" x14ac:dyDescent="0.2">
      <c r="A113"/>
      <c r="B113"/>
      <c r="C113"/>
      <c r="D113"/>
      <c r="E113"/>
      <c r="F113" t="str">
        <f>LEFT(AllDaqbookOffsets[[#This Row],[traceability_no]],2)</f>
        <v>J1</v>
      </c>
      <c r="W113" t="s">
        <v>557</v>
      </c>
      <c r="X113" t="s">
        <v>298</v>
      </c>
      <c r="Z113" s="462" t="str">
        <v>J605</v>
      </c>
      <c r="AA113" s="194" t="str">
        <v>J601-J610</v>
      </c>
      <c r="AG113" s="69" t="str">
        <v>J605</v>
      </c>
    </row>
    <row r="114" spans="1:33" x14ac:dyDescent="0.2">
      <c r="A114"/>
      <c r="B114"/>
      <c r="C114"/>
      <c r="D114"/>
      <c r="E114"/>
      <c r="F114" t="str">
        <f>LEFT(AllDaqbookOffsets[[#This Row],[traceability_no]],2)</f>
        <v>J1</v>
      </c>
      <c r="W114" t="s">
        <v>558</v>
      </c>
      <c r="X114" t="s">
        <v>298</v>
      </c>
      <c r="Z114" s="462" t="str">
        <v>J606</v>
      </c>
      <c r="AA114" s="194" t="str">
        <v>J601-J610</v>
      </c>
      <c r="AG114" s="69" t="str">
        <v>J606</v>
      </c>
    </row>
    <row r="115" spans="1:33" x14ac:dyDescent="0.2">
      <c r="A115"/>
      <c r="B115"/>
      <c r="C115"/>
      <c r="D115"/>
      <c r="E115"/>
      <c r="F115" t="str">
        <f>LEFT(AllDaqbookOffsets[[#This Row],[traceability_no]],2)</f>
        <v>J1</v>
      </c>
      <c r="W115" t="s">
        <v>559</v>
      </c>
      <c r="X115" t="s">
        <v>298</v>
      </c>
      <c r="Z115" s="462" t="str">
        <v>J607</v>
      </c>
      <c r="AA115" s="194" t="str">
        <v>J601-J610</v>
      </c>
      <c r="AG115" s="69" t="str">
        <v>J607</v>
      </c>
    </row>
    <row r="116" spans="1:33" x14ac:dyDescent="0.2">
      <c r="A116"/>
      <c r="B116"/>
      <c r="C116"/>
      <c r="D116"/>
      <c r="E116"/>
      <c r="F116" t="str">
        <f>LEFT(AllDaqbookOffsets[[#This Row],[traceability_no]],2)</f>
        <v>J1</v>
      </c>
      <c r="W116" t="s">
        <v>560</v>
      </c>
      <c r="X116" t="s">
        <v>298</v>
      </c>
      <c r="Z116" s="462" t="str">
        <v>J608</v>
      </c>
      <c r="AA116" s="194" t="str">
        <v>J601-J610</v>
      </c>
      <c r="AG116" s="69" t="str">
        <v>J608</v>
      </c>
    </row>
    <row r="117" spans="1:33" x14ac:dyDescent="0.2">
      <c r="A117"/>
      <c r="B117"/>
      <c r="C117"/>
      <c r="D117"/>
      <c r="E117"/>
      <c r="F117" t="str">
        <f>LEFT(AllDaqbookOffsets[[#This Row],[traceability_no]],2)</f>
        <v>J1</v>
      </c>
      <c r="W117" t="s">
        <v>561</v>
      </c>
      <c r="X117" t="s">
        <v>298</v>
      </c>
      <c r="Z117" s="462" t="str">
        <v>J609</v>
      </c>
      <c r="AA117" s="194" t="str">
        <v>J601-J610</v>
      </c>
      <c r="AG117" s="69" t="str">
        <v>J609</v>
      </c>
    </row>
    <row r="118" spans="1:33" x14ac:dyDescent="0.2">
      <c r="A118"/>
      <c r="B118"/>
      <c r="C118"/>
      <c r="D118"/>
      <c r="E118"/>
      <c r="F118" t="str">
        <f>LEFT(AllDaqbookOffsets[[#This Row],[traceability_no]],2)</f>
        <v>J1</v>
      </c>
      <c r="W118" t="s">
        <v>568</v>
      </c>
      <c r="X118" t="s">
        <v>174</v>
      </c>
      <c r="Z118" s="462" t="str">
        <v>J610</v>
      </c>
      <c r="AA118" s="194" t="str">
        <v>J601-J610</v>
      </c>
      <c r="AG118" s="69" t="str">
        <v>J610</v>
      </c>
    </row>
    <row r="119" spans="1:33" x14ac:dyDescent="0.2">
      <c r="A119"/>
      <c r="B119"/>
      <c r="C119"/>
      <c r="D119"/>
      <c r="E119"/>
      <c r="F119" t="str">
        <f>LEFT(AllDaqbookOffsets[[#This Row],[traceability_no]],2)</f>
        <v>J1</v>
      </c>
      <c r="W119" t="s">
        <v>569</v>
      </c>
      <c r="X119" t="s">
        <v>174</v>
      </c>
      <c r="Z119" s="462" t="str">
        <v>J701</v>
      </c>
      <c r="AA119" s="194" t="str">
        <v>J701-J710</v>
      </c>
      <c r="AG119" s="69" t="str">
        <v>J701</v>
      </c>
    </row>
    <row r="120" spans="1:33" x14ac:dyDescent="0.2">
      <c r="A120"/>
      <c r="B120"/>
      <c r="C120"/>
      <c r="D120"/>
      <c r="E120"/>
      <c r="F120" t="str">
        <f>LEFT(AllDaqbookOffsets[[#This Row],[traceability_no]],2)</f>
        <v>J1</v>
      </c>
      <c r="W120" t="s">
        <v>570</v>
      </c>
      <c r="X120" t="s">
        <v>174</v>
      </c>
      <c r="Z120" s="462" t="str">
        <v>J702</v>
      </c>
      <c r="AA120" s="194" t="str">
        <v>J701-J710</v>
      </c>
      <c r="AG120" s="69" t="str">
        <v>J702</v>
      </c>
    </row>
    <row r="121" spans="1:33" x14ac:dyDescent="0.2">
      <c r="A121"/>
      <c r="B121"/>
      <c r="C121"/>
      <c r="D121"/>
      <c r="E121"/>
      <c r="F121" t="str">
        <f>LEFT(AllDaqbookOffsets[[#This Row],[traceability_no]],2)</f>
        <v>J1</v>
      </c>
      <c r="W121" t="s">
        <v>571</v>
      </c>
      <c r="X121" t="s">
        <v>174</v>
      </c>
      <c r="Z121" s="462" t="str">
        <v>J703</v>
      </c>
      <c r="AA121" s="194" t="str">
        <v>J701-J710</v>
      </c>
      <c r="AG121" s="69" t="str">
        <v>J703</v>
      </c>
    </row>
    <row r="122" spans="1:33" x14ac:dyDescent="0.2">
      <c r="A122"/>
      <c r="B122"/>
      <c r="C122"/>
      <c r="D122"/>
      <c r="E122"/>
      <c r="F122" t="str">
        <f>LEFT(AllDaqbookOffsets[[#This Row],[traceability_no]],2)</f>
        <v>J1</v>
      </c>
      <c r="W122" t="s">
        <v>572</v>
      </c>
      <c r="X122" t="s">
        <v>174</v>
      </c>
      <c r="Z122" s="462" t="str">
        <v>J704</v>
      </c>
      <c r="AA122" s="194" t="str">
        <v>J701-J710</v>
      </c>
      <c r="AG122" s="69" t="str">
        <v>J704</v>
      </c>
    </row>
    <row r="123" spans="1:33" x14ac:dyDescent="0.2">
      <c r="A123"/>
      <c r="B123"/>
      <c r="C123"/>
      <c r="D123"/>
      <c r="E123"/>
      <c r="F123" t="str">
        <f>LEFT(AllDaqbookOffsets[[#This Row],[traceability_no]],2)</f>
        <v>J1</v>
      </c>
      <c r="W123" t="s">
        <v>573</v>
      </c>
      <c r="X123" t="s">
        <v>174</v>
      </c>
      <c r="Z123" s="462" t="str">
        <v>J705</v>
      </c>
      <c r="AA123" s="194" t="str">
        <v>J701-J710</v>
      </c>
      <c r="AG123" s="69" t="str">
        <v>J705</v>
      </c>
    </row>
    <row r="124" spans="1:33" x14ac:dyDescent="0.2">
      <c r="A124"/>
      <c r="B124"/>
      <c r="C124"/>
      <c r="D124"/>
      <c r="E124"/>
      <c r="F124" t="str">
        <f>LEFT(AllDaqbookOffsets[[#This Row],[traceability_no]],2)</f>
        <v>J1</v>
      </c>
      <c r="W124" t="s">
        <v>574</v>
      </c>
      <c r="X124" t="s">
        <v>174</v>
      </c>
      <c r="Z124" s="462" t="str">
        <v>J706</v>
      </c>
      <c r="AA124" s="194" t="str">
        <v>J701-J710</v>
      </c>
      <c r="AG124" s="69" t="str">
        <v>J706</v>
      </c>
    </row>
    <row r="125" spans="1:33" x14ac:dyDescent="0.2">
      <c r="A125"/>
      <c r="B125"/>
      <c r="C125"/>
      <c r="D125"/>
      <c r="E125"/>
      <c r="F125" t="str">
        <f>LEFT(AllDaqbookOffsets[[#This Row],[traceability_no]],2)</f>
        <v>J1</v>
      </c>
      <c r="W125" t="s">
        <v>575</v>
      </c>
      <c r="X125" t="s">
        <v>174</v>
      </c>
      <c r="Z125" s="462" t="str">
        <v>J707</v>
      </c>
      <c r="AA125" s="194" t="str">
        <v>J701-J710</v>
      </c>
      <c r="AG125" s="69" t="str">
        <v>J707</v>
      </c>
    </row>
    <row r="126" spans="1:33" x14ac:dyDescent="0.2">
      <c r="A126"/>
      <c r="B126"/>
      <c r="C126"/>
      <c r="D126"/>
      <c r="E126"/>
      <c r="F126" t="str">
        <f>LEFT(AllDaqbookOffsets[[#This Row],[traceability_no]],2)</f>
        <v>J1</v>
      </c>
      <c r="W126" t="s">
        <v>576</v>
      </c>
      <c r="X126" t="s">
        <v>174</v>
      </c>
      <c r="Z126" s="462" t="str">
        <v>J708</v>
      </c>
      <c r="AA126" s="194" t="str">
        <v>J701-J710</v>
      </c>
      <c r="AG126" s="69" t="str">
        <v>J708</v>
      </c>
    </row>
    <row r="127" spans="1:33" x14ac:dyDescent="0.2">
      <c r="A127"/>
      <c r="B127"/>
      <c r="C127"/>
      <c r="D127"/>
      <c r="E127"/>
      <c r="F127" t="str">
        <f>LEFT(AllDaqbookOffsets[[#This Row],[traceability_no]],2)</f>
        <v>J1</v>
      </c>
      <c r="W127" t="s">
        <v>562</v>
      </c>
      <c r="X127" t="s">
        <v>298</v>
      </c>
      <c r="Z127" s="462" t="str">
        <v>J709</v>
      </c>
      <c r="AA127" s="194" t="str">
        <v>J701-J710</v>
      </c>
      <c r="AG127" s="69" t="str">
        <v>J709</v>
      </c>
    </row>
    <row r="128" spans="1:33" x14ac:dyDescent="0.2">
      <c r="A128"/>
      <c r="B128"/>
      <c r="C128"/>
      <c r="D128"/>
      <c r="E128"/>
      <c r="F128" t="str">
        <f>LEFT(AllDaqbookOffsets[[#This Row],[traceability_no]],2)</f>
        <v>J1</v>
      </c>
      <c r="W128" t="s">
        <v>577</v>
      </c>
      <c r="X128" t="s">
        <v>174</v>
      </c>
      <c r="Z128" s="462" t="str">
        <v>J710</v>
      </c>
      <c r="AA128" s="194" t="str">
        <v>J701-J710</v>
      </c>
      <c r="AG128" s="69" t="str">
        <v>J710</v>
      </c>
    </row>
    <row r="129" spans="1:33" x14ac:dyDescent="0.2">
      <c r="A129"/>
      <c r="B129"/>
      <c r="C129"/>
      <c r="D129"/>
      <c r="E129"/>
      <c r="F129" t="str">
        <f>LEFT(AllDaqbookOffsets[[#This Row],[traceability_no]],2)</f>
        <v>J1</v>
      </c>
      <c r="W129" t="s">
        <v>563</v>
      </c>
      <c r="X129" t="s">
        <v>298</v>
      </c>
      <c r="Z129" s="462" t="str">
        <v>K01</v>
      </c>
      <c r="AA129" s="194" t="str">
        <v>K01-K16</v>
      </c>
      <c r="AG129" s="69" t="str">
        <v>K01</v>
      </c>
    </row>
    <row r="130" spans="1:33" x14ac:dyDescent="0.2">
      <c r="A130"/>
      <c r="B130"/>
      <c r="C130"/>
      <c r="D130"/>
      <c r="E130"/>
      <c r="F130" t="str">
        <f>LEFT(AllDaqbookOffsets[[#This Row],[traceability_no]],2)</f>
        <v>J1</v>
      </c>
      <c r="W130" t="s">
        <v>564</v>
      </c>
      <c r="X130" t="s">
        <v>298</v>
      </c>
      <c r="Z130" s="462" t="str">
        <v>K02</v>
      </c>
      <c r="AA130" s="194" t="str">
        <v>K01-K16</v>
      </c>
      <c r="AG130" s="69" t="str">
        <v>K02</v>
      </c>
    </row>
    <row r="131" spans="1:33" x14ac:dyDescent="0.2">
      <c r="A131"/>
      <c r="B131"/>
      <c r="C131"/>
      <c r="D131"/>
      <c r="E131"/>
      <c r="F131" t="str">
        <f>LEFT(AllDaqbookOffsets[[#This Row],[traceability_no]],2)</f>
        <v>J1</v>
      </c>
      <c r="W131" t="s">
        <v>565</v>
      </c>
      <c r="X131" t="s">
        <v>298</v>
      </c>
      <c r="Z131" s="462" t="str">
        <v>K03</v>
      </c>
      <c r="AA131" s="194" t="str">
        <v>K01-K16</v>
      </c>
      <c r="AG131" s="69" t="str">
        <v>K03</v>
      </c>
    </row>
    <row r="132" spans="1:33" x14ac:dyDescent="0.2">
      <c r="A132"/>
      <c r="B132"/>
      <c r="C132"/>
      <c r="D132"/>
      <c r="E132"/>
      <c r="F132" t="str">
        <f>LEFT(AllDaqbookOffsets[[#This Row],[traceability_no]],2)</f>
        <v>J1</v>
      </c>
      <c r="W132" t="s">
        <v>566</v>
      </c>
      <c r="X132" t="s">
        <v>298</v>
      </c>
      <c r="Z132" s="462" t="str">
        <v>K04</v>
      </c>
      <c r="AA132" s="194" t="str">
        <v>K01-K16</v>
      </c>
      <c r="AG132" s="69" t="str">
        <v>K04</v>
      </c>
    </row>
    <row r="133" spans="1:33" x14ac:dyDescent="0.2">
      <c r="A133"/>
      <c r="B133"/>
      <c r="C133"/>
      <c r="D133"/>
      <c r="E133"/>
      <c r="F133" t="str">
        <f>LEFT(AllDaqbookOffsets[[#This Row],[traceability_no]],2)</f>
        <v>J1</v>
      </c>
      <c r="W133" t="s">
        <v>567</v>
      </c>
      <c r="X133" t="s">
        <v>298</v>
      </c>
      <c r="Z133" s="462" t="str">
        <v>K05</v>
      </c>
      <c r="AA133" s="194" t="str">
        <v>K01-K16</v>
      </c>
      <c r="AG133" s="69" t="str">
        <v>K05</v>
      </c>
    </row>
    <row r="134" spans="1:33" x14ac:dyDescent="0.2">
      <c r="A134"/>
      <c r="B134"/>
      <c r="C134"/>
      <c r="D134"/>
      <c r="E134"/>
      <c r="F134" t="str">
        <f>LEFT(AllDaqbookOffsets[[#This Row],[traceability_no]],2)</f>
        <v>J1</v>
      </c>
      <c r="W134" t="s">
        <v>578</v>
      </c>
      <c r="X134" t="s">
        <v>175</v>
      </c>
      <c r="Z134" s="462" t="str">
        <v>K06</v>
      </c>
      <c r="AA134" s="194" t="str">
        <v>K01-K16</v>
      </c>
      <c r="AG134" s="69" t="str">
        <v>K06</v>
      </c>
    </row>
    <row r="135" spans="1:33" x14ac:dyDescent="0.2">
      <c r="A135"/>
      <c r="B135"/>
      <c r="C135"/>
      <c r="D135"/>
      <c r="E135"/>
      <c r="F135" t="str">
        <f>LEFT(AllDaqbookOffsets[[#This Row],[traceability_no]],2)</f>
        <v>J1</v>
      </c>
      <c r="W135" t="s">
        <v>579</v>
      </c>
      <c r="X135" t="s">
        <v>175</v>
      </c>
      <c r="Z135" s="462" t="str">
        <v>K07</v>
      </c>
      <c r="AA135" s="194" t="str">
        <v>K01-K16</v>
      </c>
      <c r="AG135" s="69" t="str">
        <v>K07</v>
      </c>
    </row>
    <row r="136" spans="1:33" x14ac:dyDescent="0.2">
      <c r="A136"/>
      <c r="B136"/>
      <c r="C136"/>
      <c r="D136"/>
      <c r="E136"/>
      <c r="F136" t="str">
        <f>LEFT(AllDaqbookOffsets[[#This Row],[traceability_no]],2)</f>
        <v>J1</v>
      </c>
      <c r="W136" t="s">
        <v>580</v>
      </c>
      <c r="X136" t="s">
        <v>175</v>
      </c>
      <c r="Z136" s="462" t="str">
        <v>K08</v>
      </c>
      <c r="AA136" s="194" t="str">
        <v>K01-K16</v>
      </c>
      <c r="AG136" s="69" t="str">
        <v>K08</v>
      </c>
    </row>
    <row r="137" spans="1:33" x14ac:dyDescent="0.2">
      <c r="A137"/>
      <c r="B137"/>
      <c r="C137"/>
      <c r="D137"/>
      <c r="E137"/>
      <c r="F137" t="str">
        <f>LEFT(AllDaqbookOffsets[[#This Row],[traceability_no]],2)</f>
        <v>J1</v>
      </c>
      <c r="W137" t="s">
        <v>581</v>
      </c>
      <c r="X137" t="s">
        <v>175</v>
      </c>
      <c r="Z137" s="462" t="str">
        <v>K09</v>
      </c>
      <c r="AA137" s="194" t="str">
        <v>K01-K16</v>
      </c>
      <c r="AG137" s="69" t="str">
        <v>K09</v>
      </c>
    </row>
    <row r="138" spans="1:33" x14ac:dyDescent="0.2">
      <c r="A138"/>
      <c r="B138"/>
      <c r="C138"/>
      <c r="D138"/>
      <c r="E138"/>
      <c r="F138" t="str">
        <f>LEFT(AllDaqbookOffsets[[#This Row],[traceability_no]],2)</f>
        <v>J1</v>
      </c>
      <c r="W138" t="s">
        <v>582</v>
      </c>
      <c r="X138" t="s">
        <v>175</v>
      </c>
      <c r="Z138" s="462" t="str">
        <v>K10</v>
      </c>
      <c r="AA138" s="194" t="str">
        <v>K01-K16</v>
      </c>
      <c r="AG138" s="69" t="str">
        <v>K10</v>
      </c>
    </row>
    <row r="139" spans="1:33" x14ac:dyDescent="0.2">
      <c r="A139"/>
      <c r="B139"/>
      <c r="C139"/>
      <c r="D139"/>
      <c r="E139"/>
      <c r="F139" t="str">
        <f>LEFT(AllDaqbookOffsets[[#This Row],[traceability_no]],2)</f>
        <v>J1</v>
      </c>
      <c r="W139" t="s">
        <v>583</v>
      </c>
      <c r="X139" t="s">
        <v>175</v>
      </c>
      <c r="Z139" s="462" t="str">
        <v>K101</v>
      </c>
      <c r="AA139" s="194" t="str">
        <v>K101 - K110</v>
      </c>
      <c r="AG139" s="69" t="str">
        <v>K101</v>
      </c>
    </row>
    <row r="140" spans="1:33" x14ac:dyDescent="0.2">
      <c r="A140"/>
      <c r="B140"/>
      <c r="C140"/>
      <c r="D140"/>
      <c r="E140"/>
      <c r="F140" t="str">
        <f>LEFT(AllDaqbookOffsets[[#This Row],[traceability_no]],2)</f>
        <v>J1</v>
      </c>
      <c r="W140" t="s">
        <v>584</v>
      </c>
      <c r="X140" t="s">
        <v>175</v>
      </c>
      <c r="Z140" s="462" t="str">
        <v>K102</v>
      </c>
      <c r="AA140" s="194" t="str">
        <v>K101 - K110</v>
      </c>
      <c r="AG140" s="69" t="str">
        <v>K102</v>
      </c>
    </row>
    <row r="141" spans="1:33" x14ac:dyDescent="0.2">
      <c r="A141"/>
      <c r="B141"/>
      <c r="C141"/>
      <c r="D141"/>
      <c r="E141"/>
      <c r="F141" t="str">
        <f>LEFT(AllDaqbookOffsets[[#This Row],[traceability_no]],2)</f>
        <v>J1</v>
      </c>
      <c r="W141" t="s">
        <v>585</v>
      </c>
      <c r="X141" t="s">
        <v>175</v>
      </c>
      <c r="Z141" s="462" t="str">
        <v>K103</v>
      </c>
      <c r="AA141" s="194" t="str">
        <v>K101 - K110</v>
      </c>
      <c r="AG141" s="69" t="str">
        <v>K103</v>
      </c>
    </row>
    <row r="142" spans="1:33" x14ac:dyDescent="0.2">
      <c r="A142"/>
      <c r="B142"/>
      <c r="C142"/>
      <c r="D142"/>
      <c r="E142"/>
      <c r="F142" t="str">
        <f>LEFT(AllDaqbookOffsets[[#This Row],[traceability_no]],2)</f>
        <v>J1</v>
      </c>
      <c r="W142" t="s">
        <v>586</v>
      </c>
      <c r="X142" t="s">
        <v>175</v>
      </c>
      <c r="Z142" s="462" t="str">
        <v>K104</v>
      </c>
      <c r="AA142" s="194" t="str">
        <v>K101 - K110</v>
      </c>
      <c r="AG142" s="69" t="str">
        <v>K104</v>
      </c>
    </row>
    <row r="143" spans="1:33" x14ac:dyDescent="0.2">
      <c r="A143"/>
      <c r="B143"/>
      <c r="C143"/>
      <c r="D143"/>
      <c r="E143"/>
      <c r="F143" t="str">
        <f>LEFT(AllDaqbookOffsets[[#This Row],[traceability_no]],2)</f>
        <v>J1</v>
      </c>
      <c r="W143" t="s">
        <v>587</v>
      </c>
      <c r="X143" t="s">
        <v>175</v>
      </c>
      <c r="Z143" s="462" t="str">
        <v>K105</v>
      </c>
      <c r="AA143" s="194" t="str">
        <v>K101 - K110</v>
      </c>
      <c r="AG143" s="69" t="str">
        <v>K105</v>
      </c>
    </row>
    <row r="144" spans="1:33" x14ac:dyDescent="0.2">
      <c r="A144"/>
      <c r="B144"/>
      <c r="C144"/>
      <c r="D144"/>
      <c r="E144"/>
      <c r="F144" t="str">
        <f>LEFT(AllDaqbookOffsets[[#This Row],[traceability_no]],2)</f>
        <v>J1</v>
      </c>
      <c r="W144" t="s">
        <v>588</v>
      </c>
      <c r="X144" t="s">
        <v>175</v>
      </c>
      <c r="Z144" s="462" t="str">
        <v>K106</v>
      </c>
      <c r="AA144" s="194" t="str">
        <v>K101 - K110</v>
      </c>
      <c r="AG144" s="69" t="str">
        <v>K106</v>
      </c>
    </row>
    <row r="145" spans="1:33" x14ac:dyDescent="0.2">
      <c r="A145"/>
      <c r="B145"/>
      <c r="C145"/>
      <c r="D145"/>
      <c r="E145"/>
      <c r="F145" t="str">
        <f>LEFT(AllDaqbookOffsets[[#This Row],[traceability_no]],2)</f>
        <v>J1</v>
      </c>
      <c r="W145" t="s">
        <v>589</v>
      </c>
      <c r="X145" t="s">
        <v>175</v>
      </c>
      <c r="Z145" s="462" t="str">
        <v>K107</v>
      </c>
      <c r="AA145" s="194" t="str">
        <v>K101 - K110</v>
      </c>
      <c r="AG145" s="69" t="str">
        <v>K107</v>
      </c>
    </row>
    <row r="146" spans="1:33" x14ac:dyDescent="0.2">
      <c r="A146"/>
      <c r="B146"/>
      <c r="C146"/>
      <c r="D146"/>
      <c r="E146"/>
      <c r="F146" t="str">
        <f>LEFT(AllDaqbookOffsets[[#This Row],[traceability_no]],2)</f>
        <v>J1</v>
      </c>
      <c r="W146" t="s">
        <v>590</v>
      </c>
      <c r="X146" t="s">
        <v>175</v>
      </c>
      <c r="Z146" s="462" t="str">
        <v>K108</v>
      </c>
      <c r="AA146" s="194" t="str">
        <v>K101 - K110</v>
      </c>
      <c r="AG146" s="69" t="str">
        <v>K108</v>
      </c>
    </row>
    <row r="147" spans="1:33" x14ac:dyDescent="0.2">
      <c r="A147"/>
      <c r="B147"/>
      <c r="C147"/>
      <c r="D147"/>
      <c r="E147"/>
      <c r="F147" t="str">
        <f>LEFT(AllDaqbookOffsets[[#This Row],[traceability_no]],2)</f>
        <v>J1</v>
      </c>
      <c r="W147" t="s">
        <v>591</v>
      </c>
      <c r="X147" t="s">
        <v>175</v>
      </c>
      <c r="Z147" s="462" t="str">
        <v>K109</v>
      </c>
      <c r="AA147" s="194" t="str">
        <v>K101 - K110</v>
      </c>
      <c r="AG147" s="69" t="str">
        <v>K109</v>
      </c>
    </row>
    <row r="148" spans="1:33" x14ac:dyDescent="0.2">
      <c r="A148"/>
      <c r="B148"/>
      <c r="C148"/>
      <c r="D148"/>
      <c r="E148"/>
      <c r="F148" t="str">
        <f>LEFT(AllDaqbookOffsets[[#This Row],[traceability_no]],2)</f>
        <v>J1</v>
      </c>
      <c r="W148" t="s">
        <v>592</v>
      </c>
      <c r="X148" t="s">
        <v>176</v>
      </c>
      <c r="Z148" s="462" t="str">
        <v>K11</v>
      </c>
      <c r="AA148" s="194" t="str">
        <v>K01-K16</v>
      </c>
      <c r="AG148" s="69" t="str">
        <v>K11</v>
      </c>
    </row>
    <row r="149" spans="1:33" x14ac:dyDescent="0.2">
      <c r="A149"/>
      <c r="B149"/>
      <c r="C149"/>
      <c r="D149"/>
      <c r="E149"/>
      <c r="F149" t="str">
        <f>LEFT(AllDaqbookOffsets[[#This Row],[traceability_no]],2)</f>
        <v>J1</v>
      </c>
      <c r="W149" t="s">
        <v>593</v>
      </c>
      <c r="X149" t="s">
        <v>176</v>
      </c>
      <c r="Z149" s="462" t="str">
        <v>K110</v>
      </c>
      <c r="AA149" s="194" t="str">
        <v>K101 - K110</v>
      </c>
      <c r="AG149" s="69" t="str">
        <v>K110</v>
      </c>
    </row>
    <row r="150" spans="1:33" x14ac:dyDescent="0.2">
      <c r="A150"/>
      <c r="B150"/>
      <c r="C150"/>
      <c r="D150"/>
      <c r="E150"/>
      <c r="F150" t="str">
        <f>LEFT(AllDaqbookOffsets[[#This Row],[traceability_no]],2)</f>
        <v>J1</v>
      </c>
      <c r="W150" t="s">
        <v>594</v>
      </c>
      <c r="X150" t="s">
        <v>176</v>
      </c>
      <c r="Z150" s="462" t="str">
        <v>K12</v>
      </c>
      <c r="AA150" s="194" t="str">
        <v>K01-K16</v>
      </c>
      <c r="AG150" s="69" t="str">
        <v>K12</v>
      </c>
    </row>
    <row r="151" spans="1:33" x14ac:dyDescent="0.2">
      <c r="A151"/>
      <c r="B151"/>
      <c r="C151"/>
      <c r="D151"/>
      <c r="E151"/>
      <c r="F151" t="str">
        <f>LEFT(AllDaqbookOffsets[[#This Row],[traceability_no]],2)</f>
        <v>J1</v>
      </c>
      <c r="W151" t="s">
        <v>595</v>
      </c>
      <c r="X151" t="s">
        <v>176</v>
      </c>
      <c r="Z151" s="462" t="str">
        <v>K13</v>
      </c>
      <c r="AA151" s="194" t="str">
        <v>K01-K16</v>
      </c>
      <c r="AG151" s="69" t="str">
        <v>K13</v>
      </c>
    </row>
    <row r="152" spans="1:33" x14ac:dyDescent="0.2">
      <c r="A152"/>
      <c r="B152"/>
      <c r="C152"/>
      <c r="D152"/>
      <c r="E152"/>
      <c r="F152" t="str">
        <f>LEFT(AllDaqbookOffsets[[#This Row],[traceability_no]],2)</f>
        <v>J1</v>
      </c>
      <c r="W152" t="s">
        <v>596</v>
      </c>
      <c r="X152" t="s">
        <v>176</v>
      </c>
      <c r="Z152" s="462" t="str">
        <v>K14</v>
      </c>
      <c r="AA152" s="194" t="str">
        <v>K01-K16</v>
      </c>
      <c r="AG152" s="69" t="str">
        <v>K14</v>
      </c>
    </row>
    <row r="153" spans="1:33" x14ac:dyDescent="0.2">
      <c r="A153"/>
      <c r="B153"/>
      <c r="C153"/>
      <c r="D153"/>
      <c r="E153"/>
      <c r="F153" t="str">
        <f>LEFT(AllDaqbookOffsets[[#This Row],[traceability_no]],2)</f>
        <v>J1</v>
      </c>
      <c r="W153" t="s">
        <v>597</v>
      </c>
      <c r="X153" t="s">
        <v>176</v>
      </c>
      <c r="Z153" s="462" t="str">
        <v>K15</v>
      </c>
      <c r="AA153" s="194" t="str">
        <v>K01-K16</v>
      </c>
      <c r="AG153" s="69" t="str">
        <v>K15</v>
      </c>
    </row>
    <row r="154" spans="1:33" x14ac:dyDescent="0.2">
      <c r="A154"/>
      <c r="B154"/>
      <c r="C154"/>
      <c r="D154"/>
      <c r="E154"/>
      <c r="F154" t="str">
        <f>LEFT(AllDaqbookOffsets[[#This Row],[traceability_no]],2)</f>
        <v>J1</v>
      </c>
      <c r="W154" t="s">
        <v>598</v>
      </c>
      <c r="X154" t="s">
        <v>176</v>
      </c>
      <c r="Z154" s="462" t="str">
        <v>K16</v>
      </c>
      <c r="AA154" s="194" t="str">
        <v>K01-K16</v>
      </c>
      <c r="AG154" s="69" t="str">
        <v>K16</v>
      </c>
    </row>
    <row r="155" spans="1:33" x14ac:dyDescent="0.2">
      <c r="A155"/>
      <c r="B155"/>
      <c r="C155"/>
      <c r="D155"/>
      <c r="E155"/>
      <c r="F155" t="str">
        <f>LEFT(AllDaqbookOffsets[[#This Row],[traceability_no]],2)</f>
        <v>J1</v>
      </c>
      <c r="W155" t="s">
        <v>599</v>
      </c>
      <c r="X155" t="s">
        <v>176</v>
      </c>
      <c r="Z155" s="462" t="str">
        <v>K201</v>
      </c>
      <c r="AA155" s="194" t="str">
        <v>K201-K214</v>
      </c>
      <c r="AG155" s="69" t="str">
        <v>K201</v>
      </c>
    </row>
    <row r="156" spans="1:33" x14ac:dyDescent="0.2">
      <c r="A156"/>
      <c r="B156"/>
      <c r="C156"/>
      <c r="D156"/>
      <c r="E156"/>
      <c r="F156" t="str">
        <f>LEFT(AllDaqbookOffsets[[#This Row],[traceability_no]],2)</f>
        <v>J1</v>
      </c>
      <c r="W156" t="s">
        <v>600</v>
      </c>
      <c r="X156" t="s">
        <v>176</v>
      </c>
      <c r="Z156" s="462" t="str">
        <v>K202</v>
      </c>
      <c r="AA156" s="194" t="str">
        <v>K201-K214</v>
      </c>
      <c r="AG156" s="69" t="str">
        <v>K202</v>
      </c>
    </row>
    <row r="157" spans="1:33" x14ac:dyDescent="0.2">
      <c r="A157"/>
      <c r="B157"/>
      <c r="C157"/>
      <c r="D157"/>
      <c r="E157"/>
      <c r="F157" t="str">
        <f>LEFT(AllDaqbookOffsets[[#This Row],[traceability_no]],2)</f>
        <v>J1</v>
      </c>
      <c r="W157" t="s">
        <v>601</v>
      </c>
      <c r="X157" t="s">
        <v>176</v>
      </c>
      <c r="Z157" s="462" t="str">
        <v>K203</v>
      </c>
      <c r="AA157" s="194" t="str">
        <v>K201-K214</v>
      </c>
      <c r="AG157" s="69" t="str">
        <v>K203</v>
      </c>
    </row>
    <row r="158" spans="1:33" x14ac:dyDescent="0.2">
      <c r="A158"/>
      <c r="B158"/>
      <c r="C158"/>
      <c r="D158"/>
      <c r="E158"/>
      <c r="F158" t="str">
        <f>LEFT(AllDaqbookOffsets[[#This Row],[traceability_no]],2)</f>
        <v>J1</v>
      </c>
      <c r="W158" t="s">
        <v>602</v>
      </c>
      <c r="X158" t="s">
        <v>176</v>
      </c>
      <c r="Z158" s="462" t="str">
        <v>K204</v>
      </c>
      <c r="AA158" s="194" t="str">
        <v>K201-K214</v>
      </c>
      <c r="AG158" s="69" t="str">
        <v>K204</v>
      </c>
    </row>
    <row r="159" spans="1:33" x14ac:dyDescent="0.2">
      <c r="A159"/>
      <c r="B159"/>
      <c r="C159"/>
      <c r="D159"/>
      <c r="E159"/>
      <c r="F159" t="str">
        <f>LEFT(AllDaqbookOffsets[[#This Row],[traceability_no]],2)</f>
        <v>J1</v>
      </c>
      <c r="W159" t="s">
        <v>603</v>
      </c>
      <c r="X159" t="s">
        <v>176</v>
      </c>
      <c r="Z159" s="462" t="str">
        <v>K205</v>
      </c>
      <c r="AA159" s="194" t="str">
        <v>K201-K214</v>
      </c>
      <c r="AG159" s="69" t="str">
        <v>K205</v>
      </c>
    </row>
    <row r="160" spans="1:33" x14ac:dyDescent="0.2">
      <c r="A160"/>
      <c r="B160"/>
      <c r="C160"/>
      <c r="D160"/>
      <c r="E160"/>
      <c r="F160" t="str">
        <f>LEFT(AllDaqbookOffsets[[#This Row],[traceability_no]],2)</f>
        <v>J1</v>
      </c>
      <c r="W160" t="s">
        <v>604</v>
      </c>
      <c r="X160" t="s">
        <v>176</v>
      </c>
      <c r="Z160" s="462" t="str">
        <v>K206</v>
      </c>
      <c r="AA160" s="194" t="str">
        <v>K201-K214</v>
      </c>
      <c r="AG160" s="69" t="str">
        <v>K206</v>
      </c>
    </row>
    <row r="161" spans="1:33" x14ac:dyDescent="0.2">
      <c r="A161"/>
      <c r="B161"/>
      <c r="C161"/>
      <c r="D161"/>
      <c r="E161"/>
      <c r="F161" t="str">
        <f>LEFT(AllDaqbookOffsets[[#This Row],[traceability_no]],2)</f>
        <v>J1</v>
      </c>
      <c r="W161" t="s">
        <v>605</v>
      </c>
      <c r="X161" t="s">
        <v>176</v>
      </c>
      <c r="Z161" s="462" t="str">
        <v>K207</v>
      </c>
      <c r="AA161" s="194" t="str">
        <v>K201-K214</v>
      </c>
      <c r="AG161" s="69" t="str">
        <v>K207</v>
      </c>
    </row>
    <row r="162" spans="1:33" x14ac:dyDescent="0.2">
      <c r="A162"/>
      <c r="B162"/>
      <c r="C162"/>
      <c r="D162"/>
      <c r="E162"/>
      <c r="F162" t="str">
        <f>LEFT(AllDaqbookOffsets[[#This Row],[traceability_no]],2)</f>
        <v>J1</v>
      </c>
      <c r="W162" t="s">
        <v>606</v>
      </c>
      <c r="X162" t="s">
        <v>177</v>
      </c>
      <c r="Z162" s="462" t="str">
        <v>K208</v>
      </c>
      <c r="AA162" s="194" t="str">
        <v>K201-K214</v>
      </c>
      <c r="AG162" s="69" t="str">
        <v>K208</v>
      </c>
    </row>
    <row r="163" spans="1:33" x14ac:dyDescent="0.2">
      <c r="A163"/>
      <c r="B163"/>
      <c r="C163"/>
      <c r="D163"/>
      <c r="E163"/>
      <c r="F163" t="str">
        <f>LEFT(AllDaqbookOffsets[[#This Row],[traceability_no]],2)</f>
        <v>J1</v>
      </c>
      <c r="W163" t="s">
        <v>607</v>
      </c>
      <c r="X163" t="s">
        <v>177</v>
      </c>
      <c r="Z163" s="462" t="str">
        <v>K209</v>
      </c>
      <c r="AA163" s="194" t="str">
        <v>K201-K214</v>
      </c>
      <c r="AG163" s="69" t="str">
        <v>K209</v>
      </c>
    </row>
    <row r="164" spans="1:33" x14ac:dyDescent="0.2">
      <c r="A164"/>
      <c r="B164"/>
      <c r="C164"/>
      <c r="D164"/>
      <c r="E164"/>
      <c r="F164" t="str">
        <f>LEFT(AllDaqbookOffsets[[#This Row],[traceability_no]],2)</f>
        <v>J1</v>
      </c>
      <c r="W164" t="s">
        <v>608</v>
      </c>
      <c r="X164" t="s">
        <v>177</v>
      </c>
      <c r="Z164" s="462" t="str">
        <v>K210</v>
      </c>
      <c r="AA164" s="194" t="str">
        <v>K201-K214</v>
      </c>
      <c r="AG164" s="69" t="str">
        <v>K210</v>
      </c>
    </row>
    <row r="165" spans="1:33" x14ac:dyDescent="0.2">
      <c r="A165"/>
      <c r="B165"/>
      <c r="C165"/>
      <c r="D165"/>
      <c r="E165"/>
      <c r="F165" t="str">
        <f>LEFT(AllDaqbookOffsets[[#This Row],[traceability_no]],2)</f>
        <v>J1</v>
      </c>
      <c r="W165" t="s">
        <v>609</v>
      </c>
      <c r="X165" t="s">
        <v>177</v>
      </c>
      <c r="Z165" s="462" t="str">
        <v>K211</v>
      </c>
      <c r="AA165" s="194" t="str">
        <v>K201-K214</v>
      </c>
      <c r="AG165" s="69" t="str">
        <v>K211</v>
      </c>
    </row>
    <row r="166" spans="1:33" x14ac:dyDescent="0.2">
      <c r="A166"/>
      <c r="B166"/>
      <c r="C166"/>
      <c r="D166"/>
      <c r="E166"/>
      <c r="F166" t="str">
        <f>LEFT(AllDaqbookOffsets[[#This Row],[traceability_no]],2)</f>
        <v>J1</v>
      </c>
      <c r="W166" t="s">
        <v>610</v>
      </c>
      <c r="X166" t="s">
        <v>177</v>
      </c>
      <c r="Z166" s="462" t="str">
        <v>K212</v>
      </c>
      <c r="AA166" s="194" t="str">
        <v>K201-K214</v>
      </c>
      <c r="AG166" s="69" t="str">
        <v>K212</v>
      </c>
    </row>
    <row r="167" spans="1:33" x14ac:dyDescent="0.2">
      <c r="A167"/>
      <c r="B167"/>
      <c r="C167"/>
      <c r="D167"/>
      <c r="E167"/>
      <c r="F167" t="str">
        <f>LEFT(AllDaqbookOffsets[[#This Row],[traceability_no]],2)</f>
        <v>J1</v>
      </c>
      <c r="W167" t="s">
        <v>611</v>
      </c>
      <c r="X167" t="s">
        <v>177</v>
      </c>
      <c r="Z167" s="462" t="str">
        <v>K213</v>
      </c>
      <c r="AA167" s="194" t="str">
        <v>K201-K214</v>
      </c>
      <c r="AG167" s="69" t="str">
        <v>K213</v>
      </c>
    </row>
    <row r="168" spans="1:33" x14ac:dyDescent="0.2">
      <c r="A168"/>
      <c r="B168"/>
      <c r="C168"/>
      <c r="D168"/>
      <c r="E168"/>
      <c r="F168" t="str">
        <f>LEFT(AllDaqbookOffsets[[#This Row],[traceability_no]],2)</f>
        <v>J1</v>
      </c>
      <c r="W168" t="s">
        <v>612</v>
      </c>
      <c r="X168" t="s">
        <v>177</v>
      </c>
      <c r="Z168" s="462" t="str">
        <v>K214</v>
      </c>
      <c r="AA168" s="194" t="str">
        <v>K201-K214</v>
      </c>
      <c r="AG168" s="69" t="str">
        <v>K214</v>
      </c>
    </row>
    <row r="169" spans="1:33" x14ac:dyDescent="0.2">
      <c r="A169"/>
      <c r="B169"/>
      <c r="C169"/>
      <c r="D169"/>
      <c r="E169"/>
      <c r="F169" t="str">
        <f>LEFT(AllDaqbookOffsets[[#This Row],[traceability_no]],2)</f>
        <v>J1</v>
      </c>
      <c r="W169" t="s">
        <v>613</v>
      </c>
      <c r="X169" t="s">
        <v>177</v>
      </c>
      <c r="Z169" s="462" t="str">
        <v>K301</v>
      </c>
      <c r="AA169" s="194" t="str">
        <v>K301-K314</v>
      </c>
      <c r="AG169" s="69" t="str">
        <v>K301</v>
      </c>
    </row>
    <row r="170" spans="1:33" x14ac:dyDescent="0.2">
      <c r="A170"/>
      <c r="B170"/>
      <c r="C170"/>
      <c r="D170"/>
      <c r="E170"/>
      <c r="F170" t="str">
        <f>LEFT(AllDaqbookOffsets[[#This Row],[traceability_no]],2)</f>
        <v>J1</v>
      </c>
      <c r="W170" t="s">
        <v>614</v>
      </c>
      <c r="X170" t="s">
        <v>177</v>
      </c>
      <c r="Z170" s="462" t="str">
        <v>K302</v>
      </c>
      <c r="AA170" s="194" t="str">
        <v>K301-K314</v>
      </c>
      <c r="AG170" s="69" t="str">
        <v>K302</v>
      </c>
    </row>
    <row r="171" spans="1:33" x14ac:dyDescent="0.2">
      <c r="A171"/>
      <c r="B171"/>
      <c r="C171"/>
      <c r="D171"/>
      <c r="E171"/>
      <c r="F171" t="str">
        <f>LEFT(AllDaqbookOffsets[[#This Row],[traceability_no]],2)</f>
        <v>J1</v>
      </c>
      <c r="W171" t="s">
        <v>615</v>
      </c>
      <c r="X171" t="s">
        <v>177</v>
      </c>
      <c r="Z171" s="462" t="str">
        <v>K303</v>
      </c>
      <c r="AA171" s="194" t="str">
        <v>K301-K314</v>
      </c>
      <c r="AG171" s="69" t="str">
        <v>K303</v>
      </c>
    </row>
    <row r="172" spans="1:33" x14ac:dyDescent="0.2">
      <c r="A172"/>
      <c r="B172"/>
      <c r="C172"/>
      <c r="D172"/>
      <c r="E172"/>
      <c r="F172" t="str">
        <f>LEFT(AllDaqbookOffsets[[#This Row],[traceability_no]],2)</f>
        <v>J1</v>
      </c>
      <c r="W172" t="s">
        <v>616</v>
      </c>
      <c r="X172" t="s">
        <v>177</v>
      </c>
      <c r="Z172" s="462" t="str">
        <v>K304</v>
      </c>
      <c r="AA172" s="194" t="str">
        <v>K301-K314</v>
      </c>
      <c r="AG172" s="69" t="str">
        <v>K304</v>
      </c>
    </row>
    <row r="173" spans="1:33" x14ac:dyDescent="0.2">
      <c r="A173"/>
      <c r="B173"/>
      <c r="C173"/>
      <c r="D173"/>
      <c r="E173"/>
      <c r="F173" t="str">
        <f>LEFT(AllDaqbookOffsets[[#This Row],[traceability_no]],2)</f>
        <v>J1</v>
      </c>
      <c r="W173" t="s">
        <v>617</v>
      </c>
      <c r="X173" t="s">
        <v>177</v>
      </c>
      <c r="Z173" s="462" t="str">
        <v>K305</v>
      </c>
      <c r="AA173" s="194" t="str">
        <v>K301-K314</v>
      </c>
      <c r="AG173" s="69" t="str">
        <v>K305</v>
      </c>
    </row>
    <row r="174" spans="1:33" x14ac:dyDescent="0.2">
      <c r="A174"/>
      <c r="B174"/>
      <c r="C174"/>
      <c r="D174"/>
      <c r="E174"/>
      <c r="F174" t="str">
        <f>LEFT(AllDaqbookOffsets[[#This Row],[traceability_no]],2)</f>
        <v>J1</v>
      </c>
      <c r="W174" t="s">
        <v>618</v>
      </c>
      <c r="X174" t="s">
        <v>177</v>
      </c>
      <c r="Z174" s="462" t="str">
        <v>K306</v>
      </c>
      <c r="AA174" s="194" t="str">
        <v>K301-K314</v>
      </c>
      <c r="AG174" s="69" t="str">
        <v>K306</v>
      </c>
    </row>
    <row r="175" spans="1:33" x14ac:dyDescent="0.2">
      <c r="A175"/>
      <c r="B175"/>
      <c r="C175"/>
      <c r="D175"/>
      <c r="E175"/>
      <c r="F175" t="str">
        <f>LEFT(AllDaqbookOffsets[[#This Row],[traceability_no]],2)</f>
        <v>J1</v>
      </c>
      <c r="W175" t="s">
        <v>619</v>
      </c>
      <c r="X175" t="s">
        <v>177</v>
      </c>
      <c r="Z175" s="462" t="str">
        <v>K307</v>
      </c>
      <c r="AA175" s="194" t="str">
        <v>K301-K314</v>
      </c>
      <c r="AG175" s="69" t="str">
        <v>K307</v>
      </c>
    </row>
    <row r="176" spans="1:33" x14ac:dyDescent="0.2">
      <c r="A176"/>
      <c r="B176"/>
      <c r="C176"/>
      <c r="D176"/>
      <c r="E176"/>
      <c r="F176" t="str">
        <f>LEFT(AllDaqbookOffsets[[#This Row],[traceability_no]],2)</f>
        <v>J1</v>
      </c>
      <c r="W176" t="s">
        <v>620</v>
      </c>
      <c r="X176" t="s">
        <v>177</v>
      </c>
      <c r="Z176" s="462" t="str">
        <v>K308</v>
      </c>
      <c r="AA176" s="194" t="str">
        <v>K301-K314</v>
      </c>
      <c r="AG176" s="69" t="str">
        <v>K308</v>
      </c>
    </row>
    <row r="177" spans="1:33" x14ac:dyDescent="0.2">
      <c r="A177"/>
      <c r="B177"/>
      <c r="C177"/>
      <c r="D177"/>
      <c r="E177"/>
      <c r="F177" t="str">
        <f>LEFT(AllDaqbookOffsets[[#This Row],[traceability_no]],2)</f>
        <v>J1</v>
      </c>
      <c r="W177" t="s">
        <v>621</v>
      </c>
      <c r="X177" t="s">
        <v>177</v>
      </c>
      <c r="Z177" s="462" t="str">
        <v>K309</v>
      </c>
      <c r="AA177" s="194" t="str">
        <v>K301-K314</v>
      </c>
      <c r="AG177" s="69" t="str">
        <v>K309</v>
      </c>
    </row>
    <row r="178" spans="1:33" x14ac:dyDescent="0.2">
      <c r="A178"/>
      <c r="B178"/>
      <c r="C178"/>
      <c r="D178"/>
      <c r="E178"/>
      <c r="F178" t="str">
        <f>LEFT(AllDaqbookOffsets[[#This Row],[traceability_no]],2)</f>
        <v>J1</v>
      </c>
      <c r="W178" t="s">
        <v>622</v>
      </c>
      <c r="X178" t="s">
        <v>178</v>
      </c>
      <c r="Z178" s="462" t="str">
        <v>K310</v>
      </c>
      <c r="AA178" s="194" t="str">
        <v>K301-K314</v>
      </c>
      <c r="AG178" s="69" t="str">
        <v>K310</v>
      </c>
    </row>
    <row r="179" spans="1:33" x14ac:dyDescent="0.2">
      <c r="A179"/>
      <c r="B179"/>
      <c r="C179"/>
      <c r="D179"/>
      <c r="E179"/>
      <c r="F179" t="str">
        <f>LEFT(AllDaqbookOffsets[[#This Row],[traceability_no]],2)</f>
        <v>J1</v>
      </c>
      <c r="W179" t="s">
        <v>623</v>
      </c>
      <c r="X179" t="s">
        <v>178</v>
      </c>
      <c r="Z179" s="462" t="str">
        <v>K311</v>
      </c>
      <c r="AA179" s="194" t="str">
        <v>K301-K314</v>
      </c>
      <c r="AG179" s="69" t="str">
        <v>K311</v>
      </c>
    </row>
    <row r="180" spans="1:33" x14ac:dyDescent="0.2">
      <c r="A180"/>
      <c r="B180"/>
      <c r="C180"/>
      <c r="D180"/>
      <c r="E180"/>
      <c r="F180" t="str">
        <f>LEFT(AllDaqbookOffsets[[#This Row],[traceability_no]],2)</f>
        <v>J1</v>
      </c>
      <c r="W180" t="s">
        <v>624</v>
      </c>
      <c r="X180" t="s">
        <v>178</v>
      </c>
      <c r="Z180" s="462" t="str">
        <v>K312</v>
      </c>
      <c r="AA180" s="194" t="str">
        <v>K301-K314</v>
      </c>
      <c r="AG180" s="69" t="str">
        <v>K312</v>
      </c>
    </row>
    <row r="181" spans="1:33" x14ac:dyDescent="0.2">
      <c r="A181"/>
      <c r="B181"/>
      <c r="C181"/>
      <c r="D181"/>
      <c r="E181"/>
      <c r="F181" t="str">
        <f>LEFT(AllDaqbookOffsets[[#This Row],[traceability_no]],2)</f>
        <v>J1</v>
      </c>
      <c r="W181" t="s">
        <v>625</v>
      </c>
      <c r="X181" t="s">
        <v>178</v>
      </c>
      <c r="Z181" s="462" t="str">
        <v>K313</v>
      </c>
      <c r="AA181" s="194" t="str">
        <v>K301-K314</v>
      </c>
      <c r="AG181" s="69" t="str">
        <v>K313</v>
      </c>
    </row>
    <row r="182" spans="1:33" x14ac:dyDescent="0.2">
      <c r="A182"/>
      <c r="B182"/>
      <c r="C182"/>
      <c r="D182"/>
      <c r="E182"/>
      <c r="F182" t="str">
        <f>LEFT(AllDaqbookOffsets[[#This Row],[traceability_no]],2)</f>
        <v>J1</v>
      </c>
      <c r="W182" t="s">
        <v>626</v>
      </c>
      <c r="X182" t="s">
        <v>178</v>
      </c>
      <c r="Z182" s="462" t="str">
        <v>K314</v>
      </c>
      <c r="AA182" s="194" t="str">
        <v>K301-K314</v>
      </c>
      <c r="AG182" s="69" t="str">
        <v>K314</v>
      </c>
    </row>
    <row r="183" spans="1:33" x14ac:dyDescent="0.2">
      <c r="A183"/>
      <c r="B183"/>
      <c r="C183"/>
      <c r="D183"/>
      <c r="E183"/>
      <c r="F183" t="str">
        <f>LEFT(AllDaqbookOffsets[[#This Row],[traceability_no]],2)</f>
        <v>J1</v>
      </c>
      <c r="W183" t="s">
        <v>627</v>
      </c>
      <c r="X183" t="s">
        <v>178</v>
      </c>
      <c r="Z183" s="462" t="str">
        <v>K401</v>
      </c>
      <c r="AA183" s="194" t="str">
        <v>K401-K416</v>
      </c>
      <c r="AG183" s="69" t="str">
        <v>K401</v>
      </c>
    </row>
    <row r="184" spans="1:33" x14ac:dyDescent="0.2">
      <c r="A184"/>
      <c r="B184"/>
      <c r="C184"/>
      <c r="D184"/>
      <c r="E184"/>
      <c r="F184" t="str">
        <f>LEFT(AllDaqbookOffsets[[#This Row],[traceability_no]],2)</f>
        <v>J1</v>
      </c>
      <c r="W184" t="s">
        <v>628</v>
      </c>
      <c r="X184" t="s">
        <v>178</v>
      </c>
      <c r="Z184" s="462" t="str">
        <v>K402</v>
      </c>
      <c r="AA184" s="194" t="str">
        <v>K401-K416</v>
      </c>
      <c r="AG184" s="69" t="str">
        <v>K402</v>
      </c>
    </row>
    <row r="185" spans="1:33" x14ac:dyDescent="0.2">
      <c r="A185"/>
      <c r="B185"/>
      <c r="C185"/>
      <c r="D185"/>
      <c r="E185"/>
      <c r="F185" t="str">
        <f>LEFT(AllDaqbookOffsets[[#This Row],[traceability_no]],2)</f>
        <v>J1</v>
      </c>
      <c r="W185" t="s">
        <v>629</v>
      </c>
      <c r="X185" t="s">
        <v>178</v>
      </c>
      <c r="Z185" s="462" t="str">
        <v>K403</v>
      </c>
      <c r="AA185" s="194" t="str">
        <v>K401-K416</v>
      </c>
      <c r="AG185" s="69" t="str">
        <v>K403</v>
      </c>
    </row>
    <row r="186" spans="1:33" x14ac:dyDescent="0.2">
      <c r="A186"/>
      <c r="B186"/>
      <c r="C186"/>
      <c r="D186"/>
      <c r="E186"/>
      <c r="F186" t="str">
        <f>LEFT(AllDaqbookOffsets[[#This Row],[traceability_no]],2)</f>
        <v>J1</v>
      </c>
      <c r="W186" t="s">
        <v>630</v>
      </c>
      <c r="X186" t="s">
        <v>178</v>
      </c>
      <c r="Z186" s="462" t="str">
        <v>K404</v>
      </c>
      <c r="AA186" s="194" t="str">
        <v>K401-K416</v>
      </c>
      <c r="AG186" s="69" t="str">
        <v>K404</v>
      </c>
    </row>
    <row r="187" spans="1:33" x14ac:dyDescent="0.2">
      <c r="A187"/>
      <c r="B187"/>
      <c r="C187"/>
      <c r="D187"/>
      <c r="E187"/>
      <c r="F187" t="str">
        <f>LEFT(AllDaqbookOffsets[[#This Row],[traceability_no]],2)</f>
        <v>J1</v>
      </c>
      <c r="W187" t="s">
        <v>631</v>
      </c>
      <c r="X187" t="s">
        <v>178</v>
      </c>
      <c r="Z187" s="462" t="str">
        <v>K405</v>
      </c>
      <c r="AA187" s="194" t="str">
        <v>K401-K416</v>
      </c>
      <c r="AG187" s="69" t="str">
        <v>K405</v>
      </c>
    </row>
    <row r="188" spans="1:33" x14ac:dyDescent="0.2">
      <c r="A188"/>
      <c r="B188"/>
      <c r="C188"/>
      <c r="D188"/>
      <c r="E188"/>
      <c r="F188" t="str">
        <f>LEFT(AllDaqbookOffsets[[#This Row],[traceability_no]],2)</f>
        <v>J1</v>
      </c>
      <c r="W188" t="s">
        <v>632</v>
      </c>
      <c r="X188" t="s">
        <v>178</v>
      </c>
      <c r="Z188" s="462" t="str">
        <v>K406</v>
      </c>
      <c r="AA188" s="194" t="str">
        <v>K401-K416</v>
      </c>
      <c r="AG188" s="69" t="str">
        <v>K406</v>
      </c>
    </row>
    <row r="189" spans="1:33" x14ac:dyDescent="0.2">
      <c r="A189"/>
      <c r="B189"/>
      <c r="C189"/>
      <c r="D189"/>
      <c r="E189"/>
      <c r="F189" t="str">
        <f>LEFT(AllDaqbookOffsets[[#This Row],[traceability_no]],2)</f>
        <v>J1</v>
      </c>
      <c r="W189" t="s">
        <v>633</v>
      </c>
      <c r="X189" t="s">
        <v>178</v>
      </c>
      <c r="Z189" s="462" t="str">
        <v>K407</v>
      </c>
      <c r="AA189" s="194" t="str">
        <v>K401-K416</v>
      </c>
      <c r="AG189" s="69" t="str">
        <v>K407</v>
      </c>
    </row>
    <row r="190" spans="1:33" x14ac:dyDescent="0.2">
      <c r="A190"/>
      <c r="B190"/>
      <c r="C190"/>
      <c r="D190"/>
      <c r="E190"/>
      <c r="F190" t="str">
        <f>LEFT(AllDaqbookOffsets[[#This Row],[traceability_no]],2)</f>
        <v>J1</v>
      </c>
      <c r="W190" t="s">
        <v>634</v>
      </c>
      <c r="X190" t="s">
        <v>178</v>
      </c>
      <c r="Z190" s="462" t="str">
        <v>K408</v>
      </c>
      <c r="AA190" s="194" t="str">
        <v>K401-K416</v>
      </c>
      <c r="AG190" s="69" t="str">
        <v>K408</v>
      </c>
    </row>
    <row r="191" spans="1:33" x14ac:dyDescent="0.2">
      <c r="A191"/>
      <c r="B191"/>
      <c r="C191"/>
      <c r="D191"/>
      <c r="E191"/>
      <c r="F191" t="str">
        <f>LEFT(AllDaqbookOffsets[[#This Row],[traceability_no]],2)</f>
        <v>J1</v>
      </c>
      <c r="W191" t="s">
        <v>635</v>
      </c>
      <c r="X191" t="s">
        <v>178</v>
      </c>
      <c r="Z191" s="462" t="str">
        <v>K409</v>
      </c>
      <c r="AA191" s="194" t="str">
        <v>K401-K416</v>
      </c>
      <c r="AG191" s="69" t="str">
        <v>K409</v>
      </c>
    </row>
    <row r="192" spans="1:33" x14ac:dyDescent="0.2">
      <c r="A192"/>
      <c r="B192"/>
      <c r="C192"/>
      <c r="D192"/>
      <c r="E192"/>
      <c r="F192" t="str">
        <f>LEFT(AllDaqbookOffsets[[#This Row],[traceability_no]],2)</f>
        <v>J1</v>
      </c>
      <c r="W192" t="s">
        <v>636</v>
      </c>
      <c r="X192" t="s">
        <v>179</v>
      </c>
      <c r="Z192" s="462" t="str">
        <v>K410</v>
      </c>
      <c r="AA192" s="194" t="str">
        <v>K401-K416</v>
      </c>
      <c r="AG192" s="69" t="str">
        <v>K410</v>
      </c>
    </row>
    <row r="193" spans="1:33" x14ac:dyDescent="0.2">
      <c r="A193"/>
      <c r="B193"/>
      <c r="C193"/>
      <c r="D193"/>
      <c r="E193"/>
      <c r="F193" t="str">
        <f>LEFT(AllDaqbookOffsets[[#This Row],[traceability_no]],2)</f>
        <v>J1</v>
      </c>
      <c r="W193" t="s">
        <v>637</v>
      </c>
      <c r="X193" t="s">
        <v>179</v>
      </c>
      <c r="Z193" s="462" t="str">
        <v>K411</v>
      </c>
      <c r="AA193" s="194" t="str">
        <v>K401-K416</v>
      </c>
      <c r="AG193" s="69" t="str">
        <v>K411</v>
      </c>
    </row>
    <row r="194" spans="1:33" x14ac:dyDescent="0.2">
      <c r="A194"/>
      <c r="B194"/>
      <c r="C194"/>
      <c r="D194"/>
      <c r="E194"/>
      <c r="F194" t="str">
        <f>LEFT(AllDaqbookOffsets[[#This Row],[traceability_no]],2)</f>
        <v>J1</v>
      </c>
      <c r="W194" t="s">
        <v>638</v>
      </c>
      <c r="X194" t="s">
        <v>179</v>
      </c>
      <c r="Z194" s="462" t="str">
        <v>K412</v>
      </c>
      <c r="AA194" s="194" t="str">
        <v>K401-K416</v>
      </c>
      <c r="AG194" s="69" t="str">
        <v>K412</v>
      </c>
    </row>
    <row r="195" spans="1:33" x14ac:dyDescent="0.2">
      <c r="A195"/>
      <c r="B195"/>
      <c r="C195"/>
      <c r="D195"/>
      <c r="E195"/>
      <c r="F195" t="str">
        <f>LEFT(AllDaqbookOffsets[[#This Row],[traceability_no]],2)</f>
        <v>J1</v>
      </c>
      <c r="W195" t="s">
        <v>639</v>
      </c>
      <c r="X195" t="s">
        <v>179</v>
      </c>
      <c r="Z195" s="462" t="str">
        <v>K413</v>
      </c>
      <c r="AA195" s="194" t="str">
        <v>K401-K416</v>
      </c>
      <c r="AG195" s="69" t="str">
        <v>K413</v>
      </c>
    </row>
    <row r="196" spans="1:33" x14ac:dyDescent="0.2">
      <c r="A196"/>
      <c r="B196"/>
      <c r="C196"/>
      <c r="D196"/>
      <c r="E196"/>
      <c r="F196" t="str">
        <f>LEFT(AllDaqbookOffsets[[#This Row],[traceability_no]],2)</f>
        <v>J1</v>
      </c>
      <c r="W196" t="s">
        <v>640</v>
      </c>
      <c r="X196" t="s">
        <v>179</v>
      </c>
      <c r="Z196" s="462" t="str">
        <v>K414</v>
      </c>
      <c r="AA196" s="194" t="str">
        <v>K401-K416</v>
      </c>
      <c r="AG196" s="69" t="str">
        <v>K414</v>
      </c>
    </row>
    <row r="197" spans="1:33" x14ac:dyDescent="0.2">
      <c r="A197"/>
      <c r="B197"/>
      <c r="C197"/>
      <c r="D197"/>
      <c r="E197"/>
      <c r="F197" t="str">
        <f>LEFT(AllDaqbookOffsets[[#This Row],[traceability_no]],2)</f>
        <v>J1</v>
      </c>
      <c r="W197" t="s">
        <v>641</v>
      </c>
      <c r="X197" t="s">
        <v>179</v>
      </c>
      <c r="Z197" s="462" t="str">
        <v>K415</v>
      </c>
      <c r="AA197" s="194" t="str">
        <v>K401-K416</v>
      </c>
      <c r="AG197" s="69" t="str">
        <v>K415</v>
      </c>
    </row>
    <row r="198" spans="1:33" x14ac:dyDescent="0.2">
      <c r="A198"/>
      <c r="B198"/>
      <c r="C198"/>
      <c r="D198"/>
      <c r="E198"/>
      <c r="F198" t="str">
        <f>LEFT(AllDaqbookOffsets[[#This Row],[traceability_no]],2)</f>
        <v>J1</v>
      </c>
      <c r="W198" t="s">
        <v>642</v>
      </c>
      <c r="X198" t="s">
        <v>179</v>
      </c>
      <c r="Z198" s="462" t="str">
        <v>K416</v>
      </c>
      <c r="AA198" s="194" t="str">
        <v>K401-K416</v>
      </c>
      <c r="AG198" s="69" t="str">
        <v>K416</v>
      </c>
    </row>
    <row r="199" spans="1:33" x14ac:dyDescent="0.2">
      <c r="A199"/>
      <c r="B199"/>
      <c r="C199"/>
      <c r="D199"/>
      <c r="E199"/>
      <c r="F199" t="str">
        <f>LEFT(AllDaqbookOffsets[[#This Row],[traceability_no]],2)</f>
        <v>J1</v>
      </c>
      <c r="W199" t="s">
        <v>643</v>
      </c>
      <c r="X199" t="s">
        <v>179</v>
      </c>
      <c r="Z199" s="462" t="str">
        <v>K521</v>
      </c>
      <c r="AA199" s="194" t="str">
        <v>K521-K534</v>
      </c>
      <c r="AG199" s="69" t="str">
        <v>K521</v>
      </c>
    </row>
    <row r="200" spans="1:33" x14ac:dyDescent="0.2">
      <c r="A200"/>
      <c r="B200"/>
      <c r="C200"/>
      <c r="D200"/>
      <c r="E200"/>
      <c r="F200" t="str">
        <f>LEFT(AllDaqbookOffsets[[#This Row],[traceability_no]],2)</f>
        <v>J1</v>
      </c>
      <c r="W200" t="s">
        <v>644</v>
      </c>
      <c r="X200" t="s">
        <v>179</v>
      </c>
      <c r="Z200" s="462" t="str">
        <v>K522</v>
      </c>
      <c r="AA200" s="194" t="str">
        <v>K521-K534</v>
      </c>
      <c r="AG200" s="69" t="str">
        <v>K522</v>
      </c>
    </row>
    <row r="201" spans="1:33" x14ac:dyDescent="0.2">
      <c r="A201"/>
      <c r="B201"/>
      <c r="C201"/>
      <c r="D201"/>
      <c r="E201"/>
      <c r="F201" t="str">
        <f>LEFT(AllDaqbookOffsets[[#This Row],[traceability_no]],2)</f>
        <v>J1</v>
      </c>
      <c r="W201" t="s">
        <v>645</v>
      </c>
      <c r="X201" t="s">
        <v>179</v>
      </c>
      <c r="Z201" s="462" t="str">
        <v>K523</v>
      </c>
      <c r="AA201" s="194" t="str">
        <v>K521-K534</v>
      </c>
      <c r="AG201" s="69" t="str">
        <v>K523</v>
      </c>
    </row>
    <row r="202" spans="1:33" x14ac:dyDescent="0.2">
      <c r="A202"/>
      <c r="B202"/>
      <c r="C202"/>
      <c r="D202"/>
      <c r="E202"/>
      <c r="F202" t="str">
        <f>LEFT(AllDaqbookOffsets[[#This Row],[traceability_no]],2)</f>
        <v>J1</v>
      </c>
      <c r="W202" t="s">
        <v>646</v>
      </c>
      <c r="X202" t="s">
        <v>180</v>
      </c>
      <c r="Z202" s="462" t="str">
        <v>K524</v>
      </c>
      <c r="AA202" s="194" t="str">
        <v>K521-K534</v>
      </c>
      <c r="AG202" s="69" t="str">
        <v>K524</v>
      </c>
    </row>
    <row r="203" spans="1:33" x14ac:dyDescent="0.2">
      <c r="A203"/>
      <c r="B203"/>
      <c r="C203"/>
      <c r="D203"/>
      <c r="E203"/>
      <c r="F203" t="str">
        <f>LEFT(AllDaqbookOffsets[[#This Row],[traceability_no]],2)</f>
        <v>J1</v>
      </c>
      <c r="W203" t="s">
        <v>647</v>
      </c>
      <c r="X203" t="s">
        <v>180</v>
      </c>
      <c r="Z203" s="462" t="str">
        <v>K525</v>
      </c>
      <c r="AA203" s="194" t="str">
        <v>K521-K534</v>
      </c>
      <c r="AG203" s="69" t="str">
        <v>K525</v>
      </c>
    </row>
    <row r="204" spans="1:33" x14ac:dyDescent="0.2">
      <c r="A204"/>
      <c r="B204"/>
      <c r="C204"/>
      <c r="D204"/>
      <c r="E204"/>
      <c r="F204" t="str">
        <f>LEFT(AllDaqbookOffsets[[#This Row],[traceability_no]],2)</f>
        <v>J1</v>
      </c>
      <c r="W204" t="s">
        <v>648</v>
      </c>
      <c r="X204" t="s">
        <v>180</v>
      </c>
      <c r="Z204" s="462" t="str">
        <v>K526</v>
      </c>
      <c r="AA204" s="194" t="str">
        <v>K521-K534</v>
      </c>
      <c r="AG204" s="69" t="str">
        <v>K526</v>
      </c>
    </row>
    <row r="205" spans="1:33" x14ac:dyDescent="0.2">
      <c r="A205"/>
      <c r="B205"/>
      <c r="C205"/>
      <c r="D205"/>
      <c r="E205"/>
      <c r="F205" t="str">
        <f>LEFT(AllDaqbookOffsets[[#This Row],[traceability_no]],2)</f>
        <v>J1</v>
      </c>
      <c r="W205" t="s">
        <v>649</v>
      </c>
      <c r="X205" t="s">
        <v>180</v>
      </c>
      <c r="Z205" s="462" t="str">
        <v>K527</v>
      </c>
      <c r="AA205" s="194" t="str">
        <v>K521-K534</v>
      </c>
      <c r="AG205" s="69" t="str">
        <v>K527</v>
      </c>
    </row>
    <row r="206" spans="1:33" x14ac:dyDescent="0.2">
      <c r="A206"/>
      <c r="B206"/>
      <c r="C206"/>
      <c r="D206"/>
      <c r="E206"/>
      <c r="F206" t="str">
        <f>LEFT(AllDaqbookOffsets[[#This Row],[traceability_no]],2)</f>
        <v>J1</v>
      </c>
      <c r="W206" t="s">
        <v>650</v>
      </c>
      <c r="X206" t="s">
        <v>180</v>
      </c>
      <c r="Z206" s="462" t="str">
        <v>K528</v>
      </c>
      <c r="AA206" s="194" t="str">
        <v>K521-K534</v>
      </c>
      <c r="AG206" s="69" t="str">
        <v>K528</v>
      </c>
    </row>
    <row r="207" spans="1:33" x14ac:dyDescent="0.2">
      <c r="A207"/>
      <c r="B207"/>
      <c r="C207"/>
      <c r="D207"/>
      <c r="E207"/>
      <c r="F207" t="str">
        <f>LEFT(AllDaqbookOffsets[[#This Row],[traceability_no]],2)</f>
        <v>J1</v>
      </c>
      <c r="W207" t="s">
        <v>651</v>
      </c>
      <c r="X207" t="s">
        <v>180</v>
      </c>
      <c r="Z207" s="462" t="str">
        <v>K529</v>
      </c>
      <c r="AA207" s="194" t="str">
        <v>K521-K534</v>
      </c>
      <c r="AG207" s="69" t="str">
        <v>K529</v>
      </c>
    </row>
    <row r="208" spans="1:33" x14ac:dyDescent="0.2">
      <c r="A208"/>
      <c r="B208"/>
      <c r="C208"/>
      <c r="D208"/>
      <c r="E208"/>
      <c r="F208" t="str">
        <f>LEFT(AllDaqbookOffsets[[#This Row],[traceability_no]],2)</f>
        <v>J1</v>
      </c>
      <c r="W208" t="s">
        <v>652</v>
      </c>
      <c r="X208" t="s">
        <v>180</v>
      </c>
      <c r="Z208" s="462" t="str">
        <v>K530</v>
      </c>
      <c r="AA208" s="194" t="str">
        <v>K521-K534</v>
      </c>
      <c r="AG208" s="69" t="str">
        <v>K530</v>
      </c>
    </row>
    <row r="209" spans="1:33" x14ac:dyDescent="0.2">
      <c r="A209"/>
      <c r="B209"/>
      <c r="C209"/>
      <c r="D209"/>
      <c r="E209"/>
      <c r="F209" t="str">
        <f>LEFT(AllDaqbookOffsets[[#This Row],[traceability_no]],2)</f>
        <v>J1</v>
      </c>
      <c r="W209" t="s">
        <v>653</v>
      </c>
      <c r="X209" t="s">
        <v>180</v>
      </c>
      <c r="Z209" s="462" t="str">
        <v>K531</v>
      </c>
      <c r="AA209" s="194" t="str">
        <v>K521-K534</v>
      </c>
      <c r="AG209" s="69" t="str">
        <v>K531</v>
      </c>
    </row>
    <row r="210" spans="1:33" x14ac:dyDescent="0.2">
      <c r="A210"/>
      <c r="B210"/>
      <c r="C210"/>
      <c r="D210"/>
      <c r="E210"/>
      <c r="F210" t="str">
        <f>LEFT(AllDaqbookOffsets[[#This Row],[traceability_no]],2)</f>
        <v>J1</v>
      </c>
      <c r="W210" t="s">
        <v>654</v>
      </c>
      <c r="X210" t="s">
        <v>180</v>
      </c>
      <c r="Z210" s="462" t="str">
        <v>K532</v>
      </c>
      <c r="AA210" s="194" t="str">
        <v>K521-K534</v>
      </c>
      <c r="AG210" s="69" t="str">
        <v>K532</v>
      </c>
    </row>
    <row r="211" spans="1:33" x14ac:dyDescent="0.2">
      <c r="A211"/>
      <c r="B211"/>
      <c r="C211"/>
      <c r="D211"/>
      <c r="E211"/>
      <c r="F211" t="str">
        <f>LEFT(AllDaqbookOffsets[[#This Row],[traceability_no]],2)</f>
        <v>J1</v>
      </c>
      <c r="W211" t="s">
        <v>655</v>
      </c>
      <c r="X211" t="s">
        <v>180</v>
      </c>
      <c r="Z211" s="462" t="str">
        <v>K533</v>
      </c>
      <c r="AA211" s="194" t="str">
        <v>K521-K534</v>
      </c>
      <c r="AG211" s="69" t="str">
        <v>K533</v>
      </c>
    </row>
    <row r="212" spans="1:33" x14ac:dyDescent="0.2">
      <c r="A212"/>
      <c r="B212"/>
      <c r="C212"/>
      <c r="D212"/>
      <c r="E212"/>
      <c r="F212" t="str">
        <f>LEFT(AllDaqbookOffsets[[#This Row],[traceability_no]],2)</f>
        <v>J1</v>
      </c>
      <c r="W212" t="s">
        <v>656</v>
      </c>
      <c r="X212" t="s">
        <v>181</v>
      </c>
      <c r="Z212" s="462" t="str">
        <v>K534</v>
      </c>
      <c r="AA212" s="194" t="str">
        <v>K521-K534</v>
      </c>
      <c r="AG212" s="69" t="str">
        <v>K534</v>
      </c>
    </row>
    <row r="213" spans="1:33" x14ac:dyDescent="0.2">
      <c r="A213"/>
      <c r="B213"/>
      <c r="C213"/>
      <c r="D213"/>
      <c r="E213"/>
      <c r="F213" t="str">
        <f>LEFT(AllDaqbookOffsets[[#This Row],[traceability_no]],2)</f>
        <v>J1</v>
      </c>
      <c r="W213" t="s">
        <v>657</v>
      </c>
      <c r="X213" t="s">
        <v>181</v>
      </c>
      <c r="Z213" s="462" t="str">
        <v>K601</v>
      </c>
      <c r="AA213" s="194" t="str">
        <v>K601-K610</v>
      </c>
      <c r="AG213" s="69" t="str">
        <v>K601</v>
      </c>
    </row>
    <row r="214" spans="1:33" x14ac:dyDescent="0.2">
      <c r="A214"/>
      <c r="B214"/>
      <c r="C214"/>
      <c r="D214"/>
      <c r="E214"/>
      <c r="F214" t="str">
        <f>LEFT(AllDaqbookOffsets[[#This Row],[traceability_no]],2)</f>
        <v>J1</v>
      </c>
      <c r="W214" t="s">
        <v>658</v>
      </c>
      <c r="X214" t="s">
        <v>181</v>
      </c>
      <c r="Z214" s="462" t="str">
        <v>K602</v>
      </c>
      <c r="AA214" s="194" t="str">
        <v>K601-K610</v>
      </c>
      <c r="AG214" s="69" t="str">
        <v>K602</v>
      </c>
    </row>
    <row r="215" spans="1:33" x14ac:dyDescent="0.2">
      <c r="A215"/>
      <c r="B215"/>
      <c r="C215"/>
      <c r="D215"/>
      <c r="E215"/>
      <c r="F215" t="str">
        <f>LEFT(AllDaqbookOffsets[[#This Row],[traceability_no]],2)</f>
        <v>J1</v>
      </c>
      <c r="W215" t="s">
        <v>659</v>
      </c>
      <c r="X215" t="s">
        <v>181</v>
      </c>
      <c r="Z215" s="462" t="str">
        <v>K603</v>
      </c>
      <c r="AA215" s="194" t="str">
        <v>K601-K610</v>
      </c>
      <c r="AG215" s="69" t="str">
        <v>K603</v>
      </c>
    </row>
    <row r="216" spans="1:33" x14ac:dyDescent="0.2">
      <c r="A216"/>
      <c r="B216"/>
      <c r="C216"/>
      <c r="D216"/>
      <c r="E216"/>
      <c r="F216" t="str">
        <f>LEFT(AllDaqbookOffsets[[#This Row],[traceability_no]],2)</f>
        <v>J1</v>
      </c>
      <c r="W216" t="s">
        <v>660</v>
      </c>
      <c r="X216" t="s">
        <v>181</v>
      </c>
      <c r="Z216" s="462" t="str">
        <v>K604</v>
      </c>
      <c r="AA216" s="194" t="str">
        <v>K601-K610</v>
      </c>
      <c r="AG216" s="69" t="str">
        <v>K604</v>
      </c>
    </row>
    <row r="217" spans="1:33" x14ac:dyDescent="0.2">
      <c r="A217"/>
      <c r="B217"/>
      <c r="C217"/>
      <c r="D217"/>
      <c r="E217"/>
      <c r="F217" t="str">
        <f>LEFT(AllDaqbookOffsets[[#This Row],[traceability_no]],2)</f>
        <v>J1</v>
      </c>
      <c r="W217" t="s">
        <v>661</v>
      </c>
      <c r="X217" t="s">
        <v>181</v>
      </c>
      <c r="Z217" s="462" t="str">
        <v>K605</v>
      </c>
      <c r="AA217" s="194" t="str">
        <v>K601-K610</v>
      </c>
      <c r="AG217" s="69" t="str">
        <v>K605</v>
      </c>
    </row>
    <row r="218" spans="1:33" x14ac:dyDescent="0.2">
      <c r="A218"/>
      <c r="B218"/>
      <c r="C218"/>
      <c r="D218"/>
      <c r="E218"/>
      <c r="F218" t="str">
        <f>LEFT(AllDaqbookOffsets[[#This Row],[traceability_no]],2)</f>
        <v>J1</v>
      </c>
      <c r="W218" t="s">
        <v>662</v>
      </c>
      <c r="X218" t="s">
        <v>181</v>
      </c>
      <c r="Z218" s="462" t="str">
        <v>K606</v>
      </c>
      <c r="AA218" s="194" t="str">
        <v>K601-K610</v>
      </c>
      <c r="AG218" s="69" t="str">
        <v>K606</v>
      </c>
    </row>
    <row r="219" spans="1:33" x14ac:dyDescent="0.2">
      <c r="A219"/>
      <c r="B219"/>
      <c r="C219"/>
      <c r="D219"/>
      <c r="E219"/>
      <c r="F219" t="str">
        <f>LEFT(AllDaqbookOffsets[[#This Row],[traceability_no]],2)</f>
        <v>J1</v>
      </c>
      <c r="W219" t="s">
        <v>663</v>
      </c>
      <c r="X219" t="s">
        <v>181</v>
      </c>
      <c r="Z219" s="462" t="str">
        <v>K607</v>
      </c>
      <c r="AA219" s="194" t="str">
        <v>K601-K610</v>
      </c>
      <c r="AG219" s="69" t="str">
        <v>K607</v>
      </c>
    </row>
    <row r="220" spans="1:33" x14ac:dyDescent="0.2">
      <c r="A220"/>
      <c r="B220"/>
      <c r="C220"/>
      <c r="D220"/>
      <c r="E220"/>
      <c r="F220" t="str">
        <f>LEFT(AllDaqbookOffsets[[#This Row],[traceability_no]],2)</f>
        <v>J1</v>
      </c>
      <c r="W220" t="s">
        <v>664</v>
      </c>
      <c r="X220" t="s">
        <v>181</v>
      </c>
      <c r="Z220" s="462" t="str">
        <v>K608</v>
      </c>
      <c r="AA220" s="194" t="str">
        <v>K601-K610</v>
      </c>
      <c r="AG220" s="69" t="str">
        <v>K608</v>
      </c>
    </row>
    <row r="221" spans="1:33" x14ac:dyDescent="0.2">
      <c r="A221"/>
      <c r="B221"/>
      <c r="C221"/>
      <c r="D221"/>
      <c r="E221"/>
      <c r="F221" t="str">
        <f>LEFT(AllDaqbookOffsets[[#This Row],[traceability_no]],2)</f>
        <v>J1</v>
      </c>
      <c r="W221" t="s">
        <v>665</v>
      </c>
      <c r="X221" t="s">
        <v>181</v>
      </c>
      <c r="Z221" s="462" t="str">
        <v>K609</v>
      </c>
      <c r="AA221" s="194" t="str">
        <v>K601-K610</v>
      </c>
      <c r="AG221" s="69" t="str">
        <v>K609</v>
      </c>
    </row>
    <row r="222" spans="1:33" x14ac:dyDescent="0.2">
      <c r="A222"/>
      <c r="B222"/>
      <c r="C222"/>
      <c r="D222"/>
      <c r="E222"/>
      <c r="F222" t="str">
        <f>LEFT(AllDaqbookOffsets[[#This Row],[traceability_no]],2)</f>
        <v>J1</v>
      </c>
      <c r="W222" t="s">
        <v>666</v>
      </c>
      <c r="X222" t="s">
        <v>181</v>
      </c>
      <c r="Z222" s="462" t="str">
        <v>K610</v>
      </c>
      <c r="AA222" s="194" t="str">
        <v>K601-K610</v>
      </c>
      <c r="AG222" s="69" t="str">
        <v>K610</v>
      </c>
    </row>
    <row r="223" spans="1:33" x14ac:dyDescent="0.2">
      <c r="A223"/>
      <c r="B223"/>
      <c r="C223"/>
      <c r="D223"/>
      <c r="E223"/>
      <c r="F223" t="str">
        <f>LEFT(AllDaqbookOffsets[[#This Row],[traceability_no]],2)</f>
        <v>J1</v>
      </c>
      <c r="W223" t="s">
        <v>667</v>
      </c>
      <c r="X223" t="s">
        <v>181</v>
      </c>
      <c r="Z223" s="462" t="str">
        <v>K701</v>
      </c>
      <c r="AA223" s="194" t="str">
        <v>K701-K710</v>
      </c>
      <c r="AG223" s="69" t="str">
        <v>K701</v>
      </c>
    </row>
    <row r="224" spans="1:33" x14ac:dyDescent="0.2">
      <c r="A224"/>
      <c r="B224"/>
      <c r="C224"/>
      <c r="D224"/>
      <c r="E224"/>
      <c r="F224" t="str">
        <f>LEFT(AllDaqbookOffsets[[#This Row],[traceability_no]],2)</f>
        <v>J1</v>
      </c>
      <c r="W224" t="s">
        <v>668</v>
      </c>
      <c r="X224" t="s">
        <v>181</v>
      </c>
      <c r="Z224" s="462" t="str">
        <v>K702</v>
      </c>
      <c r="AA224" s="194" t="str">
        <v>K701-K710</v>
      </c>
      <c r="AG224" s="69" t="str">
        <v>K702</v>
      </c>
    </row>
    <row r="225" spans="1:33" x14ac:dyDescent="0.2">
      <c r="A225"/>
      <c r="B225"/>
      <c r="C225"/>
      <c r="D225"/>
      <c r="E225"/>
      <c r="F225" t="str">
        <f>LEFT(AllDaqbookOffsets[[#This Row],[traceability_no]],2)</f>
        <v>J1</v>
      </c>
      <c r="W225" t="s">
        <v>669</v>
      </c>
      <c r="X225" t="s">
        <v>181</v>
      </c>
      <c r="Z225" s="462" t="str">
        <v>K703</v>
      </c>
      <c r="AA225" s="194" t="str">
        <v>K701-K710</v>
      </c>
      <c r="AG225" s="69" t="str">
        <v>K703</v>
      </c>
    </row>
    <row r="226" spans="1:33" x14ac:dyDescent="0.2">
      <c r="A226"/>
      <c r="B226"/>
      <c r="C226"/>
      <c r="D226"/>
      <c r="E226"/>
      <c r="F226" t="str">
        <f>LEFT(AllDaqbookOffsets[[#This Row],[traceability_no]],2)</f>
        <v>J1</v>
      </c>
      <c r="W226" t="s">
        <v>670</v>
      </c>
      <c r="X226" t="s">
        <v>181</v>
      </c>
      <c r="Z226" s="462" t="str">
        <v>K704</v>
      </c>
      <c r="AA226" s="194" t="str">
        <v>K701-K710</v>
      </c>
      <c r="AG226" s="69" t="str">
        <v>K704</v>
      </c>
    </row>
    <row r="227" spans="1:33" x14ac:dyDescent="0.2">
      <c r="A227"/>
      <c r="B227"/>
      <c r="C227"/>
      <c r="D227"/>
      <c r="E227"/>
      <c r="F227" t="str">
        <f>LEFT(AllDaqbookOffsets[[#This Row],[traceability_no]],2)</f>
        <v>J1</v>
      </c>
      <c r="W227" t="s">
        <v>671</v>
      </c>
      <c r="X227" t="s">
        <v>181</v>
      </c>
      <c r="Z227" s="462" t="str">
        <v>K705</v>
      </c>
      <c r="AA227" s="194" t="str">
        <v>K701-K710</v>
      </c>
      <c r="AG227" s="69" t="str">
        <v>K705</v>
      </c>
    </row>
    <row r="228" spans="1:33" x14ac:dyDescent="0.2">
      <c r="A228"/>
      <c r="B228"/>
      <c r="C228"/>
      <c r="D228"/>
      <c r="E228"/>
      <c r="F228" t="str">
        <f>LEFT(AllDaqbookOffsets[[#This Row],[traceability_no]],2)</f>
        <v>J1</v>
      </c>
      <c r="W228" t="s">
        <v>672</v>
      </c>
      <c r="X228" t="s">
        <v>182</v>
      </c>
      <c r="Z228" s="462" t="str">
        <v>K706</v>
      </c>
      <c r="AA228" s="194" t="str">
        <v>K701-K710</v>
      </c>
      <c r="AG228" s="69" t="str">
        <v>K706</v>
      </c>
    </row>
    <row r="229" spans="1:33" x14ac:dyDescent="0.2">
      <c r="A229"/>
      <c r="B229"/>
      <c r="C229"/>
      <c r="D229"/>
      <c r="E229"/>
      <c r="F229" t="str">
        <f>LEFT(AllDaqbookOffsets[[#This Row],[traceability_no]],2)</f>
        <v>J1</v>
      </c>
      <c r="W229" t="s">
        <v>673</v>
      </c>
      <c r="X229" t="s">
        <v>182</v>
      </c>
      <c r="Z229" s="462" t="str">
        <v>K707</v>
      </c>
      <c r="AA229" s="194" t="str">
        <v>K701-K710</v>
      </c>
      <c r="AG229" s="69" t="str">
        <v>K707</v>
      </c>
    </row>
    <row r="230" spans="1:33" x14ac:dyDescent="0.2">
      <c r="A230"/>
      <c r="B230"/>
      <c r="C230"/>
      <c r="D230"/>
      <c r="E230"/>
      <c r="F230" t="str">
        <f>LEFT(AllDaqbookOffsets[[#This Row],[traceability_no]],2)</f>
        <v>J1</v>
      </c>
      <c r="W230" t="s">
        <v>674</v>
      </c>
      <c r="X230" t="s">
        <v>182</v>
      </c>
      <c r="Z230" s="462" t="str">
        <v>K708</v>
      </c>
      <c r="AA230" s="194" t="str">
        <v>K701-K710</v>
      </c>
      <c r="AG230" s="69" t="str">
        <v>K708</v>
      </c>
    </row>
    <row r="231" spans="1:33" x14ac:dyDescent="0.2">
      <c r="A231"/>
      <c r="B231"/>
      <c r="C231"/>
      <c r="D231"/>
      <c r="E231"/>
      <c r="F231" t="str">
        <f>LEFT(AllDaqbookOffsets[[#This Row],[traceability_no]],2)</f>
        <v>J1</v>
      </c>
      <c r="W231" t="s">
        <v>675</v>
      </c>
      <c r="X231" t="s">
        <v>182</v>
      </c>
      <c r="Z231" s="462" t="str">
        <v>K709</v>
      </c>
      <c r="AA231" s="194" t="str">
        <v>K701-K710</v>
      </c>
      <c r="AG231" s="69" t="str">
        <v>K709</v>
      </c>
    </row>
    <row r="232" spans="1:33" x14ac:dyDescent="0.2">
      <c r="A232"/>
      <c r="B232"/>
      <c r="C232"/>
      <c r="D232"/>
      <c r="E232"/>
      <c r="F232" t="str">
        <f>LEFT(AllDaqbookOffsets[[#This Row],[traceability_no]],2)</f>
        <v>J1</v>
      </c>
      <c r="W232" t="s">
        <v>676</v>
      </c>
      <c r="X232" t="s">
        <v>182</v>
      </c>
      <c r="Z232" s="462" t="str">
        <v>K710</v>
      </c>
      <c r="AA232" s="194" t="str">
        <v>K701-K710</v>
      </c>
      <c r="AG232" s="69" t="str">
        <v>K710</v>
      </c>
    </row>
    <row r="233" spans="1:33" x14ac:dyDescent="0.2">
      <c r="A233"/>
      <c r="B233"/>
      <c r="C233"/>
      <c r="D233"/>
      <c r="E233"/>
      <c r="F233" t="str">
        <f>LEFT(AllDaqbookOffsets[[#This Row],[traceability_no]],2)</f>
        <v>J1</v>
      </c>
      <c r="W233" t="s">
        <v>677</v>
      </c>
      <c r="X233" t="s">
        <v>182</v>
      </c>
      <c r="Z233" s="462" t="str">
        <v>K801</v>
      </c>
      <c r="AA233" s="194" t="str">
        <v>K801-K816</v>
      </c>
      <c r="AG233" s="69" t="str">
        <v>K801</v>
      </c>
    </row>
    <row r="234" spans="1:33" x14ac:dyDescent="0.2">
      <c r="A234"/>
      <c r="B234"/>
      <c r="C234"/>
      <c r="D234"/>
      <c r="E234"/>
      <c r="F234" t="str">
        <f>LEFT(AllDaqbookOffsets[[#This Row],[traceability_no]],2)</f>
        <v>J1</v>
      </c>
      <c r="W234" t="s">
        <v>678</v>
      </c>
      <c r="X234" t="s">
        <v>182</v>
      </c>
      <c r="Z234" s="462" t="str">
        <v>K802</v>
      </c>
      <c r="AA234" s="194" t="str">
        <v>K801-K816</v>
      </c>
      <c r="AG234" s="69" t="str">
        <v>K802</v>
      </c>
    </row>
    <row r="235" spans="1:33" x14ac:dyDescent="0.2">
      <c r="A235"/>
      <c r="B235"/>
      <c r="C235"/>
      <c r="D235"/>
      <c r="E235"/>
      <c r="F235" t="str">
        <f>LEFT(AllDaqbookOffsets[[#This Row],[traceability_no]],2)</f>
        <v>J1</v>
      </c>
      <c r="W235" t="s">
        <v>679</v>
      </c>
      <c r="X235" t="s">
        <v>182</v>
      </c>
      <c r="Z235" s="462" t="str">
        <v>K803</v>
      </c>
      <c r="AA235" s="194" t="str">
        <v>K801-K816</v>
      </c>
      <c r="AG235" s="69" t="str">
        <v>K803</v>
      </c>
    </row>
    <row r="236" spans="1:33" x14ac:dyDescent="0.2">
      <c r="A236"/>
      <c r="B236"/>
      <c r="C236"/>
      <c r="D236"/>
      <c r="E236"/>
      <c r="F236" t="str">
        <f>LEFT(AllDaqbookOffsets[[#This Row],[traceability_no]],2)</f>
        <v>J1</v>
      </c>
      <c r="W236" t="s">
        <v>680</v>
      </c>
      <c r="X236" t="s">
        <v>182</v>
      </c>
      <c r="Z236" s="462" t="str">
        <v>K804</v>
      </c>
      <c r="AA236" s="194" t="str">
        <v>K801-K816</v>
      </c>
      <c r="AG236" s="69" t="str">
        <v>K804</v>
      </c>
    </row>
    <row r="237" spans="1:33" x14ac:dyDescent="0.2">
      <c r="A237"/>
      <c r="B237"/>
      <c r="C237"/>
      <c r="D237"/>
      <c r="E237"/>
      <c r="F237" t="str">
        <f>LEFT(AllDaqbookOffsets[[#This Row],[traceability_no]],2)</f>
        <v>J1</v>
      </c>
      <c r="W237" t="s">
        <v>681</v>
      </c>
      <c r="X237" t="s">
        <v>182</v>
      </c>
      <c r="Z237" s="462" t="str">
        <v>K805</v>
      </c>
      <c r="AA237" s="194" t="str">
        <v>K801-K816</v>
      </c>
      <c r="AG237" s="69" t="str">
        <v>K805</v>
      </c>
    </row>
    <row r="238" spans="1:33" x14ac:dyDescent="0.2">
      <c r="A238"/>
      <c r="B238"/>
      <c r="C238"/>
      <c r="D238"/>
      <c r="E238"/>
      <c r="F238" t="str">
        <f>LEFT(AllDaqbookOffsets[[#This Row],[traceability_no]],2)</f>
        <v>J1</v>
      </c>
      <c r="W238" t="s">
        <v>682</v>
      </c>
      <c r="X238" t="s">
        <v>258</v>
      </c>
      <c r="Z238" s="462" t="str">
        <v>K806</v>
      </c>
      <c r="AA238" s="194" t="str">
        <v>K801-K816</v>
      </c>
      <c r="AG238" s="69" t="str">
        <v>K806</v>
      </c>
    </row>
    <row r="239" spans="1:33" x14ac:dyDescent="0.2">
      <c r="A239"/>
      <c r="B239"/>
      <c r="C239"/>
      <c r="D239"/>
      <c r="E239"/>
      <c r="F239" t="str">
        <f>LEFT(AllDaqbookOffsets[[#This Row],[traceability_no]],2)</f>
        <v>J1</v>
      </c>
      <c r="W239" t="s">
        <v>683</v>
      </c>
      <c r="X239" t="s">
        <v>258</v>
      </c>
      <c r="Z239" s="462" t="str">
        <v>K807</v>
      </c>
      <c r="AA239" s="194" t="str">
        <v>K801-K816</v>
      </c>
      <c r="AG239" s="69" t="str">
        <v>K807</v>
      </c>
    </row>
    <row r="240" spans="1:33" x14ac:dyDescent="0.2">
      <c r="A240"/>
      <c r="B240"/>
      <c r="C240"/>
      <c r="D240"/>
      <c r="E240"/>
      <c r="F240" t="str">
        <f>LEFT(AllDaqbookOffsets[[#This Row],[traceability_no]],2)</f>
        <v>J1</v>
      </c>
      <c r="W240" t="s">
        <v>684</v>
      </c>
      <c r="X240" t="s">
        <v>258</v>
      </c>
      <c r="Z240" s="462" t="str">
        <v>K808</v>
      </c>
      <c r="AA240" s="194" t="str">
        <v>K801-K816</v>
      </c>
      <c r="AG240" s="69" t="str">
        <v>K808</v>
      </c>
    </row>
    <row r="241" spans="1:33" x14ac:dyDescent="0.2">
      <c r="A241"/>
      <c r="B241"/>
      <c r="C241"/>
      <c r="D241"/>
      <c r="E241"/>
      <c r="F241" t="str">
        <f>LEFT(AllDaqbookOffsets[[#This Row],[traceability_no]],2)</f>
        <v>J1</v>
      </c>
      <c r="W241" t="s">
        <v>685</v>
      </c>
      <c r="X241" t="s">
        <v>258</v>
      </c>
      <c r="Z241" s="462" t="str">
        <v>K809</v>
      </c>
      <c r="AA241" s="194" t="str">
        <v>K801-K816</v>
      </c>
      <c r="AG241" s="69" t="str">
        <v>K809</v>
      </c>
    </row>
    <row r="242" spans="1:33" x14ac:dyDescent="0.2">
      <c r="A242"/>
      <c r="B242"/>
      <c r="C242"/>
      <c r="D242"/>
      <c r="E242"/>
      <c r="F242" t="str">
        <f>LEFT(AllDaqbookOffsets[[#This Row],[traceability_no]],2)</f>
        <v>J2</v>
      </c>
      <c r="W242" t="s">
        <v>686</v>
      </c>
      <c r="X242" t="s">
        <v>258</v>
      </c>
      <c r="Z242" s="462" t="str">
        <v>K810</v>
      </c>
      <c r="AA242" s="194" t="str">
        <v>K801-K816</v>
      </c>
      <c r="AG242" s="69" t="str">
        <v>K810</v>
      </c>
    </row>
    <row r="243" spans="1:33" x14ac:dyDescent="0.2">
      <c r="A243"/>
      <c r="B243"/>
      <c r="C243"/>
      <c r="D243"/>
      <c r="E243"/>
      <c r="F243" t="str">
        <f>LEFT(AllDaqbookOffsets[[#This Row],[traceability_no]],2)</f>
        <v>J2</v>
      </c>
      <c r="W243" t="s">
        <v>687</v>
      </c>
      <c r="X243" t="s">
        <v>258</v>
      </c>
      <c r="Z243" s="462" t="str">
        <v>K811</v>
      </c>
      <c r="AA243" s="194" t="str">
        <v>K801-K816</v>
      </c>
      <c r="AG243" s="69" t="str">
        <v>K811</v>
      </c>
    </row>
    <row r="244" spans="1:33" x14ac:dyDescent="0.2">
      <c r="A244"/>
      <c r="B244"/>
      <c r="C244"/>
      <c r="D244"/>
      <c r="E244"/>
      <c r="F244" t="str">
        <f>LEFT(AllDaqbookOffsets[[#This Row],[traceability_no]],2)</f>
        <v>J2</v>
      </c>
      <c r="W244" t="s">
        <v>688</v>
      </c>
      <c r="X244" t="s">
        <v>258</v>
      </c>
      <c r="Z244" s="462" t="str">
        <v>K812</v>
      </c>
      <c r="AA244" s="194" t="str">
        <v>K801-K816</v>
      </c>
      <c r="AG244" s="69" t="str">
        <v>K812</v>
      </c>
    </row>
    <row r="245" spans="1:33" x14ac:dyDescent="0.2">
      <c r="A245"/>
      <c r="B245"/>
      <c r="C245"/>
      <c r="D245"/>
      <c r="E245"/>
      <c r="F245" t="str">
        <f>LEFT(AllDaqbookOffsets[[#This Row],[traceability_no]],2)</f>
        <v>J2</v>
      </c>
      <c r="W245" t="s">
        <v>689</v>
      </c>
      <c r="X245" t="s">
        <v>258</v>
      </c>
      <c r="Z245" s="462" t="str">
        <v>K813</v>
      </c>
      <c r="AA245" s="194" t="str">
        <v>K801-K816</v>
      </c>
      <c r="AG245" s="69" t="str">
        <v>K813</v>
      </c>
    </row>
    <row r="246" spans="1:33" x14ac:dyDescent="0.2">
      <c r="A246"/>
      <c r="B246"/>
      <c r="C246"/>
      <c r="D246"/>
      <c r="E246"/>
      <c r="F246" t="str">
        <f>LEFT(AllDaqbookOffsets[[#This Row],[traceability_no]],2)</f>
        <v>J2</v>
      </c>
      <c r="W246" t="s">
        <v>690</v>
      </c>
      <c r="X246" t="s">
        <v>258</v>
      </c>
      <c r="Z246" s="462" t="str">
        <v>K814</v>
      </c>
      <c r="AA246" s="194" t="str">
        <v>K801-K816</v>
      </c>
      <c r="AG246" s="69" t="str">
        <v>K814</v>
      </c>
    </row>
    <row r="247" spans="1:33" x14ac:dyDescent="0.2">
      <c r="A247"/>
      <c r="B247"/>
      <c r="C247"/>
      <c r="D247"/>
      <c r="E247"/>
      <c r="F247" t="str">
        <f>LEFT(AllDaqbookOffsets[[#This Row],[traceability_no]],2)</f>
        <v>J2</v>
      </c>
      <c r="W247" t="s">
        <v>691</v>
      </c>
      <c r="X247" t="s">
        <v>258</v>
      </c>
      <c r="Z247" s="462" t="str">
        <v>K815</v>
      </c>
      <c r="AA247" s="194" t="str">
        <v>K801-K816</v>
      </c>
      <c r="AG247" s="69" t="str">
        <v>K815</v>
      </c>
    </row>
    <row r="248" spans="1:33" x14ac:dyDescent="0.2">
      <c r="A248"/>
      <c r="B248"/>
      <c r="C248"/>
      <c r="D248"/>
      <c r="E248"/>
      <c r="F248" t="str">
        <f>LEFT(AllDaqbookOffsets[[#This Row],[traceability_no]],2)</f>
        <v>J2</v>
      </c>
      <c r="W248" t="s">
        <v>698</v>
      </c>
      <c r="X248" t="s">
        <v>183</v>
      </c>
      <c r="Z248" s="462" t="str">
        <v>K816</v>
      </c>
      <c r="AA248" s="194" t="str">
        <v>K801-K816</v>
      </c>
      <c r="AG248" s="69" t="str">
        <v>K816</v>
      </c>
    </row>
    <row r="249" spans="1:33" x14ac:dyDescent="0.2">
      <c r="A249"/>
      <c r="B249"/>
      <c r="C249"/>
      <c r="D249"/>
      <c r="E249"/>
      <c r="F249" t="str">
        <f>LEFT(AllDaqbookOffsets[[#This Row],[traceability_no]],2)</f>
        <v>J2</v>
      </c>
      <c r="W249" t="s">
        <v>699</v>
      </c>
      <c r="X249" t="s">
        <v>183</v>
      </c>
      <c r="Z249" s="462" t="str">
        <v>K901</v>
      </c>
      <c r="AA249" s="194" t="str">
        <v>K901-K910</v>
      </c>
      <c r="AG249" s="69" t="str">
        <v>K901</v>
      </c>
    </row>
    <row r="250" spans="1:33" x14ac:dyDescent="0.2">
      <c r="A250"/>
      <c r="B250"/>
      <c r="C250"/>
      <c r="D250"/>
      <c r="E250"/>
      <c r="F250" t="str">
        <f>LEFT(AllDaqbookOffsets[[#This Row],[traceability_no]],2)</f>
        <v>J2</v>
      </c>
      <c r="W250" t="s">
        <v>700</v>
      </c>
      <c r="X250" t="s">
        <v>183</v>
      </c>
      <c r="Z250" s="462" t="str">
        <v>K902</v>
      </c>
      <c r="AA250" s="194" t="str">
        <v>K901-K910</v>
      </c>
      <c r="AG250" s="69" t="str">
        <v>K902</v>
      </c>
    </row>
    <row r="251" spans="1:33" x14ac:dyDescent="0.2">
      <c r="A251"/>
      <c r="B251"/>
      <c r="C251"/>
      <c r="D251"/>
      <c r="E251"/>
      <c r="F251" t="str">
        <f>LEFT(AllDaqbookOffsets[[#This Row],[traceability_no]],2)</f>
        <v>J2</v>
      </c>
      <c r="W251" t="s">
        <v>701</v>
      </c>
      <c r="X251" t="s">
        <v>183</v>
      </c>
      <c r="Z251" s="462" t="str">
        <v>K903</v>
      </c>
      <c r="AA251" s="194" t="str">
        <v>K901-K910</v>
      </c>
      <c r="AG251" s="69" t="str">
        <v>K903</v>
      </c>
    </row>
    <row r="252" spans="1:33" x14ac:dyDescent="0.2">
      <c r="A252"/>
      <c r="B252"/>
      <c r="C252"/>
      <c r="D252"/>
      <c r="E252"/>
      <c r="F252" t="str">
        <f>LEFT(AllDaqbookOffsets[[#This Row],[traceability_no]],2)</f>
        <v>J2</v>
      </c>
      <c r="W252" t="s">
        <v>702</v>
      </c>
      <c r="X252" t="s">
        <v>183</v>
      </c>
      <c r="Z252" s="462" t="str">
        <v>K904</v>
      </c>
      <c r="AA252" s="194" t="str">
        <v>K901-K910</v>
      </c>
      <c r="AG252" s="69" t="str">
        <v>K904</v>
      </c>
    </row>
    <row r="253" spans="1:33" x14ac:dyDescent="0.2">
      <c r="A253"/>
      <c r="B253"/>
      <c r="C253"/>
      <c r="D253"/>
      <c r="E253"/>
      <c r="F253" t="str">
        <f>LEFT(AllDaqbookOffsets[[#This Row],[traceability_no]],2)</f>
        <v>J2</v>
      </c>
      <c r="W253" t="s">
        <v>703</v>
      </c>
      <c r="X253" t="s">
        <v>183</v>
      </c>
      <c r="Z253" s="462" t="str">
        <v>K905</v>
      </c>
      <c r="AA253" s="194" t="str">
        <v>K901-K910</v>
      </c>
      <c r="AG253" s="69" t="str">
        <v>K905</v>
      </c>
    </row>
    <row r="254" spans="1:33" x14ac:dyDescent="0.2">
      <c r="A254"/>
      <c r="B254"/>
      <c r="C254"/>
      <c r="D254"/>
      <c r="E254"/>
      <c r="F254" t="str">
        <f>LEFT(AllDaqbookOffsets[[#This Row],[traceability_no]],2)</f>
        <v>J2</v>
      </c>
      <c r="W254" t="s">
        <v>704</v>
      </c>
      <c r="X254" t="s">
        <v>183</v>
      </c>
      <c r="Z254" s="462" t="str">
        <v>K906</v>
      </c>
      <c r="AA254" s="194" t="str">
        <v>K901-K910</v>
      </c>
      <c r="AG254" s="69" t="str">
        <v>K906</v>
      </c>
    </row>
    <row r="255" spans="1:33" x14ac:dyDescent="0.2">
      <c r="A255"/>
      <c r="B255"/>
      <c r="C255"/>
      <c r="D255"/>
      <c r="E255"/>
      <c r="F255" t="str">
        <f>LEFT(AllDaqbookOffsets[[#This Row],[traceability_no]],2)</f>
        <v>J2</v>
      </c>
      <c r="W255" t="s">
        <v>705</v>
      </c>
      <c r="X255" t="s">
        <v>183</v>
      </c>
      <c r="Z255" s="462" t="str">
        <v>K907</v>
      </c>
      <c r="AA255" s="194" t="str">
        <v>K901-K910</v>
      </c>
      <c r="AG255" s="69" t="str">
        <v>K907</v>
      </c>
    </row>
    <row r="256" spans="1:33" x14ac:dyDescent="0.2">
      <c r="A256"/>
      <c r="B256"/>
      <c r="C256"/>
      <c r="D256"/>
      <c r="E256"/>
      <c r="F256" t="str">
        <f>LEFT(AllDaqbookOffsets[[#This Row],[traceability_no]],2)</f>
        <v>J2</v>
      </c>
      <c r="W256" t="s">
        <v>706</v>
      </c>
      <c r="X256" t="s">
        <v>183</v>
      </c>
      <c r="Z256" s="462" t="str">
        <v>K908</v>
      </c>
      <c r="AA256" s="194" t="str">
        <v>K901-K910</v>
      </c>
      <c r="AG256" s="69" t="str">
        <v>K908</v>
      </c>
    </row>
    <row r="257" spans="1:33" x14ac:dyDescent="0.2">
      <c r="A257"/>
      <c r="B257"/>
      <c r="C257"/>
      <c r="D257"/>
      <c r="E257"/>
      <c r="F257" t="str">
        <f>LEFT(AllDaqbookOffsets[[#This Row],[traceability_no]],2)</f>
        <v>J2</v>
      </c>
      <c r="W257" t="s">
        <v>692</v>
      </c>
      <c r="X257" t="s">
        <v>258</v>
      </c>
      <c r="Z257" s="462" t="str">
        <v>K909</v>
      </c>
      <c r="AA257" s="194" t="str">
        <v>K901-K910</v>
      </c>
      <c r="AG257" s="69" t="str">
        <v>K909</v>
      </c>
    </row>
    <row r="258" spans="1:33" x14ac:dyDescent="0.2">
      <c r="A258"/>
      <c r="B258"/>
      <c r="C258"/>
      <c r="D258"/>
      <c r="E258"/>
      <c r="F258" t="str">
        <f>LEFT(AllDaqbookOffsets[[#This Row],[traceability_no]],2)</f>
        <v>J2</v>
      </c>
      <c r="W258" t="s">
        <v>707</v>
      </c>
      <c r="X258" t="s">
        <v>183</v>
      </c>
      <c r="Z258" s="462" t="str">
        <v>K910</v>
      </c>
      <c r="AA258" s="194" t="str">
        <v>K901-K910</v>
      </c>
      <c r="AG258" s="69" t="str">
        <v>K910</v>
      </c>
    </row>
    <row r="259" spans="1:33" x14ac:dyDescent="0.2">
      <c r="A259"/>
      <c r="B259"/>
      <c r="C259"/>
      <c r="D259"/>
      <c r="E259"/>
      <c r="F259" t="str">
        <f>LEFT(AllDaqbookOffsets[[#This Row],[traceability_no]],2)</f>
        <v>J2</v>
      </c>
      <c r="W259" t="s">
        <v>708</v>
      </c>
      <c r="X259" t="s">
        <v>183</v>
      </c>
      <c r="Z259" s="462" t="str">
        <v>N01</v>
      </c>
      <c r="AA259" s="194" t="str">
        <v>N01-N16</v>
      </c>
      <c r="AG259" s="69" t="str">
        <v>N01</v>
      </c>
    </row>
    <row r="260" spans="1:33" x14ac:dyDescent="0.2">
      <c r="A260"/>
      <c r="B260"/>
      <c r="C260"/>
      <c r="D260"/>
      <c r="E260"/>
      <c r="F260" t="str">
        <f>LEFT(AllDaqbookOffsets[[#This Row],[traceability_no]],2)</f>
        <v>J2</v>
      </c>
      <c r="W260" t="s">
        <v>709</v>
      </c>
      <c r="X260" t="s">
        <v>183</v>
      </c>
      <c r="Z260" s="462" t="str">
        <v>N02</v>
      </c>
      <c r="AA260" s="194" t="str">
        <v>N01-N16</v>
      </c>
      <c r="AG260" s="69" t="str">
        <v>N02</v>
      </c>
    </row>
    <row r="261" spans="1:33" x14ac:dyDescent="0.2">
      <c r="A261"/>
      <c r="B261"/>
      <c r="C261"/>
      <c r="D261"/>
      <c r="E261"/>
      <c r="F261" t="str">
        <f>LEFT(AllDaqbookOffsets[[#This Row],[traceability_no]],2)</f>
        <v>J2</v>
      </c>
      <c r="W261" t="s">
        <v>693</v>
      </c>
      <c r="X261" t="s">
        <v>258</v>
      </c>
      <c r="Z261" s="462" t="str">
        <v>N03</v>
      </c>
      <c r="AA261" s="194" t="str">
        <v>N01-N16</v>
      </c>
      <c r="AG261" s="69" t="str">
        <v>N03</v>
      </c>
    </row>
    <row r="262" spans="1:33" x14ac:dyDescent="0.2">
      <c r="A262"/>
      <c r="B262"/>
      <c r="C262"/>
      <c r="D262"/>
      <c r="E262"/>
      <c r="F262" t="str">
        <f>LEFT(AllDaqbookOffsets[[#This Row],[traceability_no]],2)</f>
        <v>J2</v>
      </c>
      <c r="W262" t="s">
        <v>694</v>
      </c>
      <c r="X262" t="s">
        <v>258</v>
      </c>
      <c r="Z262" s="462" t="str">
        <v>N04</v>
      </c>
      <c r="AA262" s="194" t="str">
        <v>N01-N16</v>
      </c>
      <c r="AG262" s="69" t="str">
        <v>N04</v>
      </c>
    </row>
    <row r="263" spans="1:33" x14ac:dyDescent="0.2">
      <c r="A263"/>
      <c r="B263"/>
      <c r="C263"/>
      <c r="D263"/>
      <c r="E263"/>
      <c r="F263" t="str">
        <f>LEFT(AllDaqbookOffsets[[#This Row],[traceability_no]],2)</f>
        <v>J2</v>
      </c>
      <c r="W263" t="s">
        <v>695</v>
      </c>
      <c r="X263" t="s">
        <v>258</v>
      </c>
      <c r="Z263" s="462" t="str">
        <v>N05</v>
      </c>
      <c r="AA263" s="194" t="str">
        <v>N01-N16</v>
      </c>
      <c r="AG263" s="69" t="str">
        <v>N05</v>
      </c>
    </row>
    <row r="264" spans="1:33" x14ac:dyDescent="0.2">
      <c r="A264"/>
      <c r="B264"/>
      <c r="C264"/>
      <c r="D264"/>
      <c r="E264"/>
      <c r="F264" t="str">
        <f>LEFT(AllDaqbookOffsets[[#This Row],[traceability_no]],2)</f>
        <v>J2</v>
      </c>
      <c r="W264" t="s">
        <v>696</v>
      </c>
      <c r="X264" t="s">
        <v>258</v>
      </c>
      <c r="Z264" s="462" t="str">
        <v>N06</v>
      </c>
      <c r="AA264" s="194" t="str">
        <v>N01-N16</v>
      </c>
      <c r="AG264" s="69" t="str">
        <v>N06</v>
      </c>
    </row>
    <row r="265" spans="1:33" x14ac:dyDescent="0.2">
      <c r="A265"/>
      <c r="B265"/>
      <c r="C265"/>
      <c r="D265"/>
      <c r="E265"/>
      <c r="F265" t="str">
        <f>LEFT(AllDaqbookOffsets[[#This Row],[traceability_no]],2)</f>
        <v>J2</v>
      </c>
      <c r="W265" t="s">
        <v>697</v>
      </c>
      <c r="X265" t="s">
        <v>258</v>
      </c>
      <c r="Z265" s="462" t="str">
        <v>N07</v>
      </c>
      <c r="AA265" s="194" t="str">
        <v>N01-N16</v>
      </c>
      <c r="AG265" s="69" t="str">
        <v>N07</v>
      </c>
    </row>
    <row r="266" spans="1:33" x14ac:dyDescent="0.2">
      <c r="A266"/>
      <c r="B266"/>
      <c r="C266"/>
      <c r="D266"/>
      <c r="E266"/>
      <c r="F266" t="str">
        <f>LEFT(AllDaqbookOffsets[[#This Row],[traceability_no]],2)</f>
        <v>J2</v>
      </c>
      <c r="W266" t="s">
        <v>710</v>
      </c>
      <c r="X266" t="s">
        <v>184</v>
      </c>
      <c r="Z266" s="462" t="str">
        <v>N08</v>
      </c>
      <c r="AA266" s="194" t="str">
        <v>N01-N16</v>
      </c>
      <c r="AG266" s="69" t="str">
        <v>N08</v>
      </c>
    </row>
    <row r="267" spans="1:33" x14ac:dyDescent="0.2">
      <c r="A267"/>
      <c r="B267"/>
      <c r="C267"/>
      <c r="D267"/>
      <c r="E267"/>
      <c r="F267" t="str">
        <f>LEFT(AllDaqbookOffsets[[#This Row],[traceability_no]],2)</f>
        <v>J2</v>
      </c>
      <c r="W267" t="s">
        <v>711</v>
      </c>
      <c r="X267" t="s">
        <v>184</v>
      </c>
      <c r="Z267" s="462" t="str">
        <v>N09</v>
      </c>
      <c r="AA267" s="194" t="str">
        <v>N01-N16</v>
      </c>
      <c r="AG267" s="69" t="str">
        <v>N09</v>
      </c>
    </row>
    <row r="268" spans="1:33" x14ac:dyDescent="0.2">
      <c r="A268"/>
      <c r="B268"/>
      <c r="C268"/>
      <c r="D268"/>
      <c r="E268"/>
      <c r="F268" t="str">
        <f>LEFT(AllDaqbookOffsets[[#This Row],[traceability_no]],2)</f>
        <v>J2</v>
      </c>
      <c r="W268" t="s">
        <v>712</v>
      </c>
      <c r="X268" t="s">
        <v>184</v>
      </c>
      <c r="Z268" s="462" t="str">
        <v>N10</v>
      </c>
      <c r="AA268" s="194" t="str">
        <v>N01-N16</v>
      </c>
      <c r="AG268" s="69" t="str">
        <v>N10</v>
      </c>
    </row>
    <row r="269" spans="1:33" x14ac:dyDescent="0.2">
      <c r="A269"/>
      <c r="B269"/>
      <c r="C269"/>
      <c r="D269"/>
      <c r="E269"/>
      <c r="F269" t="str">
        <f>LEFT(AllDaqbookOffsets[[#This Row],[traceability_no]],2)</f>
        <v>J2</v>
      </c>
      <c r="W269" t="s">
        <v>713</v>
      </c>
      <c r="X269" t="s">
        <v>184</v>
      </c>
      <c r="Z269" s="462" t="str">
        <v>N101</v>
      </c>
      <c r="AA269" s="194" t="str">
        <v>N101-N112</v>
      </c>
      <c r="AG269" s="69" t="str">
        <v>N101</v>
      </c>
    </row>
    <row r="270" spans="1:33" x14ac:dyDescent="0.2">
      <c r="A270"/>
      <c r="B270"/>
      <c r="C270"/>
      <c r="D270"/>
      <c r="E270"/>
      <c r="F270" t="str">
        <f>LEFT(AllDaqbookOffsets[[#This Row],[traceability_no]],2)</f>
        <v>J2</v>
      </c>
      <c r="W270" t="s">
        <v>714</v>
      </c>
      <c r="X270" t="s">
        <v>184</v>
      </c>
      <c r="Z270" s="462" t="str">
        <v>N102</v>
      </c>
      <c r="AA270" s="194" t="str">
        <v>N101-N112</v>
      </c>
      <c r="AG270" s="69" t="str">
        <v>N102</v>
      </c>
    </row>
    <row r="271" spans="1:33" x14ac:dyDescent="0.2">
      <c r="A271"/>
      <c r="B271"/>
      <c r="C271"/>
      <c r="D271"/>
      <c r="E271"/>
      <c r="F271" t="str">
        <f>LEFT(AllDaqbookOffsets[[#This Row],[traceability_no]],2)</f>
        <v>J2</v>
      </c>
      <c r="W271" t="s">
        <v>715</v>
      </c>
      <c r="X271" t="s">
        <v>184</v>
      </c>
      <c r="Z271" s="462" t="str">
        <v>N103</v>
      </c>
      <c r="AA271" s="194" t="str">
        <v>N101-N112</v>
      </c>
      <c r="AG271" s="69" t="str">
        <v>N103</v>
      </c>
    </row>
    <row r="272" spans="1:33" x14ac:dyDescent="0.2">
      <c r="A272"/>
      <c r="B272"/>
      <c r="C272"/>
      <c r="D272"/>
      <c r="E272"/>
      <c r="F272" t="str">
        <f>LEFT(AllDaqbookOffsets[[#This Row],[traceability_no]],2)</f>
        <v>J2</v>
      </c>
      <c r="W272" t="s">
        <v>716</v>
      </c>
      <c r="X272" t="s">
        <v>184</v>
      </c>
      <c r="Z272" s="462" t="str">
        <v>N104</v>
      </c>
      <c r="AA272" s="194" t="str">
        <v>N101-N112</v>
      </c>
      <c r="AG272" s="69" t="str">
        <v>N104</v>
      </c>
    </row>
    <row r="273" spans="1:33" x14ac:dyDescent="0.2">
      <c r="A273"/>
      <c r="B273"/>
      <c r="C273"/>
      <c r="D273"/>
      <c r="E273"/>
      <c r="F273" t="str">
        <f>LEFT(AllDaqbookOffsets[[#This Row],[traceability_no]],2)</f>
        <v>J2</v>
      </c>
      <c r="W273" t="s">
        <v>717</v>
      </c>
      <c r="X273" t="s">
        <v>184</v>
      </c>
      <c r="Z273" s="462" t="str">
        <v>N105</v>
      </c>
      <c r="AA273" s="194" t="str">
        <v>N101-N112</v>
      </c>
      <c r="AG273" s="69" t="str">
        <v>N105</v>
      </c>
    </row>
    <row r="274" spans="1:33" x14ac:dyDescent="0.2">
      <c r="A274"/>
      <c r="B274"/>
      <c r="C274"/>
      <c r="D274"/>
      <c r="E274"/>
      <c r="F274" t="str">
        <f>LEFT(AllDaqbookOffsets[[#This Row],[traceability_no]],2)</f>
        <v>J2</v>
      </c>
      <c r="W274" t="s">
        <v>718</v>
      </c>
      <c r="X274" t="s">
        <v>184</v>
      </c>
      <c r="Z274" s="462" t="str">
        <v>N106</v>
      </c>
      <c r="AA274" s="194" t="str">
        <v>N101-N112</v>
      </c>
      <c r="AG274" s="69" t="str">
        <v>N106</v>
      </c>
    </row>
    <row r="275" spans="1:33" x14ac:dyDescent="0.2">
      <c r="A275"/>
      <c r="B275"/>
      <c r="C275"/>
      <c r="D275"/>
      <c r="E275"/>
      <c r="F275" t="str">
        <f>LEFT(AllDaqbookOffsets[[#This Row],[traceability_no]],2)</f>
        <v>J2</v>
      </c>
      <c r="W275" t="s">
        <v>719</v>
      </c>
      <c r="X275" t="s">
        <v>184</v>
      </c>
      <c r="Z275" s="462" t="str">
        <v>N107</v>
      </c>
      <c r="AA275" s="194" t="str">
        <v>N101-N112</v>
      </c>
      <c r="AG275" s="69" t="str">
        <v>N107</v>
      </c>
    </row>
    <row r="276" spans="1:33" x14ac:dyDescent="0.2">
      <c r="A276"/>
      <c r="B276"/>
      <c r="C276"/>
      <c r="D276"/>
      <c r="E276"/>
      <c r="F276" t="str">
        <f>LEFT(AllDaqbookOffsets[[#This Row],[traceability_no]],2)</f>
        <v>J2</v>
      </c>
      <c r="W276" t="s">
        <v>720</v>
      </c>
      <c r="X276" t="s">
        <v>184</v>
      </c>
      <c r="Z276" s="462" t="str">
        <v>N108</v>
      </c>
      <c r="AA276" s="194" t="str">
        <v>N101-N112</v>
      </c>
      <c r="AG276" s="69" t="str">
        <v>N108</v>
      </c>
    </row>
    <row r="277" spans="1:33" x14ac:dyDescent="0.2">
      <c r="A277"/>
      <c r="B277"/>
      <c r="C277"/>
      <c r="D277"/>
      <c r="E277"/>
      <c r="F277" t="str">
        <f>LEFT(AllDaqbookOffsets[[#This Row],[traceability_no]],2)</f>
        <v>J2</v>
      </c>
      <c r="W277" t="s">
        <v>721</v>
      </c>
      <c r="X277" t="s">
        <v>184</v>
      </c>
      <c r="Z277" s="462" t="str">
        <v>N109</v>
      </c>
      <c r="AA277" s="194" t="str">
        <v>N101-N112</v>
      </c>
      <c r="AG277" s="69" t="str">
        <v>N109</v>
      </c>
    </row>
    <row r="278" spans="1:33" x14ac:dyDescent="0.2">
      <c r="A278"/>
      <c r="B278"/>
      <c r="C278"/>
      <c r="D278"/>
      <c r="E278"/>
      <c r="F278" t="str">
        <f>LEFT(AllDaqbookOffsets[[#This Row],[traceability_no]],2)</f>
        <v>J2</v>
      </c>
      <c r="W278" t="s">
        <v>722</v>
      </c>
      <c r="X278" t="s">
        <v>184</v>
      </c>
      <c r="Z278" s="462" t="str">
        <v>N11</v>
      </c>
      <c r="AA278" s="194" t="str">
        <v>N01-N16</v>
      </c>
      <c r="AG278" s="69" t="str">
        <v>N11</v>
      </c>
    </row>
    <row r="279" spans="1:33" x14ac:dyDescent="0.2">
      <c r="A279"/>
      <c r="B279"/>
      <c r="C279"/>
      <c r="D279"/>
      <c r="E279"/>
      <c r="F279" t="str">
        <f>LEFT(AllDaqbookOffsets[[#This Row],[traceability_no]],2)</f>
        <v>J2</v>
      </c>
      <c r="W279" t="s">
        <v>723</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F23" sqref="F23"/>
    </sheetView>
  </sheetViews>
  <sheetFormatPr defaultRowHeight="12.75" x14ac:dyDescent="0.2"/>
  <cols>
    <col min="3" max="3" width="9.42578125" customWidth="1"/>
    <col min="5" max="5" width="15.7109375" bestFit="1" customWidth="1"/>
  </cols>
  <sheetData>
    <row r="1" spans="1:5" x14ac:dyDescent="0.2">
      <c r="A1" t="s">
        <v>336</v>
      </c>
      <c r="B1" s="360" t="s">
        <v>337</v>
      </c>
    </row>
    <row r="3" spans="1:5" x14ac:dyDescent="0.2">
      <c r="A3" t="s">
        <v>331</v>
      </c>
      <c r="B3" t="s">
        <v>332</v>
      </c>
      <c r="C3" t="s">
        <v>338</v>
      </c>
      <c r="D3" t="s">
        <v>426</v>
      </c>
      <c r="E3" s="36" t="s">
        <v>750</v>
      </c>
    </row>
    <row r="4" spans="1:5" x14ac:dyDescent="0.2">
      <c r="A4">
        <v>-100</v>
      </c>
      <c r="B4">
        <v>392</v>
      </c>
      <c r="C4">
        <v>1.6</v>
      </c>
      <c r="D4" t="s">
        <v>747</v>
      </c>
      <c r="E4" t="b">
        <f>1=(NominalTemp&gt;=CMCs[[#This Row],[Min]])*(NominalTemp&lt;CMCs[[#This Row],[Max]])*(CMCs[[#This Row],[Unit]]=Unit)</f>
        <v>1</v>
      </c>
    </row>
    <row r="5" spans="1:5" x14ac:dyDescent="0.2">
      <c r="A5">
        <v>392</v>
      </c>
      <c r="B5">
        <v>752</v>
      </c>
      <c r="C5">
        <v>4</v>
      </c>
      <c r="D5" t="s">
        <v>747</v>
      </c>
      <c r="E5" t="b">
        <f>1=(NominalTemp&gt;=CMCs[[#This Row],[Min]])*(NominalTemp&lt;CMCs[[#This Row],[Max]])*(CMCs[[#This Row],[Unit]]=Unit)</f>
        <v>0</v>
      </c>
    </row>
    <row r="6" spans="1:5" x14ac:dyDescent="0.2">
      <c r="A6">
        <v>752</v>
      </c>
      <c r="B6">
        <v>1200</v>
      </c>
      <c r="C6">
        <v>3</v>
      </c>
      <c r="D6" t="s">
        <v>747</v>
      </c>
      <c r="E6" t="b">
        <f>1=(NominalTemp&gt;=CMCs[[#This Row],[Min]])*(NominalTemp&lt;CMCs[[#This Row],[Max]])*(CMCs[[#This Row],[Unit]]=Unit)</f>
        <v>0</v>
      </c>
    </row>
    <row r="7" spans="1:5" x14ac:dyDescent="0.2">
      <c r="A7">
        <v>1200</v>
      </c>
      <c r="B7">
        <v>2000</v>
      </c>
      <c r="C7">
        <v>4.0999999999999996</v>
      </c>
      <c r="D7" t="s">
        <v>747</v>
      </c>
      <c r="E7" t="b">
        <f>1=(NominalTemp&gt;=CMCs[[#This Row],[Min]])*(NominalTemp&lt;CMCs[[#This Row],[Max]])*(CMCs[[#This Row],[Unit]]=Unit)</f>
        <v>0</v>
      </c>
    </row>
    <row r="8" spans="1:5" x14ac:dyDescent="0.2">
      <c r="A8">
        <v>1800</v>
      </c>
      <c r="B8">
        <v>2200</v>
      </c>
      <c r="C8">
        <v>4.0999999999999996</v>
      </c>
      <c r="D8" t="s">
        <v>747</v>
      </c>
      <c r="E8" t="b">
        <f>1=(NominalTemp&gt;=CMCs[[#This Row],[Min]])*(NominalTemp&lt;CMCs[[#This Row],[Max]])*(CMCs[[#This Row],[Unit]]=Unit)</f>
        <v>0</v>
      </c>
    </row>
    <row r="9" spans="1:5" x14ac:dyDescent="0.2">
      <c r="A9">
        <v>-73.333333333333329</v>
      </c>
      <c r="B9">
        <v>200</v>
      </c>
      <c r="C9">
        <v>0.88888888888888884</v>
      </c>
      <c r="D9" t="s">
        <v>748</v>
      </c>
      <c r="E9" t="b">
        <f>1=(NominalTemp&gt;=CMCs[[#This Row],[Min]])*(NominalTemp&lt;CMCs[[#This Row],[Max]])*(CMCs[[#This Row],[Unit]]=Unit)</f>
        <v>0</v>
      </c>
    </row>
    <row r="10" spans="1:5" x14ac:dyDescent="0.2">
      <c r="A10">
        <v>200</v>
      </c>
      <c r="B10">
        <v>400</v>
      </c>
      <c r="C10">
        <v>2.2222222222222223</v>
      </c>
      <c r="D10" t="s">
        <v>748</v>
      </c>
      <c r="E10" t="b">
        <f>1=(NominalTemp&gt;=CMCs[[#This Row],[Min]])*(NominalTemp&lt;CMCs[[#This Row],[Max]])*(CMCs[[#This Row],[Unit]]=Unit)</f>
        <v>0</v>
      </c>
    </row>
    <row r="11" spans="1:5" x14ac:dyDescent="0.2">
      <c r="A11">
        <v>400</v>
      </c>
      <c r="B11">
        <v>648.88888888888891</v>
      </c>
      <c r="C11">
        <v>1.6666666666666667</v>
      </c>
      <c r="D11" t="s">
        <v>748</v>
      </c>
      <c r="E11" t="b">
        <f>1=(NominalTemp&gt;=CMCs[[#This Row],[Min]])*(NominalTemp&lt;CMCs[[#This Row],[Max]])*(CMCs[[#This Row],[Unit]]=Unit)</f>
        <v>0</v>
      </c>
    </row>
    <row r="12" spans="1:5" x14ac:dyDescent="0.2">
      <c r="A12">
        <v>648.88888888888891</v>
      </c>
      <c r="B12">
        <v>1093.3333333333333</v>
      </c>
      <c r="C12">
        <v>2.2777777777777777</v>
      </c>
      <c r="D12" t="s">
        <v>748</v>
      </c>
      <c r="E12" t="b">
        <f>1=(NominalTemp&gt;=CMCs[[#This Row],[Min]])*(NominalTemp&lt;CMCs[[#This Row],[Max]])*(CMCs[[#This Row],[Unit]]=Unit)</f>
        <v>0</v>
      </c>
    </row>
    <row r="13" spans="1:5" x14ac:dyDescent="0.2">
      <c r="A13">
        <v>982.22222222222217</v>
      </c>
      <c r="B13">
        <v>1204.4444444444443</v>
      </c>
      <c r="C13">
        <v>2.2777777777777777</v>
      </c>
      <c r="D13" t="s">
        <v>748</v>
      </c>
      <c r="E13" t="b">
        <f>1=(NominalTemp&gt;=CMCs[[#This Row],[Min]])*(NominalTemp&lt;CMCs[[#This Row],[Max]])*(CMCs[[#This Row],[Unit]]=Unit)</f>
        <v>0</v>
      </c>
    </row>
  </sheetData>
  <sheetProtection algorithmName="SHA-512" hashValue="nmnWwaUDafG9CTnQrGLBjU+BKido3Vn9iZG282BzaaH/K0i6gQUfJ1l6QVSWuWIoSoZ5uyuZi9DP2GAe3VpADg==" saltValue="PgzYxANJrKU8u9Ou87x/Y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Y420"/>
  <sheetViews>
    <sheetView topLeftCell="D1" workbookViewId="0">
      <selection activeCell="Y2" sqref="Y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5" x14ac:dyDescent="0.2">
      <c r="A1"/>
      <c r="B1"/>
      <c r="C1"/>
      <c r="D1"/>
      <c r="E1"/>
      <c r="F1"/>
      <c r="G1"/>
      <c r="H1"/>
      <c r="I1" t="s">
        <v>427</v>
      </c>
      <c r="J1" t="s">
        <v>428</v>
      </c>
      <c r="K1" t="s">
        <v>429</v>
      </c>
      <c r="L1" t="s">
        <v>430</v>
      </c>
      <c r="M1" t="s">
        <v>431</v>
      </c>
      <c r="O1" s="36" t="s">
        <v>325</v>
      </c>
      <c r="P1" t="s">
        <v>421</v>
      </c>
      <c r="Q1" t="s">
        <v>422</v>
      </c>
      <c r="R1" t="s">
        <v>423</v>
      </c>
      <c r="S1" t="s">
        <v>424</v>
      </c>
      <c r="T1" t="s">
        <v>425</v>
      </c>
      <c r="U1" t="s">
        <v>426</v>
      </c>
      <c r="X1" t="s">
        <v>426</v>
      </c>
      <c r="Y1" s="36" t="s">
        <v>751</v>
      </c>
    </row>
    <row r="2" spans="1:25"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c r="Y2" t="str">
        <f>SUBSTITUTE(Unit,"°","")</f>
        <v>F</v>
      </c>
    </row>
    <row r="3" spans="1:25"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5"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5"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433</v>
      </c>
      <c r="Q5" s="36" t="s">
        <v>434</v>
      </c>
      <c r="S5" s="36" t="s">
        <v>435</v>
      </c>
    </row>
    <row r="6" spans="1:25"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331</v>
      </c>
      <c r="P6" s="36">
        <f>IF(MaxMode,-1E+99,NominalTemp+R2)</f>
        <v>0</v>
      </c>
      <c r="Q6" s="36">
        <f>IF(MaxMode,-1E+99,NominalTemp+R2/2)</f>
        <v>0</v>
      </c>
      <c r="S6" t="b">
        <f>R2="-inf"</f>
        <v>0</v>
      </c>
    </row>
    <row r="7" spans="1:25"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332</v>
      </c>
      <c r="P7" s="433">
        <f>IF(MaxMode,S2,NominalTemp+S2)</f>
        <v>0</v>
      </c>
      <c r="Q7" s="36">
        <f>IF(MaxMode,-1E+99,NominalTemp+S2/2)</f>
        <v>0</v>
      </c>
    </row>
    <row r="8" spans="1:25"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5"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5"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5"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5"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5"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5"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5"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5"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731</v>
      </c>
      <c r="G1" s="34" t="s">
        <v>729</v>
      </c>
      <c r="H1" s="34" t="s">
        <v>730</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752</v>
      </c>
      <c r="B1" s="317"/>
      <c r="C1" s="509" t="s">
        <v>49</v>
      </c>
      <c r="D1" s="510"/>
      <c r="E1" s="510"/>
      <c r="F1" s="510"/>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511" t="s">
        <v>99</v>
      </c>
      <c r="K3" s="512"/>
      <c r="L3" s="513"/>
      <c r="M3" s="300"/>
      <c r="N3" s="527" t="s">
        <v>88</v>
      </c>
      <c r="O3" s="527"/>
      <c r="P3" s="527"/>
      <c r="Q3" s="527"/>
      <c r="R3" s="527"/>
      <c r="S3" s="527"/>
    </row>
    <row r="4" spans="1:19" s="277" customFormat="1" x14ac:dyDescent="0.2">
      <c r="A4" s="318"/>
      <c r="B4" s="140"/>
      <c r="C4" s="141" t="s">
        <v>188</v>
      </c>
      <c r="D4" s="284" t="str">
        <f>IF(Condition="","",Condition)</f>
        <v/>
      </c>
      <c r="E4" s="300"/>
      <c r="F4" s="300"/>
      <c r="G4" s="300"/>
      <c r="H4" s="300"/>
      <c r="I4" s="300"/>
      <c r="J4" s="516" t="s">
        <v>1</v>
      </c>
      <c r="K4" s="517"/>
      <c r="L4" s="142">
        <f>MAX(Survey[Deviations])</f>
        <v>0</v>
      </c>
      <c r="M4" s="300"/>
      <c r="N4" s="143" t="s">
        <v>87</v>
      </c>
      <c r="O4" s="144" t="s">
        <v>86</v>
      </c>
      <c r="P4" s="514" t="s">
        <v>97</v>
      </c>
      <c r="Q4" s="515"/>
      <c r="R4" s="143" t="s">
        <v>129</v>
      </c>
      <c r="S4" s="143" t="s">
        <v>133</v>
      </c>
    </row>
    <row r="5" spans="1:19" s="277" customFormat="1" x14ac:dyDescent="0.2">
      <c r="A5" s="318"/>
      <c r="B5" s="140"/>
      <c r="C5" s="141" t="s">
        <v>41</v>
      </c>
      <c r="D5" s="531" t="e">
        <f>companyName</f>
        <v>#N/A</v>
      </c>
      <c r="E5" s="532"/>
      <c r="F5" s="532"/>
      <c r="G5" s="532"/>
      <c r="H5" s="533"/>
      <c r="I5" s="285"/>
      <c r="J5" s="516" t="s">
        <v>2</v>
      </c>
      <c r="K5" s="517"/>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28" t="e">
        <f>VLOOKUP("assetName",WorkItemDetails[],2,FALSE)</f>
        <v>#N/A</v>
      </c>
      <c r="E6" s="529"/>
      <c r="F6" s="529"/>
      <c r="G6" s="529"/>
      <c r="H6" s="530"/>
      <c r="J6" s="516" t="s">
        <v>98</v>
      </c>
      <c r="K6" s="517"/>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00"/>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25" t="str">
        <f>IFERROR(VLOOKUP("PoNumber",WorkItemDetails[],2,FALSE),"")</f>
        <v/>
      </c>
      <c r="L13" s="526"/>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34"/>
      <c r="L14" s="535"/>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20"/>
      <c r="L15" s="521"/>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482" t="s">
        <v>151</v>
      </c>
      <c r="K16" s="483"/>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482" t="s">
        <v>152</v>
      </c>
      <c r="K17" s="483"/>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536" t="s">
        <v>19</v>
      </c>
      <c r="H18" s="537"/>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18" t="str">
        <f>IF(K15="Salt",0, IF(OR(K15="Hot",K15="SIM Load Hot"),IF(OR(D26="",D28=""),"N/A",IF(ISBLANK(D26),"N/A",D28-D26)),"N/A"))</f>
        <v>N/A</v>
      </c>
      <c r="H19" s="519"/>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420</v>
      </c>
      <c r="V19" s="285">
        <f>L20</f>
        <v>1</v>
      </c>
    </row>
    <row r="20" spans="2:22" s="277" customFormat="1" ht="13.7" customHeight="1" x14ac:dyDescent="0.2">
      <c r="B20" s="522" t="s">
        <v>438</v>
      </c>
      <c r="C20" s="523"/>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419</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418</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417</v>
      </c>
      <c r="V22" s="285">
        <f>V20+1</f>
        <v>1</v>
      </c>
    </row>
    <row r="23" spans="2:22" s="277" customFormat="1" x14ac:dyDescent="0.2">
      <c r="B23" s="140"/>
      <c r="C23" s="390" t="s">
        <v>388</v>
      </c>
      <c r="D23" s="281"/>
      <c r="E23" s="300"/>
      <c r="F23" s="159" t="s">
        <v>94</v>
      </c>
      <c r="G23" s="499" t="s">
        <v>299</v>
      </c>
      <c r="H23" s="500"/>
      <c r="I23" s="500"/>
      <c r="J23" s="500"/>
      <c r="K23" s="501"/>
      <c r="L23" s="301"/>
      <c r="M23" s="300"/>
      <c r="N23" s="399">
        <v>19</v>
      </c>
      <c r="O23" s="145"/>
      <c r="P23" s="451" t="str">
        <v/>
      </c>
      <c r="Q23" s="452"/>
      <c r="R23" s="450" t="e">
        <v>#VALUE!</v>
      </c>
      <c r="S23" s="146" t="str">
        <v/>
      </c>
      <c r="T23" s="425"/>
      <c r="U23" s="285" t="s">
        <v>416</v>
      </c>
      <c r="V23" s="285">
        <f>V20+V21</f>
        <v>40</v>
      </c>
    </row>
    <row r="24" spans="2:22" s="277" customFormat="1" x14ac:dyDescent="0.2">
      <c r="B24" s="522" t="s">
        <v>326</v>
      </c>
      <c r="C24" s="524"/>
      <c r="D24" s="281">
        <v>1</v>
      </c>
      <c r="E24" s="300"/>
      <c r="F24" s="159" t="s">
        <v>95</v>
      </c>
      <c r="G24" s="502"/>
      <c r="H24" s="503"/>
      <c r="I24" s="503"/>
      <c r="J24" s="503"/>
      <c r="K24" s="504"/>
      <c r="L24" s="301"/>
      <c r="M24" s="300"/>
      <c r="N24" s="399">
        <v>20</v>
      </c>
      <c r="O24" s="145"/>
      <c r="P24" s="451" t="str">
        <v/>
      </c>
      <c r="Q24" s="452"/>
      <c r="R24" s="450" t="e">
        <v>#VALUE!</v>
      </c>
      <c r="S24" s="146" t="str">
        <v/>
      </c>
      <c r="T24" s="425"/>
      <c r="U24" s="285" t="s">
        <v>415</v>
      </c>
      <c r="V24" s="285" t="str">
        <f>IF(V19=1,"","DaqBook points "&amp;V22&amp;"-"&amp;V23&amp;" used.")</f>
        <v/>
      </c>
    </row>
    <row r="25" spans="2:22" s="277" customFormat="1" x14ac:dyDescent="0.2">
      <c r="B25" s="315"/>
      <c r="C25" s="316"/>
      <c r="D25" s="323"/>
      <c r="E25" s="300"/>
      <c r="F25" s="159" t="s">
        <v>96</v>
      </c>
      <c r="G25" s="502"/>
      <c r="H25" s="503"/>
      <c r="I25" s="503"/>
      <c r="J25" s="503"/>
      <c r="K25" s="504"/>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497" t="str">
        <f>IF(ISBLANK(D6),"",IF(CheckRec="x","CHECK INSTRUMENT CAL DATES!!!!             CHECK INSTRUMENT CAL DATES!!!!",""))</f>
        <v/>
      </c>
      <c r="I27" s="498"/>
      <c r="J27" s="498"/>
      <c r="K27" s="498"/>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497"/>
      <c r="I28" s="498"/>
      <c r="J28" s="498"/>
      <c r="K28" s="498"/>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511" t="s">
        <v>48</v>
      </c>
      <c r="C34" s="512"/>
      <c r="D34" s="512"/>
      <c r="E34" s="512"/>
      <c r="F34" s="512"/>
      <c r="G34" s="512"/>
      <c r="H34" s="512"/>
      <c r="I34" s="512"/>
      <c r="J34" s="512"/>
      <c r="K34" s="512"/>
      <c r="L34" s="513"/>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396</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479" t="s">
        <v>33</v>
      </c>
      <c r="E46" s="480"/>
      <c r="F46" s="480"/>
      <c r="G46" s="480"/>
      <c r="H46" s="480"/>
      <c r="I46" s="481"/>
      <c r="J46" s="344"/>
      <c r="K46" s="344"/>
      <c r="L46" s="344"/>
      <c r="M46" s="505" t="s">
        <v>259</v>
      </c>
      <c r="N46" s="506"/>
      <c r="O46" s="507"/>
      <c r="P46" s="508"/>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486" t="s">
        <v>262</v>
      </c>
      <c r="Q47" s="486"/>
      <c r="R47" s="379" t="s">
        <v>263</v>
      </c>
      <c r="T47" s="304"/>
      <c r="U47" s="304"/>
    </row>
    <row r="48" spans="1:24" x14ac:dyDescent="0.2">
      <c r="A48" s="318"/>
      <c r="B48" s="342"/>
      <c r="C48" s="377" t="s">
        <v>34</v>
      </c>
      <c r="D48" s="287"/>
      <c r="E48" s="287"/>
      <c r="F48" s="287"/>
      <c r="G48" s="287"/>
      <c r="H48" s="287"/>
      <c r="I48" s="287"/>
      <c r="J48" s="344"/>
      <c r="K48" s="344"/>
      <c r="L48" s="344"/>
      <c r="M48" s="487" t="s">
        <v>264</v>
      </c>
      <c r="N48" s="487"/>
      <c r="O48" s="346"/>
      <c r="P48" s="488" t="s">
        <v>307</v>
      </c>
      <c r="Q48" s="489"/>
      <c r="R48" s="490"/>
      <c r="S48" s="461" t="b">
        <f>_xlfn.REGEXTEST(TRIM(Class),"^[0-9][AC]",1)</f>
        <v>0</v>
      </c>
      <c r="T48" s="305"/>
      <c r="U48" s="488" t="s">
        <v>310</v>
      </c>
      <c r="V48" s="489"/>
      <c r="W48" s="490"/>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335</v>
      </c>
      <c r="L49" s="344"/>
      <c r="M49" s="239" t="s">
        <v>265</v>
      </c>
      <c r="N49" s="297" t="str">
        <f>IF(PB="","",PB)</f>
        <v/>
      </c>
      <c r="O49" s="314"/>
      <c r="P49" s="491" t="s">
        <v>312</v>
      </c>
      <c r="Q49" s="492"/>
      <c r="R49" s="493"/>
      <c r="S49" s="380" t="str">
        <f>IF($S$48, IF(MAX(Survey[RawTemp])&lt;=HalfTolMax,"Yes","No"), "N/A")</f>
        <v>N/A</v>
      </c>
      <c r="T49" s="306"/>
      <c r="U49" s="491" t="s">
        <v>311</v>
      </c>
      <c r="V49" s="492"/>
      <c r="W49" s="493"/>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94" t="s">
        <v>267</v>
      </c>
      <c r="Q50" s="495"/>
      <c r="R50" s="496"/>
      <c r="S50" s="347"/>
      <c r="T50" s="307"/>
      <c r="U50" s="494" t="s">
        <v>267</v>
      </c>
      <c r="V50" s="495"/>
      <c r="W50" s="496"/>
      <c r="X50" s="304"/>
    </row>
    <row r="51" spans="3:24" x14ac:dyDescent="0.2">
      <c r="C51" s="376" t="s">
        <v>54</v>
      </c>
      <c r="D51" s="287"/>
      <c r="E51" s="287"/>
      <c r="F51" s="287"/>
      <c r="G51" s="287"/>
      <c r="H51" s="287"/>
      <c r="I51" s="287"/>
      <c r="J51" s="344"/>
      <c r="K51" s="348"/>
      <c r="L51" s="344"/>
      <c r="M51" s="363" t="s">
        <v>268</v>
      </c>
      <c r="N51" s="297" t="str">
        <f>IF(Derivative="","",Derivative)</f>
        <v/>
      </c>
      <c r="O51" s="300"/>
      <c r="P51" s="491" t="s">
        <v>308</v>
      </c>
      <c r="Q51" s="492"/>
      <c r="R51" s="493"/>
      <c r="S51" s="380"/>
      <c r="T51" s="308"/>
      <c r="U51" s="491" t="s">
        <v>313</v>
      </c>
      <c r="V51" s="492"/>
      <c r="W51" s="493"/>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94" t="s">
        <v>267</v>
      </c>
      <c r="Q52" s="495"/>
      <c r="R52" s="496"/>
      <c r="S52" s="347"/>
      <c r="T52" s="309"/>
      <c r="U52" s="494" t="s">
        <v>267</v>
      </c>
      <c r="V52" s="495"/>
      <c r="W52" s="496"/>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538" t="s">
        <v>309</v>
      </c>
      <c r="Q53" s="539"/>
      <c r="R53" s="540"/>
      <c r="S53" s="380"/>
      <c r="T53" s="310"/>
      <c r="U53" s="538" t="s">
        <v>314</v>
      </c>
      <c r="V53" s="539"/>
      <c r="W53" s="540"/>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294</v>
      </c>
      <c r="N54" s="296">
        <v>0</v>
      </c>
      <c r="O54" s="302"/>
      <c r="P54" s="541"/>
      <c r="Q54" s="542"/>
      <c r="R54" s="543"/>
      <c r="S54" s="351"/>
      <c r="T54" s="311"/>
      <c r="U54" s="541"/>
      <c r="V54" s="542"/>
      <c r="W54" s="543"/>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295</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296</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297</v>
      </c>
      <c r="N57" s="296">
        <v>0</v>
      </c>
      <c r="O57" s="302"/>
      <c r="P57" s="300"/>
      <c r="Q57" s="446"/>
      <c r="S57" s="300"/>
      <c r="V57" s="446"/>
    </row>
    <row r="58" spans="3:24" x14ac:dyDescent="0.2">
      <c r="C58" s="479" t="s">
        <v>146</v>
      </c>
      <c r="D58" s="480"/>
      <c r="E58" s="480"/>
      <c r="F58" s="480"/>
      <c r="G58" s="480"/>
      <c r="H58" s="480"/>
      <c r="I58" s="480"/>
      <c r="J58" s="480"/>
      <c r="K58" s="484"/>
      <c r="L58" s="485"/>
      <c r="M58" s="304"/>
      <c r="N58" s="304"/>
      <c r="O58" s="304"/>
      <c r="P58" s="300"/>
      <c r="Q58" s="448"/>
      <c r="S58" s="304"/>
      <c r="T58" s="304"/>
      <c r="U58" s="304"/>
      <c r="V58" s="446"/>
    </row>
    <row r="59" spans="3:24" x14ac:dyDescent="0.2">
      <c r="C59" s="479" t="s">
        <v>149</v>
      </c>
      <c r="D59" s="480"/>
      <c r="E59" s="480"/>
      <c r="F59" s="480"/>
      <c r="G59" s="480"/>
      <c r="H59" s="480"/>
      <c r="I59" s="480"/>
      <c r="J59" s="480"/>
      <c r="K59" s="480"/>
      <c r="L59" s="481"/>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292</v>
      </c>
      <c r="G62" s="338"/>
      <c r="H62" s="338"/>
      <c r="I62" s="338"/>
      <c r="J62" s="300"/>
      <c r="K62" s="300"/>
      <c r="L62" s="300"/>
      <c r="M62" s="357"/>
      <c r="N62" s="356"/>
      <c r="O62" s="356"/>
      <c r="P62" s="314"/>
      <c r="Q62" s="447"/>
      <c r="R62" s="314"/>
      <c r="S62" s="314"/>
      <c r="T62" s="314"/>
      <c r="U62" s="314"/>
      <c r="V62" s="447"/>
    </row>
    <row r="65" spans="5:10" x14ac:dyDescent="0.2">
      <c r="E65" t="s">
        <v>381</v>
      </c>
      <c r="F65" t="s">
        <v>140</v>
      </c>
      <c r="G65" s="36" t="s">
        <v>749</v>
      </c>
      <c r="H65" t="s">
        <v>426</v>
      </c>
    </row>
    <row r="66" spans="5:10" x14ac:dyDescent="0.2">
      <c r="E66">
        <v>1</v>
      </c>
      <c r="F66">
        <v>5</v>
      </c>
      <c r="G66">
        <v>2</v>
      </c>
      <c r="H66" t="s">
        <v>747</v>
      </c>
      <c r="J66" s="478" cm="1">
        <f t="array" ref="J66:J71">_xlfn._xlws.FILTER(SAT_Tolerance_Lookup[SAT Tol],SAT_Tolerance_Lookup[Unit]=Unit)</f>
        <v>2</v>
      </c>
    </row>
    <row r="67" spans="5:10" x14ac:dyDescent="0.2">
      <c r="E67">
        <v>2</v>
      </c>
      <c r="F67">
        <v>10</v>
      </c>
      <c r="G67">
        <v>3</v>
      </c>
      <c r="H67" t="s">
        <v>747</v>
      </c>
      <c r="J67" s="478">
        <v>3</v>
      </c>
    </row>
    <row r="68" spans="5:10" x14ac:dyDescent="0.2">
      <c r="E68">
        <v>3</v>
      </c>
      <c r="F68">
        <v>15</v>
      </c>
      <c r="G68">
        <v>4</v>
      </c>
      <c r="H68" t="s">
        <v>747</v>
      </c>
      <c r="J68" s="478">
        <v>4</v>
      </c>
    </row>
    <row r="69" spans="5:10" x14ac:dyDescent="0.2">
      <c r="E69">
        <v>4</v>
      </c>
      <c r="F69">
        <v>20</v>
      </c>
      <c r="G69">
        <v>4</v>
      </c>
      <c r="H69" t="s">
        <v>747</v>
      </c>
      <c r="J69" s="478">
        <v>4</v>
      </c>
    </row>
    <row r="70" spans="5:10" x14ac:dyDescent="0.2">
      <c r="E70">
        <v>5</v>
      </c>
      <c r="F70">
        <v>25</v>
      </c>
      <c r="G70">
        <v>5</v>
      </c>
      <c r="H70" t="s">
        <v>747</v>
      </c>
      <c r="J70" s="478">
        <v>5</v>
      </c>
    </row>
    <row r="71" spans="5:10" x14ac:dyDescent="0.2">
      <c r="E71">
        <v>6</v>
      </c>
      <c r="F71">
        <v>50</v>
      </c>
      <c r="G71">
        <v>10</v>
      </c>
      <c r="H71" t="s">
        <v>747</v>
      </c>
      <c r="J71" s="478">
        <v>10</v>
      </c>
    </row>
    <row r="72" spans="5:10" x14ac:dyDescent="0.2">
      <c r="E72">
        <v>1</v>
      </c>
      <c r="F72">
        <v>3</v>
      </c>
      <c r="G72">
        <v>1.1000000000000001</v>
      </c>
      <c r="H72" t="s">
        <v>748</v>
      </c>
    </row>
    <row r="73" spans="5:10" x14ac:dyDescent="0.2">
      <c r="E73">
        <v>2</v>
      </c>
      <c r="F73">
        <v>6</v>
      </c>
      <c r="G73">
        <v>1.7</v>
      </c>
      <c r="H73" t="s">
        <v>748</v>
      </c>
    </row>
    <row r="74" spans="5:10" x14ac:dyDescent="0.2">
      <c r="E74">
        <v>3</v>
      </c>
      <c r="F74">
        <v>8</v>
      </c>
      <c r="G74">
        <v>2.2000000000000002</v>
      </c>
      <c r="H74" t="s">
        <v>748</v>
      </c>
    </row>
    <row r="75" spans="5:10" x14ac:dyDescent="0.2">
      <c r="E75">
        <v>4</v>
      </c>
      <c r="F75">
        <v>10</v>
      </c>
      <c r="G75">
        <v>2.2000000000000002</v>
      </c>
      <c r="H75" t="s">
        <v>748</v>
      </c>
    </row>
    <row r="76" spans="5:10" x14ac:dyDescent="0.2">
      <c r="E76">
        <v>5</v>
      </c>
      <c r="F76">
        <v>14</v>
      </c>
      <c r="G76">
        <v>2.8</v>
      </c>
      <c r="H76" t="s">
        <v>748</v>
      </c>
    </row>
    <row r="77" spans="5:10" x14ac:dyDescent="0.2">
      <c r="E77">
        <v>6</v>
      </c>
      <c r="F77">
        <v>28</v>
      </c>
      <c r="G77">
        <v>5.6</v>
      </c>
      <c r="H77" t="s">
        <v>748</v>
      </c>
    </row>
    <row r="78" spans="5:10" x14ac:dyDescent="0.2">
      <c r="F78" s="358"/>
    </row>
    <row r="79" spans="5:10" x14ac:dyDescent="0.2">
      <c r="F79" s="358"/>
    </row>
    <row r="80" spans="5:10" x14ac:dyDescent="0.2">
      <c r="F80" s="358"/>
    </row>
    <row r="81" spans="6:8" x14ac:dyDescent="0.2">
      <c r="F81" s="376" t="s">
        <v>439</v>
      </c>
      <c r="G81" s="434" t="b">
        <f>AND(UUTRangeTol!R2+UUTRangeTol!S2=0,UUTRangeTol!S2&gt;0)</f>
        <v>0</v>
      </c>
    </row>
    <row r="82" spans="6:8" x14ac:dyDescent="0.2">
      <c r="F82" s="376" t="s">
        <v>440</v>
      </c>
      <c r="G82" s="475" cm="1">
        <f t="array" ref="G82">IF(
  Symmetric_Tol,
  _xlfn.XLOOKUP(
    TRUE,
    (UUTRangeTol!S2 = SAT_Tolerance_Lookup[TUS Tol])*(SAT_Tolerance_Lookup[Unit]=Unit),
    SAT_Tolerance_Lookup[SAT Tol]
  ),
  SAT_Tol
)</f>
        <v>0</v>
      </c>
      <c r="H82" s="139" t="str">
        <f>Unit</f>
        <v>°F</v>
      </c>
    </row>
  </sheetData>
  <sheetProtection algorithmName="SHA-512" hashValue="EyajC4uNwYOXQqOq7H+PhZLhRMqKcdVLpdaQurH37ZgKdhMqV0ASrU9XWcw/tQVpXg43R3VHblGi8Y21q5ADRw==" saltValue="Q4WIzeGOFgGTCX0EiDMCyA==" spinCount="100000" sheet="1" objects="1" scenarios="1" selectLockedCell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413</v>
      </c>
      <c r="B1" s="1" t="s">
        <v>412</v>
      </c>
    </row>
    <row r="2" spans="1:2" x14ac:dyDescent="0.2">
      <c r="A2" t="s">
        <v>414</v>
      </c>
      <c r="B2" t="b">
        <v>1</v>
      </c>
    </row>
  </sheetData>
  <sheetProtection algorithmName="SHA-512" hashValue="an4IvL47G7HM9vWFNpXtKmy3Thfxslj+0yKHbH+ix5EKPMuSAijBm6dRYEUtQb/ABHTawNKh80IYcwDpcO4Sdw==" saltValue="nje9nXNMNclG+ijBm0cNqw=="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366</v>
      </c>
      <c r="C2" s="45" t="s">
        <v>367</v>
      </c>
      <c r="D2" s="45" t="s">
        <v>368</v>
      </c>
      <c r="E2" s="45" t="s">
        <v>322</v>
      </c>
      <c r="F2" s="45" t="s">
        <v>369</v>
      </c>
      <c r="G2" s="45" t="s">
        <v>370</v>
      </c>
      <c r="H2" s="45" t="s">
        <v>371</v>
      </c>
      <c r="I2" s="45" t="s">
        <v>372</v>
      </c>
      <c r="J2" s="45" t="s">
        <v>373</v>
      </c>
      <c r="K2" s="45" t="s">
        <v>323</v>
      </c>
      <c r="L2" s="45" t="s">
        <v>374</v>
      </c>
      <c r="M2" s="45" t="s">
        <v>375</v>
      </c>
      <c r="N2" s="45" t="s">
        <v>376</v>
      </c>
      <c r="O2" s="45" t="s">
        <v>377</v>
      </c>
      <c r="P2" s="49"/>
      <c r="Q2" s="389" t="s">
        <v>14</v>
      </c>
      <c r="R2" s="45" t="s">
        <v>352</v>
      </c>
      <c r="S2" s="45" t="s">
        <v>353</v>
      </c>
      <c r="T2" s="45" t="s">
        <v>354</v>
      </c>
      <c r="U2" s="45" t="s">
        <v>355</v>
      </c>
      <c r="V2" s="45" t="s">
        <v>356</v>
      </c>
      <c r="W2" s="45" t="s">
        <v>357</v>
      </c>
      <c r="X2" s="45" t="s">
        <v>358</v>
      </c>
      <c r="Y2" s="45" t="s">
        <v>359</v>
      </c>
      <c r="Z2" s="45" t="s">
        <v>360</v>
      </c>
      <c r="AA2" s="45" t="s">
        <v>361</v>
      </c>
      <c r="AB2" s="45" t="s">
        <v>362</v>
      </c>
      <c r="AC2" s="45" t="s">
        <v>363</v>
      </c>
      <c r="AD2" s="45" t="s">
        <v>364</v>
      </c>
      <c r="AE2" s="45" t="s">
        <v>365</v>
      </c>
      <c r="AF2" s="49"/>
      <c r="AG2" s="389" t="s">
        <v>14</v>
      </c>
      <c r="AH2" s="83" t="s">
        <v>340</v>
      </c>
      <c r="AI2" s="83" t="s">
        <v>341</v>
      </c>
      <c r="AJ2" s="83" t="s">
        <v>342</v>
      </c>
      <c r="AK2" s="83" t="s">
        <v>343</v>
      </c>
      <c r="AL2" s="83" t="s">
        <v>344</v>
      </c>
      <c r="AM2" s="83" t="s">
        <v>345</v>
      </c>
      <c r="AN2" s="83" t="s">
        <v>346</v>
      </c>
      <c r="AO2" s="83" t="s">
        <v>347</v>
      </c>
      <c r="AP2" s="83" t="s">
        <v>348</v>
      </c>
      <c r="AQ2" s="83" t="s">
        <v>349</v>
      </c>
      <c r="AR2" s="83" t="s">
        <v>350</v>
      </c>
      <c r="AS2" s="83" t="s">
        <v>351</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xgQPVWBAtnaxfx0UTMfuoJVKs6dugGTZjIlqosqprYNUlcn2Y9W6cSBiNuiGDx8PzZtBJhXi+AIcjluPbEV5gg==" saltValue="zBsrQQ2HWxYzHxxcbFXM3g=="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301</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302</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La6xrz/XRdwNtfYu0hlQDIRyahfIDbFwdEUr31jm76V9dV7DGN49Zmx7DQtuJTbXyalq2lYAxcHvxc9GVa+TGQ==" saltValue="Z77dLw5j/5vJypvsEzy9T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G8" sqref="G8:H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8" t="s">
        <v>108</v>
      </c>
      <c r="E1" s="568"/>
      <c r="F1" s="568"/>
      <c r="G1" s="568"/>
      <c r="H1" s="568"/>
      <c r="I1" s="568"/>
      <c r="J1" s="568"/>
      <c r="K1" s="568"/>
      <c r="L1" s="568"/>
      <c r="M1" s="568"/>
    </row>
    <row r="2" spans="1:18" ht="23.25" customHeight="1" x14ac:dyDescent="0.3">
      <c r="C2" s="229"/>
      <c r="D2" s="229" t="s">
        <v>255</v>
      </c>
      <c r="E2" s="229"/>
      <c r="F2" s="229"/>
      <c r="G2" s="229"/>
      <c r="H2" s="229"/>
      <c r="I2" s="229"/>
      <c r="J2" s="229"/>
      <c r="K2" s="229"/>
      <c r="L2" s="229"/>
      <c r="M2" s="229"/>
    </row>
    <row r="3" spans="1:18" ht="23.25" x14ac:dyDescent="0.35">
      <c r="C3" s="569"/>
      <c r="D3" s="569"/>
      <c r="E3" s="569"/>
      <c r="F3" s="569"/>
      <c r="G3" s="569"/>
      <c r="H3" s="569"/>
      <c r="I3" s="569"/>
      <c r="J3" s="569"/>
      <c r="K3" s="569"/>
      <c r="L3" s="569"/>
      <c r="M3" s="569"/>
    </row>
    <row r="4" spans="1:18" ht="23.25" x14ac:dyDescent="0.35">
      <c r="C4" s="213"/>
      <c r="D4" s="213"/>
      <c r="E4" s="213"/>
      <c r="F4" s="213"/>
      <c r="G4" s="213"/>
      <c r="H4" s="213"/>
      <c r="I4" s="213"/>
      <c r="J4" s="213"/>
      <c r="K4" s="213"/>
      <c r="L4" s="213"/>
      <c r="M4" s="213"/>
    </row>
    <row r="5" spans="1:18" ht="23.25" x14ac:dyDescent="0.35">
      <c r="C5" s="565" t="s">
        <v>6</v>
      </c>
      <c r="D5" s="565"/>
      <c r="E5" s="565"/>
      <c r="F5" s="565"/>
      <c r="G5" s="565"/>
      <c r="H5" s="565"/>
      <c r="I5" s="565"/>
      <c r="J5" s="565"/>
      <c r="K5" s="565"/>
      <c r="L5" s="565"/>
      <c r="M5" s="565"/>
    </row>
    <row r="6" spans="1:18" ht="23.25" x14ac:dyDescent="0.35">
      <c r="C6" s="214"/>
      <c r="D6" s="214"/>
      <c r="E6" s="585" t="str">
        <f>IFERROR(CONCATENATE("Report Number: ", WorkItemNumber),"")</f>
        <v/>
      </c>
      <c r="F6" s="585"/>
      <c r="G6" s="585"/>
      <c r="H6" s="585"/>
      <c r="I6" s="585"/>
      <c r="J6" s="585"/>
      <c r="K6" s="585"/>
      <c r="L6" s="214"/>
      <c r="M6" s="214"/>
    </row>
    <row r="7" spans="1:18" ht="18.75" customHeight="1" x14ac:dyDescent="0.3">
      <c r="G7" s="566"/>
      <c r="H7" s="566"/>
      <c r="I7" s="191"/>
      <c r="R7" t="str">
        <f>CONCATENATE("Page ",Main!L9," of ",Main!L10)</f>
        <v xml:space="preserve">Page  of </v>
      </c>
    </row>
    <row r="8" spans="1:18" ht="18" customHeight="1" x14ac:dyDescent="0.25">
      <c r="G8" s="578"/>
      <c r="H8" s="578"/>
      <c r="J8" s="78"/>
      <c r="K8" s="215" t="s">
        <v>252</v>
      </c>
      <c r="L8" s="589">
        <f>FormNumber</f>
        <v>0</v>
      </c>
      <c r="M8" s="589"/>
      <c r="N8" s="589"/>
      <c r="O8" s="589"/>
    </row>
    <row r="9" spans="1:18" ht="18" customHeight="1" x14ac:dyDescent="0.25">
      <c r="A9" s="215" t="s">
        <v>209</v>
      </c>
      <c r="B9" s="32" t="e">
        <f>Main!D5</f>
        <v>#N/A</v>
      </c>
      <c r="J9" s="78"/>
      <c r="K9" s="215" t="s">
        <v>253</v>
      </c>
      <c r="L9" s="580" t="str">
        <f>"JGI WP4100, "&amp;CalMethod</f>
        <v xml:space="preserve">JGI WP4100, </v>
      </c>
      <c r="M9" s="580"/>
      <c r="N9" s="580"/>
      <c r="O9" s="580"/>
    </row>
    <row r="10" spans="1:18" ht="18" customHeight="1" x14ac:dyDescent="0.25">
      <c r="A10" s="86"/>
      <c r="B10" s="210" t="str" cm="1">
        <f t="array" ref="B10">IFZERO('Customer Table'!R2,"")</f>
        <v/>
      </c>
      <c r="J10" s="78"/>
      <c r="K10" s="215"/>
      <c r="L10" s="580"/>
      <c r="M10" s="580"/>
      <c r="N10" s="580"/>
      <c r="O10" s="580"/>
    </row>
    <row r="11" spans="1:18" ht="18" customHeight="1" x14ac:dyDescent="0.25">
      <c r="A11" s="86"/>
      <c r="B11" s="210" t="str" cm="1">
        <f t="array" ref="B11">IFZERO('Customer Table'!S2,"")</f>
        <v/>
      </c>
      <c r="J11" s="78"/>
      <c r="K11" s="215" t="s">
        <v>254</v>
      </c>
      <c r="L11" s="589">
        <f>TolSource</f>
        <v>0</v>
      </c>
      <c r="M11" s="589"/>
      <c r="N11" s="589"/>
      <c r="O11" s="589"/>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2">
        <f>Class</f>
        <v>0</v>
      </c>
      <c r="C18" s="572"/>
      <c r="D18" s="572"/>
      <c r="E18" s="572"/>
      <c r="G18" s="215" t="s">
        <v>219</v>
      </c>
      <c r="H18" s="219">
        <f>CubicFeet</f>
        <v>0</v>
      </c>
      <c r="M18" s="215" t="s">
        <v>223</v>
      </c>
      <c r="N18" s="219" t="str">
        <f>Main!G18</f>
        <v>ACCEPTED</v>
      </c>
      <c r="O18" s="194"/>
    </row>
    <row r="19" spans="1:19" ht="18" customHeight="1" x14ac:dyDescent="0.25">
      <c r="A19" s="205"/>
      <c r="B19" s="573"/>
      <c r="C19" s="573"/>
      <c r="D19" s="573"/>
      <c r="E19" s="573"/>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79" t="s">
        <v>237</v>
      </c>
      <c r="D27" s="579"/>
      <c r="E27" s="579"/>
      <c r="F27" s="579"/>
      <c r="G27" s="579"/>
      <c r="H27" s="579"/>
      <c r="I27" s="579"/>
      <c r="J27" s="579"/>
      <c r="K27" s="579"/>
      <c r="L27" s="579"/>
      <c r="M27" s="579"/>
      <c r="N27" s="195"/>
      <c r="O27" s="196"/>
    </row>
    <row r="28" spans="1:19" ht="8.1" customHeight="1" x14ac:dyDescent="0.2"/>
    <row r="29" spans="1:19" ht="18" customHeight="1" x14ac:dyDescent="0.2">
      <c r="A29" s="575" t="s">
        <v>207</v>
      </c>
      <c r="B29" s="576"/>
      <c r="C29" s="577"/>
      <c r="D29" s="575" t="s">
        <v>238</v>
      </c>
      <c r="E29" s="576"/>
      <c r="F29" s="576"/>
      <c r="G29" s="577"/>
      <c r="H29" s="575" t="s">
        <v>208</v>
      </c>
      <c r="I29" s="576"/>
      <c r="J29" s="576"/>
      <c r="K29" s="577"/>
      <c r="L29" s="575" t="s">
        <v>194</v>
      </c>
      <c r="M29" s="576"/>
      <c r="N29" s="576"/>
      <c r="O29" s="577"/>
    </row>
    <row r="30" spans="1:19" ht="18" customHeight="1" x14ac:dyDescent="0.2">
      <c r="A30" s="211"/>
      <c r="B30" s="201" t="s">
        <v>432</v>
      </c>
      <c r="C30" s="212"/>
      <c r="D30" s="558" t="str">
        <f>CONCATENATE(Main!D22,Unit," / ",Main!D23,"% RH")</f>
        <v>°F / % RH</v>
      </c>
      <c r="E30" s="559"/>
      <c r="F30" s="559"/>
      <c r="G30" s="560"/>
      <c r="H30" s="558">
        <f>OvenLocation</f>
        <v>0</v>
      </c>
      <c r="I30" s="559"/>
      <c r="J30" s="559"/>
      <c r="K30" s="560"/>
      <c r="L30" s="558">
        <f>Condition</f>
        <v>0</v>
      </c>
      <c r="M30" s="559"/>
      <c r="N30" s="559"/>
      <c r="O30" s="560"/>
    </row>
    <row r="31" spans="1:19" ht="18" customHeight="1" x14ac:dyDescent="0.2"/>
    <row r="32" spans="1:19" ht="18" customHeight="1" x14ac:dyDescent="0.25">
      <c r="A32" s="234" t="s">
        <v>239</v>
      </c>
      <c r="B32" s="567" t="s">
        <v>240</v>
      </c>
      <c r="C32" s="567"/>
      <c r="D32" s="234" t="s">
        <v>203</v>
      </c>
      <c r="E32" s="234" t="s">
        <v>202</v>
      </c>
      <c r="F32" s="234" t="s">
        <v>241</v>
      </c>
      <c r="G32" s="78"/>
      <c r="H32" s="78"/>
      <c r="I32" s="234" t="s">
        <v>239</v>
      </c>
      <c r="J32" s="567" t="s">
        <v>240</v>
      </c>
      <c r="K32" s="567"/>
      <c r="L32" s="234" t="s">
        <v>203</v>
      </c>
      <c r="M32" s="234" t="s">
        <v>202</v>
      </c>
      <c r="N32" s="234" t="s">
        <v>241</v>
      </c>
    </row>
    <row r="33" spans="1:14" ht="18" customHeight="1" x14ac:dyDescent="0.2">
      <c r="A33" s="235" t="str">
        <f>IF(B33="","",1)</f>
        <v/>
      </c>
      <c r="B33" s="566" t="str">
        <f>IF(Main!O5="","",Main!O5)</f>
        <v/>
      </c>
      <c r="C33" s="566"/>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6" t="str">
        <f>IF(Main!O25="","",Main!O25)</f>
        <v/>
      </c>
      <c r="K33" s="566"/>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6" t="str">
        <f>IF(Main!O6="","",Main!O6)</f>
        <v/>
      </c>
      <c r="C34" s="566"/>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6" t="str">
        <f>IF(Main!O26="","",Main!O26)</f>
        <v/>
      </c>
      <c r="K34" s="566"/>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6" t="str">
        <f>IF(Main!O7="","",Main!O7)</f>
        <v/>
      </c>
      <c r="C35" s="566"/>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6" t="str">
        <f>IF(Main!O27="","",Main!O27)</f>
        <v/>
      </c>
      <c r="K35" s="566"/>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6" t="str">
        <f>IF(Main!O8="","",Main!O8)</f>
        <v/>
      </c>
      <c r="C36" s="566"/>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6" t="str">
        <f>IF(Main!O28="","",Main!O28)</f>
        <v/>
      </c>
      <c r="K36" s="566"/>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6" t="str">
        <f>IF(Main!O9="","",Main!O9)</f>
        <v/>
      </c>
      <c r="C37" s="566"/>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6" t="str">
        <f>IF(Main!O29="","",Main!O29)</f>
        <v/>
      </c>
      <c r="K37" s="566"/>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6" t="str">
        <f>IF(Main!O10="","",Main!O10)</f>
        <v/>
      </c>
      <c r="C38" s="566"/>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6" t="str">
        <f>IF(Main!O30="","",Main!O30)</f>
        <v/>
      </c>
      <c r="K38" s="566"/>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6" t="str">
        <f>IF(Main!O11="","",Main!O11)</f>
        <v/>
      </c>
      <c r="C39" s="566"/>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6" t="str">
        <f>IF(Main!O31="","",Main!O31)</f>
        <v/>
      </c>
      <c r="K39" s="566"/>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6" t="str">
        <f>IF(Main!O12="","",Main!O12)</f>
        <v/>
      </c>
      <c r="C40" s="566"/>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6" t="str">
        <f>IF(Main!O32="","",Main!O32)</f>
        <v/>
      </c>
      <c r="K40" s="566"/>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6" t="str">
        <f>IF(Main!O13="","",Main!O13)</f>
        <v/>
      </c>
      <c r="C41" s="566"/>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6" t="str">
        <f>IF(Main!O33="","",Main!O33)</f>
        <v/>
      </c>
      <c r="K41" s="566"/>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6" t="str">
        <f>IF(Main!O14="","",Main!O14)</f>
        <v/>
      </c>
      <c r="C42" s="566"/>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6" t="str">
        <f>IF(Main!O34="","",Main!O34)</f>
        <v/>
      </c>
      <c r="K42" s="566"/>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6" t="str">
        <f>IF(Main!O15="","",Main!O15)</f>
        <v/>
      </c>
      <c r="C43" s="566"/>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6" t="str">
        <f>IF(Main!O35="","",Main!O35)</f>
        <v/>
      </c>
      <c r="K43" s="566"/>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6" t="str">
        <f>IF(Main!O16="","",Main!O16)</f>
        <v/>
      </c>
      <c r="C44" s="566"/>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6" t="str">
        <f>IF(Main!O36="","",Main!O36)</f>
        <v/>
      </c>
      <c r="K44" s="566"/>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6" t="str">
        <f>IF(Main!O17="","",Main!O17)</f>
        <v/>
      </c>
      <c r="C45" s="566"/>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6" t="str">
        <f>IF(Main!O37="","",Main!O37)</f>
        <v/>
      </c>
      <c r="K45" s="566"/>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6" t="str">
        <f>IF(Main!O18="","",Main!O18)</f>
        <v/>
      </c>
      <c r="C46" s="566"/>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6" t="str">
        <f>IF(Main!O38="","",Main!O38)</f>
        <v/>
      </c>
      <c r="K46" s="566"/>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6" t="str">
        <f>IF(Main!O19="","",Main!O19)</f>
        <v/>
      </c>
      <c r="C47" s="566"/>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6" t="str">
        <f>IF(Main!O39="","",Main!O39)</f>
        <v/>
      </c>
      <c r="K47" s="566"/>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6" t="str">
        <f>IF(Main!O20="","",Main!O20)</f>
        <v/>
      </c>
      <c r="C48" s="566"/>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6" t="str">
        <f>IF(Main!O40="","",Main!O40)</f>
        <v/>
      </c>
      <c r="K48" s="566"/>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6" t="str">
        <f>IF(Main!O21="","",Main!O21)</f>
        <v/>
      </c>
      <c r="C49" s="566"/>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6" t="str">
        <f>IF(Main!O41="","",Main!O41)</f>
        <v/>
      </c>
      <c r="K49" s="566"/>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6" t="str">
        <f>IF(Main!O22="","",Main!O22)</f>
        <v/>
      </c>
      <c r="C50" s="566"/>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6" t="str">
        <f>IF(Main!O42="","",Main!O42)</f>
        <v/>
      </c>
      <c r="K50" s="566"/>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6" t="str">
        <f>IF(Main!O23="","",Main!O23)</f>
        <v/>
      </c>
      <c r="C51" s="566"/>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6" t="str">
        <f>IF(Main!O43="","",Main!O43)</f>
        <v/>
      </c>
      <c r="K51" s="566"/>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6" t="str">
        <f>IF(Main!O24="","",Main!O24)</f>
        <v/>
      </c>
      <c r="C52" s="566"/>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6" t="str">
        <f>IF(Main!O44="","",Main!O44)</f>
        <v/>
      </c>
      <c r="K52" s="566"/>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1" t="s">
        <v>242</v>
      </c>
      <c r="C53" s="571"/>
      <c r="D53" s="571"/>
      <c r="E53" s="571"/>
      <c r="F53" s="571"/>
      <c r="G53" s="571"/>
      <c r="H53" s="571"/>
      <c r="I53" s="571"/>
      <c r="J53" s="571"/>
      <c r="K53" s="571"/>
      <c r="L53" s="571"/>
      <c r="M53" s="571"/>
      <c r="N53" s="571"/>
    </row>
    <row r="54" spans="1:21" ht="18" customHeight="1" x14ac:dyDescent="0.25">
      <c r="A54" s="237" t="s">
        <v>243</v>
      </c>
      <c r="B54" s="580" t="str">
        <f>CONCATENATE(Main!G23,"  ",FurnaceSpecificComments,Main!V24)</f>
        <v xml:space="preserve">Found in tolerance.  No adjustment required.  </v>
      </c>
      <c r="C54" s="580"/>
      <c r="D54" s="580"/>
      <c r="E54" s="580"/>
      <c r="F54" s="580"/>
      <c r="G54" s="580"/>
      <c r="H54" s="580"/>
      <c r="I54" s="580"/>
      <c r="J54" s="580"/>
      <c r="K54" s="580"/>
      <c r="L54" s="580"/>
      <c r="M54" s="580"/>
      <c r="N54" s="580"/>
      <c r="O54" s="580"/>
    </row>
    <row r="55" spans="1:21" ht="18" customHeight="1" x14ac:dyDescent="0.25">
      <c r="A55" s="75"/>
      <c r="B55" s="580"/>
      <c r="C55" s="580"/>
      <c r="D55" s="580"/>
      <c r="E55" s="580"/>
      <c r="F55" s="580"/>
      <c r="G55" s="580"/>
      <c r="H55" s="580"/>
      <c r="I55" s="580"/>
      <c r="J55" s="580"/>
      <c r="K55" s="580"/>
      <c r="L55" s="580"/>
      <c r="M55" s="580"/>
      <c r="N55" s="580"/>
      <c r="O55" s="580"/>
    </row>
    <row r="56" spans="1:21" ht="18" customHeight="1" x14ac:dyDescent="0.25">
      <c r="A56" s="75"/>
      <c r="B56" s="580"/>
      <c r="C56" s="580"/>
      <c r="D56" s="580"/>
      <c r="E56" s="580"/>
      <c r="F56" s="580"/>
      <c r="G56" s="580"/>
      <c r="H56" s="580"/>
      <c r="I56" s="580"/>
      <c r="J56" s="580"/>
      <c r="K56" s="580"/>
      <c r="L56" s="580"/>
      <c r="M56" s="580"/>
      <c r="N56" s="580"/>
      <c r="O56" s="580"/>
    </row>
    <row r="57" spans="1:21" ht="18" customHeight="1" x14ac:dyDescent="0.25">
      <c r="A57" s="75"/>
      <c r="B57" s="580"/>
      <c r="C57" s="580"/>
      <c r="D57" s="580"/>
      <c r="E57" s="580"/>
      <c r="F57" s="580"/>
      <c r="G57" s="580"/>
      <c r="H57" s="580"/>
      <c r="I57" s="580"/>
      <c r="J57" s="580"/>
      <c r="K57" s="580"/>
      <c r="L57" s="580"/>
      <c r="M57" s="580"/>
      <c r="N57" s="580"/>
      <c r="O57" s="580"/>
    </row>
    <row r="58" spans="1:21" ht="18" customHeight="1" x14ac:dyDescent="0.25">
      <c r="A58" s="75"/>
      <c r="B58" s="580"/>
      <c r="C58" s="580"/>
      <c r="D58" s="580"/>
      <c r="E58" s="580"/>
      <c r="F58" s="580"/>
      <c r="G58" s="580"/>
      <c r="H58" s="580"/>
      <c r="I58" s="580"/>
      <c r="J58" s="580"/>
      <c r="K58" s="580"/>
      <c r="L58" s="580"/>
      <c r="M58" s="580"/>
      <c r="N58" s="580"/>
      <c r="O58" s="580"/>
    </row>
    <row r="59" spans="1:21" ht="18" customHeight="1" x14ac:dyDescent="0.25">
      <c r="A59" s="75"/>
      <c r="B59" s="580"/>
      <c r="C59" s="580"/>
      <c r="D59" s="580"/>
      <c r="E59" s="580"/>
      <c r="F59" s="580"/>
      <c r="G59" s="580"/>
      <c r="H59" s="580"/>
      <c r="I59" s="580"/>
      <c r="J59" s="580"/>
      <c r="K59" s="580"/>
      <c r="L59" s="580"/>
      <c r="M59" s="580"/>
      <c r="N59" s="580"/>
      <c r="O59" s="580"/>
    </row>
    <row r="60" spans="1:21" ht="18" customHeight="1" x14ac:dyDescent="0.2">
      <c r="A60" s="570" t="s">
        <v>251</v>
      </c>
      <c r="B60" s="570"/>
      <c r="C60" s="570"/>
      <c r="D60" s="570"/>
      <c r="E60" s="570"/>
      <c r="F60" s="570"/>
      <c r="G60" s="570"/>
      <c r="H60" s="570"/>
      <c r="I60" s="570"/>
      <c r="J60" s="570"/>
      <c r="K60" s="570"/>
      <c r="L60" s="570"/>
      <c r="M60" s="570"/>
      <c r="N60" s="570"/>
      <c r="O60" s="570"/>
    </row>
    <row r="61" spans="1:21" ht="18" customHeight="1" x14ac:dyDescent="0.2">
      <c r="A61" s="574" t="s">
        <v>244</v>
      </c>
      <c r="B61" s="574"/>
      <c r="C61" s="574"/>
      <c r="D61" s="574"/>
      <c r="E61" s="574"/>
      <c r="F61" s="588" t="s">
        <v>245</v>
      </c>
      <c r="G61" s="588"/>
      <c r="H61" s="588"/>
      <c r="I61" s="588" t="s">
        <v>246</v>
      </c>
      <c r="J61" s="588"/>
      <c r="K61" s="588" t="s">
        <v>247</v>
      </c>
      <c r="L61" s="588"/>
      <c r="M61" s="588" t="s">
        <v>248</v>
      </c>
      <c r="N61" s="588"/>
      <c r="O61" s="588"/>
      <c r="R61" s="36" t="s">
        <v>333</v>
      </c>
      <c r="T61" s="36" t="s">
        <v>334</v>
      </c>
      <c r="U61" s="36" t="s">
        <v>65</v>
      </c>
    </row>
    <row r="62" spans="1:21" ht="18" customHeight="1" x14ac:dyDescent="0.2">
      <c r="A62" s="555" t="str">
        <f>IF(F62="","",CONCATENATE(T62," - ",R62))</f>
        <v/>
      </c>
      <c r="B62" s="556"/>
      <c r="C62" s="556"/>
      <c r="D62" s="556"/>
      <c r="E62" s="557"/>
      <c r="F62" s="555" t="str" cm="1">
        <f t="array" ref="F62">IFERROR(
  _xlfn.XLOOKUP(
    Main!D9,
    _xlfn._xlws.FILTER(AssetPool[AssetTag], AssetPool[RootCategoryName]= "DAQ Modules"),
    _xlfn._xlws.FILTER(AssetPool[SerialNumber], AssetPool[RootCategoryName]= "DAQ Modules")
  ),
  ""
)</f>
        <v/>
      </c>
      <c r="G62" s="556"/>
      <c r="H62" s="557"/>
      <c r="I62" s="586" t="str">
        <f>IF(F62="","",Main!D12)</f>
        <v/>
      </c>
      <c r="J62" s="587"/>
      <c r="K62" s="586" t="str">
        <f>IF(F62="","",Main!D13)</f>
        <v/>
      </c>
      <c r="L62" s="587"/>
      <c r="M62" s="552" t="str">
        <f>IF(F62="","",Main!D14)</f>
        <v/>
      </c>
      <c r="N62" s="553"/>
      <c r="O62" s="554"/>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63" t="str">
        <f>IF(Q63="","",Main!D49)</f>
        <v/>
      </c>
      <c r="J63" s="564"/>
      <c r="K63" s="563" t="str">
        <f>IF(Q63="","",Main!D50)</f>
        <v/>
      </c>
      <c r="L63" s="564"/>
      <c r="M63" s="549" t="str">
        <f>IF(Q63="","",Main!D54)</f>
        <v/>
      </c>
      <c r="N63" s="550"/>
      <c r="O63" s="551"/>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63" t="str">
        <f>IF(Q64="","",Main!E49)</f>
        <v/>
      </c>
      <c r="J64" s="564"/>
      <c r="K64" s="563" t="str">
        <f>IF(Q64="","",Main!E50)</f>
        <v/>
      </c>
      <c r="L64" s="564"/>
      <c r="M64" s="549" t="str">
        <f>IF(Q64="","",Main!E54)</f>
        <v/>
      </c>
      <c r="N64" s="550"/>
      <c r="O64" s="551"/>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63" t="str">
        <f>IF(Q65="","",Main!F49)</f>
        <v/>
      </c>
      <c r="J65" s="564"/>
      <c r="K65" s="563" t="str">
        <f>IF(Q65="","",Main!F50)</f>
        <v/>
      </c>
      <c r="L65" s="564"/>
      <c r="M65" s="549" t="str">
        <f>IF(Q65="","",Main!F54)</f>
        <v/>
      </c>
      <c r="N65" s="550"/>
      <c r="O65" s="551"/>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63" t="str">
        <f>IF(Q66="","",Main!G49)</f>
        <v/>
      </c>
      <c r="J66" s="564"/>
      <c r="K66" s="563" t="str">
        <f>IF(Q66="","",Main!G50)</f>
        <v/>
      </c>
      <c r="L66" s="564"/>
      <c r="M66" s="549" t="str">
        <f>IF(Q66="","",Main!G54)</f>
        <v/>
      </c>
      <c r="N66" s="550"/>
      <c r="O66" s="551"/>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63" t="str">
        <f>IF(Q67="","",Main!H49)</f>
        <v/>
      </c>
      <c r="J67" s="564"/>
      <c r="K67" s="563" t="str">
        <f>IF(Q67="","",Main!H50)</f>
        <v/>
      </c>
      <c r="L67" s="564"/>
      <c r="M67" s="549" t="str">
        <f>IF(Q67="","",Main!H54)</f>
        <v/>
      </c>
      <c r="N67" s="550"/>
      <c r="O67" s="551"/>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63" t="str">
        <f>IF(Q68="","",Main!I49)</f>
        <v/>
      </c>
      <c r="J68" s="564"/>
      <c r="K68" s="563" t="str">
        <f>IF(Q68="","",Main!I50)</f>
        <v/>
      </c>
      <c r="L68" s="564"/>
      <c r="M68" s="549" t="str">
        <f>IF(Q68="","",Main!I54)</f>
        <v/>
      </c>
      <c r="N68" s="550"/>
      <c r="O68" s="551"/>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58" t="str">
        <f>IF(Main!J48="","",Main!J48)</f>
        <v/>
      </c>
      <c r="G69" s="559"/>
      <c r="H69" s="560"/>
      <c r="I69" s="561" t="str">
        <f>IF(Q69="","",Main!J49)</f>
        <v/>
      </c>
      <c r="J69" s="562"/>
      <c r="K69" s="561" t="str">
        <f>IF(Q69="","",Main!J50)</f>
        <v/>
      </c>
      <c r="L69" s="562"/>
      <c r="M69" s="558" t="str">
        <f>IF(Q69="","",Main!J54)</f>
        <v/>
      </c>
      <c r="N69" s="559"/>
      <c r="O69" s="560"/>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4" t="s">
        <v>436</v>
      </c>
      <c r="B71" s="584"/>
      <c r="C71" s="584"/>
      <c r="D71" s="584"/>
      <c r="E71" s="584"/>
      <c r="F71" s="584"/>
      <c r="G71" s="584"/>
      <c r="H71" s="584"/>
      <c r="I71" s="584"/>
      <c r="J71" s="584"/>
      <c r="K71" s="584"/>
      <c r="L71" s="584"/>
      <c r="M71" s="584"/>
      <c r="N71" s="584"/>
      <c r="O71" s="584"/>
    </row>
    <row r="72" spans="1:21" ht="18" customHeight="1" x14ac:dyDescent="0.2">
      <c r="A72" s="584"/>
      <c r="B72" s="584"/>
      <c r="C72" s="584"/>
      <c r="D72" s="584"/>
      <c r="E72" s="584"/>
      <c r="F72" s="584"/>
      <c r="G72" s="584"/>
      <c r="H72" s="584"/>
      <c r="I72" s="584"/>
      <c r="J72" s="584"/>
      <c r="K72" s="584"/>
      <c r="L72" s="584"/>
      <c r="M72" s="584"/>
      <c r="N72" s="584"/>
      <c r="O72" s="584"/>
    </row>
    <row r="73" spans="1:21" ht="18" customHeight="1" x14ac:dyDescent="0.2">
      <c r="A73" s="584"/>
      <c r="B73" s="584"/>
      <c r="C73" s="584"/>
      <c r="D73" s="584"/>
      <c r="E73" s="584"/>
      <c r="F73" s="584"/>
      <c r="G73" s="584"/>
      <c r="H73" s="584"/>
      <c r="I73" s="584"/>
      <c r="J73" s="584"/>
      <c r="K73" s="584"/>
      <c r="L73" s="584"/>
      <c r="M73" s="584"/>
      <c r="N73" s="584"/>
      <c r="O73" s="584"/>
    </row>
    <row r="74" spans="1:21" ht="18" customHeight="1" x14ac:dyDescent="0.2">
      <c r="A74" s="584"/>
      <c r="B74" s="584"/>
      <c r="C74" s="584"/>
      <c r="D74" s="584"/>
      <c r="E74" s="584"/>
      <c r="F74" s="584"/>
      <c r="G74" s="584"/>
      <c r="H74" s="584"/>
      <c r="I74" s="584"/>
      <c r="J74" s="584"/>
      <c r="K74" s="584"/>
      <c r="L74" s="584"/>
      <c r="M74" s="584"/>
      <c r="N74" s="584"/>
      <c r="O74" s="584"/>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GrcIqDlFDXtb48Zl6drwoxSJo3mhf6tbOok/cdIbFCkYLk+vwBMQD6mubqCBvkUBPcFL2nxTyuSEWMyLwpWssQ==" saltValue="b3H1Zniq5mJokoWRYXLq5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397</v>
      </c>
      <c r="R1" t="s">
        <v>398</v>
      </c>
      <c r="S1" t="s">
        <v>399</v>
      </c>
      <c r="T1" t="s">
        <v>400</v>
      </c>
      <c r="U1" t="s">
        <v>401</v>
      </c>
      <c r="V1" t="s">
        <v>402</v>
      </c>
      <c r="W1" t="s">
        <v>403</v>
      </c>
      <c r="X1" t="s">
        <v>404</v>
      </c>
      <c r="Y1" t="s">
        <v>405</v>
      </c>
      <c r="Z1" t="s">
        <v>406</v>
      </c>
      <c r="AA1" t="s">
        <v>407</v>
      </c>
      <c r="AB1" t="s">
        <v>408</v>
      </c>
      <c r="AC1" t="s">
        <v>409</v>
      </c>
      <c r="AD1" t="s">
        <v>410</v>
      </c>
      <c r="AE1" t="s">
        <v>411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HnXBxWOgGOwlVH7nkGQmT0bvb3iZffH++Ar7425DvSbAqV1K6du10yR6mhnQlsFGqHi/gVmVxQkF/WSUy89J3A==" saltValue="Os2gNnoXla0+OLr+ZCN0xQ=="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GybSUCxc3WtnVuIHu3NdeenTp5+huSPMQo7dtsJJC2/zDl/ng60uQ/o9PuFqdkUsojOUahakFQFiCSlnKp8Q6g==" saltValue="1PMsX1aV3f/xeef4ZjkBYg=="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EujGNCqgWGC5ZI1o8RCxVJLvyHPItBGOoiyRNEo64J+9WWPAAJpnAjtoxxsO6goKESH4IIRg95PQLqM1x/eFzQ==" saltValue="00owF+/OaWTgg5GqzR5g+g=="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TEXT(SAT_Tolerance,"0.0")&amp;Unit</f>
        <v>0.0°F</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321</v>
      </c>
      <c r="U11" s="276" t="s">
        <v>322</v>
      </c>
      <c r="V11" s="276" t="s">
        <v>323</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YoESeJ+qP/Kko5kGO8gOdkXMNUF8wJFT5fYDY7f7CiDsWajsZiQaiOdXRP4bKHVu6R+yF6k3/F7SsXyYf6Iflg==" saltValue="aTGojInQGNjF7IskuoL+QA==" spinCount="100000" sheet="1" objects="1" scenarios="1" selectLockedCells="1" autoFilter="0"/>
  <mergeCells count="2">
    <mergeCell ref="D32:M34"/>
    <mergeCell ref="C37:M40"/>
  </mergeCells>
  <phoneticPr fontId="21"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2" t="s">
        <v>339</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3" t="s">
        <v>274</v>
      </c>
      <c r="I28" s="613"/>
      <c r="J28" s="613"/>
      <c r="K28" s="613"/>
      <c r="L28" s="613"/>
      <c r="M28" s="613"/>
      <c r="N28" s="613"/>
      <c r="O28" s="613"/>
      <c r="P28" s="613"/>
      <c r="Q28" s="613"/>
      <c r="R28" s="613"/>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21" t="s">
        <v>276</v>
      </c>
      <c r="K29" s="622"/>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14" t="s">
        <v>264</v>
      </c>
      <c r="I30" s="614"/>
      <c r="J30" s="623" t="s">
        <v>307</v>
      </c>
      <c r="K30" s="624"/>
      <c r="L30" s="625"/>
      <c r="M30" s="253"/>
      <c r="O30" s="615" t="s">
        <v>310</v>
      </c>
      <c r="P30" s="616"/>
      <c r="Q30" s="617"/>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38" t="s">
        <v>315</v>
      </c>
      <c r="K31" s="639"/>
      <c r="L31" s="640"/>
      <c r="M31" s="254" t="str">
        <f>IF(Main!S49="","",Main!S49)</f>
        <v>N/A</v>
      </c>
      <c r="O31" s="505" t="s">
        <v>317</v>
      </c>
      <c r="P31" s="506"/>
      <c r="Q31" s="618"/>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293</v>
      </c>
      <c r="I32" s="243" t="str">
        <f>IF(Main!N50="","",Main!N50)</f>
        <v/>
      </c>
      <c r="J32" s="629" t="s">
        <v>267</v>
      </c>
      <c r="K32" s="630"/>
      <c r="L32" s="631"/>
      <c r="M32" s="249"/>
      <c r="O32" s="629" t="s">
        <v>267</v>
      </c>
      <c r="P32" s="630"/>
      <c r="Q32" s="631"/>
      <c r="T32" s="36"/>
    </row>
    <row r="33" spans="1:20" ht="12.75" customHeight="1" x14ac:dyDescent="0.2">
      <c r="A33" s="619" t="s">
        <v>278</v>
      </c>
      <c r="B33" s="620"/>
      <c r="C33" s="46" t="str">
        <f>IF(Main!D52="","",Main!D52)</f>
        <v/>
      </c>
      <c r="D33" s="46" t="str">
        <f>IF(Main!E52="","",Main!E52)</f>
        <v/>
      </c>
      <c r="E33" s="46" t="str">
        <f>IF(Main!F52="","",Main!F52)</f>
        <v/>
      </c>
      <c r="F33" s="46" t="str">
        <f>IF(Main!G52="","",Main!G52)</f>
        <v/>
      </c>
      <c r="G33" s="258"/>
      <c r="H33" s="241" t="s">
        <v>279</v>
      </c>
      <c r="I33" s="243" t="str">
        <f>IF(Main!N51="","",Main!N51)</f>
        <v/>
      </c>
      <c r="J33" s="626" t="s">
        <v>316</v>
      </c>
      <c r="K33" s="627"/>
      <c r="L33" s="628"/>
      <c r="M33" s="248" t="str">
        <f>IF(Main!S51="","",Main!S51)</f>
        <v/>
      </c>
      <c r="O33" s="626" t="s">
        <v>318</v>
      </c>
      <c r="P33" s="627"/>
      <c r="Q33" s="628"/>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280</v>
      </c>
      <c r="I34" s="240" t="str">
        <f>IF(Main!N52="","",Main!N52)</f>
        <v/>
      </c>
      <c r="J34" s="629" t="s">
        <v>267</v>
      </c>
      <c r="K34" s="630"/>
      <c r="L34" s="631"/>
      <c r="O34" s="629" t="s">
        <v>267</v>
      </c>
      <c r="P34" s="630"/>
      <c r="Q34" s="631"/>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280</v>
      </c>
      <c r="I35" s="240" t="str">
        <f>IF(Main!N53="","",Main!N53)</f>
        <v/>
      </c>
      <c r="J35" s="632" t="s">
        <v>319</v>
      </c>
      <c r="K35" s="633"/>
      <c r="L35" s="634"/>
      <c r="M35" s="256" t="str">
        <f>IF(Main!S53="","",Main!S53)</f>
        <v/>
      </c>
      <c r="O35" s="632" t="s">
        <v>320</v>
      </c>
      <c r="P35" s="633"/>
      <c r="Q35" s="634"/>
      <c r="R35" s="257" t="str">
        <f>IF(Main!X53="","",Main!X53)</f>
        <v/>
      </c>
    </row>
    <row r="36" spans="1:20" ht="13.5" thickBot="1" x14ac:dyDescent="0.25">
      <c r="B36" s="58" t="s">
        <v>281</v>
      </c>
      <c r="C36" s="46" t="str">
        <f>IF(Main!D56="","",Main!D56)</f>
        <v/>
      </c>
      <c r="D36" s="46" t="str">
        <f>IF(Main!E56="","",Main!E56)</f>
        <v/>
      </c>
      <c r="E36" s="46" t="str">
        <f>IF(Main!F56="","",Main!F56)</f>
        <v/>
      </c>
      <c r="F36" s="46" t="str">
        <f>IF(Main!G56="","",Main!G56)</f>
        <v/>
      </c>
      <c r="G36" s="258"/>
      <c r="H36" s="259"/>
      <c r="J36" s="635"/>
      <c r="K36" s="636"/>
      <c r="L36" s="637"/>
      <c r="M36" s="252"/>
      <c r="O36" s="635"/>
      <c r="P36" s="636"/>
      <c r="Q36" s="637"/>
      <c r="T36" s="36"/>
    </row>
    <row r="37" spans="1:20" ht="13.5" thickBot="1" x14ac:dyDescent="0.25">
      <c r="B37" s="56" t="s">
        <v>282</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
        <v>291</v>
      </c>
      <c r="M39" s="269"/>
    </row>
    <row r="40" spans="1:20" ht="15.75" x14ac:dyDescent="0.25">
      <c r="B40" s="251"/>
      <c r="C40" s="251"/>
      <c r="D40" s="251"/>
      <c r="E40" s="251"/>
      <c r="K40" s="56" t="s">
        <v>294</v>
      </c>
      <c r="L40">
        <f>IF(Main!N54="","",Main!N54)</f>
        <v>0</v>
      </c>
      <c r="O40" s="56" t="s">
        <v>296</v>
      </c>
      <c r="P40">
        <f>IF(Main!N56="","",Main!N56)</f>
        <v>0</v>
      </c>
    </row>
    <row r="41" spans="1:20" x14ac:dyDescent="0.2">
      <c r="K41" s="56" t="s">
        <v>295</v>
      </c>
      <c r="L41">
        <f>IF(Main!N55="","",Main!N55)</f>
        <v>0</v>
      </c>
      <c r="O41" s="56" t="s">
        <v>297</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8wQ/i77A0nS4BqpfC0cqJVpsX27gvzm/SaZ224T0Gz7IvWLjfVVNtFZt9XVoV3Rc86dQcu/sMPi0vxfF9J1tSw==" saltValue="XcrLe6w3fg83m8Zg7gUgk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pg6OWWuAzZGzvm4RtkiUyH3lfQ7hz9VwRDL4w69QdwNQA14SyYrAwwecGB+NMY0Q8hc1wiAfXuhyoOLLUmVgQ==" saltValue="e5Kf8TQ98C/Zq0mJgWUS7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8"/>
      <c r="C1" s="578"/>
      <c r="D1" s="578"/>
      <c r="E1" s="33" t="s">
        <v>145</v>
      </c>
      <c r="G1" s="578" t="s">
        <v>65</v>
      </c>
      <c r="H1" s="578"/>
      <c r="K1" t="s">
        <v>89</v>
      </c>
      <c r="M1" t="s">
        <v>90</v>
      </c>
      <c r="O1" t="s">
        <v>115</v>
      </c>
      <c r="Q1" t="s">
        <v>124</v>
      </c>
      <c r="S1" t="s">
        <v>130</v>
      </c>
      <c r="U1" s="36" t="s">
        <v>155</v>
      </c>
      <c r="W1" s="36" t="s">
        <v>159</v>
      </c>
      <c r="Y1" s="36" t="s">
        <v>185</v>
      </c>
      <c r="AA1" s="36" t="s">
        <v>186</v>
      </c>
      <c r="AC1" s="36" t="s">
        <v>194</v>
      </c>
      <c r="AE1" s="61" t="s">
        <v>283</v>
      </c>
      <c r="AG1" s="34" t="s">
        <v>290</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328</v>
      </c>
      <c r="H2" t="s">
        <v>68</v>
      </c>
      <c r="K2" t="s">
        <v>80</v>
      </c>
      <c r="M2" t="s">
        <v>91</v>
      </c>
      <c r="Q2" t="s">
        <v>125</v>
      </c>
      <c r="S2" t="s">
        <v>77</v>
      </c>
      <c r="U2" s="36" t="s">
        <v>156</v>
      </c>
      <c r="W2">
        <f>IF(Main!D32 = 10, 5, IF(Main!D32 = 30, 15, IF(Main!D32 = 40, 20, 0)))</f>
        <v>0</v>
      </c>
      <c r="Y2" t="s">
        <v>165</v>
      </c>
      <c r="AC2" s="36" t="s">
        <v>196</v>
      </c>
      <c r="AE2" s="36" t="s">
        <v>284</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329</v>
      </c>
      <c r="H3" t="s">
        <v>66</v>
      </c>
      <c r="K3" t="s">
        <v>81</v>
      </c>
      <c r="M3" t="s">
        <v>92</v>
      </c>
      <c r="O3" t="s">
        <v>116</v>
      </c>
      <c r="Q3" s="36" t="s">
        <v>153</v>
      </c>
      <c r="S3" t="s">
        <v>132</v>
      </c>
      <c r="U3" s="36" t="s">
        <v>256</v>
      </c>
      <c r="Y3" t="s">
        <v>166</v>
      </c>
      <c r="AC3" s="36" t="s">
        <v>195</v>
      </c>
      <c r="AE3" s="36" t="s">
        <v>306</v>
      </c>
      <c r="AG3" s="36" t="str">
        <v>Jeremy Keene</v>
      </c>
      <c r="AH3" s="36"/>
    </row>
    <row r="4" spans="1:34" x14ac:dyDescent="0.2">
      <c r="A4" s="33" t="str">
        <v>J3</v>
      </c>
      <c r="B4" s="33" t="str">
        <v>DaqBook/2005</v>
      </c>
      <c r="C4" s="33" t="str">
        <v>807705</v>
      </c>
      <c r="D4" s="33" t="str">
        <f t="shared" si="0"/>
        <v>"J" IRON-CONSTANTAN</v>
      </c>
      <c r="E4" s="33">
        <v>28</v>
      </c>
      <c r="G4" s="36" t="s">
        <v>327</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303</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304</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305</v>
      </c>
      <c r="U8" t="str">
        <f>IF(AND(Main!D17&lt;&gt;"",Main!D17&gt;14),"Data_Sheet_15_28","")</f>
        <v/>
      </c>
      <c r="Y8" t="s">
        <v>171</v>
      </c>
      <c r="AE8" s="61" t="s">
        <v>285</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286</v>
      </c>
      <c r="AG10" s="36" t="str">
        <v>Nick Nolte</v>
      </c>
      <c r="AH10" s="36"/>
    </row>
    <row r="11" spans="1:34" x14ac:dyDescent="0.2">
      <c r="O11" t="s">
        <v>121</v>
      </c>
      <c r="Y11" s="36" t="s">
        <v>190</v>
      </c>
      <c r="AE11" s="36" t="s">
        <v>127</v>
      </c>
      <c r="AG11" t="str">
        <v>Ryan Byars</v>
      </c>
    </row>
    <row r="12" spans="1:34" x14ac:dyDescent="0.2">
      <c r="O12" t="s">
        <v>120</v>
      </c>
      <c r="Y12" s="36" t="s">
        <v>298</v>
      </c>
      <c r="AE12" s="36" t="s">
        <v>287</v>
      </c>
    </row>
    <row r="13" spans="1:34" x14ac:dyDescent="0.2">
      <c r="O13" s="36" t="s">
        <v>301</v>
      </c>
      <c r="Y13" t="s">
        <v>174</v>
      </c>
      <c r="AE13" s="36" t="s">
        <v>288</v>
      </c>
    </row>
    <row r="14" spans="1:34" x14ac:dyDescent="0.2">
      <c r="Y14" t="s">
        <v>175</v>
      </c>
      <c r="AE14" s="36" t="s">
        <v>289</v>
      </c>
    </row>
    <row r="15" spans="1:34" x14ac:dyDescent="0.2">
      <c r="Y15" t="s">
        <v>176</v>
      </c>
      <c r="AE15" s="36" t="s">
        <v>300</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IDhqtCSY8+gJ6MH3bjmAMb+EvkkU1DhaP2evn2tNMH7xRBQS4moYlQEVVD3EEL7sUg2fFx/4ugHjHSjJH14SHQ==" saltValue="PFN6rlPszuVL3tuAjSiam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91</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2026-03-04T20:18:17Z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