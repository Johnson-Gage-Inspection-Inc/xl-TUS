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drawings/drawing5.xml" ContentType="application/vnd.openxmlformats-officedocument.drawing+xml"/>
  <Override PartName="/xl/tables/table27.xml" ContentType="application/vnd.openxmlformats-officedocument.spreadsheetml.table+xml"/>
  <Override PartName="/xl/queryTables/queryTable17.xml" ContentType="application/vnd.openxmlformats-officedocument.spreadsheetml.queryTable+xml"/>
  <Override PartName="/xl/tables/table28.xml" ContentType="application/vnd.openxmlformats-officedocument.spreadsheetml.table+xml"/>
  <Override PartName="/xl/queryTables/queryTable18.xml" ContentType="application/vnd.openxmlformats-officedocument.spreadsheetml.queryTable+xml"/>
  <Override PartName="/xl/drawings/drawing6.xml" ContentType="application/vnd.openxmlformats-officedocument.drawing+xml"/>
  <Override PartName="/xl/ctrlProps/ctrlProp18.xml" ContentType="application/vnd.ms-excel.controlproperties+xml"/>
  <Override PartName="/xl/tables/table29.xml" ContentType="application/vnd.openxmlformats-officedocument.spreadsheetml.table+xml"/>
  <Override PartName="/xl/queryTables/queryTable19.xml" ContentType="application/vnd.openxmlformats-officedocument.spreadsheetml.queryTable+xml"/>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71A243E0-0415-41D8-89A7-8E76FBC998CB}" xr6:coauthVersionLast="47" xr6:coauthVersionMax="47" xr10:uidLastSave="{00000000-0000-0000-0000-000000000000}"/>
  <bookViews>
    <workbookView xWindow="2868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imple Interp" sheetId="101" r:id="rId28"/>
    <sheet name="Wire Sets" sheetId="102" r:id="rId29"/>
    <sheet name="Alerts" sheetId="103" r:id="rId30"/>
    <sheet name="Standards_Info" sheetId="12" state="hidden" r:id="rId31"/>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WorkItemDetails!$A$2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WorkItemDetails!$B$2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Main!$B$9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Header_Info!$A$1:$AK$413</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UUTRangeTol!$A$1:$H$425</definedName>
    <definedName name="ExternalData_1" localSheetId="28" hidden="1">'Wire Sets'!$A$1:$H$25</definedName>
    <definedName name="ExternalData_1" localSheetId="2" hidden="1">WireOffsets!$A$1:$D$176</definedName>
    <definedName name="ExternalData_1" localSheetId="0" hidden="1">WireSets!$A$4:$J$28</definedName>
    <definedName name="ExternalData_1" localSheetId="1" hidden="1">WorkItemDetails!#REF!</definedName>
    <definedName name="ExternalData_2" localSheetId="5" hidden="1">AllDaqbookOffsets!$A$1:$E$1537</definedName>
    <definedName name="ExternalData_2" localSheetId="19" hidden="1">DaqbookServiceRecords!$A$1:$E$9</definedName>
    <definedName name="ExternalData_2" localSheetId="3" hidden="1">User!$A$1:$A$2</definedName>
    <definedName name="ExternalData_2" localSheetId="28" hidden="1">'Wire Sets'!$J$1:$O$2</definedName>
    <definedName name="ExternalData_2" localSheetId="2" hidden="1">WireOffsets!$K$1:$N$35</definedName>
    <definedName name="ExternalData_2" localSheetId="1" hidden="1">WorkItemDetails!$E$1:$BP$2</definedName>
    <definedName name="ExternalData_3" localSheetId="29" hidden="1">Alerts!$A$3:$J$5</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Locator" localSheetId="28">'Wire Sets'!$LCB$524288</definedName>
    <definedName name="Locator">'Simple Interp'!$LCB$524288</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Table'!$A$1:$O$1711</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Source">Header_Info!$AR$2</definedName>
    <definedName name="Tracability">Standards_Info!$K$2:$K$6</definedName>
    <definedName name="TUS_Start_Time">Main!$D$30</definedName>
    <definedName name="types">Main!$D$47:$I$47</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 name="WorkOrderNumber">Main!$G$2</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 i="8" l="1" a="1"/>
  <c r="P5" i="8" s="1"/>
  <c r="C2" i="71" a="1"/>
  <c r="C2" i="71" s="1"/>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K219" i="95" s="1"/>
  <c r="I220" i="95"/>
  <c r="I221" i="95"/>
  <c r="K221" i="95" s="1"/>
  <c r="I222" i="95"/>
  <c r="K222" i="95" s="1"/>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K318" i="95" s="1"/>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I424" i="95"/>
  <c r="I425" i="95"/>
  <c r="J2" i="95"/>
  <c r="J3" i="95"/>
  <c r="J4" i="95"/>
  <c r="K4" i="95" s="1"/>
  <c r="J5" i="95"/>
  <c r="K5" i="95" s="1"/>
  <c r="J6" i="95"/>
  <c r="K6" i="95" s="1"/>
  <c r="J7" i="95"/>
  <c r="K7" i="95" s="1"/>
  <c r="J8" i="95"/>
  <c r="K8" i="95" s="1"/>
  <c r="J9" i="95"/>
  <c r="K9" i="95" s="1"/>
  <c r="J10" i="95"/>
  <c r="K10" i="95" s="1"/>
  <c r="J11" i="95"/>
  <c r="K11" i="95" s="1"/>
  <c r="J12" i="95"/>
  <c r="J13" i="95"/>
  <c r="J14" i="95"/>
  <c r="J15" i="95"/>
  <c r="J16" i="95"/>
  <c r="J17" i="95"/>
  <c r="J18" i="95"/>
  <c r="K18" i="95" s="1"/>
  <c r="J19" i="95"/>
  <c r="K19" i="95" s="1"/>
  <c r="J20" i="95"/>
  <c r="K20" i="95" s="1"/>
  <c r="J21" i="95"/>
  <c r="K21" i="95" s="1"/>
  <c r="J22" i="95"/>
  <c r="K22" i="95" s="1"/>
  <c r="J23" i="95"/>
  <c r="K23" i="95" s="1"/>
  <c r="J24" i="95"/>
  <c r="K24" i="95" s="1"/>
  <c r="J25" i="95"/>
  <c r="K25" i="95" s="1"/>
  <c r="J26" i="95"/>
  <c r="J27" i="95"/>
  <c r="J28" i="95"/>
  <c r="J29" i="95"/>
  <c r="J30" i="95"/>
  <c r="J31" i="95"/>
  <c r="J32" i="95"/>
  <c r="J33" i="95"/>
  <c r="K33" i="95" s="1"/>
  <c r="J34" i="95"/>
  <c r="K34" i="95" s="1"/>
  <c r="J35" i="95"/>
  <c r="K35" i="95" s="1"/>
  <c r="J36" i="95"/>
  <c r="K36" i="95" s="1"/>
  <c r="J37" i="95"/>
  <c r="K37" i="95" s="1"/>
  <c r="J38" i="95"/>
  <c r="K38" i="95" s="1"/>
  <c r="J39" i="95"/>
  <c r="K39" i="95" s="1"/>
  <c r="J40" i="95"/>
  <c r="K40" i="95" s="1"/>
  <c r="J41" i="95"/>
  <c r="K41" i="95" s="1"/>
  <c r="J42" i="95"/>
  <c r="K42" i="95" s="1"/>
  <c r="J43" i="95"/>
  <c r="K43" i="95" s="1"/>
  <c r="J44" i="95"/>
  <c r="K44" i="95" s="1"/>
  <c r="J45" i="95"/>
  <c r="K45" i="95" s="1"/>
  <c r="J46" i="95"/>
  <c r="K46" i="95" s="1"/>
  <c r="J47" i="95"/>
  <c r="K47" i="95" s="1"/>
  <c r="J48" i="95"/>
  <c r="K48" i="95" s="1"/>
  <c r="J49" i="95"/>
  <c r="K49" i="95" s="1"/>
  <c r="J50" i="95"/>
  <c r="K50" i="95" s="1"/>
  <c r="J51" i="95"/>
  <c r="K51" i="95" s="1"/>
  <c r="J52" i="95"/>
  <c r="K52" i="95" s="1"/>
  <c r="J53" i="95"/>
  <c r="K53" i="95" s="1"/>
  <c r="J54" i="95"/>
  <c r="K54" i="95" s="1"/>
  <c r="J55" i="95"/>
  <c r="K55" i="95" s="1"/>
  <c r="J56" i="95"/>
  <c r="K56" i="95" s="1"/>
  <c r="J57" i="95"/>
  <c r="K57" i="95" s="1"/>
  <c r="J58" i="95"/>
  <c r="J59" i="95"/>
  <c r="J60" i="95"/>
  <c r="J61" i="95"/>
  <c r="J62" i="95"/>
  <c r="J63" i="95"/>
  <c r="J64" i="95"/>
  <c r="J65" i="95"/>
  <c r="J66" i="95"/>
  <c r="J67" i="95"/>
  <c r="K67" i="95" s="1"/>
  <c r="J68" i="95"/>
  <c r="K68" i="95" s="1"/>
  <c r="J69" i="95"/>
  <c r="K69" i="95" s="1"/>
  <c r="J70" i="95"/>
  <c r="K70" i="95" s="1"/>
  <c r="J71" i="95"/>
  <c r="K71" i="95" s="1"/>
  <c r="J72" i="95"/>
  <c r="K72" i="95" s="1"/>
  <c r="J73" i="95"/>
  <c r="K73" i="95" s="1"/>
  <c r="J74" i="95"/>
  <c r="K74" i="95" s="1"/>
  <c r="J75" i="95"/>
  <c r="K75" i="95" s="1"/>
  <c r="J76" i="95"/>
  <c r="J77" i="95"/>
  <c r="J78" i="95"/>
  <c r="J79" i="95"/>
  <c r="J80" i="95"/>
  <c r="J81" i="95"/>
  <c r="K81" i="95" s="1"/>
  <c r="J82" i="95"/>
  <c r="K82" i="95" s="1"/>
  <c r="J83" i="95"/>
  <c r="K83" i="95" s="1"/>
  <c r="J84" i="95"/>
  <c r="K84" i="95" s="1"/>
  <c r="J85" i="95"/>
  <c r="K85" i="95" s="1"/>
  <c r="J86" i="95"/>
  <c r="K86" i="95" s="1"/>
  <c r="J87" i="95"/>
  <c r="K87" i="95" s="1"/>
  <c r="J88" i="95"/>
  <c r="K88" i="95" s="1"/>
  <c r="J89" i="95"/>
  <c r="K89" i="95" s="1"/>
  <c r="J90" i="95"/>
  <c r="J91" i="95"/>
  <c r="J92" i="95"/>
  <c r="J93" i="95"/>
  <c r="J94" i="95"/>
  <c r="J95" i="95"/>
  <c r="J96" i="95"/>
  <c r="K96" i="95" s="1"/>
  <c r="J97" i="95"/>
  <c r="K97" i="95" s="1"/>
  <c r="J98" i="95"/>
  <c r="K98" i="95" s="1"/>
  <c r="J99" i="95"/>
  <c r="K99" i="95" s="1"/>
  <c r="J100" i="95"/>
  <c r="K100" i="95" s="1"/>
  <c r="J101" i="95"/>
  <c r="K101" i="95" s="1"/>
  <c r="J102" i="95"/>
  <c r="K102" i="95" s="1"/>
  <c r="J103" i="95"/>
  <c r="K103" i="95" s="1"/>
  <c r="J104" i="95"/>
  <c r="K104" i="95" s="1"/>
  <c r="J105" i="95"/>
  <c r="K105" i="95" s="1"/>
  <c r="J106" i="95"/>
  <c r="K106" i="95" s="1"/>
  <c r="J107" i="95"/>
  <c r="K107" i="95" s="1"/>
  <c r="J108" i="95"/>
  <c r="J109" i="95"/>
  <c r="J110" i="95"/>
  <c r="K110" i="95" s="1"/>
  <c r="J111" i="95"/>
  <c r="K111" i="95" s="1"/>
  <c r="J112" i="95"/>
  <c r="K112" i="95" s="1"/>
  <c r="J113" i="95"/>
  <c r="K113" i="95" s="1"/>
  <c r="J114" i="95"/>
  <c r="K114" i="95" s="1"/>
  <c r="J115" i="95"/>
  <c r="K115" i="95" s="1"/>
  <c r="J116" i="95"/>
  <c r="K116" i="95" s="1"/>
  <c r="J117" i="95"/>
  <c r="K117" i="95" s="1"/>
  <c r="J118" i="95"/>
  <c r="K118" i="95" s="1"/>
  <c r="J119" i="95"/>
  <c r="K119" i="95" s="1"/>
  <c r="J120" i="95"/>
  <c r="K120" i="95" s="1"/>
  <c r="J121" i="95"/>
  <c r="K121" i="95" s="1"/>
  <c r="J122" i="95"/>
  <c r="J123" i="95"/>
  <c r="J124" i="95"/>
  <c r="J125" i="95"/>
  <c r="J126" i="95"/>
  <c r="J127" i="95"/>
  <c r="J128" i="95"/>
  <c r="K128" i="95" s="1"/>
  <c r="J129" i="95"/>
  <c r="J130" i="95"/>
  <c r="J131" i="95"/>
  <c r="J132" i="95"/>
  <c r="K132" i="95" s="1"/>
  <c r="J133" i="95"/>
  <c r="K133" i="95" s="1"/>
  <c r="J134" i="95"/>
  <c r="K134" i="95" s="1"/>
  <c r="J135" i="95"/>
  <c r="K135" i="95" s="1"/>
  <c r="J136" i="95"/>
  <c r="K136" i="95" s="1"/>
  <c r="J137" i="95"/>
  <c r="K137" i="95" s="1"/>
  <c r="J138" i="95"/>
  <c r="J139" i="95"/>
  <c r="K139" i="95" s="1"/>
  <c r="J140" i="95"/>
  <c r="J141" i="95"/>
  <c r="J142" i="95"/>
  <c r="J143" i="95"/>
  <c r="J144" i="95"/>
  <c r="J145" i="95"/>
  <c r="K145" i="95" s="1"/>
  <c r="J146" i="95"/>
  <c r="K146" i="95" s="1"/>
  <c r="J147" i="95"/>
  <c r="K147" i="95" s="1"/>
  <c r="J148" i="95"/>
  <c r="K148" i="95" s="1"/>
  <c r="J149" i="95"/>
  <c r="K149" i="95" s="1"/>
  <c r="J150" i="95"/>
  <c r="K150" i="95" s="1"/>
  <c r="J151" i="95"/>
  <c r="K151" i="95" s="1"/>
  <c r="J152" i="95"/>
  <c r="K152" i="95" s="1"/>
  <c r="J153" i="95"/>
  <c r="K153" i="95" s="1"/>
  <c r="J154" i="95"/>
  <c r="J155" i="95"/>
  <c r="J156" i="95"/>
  <c r="J157" i="95"/>
  <c r="J158" i="95"/>
  <c r="K158" i="95" s="1"/>
  <c r="J159" i="95"/>
  <c r="J160" i="95"/>
  <c r="K160" i="95" s="1"/>
  <c r="J161" i="95"/>
  <c r="K161" i="95" s="1"/>
  <c r="J162" i="95"/>
  <c r="K162" i="95" s="1"/>
  <c r="J163" i="95"/>
  <c r="K163" i="95" s="1"/>
  <c r="J164" i="95"/>
  <c r="K164" i="95" s="1"/>
  <c r="J165" i="95"/>
  <c r="K165" i="95" s="1"/>
  <c r="J166" i="95"/>
  <c r="K166" i="95" s="1"/>
  <c r="J167" i="95"/>
  <c r="K167" i="95" s="1"/>
  <c r="J168" i="95"/>
  <c r="K168" i="95" s="1"/>
  <c r="J169" i="95"/>
  <c r="K169" i="95" s="1"/>
  <c r="J170" i="95"/>
  <c r="K170" i="95" s="1"/>
  <c r="J171" i="95"/>
  <c r="K171" i="95" s="1"/>
  <c r="J172" i="95"/>
  <c r="J173" i="95"/>
  <c r="J174" i="95"/>
  <c r="J175" i="95"/>
  <c r="J176" i="95"/>
  <c r="K176" i="95" s="1"/>
  <c r="J177" i="95"/>
  <c r="K177" i="95" s="1"/>
  <c r="J178" i="95"/>
  <c r="K178" i="95" s="1"/>
  <c r="J179" i="95"/>
  <c r="K179" i="95" s="1"/>
  <c r="J180" i="95"/>
  <c r="K180" i="95" s="1"/>
  <c r="J181" i="95"/>
  <c r="K181" i="95" s="1"/>
  <c r="J182" i="95"/>
  <c r="K182" i="95" s="1"/>
  <c r="J183" i="95"/>
  <c r="K183" i="95" s="1"/>
  <c r="J184" i="95"/>
  <c r="K184" i="95" s="1"/>
  <c r="J185" i="95"/>
  <c r="K185" i="95" s="1"/>
  <c r="J186" i="95"/>
  <c r="J187" i="95"/>
  <c r="J188" i="95"/>
  <c r="J189" i="95"/>
  <c r="J190" i="95"/>
  <c r="J191" i="95"/>
  <c r="J192" i="95"/>
  <c r="J193" i="95"/>
  <c r="J194" i="95"/>
  <c r="J195" i="95"/>
  <c r="J196" i="95"/>
  <c r="K196" i="95" s="1"/>
  <c r="J197" i="95"/>
  <c r="K197" i="95" s="1"/>
  <c r="J198" i="95"/>
  <c r="K198" i="95" s="1"/>
  <c r="J199" i="95"/>
  <c r="K199" i="95" s="1"/>
  <c r="J200" i="95"/>
  <c r="K200" i="95" s="1"/>
  <c r="J201" i="95"/>
  <c r="K201" i="95" s="1"/>
  <c r="J202" i="95"/>
  <c r="K202" i="95" s="1"/>
  <c r="J203" i="95"/>
  <c r="K203" i="95" s="1"/>
  <c r="J204" i="95"/>
  <c r="J205" i="95"/>
  <c r="J206" i="95"/>
  <c r="J207" i="95"/>
  <c r="J208" i="95"/>
  <c r="J209" i="95"/>
  <c r="K209" i="95" s="1"/>
  <c r="J210" i="95"/>
  <c r="K210" i="95" s="1"/>
  <c r="J211" i="95"/>
  <c r="K211" i="95" s="1"/>
  <c r="J212" i="95"/>
  <c r="K212" i="95" s="1"/>
  <c r="J213" i="95"/>
  <c r="K213" i="95" s="1"/>
  <c r="J214" i="95"/>
  <c r="K214" i="95" s="1"/>
  <c r="J215" i="95"/>
  <c r="K215" i="95" s="1"/>
  <c r="J216" i="95"/>
  <c r="K216" i="95" s="1"/>
  <c r="J217" i="95"/>
  <c r="K217" i="95" s="1"/>
  <c r="J218" i="95"/>
  <c r="J219" i="95"/>
  <c r="J220" i="95"/>
  <c r="J221" i="95"/>
  <c r="J222" i="95"/>
  <c r="J223" i="95"/>
  <c r="J224" i="95"/>
  <c r="K224" i="95" s="1"/>
  <c r="J225" i="95"/>
  <c r="K225" i="95" s="1"/>
  <c r="J226" i="95"/>
  <c r="K226" i="95" s="1"/>
  <c r="J227" i="95"/>
  <c r="K227" i="95" s="1"/>
  <c r="J228" i="95"/>
  <c r="K228" i="95" s="1"/>
  <c r="J229" i="95"/>
  <c r="K229" i="95" s="1"/>
  <c r="J230" i="95"/>
  <c r="K230" i="95" s="1"/>
  <c r="J231" i="95"/>
  <c r="K231" i="95" s="1"/>
  <c r="J232" i="95"/>
  <c r="K232" i="95" s="1"/>
  <c r="J233" i="95"/>
  <c r="K233" i="95" s="1"/>
  <c r="J234" i="95"/>
  <c r="K234" i="95" s="1"/>
  <c r="J235" i="95"/>
  <c r="K235" i="95" s="1"/>
  <c r="J236" i="95"/>
  <c r="J237" i="95"/>
  <c r="K237" i="95" s="1"/>
  <c r="J238" i="95"/>
  <c r="K238" i="95" s="1"/>
  <c r="J239" i="95"/>
  <c r="K239" i="95" s="1"/>
  <c r="J240" i="95"/>
  <c r="K240" i="95" s="1"/>
  <c r="J241" i="95"/>
  <c r="K241" i="95" s="1"/>
  <c r="J242" i="95"/>
  <c r="K242" i="95" s="1"/>
  <c r="J243" i="95"/>
  <c r="K243" i="95" s="1"/>
  <c r="J244" i="95"/>
  <c r="K244" i="95" s="1"/>
  <c r="J245" i="95"/>
  <c r="K245" i="95" s="1"/>
  <c r="J246" i="95"/>
  <c r="K246" i="95" s="1"/>
  <c r="J247" i="95"/>
  <c r="K247" i="95" s="1"/>
  <c r="J248" i="95"/>
  <c r="K248" i="95" s="1"/>
  <c r="J249" i="95"/>
  <c r="K249" i="95" s="1"/>
  <c r="J250" i="95"/>
  <c r="J251" i="95"/>
  <c r="J252" i="95"/>
  <c r="J253" i="95"/>
  <c r="J254" i="95"/>
  <c r="J255" i="95"/>
  <c r="J256" i="95"/>
  <c r="J257" i="95"/>
  <c r="K257" i="95" s="1"/>
  <c r="J258" i="95"/>
  <c r="J259" i="95"/>
  <c r="J260" i="95"/>
  <c r="K260" i="95" s="1"/>
  <c r="J261" i="95"/>
  <c r="K261" i="95" s="1"/>
  <c r="J262" i="95"/>
  <c r="K262" i="95" s="1"/>
  <c r="J263" i="95"/>
  <c r="K263" i="95" s="1"/>
  <c r="J264" i="95"/>
  <c r="K264" i="95" s="1"/>
  <c r="J265" i="95"/>
  <c r="K265" i="95" s="1"/>
  <c r="J266" i="95"/>
  <c r="K266" i="95" s="1"/>
  <c r="J267" i="95"/>
  <c r="K267" i="95" s="1"/>
  <c r="J268" i="95"/>
  <c r="J269" i="95"/>
  <c r="J270" i="95"/>
  <c r="J271" i="95"/>
  <c r="J272" i="95"/>
  <c r="J273" i="95"/>
  <c r="K273" i="95" s="1"/>
  <c r="J274" i="95"/>
  <c r="K274" i="95" s="1"/>
  <c r="J275" i="95"/>
  <c r="K275" i="95" s="1"/>
  <c r="J276" i="95"/>
  <c r="K276" i="95" s="1"/>
  <c r="J277" i="95"/>
  <c r="K277" i="95" s="1"/>
  <c r="J278" i="95"/>
  <c r="K278" i="95" s="1"/>
  <c r="J279" i="95"/>
  <c r="K279" i="95" s="1"/>
  <c r="J280" i="95"/>
  <c r="K280" i="95" s="1"/>
  <c r="J281" i="95"/>
  <c r="K281" i="95" s="1"/>
  <c r="J282" i="95"/>
  <c r="J283" i="95"/>
  <c r="J284" i="95"/>
  <c r="J285" i="95"/>
  <c r="J286" i="95"/>
  <c r="J287" i="95"/>
  <c r="J288" i="95"/>
  <c r="K288" i="95" s="1"/>
  <c r="J289" i="95"/>
  <c r="K289" i="95" s="1"/>
  <c r="J290" i="95"/>
  <c r="K290" i="95" s="1"/>
  <c r="J291" i="95"/>
  <c r="K291" i="95" s="1"/>
  <c r="J292" i="95"/>
  <c r="K292" i="95" s="1"/>
  <c r="J293" i="95"/>
  <c r="K293" i="95" s="1"/>
  <c r="J294" i="95"/>
  <c r="K294" i="95" s="1"/>
  <c r="J295" i="95"/>
  <c r="K295" i="95" s="1"/>
  <c r="J296" i="95"/>
  <c r="K296" i="95" s="1"/>
  <c r="J297" i="95"/>
  <c r="K297" i="95" s="1"/>
  <c r="J298" i="95"/>
  <c r="K298" i="95" s="1"/>
  <c r="J299" i="95"/>
  <c r="K299" i="95" s="1"/>
  <c r="J300" i="95"/>
  <c r="J301" i="95"/>
  <c r="J302" i="95"/>
  <c r="K302" i="95" s="1"/>
  <c r="J303" i="95"/>
  <c r="K303" i="95" s="1"/>
  <c r="J304" i="95"/>
  <c r="K304" i="95" s="1"/>
  <c r="J305" i="95"/>
  <c r="K305" i="95" s="1"/>
  <c r="J306" i="95"/>
  <c r="K306" i="95" s="1"/>
  <c r="J307" i="95"/>
  <c r="K307" i="95" s="1"/>
  <c r="J308" i="95"/>
  <c r="K308" i="95" s="1"/>
  <c r="J309" i="95"/>
  <c r="K309" i="95" s="1"/>
  <c r="J310" i="95"/>
  <c r="K310" i="95" s="1"/>
  <c r="J311" i="95"/>
  <c r="K311" i="95" s="1"/>
  <c r="J312" i="95"/>
  <c r="K312" i="95" s="1"/>
  <c r="J313" i="95"/>
  <c r="K313" i="95" s="1"/>
  <c r="J314" i="95"/>
  <c r="J315" i="95"/>
  <c r="J316" i="95"/>
  <c r="J317" i="95"/>
  <c r="J318" i="95"/>
  <c r="J319" i="95"/>
  <c r="J320" i="95"/>
  <c r="J321" i="95"/>
  <c r="J322" i="95"/>
  <c r="J323" i="95"/>
  <c r="J324" i="95"/>
  <c r="K324" i="95" s="1"/>
  <c r="J325" i="95"/>
  <c r="K325" i="95" s="1"/>
  <c r="J326" i="95"/>
  <c r="K326" i="95" s="1"/>
  <c r="J327" i="95"/>
  <c r="K327" i="95" s="1"/>
  <c r="J328" i="95"/>
  <c r="K328" i="95" s="1"/>
  <c r="J329" i="95"/>
  <c r="K329" i="95" s="1"/>
  <c r="J330" i="95"/>
  <c r="K330" i="95" s="1"/>
  <c r="J331" i="95"/>
  <c r="K331" i="95" s="1"/>
  <c r="J332" i="95"/>
  <c r="J333" i="95"/>
  <c r="J334" i="95"/>
  <c r="J335" i="95"/>
  <c r="J336" i="95"/>
  <c r="J337" i="95"/>
  <c r="K337" i="95" s="1"/>
  <c r="J338" i="95"/>
  <c r="K338" i="95" s="1"/>
  <c r="J339" i="95"/>
  <c r="K339" i="95" s="1"/>
  <c r="J340" i="95"/>
  <c r="K340" i="95" s="1"/>
  <c r="J341" i="95"/>
  <c r="K341" i="95" s="1"/>
  <c r="J342" i="95"/>
  <c r="K342" i="95" s="1"/>
  <c r="J343" i="95"/>
  <c r="K343" i="95" s="1"/>
  <c r="J344" i="95"/>
  <c r="K344" i="95" s="1"/>
  <c r="J345" i="95"/>
  <c r="K345" i="95" s="1"/>
  <c r="J346" i="95"/>
  <c r="J347" i="95"/>
  <c r="J348" i="95"/>
  <c r="J349" i="95"/>
  <c r="J350" i="95"/>
  <c r="J351" i="95"/>
  <c r="J352" i="95"/>
  <c r="K352" i="95" s="1"/>
  <c r="J353" i="95"/>
  <c r="K353" i="95" s="1"/>
  <c r="J354" i="95"/>
  <c r="K354" i="95" s="1"/>
  <c r="J355" i="95"/>
  <c r="K355" i="95" s="1"/>
  <c r="J356" i="95"/>
  <c r="K356" i="95" s="1"/>
  <c r="J357" i="95"/>
  <c r="K357" i="95" s="1"/>
  <c r="J358" i="95"/>
  <c r="K358" i="95" s="1"/>
  <c r="J359" i="95"/>
  <c r="K359" i="95" s="1"/>
  <c r="J360" i="95"/>
  <c r="K360" i="95" s="1"/>
  <c r="J361" i="95"/>
  <c r="K361" i="95" s="1"/>
  <c r="J362" i="95"/>
  <c r="K362" i="95" s="1"/>
  <c r="J363" i="95"/>
  <c r="K363" i="95" s="1"/>
  <c r="J364" i="95"/>
  <c r="K364" i="95" s="1"/>
  <c r="J365" i="95"/>
  <c r="K365" i="95" s="1"/>
  <c r="J366" i="95"/>
  <c r="K366" i="95" s="1"/>
  <c r="J367" i="95"/>
  <c r="K367" i="95" s="1"/>
  <c r="J368" i="95"/>
  <c r="K368" i="95" s="1"/>
  <c r="J369" i="95"/>
  <c r="K369" i="95" s="1"/>
  <c r="J370" i="95"/>
  <c r="K370" i="95" s="1"/>
  <c r="J371" i="95"/>
  <c r="K371" i="95" s="1"/>
  <c r="J372" i="95"/>
  <c r="K372" i="95" s="1"/>
  <c r="J373" i="95"/>
  <c r="K373" i="95" s="1"/>
  <c r="J374" i="95"/>
  <c r="K374" i="95" s="1"/>
  <c r="J375" i="95"/>
  <c r="K375" i="95" s="1"/>
  <c r="J376" i="95"/>
  <c r="K376" i="95" s="1"/>
  <c r="J377" i="95"/>
  <c r="K377" i="95" s="1"/>
  <c r="J378" i="95"/>
  <c r="J379" i="95"/>
  <c r="J380" i="95"/>
  <c r="J381" i="95"/>
  <c r="J382" i="95"/>
  <c r="J383" i="95"/>
  <c r="J384" i="95"/>
  <c r="J385" i="95"/>
  <c r="J386" i="95"/>
  <c r="K386" i="95" s="1"/>
  <c r="J387" i="95"/>
  <c r="K387" i="95" s="1"/>
  <c r="J388" i="95"/>
  <c r="K388" i="95" s="1"/>
  <c r="J389" i="95"/>
  <c r="K389" i="95" s="1"/>
  <c r="J390" i="95"/>
  <c r="K390" i="95" s="1"/>
  <c r="J391" i="95"/>
  <c r="K391" i="95" s="1"/>
  <c r="J392" i="95"/>
  <c r="K392" i="95" s="1"/>
  <c r="J393" i="95"/>
  <c r="K393" i="95" s="1"/>
  <c r="J394" i="95"/>
  <c r="K394" i="95" s="1"/>
  <c r="J395" i="95"/>
  <c r="K395" i="95" s="1"/>
  <c r="J396" i="95"/>
  <c r="J397" i="95"/>
  <c r="J398" i="95"/>
  <c r="J399" i="95"/>
  <c r="J400" i="95"/>
  <c r="J401" i="95"/>
  <c r="J402" i="95"/>
  <c r="K402" i="95" s="1"/>
  <c r="J403" i="95"/>
  <c r="K403" i="95" s="1"/>
  <c r="J404" i="95"/>
  <c r="K404" i="95" s="1"/>
  <c r="J405" i="95"/>
  <c r="K405" i="95" s="1"/>
  <c r="J406" i="95"/>
  <c r="K406" i="95" s="1"/>
  <c r="J407" i="95"/>
  <c r="K407" i="95" s="1"/>
  <c r="J408" i="95"/>
  <c r="K408" i="95" s="1"/>
  <c r="J409" i="95"/>
  <c r="K409" i="95" s="1"/>
  <c r="J410" i="95"/>
  <c r="J411" i="95"/>
  <c r="J412" i="95"/>
  <c r="J413" i="95"/>
  <c r="J414" i="95"/>
  <c r="J415" i="95"/>
  <c r="J416" i="95"/>
  <c r="K416" i="95" s="1"/>
  <c r="J417" i="95"/>
  <c r="K417" i="95" s="1"/>
  <c r="J418" i="95"/>
  <c r="K418" i="95" s="1"/>
  <c r="J419" i="95"/>
  <c r="K419" i="95" s="1"/>
  <c r="J420" i="95"/>
  <c r="K420" i="95" s="1"/>
  <c r="J421" i="95"/>
  <c r="K421" i="95" s="1"/>
  <c r="J422" i="95"/>
  <c r="K422" i="95" s="1"/>
  <c r="J423" i="95"/>
  <c r="K423" i="95" s="1"/>
  <c r="J424" i="95"/>
  <c r="K424" i="95" s="1"/>
  <c r="J425" i="95"/>
  <c r="K425" i="95" s="1"/>
  <c r="K2" i="95"/>
  <c r="K3" i="95"/>
  <c r="K12" i="95"/>
  <c r="K13" i="95"/>
  <c r="K14" i="95"/>
  <c r="K15" i="95"/>
  <c r="K16" i="95"/>
  <c r="K17" i="95"/>
  <c r="K26" i="95"/>
  <c r="K27" i="95"/>
  <c r="K28" i="95"/>
  <c r="K29" i="95"/>
  <c r="K30" i="95"/>
  <c r="K31" i="95"/>
  <c r="K32" i="95"/>
  <c r="K58" i="95"/>
  <c r="K59" i="95"/>
  <c r="K60" i="95"/>
  <c r="K61" i="95"/>
  <c r="K62" i="95"/>
  <c r="K63" i="95"/>
  <c r="K64" i="95"/>
  <c r="K65" i="95"/>
  <c r="K66" i="95"/>
  <c r="K76" i="95"/>
  <c r="K77" i="95"/>
  <c r="K78" i="95"/>
  <c r="K79" i="95"/>
  <c r="K80" i="95"/>
  <c r="K90" i="95"/>
  <c r="K91" i="95"/>
  <c r="K92" i="95"/>
  <c r="K93" i="95"/>
  <c r="K94" i="95"/>
  <c r="K95" i="95"/>
  <c r="K108" i="95"/>
  <c r="K109" i="95"/>
  <c r="K122" i="95"/>
  <c r="K123" i="95"/>
  <c r="K124" i="95"/>
  <c r="K125" i="95"/>
  <c r="K126" i="95"/>
  <c r="K127" i="95"/>
  <c r="K129" i="95"/>
  <c r="K130" i="95"/>
  <c r="K131" i="95"/>
  <c r="K138" i="95"/>
  <c r="K140" i="95"/>
  <c r="K141" i="95"/>
  <c r="K142" i="95"/>
  <c r="K143" i="95"/>
  <c r="K144" i="95"/>
  <c r="K154" i="95"/>
  <c r="K155" i="95"/>
  <c r="K156" i="95"/>
  <c r="K157" i="95"/>
  <c r="K159" i="95"/>
  <c r="K172" i="95"/>
  <c r="K173" i="95"/>
  <c r="K174" i="95"/>
  <c r="K175" i="95"/>
  <c r="K186" i="95"/>
  <c r="K187" i="95"/>
  <c r="K188" i="95"/>
  <c r="K189" i="95"/>
  <c r="K190" i="95"/>
  <c r="K191" i="95"/>
  <c r="K192" i="95"/>
  <c r="K193" i="95"/>
  <c r="K194" i="95"/>
  <c r="K195" i="95"/>
  <c r="K204" i="95"/>
  <c r="K205" i="95"/>
  <c r="K206" i="95"/>
  <c r="K207" i="95"/>
  <c r="K208" i="95"/>
  <c r="K218" i="95"/>
  <c r="K220" i="95"/>
  <c r="K223" i="95"/>
  <c r="K236" i="95"/>
  <c r="K250" i="95"/>
  <c r="K251" i="95"/>
  <c r="K252" i="95"/>
  <c r="K253" i="95"/>
  <c r="K254" i="95"/>
  <c r="K255" i="95"/>
  <c r="K258" i="95"/>
  <c r="K259" i="95"/>
  <c r="K268" i="95"/>
  <c r="K269" i="95"/>
  <c r="K270" i="95"/>
  <c r="K271" i="95"/>
  <c r="K272" i="95"/>
  <c r="K282" i="95"/>
  <c r="K283" i="95"/>
  <c r="K284" i="95"/>
  <c r="K285" i="95"/>
  <c r="K286" i="95"/>
  <c r="K287" i="95"/>
  <c r="K300" i="95"/>
  <c r="K301" i="95"/>
  <c r="K314" i="95"/>
  <c r="K315" i="95"/>
  <c r="K316" i="95"/>
  <c r="K317" i="95"/>
  <c r="K322" i="95"/>
  <c r="K323" i="95"/>
  <c r="K332" i="95"/>
  <c r="K333" i="95"/>
  <c r="K334" i="95"/>
  <c r="K335" i="95"/>
  <c r="K336" i="95"/>
  <c r="K346" i="95"/>
  <c r="K347" i="95"/>
  <c r="K348" i="95"/>
  <c r="K349" i="95"/>
  <c r="K350" i="95"/>
  <c r="K351" i="95"/>
  <c r="K378" i="95"/>
  <c r="K379" i="95"/>
  <c r="K380" i="95"/>
  <c r="K381" i="95"/>
  <c r="K382" i="95"/>
  <c r="K383" i="95"/>
  <c r="K384" i="95"/>
  <c r="K385" i="95"/>
  <c r="K396" i="95"/>
  <c r="K397" i="95"/>
  <c r="K398" i="95"/>
  <c r="K399" i="95"/>
  <c r="K400" i="95"/>
  <c r="K401" i="95"/>
  <c r="K410" i="95"/>
  <c r="K411" i="95"/>
  <c r="K412" i="95"/>
  <c r="K413" i="95"/>
  <c r="K414" i="95"/>
  <c r="K415" i="95"/>
  <c r="L2" i="95"/>
  <c r="M2" i="95" s="1"/>
  <c r="L3" i="95"/>
  <c r="M3" i="95" s="1"/>
  <c r="L4" i="95"/>
  <c r="M4" i="95" s="1"/>
  <c r="L5" i="95"/>
  <c r="M5" i="95" s="1"/>
  <c r="L6" i="95"/>
  <c r="M6" i="95" s="1"/>
  <c r="L7" i="95"/>
  <c r="M7" i="95" s="1"/>
  <c r="L8" i="95"/>
  <c r="M8" i="95" s="1"/>
  <c r="L9" i="95"/>
  <c r="M9" i="95" s="1"/>
  <c r="L10" i="95"/>
  <c r="M10" i="95" s="1"/>
  <c r="L11" i="95"/>
  <c r="L12" i="95"/>
  <c r="L13" i="95"/>
  <c r="L14" i="95"/>
  <c r="L15" i="95"/>
  <c r="L16" i="95"/>
  <c r="L17" i="95"/>
  <c r="L18" i="95"/>
  <c r="L19" i="95"/>
  <c r="L20" i="95"/>
  <c r="M20" i="95" s="1"/>
  <c r="L21" i="95"/>
  <c r="M21" i="95" s="1"/>
  <c r="L22" i="95"/>
  <c r="M22" i="95" s="1"/>
  <c r="L23" i="95"/>
  <c r="M23" i="95" s="1"/>
  <c r="L24" i="95"/>
  <c r="M24" i="95" s="1"/>
  <c r="L25" i="95"/>
  <c r="M25" i="95" s="1"/>
  <c r="L26" i="95"/>
  <c r="M26" i="95" s="1"/>
  <c r="L27" i="95"/>
  <c r="M27" i="95" s="1"/>
  <c r="L28" i="95"/>
  <c r="M28" i="95" s="1"/>
  <c r="L29" i="95"/>
  <c r="L30" i="95"/>
  <c r="L31" i="95"/>
  <c r="L32" i="95"/>
  <c r="L33" i="95"/>
  <c r="M33" i="95" s="1"/>
  <c r="L34" i="95"/>
  <c r="M34" i="95" s="1"/>
  <c r="L35" i="95"/>
  <c r="M35" i="95" s="1"/>
  <c r="L36" i="95"/>
  <c r="M36" i="95" s="1"/>
  <c r="L37" i="95"/>
  <c r="M37" i="95" s="1"/>
  <c r="L38" i="95"/>
  <c r="M38" i="95" s="1"/>
  <c r="L39" i="95"/>
  <c r="M39" i="95" s="1"/>
  <c r="L40" i="95"/>
  <c r="M40" i="95" s="1"/>
  <c r="L41" i="95"/>
  <c r="M41" i="95" s="1"/>
  <c r="L42" i="95"/>
  <c r="L43" i="95"/>
  <c r="L44" i="95"/>
  <c r="L45" i="95"/>
  <c r="L46" i="95"/>
  <c r="M46" i="95" s="1"/>
  <c r="L47" i="95"/>
  <c r="M47" i="95" s="1"/>
  <c r="L48" i="95"/>
  <c r="M48" i="95" s="1"/>
  <c r="L49" i="95"/>
  <c r="M49" i="95" s="1"/>
  <c r="L50" i="95"/>
  <c r="M50" i="95" s="1"/>
  <c r="L51" i="95"/>
  <c r="M51" i="95" s="1"/>
  <c r="L52" i="95"/>
  <c r="M52" i="95" s="1"/>
  <c r="L53" i="95"/>
  <c r="M53" i="95" s="1"/>
  <c r="L54" i="95"/>
  <c r="M54" i="95" s="1"/>
  <c r="L55" i="95"/>
  <c r="M55" i="95" s="1"/>
  <c r="L56" i="95"/>
  <c r="M56" i="95" s="1"/>
  <c r="L57" i="95"/>
  <c r="M57" i="95" s="1"/>
  <c r="L58" i="95"/>
  <c r="M58" i="95" s="1"/>
  <c r="L59" i="95"/>
  <c r="M59" i="95" s="1"/>
  <c r="L60" i="95"/>
  <c r="M60" i="95" s="1"/>
  <c r="L61" i="95"/>
  <c r="L62" i="95"/>
  <c r="L63" i="95"/>
  <c r="L64" i="95"/>
  <c r="L65" i="95"/>
  <c r="L66" i="95"/>
  <c r="M66" i="95" s="1"/>
  <c r="L67" i="95"/>
  <c r="M67" i="95" s="1"/>
  <c r="L68" i="95"/>
  <c r="M68" i="95" s="1"/>
  <c r="L69" i="95"/>
  <c r="M69" i="95" s="1"/>
  <c r="L70" i="95"/>
  <c r="M70" i="95" s="1"/>
  <c r="L71" i="95"/>
  <c r="M71" i="95" s="1"/>
  <c r="L72" i="95"/>
  <c r="M72" i="95" s="1"/>
  <c r="L73" i="95"/>
  <c r="M73" i="95" s="1"/>
  <c r="L74" i="95"/>
  <c r="M74" i="95" s="1"/>
  <c r="L75" i="95"/>
  <c r="M75" i="95" s="1"/>
  <c r="L76" i="95"/>
  <c r="M76" i="95" s="1"/>
  <c r="L77" i="95"/>
  <c r="M77" i="95" s="1"/>
  <c r="L78" i="95"/>
  <c r="M78" i="95" s="1"/>
  <c r="L79" i="95"/>
  <c r="L80" i="95"/>
  <c r="M80" i="95" s="1"/>
  <c r="L81" i="95"/>
  <c r="M81" i="95" s="1"/>
  <c r="L82" i="95"/>
  <c r="M82" i="95" s="1"/>
  <c r="L83" i="95"/>
  <c r="M83" i="95" s="1"/>
  <c r="L84" i="95"/>
  <c r="M84" i="95" s="1"/>
  <c r="L85" i="95"/>
  <c r="M85" i="95" s="1"/>
  <c r="L86" i="95"/>
  <c r="M86" i="95" s="1"/>
  <c r="L87" i="95"/>
  <c r="M87" i="95" s="1"/>
  <c r="L88" i="95"/>
  <c r="M88" i="95" s="1"/>
  <c r="L89" i="95"/>
  <c r="M89" i="95" s="1"/>
  <c r="L90" i="95"/>
  <c r="M90" i="95" s="1"/>
  <c r="L91" i="95"/>
  <c r="M91" i="95" s="1"/>
  <c r="L92" i="95"/>
  <c r="M92" i="95" s="1"/>
  <c r="L93" i="95"/>
  <c r="L94" i="95"/>
  <c r="L95" i="95"/>
  <c r="L96" i="95"/>
  <c r="L97" i="95"/>
  <c r="L98" i="95"/>
  <c r="M98" i="95" s="1"/>
  <c r="L99" i="95"/>
  <c r="M99" i="95" s="1"/>
  <c r="L100" i="95"/>
  <c r="M100" i="95" s="1"/>
  <c r="L101" i="95"/>
  <c r="M101" i="95" s="1"/>
  <c r="L102" i="95"/>
  <c r="M102" i="95" s="1"/>
  <c r="L103" i="95"/>
  <c r="M103" i="95" s="1"/>
  <c r="L104" i="95"/>
  <c r="M104" i="95" s="1"/>
  <c r="L105" i="95"/>
  <c r="M105" i="95" s="1"/>
  <c r="L106" i="95"/>
  <c r="L107" i="95"/>
  <c r="L108" i="95"/>
  <c r="M108" i="95" s="1"/>
  <c r="L109" i="95"/>
  <c r="M109" i="95" s="1"/>
  <c r="L110" i="95"/>
  <c r="M110" i="95" s="1"/>
  <c r="L111" i="95"/>
  <c r="M111" i="95" s="1"/>
  <c r="L112" i="95"/>
  <c r="M112" i="95" s="1"/>
  <c r="L113" i="95"/>
  <c r="M113" i="95" s="1"/>
  <c r="L114" i="95"/>
  <c r="M114" i="95" s="1"/>
  <c r="L115" i="95"/>
  <c r="M115" i="95" s="1"/>
  <c r="L116" i="95"/>
  <c r="M116" i="95" s="1"/>
  <c r="L117" i="95"/>
  <c r="M117" i="95" s="1"/>
  <c r="L118" i="95"/>
  <c r="M118" i="95" s="1"/>
  <c r="L119" i="95"/>
  <c r="M119" i="95" s="1"/>
  <c r="L120" i="95"/>
  <c r="M120" i="95" s="1"/>
  <c r="L121" i="95"/>
  <c r="M121" i="95" s="1"/>
  <c r="L122" i="95"/>
  <c r="M122" i="95" s="1"/>
  <c r="L123" i="95"/>
  <c r="M123" i="95" s="1"/>
  <c r="L124" i="95"/>
  <c r="M124" i="95" s="1"/>
  <c r="L125" i="95"/>
  <c r="L126" i="95"/>
  <c r="L127" i="95"/>
  <c r="L128" i="95"/>
  <c r="L129" i="95"/>
  <c r="L130" i="95"/>
  <c r="M130" i="95" s="1"/>
  <c r="L131" i="95"/>
  <c r="M131" i="95" s="1"/>
  <c r="L132" i="95"/>
  <c r="M132" i="95" s="1"/>
  <c r="L133" i="95"/>
  <c r="M133" i="95" s="1"/>
  <c r="L134" i="95"/>
  <c r="M134" i="95" s="1"/>
  <c r="L135" i="95"/>
  <c r="M135" i="95" s="1"/>
  <c r="L136" i="95"/>
  <c r="M136" i="95" s="1"/>
  <c r="L137" i="95"/>
  <c r="M137" i="95" s="1"/>
  <c r="L138" i="95"/>
  <c r="L139" i="95"/>
  <c r="L140" i="95"/>
  <c r="L141" i="95"/>
  <c r="L142" i="95"/>
  <c r="M142" i="95" s="1"/>
  <c r="L143" i="95"/>
  <c r="L144" i="95"/>
  <c r="L145" i="95"/>
  <c r="L146" i="95"/>
  <c r="L147" i="95"/>
  <c r="L148" i="95"/>
  <c r="M148" i="95" s="1"/>
  <c r="L149" i="95"/>
  <c r="M149" i="95" s="1"/>
  <c r="L150" i="95"/>
  <c r="M150" i="95" s="1"/>
  <c r="L151" i="95"/>
  <c r="M151" i="95" s="1"/>
  <c r="L152" i="95"/>
  <c r="M152" i="95" s="1"/>
  <c r="L153" i="95"/>
  <c r="M153" i="95" s="1"/>
  <c r="L154" i="95"/>
  <c r="M154" i="95" s="1"/>
  <c r="L155" i="95"/>
  <c r="M155" i="95" s="1"/>
  <c r="L156" i="95"/>
  <c r="M156" i="95" s="1"/>
  <c r="L157" i="95"/>
  <c r="L158" i="95"/>
  <c r="L159" i="95"/>
  <c r="L160" i="95"/>
  <c r="L161" i="95"/>
  <c r="L162" i="95"/>
  <c r="M162" i="95" s="1"/>
  <c r="L163" i="95"/>
  <c r="M163" i="95" s="1"/>
  <c r="L164" i="95"/>
  <c r="M164" i="95" s="1"/>
  <c r="L165" i="95"/>
  <c r="M165" i="95" s="1"/>
  <c r="L166" i="95"/>
  <c r="M166" i="95" s="1"/>
  <c r="L167" i="95"/>
  <c r="M167" i="95" s="1"/>
  <c r="L168" i="95"/>
  <c r="M168" i="95" s="1"/>
  <c r="L169" i="95"/>
  <c r="M169" i="95" s="1"/>
  <c r="L170" i="95"/>
  <c r="L171" i="95"/>
  <c r="L172" i="95"/>
  <c r="M172" i="95" s="1"/>
  <c r="L173" i="95"/>
  <c r="M173" i="95" s="1"/>
  <c r="L174" i="95"/>
  <c r="M174" i="95" s="1"/>
  <c r="L175" i="95"/>
  <c r="M175" i="95" s="1"/>
  <c r="L176" i="95"/>
  <c r="M176" i="95" s="1"/>
  <c r="L177" i="95"/>
  <c r="M177" i="95" s="1"/>
  <c r="L178" i="95"/>
  <c r="M178" i="95" s="1"/>
  <c r="L179" i="95"/>
  <c r="M179" i="95" s="1"/>
  <c r="L180" i="95"/>
  <c r="M180" i="95" s="1"/>
  <c r="L181" i="95"/>
  <c r="M181" i="95" s="1"/>
  <c r="L182" i="95"/>
  <c r="M182" i="95" s="1"/>
  <c r="L183" i="95"/>
  <c r="M183" i="95" s="1"/>
  <c r="L184" i="95"/>
  <c r="M184" i="95" s="1"/>
  <c r="L185" i="95"/>
  <c r="M185" i="95" s="1"/>
  <c r="L186" i="95"/>
  <c r="M186" i="95" s="1"/>
  <c r="L187" i="95"/>
  <c r="M187" i="95" s="1"/>
  <c r="L188" i="95"/>
  <c r="M188" i="95" s="1"/>
  <c r="L189" i="95"/>
  <c r="L190" i="95"/>
  <c r="L191" i="95"/>
  <c r="L192" i="95"/>
  <c r="L193" i="95"/>
  <c r="M193" i="95" s="1"/>
  <c r="L194" i="95"/>
  <c r="M194" i="95" s="1"/>
  <c r="L195" i="95"/>
  <c r="M195" i="95" s="1"/>
  <c r="L196" i="95"/>
  <c r="M196" i="95" s="1"/>
  <c r="L197" i="95"/>
  <c r="M197" i="95" s="1"/>
  <c r="L198" i="95"/>
  <c r="M198" i="95" s="1"/>
  <c r="L199" i="95"/>
  <c r="M199" i="95" s="1"/>
  <c r="L200" i="95"/>
  <c r="M200" i="95" s="1"/>
  <c r="L201" i="95"/>
  <c r="M201" i="95" s="1"/>
  <c r="L202" i="95"/>
  <c r="L203" i="95"/>
  <c r="L204" i="95"/>
  <c r="L205" i="95"/>
  <c r="L206" i="95"/>
  <c r="L207" i="95"/>
  <c r="L208" i="95"/>
  <c r="L209" i="95"/>
  <c r="L210" i="95"/>
  <c r="L211" i="95"/>
  <c r="L212" i="95"/>
  <c r="M212" i="95" s="1"/>
  <c r="L213" i="95"/>
  <c r="M213" i="95" s="1"/>
  <c r="L214" i="95"/>
  <c r="M214" i="95" s="1"/>
  <c r="L215" i="95"/>
  <c r="M215" i="95" s="1"/>
  <c r="L216" i="95"/>
  <c r="M216" i="95" s="1"/>
  <c r="L217" i="95"/>
  <c r="M217" i="95" s="1"/>
  <c r="L218" i="95"/>
  <c r="M218" i="95" s="1"/>
  <c r="L219" i="95"/>
  <c r="M219" i="95" s="1"/>
  <c r="L220" i="95"/>
  <c r="M220" i="95" s="1"/>
  <c r="L221" i="95"/>
  <c r="L222" i="95"/>
  <c r="L223" i="95"/>
  <c r="L224" i="95"/>
  <c r="L225" i="95"/>
  <c r="L226" i="95"/>
  <c r="M226" i="95" s="1"/>
  <c r="L227" i="95"/>
  <c r="M227" i="95" s="1"/>
  <c r="L228" i="95"/>
  <c r="M228" i="95" s="1"/>
  <c r="L229" i="95"/>
  <c r="M229" i="95" s="1"/>
  <c r="L230" i="95"/>
  <c r="M230" i="95" s="1"/>
  <c r="L231" i="95"/>
  <c r="M231" i="95" s="1"/>
  <c r="L232" i="95"/>
  <c r="M232" i="95" s="1"/>
  <c r="L233" i="95"/>
  <c r="M233" i="95" s="1"/>
  <c r="L234" i="95"/>
  <c r="L235" i="95"/>
  <c r="L236" i="95"/>
  <c r="L237" i="95"/>
  <c r="M237" i="95" s="1"/>
  <c r="L238" i="95"/>
  <c r="M238" i="95" s="1"/>
  <c r="L239" i="95"/>
  <c r="M239" i="95" s="1"/>
  <c r="L240" i="95"/>
  <c r="M240" i="95" s="1"/>
  <c r="L241" i="95"/>
  <c r="M241" i="95" s="1"/>
  <c r="L242" i="95"/>
  <c r="M242" i="95" s="1"/>
  <c r="L243" i="95"/>
  <c r="M243" i="95" s="1"/>
  <c r="L244" i="95"/>
  <c r="M244" i="95" s="1"/>
  <c r="L245" i="95"/>
  <c r="M245" i="95" s="1"/>
  <c r="L246" i="95"/>
  <c r="M246" i="95" s="1"/>
  <c r="L247" i="95"/>
  <c r="M247" i="95" s="1"/>
  <c r="L248" i="95"/>
  <c r="M248" i="95" s="1"/>
  <c r="L249" i="95"/>
  <c r="M249" i="95" s="1"/>
  <c r="L250" i="95"/>
  <c r="M250" i="95" s="1"/>
  <c r="L251" i="95"/>
  <c r="M251" i="95" s="1"/>
  <c r="L252" i="95"/>
  <c r="M252" i="95" s="1"/>
  <c r="L253" i="95"/>
  <c r="L254" i="95"/>
  <c r="L255" i="95"/>
  <c r="L256" i="95"/>
  <c r="L257" i="95"/>
  <c r="L258" i="95"/>
  <c r="M258" i="95" s="1"/>
  <c r="L259" i="95"/>
  <c r="M259" i="95" s="1"/>
  <c r="L260" i="95"/>
  <c r="M260" i="95" s="1"/>
  <c r="L261" i="95"/>
  <c r="M261" i="95" s="1"/>
  <c r="L262" i="95"/>
  <c r="M262" i="95" s="1"/>
  <c r="L263" i="95"/>
  <c r="M263" i="95" s="1"/>
  <c r="L264" i="95"/>
  <c r="M264" i="95" s="1"/>
  <c r="L265" i="95"/>
  <c r="M265" i="95" s="1"/>
  <c r="L266" i="95"/>
  <c r="L267" i="95"/>
  <c r="L268" i="95"/>
  <c r="L269" i="95"/>
  <c r="L270" i="95"/>
  <c r="L271" i="95"/>
  <c r="L272" i="95"/>
  <c r="L273" i="95"/>
  <c r="L274" i="95"/>
  <c r="L275" i="95"/>
  <c r="L276" i="95"/>
  <c r="M276" i="95" s="1"/>
  <c r="L277" i="95"/>
  <c r="M277" i="95" s="1"/>
  <c r="L278" i="95"/>
  <c r="M278" i="95" s="1"/>
  <c r="L279" i="95"/>
  <c r="M279" i="95" s="1"/>
  <c r="L280" i="95"/>
  <c r="M280" i="95" s="1"/>
  <c r="L281" i="95"/>
  <c r="M281" i="95" s="1"/>
  <c r="L282" i="95"/>
  <c r="M282" i="95" s="1"/>
  <c r="L283" i="95"/>
  <c r="M283" i="95" s="1"/>
  <c r="L284" i="95"/>
  <c r="M284" i="95" s="1"/>
  <c r="L285" i="95"/>
  <c r="L286" i="95"/>
  <c r="L287" i="95"/>
  <c r="L288" i="95"/>
  <c r="L289" i="95"/>
  <c r="L290" i="95"/>
  <c r="M290" i="95" s="1"/>
  <c r="L291" i="95"/>
  <c r="M291" i="95" s="1"/>
  <c r="L292" i="95"/>
  <c r="M292" i="95" s="1"/>
  <c r="L293" i="95"/>
  <c r="M293" i="95" s="1"/>
  <c r="L294" i="95"/>
  <c r="M294" i="95" s="1"/>
  <c r="L295" i="95"/>
  <c r="M295" i="95" s="1"/>
  <c r="L296" i="95"/>
  <c r="M296" i="95" s="1"/>
  <c r="L297" i="95"/>
  <c r="M297" i="95" s="1"/>
  <c r="L298" i="95"/>
  <c r="L299" i="95"/>
  <c r="L300" i="95"/>
  <c r="L301" i="95"/>
  <c r="M301" i="95" s="1"/>
  <c r="L302" i="95"/>
  <c r="M302" i="95" s="1"/>
  <c r="L303" i="95"/>
  <c r="M303" i="95" s="1"/>
  <c r="L304" i="95"/>
  <c r="M304" i="95" s="1"/>
  <c r="L305" i="95"/>
  <c r="M305" i="95" s="1"/>
  <c r="L306" i="95"/>
  <c r="M306" i="95" s="1"/>
  <c r="L307" i="95"/>
  <c r="M307" i="95" s="1"/>
  <c r="L308" i="95"/>
  <c r="M308" i="95" s="1"/>
  <c r="L309" i="95"/>
  <c r="M309" i="95" s="1"/>
  <c r="L310" i="95"/>
  <c r="M310" i="95" s="1"/>
  <c r="L311" i="95"/>
  <c r="M311" i="95" s="1"/>
  <c r="L312" i="95"/>
  <c r="M312" i="95" s="1"/>
  <c r="L313" i="95"/>
  <c r="M313" i="95" s="1"/>
  <c r="L314" i="95"/>
  <c r="M314" i="95" s="1"/>
  <c r="L315" i="95"/>
  <c r="M315" i="95" s="1"/>
  <c r="L316" i="95"/>
  <c r="M316" i="95" s="1"/>
  <c r="L317" i="95"/>
  <c r="L318" i="95"/>
  <c r="L319" i="95"/>
  <c r="L320" i="95"/>
  <c r="L321" i="95"/>
  <c r="L322" i="95"/>
  <c r="M322" i="95" s="1"/>
  <c r="L323" i="95"/>
  <c r="M323" i="95" s="1"/>
  <c r="L324" i="95"/>
  <c r="M324" i="95" s="1"/>
  <c r="L325" i="95"/>
  <c r="M325" i="95" s="1"/>
  <c r="L326" i="95"/>
  <c r="M326" i="95" s="1"/>
  <c r="L327" i="95"/>
  <c r="M327" i="95" s="1"/>
  <c r="L328" i="95"/>
  <c r="M328" i="95" s="1"/>
  <c r="L329" i="95"/>
  <c r="M329" i="95" s="1"/>
  <c r="L330" i="95"/>
  <c r="L331" i="95"/>
  <c r="L332" i="95"/>
  <c r="L333" i="95"/>
  <c r="L334" i="95"/>
  <c r="L335" i="95"/>
  <c r="L336" i="95"/>
  <c r="L337" i="95"/>
  <c r="L338" i="95"/>
  <c r="L339" i="95"/>
  <c r="L340" i="95"/>
  <c r="M340" i="95" s="1"/>
  <c r="L341" i="95"/>
  <c r="M341" i="95" s="1"/>
  <c r="L342" i="95"/>
  <c r="M342" i="95" s="1"/>
  <c r="L343" i="95"/>
  <c r="M343" i="95" s="1"/>
  <c r="L344" i="95"/>
  <c r="M344" i="95" s="1"/>
  <c r="L345" i="95"/>
  <c r="M345" i="95" s="1"/>
  <c r="L346" i="95"/>
  <c r="M346" i="95" s="1"/>
  <c r="L347" i="95"/>
  <c r="M347" i="95" s="1"/>
  <c r="L348" i="95"/>
  <c r="L349" i="95"/>
  <c r="L350" i="95"/>
  <c r="L351" i="95"/>
  <c r="L352" i="95"/>
  <c r="L353" i="95"/>
  <c r="L354" i="95"/>
  <c r="M354" i="95" s="1"/>
  <c r="L355" i="95"/>
  <c r="M355" i="95" s="1"/>
  <c r="L356" i="95"/>
  <c r="M356" i="95" s="1"/>
  <c r="L357" i="95"/>
  <c r="M357" i="95" s="1"/>
  <c r="L358" i="95"/>
  <c r="M358" i="95" s="1"/>
  <c r="L359" i="95"/>
  <c r="M359" i="95" s="1"/>
  <c r="L360" i="95"/>
  <c r="M360" i="95" s="1"/>
  <c r="L361" i="95"/>
  <c r="M361" i="95" s="1"/>
  <c r="L362" i="95"/>
  <c r="M362" i="95" s="1"/>
  <c r="L363" i="95"/>
  <c r="M363" i="95" s="1"/>
  <c r="L364" i="95"/>
  <c r="M364" i="95" s="1"/>
  <c r="L365" i="95"/>
  <c r="M365" i="95" s="1"/>
  <c r="L366" i="95"/>
  <c r="M366" i="95" s="1"/>
  <c r="L367" i="95"/>
  <c r="M367" i="95" s="1"/>
  <c r="L368" i="95"/>
  <c r="M368" i="95" s="1"/>
  <c r="L369" i="95"/>
  <c r="M369" i="95" s="1"/>
  <c r="L370" i="95"/>
  <c r="M370" i="95" s="1"/>
  <c r="L371" i="95"/>
  <c r="M371" i="95" s="1"/>
  <c r="L372" i="95"/>
  <c r="M372" i="95" s="1"/>
  <c r="L373" i="95"/>
  <c r="M373" i="95" s="1"/>
  <c r="L374" i="95"/>
  <c r="M374" i="95" s="1"/>
  <c r="L375" i="95"/>
  <c r="M375" i="95" s="1"/>
  <c r="L376" i="95"/>
  <c r="M376" i="95" s="1"/>
  <c r="L377" i="95"/>
  <c r="M377" i="95" s="1"/>
  <c r="L378" i="95"/>
  <c r="M378" i="95" s="1"/>
  <c r="L379" i="95"/>
  <c r="M379" i="95" s="1"/>
  <c r="L380" i="95"/>
  <c r="M380" i="95" s="1"/>
  <c r="L381" i="95"/>
  <c r="L382" i="95"/>
  <c r="L383" i="95"/>
  <c r="L384" i="95"/>
  <c r="L385" i="95"/>
  <c r="L386" i="95"/>
  <c r="M386" i="95" s="1"/>
  <c r="L387" i="95"/>
  <c r="M387" i="95" s="1"/>
  <c r="L388" i="95"/>
  <c r="M388" i="95" s="1"/>
  <c r="L389" i="95"/>
  <c r="M389" i="95" s="1"/>
  <c r="L390" i="95"/>
  <c r="M390" i="95" s="1"/>
  <c r="L391" i="95"/>
  <c r="M391" i="95" s="1"/>
  <c r="L392" i="95"/>
  <c r="M392" i="95" s="1"/>
  <c r="L393" i="95"/>
  <c r="M393" i="95" s="1"/>
  <c r="L394" i="95"/>
  <c r="L395" i="95"/>
  <c r="L396" i="95"/>
  <c r="M396" i="95" s="1"/>
  <c r="L397" i="95"/>
  <c r="M397" i="95" s="1"/>
  <c r="L398" i="95"/>
  <c r="M398" i="95" s="1"/>
  <c r="L399" i="95"/>
  <c r="L400" i="95"/>
  <c r="L401" i="95"/>
  <c r="L402" i="95"/>
  <c r="L403" i="95"/>
  <c r="L404" i="95"/>
  <c r="M404" i="95" s="1"/>
  <c r="L405" i="95"/>
  <c r="M405" i="95" s="1"/>
  <c r="L406" i="95"/>
  <c r="M406" i="95" s="1"/>
  <c r="L407" i="95"/>
  <c r="M407" i="95" s="1"/>
  <c r="L408" i="95"/>
  <c r="M408" i="95" s="1"/>
  <c r="L409" i="95"/>
  <c r="M409" i="95" s="1"/>
  <c r="L410" i="95"/>
  <c r="M410" i="95" s="1"/>
  <c r="L411" i="95"/>
  <c r="M411" i="95" s="1"/>
  <c r="L412" i="95"/>
  <c r="L413" i="95"/>
  <c r="L414" i="95"/>
  <c r="L415" i="95"/>
  <c r="L416" i="95"/>
  <c r="L417" i="95"/>
  <c r="L418" i="95"/>
  <c r="M418" i="95" s="1"/>
  <c r="L419" i="95"/>
  <c r="M419" i="95" s="1"/>
  <c r="L420" i="95"/>
  <c r="M420" i="95" s="1"/>
  <c r="L421" i="95"/>
  <c r="M421" i="95" s="1"/>
  <c r="L422" i="95"/>
  <c r="M422" i="95" s="1"/>
  <c r="L423" i="95"/>
  <c r="M423" i="95" s="1"/>
  <c r="L424" i="95"/>
  <c r="M424" i="95" s="1"/>
  <c r="L425" i="95"/>
  <c r="M425" i="95" s="1"/>
  <c r="M11" i="95"/>
  <c r="M12" i="95"/>
  <c r="M13" i="95"/>
  <c r="M14" i="95"/>
  <c r="M15" i="95"/>
  <c r="M16" i="95"/>
  <c r="M17" i="95"/>
  <c r="M18" i="95"/>
  <c r="M19" i="95"/>
  <c r="M29" i="95"/>
  <c r="M30" i="95"/>
  <c r="M31" i="95"/>
  <c r="M32" i="95"/>
  <c r="M42" i="95"/>
  <c r="M43" i="95"/>
  <c r="M44" i="95"/>
  <c r="M45" i="95"/>
  <c r="M61" i="95"/>
  <c r="M62" i="95"/>
  <c r="M63" i="95"/>
  <c r="M64" i="95"/>
  <c r="M65" i="95"/>
  <c r="M79" i="95"/>
  <c r="M93" i="95"/>
  <c r="M94" i="95"/>
  <c r="M95" i="95"/>
  <c r="M96" i="95"/>
  <c r="M97" i="95"/>
  <c r="M106" i="95"/>
  <c r="M107" i="95"/>
  <c r="M125" i="95"/>
  <c r="M126" i="95"/>
  <c r="M127" i="95"/>
  <c r="M128" i="95"/>
  <c r="M129" i="95"/>
  <c r="M138" i="95"/>
  <c r="M139" i="95"/>
  <c r="M140" i="95"/>
  <c r="M141" i="95"/>
  <c r="M143" i="95"/>
  <c r="M144" i="95"/>
  <c r="M145" i="95"/>
  <c r="M146" i="95"/>
  <c r="M147" i="95"/>
  <c r="M157" i="95"/>
  <c r="M158" i="95"/>
  <c r="M159" i="95"/>
  <c r="M160" i="95"/>
  <c r="M161" i="95"/>
  <c r="M170" i="95"/>
  <c r="M171" i="95"/>
  <c r="M189" i="95"/>
  <c r="M190" i="95"/>
  <c r="M191" i="95"/>
  <c r="M192" i="95"/>
  <c r="M202" i="95"/>
  <c r="M203" i="95"/>
  <c r="M204" i="95"/>
  <c r="M205" i="95"/>
  <c r="M206" i="95"/>
  <c r="M207" i="95"/>
  <c r="M208" i="95"/>
  <c r="M209" i="95"/>
  <c r="M210" i="95"/>
  <c r="M211" i="95"/>
  <c r="M221" i="95"/>
  <c r="M222" i="95"/>
  <c r="M223" i="95"/>
  <c r="M224" i="95"/>
  <c r="M225" i="95"/>
  <c r="M234" i="95"/>
  <c r="M235" i="95"/>
  <c r="M236" i="95"/>
  <c r="M253" i="95"/>
  <c r="M254" i="95"/>
  <c r="M255" i="95"/>
  <c r="M256" i="95"/>
  <c r="M257" i="95"/>
  <c r="M266" i="95"/>
  <c r="M267" i="95"/>
  <c r="M268" i="95"/>
  <c r="M269" i="95"/>
  <c r="M270" i="95"/>
  <c r="M271" i="95"/>
  <c r="M272" i="95"/>
  <c r="M273" i="95"/>
  <c r="M274" i="95"/>
  <c r="M275" i="95"/>
  <c r="M285" i="95"/>
  <c r="M286" i="95"/>
  <c r="M287" i="95"/>
  <c r="M288" i="95"/>
  <c r="M289" i="95"/>
  <c r="M298" i="95"/>
  <c r="M299" i="95"/>
  <c r="M300" i="95"/>
  <c r="M317" i="95"/>
  <c r="M318" i="95"/>
  <c r="M319" i="95"/>
  <c r="M320" i="95"/>
  <c r="M321" i="95"/>
  <c r="M330" i="95"/>
  <c r="M331" i="95"/>
  <c r="M332" i="95"/>
  <c r="M333" i="95"/>
  <c r="M334" i="95"/>
  <c r="M335" i="95"/>
  <c r="M336" i="95"/>
  <c r="M337" i="95"/>
  <c r="M338" i="95"/>
  <c r="M339" i="95"/>
  <c r="M348" i="95"/>
  <c r="M349" i="95"/>
  <c r="M350" i="95"/>
  <c r="M351" i="95"/>
  <c r="M352" i="95"/>
  <c r="M353" i="95"/>
  <c r="M381" i="95"/>
  <c r="M382" i="95"/>
  <c r="M383" i="95"/>
  <c r="M384" i="95"/>
  <c r="M385" i="95"/>
  <c r="M394" i="95"/>
  <c r="M395" i="95"/>
  <c r="M399" i="95"/>
  <c r="M400" i="95"/>
  <c r="M401" i="95"/>
  <c r="M402" i="95"/>
  <c r="M403" i="95"/>
  <c r="M412" i="95"/>
  <c r="M413" i="95"/>
  <c r="M414" i="95"/>
  <c r="M415" i="95"/>
  <c r="M416" i="95"/>
  <c r="M417"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O32" i="74"/>
  <c r="O33" i="74"/>
  <c r="O34" i="74"/>
  <c r="P34" i="74" s="1"/>
  <c r="O35" i="74"/>
  <c r="O23" i="74"/>
  <c r="P23" i="74" s="1"/>
  <c r="O24" i="74"/>
  <c r="P24" i="74" s="1"/>
  <c r="O25" i="74"/>
  <c r="O26" i="74"/>
  <c r="P26" i="74" s="1"/>
  <c r="O27" i="74"/>
  <c r="P27" i="74" s="1"/>
  <c r="O28" i="74"/>
  <c r="P28" i="74" s="1"/>
  <c r="O29" i="74"/>
  <c r="P29" i="74" s="1"/>
  <c r="O30" i="74"/>
  <c r="P30" i="74" s="1"/>
  <c r="O31" i="74"/>
  <c r="P31" i="74" s="1"/>
  <c r="O21" i="74"/>
  <c r="P21" i="74" s="1"/>
  <c r="O22" i="74"/>
  <c r="P22" i="74" s="1"/>
  <c r="O15" i="74"/>
  <c r="P15" i="74" s="1"/>
  <c r="O16" i="74"/>
  <c r="P16" i="74" s="1"/>
  <c r="O17" i="74"/>
  <c r="P17" i="74" s="1"/>
  <c r="O18" i="74"/>
  <c r="O19" i="74"/>
  <c r="O20" i="74"/>
  <c r="P20" i="74" s="1"/>
  <c r="O6" i="74"/>
  <c r="P6" i="74" s="1"/>
  <c r="O7" i="74"/>
  <c r="P7" i="74" s="1"/>
  <c r="O8" i="74"/>
  <c r="P8" i="74" s="1"/>
  <c r="O9" i="74"/>
  <c r="P9" i="74" s="1"/>
  <c r="O10" i="74"/>
  <c r="P10" i="74" s="1"/>
  <c r="O11" i="74"/>
  <c r="P11" i="74" s="1"/>
  <c r="O12" i="74"/>
  <c r="P12" i="74" s="1"/>
  <c r="O13" i="74"/>
  <c r="P13" i="74" s="1"/>
  <c r="O14" i="74"/>
  <c r="P14" i="74" s="1"/>
  <c r="O2" i="74"/>
  <c r="P2" i="74" s="1"/>
  <c r="O3" i="74"/>
  <c r="P3" i="74" s="1"/>
  <c r="O4" i="74"/>
  <c r="O5" i="74"/>
  <c r="P32" i="74"/>
  <c r="P33" i="74"/>
  <c r="P35" i="74"/>
  <c r="P25" i="74"/>
  <c r="P18" i="74"/>
  <c r="P19" i="74"/>
  <c r="P4" i="74"/>
  <c r="P5"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F30" i="8" l="1"/>
  <c r="B10" i="8"/>
  <c r="B9" i="8" a="1"/>
  <c r="B9" i="8" s="1"/>
  <c r="B8" i="8"/>
  <c r="C8" i="101"/>
  <c r="C12" i="101" l="1"/>
  <c r="C11" i="101"/>
  <c r="B2" i="71"/>
  <c r="A2" i="71"/>
  <c r="D6" i="8"/>
  <c r="G2" i="8" a="1"/>
  <c r="F21" i="8" l="1"/>
  <c r="F20" i="8"/>
  <c r="D19" i="8" a="1"/>
  <c r="D19" i="8" s="1"/>
  <c r="C13" i="101"/>
  <c r="G2" i="8"/>
  <c r="C9" i="101" a="1"/>
  <c r="F22" i="8" l="1"/>
  <c r="C9" i="101"/>
  <c r="D47" i="8"/>
  <c r="E3" i="4" l="1"/>
  <c r="R2" i="74"/>
  <c r="F2" i="74" s="1" a="1"/>
  <c r="F2" i="74" s="1"/>
  <c r="D14" i="8"/>
  <c r="D13" i="8"/>
  <c r="D12" i="8"/>
  <c r="D11" i="8" a="1"/>
  <c r="D11" i="8" s="1"/>
  <c r="K2" i="70"/>
  <c r="I47" i="8"/>
  <c r="H47" i="8"/>
  <c r="G47" i="8"/>
  <c r="F47" i="8"/>
  <c r="E47" i="8"/>
  <c r="G1" i="8" a="1"/>
  <c r="G2" i="100" l="1" a="1"/>
  <c r="G2" i="100" s="1"/>
  <c r="G1" i="8"/>
  <c r="N5" i="70" l="1" a="1"/>
  <c r="N5" i="70" s="1"/>
  <c r="O5" i="70" a="1"/>
  <c r="O5" i="70" s="1"/>
  <c r="I2" i="100" l="1" a="1"/>
  <c r="I2" i="100" s="1"/>
  <c r="Z2" i="78" l="1"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S18" i="78"/>
  <c r="T18" i="78"/>
  <c r="S5" i="78"/>
  <c r="S14" i="78"/>
  <c r="S12" i="78"/>
  <c r="S21" i="78"/>
  <c r="T21" i="78"/>
  <c r="S23" i="78"/>
  <c r="T23" i="78"/>
  <c r="S25" i="78"/>
  <c r="T25" i="78"/>
  <c r="S11" i="78"/>
  <c r="S7" i="78"/>
  <c r="S16" i="78"/>
  <c r="T16" i="78"/>
  <c r="S15" i="78"/>
  <c r="S26" i="78"/>
  <c r="T26" i="78"/>
  <c r="S22" i="78"/>
  <c r="T22" i="78"/>
  <c r="S33" i="78"/>
  <c r="T33" i="78"/>
  <c r="S28" i="78"/>
  <c r="T28" i="78"/>
  <c r="S13" i="78"/>
  <c r="S9" i="78"/>
  <c r="S10" i="78"/>
  <c r="S24" i="78"/>
  <c r="T24" i="78"/>
  <c r="S17" i="78"/>
  <c r="T17" i="78"/>
  <c r="S32" i="78"/>
  <c r="T32" i="78"/>
  <c r="S19" i="78"/>
  <c r="T19" i="78"/>
  <c r="S8" i="78"/>
  <c r="S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T62" i="26"/>
  <c r="R62" i="26"/>
  <c r="F62" i="26" a="1"/>
  <c r="F62" i="26" s="1"/>
  <c r="AM1" i="77" a="1"/>
  <c r="AM1" i="77" s="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6" i="78" a="1"/>
  <c r="O10" i="78" a="1"/>
  <c r="O11" i="78" a="1"/>
  <c r="O7" i="78" a="1"/>
  <c r="O3" i="78" a="1"/>
  <c r="O9" i="78" a="1"/>
  <c r="O13" i="78" a="1"/>
  <c r="O4" i="78" a="1"/>
  <c r="O15" i="78" a="1"/>
  <c r="O5" i="78" a="1"/>
  <c r="O12" i="78" a="1"/>
  <c r="O8" i="78" a="1"/>
  <c r="O5" i="78" l="1"/>
  <c r="C24" i="5"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G19" i="4" l="1"/>
  <c r="J19" i="4"/>
  <c r="M19" i="4"/>
  <c r="D31" i="4"/>
  <c r="A43" i="8"/>
  <c r="J31" i="4" s="1"/>
  <c r="A44" i="8"/>
  <c r="M31" i="4" s="1"/>
  <c r="U2" i="95" l="1" a="1"/>
  <c r="U2" i="95" s="1"/>
  <c r="I6" i="8"/>
  <c r="Q2" i="29" a="1"/>
  <c r="I5" i="8"/>
  <c r="O2" i="95" a="1"/>
  <c r="O2" i="95" s="1"/>
  <c r="H15" i="26"/>
  <c r="H14" i="26" a="1"/>
  <c r="H14" i="26" s="1"/>
  <c r="AM2" i="77" a="1"/>
  <c r="B10" i="26" a="1"/>
  <c r="B11" i="26" a="1"/>
  <c r="B10" i="26" l="1"/>
  <c r="B11" i="26"/>
  <c r="Q2" i="29"/>
  <c r="D5" i="8" s="1"/>
  <c r="G81" i="8"/>
  <c r="G82" i="8" s="1" a="1"/>
  <c r="G82" i="8" s="1"/>
  <c r="F7" i="8"/>
  <c r="V9" i="95"/>
  <c r="S48" i="8"/>
  <c r="F9" i="8" s="1" a="1"/>
  <c r="F9" i="8" s="1"/>
  <c r="S6" i="95"/>
  <c r="M6" i="15" s="1"/>
  <c r="AM2" i="77"/>
  <c r="L9" i="26"/>
  <c r="B54" i="26"/>
  <c r="D36" i="8"/>
  <c r="K2" i="90"/>
  <c r="K3" i="90" s="1"/>
  <c r="M26" i="26" s="1"/>
  <c r="X49" i="8" l="1"/>
  <c r="X56" i="8" s="1"/>
  <c r="S49" i="8"/>
  <c r="S56" i="8" s="1"/>
  <c r="B39" i="5"/>
  <c r="A33" i="5"/>
  <c r="V2" i="95"/>
  <c r="D20" i="8" s="1"/>
  <c r="E6" i="4" s="1"/>
  <c r="C57" i="8"/>
  <c r="K5" i="90" a="1"/>
  <c r="K5" i="90" s="1"/>
  <c r="E6" i="85"/>
  <c r="E4" i="85"/>
  <c r="E5" i="85"/>
  <c r="E7" i="85"/>
  <c r="E8" i="85"/>
  <c r="E9" i="85"/>
  <c r="E10" i="85"/>
  <c r="E11" i="85"/>
  <c r="E12" i="85"/>
  <c r="E13" i="85"/>
  <c r="H82" i="8"/>
  <c r="J66" i="8" a="1"/>
  <c r="J66" i="8" s="1"/>
  <c r="K4" i="4"/>
  <c r="C52" i="8"/>
  <c r="N61" i="8"/>
  <c r="N60" i="8"/>
  <c r="F60" i="8"/>
  <c r="N24" i="26"/>
  <c r="E36" i="8"/>
  <c r="F36" i="8" s="1"/>
  <c r="G36" i="8" s="1"/>
  <c r="P6" i="95"/>
  <c r="E1" i="15" s="1"/>
  <c r="P7" i="95"/>
  <c r="C2" i="14" s="1"/>
  <c r="Q7" i="95"/>
  <c r="D30" i="26"/>
  <c r="L60" i="8"/>
  <c r="K61" i="8"/>
  <c r="Q6" i="95"/>
  <c r="M6" i="14"/>
  <c r="M6" i="13"/>
  <c r="K4" i="90" a="1"/>
  <c r="K4" i="90" s="1"/>
  <c r="G14" i="8"/>
  <c r="G13" i="8"/>
  <c r="G12" i="8"/>
  <c r="B33" i="26"/>
  <c r="K8" i="90" l="1"/>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F31" i="8" s="1"/>
  <c r="B12" i="15" a="1"/>
  <c r="B12" i="15" s="1"/>
  <c r="B12" i="14" a="1"/>
  <c r="B12" i="14" s="1"/>
  <c r="B12" i="13" a="1"/>
  <c r="B12" i="13" s="1"/>
  <c r="AG2" i="12" l="1" a="1"/>
  <c r="AG2" i="12" s="1"/>
  <c r="L36" i="8" l="1"/>
  <c r="K36" i="8"/>
  <c r="J36" i="8"/>
  <c r="I36" i="8"/>
  <c r="H36" i="8"/>
  <c r="A10" i="4" s="1" a="1"/>
  <c r="A10" i="4" l="1"/>
  <c r="L10" i="4" s="1" a="1"/>
  <c r="L10" i="4" s="1"/>
  <c r="A22" i="4" a="1"/>
  <c r="E6" i="26"/>
  <c r="C10" i="4" l="1" a="1"/>
  <c r="C10" i="4" s="1"/>
  <c r="F10" i="4" a="1"/>
  <c r="F10" i="4" s="1"/>
  <c r="H10" i="4" s="1"/>
  <c r="I10" i="4" a="1"/>
  <c r="I10" i="4" s="1"/>
  <c r="K10" i="4" s="1"/>
  <c r="A22" i="4"/>
  <c r="C22" i="4" s="1" a="1"/>
  <c r="C22" i="4" s="1"/>
  <c r="N10" i="4"/>
  <c r="N15" i="4"/>
  <c r="N17" i="4"/>
  <c r="N11" i="4"/>
  <c r="N18" i="4"/>
  <c r="N13" i="4"/>
  <c r="N14" i="4"/>
  <c r="N16" i="4"/>
  <c r="N12" i="4"/>
  <c r="N53" i="8"/>
  <c r="D4" i="8"/>
  <c r="L30" i="26" s="1"/>
  <c r="N51" i="8"/>
  <c r="N49" i="8"/>
  <c r="F8" i="8" s="1"/>
  <c r="N50" i="8"/>
  <c r="N52" i="8"/>
  <c r="G28" i="8"/>
  <c r="G27" i="8" s="1"/>
  <c r="D2" i="12"/>
  <c r="D3" i="12"/>
  <c r="D6" i="12"/>
  <c r="D8" i="12"/>
  <c r="D4" i="12"/>
  <c r="D7" i="12"/>
  <c r="D9" i="12"/>
  <c r="D5" i="12"/>
  <c r="G17" i="8"/>
  <c r="J6" i="5"/>
  <c r="B7" i="5"/>
  <c r="B5" i="5"/>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I50" i="8" s="1"/>
  <c r="H49" i="8"/>
  <c r="H50" i="8" s="1"/>
  <c r="G49" i="8"/>
  <c r="G50" i="8" s="1"/>
  <c r="F49" i="8"/>
  <c r="F50" i="8" s="1"/>
  <c r="E49" i="8"/>
  <c r="E50" i="8" s="1"/>
  <c r="D49" i="8"/>
  <c r="D50" i="8" s="1"/>
  <c r="B11" i="21" l="1" a="1"/>
  <c r="I68" i="26"/>
  <c r="I67" i="26"/>
  <c r="B24" i="26"/>
  <c r="J7" i="21"/>
  <c r="B11" i="21" l="1"/>
  <c r="I10" i="15"/>
  <c r="D15" i="21" a="1"/>
  <c r="D14" i="21" a="1"/>
  <c r="D16" i="21" a="1"/>
  <c r="D12" i="21" a="1"/>
  <c r="D13" i="21" a="1"/>
  <c r="D11" i="21" a="1"/>
  <c r="D16" i="21" l="1"/>
  <c r="D15" i="21"/>
  <c r="D14" i="21"/>
  <c r="D13" i="21"/>
  <c r="D11" i="21"/>
  <c r="T13" i="78" s="1"/>
  <c r="D12" i="21"/>
  <c r="E30" i="8"/>
  <c r="I10" i="14"/>
  <c r="P40" i="5"/>
  <c r="L40" i="5"/>
  <c r="O38" i="5"/>
  <c r="J38" i="5"/>
  <c r="R31" i="5"/>
  <c r="T9" i="78" l="1"/>
  <c r="T6" i="78"/>
  <c r="T11" i="78"/>
  <c r="T14" i="78"/>
  <c r="T8" i="78"/>
  <c r="T4" i="78"/>
  <c r="T2" i="78"/>
  <c r="T5" i="78"/>
  <c r="T3" i="78"/>
  <c r="T15" i="78"/>
  <c r="T7" i="78"/>
  <c r="T10" i="78"/>
  <c r="T1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E29" i="8" l="1"/>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6DD4A8-7282-46E1-9288-61F98D6D1058}" keepAlive="1" name="Query - Alerts" description="Connection to the 'Alerts' query in the workbook." type="5" refreshedVersion="8" background="1" saveData="1">
    <dbPr connection="Provider=Microsoft.Mashup.OleDb.1;Data Source=$Workbook$;Location=Alerts;Extended Properties=&quot;&quot;" command="SELECT * FROM [Alerts]"/>
  </connection>
  <connection id="2"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3"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4"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6"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7"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8"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9"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3" xr16:uid="{EEF50027-506E-4E92-8EE5-09760B21CE5C}" keepAlive="1" name="Query - PostWireSetCertUpdate" description="Connection to the 'PostWireSetCertUpdate' query in the workbook." type="5" refreshedVersion="0" background="1">
    <dbPr connection="Provider=Microsoft.Mashup.OleDb.1;Data Source=$Workbook$;Location=PostWireSetCertUpdate;Extended Properties=&quot;&quot;" command="SELECT * FROM [PostWireSetCertUpdate]"/>
  </connection>
  <connection id="14"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5"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1589852-AD7E-4B0C-A6E5-579E9FB56E89}" odcFile="C:\Users\JeffHall\Downloads\Query - Sync.odc" keepAlive="1" name="Query - Sync" description="Connection to the 'Sync' query in the workbook." type="5" refreshedVersion="8" minRefreshableVersion="3" background="1" saveData="1">
    <dbPr connection="Provider=Microsoft.Mashup.OleDb.1;Data Source=$Workbook$;Location=Sync;Extended Properties=&quot;&quot;" command="SELECT * FROM [Sync]"/>
  </connection>
  <connection id="17"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8"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9"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20" xr16:uid="{B811312F-4021-4CF8-B563-1E44CA3DFF57}" keepAlive="1" name="Query - WireSetCerts" description="Connection to the 'WireSetCerts' query in the workbook." type="5" refreshedVersion="8" background="1" saveData="1">
    <dbPr connection="Provider=Microsoft.Mashup.OleDb.1;Data Source=$Workbook$;Location=WireSetCerts;Extended Properties=&quot;&quot;" command="SELECT * FROM [WireSetCerts]"/>
  </connection>
  <connection id="21"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22" xr16:uid="{CBD9BA6D-8A74-4B5B-899E-91F04531BD4A}" keepAlive="1" name="Query - WorkItemsCache" description="Connection to the 'WorkItemsCache' query in the workbook." type="5" refreshedVersion="8" background="1" saveData="1">
    <dbPr connection="Provider=Microsoft.Mashup.OleDb.1;Data Source=$Workbook$;Location=WorkItemsCache;Extended Properties=&quot;&quot;" command="SELECT * FROM [WorkItemsCach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<sst xmlns="http://schemas.openxmlformats.org/spreadsheetml/2006/main" count="1343" uniqueCount="774">
  <si>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</si>
  <si>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</si>
  <si>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</si>
  <si>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</si>
  <si>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</si>
  <si>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</si>
  <si>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</si>
  <si>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</si>
  <si>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</si>
  <si>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</si>
  <si>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</si>
  <si>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</si>
  <si>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</si>
  <si>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</si>
  <si>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</si>
  <si>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</si>
  <si>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</si>
  <si>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</si>
  <si>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</si>
  <si>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</si>
  <si>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</si>
  <si>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</si>
  <si>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</si>
  <si>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</si>
  <si>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</si>
  <si>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</si>
  <si>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</si>
  <si>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</si>
  <si>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</si>
  <si>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</si>
  <si>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</si>
  <si>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</si>
  <si>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</si>
  <si>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</si>
  <si>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</si>
  <si>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</si>
  <si>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</si>
  <si>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</si>
  <si>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</si>
  <si>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</si>
  <si>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</si>
  <si>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</si>
  <si>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</si>
  <si>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</si>
  <si>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</si>
  <si>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</si>
  <si>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</si>
  <si>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</si>
  <si>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</si>
  <si>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</si>
  <si>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</si>
  <si>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</si>
  <si>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</si>
  <si>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</si>
  <si>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</si>
  <si>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</si>
  <si>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</si>
  <si>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</si>
  <si>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</si>
  <si>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</si>
  <si>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</si>
  <si>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</si>
  <si>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</si>
  <si>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</si>
  <si>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</si>
  <si>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</si>
  <si>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</si>
  <si>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</si>
  <si>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</si>
  <si>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</si>
  <si>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</si>
  <si>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</si>
  <si>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</si>
  <si>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</si>
  <si>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</si>
  <si>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</si>
  <si>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</si>
  <si>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</si>
  <si>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</si>
  <si>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</si>
  <si>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</si>
  <si>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</si>
  <si>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</si>
  <si>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</si>
  <si>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</si>
  <si>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</si>
  <si>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</si>
  <si>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</si>
  <si>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</si>
  <si>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</si>
  <si>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</si>
  <si>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</si>
  <si>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</si>
  <si>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</si>
  <si>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</si>
  <si>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</si>
  <si>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</si>
  <si>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</si>
  <si>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</si>
  <si>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</si>
  <si>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</si>
  <si>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</si>
  <si>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</si>
  <si>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</si>
  <si>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</si>
  <si>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</si>
  <si>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</si>
  <si>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</si>
  <si>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</si>
  <si>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</si>
  <si>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</si>
  <si>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</si>
  <si>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</si>
  <si>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</si>
  <si>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</si>
  <si>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</si>
  <si>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</si>
  <si>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</si>
  <si>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</si>
  <si>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</si>
  <si>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</si>
  <si>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</si>
  <si>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</si>
  <si>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</si>
  <si>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</si>
  <si>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</si>
  <si>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</si>
  <si>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</si>
  <si>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</si>
  <si>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</si>
  <si>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</si>
  <si>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</si>
  <si>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</si>
  <si>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</si>
  <si>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</si>
  <si>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</si>
  <si>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</si>
  <si>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</si>
  <si>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</si>
  <si>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</si>
  <si>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</si>
  <si>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</si>
  <si>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</si>
  <si>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</si>
  <si>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</si>
  <si>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</si>
  <si>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</si>
  <si>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</si>
  <si>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</si>
  <si>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</si>
  <si>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</si>
  <si>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</si>
  <si>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</si>
  <si>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</si>
  <si>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</si>
  <si>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</si>
  <si>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</si>
  <si>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</si>
  <si>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</si>
  <si>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</si>
  <si>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</si>
  <si>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</si>
  <si>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</si>
  <si>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</si>
  <si>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</si>
  <si>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</si>
  <si>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</si>
  <si>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</si>
  <si>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</si>
  <si>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</si>
  <si>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</si>
  <si>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</si>
  <si>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</si>
  <si>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</si>
  <si>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</si>
  <si>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</si>
  <si>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</si>
  <si>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</si>
  <si>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</si>
  <si>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</si>
  <si>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</si>
  <si>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</si>
  <si>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</si>
  <si>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</si>
  <si>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</si>
  <si>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</si>
  <si>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</si>
  <si>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</si>
  <si>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</si>
  <si>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</si>
  <si>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</si>
  <si>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</si>
  <si>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</si>
  <si>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</si>
  <si>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</si>
  <si>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</si>
  <si>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</si>
  <si>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</si>
  <si>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</si>
  <si>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</si>
  <si>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</si>
  <si>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</si>
  <si>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</si>
  <si>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</si>
  <si>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</si>
  <si>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</si>
  <si>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</si>
  <si>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</si>
  <si>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</si>
  <si>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</si>
  <si>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</si>
  <si>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</si>
  <si>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</si>
  <si>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</si>
  <si>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</si>
  <si>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</si>
  <si>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</si>
  <si>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</si>
  <si>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</si>
  <si>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</si>
  <si>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</si>
  <si>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</si>
  <si>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</si>
  <si>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</si>
  <si>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</si>
  <si>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</si>
  <si>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</si>
  <si>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</si>
  <si>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</si>
  <si>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</si>
  <si>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</si>
  <si>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</si>
  <si>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</si>
  <si>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</si>
  <si>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</si>
  <si>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</si>
  <si>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</si>
  <si>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</si>
  <si>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</si>
  <si>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</si>
  <si>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</si>
  <si>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</si>
  <si>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</si>
  <si>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</si>
  <si>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</si>
  <si>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</si>
  <si>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</si>
  <si>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</si>
  <si>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</si>
  <si>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</si>
  <si>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</si>
  <si>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</si>
  <si>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</si>
  <si>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</si>
  <si>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</si>
  <si>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</si>
  <si>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</si>
  <si>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</si>
  <si>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</si>
  <si>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</si>
  <si>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</si>
  <si>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</si>
  <si>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</si>
  <si>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</si>
  <si>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</si>
  <si>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</si>
  <si>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</si>
  <si>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</si>
  <si>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</si>
  <si>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</si>
  <si>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</si>
  <si>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</si>
  <si>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</si>
  <si>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</si>
  <si>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</si>
  <si>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</si>
  <si>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</si>
  <si>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</si>
  <si>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</si>
  <si>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</si>
  <si>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</si>
  <si>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</si>
  <si>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</si>
  <si>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</si>
  <si>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</si>
  <si>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</si>
  <si>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</si>
  <si>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</si>
  <si>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</si>
  <si>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</si>
  <si>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</si>
  <si>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</si>
  <si>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</si>
  <si>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</si>
  <si>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</si>
  <si>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</si>
  <si>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</si>
  <si>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</si>
  <si>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</si>
  <si>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</si>
  <si>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</si>
  <si>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</si>
  <si>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</si>
  <si>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</si>
  <si>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</si>
  <si>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</si>
  <si>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</si>
  <si>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</si>
  <si>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</si>
  <si>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</si>
  <si>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</si>
  <si>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</si>
  <si>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</si>
  <si>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</si>
  <si>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</si>
  <si>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</si>
  <si>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</si>
  <si>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</si>
  <si>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</si>
  <si>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</si>
  <si>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</si>
  <si>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</si>
  <si>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</si>
  <si>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</si>
  <si>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</si>
  <si>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</si>
  <si>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</si>
  <si>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</si>
  <si>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</si>
  <si>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</si>
  <si>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</si>
  <si>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</si>
  <si>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</si>
  <si>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</si>
  <si>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</si>
  <si>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</si>
  <si>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</si>
  <si>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</si>
  <si>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</si>
  <si>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</si>
  <si>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</si>
  <si>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</si>
  <si>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</si>
  <si>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</si>
  <si>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</si>
  <si>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</si>
  <si>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</si>
  <si>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</si>
  <si>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</si>
  <si>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</si>
  <si>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</si>
  <si>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</si>
  <si>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</si>
  <si>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</si>
  <si>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</si>
  <si>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</si>
  <si>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</si>
  <si>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</si>
  <si>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</si>
  <si>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</si>
  <si>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</si>
  <si>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</si>
  <si>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</si>
  <si>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</si>
  <si>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</si>
  <si>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</si>
  <si>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</si>
  <si>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</si>
  <si>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</si>
  <si>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</si>
  <si>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</si>
  <si>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</si>
  <si>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</si>
  <si>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</si>
  <si>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</si>
  <si>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</si>
  <si>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</si>
  <si>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</si>
  <si>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</si>
  <si>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</si>
  <si>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</si>
  <si>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</si>
  <si>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</si>
  <si>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</si>
  <si>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</si>
  <si>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</si>
  <si>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</si>
  <si>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</si>
  <si>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</si>
  <si>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</si>
  <si>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</si>
  <si>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</si>
  <si>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</si>
  <si>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</si>
  <si>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</si>
  <si>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</si>
  <si>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</si>
  <si>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</si>
  <si>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</si>
  <si>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</si>
  <si>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</si>
  <si>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</si>
  <si>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</si>
  <si>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</si>
  <si>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</si>
  <si>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</si>
  <si>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</si>
  <si>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</si>
  <si>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</si>
  <si>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</si>
  <si>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</si>
  <si>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</si>
  <si>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</si>
  <si>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</si>
  <si>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</si>
  <si>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</si>
  <si>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</si>
  <si>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</si>
  <si>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</si>
  <si>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</si>
  <si>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</si>
  <si>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</si>
  <si>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</si>
  <si>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</si>
  <si>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</si>
  <si>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</si>
  <si>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</si>
  <si>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</si>
  <si>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</si>
  <si>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</si>
  <si>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</si>
  <si>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</si>
  <si>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</si>
  <si>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</si>
  <si>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</si>
  <si>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</si>
  <si>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</si>
  <si>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</si>
  <si>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</si>
  <si>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</si>
  <si>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</si>
  <si>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</si>
  <si>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</si>
  <si>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</si>
  <si>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</si>
  <si>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</si>
  <si>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</si>
  <si>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</si>
  <si>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</si>
  <si>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</si>
  <si>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</si>
  <si>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</si>
  <si>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</si>
  <si>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</si>
  <si>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</si>
  <si>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</si>
  <si>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</si>
  <si>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</si>
  <si>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</si>
  <si>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</si>
  <si>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</si>
  <si>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</si>
  <si>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</si>
  <si>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</si>
  <si>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</si>
  <si>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</si>
  <si>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</si>
  <si>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</si>
  <si>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</si>
  <si>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</si>
  <si>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</si>
  <si>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</si>
  <si>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</si>
  <si>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</si>
  <si>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</si>
  <si>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</si>
  <si>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</si>
  <si>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</si>
  <si>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</si>
  <si>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</si>
  <si>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</si>
  <si>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</si>
  <si>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</si>
  <si>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</si>
  <si>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</si>
  <si>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</si>
  <si>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</si>
  <si>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</si>
  <si>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</si>
  <si>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</si>
  <si>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</si>
  <si>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</si>
  <si>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</si>
  <si>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</si>
  <si>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</si>
  <si>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</si>
  <si>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</si>
  <si>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</si>
  <si>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</si>
  <si>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</si>
  <si>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</si>
  <si>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</si>
  <si>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</si>
  <si>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</si>
  <si>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</si>
  <si>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</si>
  <si>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</si>
  <si>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</si>
  <si>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</si>
  <si>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</si>
  <si>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</si>
  <si>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</si>
  <si>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</si>
  <si>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</si>
  <si>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</si>
  <si>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</si>
  <si>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</si>
  <si>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</si>
  <si>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</si>
  <si>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</si>
  <si>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</si>
  <si>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</si>
  <si>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</si>
  <si>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</si>
  <si>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</si>
  <si>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</si>
  <si>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</si>
  <si>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</si>
  <si>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</si>
  <si>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</si>
  <si>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</si>
  <si>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</si>
  <si>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</si>
  <si>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</si>
  <si>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</si>
  <si>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</si>
  <si>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</si>
  <si>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</si>
  <si>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</si>
  <si>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</si>
  <si>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</si>
  <si>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</si>
  <si>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</si>
  <si>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</si>
  <si>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</si>
  <si>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</si>
  <si>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</si>
  <si>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</si>
  <si>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</si>
  <si>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</si>
  <si>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</si>
  <si>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</si>
  <si>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</si>
  <si>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</si>
  <si>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</si>
  <si>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</si>
  <si>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</si>
  <si>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</si>
  <si>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</si>
  <si>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</si>
  <si>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</si>
  <si>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</si>
  <si>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</si>
  <si>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</si>
  <si>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</si>
  <si>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</si>
  <si>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</si>
  <si>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</si>
  <si>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</si>
  <si>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</si>
  <si>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</si>
  <si>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</si>
  <si>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</si>
  <si>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</si>
  <si>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</si>
  <si>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</si>
  <si>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</si>
  <si>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</si>
  <si>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</si>
  <si>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</si>
  <si>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</si>
  <si>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</si>
  <si>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</si>
  <si>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</si>
  <si>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</si>
  <si>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</si>
  <si>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</si>
  <si>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</si>
  <si>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</si>
  <si>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</si>
  <si>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</si>
  <si>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</si>
  <si>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</si>
  <si>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</si>
  <si>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</si>
  <si>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</si>
  <si>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</si>
  <si>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</si>
  <si>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</si>
  <si>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</si>
  <si>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</si>
  <si>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</si>
  <si>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</si>
  <si>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</si>
  <si>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</si>
  <si>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</si>
  <si>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</si>
  <si>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</si>
  <si>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</si>
  <si>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</si>
  <si>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</si>
  <si>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</si>
  <si>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</si>
  <si>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</si>
  <si>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</si>
  <si>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</si>
  <si>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</si>
  <si>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</si>
  <si>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</si>
  <si>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</si>
  <si>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</si>
  <si>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</si>
  <si>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</si>
  <si>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</si>
  <si>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</si>
  <si>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</si>
  <si>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</si>
  <si>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</si>
  <si>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</si>
  <si>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</si>
  <si>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</si>
  <si>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</si>
  <si>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</si>
  <si>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</si>
  <si>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</si>
  <si>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</si>
  <si>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</si>
  <si>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</si>
  <si>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</si>
  <si>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</si>
  <si>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</si>
  <si>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</si>
  <si>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</si>
  <si>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</si>
  <si>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</si>
  <si>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</si>
  <si>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</si>
  <si>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</si>
  <si>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</si>
  <si>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</si>
  <si>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</si>
  <si>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</si>
  <si>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</si>
  <si>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</si>
  <si>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</si>
  <si>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</si>
  <si>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</si>
  <si>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</si>
  <si>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</si>
  <si>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</si>
  <si>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</si>
  <si>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</si>
  <si>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</si>
  <si>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</si>
  <si>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</si>
  <si>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</si>
  <si>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</si>
  <si>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</si>
  <si>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</si>
  <si>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</si>
  <si>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</si>
  <si>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</si>
  <si>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</si>
  <si>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</si>
  <si>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</si>
  <si>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</si>
  <si>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</si>
  <si>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</si>
  <si>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</si>
  <si>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</si>
  <si>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</si>
  <si>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</si>
  <si>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</si>
  <si>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</si>
  <si>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</si>
  <si>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</si>
  <si>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</si>
  <si>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</si>
  <si>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</si>
  <si>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</si>
  <si>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</si>
  <si>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</si>
  <si>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</si>
  <si>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</si>
  <si>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</si>
  <si>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</si>
  <si>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</si>
  <si>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</si>
  <si>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</si>
  <si>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</si>
  <si>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</si>
  <si>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</si>
  <si>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</si>
  <si>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</si>
  <si>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</si>
  <si>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</si>
  <si>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</si>
  <si>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</si>
  <si>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</si>
  <si>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</si>
  <si>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</si>
  <si>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</si>
  <si>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</si>
  <si>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</si>
  <si>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</si>
  <si>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</si>
  <si>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</si>
  <si>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</si>
  <si>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</si>
  <si>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</si>
  <si>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</si>
  <si>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</si>
  <si>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</si>
  <si>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</si>
  <si>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</si>
  <si>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</si>
  <si>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</si>
  <si>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</si>
  <si>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</si>
  <si>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</si>
  <si>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SBP</t>
  </si>
  <si>
    <t>Daqbook Type</t>
  </si>
  <si>
    <t>TC Type</t>
  </si>
  <si>
    <t>daqbook_ok</t>
  </si>
  <si>
    <t>sort1</t>
  </si>
  <si>
    <t>sort2</t>
  </si>
  <si>
    <t>Daqbook Compatibility</t>
  </si>
  <si>
    <t>°F</t>
  </si>
  <si>
    <t>°C</t>
  </si>
  <si>
    <t>SAT Tol</t>
  </si>
  <si>
    <t>MatchingRow</t>
  </si>
  <si>
    <t>_unit</t>
  </si>
  <si>
    <t>Traceability #:</t>
  </si>
  <si>
    <t>ENV101</t>
  </si>
  <si>
    <t>ENV102</t>
  </si>
  <si>
    <t>ENV103</t>
  </si>
  <si>
    <t>ENV104</t>
  </si>
  <si>
    <t>ENV105</t>
  </si>
  <si>
    <t>ENV106</t>
  </si>
  <si>
    <t>ENV107</t>
  </si>
  <si>
    <t>ENV108</t>
  </si>
  <si>
    <t>ENV109</t>
  </si>
  <si>
    <t>ENV110</t>
  </si>
  <si>
    <t>ENV111</t>
  </si>
  <si>
    <t>ENV112</t>
  </si>
  <si>
    <t>ENV113</t>
  </si>
  <si>
    <t>ENV114</t>
  </si>
  <si>
    <t>Qualer ID:</t>
  </si>
  <si>
    <t>AssetTag2</t>
  </si>
  <si>
    <t>dropdown</t>
  </si>
  <si>
    <t>Thermocouple wire correction factor</t>
  </si>
  <si>
    <t>Ref. Report Number:</t>
  </si>
  <si>
    <t>In °F</t>
  </si>
  <si>
    <t>Lo Rdg</t>
  </si>
  <si>
    <t>Hi Rdg</t>
  </si>
  <si>
    <t>cf</t>
  </si>
  <si>
    <t>Interp Rdg</t>
  </si>
  <si>
    <t>Interp cf</t>
  </si>
  <si>
    <t>range Rdgs</t>
  </si>
  <si>
    <t>Range cfs</t>
  </si>
  <si>
    <t>factor</t>
  </si>
  <si>
    <t>https://jgiapi.com/data-sync/alerts/view</t>
  </si>
  <si>
    <t>Web view:</t>
  </si>
  <si>
    <t>Ver. 04.02.26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</si>
</sst>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 numFmtId="184" formatCode="\+0\°\F;\-0\°\F;0\°\F"/>
  </numFmts>
  <fonts count="13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
      <sz val="10"/>
      <color theme="3" tint="0.39997558519241921"/>
      <name val="Arial"/>
      <family val="2"/>
    </font>
    <font>
      <b/>
      <sz val="10"/>
      <color rgb="FF99CCFF"/>
      <name val="Arial"/>
      <family val="2"/>
    </font>
  </fonts>
  <fills count="21">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
      <patternFill patternType="solid">
        <fgColor theme="3" tint="0.79998168889431442"/>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s>
  <cellStyleXfs count="8">
    <xf numFmtId="0" fontId="0" fillId="0" borderId="0"/>
    <xf numFmtId="0" fontId="52" fillId="0" borderId="0"/>
    <xf numFmtId="0" fontId="9" fillId="0" borderId="0"/>
    <xf numFmtId="0" fontId="8" fillId="0" borderId="0"/>
    <xf numFmtId="0" fontId="4" fillId="0" borderId="0"/>
    <xf numFmtId="0" fontId="3" fillId="0" borderId="0"/>
    <xf numFmtId="0" fontId="97" fillId="0" borderId="0" applyNumberFormat="0" applyFill="0" applyBorder="0" applyAlignment="0" applyProtection="0"/>
    <xf numFmtId="0" fontId="1" fillId="0" borderId="0"/>
  </cellStyleXfs>
  <cellXfs count="655">
    <xf numFmtId="0" fontId="0" fillId="0" borderId="0" xfId="0"/>
    <xf numFmtId="0" fontId="5" fillId="0" borderId="0" xfId="0" applyFont="1"/>
    <xf numFmtId="164" fontId="5" fillId="0" borderId="0" xfId="0" applyNumberFormat="1" applyFont="1"/>
    <xf numFmtId="0" fontId="6" fillId="0" borderId="0" xfId="0" applyFont="1"/>
    <xf numFmtId="0" fontId="7" fillId="0" borderId="0" xfId="0" applyFont="1"/>
    <xf numFmtId="0" fontId="52" fillId="0" borderId="0" xfId="1"/>
    <xf numFmtId="0" fontId="52" fillId="0" borderId="0" xfId="1" applyAlignment="1">
      <alignment horizontal="center"/>
    </xf>
    <xf numFmtId="0" fontId="13" fillId="0" borderId="0" xfId="1" applyFont="1" applyAlignment="1">
      <alignment vertical="center"/>
    </xf>
    <xf numFmtId="0" fontId="14" fillId="0" borderId="0" xfId="1" applyFont="1" applyAlignment="1">
      <alignment horizontal="center" vertical="top"/>
    </xf>
    <xf numFmtId="0" fontId="52" fillId="0" borderId="0" xfId="1" applyAlignment="1">
      <alignment horizontal="left"/>
    </xf>
    <xf numFmtId="0" fontId="52" fillId="0" borderId="0" xfId="1" quotePrefix="1" applyAlignment="1">
      <alignment horizontal="left"/>
    </xf>
    <xf numFmtId="0" fontId="16" fillId="0" borderId="0" xfId="1" applyFont="1" applyProtection="1">
      <protection hidden="1"/>
    </xf>
    <xf numFmtId="0" fontId="9" fillId="0" borderId="0" xfId="1" applyFont="1"/>
    <xf numFmtId="0" fontId="10" fillId="0" borderId="0" xfId="1" applyFont="1"/>
    <xf numFmtId="0" fontId="17" fillId="0" borderId="0" xfId="1" applyFont="1"/>
    <xf numFmtId="0" fontId="52" fillId="0" borderId="1" xfId="1" applyBorder="1"/>
    <xf numFmtId="0" fontId="17" fillId="0" borderId="1" xfId="1" applyFont="1" applyBorder="1" applyAlignment="1">
      <alignment horizontal="center"/>
    </xf>
    <xf numFmtId="0" fontId="11" fillId="0" borderId="0" xfId="1" applyFont="1"/>
    <xf numFmtId="165" fontId="52" fillId="0" borderId="2" xfId="1" applyNumberFormat="1" applyBorder="1" applyAlignment="1">
      <alignment horizontal="center"/>
    </xf>
    <xf numFmtId="0" fontId="10" fillId="0" borderId="1" xfId="1" applyFont="1" applyBorder="1"/>
    <xf numFmtId="0" fontId="10" fillId="0" borderId="1" xfId="1" applyFont="1" applyBorder="1" applyAlignment="1">
      <alignment horizontal="center"/>
    </xf>
    <xf numFmtId="0" fontId="18" fillId="0" borderId="0" xfId="1" applyFont="1" applyAlignment="1">
      <alignment horizontal="right"/>
    </xf>
    <xf numFmtId="0" fontId="17" fillId="0" borderId="0" xfId="1" applyFont="1" applyAlignment="1">
      <alignment horizontal="center"/>
    </xf>
    <xf numFmtId="0" fontId="52" fillId="0" borderId="3" xfId="1" applyBorder="1" applyAlignment="1">
      <alignment horizontal="center"/>
    </xf>
    <xf numFmtId="0" fontId="12" fillId="0" borderId="0" xfId="1" applyFont="1"/>
    <xf numFmtId="0" fontId="12" fillId="0" borderId="0" xfId="1" applyFont="1" applyAlignment="1">
      <alignment horizontal="center"/>
    </xf>
    <xf numFmtId="168" fontId="52" fillId="0" borderId="3" xfId="1" applyNumberFormat="1" applyBorder="1" applyAlignment="1">
      <alignment horizontal="center"/>
    </xf>
    <xf numFmtId="0" fontId="52" fillId="0" borderId="0" xfId="1" applyProtection="1">
      <protection locked="0"/>
    </xf>
    <xf numFmtId="0" fontId="20" fillId="0" borderId="0" xfId="1" applyFont="1" applyAlignment="1">
      <alignment vertical="top"/>
    </xf>
    <xf numFmtId="0" fontId="15" fillId="0" borderId="0" xfId="1" applyFont="1" applyAlignment="1">
      <alignment horizontal="right"/>
    </xf>
    <xf numFmtId="0" fontId="15" fillId="0" borderId="0" xfId="1" applyFont="1" applyAlignment="1">
      <alignment horizontal="right" vertical="center"/>
    </xf>
    <xf numFmtId="0" fontId="11" fillId="0" borderId="0" xfId="1" applyFont="1" applyAlignment="1">
      <alignment horizontal="right"/>
    </xf>
    <xf numFmtId="0" fontId="23" fillId="0" borderId="0" xfId="0" applyFont="1"/>
    <xf numFmtId="0" fontId="0" fillId="0" borderId="4" xfId="0" applyBorder="1"/>
    <xf numFmtId="0" fontId="24" fillId="0" borderId="0" xfId="0" applyFont="1"/>
    <xf numFmtId="171" fontId="52" fillId="0" borderId="0" xfId="1" applyNumberFormat="1" applyAlignment="1">
      <alignment horizontal="left"/>
    </xf>
    <xf numFmtId="0" fontId="8" fillId="0" borderId="0" xfId="0" applyFont="1"/>
    <xf numFmtId="165" fontId="52" fillId="0" borderId="3" xfId="1" applyNumberFormat="1" applyBorder="1" applyAlignment="1">
      <alignment horizontal="center"/>
    </xf>
    <xf numFmtId="166" fontId="0" fillId="0" borderId="0" xfId="0" applyNumberFormat="1" applyAlignment="1">
      <alignment horizontal="left"/>
    </xf>
    <xf numFmtId="0" fontId="25" fillId="0" borderId="0" xfId="0" applyFont="1"/>
    <xf numFmtId="167" fontId="19" fillId="0" borderId="0" xfId="1" applyNumberFormat="1" applyFont="1" applyAlignment="1">
      <alignment horizontal="left"/>
    </xf>
    <xf numFmtId="0" fontId="29" fillId="0" borderId="0" xfId="0" applyFont="1"/>
    <xf numFmtId="170" fontId="0" fillId="0" borderId="0" xfId="0" applyNumberFormat="1"/>
    <xf numFmtId="170" fontId="11" fillId="0" borderId="0" xfId="1" applyNumberFormat="1" applyFont="1"/>
    <xf numFmtId="176" fontId="0" fillId="0" borderId="0" xfId="0" applyNumberFormat="1"/>
    <xf numFmtId="0" fontId="0" fillId="0" borderId="0" xfId="0" applyProtection="1">
      <protection locked="0"/>
    </xf>
    <xf numFmtId="0" fontId="32" fillId="0" borderId="4" xfId="0" applyFont="1" applyBorder="1" applyAlignment="1">
      <alignment horizontal="left"/>
    </xf>
    <xf numFmtId="14" fontId="32" fillId="0" borderId="4" xfId="0" applyNumberFormat="1" applyFont="1" applyBorder="1" applyAlignment="1">
      <alignment horizontal="left"/>
    </xf>
    <xf numFmtId="166" fontId="32" fillId="0" borderId="4" xfId="0" applyNumberFormat="1" applyFont="1" applyBorder="1" applyAlignment="1">
      <alignment horizontal="left"/>
    </xf>
    <xf numFmtId="164" fontId="33" fillId="0" borderId="0" xfId="0" applyNumberFormat="1" applyFont="1" applyProtection="1">
      <protection locked="0"/>
    </xf>
    <xf numFmtId="166" fontId="8" fillId="0" borderId="0" xfId="0" applyNumberFormat="1" applyFont="1" applyAlignment="1">
      <alignment horizontal="left"/>
    </xf>
    <xf numFmtId="0" fontId="8" fillId="0" borderId="0" xfId="0" applyFont="1" applyAlignment="1">
      <alignment horizontal="right"/>
    </xf>
    <xf numFmtId="14" fontId="8" fillId="0" borderId="0" xfId="0" applyNumberFormat="1" applyFont="1" applyAlignment="1">
      <alignment horizontal="right"/>
    </xf>
    <xf numFmtId="14" fontId="8" fillId="0" borderId="0" xfId="0" applyNumberFormat="1" applyFont="1" applyAlignment="1">
      <alignment horizontal="left"/>
    </xf>
    <xf numFmtId="0" fontId="8" fillId="0" borderId="0" xfId="0" applyFont="1" applyAlignment="1">
      <alignment horizontal="left"/>
    </xf>
    <xf numFmtId="0" fontId="5" fillId="0" borderId="4" xfId="0" applyFont="1" applyBorder="1"/>
    <xf numFmtId="0" fontId="5" fillId="0" borderId="0" xfId="0" applyFont="1" applyAlignment="1">
      <alignment horizontal="right"/>
    </xf>
    <xf numFmtId="0" fontId="8" fillId="0" borderId="4" xfId="0" applyFont="1" applyBorder="1"/>
    <xf numFmtId="0" fontId="5" fillId="0" borderId="0" xfId="0" applyFont="1" applyAlignment="1">
      <alignment horizontal="right" vertical="top"/>
    </xf>
    <xf numFmtId="0" fontId="34" fillId="0" borderId="0" xfId="0" applyFont="1"/>
    <xf numFmtId="176" fontId="24"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37" fillId="0" borderId="0" xfId="0" applyFont="1"/>
    <xf numFmtId="176" fontId="38" fillId="0" borderId="0" xfId="0" applyNumberFormat="1" applyFont="1"/>
    <xf numFmtId="0" fontId="0" fillId="0" borderId="0" xfId="0" applyAlignment="1">
      <alignment horizontal="left"/>
    </xf>
    <xf numFmtId="0" fontId="32" fillId="0" borderId="4" xfId="0" applyFont="1" applyBorder="1" applyAlignment="1">
      <alignment horizontal="left" vertical="top" wrapText="1"/>
    </xf>
    <xf numFmtId="0" fontId="0" fillId="0" borderId="19" xfId="0" applyBorder="1"/>
    <xf numFmtId="0" fontId="23"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1" fillId="0" borderId="0" xfId="0" applyFont="1" applyAlignment="1">
      <alignment horizontal="right"/>
    </xf>
    <xf numFmtId="0" fontId="43" fillId="0" borderId="0" xfId="0" applyFont="1"/>
    <xf numFmtId="0" fontId="44" fillId="0" borderId="0" xfId="0" applyFont="1" applyAlignment="1">
      <alignment horizontal="center"/>
    </xf>
    <xf numFmtId="0" fontId="40" fillId="0" borderId="0" xfId="0" applyFont="1"/>
    <xf numFmtId="0" fontId="45" fillId="0" borderId="0" xfId="0" applyFont="1"/>
    <xf numFmtId="0" fontId="42" fillId="0" borderId="0" xfId="0" applyFont="1" applyAlignment="1">
      <alignment horizontal="right"/>
    </xf>
    <xf numFmtId="49" fontId="43" fillId="0" borderId="0" xfId="0" applyNumberFormat="1" applyFont="1" applyAlignment="1" applyProtection="1">
      <alignment horizontal="right"/>
      <protection locked="0"/>
    </xf>
    <xf numFmtId="0" fontId="46" fillId="0" borderId="0" xfId="0" applyFont="1" applyAlignment="1">
      <alignment horizontal="right"/>
    </xf>
    <xf numFmtId="0" fontId="8" fillId="0" borderId="0" xfId="0" applyFont="1" applyProtection="1">
      <protection locked="0"/>
    </xf>
    <xf numFmtId="0" fontId="39" fillId="0" borderId="0" xfId="0" applyFont="1"/>
    <xf numFmtId="0" fontId="48" fillId="0" borderId="0" xfId="0" applyFont="1"/>
    <xf numFmtId="0" fontId="22" fillId="0" borderId="0" xfId="0" applyFont="1"/>
    <xf numFmtId="0" fontId="49" fillId="0" borderId="0" xfId="2" applyFont="1"/>
    <xf numFmtId="0" fontId="50" fillId="0" borderId="0" xfId="2" applyFont="1"/>
    <xf numFmtId="0" fontId="28" fillId="0" borderId="0" xfId="0" applyFont="1"/>
    <xf numFmtId="0" fontId="27" fillId="0" borderId="0" xfId="0" applyFont="1"/>
    <xf numFmtId="14" fontId="28" fillId="0" borderId="0" xfId="0" applyNumberFormat="1" applyFont="1" applyAlignment="1">
      <alignment horizontal="right"/>
    </xf>
    <xf numFmtId="14" fontId="28" fillId="0" borderId="0" xfId="0" applyNumberFormat="1" applyFont="1" applyAlignment="1">
      <alignment horizontal="left"/>
    </xf>
    <xf numFmtId="0" fontId="28" fillId="0" borderId="0" xfId="0" applyFont="1" applyAlignment="1">
      <alignment horizontal="right"/>
    </xf>
    <xf numFmtId="0" fontId="28" fillId="0" borderId="0" xfId="0" applyFont="1" applyAlignment="1">
      <alignment horizontal="left"/>
    </xf>
    <xf numFmtId="166" fontId="28" fillId="0" borderId="0" xfId="0" applyNumberFormat="1" applyFont="1" applyAlignment="1">
      <alignment horizontal="left"/>
    </xf>
    <xf numFmtId="0" fontId="41" fillId="0" borderId="0" xfId="2" applyFont="1"/>
    <xf numFmtId="0" fontId="51" fillId="0" borderId="0" xfId="2" applyFont="1"/>
    <xf numFmtId="0" fontId="52" fillId="0" borderId="0" xfId="1" applyAlignment="1" applyProtection="1">
      <alignment horizontal="center"/>
      <protection locked="0"/>
    </xf>
    <xf numFmtId="170" fontId="8" fillId="0" borderId="0" xfId="0" applyNumberFormat="1" applyFont="1"/>
    <xf numFmtId="176" fontId="35" fillId="0" borderId="0" xfId="0" applyNumberFormat="1" applyFont="1"/>
    <xf numFmtId="175" fontId="35" fillId="0" borderId="0" xfId="0" applyNumberFormat="1" applyFont="1"/>
    <xf numFmtId="0" fontId="54" fillId="0" borderId="0" xfId="0" applyFont="1"/>
    <xf numFmtId="2" fontId="22" fillId="0" borderId="0" xfId="0" applyNumberFormat="1" applyFont="1"/>
    <xf numFmtId="2" fontId="28" fillId="0" borderId="0" xfId="0" applyNumberFormat="1" applyFont="1"/>
    <xf numFmtId="2" fontId="0" fillId="0" borderId="0" xfId="0" applyNumberFormat="1"/>
    <xf numFmtId="0" fontId="55" fillId="0" borderId="0" xfId="0" applyFont="1"/>
    <xf numFmtId="0" fontId="8" fillId="0" borderId="19" xfId="0" applyFont="1" applyBorder="1"/>
    <xf numFmtId="165" fontId="8" fillId="0" borderId="4" xfId="0" applyNumberFormat="1" applyFont="1" applyBorder="1" applyAlignment="1">
      <alignment horizontal="right"/>
    </xf>
    <xf numFmtId="176" fontId="54" fillId="0" borderId="0" xfId="0" applyNumberFormat="1" applyFont="1"/>
    <xf numFmtId="0" fontId="56" fillId="0" borderId="0" xfId="0" applyFont="1"/>
    <xf numFmtId="164" fontId="8" fillId="0" borderId="4" xfId="0" applyNumberFormat="1" applyFont="1" applyBorder="1"/>
    <xf numFmtId="170" fontId="34" fillId="0" borderId="0" xfId="0" applyNumberFormat="1" applyFont="1"/>
    <xf numFmtId="170" fontId="8" fillId="0" borderId="0" xfId="0" applyNumberFormat="1" applyFont="1" applyAlignment="1">
      <alignment horizontal="right"/>
    </xf>
    <xf numFmtId="170" fontId="35" fillId="0" borderId="0" xfId="0" applyNumberFormat="1" applyFont="1"/>
    <xf numFmtId="0" fontId="58" fillId="0" borderId="0" xfId="0" applyFont="1"/>
    <xf numFmtId="2" fontId="56" fillId="0" borderId="0" xfId="0" applyNumberFormat="1" applyFont="1"/>
    <xf numFmtId="0" fontId="53" fillId="0" borderId="0" xfId="0" applyFont="1"/>
    <xf numFmtId="0" fontId="59" fillId="0" borderId="0" xfId="0" applyFont="1"/>
    <xf numFmtId="0" fontId="56" fillId="0" borderId="0" xfId="0" applyFont="1" applyAlignment="1">
      <alignment horizontal="left"/>
    </xf>
    <xf numFmtId="170" fontId="62" fillId="0" borderId="0" xfId="0" applyNumberFormat="1" applyFont="1"/>
    <xf numFmtId="164" fontId="8" fillId="0" borderId="0" xfId="0" applyNumberFormat="1" applyFont="1"/>
    <xf numFmtId="170" fontId="8" fillId="0" borderId="0" xfId="0" applyNumberFormat="1" applyFont="1" applyAlignment="1">
      <alignment horizontal="center"/>
    </xf>
    <xf numFmtId="0" fontId="29" fillId="0" borderId="0" xfId="0" applyFont="1" applyAlignment="1">
      <alignment horizontal="center"/>
    </xf>
    <xf numFmtId="0" fontId="5" fillId="0" borderId="0" xfId="0" applyFont="1" applyAlignment="1">
      <alignment horizontal="center"/>
    </xf>
    <xf numFmtId="170" fontId="63" fillId="0" borderId="0" xfId="0" applyNumberFormat="1" applyFont="1"/>
    <xf numFmtId="0" fontId="24" fillId="0" borderId="0" xfId="0" applyFont="1" applyAlignment="1">
      <alignment horizontal="center"/>
    </xf>
    <xf numFmtId="177" fontId="35" fillId="0" borderId="0" xfId="0" applyNumberFormat="1" applyFont="1"/>
    <xf numFmtId="0" fontId="26" fillId="0" borderId="0" xfId="0" applyFont="1"/>
    <xf numFmtId="49" fontId="40" fillId="0" borderId="0" xfId="0" applyNumberFormat="1" applyFont="1" applyAlignment="1" applyProtection="1">
      <alignment horizontal="right"/>
      <protection locked="0"/>
    </xf>
    <xf numFmtId="170" fontId="35" fillId="0" borderId="0" xfId="0" applyNumberFormat="1" applyFont="1" applyAlignment="1">
      <alignment horizontal="right"/>
    </xf>
    <xf numFmtId="0" fontId="35" fillId="0" borderId="0" xfId="0" applyFont="1" applyAlignment="1">
      <alignment horizontal="left"/>
    </xf>
    <xf numFmtId="170" fontId="35" fillId="0" borderId="0" xfId="0" applyNumberFormat="1" applyFont="1" applyAlignment="1">
      <alignment horizontal="center"/>
    </xf>
    <xf numFmtId="0" fontId="47" fillId="0" borderId="0" xfId="0" applyFont="1" applyAlignment="1">
      <alignment horizontal="center"/>
    </xf>
    <xf numFmtId="0" fontId="47" fillId="0" borderId="0" xfId="0" applyFont="1"/>
    <xf numFmtId="0" fontId="53" fillId="0" borderId="0" xfId="0" applyFont="1" applyAlignment="1">
      <alignment horizontal="center"/>
    </xf>
    <xf numFmtId="1" fontId="0" fillId="0" borderId="0" xfId="0" applyNumberFormat="1"/>
    <xf numFmtId="0" fontId="72" fillId="6" borderId="13" xfId="0" applyFont="1" applyFill="1" applyBorder="1"/>
    <xf numFmtId="0" fontId="72" fillId="6" borderId="12" xfId="0" applyFont="1" applyFill="1" applyBorder="1"/>
    <xf numFmtId="0" fontId="70" fillId="2" borderId="0" xfId="0" applyFont="1" applyFill="1" applyProtection="1">
      <protection locked="0"/>
    </xf>
    <xf numFmtId="0" fontId="70" fillId="4" borderId="7" xfId="0" applyFont="1" applyFill="1" applyBorder="1" applyAlignment="1">
      <alignment horizontal="left" vertical="top"/>
    </xf>
    <xf numFmtId="0" fontId="74" fillId="4" borderId="12" xfId="0" applyFont="1" applyFill="1" applyBorder="1" applyAlignment="1">
      <alignment horizontal="right" wrapText="1"/>
    </xf>
    <xf numFmtId="165" fontId="78" fillId="5" borderId="12" xfId="0" applyNumberFormat="1" applyFont="1" applyFill="1" applyBorder="1" applyAlignment="1">
      <alignment horizontal="center"/>
    </xf>
    <xf numFmtId="0" fontId="76" fillId="4" borderId="4" xfId="0" applyFont="1" applyFill="1" applyBorder="1" applyAlignment="1">
      <alignment horizontal="center"/>
    </xf>
    <xf numFmtId="0" fontId="76" fillId="4" borderId="7" xfId="0" applyFont="1" applyFill="1" applyBorder="1" applyAlignment="1">
      <alignment horizontal="center"/>
    </xf>
    <xf numFmtId="0" fontId="79" fillId="3" borderId="9" xfId="0" applyFont="1" applyFill="1" applyBorder="1" applyProtection="1">
      <protection locked="0"/>
    </xf>
    <xf numFmtId="170" fontId="80" fillId="5" borderId="4" xfId="0" applyNumberFormat="1" applyFont="1" applyFill="1" applyBorder="1"/>
    <xf numFmtId="0" fontId="70" fillId="4" borderId="9" xfId="0" applyFont="1" applyFill="1" applyBorder="1" applyAlignment="1">
      <alignment horizontal="left" vertical="top"/>
    </xf>
    <xf numFmtId="0" fontId="74" fillId="4" borderId="18" xfId="0" applyFont="1" applyFill="1" applyBorder="1" applyAlignment="1">
      <alignment horizontal="right" wrapText="1"/>
    </xf>
    <xf numFmtId="0" fontId="74" fillId="4" borderId="12" xfId="0" applyFont="1" applyFill="1" applyBorder="1" applyAlignment="1">
      <alignment horizontal="right"/>
    </xf>
    <xf numFmtId="0" fontId="70" fillId="4" borderId="20" xfId="0" applyFont="1" applyFill="1" applyBorder="1" applyAlignment="1">
      <alignment horizontal="left" vertical="top"/>
    </xf>
    <xf numFmtId="0" fontId="74" fillId="4" borderId="17" xfId="0" applyFont="1" applyFill="1" applyBorder="1" applyAlignment="1">
      <alignment horizontal="right"/>
    </xf>
    <xf numFmtId="0" fontId="74" fillId="4" borderId="11" xfId="0" applyFont="1" applyFill="1" applyBorder="1" applyAlignment="1">
      <alignment horizontal="right"/>
    </xf>
    <xf numFmtId="0" fontId="74" fillId="4" borderId="4" xfId="0" applyFont="1" applyFill="1" applyBorder="1" applyAlignment="1">
      <alignment horizontal="right"/>
    </xf>
    <xf numFmtId="0" fontId="70" fillId="4" borderId="14" xfId="0" applyFont="1" applyFill="1" applyBorder="1" applyAlignment="1">
      <alignment horizontal="left" vertical="top"/>
    </xf>
    <xf numFmtId="0" fontId="74" fillId="4" borderId="16" xfId="0" applyFont="1" applyFill="1" applyBorder="1" applyAlignment="1">
      <alignment horizontal="right" wrapText="1"/>
    </xf>
    <xf numFmtId="0" fontId="84" fillId="8" borderId="12" xfId="0" applyFont="1" applyFill="1" applyBorder="1" applyAlignment="1">
      <alignment horizontal="left"/>
    </xf>
    <xf numFmtId="0" fontId="74" fillId="4" borderId="17" xfId="0" applyFont="1" applyFill="1" applyBorder="1" applyAlignment="1">
      <alignment horizontal="right" wrapText="1"/>
    </xf>
    <xf numFmtId="0" fontId="74" fillId="4" borderId="19" xfId="0" applyFont="1" applyFill="1" applyBorder="1" applyAlignment="1">
      <alignment horizontal="right"/>
    </xf>
    <xf numFmtId="0" fontId="75"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4" fontId="78" fillId="5" borderId="4" xfId="0" applyNumberFormat="1" applyFont="1" applyFill="1" applyBorder="1" applyAlignment="1">
      <alignment horizontal="left"/>
    </xf>
    <xf numFmtId="170" fontId="75" fillId="4" borderId="9" xfId="0" applyNumberFormat="1" applyFont="1" applyFill="1" applyBorder="1" applyAlignment="1">
      <alignment horizontal="left"/>
    </xf>
    <xf numFmtId="0" fontId="74" fillId="4" borderId="18" xfId="0" applyFont="1" applyFill="1" applyBorder="1" applyAlignment="1">
      <alignment horizontal="right"/>
    </xf>
    <xf numFmtId="0" fontId="82" fillId="4" borderId="4" xfId="0" applyFont="1" applyFill="1" applyBorder="1" applyAlignment="1">
      <alignment horizontal="left" vertical="top"/>
    </xf>
    <xf numFmtId="0" fontId="82" fillId="4" borderId="4" xfId="0" applyFont="1" applyFill="1" applyBorder="1" applyAlignment="1">
      <alignment horizontal="left"/>
    </xf>
    <xf numFmtId="170" fontId="78" fillId="5" borderId="4" xfId="0" applyNumberFormat="1" applyFont="1" applyFill="1" applyBorder="1"/>
    <xf numFmtId="170" fontId="78" fillId="5" borderId="4" xfId="0" applyNumberFormat="1" applyFont="1" applyFill="1" applyBorder="1" applyAlignment="1">
      <alignment horizontal="center"/>
    </xf>
    <xf numFmtId="0" fontId="76" fillId="4" borderId="10" xfId="0" applyFont="1" applyFill="1" applyBorder="1" applyAlignment="1">
      <alignment horizontal="center" vertical="top"/>
    </xf>
    <xf numFmtId="0" fontId="76" fillId="4" borderId="10" xfId="0" applyFont="1" applyFill="1" applyBorder="1" applyAlignment="1">
      <alignment horizontal="center" wrapText="1"/>
    </xf>
    <xf numFmtId="0" fontId="76" fillId="4" borderId="10" xfId="0" applyFont="1" applyFill="1" applyBorder="1" applyAlignment="1">
      <alignment horizontal="center"/>
    </xf>
    <xf numFmtId="0" fontId="89" fillId="8" borderId="4" xfId="0" applyFont="1" applyFill="1" applyBorder="1" applyAlignment="1">
      <alignment horizontal="left"/>
    </xf>
    <xf numFmtId="0" fontId="90" fillId="8" borderId="4" xfId="0" applyFont="1" applyFill="1" applyBorder="1" applyAlignment="1">
      <alignment horizontal="right"/>
    </xf>
    <xf numFmtId="0" fontId="90" fillId="8" borderId="7" xfId="0" applyFont="1" applyFill="1" applyBorder="1"/>
    <xf numFmtId="0" fontId="90" fillId="8" borderId="13" xfId="0" applyFont="1" applyFill="1" applyBorder="1"/>
    <xf numFmtId="0" fontId="90" fillId="8" borderId="16" xfId="0" applyFont="1" applyFill="1" applyBorder="1"/>
    <xf numFmtId="0" fontId="89" fillId="8" borderId="4" xfId="0" applyFont="1" applyFill="1" applyBorder="1"/>
    <xf numFmtId="0" fontId="70" fillId="2" borderId="0" xfId="0" applyFont="1" applyFill="1" applyAlignment="1" applyProtection="1">
      <alignment horizontal="left" vertical="top"/>
      <protection locked="0"/>
    </xf>
    <xf numFmtId="0" fontId="90" fillId="8" borderId="7" xfId="0" applyFont="1" applyFill="1" applyBorder="1" applyAlignment="1">
      <alignment horizontal="left"/>
    </xf>
    <xf numFmtId="0" fontId="90" fillId="8" borderId="13" xfId="0" applyFont="1" applyFill="1" applyBorder="1" applyAlignment="1">
      <alignment horizontal="right"/>
    </xf>
    <xf numFmtId="0" fontId="90" fillId="8" borderId="12" xfId="0" applyFont="1" applyFill="1" applyBorder="1" applyAlignment="1">
      <alignment horizontal="right"/>
    </xf>
    <xf numFmtId="0" fontId="89" fillId="8" borderId="8" xfId="0" applyFont="1" applyFill="1" applyBorder="1"/>
    <xf numFmtId="0" fontId="70" fillId="2" borderId="0" xfId="0" applyFont="1" applyFill="1" applyAlignment="1" applyProtection="1">
      <alignment horizontal="left"/>
      <protection locked="0"/>
    </xf>
    <xf numFmtId="0" fontId="70" fillId="2" borderId="0" xfId="0" applyFont="1" applyFill="1" applyAlignment="1" applyProtection="1">
      <alignment horizontal="right" wrapText="1"/>
      <protection locked="0"/>
    </xf>
    <xf numFmtId="0" fontId="27" fillId="11" borderId="12" xfId="0" applyFont="1" applyFill="1" applyBorder="1" applyAlignment="1">
      <alignment horizontal="right" wrapText="1"/>
    </xf>
    <xf numFmtId="0" fontId="27" fillId="4" borderId="16" xfId="0" applyFont="1" applyFill="1" applyBorder="1" applyAlignment="1">
      <alignment horizontal="right" wrapText="1"/>
    </xf>
    <xf numFmtId="0" fontId="70"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2" fillId="0" borderId="0" xfId="0" applyFont="1" applyAlignment="1">
      <alignment horizontal="center"/>
    </xf>
    <xf numFmtId="178" fontId="22" fillId="0" borderId="0" xfId="0" applyNumberFormat="1" applyFont="1" applyAlignment="1">
      <alignment horizontal="center"/>
    </xf>
    <xf numFmtId="0" fontId="63" fillId="0" borderId="0" xfId="0" applyFont="1"/>
    <xf numFmtId="0" fontId="63" fillId="0" borderId="15" xfId="0" applyFont="1" applyBorder="1"/>
    <xf numFmtId="0" fontId="63" fillId="0" borderId="21" xfId="0" applyFont="1" applyBorder="1"/>
    <xf numFmtId="0" fontId="63" fillId="0" borderId="0" xfId="0" applyFont="1" applyAlignment="1">
      <alignment horizontal="left"/>
    </xf>
    <xf numFmtId="0" fontId="63" fillId="0" borderId="0" xfId="0" applyFont="1" applyAlignment="1">
      <alignment horizontal="right"/>
    </xf>
    <xf numFmtId="0" fontId="40" fillId="0" borderId="15" xfId="0" applyFont="1" applyBorder="1"/>
    <xf numFmtId="0" fontId="63" fillId="0" borderId="9" xfId="0" applyFont="1" applyBorder="1" applyAlignment="1">
      <alignment horizontal="right"/>
    </xf>
    <xf numFmtId="0" fontId="40" fillId="0" borderId="15" xfId="0" applyFont="1" applyBorder="1" applyAlignment="1">
      <alignment horizontal="right"/>
    </xf>
    <xf numFmtId="0" fontId="40" fillId="0" borderId="21" xfId="0" applyFont="1" applyBorder="1" applyAlignment="1">
      <alignment horizontal="right"/>
    </xf>
    <xf numFmtId="170" fontId="98" fillId="0" borderId="15" xfId="0" applyNumberFormat="1" applyFont="1" applyBorder="1"/>
    <xf numFmtId="179" fontId="98" fillId="0" borderId="0" xfId="0" applyNumberFormat="1" applyFont="1"/>
    <xf numFmtId="0" fontId="98" fillId="0" borderId="0" xfId="0" applyFont="1"/>
    <xf numFmtId="0" fontId="63" fillId="0" borderId="9" xfId="0" applyFont="1" applyBorder="1"/>
    <xf numFmtId="0" fontId="63" fillId="0" borderId="18" xfId="0" applyFont="1" applyBorder="1"/>
    <xf numFmtId="0" fontId="102" fillId="0" borderId="0" xfId="0" applyFont="1" applyAlignment="1">
      <alignment horizontal="center"/>
    </xf>
    <xf numFmtId="0" fontId="103" fillId="0" borderId="0" xfId="0" applyFont="1"/>
    <xf numFmtId="0" fontId="40"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40" fillId="0" borderId="14" xfId="0" applyFont="1" applyBorder="1" applyAlignment="1">
      <alignment horizontal="right"/>
    </xf>
    <xf numFmtId="0" fontId="40" fillId="0" borderId="20" xfId="0" applyFont="1" applyBorder="1" applyAlignment="1">
      <alignment horizontal="right"/>
    </xf>
    <xf numFmtId="0" fontId="98" fillId="0" borderId="21" xfId="0" applyFont="1" applyBorder="1" applyAlignment="1">
      <alignment horizontal="left"/>
    </xf>
    <xf numFmtId="178" fontId="98" fillId="0" borderId="0" xfId="0" applyNumberFormat="1" applyFont="1" applyAlignment="1">
      <alignment horizontal="left"/>
    </xf>
    <xf numFmtId="0" fontId="40" fillId="0" borderId="9" xfId="0" applyFont="1" applyBorder="1" applyAlignment="1">
      <alignment horizontal="right"/>
    </xf>
    <xf numFmtId="0" fontId="40"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78" fontId="98" fillId="0" borderId="15" xfId="0" applyNumberFormat="1" applyFont="1" applyBorder="1" applyAlignment="1">
      <alignment horizontal="left"/>
    </xf>
    <xf numFmtId="178" fontId="98" fillId="0" borderId="21" xfId="0" applyNumberFormat="1" applyFont="1" applyBorder="1" applyAlignment="1">
      <alignment horizontal="left"/>
    </xf>
    <xf numFmtId="0" fontId="109" fillId="0" borderId="0" xfId="6" applyFont="1"/>
    <xf numFmtId="0" fontId="41" fillId="0" borderId="0" xfId="0" applyFont="1" applyAlignment="1">
      <alignment horizontal="center"/>
    </xf>
    <xf numFmtId="0" fontId="40" fillId="0" borderId="0" xfId="0" applyFont="1" applyAlignment="1">
      <alignment horizontal="center"/>
    </xf>
    <xf numFmtId="1" fontId="40" fillId="0" borderId="0" xfId="0" applyNumberFormat="1" applyFont="1" applyAlignment="1">
      <alignment horizontal="center"/>
    </xf>
    <xf numFmtId="0" fontId="23" fillId="0" borderId="0" xfId="0" applyFont="1" applyAlignment="1">
      <alignment horizontal="right"/>
    </xf>
    <xf numFmtId="172" fontId="22" fillId="7" borderId="4" xfId="0" applyNumberFormat="1" applyFont="1" applyFill="1" applyBorder="1" applyProtection="1">
      <protection locked="0"/>
    </xf>
    <xf numFmtId="0" fontId="27" fillId="11" borderId="4" xfId="0" applyFont="1" applyFill="1" applyBorder="1" applyAlignment="1">
      <alignment horizontal="right"/>
    </xf>
    <xf numFmtId="164" fontId="8" fillId="0" borderId="8" xfId="0" applyNumberFormat="1" applyFont="1" applyBorder="1"/>
    <xf numFmtId="0" fontId="5" fillId="0" borderId="4" xfId="0" applyFont="1" applyBorder="1" applyAlignment="1">
      <alignment horizontal="right"/>
    </xf>
    <xf numFmtId="0" fontId="22" fillId="11" borderId="4" xfId="0" applyFont="1" applyFill="1" applyBorder="1" applyAlignment="1">
      <alignment horizontal="center"/>
    </xf>
    <xf numFmtId="2" fontId="8" fillId="0" borderId="8" xfId="0" applyNumberFormat="1" applyFont="1" applyBorder="1"/>
    <xf numFmtId="0" fontId="105" fillId="0" borderId="0" xfId="0" applyFont="1" applyAlignment="1">
      <alignment horizontal="left"/>
    </xf>
    <xf numFmtId="180" fontId="52" fillId="0" borderId="0" xfId="1" applyNumberFormat="1" applyAlignment="1">
      <alignment horizontal="left"/>
    </xf>
    <xf numFmtId="0" fontId="116" fillId="4" borderId="20" xfId="0" applyFont="1" applyFill="1" applyBorder="1" applyAlignment="1">
      <alignment horizontal="left" vertical="top"/>
    </xf>
    <xf numFmtId="49" fontId="8" fillId="0" borderId="0" xfId="0" applyNumberFormat="1" applyFont="1"/>
    <xf numFmtId="0" fontId="5" fillId="0" borderId="4" xfId="0" applyFont="1" applyBorder="1" applyAlignment="1">
      <alignment horizontal="center" vertical="top" wrapText="1"/>
    </xf>
    <xf numFmtId="0" fontId="8" fillId="0" borderId="0" xfId="0" applyFont="1" applyAlignment="1">
      <alignment horizontal="center"/>
    </xf>
    <xf numFmtId="0" fontId="22" fillId="11" borderId="7" xfId="0" applyFont="1" applyFill="1" applyBorder="1" applyAlignment="1">
      <alignment horizontal="center"/>
    </xf>
    <xf numFmtId="164" fontId="41" fillId="0" borderId="0" xfId="0" applyNumberFormat="1" applyFont="1"/>
    <xf numFmtId="0" fontId="5" fillId="0" borderId="0" xfId="0" applyFont="1" applyAlignment="1">
      <alignment horizontal="center" vertical="top" wrapText="1"/>
    </xf>
    <xf numFmtId="164" fontId="5" fillId="0" borderId="0" xfId="0" applyNumberFormat="1" applyFont="1" applyAlignment="1">
      <alignment horizontal="center"/>
    </xf>
    <xf numFmtId="0" fontId="5" fillId="0" borderId="4" xfId="0" applyFont="1" applyBorder="1" applyAlignment="1">
      <alignment horizontal="center"/>
    </xf>
    <xf numFmtId="164" fontId="5" fillId="0" borderId="4" xfId="0" applyNumberFormat="1" applyFont="1" applyBorder="1" applyAlignment="1">
      <alignment horizontal="right"/>
    </xf>
    <xf numFmtId="0" fontId="5" fillId="0" borderId="12" xfId="0" applyFont="1" applyBorder="1" applyAlignment="1">
      <alignment horizontal="center"/>
    </xf>
    <xf numFmtId="0" fontId="5" fillId="0" borderId="12" xfId="0" applyFont="1" applyBorder="1"/>
    <xf numFmtId="0" fontId="32" fillId="0" borderId="20" xfId="0" applyFont="1" applyBorder="1" applyAlignment="1">
      <alignment horizontal="left"/>
    </xf>
    <xf numFmtId="0" fontId="32" fillId="0" borderId="0" xfId="0" applyFont="1" applyAlignment="1">
      <alignment horizontal="left"/>
    </xf>
    <xf numFmtId="14" fontId="32" fillId="0" borderId="20" xfId="0" applyNumberFormat="1" applyFont="1" applyBorder="1" applyAlignment="1">
      <alignment horizontal="left"/>
    </xf>
    <xf numFmtId="166" fontId="32" fillId="0" borderId="20" xfId="0" applyNumberFormat="1" applyFont="1" applyBorder="1" applyAlignment="1">
      <alignment horizontal="left"/>
    </xf>
    <xf numFmtId="0" fontId="32"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7" fillId="0" borderId="26" xfId="0" applyFont="1" applyBorder="1" applyAlignment="1">
      <alignment horizontal="center"/>
    </xf>
    <xf numFmtId="0" fontId="27" fillId="0" borderId="27" xfId="0" applyFont="1" applyBorder="1" applyAlignment="1">
      <alignment horizontal="center"/>
    </xf>
    <xf numFmtId="0" fontId="27" fillId="0" borderId="28" xfId="0" applyFont="1" applyBorder="1" applyAlignment="1">
      <alignment horizontal="center"/>
    </xf>
    <xf numFmtId="0" fontId="27"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0" fontId="78" fillId="5" borderId="4" xfId="0" applyNumberFormat="1" applyFont="1" applyFill="1" applyBorder="1" applyAlignment="1">
      <alignment horizontal="left"/>
    </xf>
    <xf numFmtId="0" fontId="118" fillId="0" borderId="0" xfId="1" applyFont="1" applyProtection="1">
      <protection locked="0"/>
    </xf>
    <xf numFmtId="0" fontId="8" fillId="2" borderId="0" xfId="0" applyFont="1" applyFill="1" applyProtection="1">
      <protection hidden="1"/>
    </xf>
    <xf numFmtId="14" fontId="22" fillId="3" borderId="4" xfId="0" applyNumberFormat="1" applyFont="1" applyFill="1" applyBorder="1" applyAlignment="1">
      <alignment horizontal="left"/>
    </xf>
    <xf numFmtId="172" fontId="22" fillId="13" borderId="4" xfId="0" applyNumberFormat="1" applyFont="1" applyFill="1" applyBorder="1" applyAlignment="1" applyProtection="1">
      <alignment horizontal="left"/>
      <protection locked="0"/>
    </xf>
    <xf numFmtId="165" fontId="22" fillId="13" borderId="4" xfId="0" applyNumberFormat="1" applyFont="1" applyFill="1" applyBorder="1" applyAlignment="1" applyProtection="1">
      <alignment horizontal="left"/>
      <protection locked="0"/>
    </xf>
    <xf numFmtId="0" fontId="22" fillId="13" borderId="4" xfId="0" applyFont="1" applyFill="1" applyBorder="1" applyAlignment="1" applyProtection="1">
      <alignment horizontal="left"/>
      <protection locked="0"/>
    </xf>
    <xf numFmtId="0" fontId="75" fillId="13" borderId="4" xfId="0" applyFont="1" applyFill="1" applyBorder="1" applyAlignment="1" applyProtection="1">
      <alignment horizontal="left"/>
      <protection locked="0"/>
    </xf>
    <xf numFmtId="1" fontId="82" fillId="13" borderId="12" xfId="0" applyNumberFormat="1" applyFont="1" applyFill="1" applyBorder="1" applyAlignment="1" applyProtection="1">
      <alignment horizontal="left"/>
      <protection locked="0"/>
    </xf>
    <xf numFmtId="172" fontId="22" fillId="3" borderId="11" xfId="0" applyNumberFormat="1" applyFont="1" applyFill="1" applyBorder="1" applyAlignment="1">
      <alignment horizontal="left"/>
    </xf>
    <xf numFmtId="0" fontId="113" fillId="2" borderId="0" xfId="0" applyFont="1" applyFill="1" applyProtection="1">
      <protection hidden="1"/>
    </xf>
    <xf numFmtId="49" fontId="40" fillId="0" borderId="0" xfId="0" applyNumberFormat="1" applyFont="1" applyProtection="1">
      <protection locked="0"/>
    </xf>
    <xf numFmtId="0" fontId="32" fillId="13" borderId="4" xfId="0" applyFont="1" applyFill="1" applyBorder="1" applyAlignment="1" applyProtection="1">
      <alignment horizontal="left"/>
      <protection locked="0"/>
    </xf>
    <xf numFmtId="0" fontId="8" fillId="13" borderId="4" xfId="0" applyFont="1" applyFill="1" applyBorder="1" applyProtection="1">
      <protection locked="0"/>
    </xf>
    <xf numFmtId="19" fontId="22" fillId="13" borderId="4" xfId="0" applyNumberFormat="1" applyFont="1" applyFill="1" applyBorder="1" applyAlignment="1" applyProtection="1">
      <alignment horizontal="left"/>
      <protection locked="0"/>
    </xf>
    <xf numFmtId="0" fontId="56" fillId="0" borderId="0" xfId="0" applyFont="1" applyProtection="1">
      <protection hidden="1"/>
    </xf>
    <xf numFmtId="0" fontId="56" fillId="0" borderId="0" xfId="0" applyFont="1" applyAlignment="1" applyProtection="1">
      <alignment horizontal="left"/>
      <protection hidden="1"/>
    </xf>
    <xf numFmtId="49" fontId="32" fillId="13" borderId="4" xfId="0" applyNumberFormat="1" applyFont="1" applyFill="1" applyBorder="1" applyAlignment="1" applyProtection="1">
      <alignment horizontal="left"/>
      <protection locked="0"/>
    </xf>
    <xf numFmtId="166" fontId="22" fillId="13" borderId="4" xfId="0" applyNumberFormat="1" applyFont="1" applyFill="1" applyBorder="1" applyAlignment="1" applyProtection="1">
      <alignment horizontal="left"/>
      <protection locked="0"/>
    </xf>
    <xf numFmtId="1" fontId="22"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0" fontId="22" fillId="7" borderId="4" xfId="0" applyFont="1" applyFill="1" applyBorder="1" applyAlignment="1">
      <alignment horizontal="center"/>
    </xf>
    <xf numFmtId="0" fontId="8" fillId="13" borderId="7" xfId="0" applyFont="1" applyFill="1" applyBorder="1" applyProtection="1">
      <protection locked="0"/>
    </xf>
    <xf numFmtId="0" fontId="22" fillId="11" borderId="12" xfId="0" applyFont="1" applyFill="1" applyBorder="1" applyAlignment="1">
      <alignment horizontal="center"/>
    </xf>
    <xf numFmtId="0" fontId="70" fillId="2" borderId="0" xfId="0" applyFont="1" applyFill="1"/>
    <xf numFmtId="0" fontId="73" fillId="2" borderId="0" xfId="0" applyFont="1" applyFill="1"/>
    <xf numFmtId="0" fontId="77" fillId="2" borderId="0" xfId="0" applyFont="1" applyFill="1"/>
    <xf numFmtId="0" fontId="113" fillId="2" borderId="0" xfId="0" applyFont="1" applyFill="1"/>
    <xf numFmtId="0" fontId="8" fillId="2" borderId="0" xfId="0" applyFont="1" applyFill="1"/>
    <xf numFmtId="0" fontId="5" fillId="9" borderId="0" xfId="0" applyFont="1" applyFill="1" applyAlignment="1">
      <alignment horizontal="center"/>
    </xf>
    <xf numFmtId="0" fontId="27" fillId="9" borderId="19" xfId="0" applyFont="1" applyFill="1" applyBorder="1"/>
    <xf numFmtId="0" fontId="27" fillId="9" borderId="17" xfId="0" applyFont="1" applyFill="1" applyBorder="1"/>
    <xf numFmtId="0" fontId="32" fillId="9" borderId="19" xfId="0" applyFont="1" applyFill="1" applyBorder="1"/>
    <xf numFmtId="0" fontId="27" fillId="9" borderId="0" xfId="0" applyFont="1" applyFill="1"/>
    <xf numFmtId="0" fontId="27" fillId="9" borderId="19" xfId="0" applyFont="1" applyFill="1" applyBorder="1" applyAlignment="1">
      <alignment vertical="top" wrapText="1"/>
    </xf>
    <xf numFmtId="0" fontId="27" fillId="9" borderId="0" xfId="0" applyFont="1" applyFill="1" applyAlignment="1">
      <alignment vertical="top" wrapText="1"/>
    </xf>
    <xf numFmtId="0" fontId="22" fillId="9" borderId="17" xfId="0" applyFont="1" applyFill="1" applyBorder="1" applyAlignment="1">
      <alignment horizontal="center"/>
    </xf>
    <xf numFmtId="164" fontId="8" fillId="9" borderId="17" xfId="0" applyNumberFormat="1" applyFont="1" applyFill="1" applyBorder="1"/>
    <xf numFmtId="0" fontId="56" fillId="2" borderId="0" xfId="0" applyFont="1" applyFill="1"/>
    <xf numFmtId="0" fontId="70" fillId="2" borderId="0" xfId="0" applyFont="1" applyFill="1" applyAlignment="1">
      <alignment horizontal="left" vertical="top"/>
    </xf>
    <xf numFmtId="0" fontId="70" fillId="2" borderId="0" xfId="0" applyFont="1" applyFill="1" applyAlignment="1">
      <alignment horizontal="left"/>
    </xf>
    <xf numFmtId="0" fontId="70" fillId="2" borderId="0" xfId="0" applyFont="1" applyFill="1" applyAlignment="1">
      <alignment horizontal="left" vertical="center"/>
    </xf>
    <xf numFmtId="0" fontId="70" fillId="2" borderId="0" xfId="0" applyFont="1" applyFill="1" applyAlignment="1">
      <alignment horizontal="right" wrapText="1"/>
    </xf>
    <xf numFmtId="0" fontId="69" fillId="2" borderId="0" xfId="0" applyFont="1" applyFill="1"/>
    <xf numFmtId="0" fontId="69" fillId="2" borderId="0" xfId="0" applyFont="1" applyFill="1" applyAlignment="1">
      <alignment horizontal="center"/>
    </xf>
    <xf numFmtId="0" fontId="81" fillId="2" borderId="0" xfId="0" applyFont="1" applyFill="1"/>
    <xf numFmtId="0" fontId="75" fillId="2" borderId="0" xfId="0" applyFont="1" applyFill="1" applyAlignment="1">
      <alignment horizontal="right" wrapText="1"/>
    </xf>
    <xf numFmtId="0" fontId="75" fillId="2" borderId="0" xfId="0" applyFont="1" applyFill="1" applyAlignment="1">
      <alignment horizontal="left"/>
    </xf>
    <xf numFmtId="0" fontId="54" fillId="2" borderId="0" xfId="0" applyFont="1" applyFill="1"/>
    <xf numFmtId="0" fontId="69" fillId="2" borderId="0" xfId="0" applyFont="1" applyFill="1" applyAlignment="1">
      <alignment horizontal="right"/>
    </xf>
    <xf numFmtId="0" fontId="73" fillId="2" borderId="0" xfId="0" applyFont="1" applyFill="1" applyAlignment="1">
      <alignment horizontal="right"/>
    </xf>
    <xf numFmtId="170" fontId="85" fillId="2" borderId="0" xfId="0" applyNumberFormat="1" applyFont="1" applyFill="1"/>
    <xf numFmtId="0" fontId="74" fillId="2" borderId="0" xfId="0" applyFont="1" applyFill="1" applyAlignment="1">
      <alignment horizontal="right" wrapText="1"/>
    </xf>
    <xf numFmtId="170" fontId="81" fillId="2" borderId="0" xfId="0" applyNumberFormat="1" applyFont="1" applyFill="1"/>
    <xf numFmtId="176" fontId="77" fillId="2" borderId="0" xfId="0" applyNumberFormat="1" applyFont="1" applyFill="1"/>
    <xf numFmtId="173" fontId="113" fillId="2" borderId="0" xfId="0" applyNumberFormat="1" applyFont="1" applyFill="1"/>
    <xf numFmtId="1" fontId="73" fillId="2" borderId="0" xfId="0" applyNumberFormat="1" applyFont="1" applyFill="1"/>
    <xf numFmtId="0" fontId="112" fillId="2" borderId="0" xfId="0" applyFont="1" applyFill="1"/>
    <xf numFmtId="0" fontId="114" fillId="2" borderId="0" xfId="0" applyFont="1" applyFill="1"/>
    <xf numFmtId="174" fontId="113" fillId="2" borderId="0" xfId="0" applyNumberFormat="1" applyFont="1" applyFill="1"/>
    <xf numFmtId="0" fontId="87" fillId="2" borderId="0" xfId="0" applyFont="1" applyFill="1" applyAlignment="1">
      <alignment horizontal="left"/>
    </xf>
    <xf numFmtId="0" fontId="87" fillId="2" borderId="0" xfId="0" applyFont="1" applyFill="1"/>
    <xf numFmtId="0" fontId="70" fillId="2" borderId="0" xfId="0" applyFont="1" applyFill="1" applyAlignment="1">
      <alignment horizontal="right" vertical="top"/>
    </xf>
    <xf numFmtId="0" fontId="70" fillId="2" borderId="0" xfId="0" applyFont="1" applyFill="1" applyAlignment="1">
      <alignment horizontal="right"/>
    </xf>
    <xf numFmtId="0" fontId="70" fillId="9" borderId="0" xfId="0" applyFont="1" applyFill="1"/>
    <xf numFmtId="0" fontId="75" fillId="2" borderId="0" xfId="0" applyFont="1" applyFill="1" applyAlignment="1">
      <alignment horizontal="left" vertical="top"/>
    </xf>
    <xf numFmtId="0" fontId="74" fillId="2" borderId="0" xfId="0" applyFont="1" applyFill="1"/>
    <xf numFmtId="0" fontId="22" fillId="2" borderId="0" xfId="0" applyFont="1" applyFill="1"/>
    <xf numFmtId="0" fontId="8" fillId="9" borderId="11" xfId="0" applyFont="1" applyFill="1" applyBorder="1"/>
    <xf numFmtId="0" fontId="56" fillId="2" borderId="19" xfId="0" applyFont="1" applyFill="1" applyBorder="1"/>
    <xf numFmtId="0" fontId="27" fillId="9" borderId="21" xfId="0" applyFont="1" applyFill="1" applyBorder="1" applyAlignment="1">
      <alignment horizontal="center"/>
    </xf>
    <xf numFmtId="164" fontId="22" fillId="2" borderId="0" xfId="0" applyNumberFormat="1" applyFont="1" applyFill="1"/>
    <xf numFmtId="164" fontId="27" fillId="2" borderId="0" xfId="0" applyNumberFormat="1" applyFont="1" applyFill="1"/>
    <xf numFmtId="0" fontId="88" fillId="2" borderId="0" xfId="0" applyFont="1" applyFill="1"/>
    <xf numFmtId="0" fontId="27" fillId="9" borderId="0" xfId="0" applyFont="1" applyFill="1" applyAlignment="1">
      <alignment horizontal="center" vertical="top" wrapText="1"/>
    </xf>
    <xf numFmtId="0" fontId="93" fillId="2" borderId="0" xfId="0" applyFont="1" applyFill="1"/>
    <xf numFmtId="0" fontId="22" fillId="9" borderId="20" xfId="0" applyFont="1" applyFill="1" applyBorder="1" applyAlignment="1">
      <alignment horizontal="center"/>
    </xf>
    <xf numFmtId="0" fontId="92" fillId="2" borderId="0" xfId="0" applyFont="1" applyFill="1"/>
    <xf numFmtId="0" fontId="55" fillId="2" borderId="0" xfId="0" applyFont="1" applyFill="1"/>
    <xf numFmtId="0" fontId="110" fillId="2" borderId="0" xfId="0" applyFont="1" applyFill="1"/>
    <xf numFmtId="0" fontId="111" fillId="2" borderId="0" xfId="0" applyFont="1" applyFill="1" applyAlignment="1">
      <alignment horizontal="right"/>
    </xf>
    <xf numFmtId="0" fontId="91" fillId="2" borderId="0" xfId="0" applyFont="1" applyFill="1" applyAlignment="1">
      <alignment horizontal="left" vertical="top"/>
    </xf>
    <xf numFmtId="18" fontId="22" fillId="13" borderId="4" xfId="0" applyNumberFormat="1" applyFont="1" applyFill="1" applyBorder="1" applyAlignment="1" applyProtection="1">
      <alignment horizontal="left"/>
      <protection locked="0"/>
    </xf>
    <xf numFmtId="0" fontId="97" fillId="0" borderId="0" xfId="6"/>
    <xf numFmtId="0" fontId="22" fillId="7" borderId="8" xfId="0" applyFont="1" applyFill="1" applyBorder="1" applyAlignment="1" applyProtection="1">
      <alignment horizontal="left"/>
      <protection locked="0"/>
    </xf>
    <xf numFmtId="0" fontId="22" fillId="3" borderId="4" xfId="0" applyFont="1" applyFill="1" applyBorder="1"/>
    <xf numFmtId="164" fontId="27" fillId="11" borderId="4" xfId="0" applyNumberFormat="1" applyFont="1" applyFill="1" applyBorder="1" applyAlignment="1">
      <alignment horizontal="right"/>
    </xf>
    <xf numFmtId="164" fontId="27"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70" fillId="11" borderId="7" xfId="0" applyFont="1" applyFill="1" applyBorder="1" applyAlignment="1">
      <alignment horizontal="right"/>
    </xf>
    <xf numFmtId="0" fontId="70" fillId="11" borderId="13" xfId="0" applyFont="1" applyFill="1" applyBorder="1" applyAlignment="1">
      <alignment horizontal="right"/>
    </xf>
    <xf numFmtId="0" fontId="27" fillId="11" borderId="12" xfId="0" applyFont="1" applyFill="1" applyBorder="1" applyAlignment="1">
      <alignment horizontal="right"/>
    </xf>
    <xf numFmtId="0" fontId="27" fillId="4" borderId="4" xfId="0" applyFont="1" applyFill="1" applyBorder="1" applyAlignment="1">
      <alignment horizontal="right"/>
    </xf>
    <xf numFmtId="0" fontId="121" fillId="4" borderId="4" xfId="6" applyFont="1" applyFill="1" applyBorder="1" applyAlignment="1" applyProtection="1">
      <alignment horizontal="right"/>
    </xf>
    <xf numFmtId="0" fontId="27" fillId="4" borderId="4" xfId="0" applyFont="1" applyFill="1" applyBorder="1" applyAlignment="1">
      <alignment horizontal="right" vertical="top"/>
    </xf>
    <xf numFmtId="0" fontId="8" fillId="13" borderId="11" xfId="0" applyFont="1" applyFill="1" applyBorder="1" applyProtection="1">
      <protection locked="0"/>
    </xf>
    <xf numFmtId="0" fontId="27" fillId="13" borderId="4" xfId="0" applyFont="1" applyFill="1" applyBorder="1" applyAlignment="1" applyProtection="1">
      <alignment horizontal="center"/>
      <protection locked="0"/>
    </xf>
    <xf numFmtId="164" fontId="8" fillId="13" borderId="4" xfId="0" applyNumberFormat="1" applyFont="1" applyFill="1" applyBorder="1" applyProtection="1">
      <protection locked="0"/>
    </xf>
    <xf numFmtId="20" fontId="8" fillId="13" borderId="4" xfId="0" applyNumberFormat="1" applyFont="1" applyFill="1" applyBorder="1" applyProtection="1">
      <protection locked="0"/>
    </xf>
    <xf numFmtId="164" fontId="8" fillId="13" borderId="7" xfId="0" applyNumberFormat="1" applyFont="1" applyFill="1" applyBorder="1" applyProtection="1">
      <protection locked="0"/>
    </xf>
    <xf numFmtId="164" fontId="8" fillId="13" borderId="12" xfId="0" applyNumberFormat="1" applyFont="1" applyFill="1" applyBorder="1" applyProtection="1">
      <protection locked="0"/>
    </xf>
    <xf numFmtId="181" fontId="0" fillId="0" borderId="0" xfId="0" applyNumberFormat="1"/>
    <xf numFmtId="182" fontId="0" fillId="0" borderId="0" xfId="0" applyNumberFormat="1"/>
    <xf numFmtId="0" fontId="22" fillId="13" borderId="7" xfId="0" applyFont="1" applyFill="1" applyBorder="1" applyProtection="1">
      <protection locked="0"/>
    </xf>
    <xf numFmtId="0" fontId="70" fillId="13" borderId="12" xfId="0" applyFont="1" applyFill="1" applyBorder="1"/>
    <xf numFmtId="21" fontId="8" fillId="0" borderId="0" xfId="3" applyNumberFormat="1" applyProtection="1">
      <protection locked="0"/>
    </xf>
    <xf numFmtId="0" fontId="27" fillId="4" borderId="12" xfId="0" applyFont="1" applyFill="1" applyBorder="1" applyAlignment="1">
      <alignment horizontal="right" wrapText="1"/>
    </xf>
    <xf numFmtId="0" fontId="6" fillId="0" borderId="0" xfId="0" applyFont="1" applyProtection="1">
      <protection locked="0"/>
    </xf>
    <xf numFmtId="0" fontId="33"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5" fillId="0" borderId="0" xfId="0" applyNumberFormat="1" applyFont="1" applyAlignment="1">
      <alignment horizontal="right"/>
    </xf>
    <xf numFmtId="0" fontId="35"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6" fillId="4" borderId="4" xfId="0" applyNumberFormat="1" applyFont="1" applyFill="1" applyBorder="1" applyAlignment="1">
      <alignment horizontal="center"/>
    </xf>
    <xf numFmtId="0" fontId="8" fillId="16" borderId="14" xfId="0" applyFont="1" applyFill="1" applyBorder="1" applyAlignment="1">
      <alignment horizontal="left"/>
    </xf>
    <xf numFmtId="0" fontId="8" fillId="16" borderId="16" xfId="0" applyFont="1" applyFill="1" applyBorder="1"/>
    <xf numFmtId="0" fontId="8" fillId="16" borderId="20" xfId="0" applyFont="1" applyFill="1" applyBorder="1" applyAlignment="1">
      <alignment horizontal="left"/>
    </xf>
    <xf numFmtId="2" fontId="8" fillId="16" borderId="17" xfId="0" applyNumberFormat="1" applyFont="1" applyFill="1" applyBorder="1"/>
    <xf numFmtId="0" fontId="8" fillId="16" borderId="30" xfId="0" applyFont="1" applyFill="1" applyBorder="1" applyAlignment="1">
      <alignment horizontal="left"/>
    </xf>
    <xf numFmtId="164" fontId="0" fillId="16" borderId="31" xfId="0" applyNumberFormat="1" applyFill="1" applyBorder="1"/>
    <xf numFmtId="0" fontId="8" fillId="17" borderId="20" xfId="0" applyFont="1" applyFill="1" applyBorder="1" applyAlignment="1">
      <alignment horizontal="left"/>
    </xf>
    <xf numFmtId="1" fontId="8" fillId="17" borderId="17" xfId="0" applyNumberFormat="1" applyFont="1" applyFill="1" applyBorder="1"/>
    <xf numFmtId="2" fontId="8" fillId="17" borderId="17" xfId="0" applyNumberFormat="1" applyFont="1" applyFill="1" applyBorder="1"/>
    <xf numFmtId="164" fontId="8" fillId="17" borderId="17" xfId="0" applyNumberFormat="1" applyFont="1" applyFill="1" applyBorder="1"/>
    <xf numFmtId="0" fontId="8"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81"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31" fillId="0" borderId="0" xfId="0" applyNumberFormat="1" applyFont="1" applyProtection="1">
      <protection locked="0"/>
    </xf>
    <xf numFmtId="0" fontId="32" fillId="3" borderId="4" xfId="0" applyFont="1" applyFill="1" applyBorder="1" applyAlignment="1" applyProtection="1">
      <alignment horizontal="left"/>
      <protection locked="0"/>
    </xf>
    <xf numFmtId="49" fontId="32" fillId="3" borderId="4" xfId="0" applyNumberFormat="1" applyFont="1" applyFill="1" applyBorder="1" applyAlignment="1" applyProtection="1">
      <alignment horizontal="left"/>
      <protection locked="0"/>
    </xf>
    <xf numFmtId="170" fontId="8" fillId="0" borderId="0" xfId="3" applyNumberFormat="1" applyProtection="1">
      <protection locked="0"/>
    </xf>
    <xf numFmtId="164" fontId="8"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3" fillId="2" borderId="0" xfId="0" applyFont="1" applyFill="1" applyProtection="1">
      <protection hidden="1"/>
    </xf>
    <xf numFmtId="0" fontId="77" fillId="2" borderId="0" xfId="0" applyFont="1" applyFill="1" applyProtection="1">
      <protection hidden="1"/>
    </xf>
    <xf numFmtId="1" fontId="22" fillId="2" borderId="0" xfId="0" applyNumberFormat="1" applyFont="1" applyFill="1" applyAlignment="1">
      <alignment horizontal="right" vertical="center"/>
    </xf>
    <xf numFmtId="1" fontId="113" fillId="2" borderId="0" xfId="0" applyNumberFormat="1" applyFont="1" applyFill="1" applyProtection="1">
      <protection hidden="1"/>
    </xf>
    <xf numFmtId="0" fontId="5" fillId="2" borderId="0" xfId="0" applyFont="1" applyFill="1" applyAlignment="1">
      <alignment horizontal="left"/>
    </xf>
    <xf numFmtId="0" fontId="76" fillId="4" borderId="16" xfId="0" applyFont="1" applyFill="1" applyBorder="1" applyAlignment="1">
      <alignment wrapText="1"/>
    </xf>
    <xf numFmtId="0" fontId="76" fillId="4" borderId="32" xfId="0" applyFont="1" applyFill="1" applyBorder="1" applyAlignment="1">
      <alignment wrapText="1"/>
    </xf>
    <xf numFmtId="0" fontId="22" fillId="3" borderId="4" xfId="0" applyFont="1" applyFill="1" applyBorder="1" applyAlignment="1">
      <alignment horizontal="left"/>
    </xf>
    <xf numFmtId="2" fontId="8" fillId="0" borderId="0" xfId="0" applyNumberFormat="1" applyFont="1"/>
    <xf numFmtId="0" fontId="22" fillId="13" borderId="4" xfId="0" applyFont="1" applyFill="1" applyBorder="1" applyAlignment="1">
      <alignment horizontal="right"/>
    </xf>
    <xf numFmtId="49" fontId="22" fillId="3" borderId="8" xfId="0" applyNumberFormat="1" applyFont="1" applyFill="1" applyBorder="1" applyAlignment="1" applyProtection="1">
      <alignment horizontal="right"/>
      <protection locked="0"/>
    </xf>
    <xf numFmtId="49" fontId="22" fillId="3" borderId="8" xfId="0" applyNumberFormat="1" applyFont="1" applyFill="1" applyBorder="1" applyProtection="1">
      <protection locked="0"/>
    </xf>
    <xf numFmtId="49" fontId="75" fillId="3" borderId="8" xfId="0" applyNumberFormat="1" applyFont="1" applyFill="1" applyBorder="1" applyProtection="1">
      <protection locked="0"/>
    </xf>
    <xf numFmtId="49" fontId="22" fillId="3" borderId="4" xfId="0" applyNumberFormat="1" applyFont="1" applyFill="1" applyBorder="1" applyAlignment="1" applyProtection="1">
      <alignment horizontal="right"/>
      <protection locked="0"/>
    </xf>
    <xf numFmtId="49" fontId="75" fillId="3" borderId="4" xfId="0" applyNumberFormat="1" applyFont="1" applyFill="1" applyBorder="1" applyAlignment="1" applyProtection="1">
      <alignment horizontal="right"/>
      <protection locked="0"/>
    </xf>
    <xf numFmtId="49" fontId="75"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8" fillId="9" borderId="21" xfId="0" applyFont="1" applyFill="1" applyBorder="1" applyAlignment="1">
      <alignment horizontal="center"/>
    </xf>
    <xf numFmtId="0" fontId="8" fillId="2" borderId="0" xfId="0" applyFont="1" applyFill="1" applyAlignment="1">
      <alignment horizontal="right"/>
    </xf>
    <xf numFmtId="182" fontId="70" fillId="2" borderId="0" xfId="0" applyNumberFormat="1" applyFont="1" applyFill="1"/>
    <xf numFmtId="182" fontId="56" fillId="2" borderId="0" xfId="0" applyNumberFormat="1" applyFont="1" applyFill="1"/>
    <xf numFmtId="182" fontId="8" fillId="2" borderId="0" xfId="0" applyNumberFormat="1" applyFont="1" applyFill="1"/>
    <xf numFmtId="0" fontId="122" fillId="14" borderId="33" xfId="0" applyFont="1" applyFill="1" applyBorder="1" applyAlignment="1">
      <alignment horizontal="center"/>
    </xf>
    <xf numFmtId="165" fontId="80" fillId="5" borderId="4" xfId="0" applyNumberFormat="1" applyFont="1" applyFill="1" applyBorder="1"/>
    <xf numFmtId="0" fontId="80" fillId="5" borderId="7" xfId="0" applyFont="1" applyFill="1" applyBorder="1" applyAlignment="1">
      <alignment horizontal="left"/>
    </xf>
    <xf numFmtId="0" fontId="80" fillId="5" borderId="12" xfId="0" applyFont="1" applyFill="1" applyBorder="1" applyAlignment="1">
      <alignment horizontal="left"/>
    </xf>
    <xf numFmtId="0" fontId="22" fillId="3" borderId="8" xfId="0" applyFont="1" applyFill="1" applyBorder="1" applyAlignment="1" applyProtection="1">
      <alignment horizontal="right" vertical="top"/>
      <protection locked="0"/>
    </xf>
    <xf numFmtId="1" fontId="22" fillId="3" borderId="8" xfId="0" applyNumberFormat="1" applyFont="1" applyFill="1" applyBorder="1" applyAlignment="1" applyProtection="1">
      <alignment horizontal="right" vertical="top"/>
      <protection locked="0"/>
    </xf>
    <xf numFmtId="1" fontId="22" fillId="3" borderId="4" xfId="0" applyNumberFormat="1" applyFont="1" applyFill="1" applyBorder="1" applyAlignment="1" applyProtection="1">
      <alignment horizontal="right" vertical="top"/>
      <protection locked="0"/>
    </xf>
    <xf numFmtId="1" fontId="75"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3" fontId="0" fillId="0" borderId="0" xfId="0" applyNumberFormat="1"/>
    <xf numFmtId="0" fontId="8"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5" fillId="18" borderId="35" xfId="0" applyFont="1" applyFill="1" applyBorder="1"/>
    <xf numFmtId="0" fontId="5" fillId="18" borderId="36" xfId="0" applyFont="1" applyFill="1" applyBorder="1"/>
    <xf numFmtId="0" fontId="5" fillId="18" borderId="10" xfId="0" applyFont="1" applyFill="1" applyBorder="1"/>
    <xf numFmtId="164" fontId="113" fillId="9" borderId="20" xfId="0" applyNumberFormat="1" applyFont="1" applyFill="1" applyBorder="1"/>
    <xf numFmtId="0" fontId="32" fillId="13" borderId="4" xfId="0" applyFont="1" applyFill="1" applyBorder="1" applyAlignment="1" applyProtection="1">
      <alignment horizontal="center"/>
      <protection locked="0"/>
    </xf>
    <xf numFmtId="0" fontId="127" fillId="19" borderId="37" xfId="0" applyFont="1" applyFill="1" applyBorder="1"/>
    <xf numFmtId="14" fontId="0" fillId="0" borderId="0" xfId="0" applyNumberFormat="1"/>
    <xf numFmtId="14" fontId="32" fillId="3" borderId="4" xfId="0" applyNumberFormat="1" applyFont="1" applyFill="1" applyBorder="1" applyAlignment="1" applyProtection="1">
      <alignment horizontal="left"/>
      <protection locked="0"/>
    </xf>
    <xf numFmtId="0" fontId="22" fillId="10" borderId="4" xfId="0" applyFont="1" applyFill="1" applyBorder="1" applyAlignment="1">
      <alignment horizontal="left"/>
    </xf>
    <xf numFmtId="0" fontId="5" fillId="18" borderId="0" xfId="0" applyFont="1" applyFill="1"/>
    <xf numFmtId="0" fontId="128" fillId="2" borderId="0" xfId="0" applyFont="1" applyFill="1" applyProtection="1">
      <protection locked="0"/>
    </xf>
    <xf numFmtId="164" fontId="22" fillId="3" borderId="4" xfId="0" applyNumberFormat="1" applyFont="1" applyFill="1" applyBorder="1" applyAlignment="1" applyProtection="1">
      <alignment horizontal="right"/>
      <protection locked="0"/>
    </xf>
    <xf numFmtId="180" fontId="84" fillId="8" borderId="4" xfId="0" applyNumberFormat="1" applyFont="1" applyFill="1" applyBorder="1" applyAlignment="1" applyProtection="1">
      <alignment horizontal="left"/>
      <protection locked="0"/>
    </xf>
    <xf numFmtId="0" fontId="2" fillId="0" borderId="0" xfId="1" applyFont="1" applyAlignment="1">
      <alignment horizontal="left"/>
    </xf>
    <xf numFmtId="0" fontId="129" fillId="2" borderId="0" xfId="0" applyFont="1" applyFill="1"/>
    <xf numFmtId="0" fontId="130" fillId="2" borderId="0" xfId="0" applyFont="1" applyFill="1"/>
    <xf numFmtId="184" fontId="27" fillId="7" borderId="4" xfId="0" applyNumberFormat="1" applyFont="1" applyFill="1" applyBorder="1" applyAlignment="1" applyProtection="1">
      <alignment horizontal="left"/>
      <protection locked="0"/>
    </xf>
    <xf numFmtId="184" fontId="0" fillId="0" borderId="0" xfId="0" applyNumberFormat="1"/>
    <xf numFmtId="0" fontId="131" fillId="2" borderId="0" xfId="0" applyFont="1" applyFill="1"/>
    <xf numFmtId="0" fontId="131" fillId="2" borderId="0" xfId="0" applyFont="1" applyFill="1" applyAlignment="1">
      <alignment horizontal="left"/>
    </xf>
    <xf numFmtId="0" fontId="132" fillId="2" borderId="0" xfId="0" applyFont="1" applyFill="1" applyProtection="1">
      <protection hidden="1"/>
    </xf>
    <xf numFmtId="22" fontId="0" fillId="0" borderId="0" xfId="0" applyNumberFormat="1"/>
    <xf numFmtId="0" fontId="1" fillId="0" borderId="0" xfId="7"/>
    <xf numFmtId="0" fontId="1" fillId="20" borderId="4" xfId="7" applyFill="1" applyBorder="1" applyProtection="1">
      <protection locked="0"/>
    </xf>
    <xf numFmtId="0" fontId="126" fillId="0" borderId="0" xfId="7" applyFont="1"/>
    <xf numFmtId="0" fontId="1" fillId="0" borderId="0" xfId="7" applyProtection="1">
      <protection locked="0"/>
    </xf>
    <xf numFmtId="0" fontId="116" fillId="11" borderId="7" xfId="0" applyFont="1" applyFill="1" applyBorder="1" applyAlignment="1">
      <alignment horizontal="left" vertical="top"/>
    </xf>
    <xf numFmtId="0" fontId="54" fillId="2" borderId="0" xfId="0" applyFont="1" applyFill="1" applyAlignment="1">
      <alignment horizontal="left" vertical="top"/>
    </xf>
    <xf numFmtId="0" fontId="112" fillId="2" borderId="0" xfId="0" applyFont="1" applyFill="1" applyAlignment="1">
      <alignment horizontal="left" vertical="top"/>
    </xf>
    <xf numFmtId="0" fontId="97" fillId="2" borderId="0" xfId="6" applyFill="1" applyAlignment="1">
      <alignment horizontal="left" vertical="top"/>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83" fillId="4" borderId="7" xfId="0" applyFont="1" applyFill="1" applyBorder="1" applyAlignment="1">
      <alignment horizontal="right"/>
    </xf>
    <xf numFmtId="0" fontId="83" fillId="4" borderId="12" xfId="0" applyFont="1" applyFill="1" applyBorder="1" applyAlignment="1">
      <alignment horizontal="right"/>
    </xf>
    <xf numFmtId="0" fontId="74" fillId="6" borderId="21" xfId="0" applyFont="1" applyFill="1" applyBorder="1" applyAlignment="1">
      <alignment horizontal="center"/>
    </xf>
    <xf numFmtId="0" fontId="74" fillId="6" borderId="18" xfId="0" applyFont="1" applyFill="1" applyBorder="1" applyAlignment="1">
      <alignment horizontal="center"/>
    </xf>
    <xf numFmtId="0" fontId="27" fillId="11" borderId="11" xfId="0" applyFont="1" applyFill="1" applyBorder="1" applyAlignment="1">
      <alignment horizontal="right"/>
    </xf>
    <xf numFmtId="0" fontId="27" fillId="11" borderId="4" xfId="0" applyFont="1" applyFill="1" applyBorder="1" applyAlignment="1">
      <alignment horizontal="center"/>
    </xf>
    <xf numFmtId="0" fontId="5" fillId="11" borderId="7" xfId="0" applyFont="1" applyFill="1" applyBorder="1" applyAlignment="1">
      <alignment horizontal="center"/>
    </xf>
    <xf numFmtId="0" fontId="5" fillId="11" borderId="13" xfId="0" applyFont="1" applyFill="1" applyBorder="1" applyAlignment="1">
      <alignment horizontal="center"/>
    </xf>
    <xf numFmtId="0" fontId="5" fillId="11" borderId="12" xfId="0" applyFont="1" applyFill="1" applyBorder="1" applyAlignment="1">
      <alignment horizontal="center"/>
    </xf>
    <xf numFmtId="0" fontId="27" fillId="11" borderId="7" xfId="0" applyFont="1" applyFill="1" applyBorder="1" applyAlignment="1">
      <alignment horizontal="center"/>
    </xf>
    <xf numFmtId="0" fontId="27" fillId="11" borderId="13" xfId="0" applyFont="1" applyFill="1" applyBorder="1" applyAlignment="1">
      <alignment horizontal="center"/>
    </xf>
    <xf numFmtId="0" fontId="27" fillId="11" borderId="12" xfId="0" applyFont="1" applyFill="1" applyBorder="1" applyAlignment="1">
      <alignment horizontal="center"/>
    </xf>
    <xf numFmtId="0" fontId="22" fillId="11" borderId="7" xfId="0" applyFont="1" applyFill="1" applyBorder="1" applyAlignment="1">
      <alignment horizontal="center"/>
    </xf>
    <xf numFmtId="0" fontId="22" fillId="11" borderId="13" xfId="0" applyFont="1" applyFill="1" applyBorder="1" applyAlignment="1">
      <alignment horizontal="center"/>
    </xf>
    <xf numFmtId="0" fontId="22" fillId="11" borderId="12" xfId="0" applyFont="1" applyFill="1" applyBorder="1" applyAlignment="1">
      <alignment horizontal="center"/>
    </xf>
    <xf numFmtId="0" fontId="26" fillId="2" borderId="20" xfId="0" quotePrefix="1" applyFont="1" applyFill="1" applyBorder="1" applyAlignment="1">
      <alignment horizontal="center" wrapText="1"/>
    </xf>
    <xf numFmtId="0" fontId="26" fillId="2" borderId="0" xfId="0" quotePrefix="1" applyFont="1" applyFill="1" applyAlignment="1">
      <alignment horizontal="center" wrapText="1"/>
    </xf>
    <xf numFmtId="0" fontId="8" fillId="13" borderId="7" xfId="0" applyFont="1" applyFill="1" applyBorder="1" applyProtection="1">
      <protection locked="0"/>
    </xf>
    <xf numFmtId="0" fontId="8" fillId="13" borderId="13" xfId="0" applyFont="1" applyFill="1" applyBorder="1" applyProtection="1">
      <protection locked="0"/>
    </xf>
    <xf numFmtId="0" fontId="8" fillId="13" borderId="12" xfId="0" applyFont="1" applyFill="1" applyBorder="1" applyProtection="1">
      <protection locked="0"/>
    </xf>
    <xf numFmtId="0" fontId="70" fillId="13" borderId="7" xfId="0" applyFont="1" applyFill="1" applyBorder="1" applyProtection="1">
      <protection locked="0"/>
    </xf>
    <xf numFmtId="0" fontId="70" fillId="13" borderId="13" xfId="0" applyFont="1" applyFill="1" applyBorder="1" applyProtection="1">
      <protection locked="0"/>
    </xf>
    <xf numFmtId="0" fontId="70" fillId="13" borderId="12" xfId="0" applyFont="1" applyFill="1" applyBorder="1" applyProtection="1">
      <protection locked="0"/>
    </xf>
    <xf numFmtId="0" fontId="27" fillId="0" borderId="7" xfId="0" applyFont="1" applyBorder="1" applyAlignment="1">
      <alignment horizontal="center"/>
    </xf>
    <xf numFmtId="0" fontId="27" fillId="0" borderId="13" xfId="0" applyFont="1" applyBorder="1" applyAlignment="1">
      <alignment horizontal="center"/>
    </xf>
    <xf numFmtId="0" fontId="27" fillId="0" borderId="15" xfId="0" applyFont="1" applyBorder="1" applyAlignment="1">
      <alignment horizontal="center"/>
    </xf>
    <xf numFmtId="0" fontId="27" fillId="0" borderId="16" xfId="0" applyFont="1" applyBorder="1" applyAlignment="1">
      <alignment horizontal="center"/>
    </xf>
    <xf numFmtId="0" fontId="71" fillId="6" borderId="7" xfId="0" applyFont="1" applyFill="1" applyBorder="1" applyAlignment="1">
      <alignment horizontal="right"/>
    </xf>
    <xf numFmtId="0" fontId="71" fillId="6" borderId="13" xfId="0" applyFont="1" applyFill="1" applyBorder="1" applyAlignment="1">
      <alignment horizontal="right"/>
    </xf>
    <xf numFmtId="0" fontId="76" fillId="6" borderId="7" xfId="0" applyFont="1" applyFill="1" applyBorder="1" applyAlignment="1">
      <alignment horizontal="center"/>
    </xf>
    <xf numFmtId="0" fontId="76" fillId="6" borderId="13" xfId="0" applyFont="1" applyFill="1" applyBorder="1" applyAlignment="1">
      <alignment horizontal="center"/>
    </xf>
    <xf numFmtId="0" fontId="76" fillId="6" borderId="12" xfId="0" applyFont="1" applyFill="1" applyBorder="1" applyAlignment="1">
      <alignment horizontal="center"/>
    </xf>
    <xf numFmtId="0" fontId="76" fillId="4" borderId="7" xfId="0" applyFont="1" applyFill="1" applyBorder="1" applyAlignment="1">
      <alignment horizontal="center"/>
    </xf>
    <xf numFmtId="0" fontId="76" fillId="4" borderId="12" xfId="0" applyFont="1" applyFill="1" applyBorder="1" applyAlignment="1">
      <alignment horizontal="center"/>
    </xf>
    <xf numFmtId="0" fontId="75" fillId="4" borderId="7" xfId="0" applyFont="1" applyFill="1" applyBorder="1" applyAlignment="1">
      <alignment horizontal="right"/>
    </xf>
    <xf numFmtId="0" fontId="75" fillId="4" borderId="12" xfId="0" applyFont="1" applyFill="1" applyBorder="1" applyAlignment="1">
      <alignment horizontal="right"/>
    </xf>
    <xf numFmtId="174" fontId="78" fillId="5" borderId="7" xfId="0" applyNumberFormat="1" applyFont="1" applyFill="1" applyBorder="1" applyAlignment="1">
      <alignment horizontal="center"/>
    </xf>
    <xf numFmtId="174" fontId="78" fillId="5" borderId="12" xfId="0" applyNumberFormat="1" applyFont="1" applyFill="1" applyBorder="1" applyAlignment="1">
      <alignment horizontal="center"/>
    </xf>
    <xf numFmtId="174" fontId="82" fillId="13" borderId="7" xfId="0" applyNumberFormat="1" applyFont="1" applyFill="1" applyBorder="1" applyAlignment="1" applyProtection="1">
      <alignment horizontal="left"/>
      <protection locked="0"/>
    </xf>
    <xf numFmtId="174" fontId="82" fillId="13" borderId="12" xfId="0" applyNumberFormat="1" applyFont="1" applyFill="1" applyBorder="1" applyAlignment="1" applyProtection="1">
      <alignment horizontal="left"/>
      <protection locked="0"/>
    </xf>
    <xf numFmtId="0" fontId="27" fillId="4" borderId="7" xfId="0" applyFont="1" applyFill="1" applyBorder="1" applyAlignment="1">
      <alignment horizontal="right" wrapText="1"/>
    </xf>
    <xf numFmtId="0" fontId="74" fillId="4" borderId="12" xfId="0" applyFont="1" applyFill="1" applyBorder="1" applyAlignment="1">
      <alignment horizontal="right" wrapText="1"/>
    </xf>
    <xf numFmtId="0" fontId="27" fillId="4" borderId="12" xfId="0" applyFont="1" applyFill="1" applyBorder="1" applyAlignment="1">
      <alignment horizontal="right" wrapText="1"/>
    </xf>
    <xf numFmtId="0" fontId="22" fillId="7" borderId="7" xfId="0" applyFont="1" applyFill="1" applyBorder="1" applyAlignment="1" applyProtection="1">
      <alignment horizontal="left"/>
      <protection locked="0"/>
    </xf>
    <xf numFmtId="0" fontId="22" fillId="7" borderId="12" xfId="0" applyFont="1" applyFill="1" applyBorder="1" applyAlignment="1" applyProtection="1">
      <alignment horizontal="left"/>
      <protection locked="0"/>
    </xf>
    <xf numFmtId="0" fontId="74" fillId="6" borderId="4" xfId="0" applyFont="1" applyFill="1" applyBorder="1" applyAlignment="1">
      <alignment horizontal="center"/>
    </xf>
    <xf numFmtId="0" fontId="75" fillId="3" borderId="7" xfId="0" applyFont="1" applyFill="1" applyBorder="1" applyAlignment="1">
      <alignment horizontal="left"/>
    </xf>
    <xf numFmtId="0" fontId="75" fillId="3" borderId="13" xfId="0" applyFont="1" applyFill="1" applyBorder="1" applyAlignment="1">
      <alignment horizontal="left"/>
    </xf>
    <xf numFmtId="0" fontId="75" fillId="3" borderId="12" xfId="0" applyFont="1" applyFill="1" applyBorder="1" applyAlignment="1">
      <alignment horizontal="left"/>
    </xf>
    <xf numFmtId="169" fontId="75" fillId="3" borderId="7" xfId="0" applyNumberFormat="1" applyFont="1" applyFill="1" applyBorder="1" applyAlignment="1">
      <alignment horizontal="left"/>
    </xf>
    <xf numFmtId="169" fontId="75" fillId="3" borderId="13" xfId="0" applyNumberFormat="1" applyFont="1" applyFill="1" applyBorder="1" applyAlignment="1">
      <alignment horizontal="left"/>
    </xf>
    <xf numFmtId="169" fontId="75" fillId="3" borderId="12" xfId="0" applyNumberFormat="1" applyFont="1" applyFill="1" applyBorder="1" applyAlignment="1">
      <alignment horizontal="left"/>
    </xf>
    <xf numFmtId="1" fontId="22" fillId="13" borderId="7" xfId="0" applyNumberFormat="1" applyFont="1" applyFill="1" applyBorder="1" applyProtection="1">
      <protection locked="0"/>
    </xf>
    <xf numFmtId="1" fontId="22" fillId="13" borderId="12" xfId="0" applyNumberFormat="1" applyFont="1" applyFill="1" applyBorder="1" applyProtection="1">
      <protection locked="0"/>
    </xf>
    <xf numFmtId="0" fontId="22" fillId="13" borderId="7" xfId="0" applyFont="1" applyFill="1" applyBorder="1" applyProtection="1">
      <protection locked="0"/>
    </xf>
    <xf numFmtId="0" fontId="22" fillId="13" borderId="12" xfId="0" applyFont="1" applyFill="1" applyBorder="1" applyProtection="1">
      <protection locked="0"/>
    </xf>
    <xf numFmtId="0" fontId="27" fillId="11" borderId="14" xfId="0" applyFont="1" applyFill="1" applyBorder="1" applyAlignment="1">
      <alignment horizontal="center" vertical="top" wrapText="1"/>
    </xf>
    <xf numFmtId="0" fontId="27" fillId="11" borderId="15" xfId="0" applyFont="1" applyFill="1" applyBorder="1" applyAlignment="1">
      <alignment horizontal="center" vertical="top" wrapText="1"/>
    </xf>
    <xf numFmtId="0" fontId="27" fillId="11" borderId="16" xfId="0" applyFont="1" applyFill="1" applyBorder="1" applyAlignment="1">
      <alignment horizontal="center" vertical="top" wrapText="1"/>
    </xf>
    <xf numFmtId="0" fontId="27" fillId="11" borderId="9" xfId="0" applyFont="1" applyFill="1" applyBorder="1" applyAlignment="1">
      <alignment horizontal="center" vertical="top" wrapText="1"/>
    </xf>
    <xf numFmtId="0" fontId="27" fillId="11" borderId="21" xfId="0" applyFont="1" applyFill="1" applyBorder="1" applyAlignment="1">
      <alignment horizontal="center" vertical="top" wrapText="1"/>
    </xf>
    <xf numFmtId="0" fontId="27" fillId="11" borderId="18" xfId="0" applyFont="1" applyFill="1" applyBorder="1" applyAlignment="1">
      <alignment horizontal="center" vertical="top"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40" fillId="0" borderId="0" xfId="0" applyNumberFormat="1" applyFont="1" applyAlignment="1" applyProtection="1">
      <alignment horizontal="left"/>
      <protection locked="0"/>
    </xf>
    <xf numFmtId="0" fontId="40" fillId="0" borderId="0" xfId="0" applyFont="1" applyAlignment="1">
      <alignment horizontal="left"/>
    </xf>
    <xf numFmtId="14" fontId="43" fillId="0" borderId="0" xfId="0" applyNumberFormat="1" applyFont="1" applyAlignment="1">
      <alignment horizontal="left"/>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14" fontId="63" fillId="0" borderId="14" xfId="0" applyNumberFormat="1" applyFont="1" applyBorder="1" applyAlignment="1">
      <alignment horizontal="center"/>
    </xf>
    <xf numFmtId="14" fontId="63" fillId="0" borderId="15" xfId="0" applyNumberFormat="1" applyFont="1" applyBorder="1" applyAlignment="1">
      <alignment horizontal="center"/>
    </xf>
    <xf numFmtId="14" fontId="63" fillId="0" borderId="16" xfId="0" applyNumberFormat="1" applyFont="1" applyBorder="1" applyAlignment="1">
      <alignment horizontal="center"/>
    </xf>
    <xf numFmtId="0" fontId="63" fillId="0" borderId="14" xfId="0" applyFont="1" applyBorder="1" applyAlignment="1">
      <alignment horizontal="center"/>
    </xf>
    <xf numFmtId="0" fontId="63" fillId="0" borderId="15" xfId="0" applyFont="1" applyBorder="1" applyAlignment="1">
      <alignment horizontal="center"/>
    </xf>
    <xf numFmtId="0" fontId="63" fillId="0" borderId="16" xfId="0"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178" fontId="63" fillId="0" borderId="9" xfId="0" applyNumberFormat="1" applyFont="1" applyBorder="1" applyAlignment="1">
      <alignment horizontal="center"/>
    </xf>
    <xf numFmtId="178" fontId="63" fillId="0" borderId="18" xfId="0" applyNumberFormat="1" applyFont="1" applyBorder="1" applyAlignment="1">
      <alignment horizontal="center"/>
    </xf>
    <xf numFmtId="178" fontId="63" fillId="0" borderId="20" xfId="0" applyNumberFormat="1" applyFont="1" applyBorder="1" applyAlignment="1">
      <alignment horizontal="center"/>
    </xf>
    <xf numFmtId="178" fontId="63" fillId="0" borderId="17" xfId="0" applyNumberFormat="1" applyFont="1" applyBorder="1" applyAlignment="1">
      <alignment horizontal="center"/>
    </xf>
    <xf numFmtId="0" fontId="100" fillId="0" borderId="0" xfId="0" applyFont="1" applyAlignment="1">
      <alignment horizontal="center"/>
    </xf>
    <xf numFmtId="0" fontId="40" fillId="0" borderId="0" xfId="0" applyFont="1" applyAlignment="1">
      <alignment horizontal="center"/>
    </xf>
    <xf numFmtId="0" fontId="41"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8" fillId="0" borderId="0" xfId="0" applyFont="1" applyAlignment="1">
      <alignment horizontal="center" vertical="top" wrapText="1"/>
    </xf>
    <xf numFmtId="0" fontId="8" fillId="0" borderId="0" xfId="0" applyFont="1" applyAlignment="1">
      <alignment horizontal="center"/>
    </xf>
    <xf numFmtId="0" fontId="40" fillId="0" borderId="0" xfId="0" applyFont="1" applyAlignment="1">
      <alignment horizontal="left" vertical="top" wrapText="1"/>
    </xf>
    <xf numFmtId="0" fontId="40"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8" fillId="0" borderId="0" xfId="0" applyFont="1" applyAlignment="1">
      <alignment horizontal="left" vertical="top" wrapText="1"/>
    </xf>
    <xf numFmtId="0" fontId="104" fillId="0" borderId="0" xfId="0" applyFont="1" applyAlignment="1">
      <alignment horizontal="center"/>
    </xf>
    <xf numFmtId="178" fontId="63" fillId="0" borderId="14" xfId="0" applyNumberFormat="1" applyFont="1" applyBorder="1" applyAlignment="1">
      <alignment horizontal="center"/>
    </xf>
    <xf numFmtId="178" fontId="63"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9" fillId="0" borderId="15" xfId="0" applyFont="1" applyBorder="1" applyAlignment="1">
      <alignment horizontal="center"/>
    </xf>
    <xf numFmtId="170" fontId="8" fillId="0" borderId="5" xfId="0" applyNumberFormat="1" applyFont="1" applyBorder="1" applyAlignment="1">
      <alignment horizontal="center"/>
    </xf>
    <xf numFmtId="170" fontId="8" fillId="0" borderId="6" xfId="0" applyNumberFormat="1" applyFont="1" applyBorder="1" applyAlignment="1">
      <alignment horizontal="center"/>
    </xf>
    <xf numFmtId="0" fontId="60" fillId="0" borderId="4" xfId="0" applyFont="1" applyBorder="1" applyAlignment="1">
      <alignment horizontal="center"/>
    </xf>
    <xf numFmtId="0" fontId="66" fillId="0" borderId="20" xfId="0" applyFont="1" applyBorder="1" applyAlignment="1">
      <alignment horizontal="center"/>
    </xf>
    <xf numFmtId="0" fontId="66" fillId="0" borderId="0" xfId="0" applyFont="1" applyAlignment="1">
      <alignment horizontal="center"/>
    </xf>
    <xf numFmtId="0" fontId="66" fillId="0" borderId="17"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57" fillId="0" borderId="20" xfId="0" applyFont="1" applyBorder="1" applyAlignment="1">
      <alignment horizontal="center"/>
    </xf>
    <xf numFmtId="0" fontId="57" fillId="0" borderId="0" xfId="0" applyFont="1" applyAlignment="1">
      <alignment horizontal="center"/>
    </xf>
    <xf numFmtId="0" fontId="57" fillId="0" borderId="17" xfId="0" applyFont="1" applyBorder="1" applyAlignment="1">
      <alignment horizontal="center"/>
    </xf>
    <xf numFmtId="0" fontId="64" fillId="0" borderId="9" xfId="0" applyFont="1" applyBorder="1" applyAlignment="1">
      <alignment horizontal="center"/>
    </xf>
    <xf numFmtId="0" fontId="64" fillId="0" borderId="21" xfId="0" applyFont="1" applyBorder="1" applyAlignment="1">
      <alignment horizontal="center"/>
    </xf>
    <xf numFmtId="0" fontId="64" fillId="0" borderId="18" xfId="0" applyFont="1" applyBorder="1" applyAlignment="1">
      <alignment horizontal="center"/>
    </xf>
    <xf numFmtId="0" fontId="30" fillId="0" borderId="4"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0" fontId="9" fillId="0" borderId="22" xfId="1" applyFont="1" applyBorder="1" applyAlignment="1" applyProtection="1">
      <alignment horizontal="left" vertical="top" wrapText="1"/>
      <protection locked="0"/>
    </xf>
    <xf numFmtId="0" fontId="9" fillId="0" borderId="0" xfId="1" applyFont="1" applyAlignment="1" applyProtection="1">
      <alignment horizontal="left" vertical="top" wrapText="1"/>
      <protection locked="0"/>
    </xf>
    <xf numFmtId="0" fontId="21" fillId="0" borderId="0" xfId="1" applyFont="1" applyAlignment="1">
      <alignment horizontal="left" vertical="top" wrapText="1"/>
    </xf>
    <xf numFmtId="164" fontId="41" fillId="0" borderId="0" xfId="0" applyNumberFormat="1" applyFont="1" applyAlignment="1">
      <alignment horizontal="center"/>
    </xf>
    <xf numFmtId="164" fontId="24"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7" fillId="0" borderId="12" xfId="0" applyFont="1" applyBorder="1" applyAlignment="1">
      <alignment horizontal="center"/>
    </xf>
    <xf numFmtId="0" fontId="5" fillId="0" borderId="0" xfId="0" applyFont="1" applyAlignment="1">
      <alignment horizontal="right"/>
    </xf>
    <xf numFmtId="0" fontId="5" fillId="0" borderId="17" xfId="0" applyFont="1" applyBorder="1" applyAlignment="1">
      <alignment horizontal="right"/>
    </xf>
    <xf numFmtId="164" fontId="5" fillId="0" borderId="7" xfId="0" applyNumberFormat="1" applyFont="1" applyBorder="1" applyAlignment="1">
      <alignment horizontal="right"/>
    </xf>
    <xf numFmtId="164" fontId="5" fillId="0" borderId="12" xfId="0" applyNumberFormat="1" applyFont="1" applyBorder="1" applyAlignment="1">
      <alignment horizontal="right"/>
    </xf>
    <xf numFmtId="164" fontId="5" fillId="0" borderId="7" xfId="0" applyNumberFormat="1" applyFont="1" applyBorder="1" applyAlignment="1">
      <alignment horizontal="center"/>
    </xf>
    <xf numFmtId="164" fontId="5" fillId="0" borderId="13" xfId="0" applyNumberFormat="1" applyFont="1" applyBorder="1" applyAlignment="1">
      <alignment horizontal="center"/>
    </xf>
    <xf numFmtId="164" fontId="5"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8" fillId="0" borderId="7" xfId="0" applyFont="1" applyBorder="1" applyAlignment="1">
      <alignment horizontal="center"/>
    </xf>
    <xf numFmtId="0" fontId="8" fillId="0" borderId="13" xfId="0" applyFont="1" applyBorder="1" applyAlignment="1">
      <alignment horizontal="center"/>
    </xf>
    <xf numFmtId="0" fontId="8" fillId="0" borderId="12" xfId="0" applyFont="1" applyBorder="1" applyAlignment="1">
      <alignment horizontal="center"/>
    </xf>
    <xf numFmtId="0" fontId="27" fillId="0" borderId="14" xfId="0" applyFont="1" applyBorder="1" applyAlignment="1">
      <alignment horizontal="center" vertical="top" wrapText="1"/>
    </xf>
    <xf numFmtId="0" fontId="27" fillId="0" borderId="15" xfId="0" applyFont="1" applyBorder="1" applyAlignment="1">
      <alignment horizontal="center" vertical="top" wrapText="1"/>
    </xf>
    <xf numFmtId="0" fontId="27" fillId="0" borderId="16" xfId="0" applyFont="1" applyBorder="1" applyAlignment="1">
      <alignment horizontal="center" vertical="top" wrapText="1"/>
    </xf>
    <xf numFmtId="0" fontId="27" fillId="0" borderId="20" xfId="0" applyFont="1" applyBorder="1" applyAlignment="1">
      <alignment horizontal="center" vertical="top" wrapText="1"/>
    </xf>
    <xf numFmtId="0" fontId="27" fillId="0" borderId="0" xfId="0" applyFont="1" applyAlignment="1">
      <alignment horizontal="center" vertical="top" wrapText="1"/>
    </xf>
    <xf numFmtId="0" fontId="27"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1" fillId="0" borderId="0" xfId="7" applyAlignment="1">
      <alignment horizontal="center"/>
    </xf>
    <xf numFmtId="0" fontId="0" fillId="0" borderId="20" xfId="0" applyBorder="1" applyAlignment="1">
      <alignment horizontal="center"/>
    </xf>
  </cellXfs>
  <cellStyles count="8">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 5" xfId="7" xr:uid="{333EF24D-8D8F-4FEC-86D9-F638DF7EEA46}"/>
    <cellStyle name="Normal_Interp" xfId="2" xr:uid="{00000000-0005-0000-0000-000006000000}"/>
  </cellStyles>
  <dxfs count="221">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19" formatCode="m/d/yyyy"/>
    </dxf>
    <dxf>
      <numFmt numFmtId="19" formatCode="m/d/yyyy"/>
    </dxf>
    <dxf>
      <numFmt numFmtId="2" formatCode="0.00"/>
    </dxf>
    <dxf>
      <numFmt numFmtId="27" formatCode="m/d/yyyy\ h:mm"/>
    </dxf>
    <dxf>
      <numFmt numFmtId="182" formatCode="[$-F400]h:mm:ss\ AM/PM"/>
    </dxf>
    <dxf>
      <protection locked="1" hidden="0"/>
    </dxf>
    <dxf>
      <protection locked="1" hidden="0"/>
    </dxf>
    <dxf>
      <protection locked="0" hidden="0"/>
    </dxf>
    <dxf>
      <protection locked="1"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FFCC99"/>
      <color rgb="FF99CCFF"/>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Types" Target="richData/rdRichValueTypes.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06/relationships/rdRichValue" Target="richData/rdrichvalue.xml"/><Relationship Id="rId40" Type="http://schemas.openxmlformats.org/officeDocument/2006/relationships/calcChain" Target="calcChai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7"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38100</xdr:colOff>
          <xdr:row>0</xdr:row>
          <xdr:rowOff>38100</xdr:rowOff>
        </xdr:from>
        <xdr:to>
          <xdr:col>16</xdr:col>
          <xdr:colOff>219075</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914400</xdr:colOff>
          <xdr:row>0</xdr:row>
          <xdr:rowOff>28575</xdr:rowOff>
        </xdr:from>
        <xdr:to>
          <xdr:col>18</xdr:col>
          <xdr:colOff>752475</xdr:colOff>
          <xdr:row>0</xdr:row>
          <xdr:rowOff>257175</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Resync Server</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180975</xdr:colOff>
      <xdr:row>0</xdr:row>
      <xdr:rowOff>76199</xdr:rowOff>
    </xdr:from>
    <xdr:to>
      <xdr:col>8</xdr:col>
      <xdr:colOff>1231900</xdr:colOff>
      <xdr:row>4</xdr:row>
      <xdr:rowOff>123824</xdr:rowOff>
    </xdr:to>
    <xdr:sp macro="" textlink="">
      <xdr:nvSpPr>
        <xdr:cNvPr id="2" name="Rounded Rectangle 2">
          <a:extLst>
            <a:ext uri="{FF2B5EF4-FFF2-40B4-BE49-F238E27FC236}">
              <a16:creationId xmlns:a16="http://schemas.microsoft.com/office/drawing/2014/main" id="{A51D74BC-FC77-49B9-BEDC-DE334B4FFC04}"/>
            </a:ext>
            <a:ext uri="{147F2762-F138-4A5C-976F-8EAC2B608ADB}">
              <a16:predDERef xmlns:a16="http://schemas.microsoft.com/office/drawing/2014/main" pred="{68225CE0-C965-4859-BD16-95B352BCB073}"/>
            </a:ext>
            <a:ext uri="{6ECC49D1-AA05-4338-93AA-15A1B29DFB0A}">
              <asl:scriptLink xmlns:asl="http://schemas.microsoft.com/office/drawing/2021/scriptlink" val="{&quot;shareId&quot;:&quot;ms-officescript%3A%2F%2Fonedrive_business_sharinglink%2Fu!aHR0cHM6Ly9qZ2lxdWFsaXR5LW15LnNoYXJlcG9pbnQuY29tLzp1Oi9wL2poYWxsL0VSaEVFYzFkTWt0T3RLRTJPOF96T3RjQkJsc2tYeGVEbW53VXVONkZiUUhoT0E&quot;}"/>
            </a:ext>
          </a:extLst>
        </xdr:cNvPr>
        <xdr:cNvSpPr/>
      </xdr:nvSpPr>
      <xdr:spPr>
        <a:xfrm>
          <a:off x="9563100" y="76199"/>
          <a:ext cx="1050925" cy="809625"/>
        </a:xfrm>
        <a:prstGeom prst="roundRect">
          <a:avLst/>
        </a:prstGeom>
        <a:solidFill>
          <a:srgbClr val="107C41"/>
        </a:solidFill>
        <a:ln w="1905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Update </a:t>
          </a:r>
          <a:br>
            <a:rPr lang="en-US" sz="1100">
              <a:solidFill>
                <a:schemeClr val="lt1"/>
              </a:solidFill>
              <a:effectLst/>
              <a:latin typeface="+mn-lt"/>
              <a:ea typeface="+mn-ea"/>
              <a:cs typeface="+mn-cs"/>
            </a:rPr>
          </a:br>
          <a:r>
            <a:rPr lang="en-US" sz="1100">
              <a:solidFill>
                <a:schemeClr val="lt1"/>
              </a:solidFill>
              <a:effectLst/>
              <a:latin typeface="+mn-lt"/>
              <a:ea typeface="+mn-ea"/>
              <a:cs typeface="+mn-cs"/>
            </a:rPr>
            <a:t>Wire</a:t>
          </a:r>
          <a:r>
            <a:rPr lang="en-US" sz="1100" baseline="0">
              <a:solidFill>
                <a:schemeClr val="lt1"/>
              </a:solidFill>
              <a:effectLst/>
              <a:latin typeface="+mn-lt"/>
              <a:ea typeface="+mn-ea"/>
              <a:cs typeface="+mn-cs"/>
            </a:rPr>
            <a:t> Roll cert numbers</a:t>
          </a:r>
          <a:endParaRPr lang="en-US">
            <a:effectLst/>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xdr:colOff>
          <xdr:row>0</xdr:row>
          <xdr:rowOff>47625</xdr:rowOff>
        </xdr:from>
        <xdr:to>
          <xdr:col>6</xdr:col>
          <xdr:colOff>1533525</xdr:colOff>
          <xdr:row>1</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1D00-000001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Resync Server</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1" xr16:uid="{3C77389E-BDB0-4756-B310-F8920156A8F5}" autoFormatId="16" applyNumberFormats="0" applyBorderFormats="0" applyFontFormats="0" applyPatternFormats="0" applyAlignmentFormats="0" applyWidthHeightFormats="0">
  <queryTableRefresh nextId="83" unboundColumnsRight="1">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2" xr16:uid="{EB887488-D3B4-47BC-9645-792DE9FE1B35}" autoFormatId="16" applyNumberFormats="0" applyBorderFormats="0" applyFontFormats="0" applyPatternFormats="0" applyAlignmentFormats="0" applyWidthHeightFormats="0">
  <queryTableRefresh nextId="236">
    <queryTableFields count="64">
      <queryTableField id="68" name="AsFoundCheck" tableColumnId="64"/>
      <queryTableField id="69" name="AsFoundResult" tableColumnId="65"/>
      <queryTableField id="70" name="AsLeftCheck" tableColumnId="66"/>
      <queryTableField id="71" name="AsLeftResult" tableColumnId="67"/>
      <queryTableField id="72" name="AssetCompanyId" tableColumnId="68"/>
      <queryTableField id="73" name="AssetCompanyName" tableColumnId="69"/>
      <queryTableField id="74" name="AssetDescription" tableColumnId="70"/>
      <queryTableField id="8" name="AssetId" tableColumnId="8"/>
      <queryTableField id="9" name="AssetName" tableColumnId="9"/>
      <queryTableField id="75" name="AssetOwnership" tableColumnId="71"/>
      <queryTableField id="76" name="AssetSiteId" tableColumnId="72"/>
      <queryTableField id="77" name="AssetSiteName" tableColumnId="73"/>
      <queryTableField id="13" name="AssetTag" tableColumnId="13"/>
      <queryTableField id="14" name="CertificateNumber" tableColumnId="14"/>
      <queryTableField id="78" name="ChannelCount" tableColumnId="74"/>
      <queryTableField id="79" name="CheckedById" tableColumnId="75"/>
      <queryTableField id="80" name="CheckedByName" tableColumnId="76"/>
      <queryTableField id="81" name="CheckedOn" tableColumnId="77"/>
      <queryTableField id="19" name="ClientCompanyId" tableColumnId="19"/>
      <queryTableField id="82" name="CompletedById" tableColumnId="78"/>
      <queryTableField id="83" name="CompletedByName" tableColumnId="79"/>
      <queryTableField id="84" name="CompletedOn" tableColumnId="80"/>
      <queryTableField id="85" name="CreatedOnUtc" tableColumnId="81"/>
      <queryTableField id="86" name="CustomOrderNumber" tableColumnId="82"/>
      <queryTableField id="224" name="CustomWorkStatus" tableColumnId="1"/>
      <queryTableField id="87" name="DocumentNumber" tableColumnId="83"/>
      <queryTableField id="88" name="DocumentSection" tableColumnId="84"/>
      <queryTableField id="89" name="DueDate" tableColumnId="85"/>
      <queryTableField id="90" name="IsLimited" tableColumnId="86"/>
      <queryTableField id="91" name="ItemAsFoundResult" tableColumnId="87"/>
      <queryTableField id="92" name="ItemAsLeftResult" tableColumnId="88"/>
      <queryTableField id="93" name="ItemResultStatus" tableColumnId="89"/>
      <queryTableField id="94" name="MaintenancePlan" tableColumnId="90"/>
      <queryTableField id="95" name="MaintenanceTask" tableColumnId="91"/>
      <queryTableField id="226" name="NextServiceDate" tableColumnId="3"/>
      <queryTableField id="227" name="NextServiceLevel" tableColumnId="4"/>
      <queryTableField id="36" name="OrderItemNumber" tableColumnId="36"/>
      <queryTableField id="98" name="OverridePartsTotal" tableColumnId="94"/>
      <queryTableField id="99" name="OverrideRepairsTotal" tableColumnId="95"/>
      <queryTableField id="100" name="OverrideServiceTotal" tableColumnId="96"/>
      <queryTableField id="101" name="PartsTotal" tableColumnId="97"/>
      <queryTableField id="102" name="PartsTotalBeforeDiscount" tableColumnId="98"/>
      <queryTableField id="103" name="ProviderCompany" tableColumnId="99"/>
      <queryTableField id="104" name="ProviderPhone" tableColumnId="100"/>
      <queryTableField id="228" name="ProviderTechnician" tableColumnId="5"/>
      <queryTableField id="106" name="RepairsTotal" tableColumnId="102"/>
      <queryTableField id="107" name="ResultStatus" tableColumnId="103"/>
      <queryTableField id="47" name="SerialNumber" tableColumnId="47"/>
      <queryTableField id="229" name="ServiceCharge" tableColumnId="6"/>
      <queryTableField id="194" name="ServiceComments" tableColumnId="12"/>
      <queryTableField id="110" name="ServiceDate" tableColumnId="106"/>
      <queryTableField id="111" name="ServiceLevel" tableColumnId="107"/>
      <queryTableField id="222" name="ServiceLevelDocumentNumber" tableColumnId="2"/>
      <queryTableField id="230" name="ServiceNotes" tableColumnId="7"/>
      <queryTableField id="114" name="ServiceOptions" tableColumnId="110"/>
      <queryTableField id="55" name="ServiceOrderId" tableColumnId="55"/>
      <queryTableField id="115" name="ServiceTotal" tableColumnId="111"/>
      <queryTableField id="116" name="ServiceType" tableColumnId="112"/>
      <queryTableField id="117" name="UpdatedBy" tableColumnId="113"/>
      <queryTableField id="118" name="UpdatedById" tableColumnId="114"/>
      <queryTableField id="119" name="UpdatedOnUtc" tableColumnId="115"/>
      <queryTableField id="120" name="VendorCompanyId" tableColumnId="116"/>
      <queryTableField id="121" name="WorkItemId" tableColumnId="117"/>
      <queryTableField id="122" name="WorkStatus" tableColumnId="1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4"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8"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2" xr16:uid="{464A5F2B-07E3-41B6-A126-11CBEDA77C0A}" autoFormatId="16" applyNumberFormats="0" applyBorderFormats="0" applyFontFormats="0" applyPatternFormats="0" applyAlignmentFormats="0" applyWidthHeightFormats="0">
  <queryTableRefresh nextId="15"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2"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9"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7"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4"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6"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9"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20" xr16:uid="{A4C82E32-20CA-4535-B2BF-8FD89039D8D9}" autoFormatId="16" applyNumberFormats="0" applyBorderFormats="0" applyFontFormats="0" applyPatternFormats="0" applyAlignmentFormats="0" applyWidthHeightFormats="0">
  <queryTableRefresh nextId="35">
    <queryTableFields count="8">
      <queryTableField id="29" name="asset_id" tableColumnId="29"/>
      <queryTableField id="22" name="asset_tag" tableColumnId="22"/>
      <queryTableField id="24" name="certificate_number" tableColumnId="24"/>
      <queryTableField id="23" name="serial_number" tableColumnId="23"/>
      <queryTableField id="25" name="service_date" tableColumnId="25"/>
      <queryTableField id="26" name="traceability_number" tableColumnId="26"/>
      <queryTableField id="27" name="wire_roll_cert_number" tableColumnId="27"/>
      <queryTableField id="28" name="wire_set_group" tableColumnId="28"/>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2" connectionId="16" xr16:uid="{FDC888FC-4699-4BC2-BEAA-0E9D65C83753}" autoFormatId="16" applyNumberFormats="0" applyBorderFormats="0" applyFontFormats="0" applyPatternFormats="0" applyAlignmentFormats="0" applyWidthHeightFormats="0">
  <queryTableRefresh nextId="10">
    <queryTableFields count="6">
      <queryTableField id="1" name="ok" tableColumnId="1"/>
      <queryTableField id="2" name="status" tableColumnId="2"/>
      <queryTableField id="3" name="message" tableColumnId="3"/>
      <queryTableField id="4" name="asset_id" tableColumnId="4"/>
      <queryTableField id="8" name="new_wire_roll_cert_number" tableColumnId="7"/>
      <queryTableField id="9" name="attempted_wire_roll_cert_number" tableColumnId="5"/>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3" connectionId="1" xr16:uid="{8FA85403-D258-4BD5-AB55-191E7FF63C63}" autoFormatId="16" applyNumberFormats="0" applyBorderFormats="0" applyFontFormats="0" applyPatternFormats="0" applyAlignmentFormats="0" applyWidthHeightFormats="0">
  <queryTableRefresh nextId="11">
    <queryTableFields count="10">
      <queryTableField id="1" name="id" tableColumnId="1"/>
      <queryTableField id="2" name="sync_type" tableColumnId="2"/>
      <queryTableField id="3" name="category" tableColumnId="3"/>
      <queryTableField id="4" name="severity" tableColumnId="4"/>
      <queryTableField id="5" name="asset_tag" tableColumnId="5"/>
      <queryTableField id="6" name="asset_id" tableColumnId="6"/>
      <queryTableField id="7" name="short_message" tableColumnId="7"/>
      <queryTableField id="8" name="detail_hint" tableColumnId="8"/>
      <queryTableField id="9" name="first_seen_at" tableColumnId="9"/>
      <queryTableField id="10" name="last_seen_at" tableColumnId="1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K28" tableType="queryTable" totalsRowShown="0" headerRowDxfId="217" dataDxfId="216">
  <autoFilter ref="A4:K28" xr:uid="{2F912760-816C-4002-B982-1183C623C4D4}"/>
  <tableColumns count="11">
    <tableColumn id="1" xr3:uid="{4CB1C976-73DA-4579-B7F8-9D891581EA5A}" uniqueName="1" name="asset_id" queryTableFieldId="1" dataDxfId="215"/>
    <tableColumn id="2" xr3:uid="{D07D770F-21F7-425E-8CCA-AA85FFD513A3}" uniqueName="2" name="serial_number" queryTableFieldId="2" dataDxfId="214"/>
    <tableColumn id="3" xr3:uid="{D963BD5C-EE98-4CDD-ABAE-5315BBDA1135}" uniqueName="3" name="asset_tag" queryTableFieldId="3" dataDxfId="213"/>
    <tableColumn id="4" xr3:uid="{44F03B5B-6C09-4D5C-B2E2-D809B4EDF2B0}" uniqueName="4" name="custom_order_number" queryTableFieldId="4" dataDxfId="212"/>
    <tableColumn id="5" xr3:uid="{412A70E1-7452-417E-A3A9-BD3499EBD33C}" uniqueName="5" name="service_date" queryTableFieldId="5" dataDxfId="74"/>
    <tableColumn id="7" xr3:uid="{297A4F29-F6E9-4BD3-A7A2-5F1039480BAE}" uniqueName="7" name="certificate_number" queryTableFieldId="7" dataDxfId="211"/>
    <tableColumn id="6" xr3:uid="{7231074C-78F5-4F41-8E96-7068B6555E6F}" uniqueName="6" name="traceability_number" queryTableFieldId="61" dataDxfId="210"/>
    <tableColumn id="8" xr3:uid="{7C740CB9-37DA-435E-A87E-AF050E31623C}" uniqueName="8" name="wire_roll_cert_number" queryTableFieldId="8" dataDxfId="209"/>
    <tableColumn id="10" xr3:uid="{D46DFD3D-4FFF-4C46-B438-38B7E2ADB9AB}" uniqueName="10" name="Daqbook Compatibility" queryTableFieldId="81" dataDxfId="208">
      <calculatedColumnFormula>_xlfn.XLOOKUP(WireSets[[#This Row],[type]],Table6[TC Type],Table6[Daqbook Type],NA())</calculatedColumnFormula>
    </tableColumn>
    <tableColumn id="9" xr3:uid="{5B17E9FC-0D68-4EA9-9145-B5DC8FAF5A93}" uniqueName="9" name="type" queryTableFieldId="9" dataDxfId="207"/>
    <tableColumn id="11" xr3:uid="{2D3288D5-A49B-43E9-9125-CE335E115BBC}" uniqueName="11" name="daqbook_ok" queryTableFieldId="82" dataDxfId="206">
      <calculatedColumnFormula>IF(ISNA($K$2), TRUE, $K$2=WireSets[[#This Row],[Daqbook Compatibility]])</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P1:Q6" totalsRowShown="0">
  <autoFilter ref="P1:Q6" xr:uid="{E38C43E0-2F0C-4FF5-8F0A-A6B84CDB82BD}"/>
  <sortState xmlns:xlrd2="http://schemas.microsoft.com/office/spreadsheetml/2017/richdata2" ref="P2:Q6">
    <sortCondition ref="P1:P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62574E-88C9-4AA5-871D-505A4D154A28}" name="WorkItemsCache" displayName="WorkItemsCache" ref="E1:BP2" tableType="queryTable" insertRow="1" totalsRowShown="0">
  <autoFilter ref="E1:BP2" xr:uid="{AB62574E-88C9-4AA5-871D-505A4D154A28}"/>
  <tableColumns count="64">
    <tableColumn id="64" xr3:uid="{1E0C5629-4ECD-4888-A1B7-3FC94747CB9F}" uniqueName="64" name="AsFoundCheck" queryTableFieldId="68"/>
    <tableColumn id="65" xr3:uid="{41407886-4AF1-40C1-A395-7D7CB5DEE55F}" uniqueName="65" name="AsFoundResult" queryTableFieldId="69"/>
    <tableColumn id="66" xr3:uid="{760D8852-D258-44F7-8AFF-53E8AF8B219C}" uniqueName="66" name="AsLeftCheck" queryTableFieldId="70"/>
    <tableColumn id="67" xr3:uid="{5911F025-FB23-4F84-B2FA-71CB1FD4D365}" uniqueName="67" name="AsLeftResult" queryTableFieldId="71"/>
    <tableColumn id="68" xr3:uid="{11B7516E-7387-43A3-8039-477F100CED7A}" uniqueName="68" name="AssetCompanyId" queryTableFieldId="72"/>
    <tableColumn id="69" xr3:uid="{D13A27F1-A206-424C-A2EF-BEEA44D2BF4E}" uniqueName="69" name="AssetCompanyName" queryTableFieldId="73"/>
    <tableColumn id="70" xr3:uid="{17FA3458-01E7-4DF4-B84D-F9DEB9BD7B19}" uniqueName="70" name="AssetDescription" queryTableFieldId="74"/>
    <tableColumn id="8" xr3:uid="{42443CB6-357F-4983-8D24-4D6C1B05B5C2}" uniqueName="8" name="AssetId" queryTableFieldId="8"/>
    <tableColumn id="9" xr3:uid="{9EBFBD0C-DD6A-457C-BA52-938769DFC918}" uniqueName="9" name="AssetName" queryTableFieldId="9"/>
    <tableColumn id="71" xr3:uid="{CD204548-F07D-40BF-BE75-820299C408FD}" uniqueName="71" name="AssetOwnership" queryTableFieldId="75"/>
    <tableColumn id="72" xr3:uid="{E7724505-22A4-41EF-AF98-9762DBB75D58}" uniqueName="72" name="AssetSiteId" queryTableFieldId="76"/>
    <tableColumn id="73" xr3:uid="{B8C754E8-54BA-4F3E-A973-AFCBB308CD66}" uniqueName="73" name="AssetSiteName" queryTableFieldId="77"/>
    <tableColumn id="13" xr3:uid="{D0B562AB-CCAB-40FC-9348-DAFFD91E5017}" uniqueName="13" name="AssetTag" queryTableFieldId="13"/>
    <tableColumn id="14" xr3:uid="{AAB12139-8613-4EFD-A511-94EBDE884D9F}" uniqueName="14" name="CertificateNumber" queryTableFieldId="14"/>
    <tableColumn id="74" xr3:uid="{2DB5C91A-0C62-4B65-9900-3D1EAAE410E5}" uniqueName="74" name="ChannelCount" queryTableFieldId="78"/>
    <tableColumn id="75" xr3:uid="{B7CFBFB3-9972-40D9-861F-529044723E58}" uniqueName="75" name="CheckedById" queryTableFieldId="79"/>
    <tableColumn id="76" xr3:uid="{07CD44A5-91C8-4729-9FF5-106B03EE59A0}" uniqueName="76" name="CheckedByName" queryTableFieldId="80"/>
    <tableColumn id="77" xr3:uid="{9CFA542A-A360-4687-BB1B-C5C3C9B3728A}" uniqueName="77" name="CheckedOn" queryTableFieldId="81"/>
    <tableColumn id="19" xr3:uid="{1CAF2228-1808-43F9-BA72-3E8B1E45E087}" uniqueName="19" name="ClientCompanyId" queryTableFieldId="19"/>
    <tableColumn id="78" xr3:uid="{B45F5B5D-D166-401F-9BEB-571476CD642D}" uniqueName="78" name="CompletedById" queryTableFieldId="82"/>
    <tableColumn id="79" xr3:uid="{F0D64230-F993-4BCB-BA27-DD1FE92AFFCD}" uniqueName="79" name="CompletedByName" queryTableFieldId="83"/>
    <tableColumn id="80" xr3:uid="{E20D771A-B949-408A-AE70-4FBF474EB2B0}" uniqueName="80" name="CompletedOn" queryTableFieldId="84"/>
    <tableColumn id="81" xr3:uid="{50FC554D-BDA9-498D-915A-74906296FB62}" uniqueName="81" name="CreatedOnUtc" queryTableFieldId="85"/>
    <tableColumn id="82" xr3:uid="{96352903-98B2-4188-9021-5CF18D4888E3}" uniqueName="82" name="CustomOrderNumber" queryTableFieldId="86"/>
    <tableColumn id="1" xr3:uid="{54415F12-50B4-4F4F-B29C-3D8122956212}" uniqueName="1" name="CustomWorkStatus" queryTableFieldId="224"/>
    <tableColumn id="83" xr3:uid="{C865BA66-213B-4CBF-A67E-64FE49F62440}" uniqueName="83" name="DocumentNumber" queryTableFieldId="87"/>
    <tableColumn id="84" xr3:uid="{BAA32A57-D7AE-4D2A-9510-9B7CBDC568E7}" uniqueName="84" name="DocumentSection" queryTableFieldId="88"/>
    <tableColumn id="85" xr3:uid="{3FFB93D3-BC08-4AEF-A0DB-6C05CCF566E6}" uniqueName="85" name="DueDate" queryTableFieldId="89"/>
    <tableColumn id="86" xr3:uid="{7ABE74E6-F2EF-4C27-B207-B445B52B5A39}" uniqueName="86" name="IsLimited" queryTableFieldId="90"/>
    <tableColumn id="87" xr3:uid="{8AFB4A4E-1FEA-489F-88CF-7D67F0A9BBD8}" uniqueName="87" name="ItemAsFoundResult" queryTableFieldId="91"/>
    <tableColumn id="88" xr3:uid="{2881BBC7-6AE1-4C77-82E7-E787EF4AA15E}" uniqueName="88" name="ItemAsLeftResult" queryTableFieldId="92"/>
    <tableColumn id="89" xr3:uid="{B5AB11EB-3655-4F31-84AD-F4DF9A9C3CE3}" uniqueName="89" name="ItemResultStatus" queryTableFieldId="93"/>
    <tableColumn id="90" xr3:uid="{D02E38DF-4239-4ADE-A80D-B3331D7EBD9F}" uniqueName="90" name="MaintenancePlan" queryTableFieldId="94"/>
    <tableColumn id="91" xr3:uid="{FC16920C-3E7B-4957-B782-EE25D1043B5A}" uniqueName="91" name="MaintenanceTask" queryTableFieldId="95"/>
    <tableColumn id="3" xr3:uid="{982EC706-60C8-4973-B9B8-15EFD52FE4E1}" uniqueName="3" name="NextServiceDate" queryTableFieldId="226"/>
    <tableColumn id="4" xr3:uid="{C8AF0E98-F386-4A12-BB06-3DD9549A4A37}" uniqueName="4" name="NextServiceLevel" queryTableFieldId="227"/>
    <tableColumn id="36" xr3:uid="{03DB18E0-18D4-465E-A55D-2596E63BD2DF}" uniqueName="36" name="OrderItemNumber" queryTableFieldId="36"/>
    <tableColumn id="94" xr3:uid="{F7DA529C-D961-45AB-B11A-2957A7D76B5F}" uniqueName="94" name="OverridePartsTotal" queryTableFieldId="98"/>
    <tableColumn id="95" xr3:uid="{EBDC21B2-1822-4036-8050-B86C31BADA38}" uniqueName="95" name="OverrideRepairsTotal" queryTableFieldId="99"/>
    <tableColumn id="96" xr3:uid="{AC4A173B-AD46-44B8-ABAF-21CCBACD3000}" uniqueName="96" name="OverrideServiceTotal" queryTableFieldId="100"/>
    <tableColumn id="97" xr3:uid="{91D03514-CE0A-4434-BB32-12C2FF4944F6}" uniqueName="97" name="PartsTotal" queryTableFieldId="101"/>
    <tableColumn id="98" xr3:uid="{33A876F1-16B2-44DD-BC05-8D970BCCB1DA}" uniqueName="98" name="PartsTotalBeforeDiscount" queryTableFieldId="102"/>
    <tableColumn id="99" xr3:uid="{7B6D345B-1744-4961-97D9-5D7D33C7FE35}" uniqueName="99" name="ProviderCompany" queryTableFieldId="103"/>
    <tableColumn id="100" xr3:uid="{9A8BDA66-6A98-47E2-8E5A-4416EF399D7F}" uniqueName="100" name="ProviderPhone" queryTableFieldId="104"/>
    <tableColumn id="5" xr3:uid="{CEA91006-B27E-4B35-BDE2-D80AD7D9BEB5}" uniqueName="5" name="ProviderTechnician" queryTableFieldId="228"/>
    <tableColumn id="102" xr3:uid="{9718E169-5418-46A1-940F-D30A1505DFBD}" uniqueName="102" name="RepairsTotal" queryTableFieldId="106"/>
    <tableColumn id="103" xr3:uid="{95BE4EBC-9047-4C1A-8694-F424DE204C22}" uniqueName="103" name="ResultStatus" queryTableFieldId="107"/>
    <tableColumn id="47" xr3:uid="{A28B3AA3-E3B2-4E31-BD19-9E0D5FD0C0E4}" uniqueName="47" name="SerialNumber" queryTableFieldId="47"/>
    <tableColumn id="6" xr3:uid="{FF312B49-B215-4EED-9A42-AE1637EFB2B5}" uniqueName="6" name="ServiceCharge" queryTableFieldId="229"/>
    <tableColumn id="12" xr3:uid="{BDE65363-6498-4FEF-AAAE-E68A89111C17}" uniqueName="12" name="ServiceComments" queryTableFieldId="194"/>
    <tableColumn id="106" xr3:uid="{28FD3410-FDAB-47B1-8386-7A7692399E13}" uniqueName="106" name="ServiceDate" queryTableFieldId="110"/>
    <tableColumn id="107" xr3:uid="{C78E2296-C53B-43F4-8C6F-50F0C0ADBC86}" uniqueName="107" name="ServiceLevel" queryTableFieldId="111"/>
    <tableColumn id="2" xr3:uid="{F0B0717F-DF31-4B62-A923-086C00BDCC59}" uniqueName="2" name="ServiceLevelDocumentNumber" queryTableFieldId="222"/>
    <tableColumn id="7" xr3:uid="{5662728A-576E-43BE-B5DF-ADF7A0BBBE40}" uniqueName="7" name="ServiceNotes" queryTableFieldId="230"/>
    <tableColumn id="110" xr3:uid="{1D34C4DE-D84E-4EA0-B209-CBEBB0B8D49C}" uniqueName="110" name="ServiceOptions" queryTableFieldId="114"/>
    <tableColumn id="55" xr3:uid="{2F22564F-9AD7-4B1C-86CB-C5E769A38A21}" uniqueName="55" name="ServiceOrderId" queryTableFieldId="55"/>
    <tableColumn id="111" xr3:uid="{06589140-6A45-44F5-8068-3FB7310A3945}" uniqueName="111" name="ServiceTotal" queryTableFieldId="115"/>
    <tableColumn id="112" xr3:uid="{1F54EF45-31CE-45ED-8DDD-C50C3FE47A5D}" uniqueName="112" name="ServiceType" queryTableFieldId="116"/>
    <tableColumn id="113" xr3:uid="{AAE2F7C4-DE99-4C91-A6EF-CA3038A1A81B}" uniqueName="113" name="UpdatedBy" queryTableFieldId="117"/>
    <tableColumn id="114" xr3:uid="{EC1FE2C0-5DBB-406B-A163-6BDFE7416FC4}" uniqueName="114" name="UpdatedById" queryTableFieldId="118"/>
    <tableColumn id="115" xr3:uid="{C3EC41C5-FE85-43F8-BC87-645142CAE80B}" uniqueName="115" name="UpdatedOnUtc" queryTableFieldId="119"/>
    <tableColumn id="116" xr3:uid="{7A7CDDD7-88EB-4CD1-AD32-A45DD174F8BF}" uniqueName="116" name="VendorCompanyId" queryTableFieldId="120"/>
    <tableColumn id="117" xr3:uid="{9636ECB0-3FAE-4676-8F96-88C40F1A26B8}" uniqueName="117" name="WorkItemId" queryTableFieldId="121"/>
    <tableColumn id="118" xr3:uid="{6E3D925C-4F2F-46F9-8D26-1113408B5329}" uniqueName="118" name="WorkStatus" queryTableFieldId="12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76" tableType="queryTable" totalsRowShown="0">
  <autoFilter ref="A1:D176" xr:uid="{DD841DB9-A242-4050-A7E6-984852778526}"/>
  <tableColumns count="4">
    <tableColumn id="1" xr3:uid="{783036AE-6148-4673-A2B5-A0A0BAA87B07}" uniqueName="1" name="traceability_no" queryTableFieldId="9" dataDxfId="205"/>
    <tableColumn id="2" xr3:uid="{482A691C-AB89-4876-8603-17E1B8A0060D}" uniqueName="2" name="Temp" queryTableFieldId="10" dataDxfId="204"/>
    <tableColumn id="3" xr3:uid="{C18C26D0-4A5B-4C1F-9EEC-A3DBCC51F857}" uniqueName="3" name="Offset" queryTableFieldId="11" dataDxfId="203"/>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35" tableType="queryTable" totalsRowShown="0">
  <autoFilter ref="K1:P35" xr:uid="{BE31C0C9-5FD4-4A84-8E69-97A9DB721FB3}"/>
  <sortState xmlns:xlrd2="http://schemas.microsoft.com/office/spreadsheetml/2017/richdata2" ref="K2:P35">
    <sortCondition descending="1" ref="O2:O35"/>
    <sortCondition ref="P2:P35"/>
  </sortState>
  <tableColumns count="6">
    <tableColumn id="1" xr3:uid="{2E118E7B-6ADF-4D6B-9CBF-FBA2A2BF3A37}" uniqueName="1" name="traceability_no" queryTableFieldId="1" dataDxfId="202"/>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201"/>
    <tableColumn id="6" xr3:uid="{5062893C-BBB1-47DF-8675-99516DA753A8}" uniqueName="6" name="sort1" queryTableFieldId="6" dataDxfId="200">
      <calculatedColumnFormula>IFERROR(LEFT(AllWireRollCerts[[#This Row],[traceability_no]],6),"")</calculatedColumnFormula>
    </tableColumn>
    <tableColumn id="7" xr3:uid="{2A19E68F-29D7-404E-820F-E990CEF43BD1}" uniqueName="7" name="sort2" queryTableFieldId="7" dataDxfId="199">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75"/>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98">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97">
      <calculatedColumnFormula>IF(Main!O3="","",Main!N3)</calculatedColumnFormula>
    </tableColumn>
    <tableColumn id="3" xr3:uid="{FCE5D856-7234-4CCA-97EE-22B74741E437}" name="Alert" dataDxfId="196">
      <calculatedColumnFormula array="1">_xlfn.TEXTJOIN("; ", TRUE, IF(Alerts[[#This Row],[Dropped]],"DROPPED",""),
    IF(Alerts[[#This Row],[High]:[Out Of Tolerance]] &lt;&gt; "",
        Alerts[[#Headers],[High]:[Out Of Tolerance]],
        "")
)</calculatedColumnFormula>
    </tableColumn>
    <tableColumn id="4" xr3:uid="{8AD94D64-1483-4168-80EC-0F5FF5FBFB54}" name="Temp" dataDxfId="195">
      <calculatedColumnFormula array="1">_xlfn.XLOOKUP(1,
  (Survey[TestPoint]=Alerts[[#This Row],[TestPoint]])*(Survey[Time]=--Alerts[[#This Row],[Time]]),
  Survey[RawTemp],
  "")</calculatedColumnFormula>
    </tableColumn>
    <tableColumn id="5" xr3:uid="{7F528BD7-7CA6-42E2-8288-BF3DEA461539}" name="Time" dataDxfId="194">
      <calculatedColumnFormula>IFERROR(IF(OR(Alerts[[#This Row],[High]],Alerts[[#This Row],[Low]]),VALUE(Alerts[[#This Row],[High]]&amp;Alerts[[#This Row],[Low]]),Alerts[[#This Row],[Out Of Tolerance]]),"")</calculatedColumnFormula>
    </tableColumn>
    <tableColumn id="6" xr3:uid="{C6C3F45B-0C03-4E9C-9412-DBABE4DA80B3}" name="Dropped" dataDxfId="193">
      <calculatedColumnFormula>IF(
  Main!O5 = "",
  FALSE,
  COUNTIF(Survey[TestPoint], Alerts[[#This Row],[TestPoint]]) = 0
)</calculatedColumnFormula>
    </tableColumn>
    <tableColumn id="8" xr3:uid="{96F3D492-9D35-4D95-988A-C7309D2CB11D}" name="High" dataDxfId="192">
      <calculatedColumnFormula array="1">_xlfn.XLOOKUP(1,
  (Survey[TestPoint]=Alerts[[#This Row],[TestPoint]])*Survey[High],
  Survey[Time],
  "")</calculatedColumnFormula>
    </tableColumn>
    <tableColumn id="9" xr3:uid="{FA598A09-68F3-4996-908B-720C01A5CB36}" name="Low" dataDxfId="191">
      <calculatedColumnFormula array="1">_xlfn.XLOOKUP(1,
  (Survey[TestPoint]=Alerts[[#This Row],[TestPoint]])*Survey[Low],
  Survey[Time],
  "")</calculatedColumnFormula>
    </tableColumn>
    <tableColumn id="10" xr3:uid="{8BF38346-ED30-41C4-A7C5-C5AD74EDAE4E}" name="Out Of Tolerance" dataDxfId="190">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537" tableType="queryTable" totalsRowShown="0">
  <autoFilter ref="A1:F1537" xr:uid="{D6C2FE1D-589C-41D2-816C-0CAA3105D507}"/>
  <tableColumns count="6">
    <tableColumn id="6" xr3:uid="{12D5EB84-2052-49F7-A25B-127266D7FB89}" uniqueName="6" name="traceability_no" queryTableFieldId="6" dataDxfId="189"/>
    <tableColumn id="2" xr3:uid="{80F1DE28-79AD-483F-A7F0-673E715EECBE}" uniqueName="2" name="reading" queryTableFieldId="2" dataDxfId="188"/>
    <tableColumn id="1" xr3:uid="{B4839395-B86E-4AA6-ADFB-57CDD2F7F61D}" uniqueName="1" name="point" queryTableFieldId="1"/>
    <tableColumn id="3" xr3:uid="{2724CA85-C781-4E38-A0DA-097BFEEFE8B1}" uniqueName="3" name="Temp" queryTableFieldId="3" dataDxfId="187"/>
    <tableColumn id="5" xr3:uid="{D8FBA668-C3CE-41DC-B112-B2663A4558F7}" uniqueName="5" name="Offset" queryTableFieldId="5" dataDxfId="186"/>
    <tableColumn id="4" xr3:uid="{3984E3BA-ECF9-4974-BA1B-4E1212BB2A83}" uniqueName="4" name="AssetTag2" queryTableFieldId="8" dataDxfId="185">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84" headerRowBorderDxfId="183">
  <autoFilter ref="M1:T41" xr:uid="{26B6A9B0-C535-497C-80B0-B1E532DC9DFD}"/>
  <tableColumns count="8">
    <tableColumn id="2" xr3:uid="{AA763339-65AF-434D-A711-61DA35F163AD}" name="Point"/>
    <tableColumn id="3" xr3:uid="{3B356035-E587-4027-87A0-DE8E0B2FE7E1}" name="DaqbookInterp" dataDxfId="182">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81">
      <calculatedColumnFormula array="1">IF(DaqbookInterp[[#This Row],[Include]],QRound(N2),NA())</calculatedColumnFormula>
    </tableColumn>
    <tableColumn id="5" xr3:uid="{D54F6D03-3723-4E00-912E-150DF9F71E5B}" name="T/C Name" dataDxfId="180">
      <calculatedColumnFormula>IF(DaqbookInterp[[#This Row],[Include]],Main!O5, NA())</calculatedColumnFormula>
    </tableColumn>
    <tableColumn id="6" xr3:uid="{4A823077-65D9-48F8-825F-BAEBD9008EA4}" name="Include" dataDxfId="179">
      <calculatedColumnFormula>NOT(ISBLANK(Main!O5))</calculatedColumnFormula>
    </tableColumn>
    <tableColumn id="7" xr3:uid="{9B0EC045-52DF-4F3C-A037-09C5D494BF52}" name="WireSet" dataDxfId="178">
      <calculatedColumnFormula>LOOKUP(DaqbookInterp[[#This Row],[T/C Name]],_xlfn.ANCHORARRAY($Z$2))</calculatedColumnFormula>
    </tableColumn>
    <tableColumn id="8" xr3:uid="{FEFB3CF3-C3B5-4AEA-A75C-80F9610E9833}" name="Wire Lot #" dataDxfId="177">
      <calculatedColumnFormula>HLOOKUP(DaqbookInterp[[#This Row],[WireSet]],Main!$D$48:$I$55,8,0)</calculatedColumnFormula>
    </tableColumn>
    <tableColumn id="9" xr3:uid="{C4BC88F4-CA08-4EF4-9C53-A23F32164EA9}" name="TC CF" dataDxfId="176">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93" totalsRowShown="0">
  <autoFilter ref="W1:X293"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75"/>
    <tableColumn id="5" xr3:uid="{27363C9A-3D85-416E-8BCC-52B2C8D77A72}" uniqueName="5" name="Uncert Units" queryTableFieldId="5" dataDxfId="174"/>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73"/>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73"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3" tableType="queryTable" totalsRowShown="0">
  <autoFilter ref="A1:AK413" xr:uid="{8A28E51F-224F-4F5E-9D3E-A91A5A4DEDFC}"/>
  <tableColumns count="37">
    <tableColumn id="39" xr3:uid="{7AAACA38-72D4-4F11-8664-EC16A2DA6293}" uniqueName="39" name="AssetId" queryTableFieldId="164" dataDxfId="172"/>
    <tableColumn id="40" xr3:uid="{1FD78DD8-6141-4BCC-8B64-71669B160E7A}" uniqueName="40" name="ClientCompanyId" queryTableFieldId="165" dataDxfId="171"/>
    <tableColumn id="41" xr3:uid="{5BCE0CCA-D40E-445A-B69F-BF9E8EC302E6}" uniqueName="41" name="Furnace" queryTableFieldId="166"/>
    <tableColumn id="42" xr3:uid="{FE44BF6E-7160-4F10-BB7C-5C6B8F55C8DB}" uniqueName="42" name="FormNumber" queryTableFieldId="167" dataDxfId="170"/>
    <tableColumn id="43" xr3:uid="{EC576AA5-7F07-4B99-BBD1-C006A3FF4861}" uniqueName="43" name="CalibrationMethod" queryTableFieldId="168" dataDxfId="169"/>
    <tableColumn id="44" xr3:uid="{11784700-CE79-4C3A-B181-67F89C94AC89}" uniqueName="44" name="ToleranceSource" queryTableFieldId="169" dataDxfId="168"/>
    <tableColumn id="45" xr3:uid="{F8D57A3B-9D48-4C00-8E7C-AC29615D88F6}" uniqueName="45" name="Item" queryTableFieldId="170" dataDxfId="167"/>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66"/>
    <tableColumn id="51" xr3:uid="{5B79DBE7-7CAB-41DA-AF62-362ADDE2AED9}" uniqueName="51" name="WorkingZoneSize" queryTableFieldId="176" dataDxfId="165"/>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64"/>
    <tableColumn id="63" xr3:uid="{478884C5-ACFA-42A0-A5A5-3FD7354DF395}" uniqueName="63" name="TestLocation" queryTableFieldId="188" dataDxfId="163"/>
    <tableColumn id="64" xr3:uid="{8742E83A-8953-4A6F-B342-02A544F42A3E}" uniqueName="64" name="OvenLocation" queryTableFieldId="189" dataDxfId="162"/>
    <tableColumn id="65" xr3:uid="{D2C69FD9-EF22-4D46-9BCA-A04DCD92EC4B}" uniqueName="65" name="Condition" queryTableFieldId="190" dataDxfId="161"/>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60"/>
    <tableColumn id="73" xr3:uid="{5C1EA854-4A8F-420A-8A21-EED95DA3A02D}" uniqueName="73" name="LagLimit" queryTableFieldId="198" dataDxfId="159"/>
    <tableColumn id="74" xr3:uid="{E0D578AE-61B1-4F16-BC5A-DF5388800162}" uniqueName="74" name="RecoveryLimit" queryTableFieldId="199" dataDxfId="158"/>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5" tableType="queryTable" totalsRowShown="0">
  <autoFilter ref="A1:M425"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57"/>
    <tableColumn id="8" xr3:uid="{6A970319-4DB4-4470-AD18-810376DE6248}" uniqueName="8" name="Flags" queryTableFieldId="8" dataDxfId="156"/>
    <tableColumn id="10" xr3:uid="{C036645E-37FD-4D8C-A495-9B7CD74F1924}" uniqueName="10" name="TolMinText" queryTableFieldId="10" dataDxfId="155">
      <calculatedColumnFormula>TEXT(UUTRangeTol[[#This Row],[TolMin]],SUBSTITUTE(UUTRangeTol[[#This Row],[TolResolution]],"1","0"))&amp;UUTRangeTol[[#This Row],[Unit]]</calculatedColumnFormula>
    </tableColumn>
    <tableColumn id="11" xr3:uid="{7185F013-BA2C-4D79-99A0-8DCC297E6118}" uniqueName="11" name="TolMaxText" queryTableFieldId="11" dataDxfId="154">
      <calculatedColumnFormula>TEXT(UUTRangeTol[[#This Row],[TolMax]],SUBSTITUTE(UUTRangeTol[[#This Row],[TolResolution]],"1","0"))&amp;UUTRangeTol[[#This Row],[Unit]]</calculatedColumnFormula>
    </tableColumn>
    <tableColumn id="12" xr3:uid="{EE0701A7-578C-482F-B1ED-DBCB9E95A0C6}" uniqueName="12" name="TolText" queryTableFieldId="12" dataDxfId="153">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52">
      <calculatedColumnFormula>UUTRangeTol[[#This Row],[RangeMax]]&amp;UUTRangeTol[[#This Row],[Unit]]</calculatedColumnFormula>
    </tableColumn>
    <tableColumn id="14" xr3:uid="{EF348E52-D936-44CC-A058-66DD7A780488}" uniqueName="14" name="RangeText" queryTableFieldId="14" dataDxfId="151">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50"/>
    <tableColumn id="2" xr3:uid="{4984B315-F281-4FCE-B730-0C7B248AA955}" uniqueName="2" name="nominal_temp" queryTableFieldId="2" dataDxfId="149"/>
    <tableColumn id="3" xr3:uid="{53D53435-D3FD-453C-A000-9DEF29CF77CD}" uniqueName="3" name="offset" queryTableFieldId="3" dataDxfId="148"/>
    <tableColumn id="4" xr3:uid="{71EBF38C-C2D5-457A-8BC4-1C726B409693}" uniqueName="4" name="probe_serial_number" queryTableFieldId="4" dataDxfId="147"/>
    <tableColumn id="5" xr3:uid="{264E3CB0-FEA8-40F6-AC5D-D574DD8CF263}" uniqueName="5" name="SBP_Set" queryTableFieldId="5" dataDxfId="146">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20" dataCellStyle="Normal"/>
    <tableColumn id="2" xr3:uid="{18C84E6F-0395-44B7-82E8-3E3C3338D295}" name="TUS Tol" totalsRowDxfId="219" dataCellStyle="Normal"/>
    <tableColumn id="5" xr3:uid="{DB50C328-B2A6-44C5-853C-318053CB9F8D}" name="SAT Tol" totalsRowDxfId="218"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5" dataDxfId="144" tableBorderDxfId="143">
  <autoFilter ref="AG2:AS3" xr:uid="{B114758F-16E1-4C54-AA0B-E7F64DE85242}"/>
  <tableColumns count="13">
    <tableColumn id="1" xr3:uid="{0D0312AF-C987-4CC8-97F8-A45434AD138A}" name="Time" dataDxfId="142" dataCellStyle="Normal 3"/>
    <tableColumn id="2" xr3:uid="{E5CD88A1-1988-41C9-8D07-30908E60C0B6}" name="29" dataDxfId="141" dataCellStyle="Normal 3"/>
    <tableColumn id="3" xr3:uid="{52334E52-C590-4A01-82BC-CCC9DA2C2817}" name="30" dataDxfId="140" dataCellStyle="Normal 3"/>
    <tableColumn id="4" xr3:uid="{145DAD22-055B-47E2-958D-C0E0B68ECCC8}" name="31" dataDxfId="139" dataCellStyle="Normal 3"/>
    <tableColumn id="5" xr3:uid="{09C3BF4E-C2AE-4497-AAA2-CF5A8A70B030}" name="32" dataDxfId="138" dataCellStyle="Normal 3"/>
    <tableColumn id="6" xr3:uid="{E9F444F5-7F75-4B80-BC2D-E9E92BB7C32D}" name="33" dataDxfId="137" dataCellStyle="Normal 3"/>
    <tableColumn id="7" xr3:uid="{C42F56B6-C38E-41DC-811A-50AF69D04B80}" name="34" dataDxfId="136" dataCellStyle="Normal 3"/>
    <tableColumn id="8" xr3:uid="{1930235F-D2C0-482D-8CC0-6B3AC765E7EA}" name="35" dataDxfId="135" dataCellStyle="Normal 3"/>
    <tableColumn id="9" xr3:uid="{6FCF613B-A86F-4DC6-9CC5-0A1E44E3DFE0}" name="36" dataDxfId="134" dataCellStyle="Normal 3"/>
    <tableColumn id="10" xr3:uid="{19EA3429-FD7E-4BA0-96B7-70F520D9FE0F}" name="37" dataDxfId="133" dataCellStyle="Normal 3"/>
    <tableColumn id="11" xr3:uid="{A5D0DAE1-1017-4DE3-AEA6-1BAF97E0FBDC}" name="38" dataDxfId="132" dataCellStyle="Normal 3"/>
    <tableColumn id="12" xr3:uid="{ABC8E507-1120-436F-9E9F-E3A8852E2E1A}" name="39" dataDxfId="131"/>
    <tableColumn id="13" xr3:uid="{C69AC669-10C2-4E64-9F60-B4AA135FB3DF}" name="40" dataDxfId="130"/>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9" tableBorderDxfId="128">
  <autoFilter ref="Q2:AE3" xr:uid="{6D9D14EA-1966-4240-9028-DABDD72BB7BC}"/>
  <tableColumns count="15">
    <tableColumn id="1" xr3:uid="{F199066A-0899-4173-8784-FC618D5EFA3C}" name="Time" dataDxfId="127" dataCellStyle="Normal 3"/>
    <tableColumn id="2" xr3:uid="{DB040280-BEC7-49AA-A925-A050027B33E3}" name="15" dataDxfId="126" dataCellStyle="Normal 3"/>
    <tableColumn id="3" xr3:uid="{5D74EEBF-1FB4-4DF9-8EDD-C656F929ADA2}" name="16" dataDxfId="125" dataCellStyle="Normal 3"/>
    <tableColumn id="4" xr3:uid="{B1176DF8-22B4-4741-A534-22D0C72EF1F0}" name="17" dataDxfId="124" dataCellStyle="Normal 3"/>
    <tableColumn id="5" xr3:uid="{1E29EA65-5182-4B3E-817F-0D30B2884EC7}" name="18" dataDxfId="123" dataCellStyle="Normal 3"/>
    <tableColumn id="6" xr3:uid="{AF53AEFB-F310-4F08-91BC-82FB0F484ECA}" name="19" dataDxfId="122" dataCellStyle="Normal 3"/>
    <tableColumn id="7" xr3:uid="{EE472F61-D1B5-43CF-A661-FA1D47001C17}" name="20" dataDxfId="121" dataCellStyle="Normal 3"/>
    <tableColumn id="8" xr3:uid="{841D54C1-AB74-4CB1-8C7F-C38D11EFAD3F}" name="21" dataDxfId="120" dataCellStyle="Normal 3"/>
    <tableColumn id="9" xr3:uid="{F1FB485B-DEAA-4958-8C40-80934EA1437F}" name="22" dataDxfId="119" dataCellStyle="Normal 3"/>
    <tableColumn id="10" xr3:uid="{5C552A76-BD54-46C5-93AD-8F25289FA051}" name="23" dataDxfId="118" dataCellStyle="Normal 3"/>
    <tableColumn id="11" xr3:uid="{B20FA5F1-0522-49D0-9B5A-34570A8AE6EA}" name="24" dataDxfId="117" dataCellStyle="Normal 3"/>
    <tableColumn id="12" xr3:uid="{0BC87A98-B9AC-4CD6-9F9B-D04190073E2A}" name="25" dataDxfId="116"/>
    <tableColumn id="13" xr3:uid="{D62EA80B-BBE3-4A29-89AB-EE04C6E03547}" name="26" dataDxfId="115"/>
    <tableColumn id="14" xr3:uid="{6D7DE537-763F-40F1-AC16-33F228CBC8D1}" name="27" dataDxfId="114"/>
    <tableColumn id="15" xr3:uid="{F8FA9620-DB21-4BAE-8D97-FF38B70679C9}" name="28" dataDxfId="113"/>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12" dataDxfId="111" tableBorderDxfId="110">
  <autoFilter ref="A2:O3" xr:uid="{73A9D9BA-FF58-4A3F-98F7-9A835492E25D}"/>
  <tableColumns count="15">
    <tableColumn id="1" xr3:uid="{73B888B4-4146-4E26-9B39-0FC537A113C8}" name="Time" dataDxfId="109" dataCellStyle="Normal 3"/>
    <tableColumn id="2" xr3:uid="{6F1EF879-7C87-4A56-A394-30C6E5BDB32A}" name="1" dataDxfId="108" dataCellStyle="Normal 3"/>
    <tableColumn id="3" xr3:uid="{B2FA8A6A-D50A-41E8-942A-379C757B6A2B}" name="2" dataDxfId="107" dataCellStyle="Normal 3"/>
    <tableColumn id="4" xr3:uid="{F92FE975-D84B-4B73-B49D-3B746FAA3D21}" name="3" dataDxfId="106" dataCellStyle="Normal 3"/>
    <tableColumn id="5" xr3:uid="{7820E0E9-F621-4361-A572-234B3CB7F864}" name="4" dataDxfId="105" dataCellStyle="Normal 3"/>
    <tableColumn id="6" xr3:uid="{A46C0BCA-2139-4CD3-B02F-C4D3F8E65309}" name="5" dataDxfId="104" dataCellStyle="Normal 3"/>
    <tableColumn id="7" xr3:uid="{334BDF50-1D79-41BC-BA09-7B69018332AE}" name="6" dataDxfId="103" dataCellStyle="Normal 3"/>
    <tableColumn id="8" xr3:uid="{6C11BC6A-3E21-4CDE-9CD4-C8EBCF50B6DB}" name="7" dataDxfId="102" dataCellStyle="Normal 3"/>
    <tableColumn id="9" xr3:uid="{1EEEA607-5177-4C19-A1BC-B12D19FF055B}" name="8" dataDxfId="101" dataCellStyle="Normal 3"/>
    <tableColumn id="10" xr3:uid="{ACF909CE-C221-4157-9298-18F2C140C147}" name="9" dataDxfId="100" dataCellStyle="Normal 3"/>
    <tableColumn id="11" xr3:uid="{182688D3-AD0D-4518-A7FE-0C281ABCDF76}" name="10" dataDxfId="99" dataCellStyle="Normal 3"/>
    <tableColumn id="12" xr3:uid="{54AFFA30-00C2-440A-92A2-139F62F751BE}" name="11" dataDxfId="98"/>
    <tableColumn id="13" xr3:uid="{DCF0B43C-F320-4031-91C6-8514285AF6CA}" name="12" dataDxfId="97"/>
    <tableColumn id="14" xr3:uid="{53A56FC8-0536-4D94-A335-FFCBCBEAF45E}" name="13" dataDxfId="96"/>
    <tableColumn id="15" xr3:uid="{F49FEB6E-05C2-4E90-A6CE-A0C9C694642A}" name="14" dataDxfId="95"/>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11" tableType="queryTable" totalsRowShown="0" headerRowDxfId="94" dataDxfId="93">
  <autoFilter ref="A1:O1711" xr:uid="{7FFB3A25-33B3-41D4-A4EC-161ECACD71F3}"/>
  <tableColumns count="15">
    <tableColumn id="1" xr3:uid="{11D744F1-EDFB-47DE-B384-CF9869615081}" uniqueName="1" name="company_name" queryTableFieldId="80"/>
    <tableColumn id="2" xr3:uid="{39B8308C-AB2D-4935-AB6D-60659663F9DB}" uniqueName="2" name="Address1" queryTableFieldId="81" dataDxfId="92"/>
    <tableColumn id="3" xr3:uid="{5F5E8FED-27C7-498A-86F2-8DE1BF0A773A}" uniqueName="3" name="Address2" queryTableFieldId="82" dataDxfId="91"/>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90"/>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89" dataDxfId="88">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87"/>
    <tableColumn id="1" xr3:uid="{5057086F-523D-4F8B-9A42-41FE3C8BBE96}" uniqueName="1" name="asset_id" queryTableFieldId="1"/>
    <tableColumn id="2" xr3:uid="{3726BB7E-1692-4770-A35E-9A744D09DBEF}" uniqueName="2" name="certificate_tn" queryTableFieldId="2" dataDxfId="86"/>
    <tableColumn id="3" xr3:uid="{629AF54F-0AD2-4FF2-858D-F1389CE1840E}" uniqueName="3" name="due_date" queryTableFieldId="3" dataDxfId="72"/>
    <tableColumn id="4" xr3:uid="{04C8F569-A520-43B3-A7E7-E09CFF80F449}" uniqueName="4" name="service_date" queryTableFieldId="4" dataDxfId="71"/>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85"/>
    <tableColumn id="3" xr3:uid="{A4F2902A-51C9-47F2-ABB5-33476BF6B798}" uniqueName="3" name="login_email" queryTableFieldId="5"/>
    <tableColumn id="4" xr3:uid="{93F361AC-D356-4A7B-A6F2-34FB0F71E2F6}" uniqueName="4" name="IsPyro" queryTableFieldId="7" dataDxfId="84"/>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3" dataDxfId="82" headerRowCellStyle="Normal 2" dataCellStyle="Normal 2">
  <autoFilter ref="U11:V25" xr:uid="{DCCFF26E-EC5C-4962-98DB-A7DA1F3C8CE2}"/>
  <tableColumns count="2">
    <tableColumn id="1" xr3:uid="{DFC40837-B092-4826-9847-4A23BE22020F}" name="4" dataDxfId="81" dataCellStyle="Normal 2"/>
    <tableColumn id="2" xr3:uid="{0711DB07-19DA-4D5E-A417-C242A0304453}" name="10" dataDxfId="80" dataCellStyle="Normal 2"/>
  </tableColumns>
  <tableStyleInfo name="TableStyleMedium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02C2549-2DD2-4EF0-8268-6CFDEA1572B9}" name="WireSetCerts" displayName="WireSetCerts" ref="A1:H25" tableType="queryTable" totalsRowShown="0" headerRowDxfId="79" dataDxfId="78">
  <autoFilter ref="A1:H25" xr:uid="{FA779040-C31C-471C-8328-05373E52699D}"/>
  <tableColumns count="8">
    <tableColumn id="29" xr3:uid="{9CA2ECB0-FD2B-46CE-B9E0-401FA597A18A}" uniqueName="29" name="asset_id" queryTableFieldId="29" dataDxfId="70" dataCellStyle="Normal 5"/>
    <tableColumn id="22" xr3:uid="{A5EA559D-5224-4583-9A43-B47439078CA1}" uniqueName="22" name="asset_tag" queryTableFieldId="22" dataDxfId="69" dataCellStyle="Normal 5"/>
    <tableColumn id="24" xr3:uid="{8DBBB763-1A78-4DCD-8200-8E69D481AF34}" uniqueName="24" name="certificate_number" queryTableFieldId="24" dataDxfId="68" dataCellStyle="Normal 5"/>
    <tableColumn id="23" xr3:uid="{7AB8F791-1519-4425-BD12-A72F2C4977C2}" uniqueName="23" name="serial_number" queryTableFieldId="23" dataDxfId="67" dataCellStyle="Normal 5"/>
    <tableColumn id="25" xr3:uid="{5F01AA16-2DC7-4474-BC41-91CA4EC14EBA}" uniqueName="25" name="service_date" queryTableFieldId="25" dataDxfId="66" dataCellStyle="Normal 5"/>
    <tableColumn id="26" xr3:uid="{4F1AE608-7AC1-4C9D-8198-1A708CCAC701}" uniqueName="26" name="traceability_number" queryTableFieldId="26" dataDxfId="65" dataCellStyle="Normal 5"/>
    <tableColumn id="27" xr3:uid="{28A300D7-6887-427A-AD68-0B621A919025}" uniqueName="27" name="wire_roll_cert_number" queryTableFieldId="27" dataDxfId="64" dataCellStyle="Normal 5"/>
    <tableColumn id="28" xr3:uid="{0282DC9A-51B0-4CC4-8B6E-41941531A4ED}" uniqueName="28" name="wire_set_group" queryTableFieldId="28" dataDxfId="63" dataCellStyle="Normal 5"/>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97627FC-A62D-486B-A074-B3359FE04F97}" name="Sync" displayName="Sync" ref="J1:O2" tableType="queryTable" insertRow="1" totalsRowShown="0" headerRowDxfId="77" dataDxfId="76">
  <autoFilter ref="J1:O2" xr:uid="{00574035-F840-4905-AB6B-13FFEA7D74D4}"/>
  <tableColumns count="6">
    <tableColumn id="1" xr3:uid="{6C869373-7719-4A24-94CB-88ACF2710604}" uniqueName="1" name="ok" queryTableFieldId="1" dataCellStyle="Normal 5"/>
    <tableColumn id="2" xr3:uid="{07D08CC5-1CB4-4D0C-B49A-B1FF1110E9A6}" uniqueName="2" name="status" queryTableFieldId="2" dataCellStyle="Normal 5"/>
    <tableColumn id="3" xr3:uid="{8A808A2E-7B20-48D8-A573-DC16D5C5234E}" uniqueName="3" name="message" queryTableFieldId="3" dataCellStyle="Normal 5"/>
    <tableColumn id="4" xr3:uid="{D46FA9C3-06FB-4A02-A49E-14D636AFC413}" uniqueName="4" name="asset_id" queryTableFieldId="4" dataCellStyle="Normal 5"/>
    <tableColumn id="7" xr3:uid="{22F04E1E-926B-461A-8CDF-7B34E93436BA}" uniqueName="7" name="new_wire_roll_cert_number" queryTableFieldId="8" dataCellStyle="Normal 5"/>
    <tableColumn id="5" xr3:uid="{08C865A0-2166-4932-B4D1-3EDF22DA3D1D}" uniqueName="5" name="attempted_wire_roll_cert_number" queryTableFieldId="9" dataCellStyle="Normal 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B08B6E9-72AA-4CBB-8204-E4E860782D81}" name="ServerAlerts" displayName="ServerAlerts" ref="A3:J5" tableType="queryTable" totalsRowShown="0">
  <autoFilter ref="A3:J5" xr:uid="{5B08B6E9-72AA-4CBB-8204-E4E860782D81}"/>
  <sortState xmlns:xlrd2="http://schemas.microsoft.com/office/spreadsheetml/2017/richdata2" ref="A4:J5">
    <sortCondition ref="D3:D5"/>
  </sortState>
  <tableColumns count="10">
    <tableColumn id="1" xr3:uid="{F2B5BBEC-1642-4C80-B2B0-3A129BBD4D8B}" uniqueName="1" name="id" queryTableFieldId="1"/>
    <tableColumn id="2" xr3:uid="{511593F4-E044-4CB5-BFD2-F2083F470702}" uniqueName="2" name="sync_type" queryTableFieldId="2"/>
    <tableColumn id="3" xr3:uid="{5909C9FE-A583-46B0-8D69-588E3CDB636C}" uniqueName="3" name="category" queryTableFieldId="3"/>
    <tableColumn id="4" xr3:uid="{FD6A385C-95AC-478F-9498-06EC4C9C4FBD}" uniqueName="4" name="severity" queryTableFieldId="4"/>
    <tableColumn id="5" xr3:uid="{EB9DAB05-40BE-46F4-B66F-F152F8152B98}" uniqueName="5" name="asset_tag" queryTableFieldId="5"/>
    <tableColumn id="6" xr3:uid="{6C4B7012-BC5B-4167-953C-62765168552E}" uniqueName="6" name="asset_id" queryTableFieldId="6"/>
    <tableColumn id="7" xr3:uid="{64368F52-2217-4CC6-8AB4-A859393052D3}" uniqueName="7" name="short_message" queryTableFieldId="7"/>
    <tableColumn id="8" xr3:uid="{4DAE69B1-79E4-4693-82CC-E04C62D9D7FD}" uniqueName="8" name="detail_hint" queryTableFieldId="8"/>
    <tableColumn id="9" xr3:uid="{89C77566-C417-4238-9348-011D8FD6872C}" uniqueName="9" name="first_seen_at" queryTableFieldId="9"/>
    <tableColumn id="10" xr3:uid="{3E1A5A26-550C-4D11-B7D7-D9517F3536B2}" uniqueName="10" name="last_seen_at" queryTableFieldId="10"/>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6" Type="http://schemas.openxmlformats.org/officeDocument/2006/relationships/table" Target="../tables/table18.xml"/><Relationship Id="rId1" Type="http://schemas.openxmlformats.org/officeDocument/2006/relationships/printerSettings" Target="../printerSettings/printerSettings3.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2.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2.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5.xml"/><Relationship Id="rId1" Type="http://schemas.openxmlformats.org/officeDocument/2006/relationships/printerSettings" Target="../printerSettings/printerSettings16.bin"/><Relationship Id="rId4" Type="http://schemas.openxmlformats.org/officeDocument/2006/relationships/table" Target="../tables/table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hyperlink" Target="https://jgiapi.com/data-sync/alerts/view" TargetMode="External"/><Relationship Id="rId5" Type="http://schemas.openxmlformats.org/officeDocument/2006/relationships/table" Target="../tables/table29.xml"/><Relationship Id="rId4" Type="http://schemas.openxmlformats.org/officeDocument/2006/relationships/ctrlProp" Target="../ctrlProps/ctrlProp18.xml"/></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Q28"/>
  <sheetViews>
    <sheetView topLeftCell="D1" workbookViewId="0">
      <selection activeCell="O12" sqref="O1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4" width="7.140625" customWidth="1"/>
    <col min="15" max="16" width="12.28515625" bestFit="1" customWidth="1"/>
    <col min="17" max="17" width="16.140625" customWidth="1"/>
    <col min="18" max="18" width="6.5703125" bestFit="1" customWidth="1"/>
    <col min="19" max="19" width="7.140625" bestFit="1" customWidth="1"/>
    <col min="20" max="20" width="12.28515625" bestFit="1" customWidth="1"/>
    <col min="21" max="21" width="6.5703125" bestFit="1" customWidth="1"/>
    <col min="22" max="22" width="7.140625" customWidth="1"/>
  </cols>
  <sheetData>
    <row r="1" spans="1:17" x14ac:dyDescent="0.2">
      <c r="J1" s="51"/>
      <c r="K1" s="466" t="s">
        <v>731</v>
      </c>
      <c r="P1" t="s">
        <v>732</v>
      </c>
      <c r="Q1" t="s">
        <v>731</v>
      </c>
    </row>
    <row r="2" spans="1:17" x14ac:dyDescent="0.2">
      <c r="J2" s="51"/>
      <c r="K2" t="e">
        <f>IF(DaqbookAssetTag&lt;&gt;"",LEFT(DaqbookAssetTag,1),NA())</f>
        <v>#N/A</v>
      </c>
      <c r="P2" t="s">
        <v>326</v>
      </c>
      <c r="Q2" t="s">
        <v>324</v>
      </c>
    </row>
    <row r="3" spans="1:17" x14ac:dyDescent="0.2">
      <c r="P3" t="s">
        <v>324</v>
      </c>
      <c r="Q3" t="s">
        <v>324</v>
      </c>
    </row>
    <row r="4" spans="1:17" x14ac:dyDescent="0.2">
      <c r="A4"/>
      <c r="B4"/>
      <c r="C4"/>
      <c r="D4"/>
      <c r="E4"/>
      <c r="F4"/>
      <c r="G4"/>
      <c r="H4"/>
      <c r="I4" s="36" t="s">
        <v>736</v>
      </c>
      <c r="J4"/>
      <c r="K4" s="36" t="s">
        <v>733</v>
      </c>
      <c r="P4" t="s">
        <v>325</v>
      </c>
      <c r="Q4" t="s">
        <v>325</v>
      </c>
    </row>
    <row r="5" spans="1:17" x14ac:dyDescent="0.2">
      <c r="A5"/>
      <c r="B5"/>
      <c r="C5"/>
      <c r="D5"/>
      <c r="E5" s="482"/>
      <c r="F5"/>
      <c r="G5"/>
      <c r="H5"/>
      <c r="I5" t="str">
        <f>_xlfn.XLOOKUP(WireSets[[#This Row],[type]],Table6[TC Type],Table6[Daqbook Type],NA())</f>
        <v>J</v>
      </c>
      <c r="J5"/>
      <c r="K5" t="b">
        <f>IF(ISNA($K$2), TRUE, $K$2=WireSets[[#This Row],[Daqbook Compatibility]])</f>
        <v>1</v>
      </c>
      <c r="N5" s="36" t="str" cm="1">
        <f t="array" ref="N5:N28">_xlfn._xlws.FILTER(WireSets[serial_number],WireSets[daqbook_ok])</f>
        <v>ENV101</v>
      </c>
      <c r="O5" s="36" t="str" cm="1">
        <f t="array" ref="O5:O9">_xlfn.UNIQUE(_xlfn._xlws.FILTER(WireSets[type],WireSets[daqbook_ok]))</f>
        <v>ENV</v>
      </c>
      <c r="P5" t="s">
        <v>323</v>
      </c>
      <c r="Q5" t="s">
        <v>323</v>
      </c>
    </row>
    <row r="6" spans="1:17" x14ac:dyDescent="0.2">
      <c r="A6"/>
      <c r="B6"/>
      <c r="C6"/>
      <c r="D6"/>
      <c r="E6" s="482"/>
      <c r="F6"/>
      <c r="G6"/>
      <c r="H6"/>
      <c r="I6" t="str">
        <f>_xlfn.XLOOKUP(WireSets[[#This Row],[type]],Table6[TC Type],Table6[Daqbook Type],NA())</f>
        <v>J</v>
      </c>
      <c r="J6"/>
      <c r="K6" t="b">
        <f>IF(ISNA($K$2), TRUE, $K$2=WireSets[[#This Row],[Daqbook Compatibility]])</f>
        <v>1</v>
      </c>
      <c r="N6" t="str">
        <v>J01-J24</v>
      </c>
      <c r="O6" t="str">
        <v>J</v>
      </c>
      <c r="P6" t="s">
        <v>730</v>
      </c>
      <c r="Q6" s="36" t="s">
        <v>323</v>
      </c>
    </row>
    <row r="7" spans="1:17" x14ac:dyDescent="0.2">
      <c r="A7"/>
      <c r="B7"/>
      <c r="C7"/>
      <c r="D7"/>
      <c r="E7" s="482"/>
      <c r="F7"/>
      <c r="G7"/>
      <c r="H7"/>
      <c r="I7" t="str">
        <f>_xlfn.XLOOKUP(WireSets[[#This Row],[type]],Table6[TC Type],Table6[Daqbook Type],NA())</f>
        <v>J</v>
      </c>
      <c r="J7"/>
      <c r="K7" t="b">
        <f>IF(ISNA($K$2), TRUE, $K$2=WireSets[[#This Row],[Daqbook Compatibility]])</f>
        <v>1</v>
      </c>
      <c r="N7" t="str">
        <v>J101-J110</v>
      </c>
      <c r="O7" t="str">
        <v>K</v>
      </c>
    </row>
    <row r="8" spans="1:17" x14ac:dyDescent="0.2">
      <c r="A8"/>
      <c r="B8"/>
      <c r="C8"/>
      <c r="D8"/>
      <c r="E8" s="482"/>
      <c r="F8"/>
      <c r="G8"/>
      <c r="H8"/>
      <c r="I8" t="str">
        <f>_xlfn.XLOOKUP(WireSets[[#This Row],[type]],Table6[TC Type],Table6[Daqbook Type],NA())</f>
        <v>J</v>
      </c>
      <c r="J8"/>
      <c r="K8" t="b">
        <f>IF(ISNA($K$2), TRUE, $K$2=WireSets[[#This Row],[Daqbook Compatibility]])</f>
        <v>1</v>
      </c>
      <c r="N8" t="str">
        <v>J111-J120</v>
      </c>
      <c r="O8" t="str">
        <v>N</v>
      </c>
    </row>
    <row r="9" spans="1:17" x14ac:dyDescent="0.2">
      <c r="A9"/>
      <c r="B9"/>
      <c r="C9"/>
      <c r="D9"/>
      <c r="E9" s="482"/>
      <c r="F9"/>
      <c r="G9"/>
      <c r="H9"/>
      <c r="I9" t="str">
        <f>_xlfn.XLOOKUP(WireSets[[#This Row],[type]],Table6[TC Type],Table6[Daqbook Type],NA())</f>
        <v>J</v>
      </c>
      <c r="J9"/>
      <c r="K9" t="b">
        <f>IF(ISNA($K$2), TRUE, $K$2=WireSets[[#This Row],[Daqbook Compatibility]])</f>
        <v>1</v>
      </c>
      <c r="N9" t="str">
        <v>J201-J214</v>
      </c>
      <c r="O9" t="str">
        <v>SBP</v>
      </c>
    </row>
    <row r="10" spans="1:17" x14ac:dyDescent="0.2">
      <c r="A10"/>
      <c r="B10"/>
      <c r="C10"/>
      <c r="D10"/>
      <c r="E10" s="482"/>
      <c r="F10"/>
      <c r="G10"/>
      <c r="H10"/>
      <c r="I10" t="str">
        <f>_xlfn.XLOOKUP(WireSets[[#This Row],[type]],Table6[TC Type],Table6[Daqbook Type],NA())</f>
        <v>J</v>
      </c>
      <c r="J10"/>
      <c r="K10" t="b">
        <f>IF(ISNA($K$2), TRUE, $K$2=WireSets[[#This Row],[Daqbook Compatibility]])</f>
        <v>1</v>
      </c>
      <c r="N10" t="str">
        <v>J301-J314</v>
      </c>
    </row>
    <row r="11" spans="1:17" x14ac:dyDescent="0.2">
      <c r="A11"/>
      <c r="B11"/>
      <c r="C11"/>
      <c r="D11"/>
      <c r="E11" s="482"/>
      <c r="F11"/>
      <c r="G11"/>
      <c r="H11"/>
      <c r="I11" t="str">
        <f>_xlfn.XLOOKUP(WireSets[[#This Row],[type]],Table6[TC Type],Table6[Daqbook Type],NA())</f>
        <v>J</v>
      </c>
      <c r="J11"/>
      <c r="K11" t="b">
        <f>IF(ISNA($K$2), TRUE, $K$2=WireSets[[#This Row],[Daqbook Compatibility]])</f>
        <v>1</v>
      </c>
      <c r="N11" t="str">
        <v>J501-J514</v>
      </c>
    </row>
    <row r="12" spans="1:17" x14ac:dyDescent="0.2">
      <c r="A12"/>
      <c r="B12"/>
      <c r="C12"/>
      <c r="D12"/>
      <c r="E12" s="482"/>
      <c r="F12"/>
      <c r="G12"/>
      <c r="H12"/>
      <c r="I12" t="str">
        <f>_xlfn.XLOOKUP(WireSets[[#This Row],[type]],Table6[TC Type],Table6[Daqbook Type],NA())</f>
        <v>J</v>
      </c>
      <c r="J12"/>
      <c r="K12" t="b">
        <f>IF(ISNA($K$2), TRUE, $K$2=WireSets[[#This Row],[Daqbook Compatibility]])</f>
        <v>1</v>
      </c>
      <c r="N12" t="str">
        <v>J601-J610</v>
      </c>
    </row>
    <row r="13" spans="1:17" x14ac:dyDescent="0.2">
      <c r="A13"/>
      <c r="B13"/>
      <c r="C13"/>
      <c r="D13"/>
      <c r="E13" s="482"/>
      <c r="F13"/>
      <c r="G13"/>
      <c r="H13"/>
      <c r="I13" t="str">
        <f>_xlfn.XLOOKUP(WireSets[[#This Row],[type]],Table6[TC Type],Table6[Daqbook Type],NA())</f>
        <v>J</v>
      </c>
      <c r="J13"/>
      <c r="K13" t="b">
        <f>IF(ISNA($K$2), TRUE, $K$2=WireSets[[#This Row],[Daqbook Compatibility]])</f>
        <v>1</v>
      </c>
      <c r="N13" t="str">
        <v>J701-J710</v>
      </c>
    </row>
    <row r="14" spans="1:17" x14ac:dyDescent="0.2">
      <c r="A14"/>
      <c r="B14"/>
      <c r="C14"/>
      <c r="D14"/>
      <c r="E14" s="482"/>
      <c r="F14"/>
      <c r="G14"/>
      <c r="H14"/>
      <c r="I14" t="str">
        <f>_xlfn.XLOOKUP(WireSets[[#This Row],[type]],Table6[TC Type],Table6[Daqbook Type],NA())</f>
        <v>K</v>
      </c>
      <c r="J14"/>
      <c r="K14" t="b">
        <f>IF(ISNA($K$2), TRUE, $K$2=WireSets[[#This Row],[Daqbook Compatibility]])</f>
        <v>1</v>
      </c>
      <c r="N14" t="str">
        <v>K01-K16</v>
      </c>
    </row>
    <row r="15" spans="1:17" x14ac:dyDescent="0.2">
      <c r="A15"/>
      <c r="B15"/>
      <c r="C15"/>
      <c r="D15"/>
      <c r="E15" s="482"/>
      <c r="F15"/>
      <c r="G15"/>
      <c r="H15"/>
      <c r="I15" t="str">
        <f>_xlfn.XLOOKUP(WireSets[[#This Row],[type]],Table6[TC Type],Table6[Daqbook Type],NA())</f>
        <v>K</v>
      </c>
      <c r="J15"/>
      <c r="K15" t="b">
        <f>IF(ISNA($K$2), TRUE, $K$2=WireSets[[#This Row],[Daqbook Compatibility]])</f>
        <v>1</v>
      </c>
      <c r="N15" t="str">
        <v>K101 - K110</v>
      </c>
    </row>
    <row r="16" spans="1:17" x14ac:dyDescent="0.2">
      <c r="A16"/>
      <c r="B16"/>
      <c r="C16"/>
      <c r="D16"/>
      <c r="E16" s="482"/>
      <c r="F16"/>
      <c r="G16"/>
      <c r="H16"/>
      <c r="I16" t="str">
        <f>_xlfn.XLOOKUP(WireSets[[#This Row],[type]],Table6[TC Type],Table6[Daqbook Type],NA())</f>
        <v>K</v>
      </c>
      <c r="J16"/>
      <c r="K16" t="b">
        <f>IF(ISNA($K$2), TRUE, $K$2=WireSets[[#This Row],[Daqbook Compatibility]])</f>
        <v>1</v>
      </c>
      <c r="N16" t="str">
        <v>K201-K214</v>
      </c>
    </row>
    <row r="17" spans="1:14" x14ac:dyDescent="0.2">
      <c r="A17"/>
      <c r="B17"/>
      <c r="C17"/>
      <c r="D17"/>
      <c r="E17" s="482"/>
      <c r="F17"/>
      <c r="G17"/>
      <c r="H17"/>
      <c r="I17" t="str">
        <f>_xlfn.XLOOKUP(WireSets[[#This Row],[type]],Table6[TC Type],Table6[Daqbook Type],NA())</f>
        <v>K</v>
      </c>
      <c r="J17" s="36"/>
      <c r="K17" s="36" t="b">
        <f>IF(ISNA($K$2), TRUE, $K$2=WireSets[[#This Row],[Daqbook Compatibility]])</f>
        <v>1</v>
      </c>
      <c r="N17" t="str">
        <v>K301-K314</v>
      </c>
    </row>
    <row r="18" spans="1:14" x14ac:dyDescent="0.2">
      <c r="A18"/>
      <c r="B18"/>
      <c r="C18"/>
      <c r="D18"/>
      <c r="E18" s="482"/>
      <c r="F18"/>
      <c r="G18"/>
      <c r="H18"/>
      <c r="I18" t="str">
        <f>_xlfn.XLOOKUP(WireSets[[#This Row],[type]],Table6[TC Type],Table6[Daqbook Type],NA())</f>
        <v>K</v>
      </c>
      <c r="J18" s="36"/>
      <c r="K18" s="36" t="b">
        <f>IF(ISNA($K$2), TRUE, $K$2=WireSets[[#This Row],[Daqbook Compatibility]])</f>
        <v>1</v>
      </c>
      <c r="N18" t="str">
        <v>K401-K416</v>
      </c>
    </row>
    <row r="19" spans="1:14" x14ac:dyDescent="0.2">
      <c r="A19"/>
      <c r="B19"/>
      <c r="C19"/>
      <c r="D19"/>
      <c r="E19" s="482"/>
      <c r="F19"/>
      <c r="G19"/>
      <c r="H19"/>
      <c r="I19" t="str">
        <f>_xlfn.XLOOKUP(WireSets[[#This Row],[type]],Table6[TC Type],Table6[Daqbook Type],NA())</f>
        <v>K</v>
      </c>
      <c r="J19"/>
      <c r="K19" t="b">
        <f>IF(ISNA($K$2), TRUE, $K$2=WireSets[[#This Row],[Daqbook Compatibility]])</f>
        <v>1</v>
      </c>
      <c r="N19" t="str">
        <v>K521-K534</v>
      </c>
    </row>
    <row r="20" spans="1:14" x14ac:dyDescent="0.2">
      <c r="A20"/>
      <c r="B20"/>
      <c r="C20"/>
      <c r="D20"/>
      <c r="E20" s="482"/>
      <c r="F20"/>
      <c r="G20"/>
      <c r="H20"/>
      <c r="I20" t="str">
        <f>_xlfn.XLOOKUP(WireSets[[#This Row],[type]],Table6[TC Type],Table6[Daqbook Type],NA())</f>
        <v>K</v>
      </c>
      <c r="J20"/>
      <c r="K20" t="b">
        <f>IF(ISNA($K$2), TRUE, $K$2=WireSets[[#This Row],[Daqbook Compatibility]])</f>
        <v>1</v>
      </c>
      <c r="N20" t="str">
        <v>K601-K610</v>
      </c>
    </row>
    <row r="21" spans="1:14" x14ac:dyDescent="0.2">
      <c r="A21"/>
      <c r="B21"/>
      <c r="C21"/>
      <c r="D21"/>
      <c r="E21" s="482"/>
      <c r="F21"/>
      <c r="G21"/>
      <c r="H21"/>
      <c r="I21" t="str">
        <f>_xlfn.XLOOKUP(WireSets[[#This Row],[type]],Table6[TC Type],Table6[Daqbook Type],NA())</f>
        <v>K</v>
      </c>
      <c r="J21"/>
      <c r="K21" t="b">
        <f>IF(ISNA($K$2), TRUE, $K$2=WireSets[[#This Row],[Daqbook Compatibility]])</f>
        <v>1</v>
      </c>
      <c r="N21" t="str">
        <v>K701-K710</v>
      </c>
    </row>
    <row r="22" spans="1:14" x14ac:dyDescent="0.2">
      <c r="A22"/>
      <c r="B22"/>
      <c r="C22"/>
      <c r="D22"/>
      <c r="E22" s="482"/>
      <c r="F22"/>
      <c r="G22"/>
      <c r="H22"/>
      <c r="I22" t="str">
        <f>_xlfn.XLOOKUP(WireSets[[#This Row],[type]],Table6[TC Type],Table6[Daqbook Type],NA())</f>
        <v>K</v>
      </c>
      <c r="J22"/>
      <c r="K22" t="b">
        <f>IF(ISNA($K$2), TRUE, $K$2=WireSets[[#This Row],[Daqbook Compatibility]])</f>
        <v>1</v>
      </c>
      <c r="N22" t="str">
        <v>K801-K816</v>
      </c>
    </row>
    <row r="23" spans="1:14" x14ac:dyDescent="0.2">
      <c r="A23"/>
      <c r="B23"/>
      <c r="C23"/>
      <c r="D23"/>
      <c r="E23" s="482"/>
      <c r="F23"/>
      <c r="G23"/>
      <c r="H23"/>
      <c r="I23" t="str">
        <f>_xlfn.XLOOKUP(WireSets[[#This Row],[type]],Table6[TC Type],Table6[Daqbook Type],NA())</f>
        <v>K</v>
      </c>
      <c r="J23"/>
      <c r="K23" t="b">
        <f>IF(ISNA($K$2), TRUE, $K$2=WireSets[[#This Row],[Daqbook Compatibility]])</f>
        <v>1</v>
      </c>
      <c r="N23" t="str">
        <v>K901-K910</v>
      </c>
    </row>
    <row r="24" spans="1:14" x14ac:dyDescent="0.2">
      <c r="A24"/>
      <c r="B24"/>
      <c r="C24"/>
      <c r="D24"/>
      <c r="E24" s="482"/>
      <c r="F24"/>
      <c r="G24"/>
      <c r="H24"/>
      <c r="I24" t="str">
        <f>_xlfn.XLOOKUP(WireSets[[#This Row],[type]],Table6[TC Type],Table6[Daqbook Type],NA())</f>
        <v>N</v>
      </c>
      <c r="J24"/>
      <c r="K24" t="b">
        <f>IF(ISNA($K$2), TRUE, $K$2=WireSets[[#This Row],[Daqbook Compatibility]])</f>
        <v>1</v>
      </c>
      <c r="N24" t="str">
        <v>N01-N16</v>
      </c>
    </row>
    <row r="25" spans="1:14" x14ac:dyDescent="0.2">
      <c r="A25"/>
      <c r="B25"/>
      <c r="C25"/>
      <c r="D25"/>
      <c r="E25" s="482"/>
      <c r="F25"/>
      <c r="G25"/>
      <c r="H25"/>
      <c r="I25" t="str">
        <f>_xlfn.XLOOKUP(WireSets[[#This Row],[type]],Table6[TC Type],Table6[Daqbook Type],NA())</f>
        <v>N</v>
      </c>
      <c r="J25"/>
      <c r="K25" t="b">
        <f>IF(ISNA($K$2), TRUE, $K$2=WireSets[[#This Row],[Daqbook Compatibility]])</f>
        <v>1</v>
      </c>
      <c r="N25" t="str">
        <v>N101-N112</v>
      </c>
    </row>
    <row r="26" spans="1:14" x14ac:dyDescent="0.2">
      <c r="A26"/>
      <c r="B26"/>
      <c r="C26"/>
      <c r="D26"/>
      <c r="E26" s="482"/>
      <c r="F26"/>
      <c r="G26"/>
      <c r="H26"/>
      <c r="I26" t="str">
        <f>_xlfn.XLOOKUP(WireSets[[#This Row],[type]],Table6[TC Type],Table6[Daqbook Type],NA())</f>
        <v>N</v>
      </c>
      <c r="J26"/>
      <c r="K26" t="b">
        <f>IF(ISNA($K$2), TRUE, $K$2=WireSets[[#This Row],[Daqbook Compatibility]])</f>
        <v>1</v>
      </c>
      <c r="N26" t="str">
        <v>N21-N34</v>
      </c>
    </row>
    <row r="27" spans="1:14" x14ac:dyDescent="0.2">
      <c r="A27"/>
      <c r="B27"/>
      <c r="C27"/>
      <c r="D27"/>
      <c r="E27" s="482"/>
      <c r="F27"/>
      <c r="G27"/>
      <c r="H27"/>
      <c r="I27" t="str">
        <f>_xlfn.XLOOKUP(WireSets[[#This Row],[type]],Table6[TC Type],Table6[Daqbook Type],NA())</f>
        <v>N</v>
      </c>
      <c r="J27"/>
      <c r="K27" t="b">
        <f>IF(ISNA($K$2), TRUE, $K$2=WireSets[[#This Row],[Daqbook Compatibility]])</f>
        <v>1</v>
      </c>
      <c r="N27" t="str">
        <v>SBP Set 1</v>
      </c>
    </row>
    <row r="28" spans="1:14" x14ac:dyDescent="0.2">
      <c r="A28"/>
      <c r="B28"/>
      <c r="C28"/>
      <c r="D28"/>
      <c r="E28" s="482"/>
      <c r="F28"/>
      <c r="G28"/>
      <c r="H28"/>
      <c r="I28" t="str">
        <f>_xlfn.XLOOKUP(WireSets[[#This Row],[type]],Table6[TC Type],Table6[Daqbook Type],NA())</f>
        <v>N</v>
      </c>
      <c r="J28"/>
      <c r="K28" t="b">
        <f>IF(ISNA($K$2), TRUE, $K$2=WireSets[[#This Row],[Daqbook Compatibility]])</f>
        <v>1</v>
      </c>
      <c r="N28" t="str">
        <v>SBP Set 2</v>
      </c>
    </row>
  </sheetData>
  <sortState xmlns:xlrd2="http://schemas.microsoft.com/office/spreadsheetml/2017/richdata2" ref="P2:Q6">
    <sortCondition ref="P1:P6"/>
  </sortState>
  <dataConsolidate/>
  <phoneticPr fontId="22"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P2"/>
  <sheetViews>
    <sheetView workbookViewId="0">
      <selection activeCell="H20" sqref="H20"/>
    </sheetView>
  </sheetViews>
  <sheetFormatPr defaultRowHeight="12.75" x14ac:dyDescent="0.2"/>
  <cols>
    <col min="1" max="1" width="8.42578125" bestFit="1" customWidth="1"/>
    <col min="2" max="2" width="16.42578125" bestFit="1" customWidth="1"/>
    <col min="3" max="3" width="16.42578125" customWidth="1"/>
    <col min="4" max="4" width="1.5703125" customWidth="1"/>
    <col min="5" max="6" width="16.85546875" bestFit="1" customWidth="1"/>
    <col min="7" max="8" width="14.42578125" bestFit="1" customWidth="1"/>
    <col min="9" max="9" width="18.42578125" bestFit="1" customWidth="1"/>
    <col min="10" max="10" width="22.140625" bestFit="1" customWidth="1"/>
    <col min="11" max="11" width="18.28515625" bestFit="1" customWidth="1"/>
    <col min="12" max="12" width="9.7109375" bestFit="1" customWidth="1"/>
    <col min="13" max="13" width="13.28515625" bestFit="1" customWidth="1"/>
    <col min="14" max="14" width="17.85546875" bestFit="1" customWidth="1"/>
    <col min="15" max="15" width="13.28515625" bestFit="1" customWidth="1"/>
    <col min="16" max="16" width="17" bestFit="1" customWidth="1"/>
    <col min="17" max="17" width="11.42578125" bestFit="1" customWidth="1"/>
    <col min="18" max="18" width="20" bestFit="1" customWidth="1"/>
    <col min="19" max="19" width="16.28515625" bestFit="1" customWidth="1"/>
    <col min="20" max="20" width="15.140625" bestFit="1" customWidth="1"/>
    <col min="21" max="21" width="18.85546875" bestFit="1" customWidth="1"/>
    <col min="22" max="22" width="13.7109375" bestFit="1" customWidth="1"/>
    <col min="23" max="23" width="19" bestFit="1" customWidth="1"/>
    <col min="24" max="24" width="17.28515625" bestFit="1" customWidth="1"/>
    <col min="25" max="25" width="21" bestFit="1" customWidth="1"/>
    <col min="26" max="26" width="15.85546875" bestFit="1" customWidth="1"/>
    <col min="27" max="27" width="16" bestFit="1" customWidth="1"/>
    <col min="28" max="28" width="22.5703125" bestFit="1" customWidth="1"/>
    <col min="29" max="29" width="20.5703125" bestFit="1" customWidth="1"/>
    <col min="30" max="30" width="19.85546875" bestFit="1" customWidth="1"/>
    <col min="31" max="31" width="19.5703125" bestFit="1" customWidth="1"/>
    <col min="32" max="32" width="11" bestFit="1" customWidth="1"/>
    <col min="33" max="33" width="11.5703125" bestFit="1" customWidth="1"/>
    <col min="34" max="34" width="21" bestFit="1" customWidth="1"/>
    <col min="35" max="36" width="18.5703125" bestFit="1" customWidth="1"/>
    <col min="37" max="38" width="19.28515625" bestFit="1" customWidth="1"/>
    <col min="39" max="39" width="18.5703125" bestFit="1" customWidth="1"/>
    <col min="40" max="40" width="19.5703125" bestFit="1" customWidth="1"/>
    <col min="41" max="41" width="19.85546875" bestFit="1" customWidth="1"/>
    <col min="42" max="42" width="20.5703125" bestFit="1" customWidth="1"/>
    <col min="43" max="44" width="22.85546875" bestFit="1" customWidth="1"/>
    <col min="45" max="45" width="12.42578125" bestFit="1" customWidth="1"/>
    <col min="46" max="46" width="26.5703125" bestFit="1" customWidth="1"/>
    <col min="47" max="47" width="19.85546875" bestFit="1" customWidth="1"/>
    <col min="48" max="48" width="17" bestFit="1" customWidth="1"/>
    <col min="49" max="49" width="21.28515625" bestFit="1" customWidth="1"/>
    <col min="50" max="50" width="14.7109375" bestFit="1" customWidth="1"/>
    <col min="51" max="51" width="14.42578125" bestFit="1" customWidth="1"/>
    <col min="52" max="52" width="16" bestFit="1" customWidth="1"/>
    <col min="53" max="53" width="16.85546875" bestFit="1" customWidth="1"/>
    <col min="54" max="54" width="20" bestFit="1" customWidth="1"/>
    <col min="55" max="55" width="14.28515625" bestFit="1" customWidth="1"/>
    <col min="56" max="56" width="15.140625" bestFit="1" customWidth="1"/>
    <col min="57" max="57" width="32.140625" bestFit="1" customWidth="1"/>
    <col min="58" max="58" width="15.140625" bestFit="1" customWidth="1"/>
    <col min="59" max="60" width="17.140625" bestFit="1" customWidth="1"/>
    <col min="61" max="61" width="14.7109375" bestFit="1" customWidth="1"/>
    <col min="62" max="62" width="14.5703125" bestFit="1" customWidth="1"/>
    <col min="63" max="63" width="13.140625" bestFit="1" customWidth="1"/>
    <col min="64" max="64" width="14.85546875" bestFit="1" customWidth="1"/>
    <col min="65" max="65" width="16.42578125" bestFit="1" customWidth="1"/>
    <col min="66" max="66" width="20.42578125" bestFit="1" customWidth="1"/>
    <col min="67" max="67" width="13.7109375" bestFit="1" customWidth="1"/>
    <col min="68" max="68" width="13.5703125" customWidth="1"/>
    <col min="69" max="69" width="14.85546875" bestFit="1" customWidth="1"/>
    <col min="70" max="70" width="16.42578125" bestFit="1" customWidth="1"/>
    <col min="71" max="71" width="20.42578125" bestFit="1" customWidth="1"/>
    <col min="72" max="72" width="13.7109375" bestFit="1" customWidth="1"/>
    <col min="73" max="77" width="13.5703125" customWidth="1"/>
    <col min="78" max="78" width="13.7109375" bestFit="1" customWidth="1"/>
    <col min="79" max="79" width="13.5703125" bestFit="1" customWidth="1"/>
    <col min="80" max="80" width="14.85546875" bestFit="1" customWidth="1"/>
    <col min="81" max="81" width="25.28515625" bestFit="1" customWidth="1"/>
    <col min="82" max="82" width="20.42578125" bestFit="1" customWidth="1"/>
    <col min="83" max="83" width="13.7109375" bestFit="1" customWidth="1"/>
    <col min="84" max="84" width="13.5703125" bestFit="1" customWidth="1"/>
    <col min="85" max="85" width="13.5703125" customWidth="1"/>
    <col min="86" max="86" width="20.42578125" bestFit="1" customWidth="1"/>
    <col min="87" max="87" width="13.7109375" bestFit="1" customWidth="1"/>
    <col min="88" max="88" width="13.5703125" customWidth="1"/>
    <col min="89" max="89" width="20.42578125" bestFit="1" customWidth="1"/>
    <col min="90" max="90" width="13.7109375" bestFit="1" customWidth="1"/>
    <col min="91" max="91" width="13.5703125" customWidth="1"/>
    <col min="92" max="92" width="20.42578125" bestFit="1" customWidth="1"/>
    <col min="93" max="93" width="13.7109375" bestFit="1" customWidth="1"/>
    <col min="94" max="94" width="13.5703125" customWidth="1"/>
    <col min="95" max="95" width="20.42578125" bestFit="1" customWidth="1"/>
    <col min="96" max="96" width="13.7109375" bestFit="1" customWidth="1"/>
    <col min="97" max="97" width="13.5703125" bestFit="1" customWidth="1"/>
    <col min="98" max="98" width="29.85546875" bestFit="1" customWidth="1"/>
    <col min="99" max="99" width="17.85546875" bestFit="1" customWidth="1"/>
    <col min="100" max="100" width="13.28515625" bestFit="1" customWidth="1"/>
    <col min="101" max="101" width="17" bestFit="1" customWidth="1"/>
    <col min="102" max="102" width="13.85546875" bestFit="1" customWidth="1"/>
    <col min="103" max="103" width="20" bestFit="1" customWidth="1"/>
    <col min="104" max="104" width="16.28515625" bestFit="1" customWidth="1"/>
    <col min="105" max="105" width="15.140625" bestFit="1" customWidth="1"/>
    <col min="106" max="106" width="18.85546875" bestFit="1" customWidth="1"/>
    <col min="107" max="107" width="18.5703125" bestFit="1" customWidth="1"/>
    <col min="108" max="108" width="19" bestFit="1" customWidth="1"/>
    <col min="109" max="109" width="17.28515625" bestFit="1" customWidth="1"/>
    <col min="110" max="110" width="21" bestFit="1" customWidth="1"/>
    <col min="111" max="111" width="18.5703125" bestFit="1" customWidth="1"/>
    <col min="112" max="112" width="25.28515625" bestFit="1" customWidth="1"/>
    <col min="113" max="113" width="22.5703125" bestFit="1" customWidth="1"/>
    <col min="114" max="114" width="19.85546875" bestFit="1" customWidth="1"/>
    <col min="115" max="115" width="19.5703125" bestFit="1" customWidth="1"/>
    <col min="116" max="116" width="18.5703125" bestFit="1" customWidth="1"/>
    <col min="117" max="117" width="11.5703125" bestFit="1" customWidth="1"/>
    <col min="118" max="118" width="21" bestFit="1" customWidth="1"/>
    <col min="119" max="120" width="18.5703125" bestFit="1" customWidth="1"/>
    <col min="121" max="121" width="40.5703125" bestFit="1" customWidth="1"/>
    <col min="122" max="122" width="19.28515625" bestFit="1" customWidth="1"/>
    <col min="123" max="123" width="18.5703125" bestFit="1" customWidth="1"/>
    <col min="124" max="124" width="19.5703125" bestFit="1" customWidth="1"/>
    <col min="125" max="125" width="19.85546875" bestFit="1" customWidth="1"/>
    <col min="126" max="126" width="20.5703125" bestFit="1" customWidth="1"/>
    <col min="127" max="128" width="22.85546875" bestFit="1" customWidth="1"/>
    <col min="129" max="129" width="12.42578125" bestFit="1" customWidth="1"/>
    <col min="130" max="130" width="26.5703125" bestFit="1" customWidth="1"/>
    <col min="131" max="131" width="30.28515625" bestFit="1" customWidth="1"/>
    <col min="132" max="132" width="17" bestFit="1" customWidth="1"/>
    <col min="133" max="133" width="21.28515625" bestFit="1" customWidth="1"/>
    <col min="134" max="134" width="14.7109375" bestFit="1" customWidth="1"/>
    <col min="135" max="135" width="14.42578125" bestFit="1" customWidth="1"/>
    <col min="136" max="136" width="16" bestFit="1" customWidth="1"/>
    <col min="137" max="137" width="16.85546875" bestFit="1" customWidth="1"/>
    <col min="138" max="138" width="81.140625" bestFit="1" customWidth="1"/>
    <col min="139" max="139" width="18.5703125" bestFit="1" customWidth="1"/>
    <col min="140" max="140" width="15.140625" bestFit="1" customWidth="1"/>
    <col min="141" max="141" width="32.140625" bestFit="1" customWidth="1"/>
    <col min="142" max="142" width="81.140625" bestFit="1" customWidth="1"/>
    <col min="143" max="144" width="17.140625" bestFit="1" customWidth="1"/>
    <col min="145" max="145" width="14.7109375" bestFit="1" customWidth="1"/>
    <col min="146" max="146" width="14.5703125" bestFit="1" customWidth="1"/>
    <col min="147" max="147" width="13.140625" bestFit="1" customWidth="1"/>
    <col min="148" max="148" width="14.85546875" bestFit="1" customWidth="1"/>
    <col min="149" max="149" width="18.5703125" bestFit="1" customWidth="1"/>
    <col min="150" max="150" width="20.42578125" bestFit="1" customWidth="1"/>
    <col min="151" max="151" width="13.7109375" bestFit="1" customWidth="1"/>
    <col min="152" max="152" width="13.5703125" bestFit="1" customWidth="1"/>
  </cols>
  <sheetData>
    <row r="1" spans="1:68" x14ac:dyDescent="0.2">
      <c r="A1" s="34" t="s">
        <v>375</v>
      </c>
      <c r="B1" s="34" t="s">
        <v>376</v>
      </c>
      <c r="C1" s="34" t="s">
        <v>759</v>
      </c>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row>
    <row r="2" spans="1:68" x14ac:dyDescent="0.2">
      <c r="A2" t="e">
        <f>_xlfn.XLOOKUP(Main!$D$24,WorkItemsCache[OrderItemNumber],WorkItemsCache[AssetId])</f>
        <v>#N/A</v>
      </c>
      <c r="B2" t="e">
        <f>_xlfn.XLOOKUP(Main!$D$24,WorkItemsCache[OrderItemNumber],WorkItemsCache[ClientCompanyId])</f>
        <v>#N/A</v>
      </c>
      <c r="C2" cm="1">
        <f t="array" ref="C2">WorkItemsCache[OrderItemNumber]</f>
        <v>0</v>
      </c>
    </row>
  </sheetData>
  <phoneticPr fontId="2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7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432</v>
      </c>
      <c r="K1"/>
      <c r="L1"/>
      <c r="M1"/>
      <c r="N1"/>
      <c r="O1" s="36" t="s">
        <v>734</v>
      </c>
      <c r="P1" s="36" t="s">
        <v>735</v>
      </c>
      <c r="R1" s="466" t="s">
        <v>731</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086018</v>
      </c>
      <c r="P2" t="str">
        <f>IFERROR(SUBSTITUTE(AllWireRollCerts[[#This Row],[traceability_no]],AllWireRollCerts[[#This Row],[sort1]],""),"")</f>
        <v>E</v>
      </c>
      <c r="R2" t="e">
        <f>IF(DaqbookAssetTag&lt;&gt;"",LEFT(DaqbookAssetTag,1),NA())</f>
        <v>#N/A</v>
      </c>
    </row>
    <row r="3" spans="1:18" x14ac:dyDescent="0.2">
      <c r="A3"/>
      <c r="B3"/>
      <c r="C3"/>
      <c r="D3"/>
      <c r="H3" t="str">
        <v/>
      </c>
      <c r="K3"/>
      <c r="L3"/>
      <c r="M3"/>
      <c r="N3"/>
      <c r="O3" t="str">
        <f>IFERROR(LEFT(AllWireRollCerts[[#This Row],[traceability_no]],6),"")</f>
        <v>086018</v>
      </c>
      <c r="P3" t="str">
        <f>IFERROR(SUBSTITUTE(AllWireRollCerts[[#This Row],[traceability_no]],AllWireRollCerts[[#This Row],[sort1]],""),"")</f>
        <v>F</v>
      </c>
    </row>
    <row r="4" spans="1:18" x14ac:dyDescent="0.2">
      <c r="A4"/>
      <c r="B4"/>
      <c r="C4"/>
      <c r="D4"/>
      <c r="H4" t="str">
        <v/>
      </c>
      <c r="K4"/>
      <c r="L4"/>
      <c r="M4"/>
      <c r="N4"/>
      <c r="O4" t="str">
        <f>IFERROR(LEFT(AllWireRollCerts[[#This Row],[traceability_no]],6),"")</f>
        <v>086018</v>
      </c>
      <c r="P4" t="str">
        <f>IFERROR(SUBSTITUTE(AllWireRollCerts[[#This Row],[traceability_no]],AllWireRollCerts[[#This Row],[sort1]],""),"")</f>
        <v>I</v>
      </c>
    </row>
    <row r="5" spans="1:18" x14ac:dyDescent="0.2">
      <c r="A5"/>
      <c r="B5"/>
      <c r="C5"/>
      <c r="D5"/>
      <c r="H5" t="str">
        <v/>
      </c>
      <c r="K5"/>
      <c r="L5"/>
      <c r="M5"/>
      <c r="N5"/>
      <c r="O5" t="str">
        <f>IFERROR(LEFT(AllWireRollCerts[[#This Row],[traceability_no]],6),"")</f>
        <v>086018</v>
      </c>
      <c r="P5" t="str">
        <f>IFERROR(SUBSTITUTE(AllWireRollCerts[[#This Row],[traceability_no]],AllWireRollCerts[[#This Row],[sort1]],""),"")</f>
        <v>L</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C</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E</v>
      </c>
    </row>
    <row r="8" spans="1:18" x14ac:dyDescent="0.2">
      <c r="A8"/>
      <c r="B8"/>
      <c r="C8"/>
      <c r="D8"/>
      <c r="K8"/>
      <c r="L8"/>
      <c r="M8"/>
      <c r="N8"/>
      <c r="O8" t="str">
        <f>IFERROR(LEFT(AllWireRollCerts[[#This Row],[traceability_no]],6),"")</f>
        <v>081197</v>
      </c>
      <c r="P8" t="str">
        <f>IFERROR(SUBSTITUTE(AllWireRollCerts[[#This Row],[traceability_no]],AllWireRollCerts[[#This Row],[sort1]],""),"")</f>
        <v>F</v>
      </c>
    </row>
    <row r="9" spans="1:18" x14ac:dyDescent="0.2">
      <c r="A9"/>
      <c r="B9"/>
      <c r="C9"/>
      <c r="D9"/>
      <c r="K9"/>
      <c r="L9"/>
      <c r="M9"/>
      <c r="N9"/>
      <c r="O9" t="str">
        <f>IFERROR(LEFT(AllWireRollCerts[[#This Row],[traceability_no]],6),"")</f>
        <v>081197</v>
      </c>
      <c r="P9" t="str">
        <f>IFERROR(SUBSTITUTE(AllWireRollCerts[[#This Row],[traceability_no]],AllWireRollCerts[[#This Row],[sort1]],""),"")</f>
        <v>G</v>
      </c>
    </row>
    <row r="10" spans="1:18" x14ac:dyDescent="0.2">
      <c r="A10"/>
      <c r="B10"/>
      <c r="C10"/>
      <c r="D10"/>
      <c r="K10"/>
      <c r="L10"/>
      <c r="M10"/>
      <c r="N10"/>
      <c r="O10" t="str">
        <f>IFERROR(LEFT(AllWireRollCerts[[#This Row],[traceability_no]],6),"")</f>
        <v>081197</v>
      </c>
      <c r="P10" t="str">
        <f>IFERROR(SUBSTITUTE(AllWireRollCerts[[#This Row],[traceability_no]],AllWireRollCerts[[#This Row],[sort1]],""),"")</f>
        <v>I</v>
      </c>
    </row>
    <row r="11" spans="1:18" x14ac:dyDescent="0.2">
      <c r="A11"/>
      <c r="B11"/>
      <c r="C11"/>
      <c r="D11"/>
      <c r="K11"/>
      <c r="L11"/>
      <c r="M11"/>
      <c r="N11"/>
      <c r="O11" t="str">
        <f>IFERROR(LEFT(AllWireRollCerts[[#This Row],[traceability_no]],6),"")</f>
        <v>081197</v>
      </c>
      <c r="P11" t="str">
        <f>IFERROR(SUBSTITUTE(AllWireRollCerts[[#This Row],[traceability_no]],AllWireRollCerts[[#This Row],[sort1]],""),"")</f>
        <v>J</v>
      </c>
    </row>
    <row r="12" spans="1:18" x14ac:dyDescent="0.2">
      <c r="A12"/>
      <c r="B12"/>
      <c r="C12"/>
      <c r="D12"/>
      <c r="K12"/>
      <c r="L12"/>
      <c r="M12"/>
      <c r="N12"/>
      <c r="O12" t="str">
        <f>IFERROR(LEFT(AllWireRollCerts[[#This Row],[traceability_no]],6),"")</f>
        <v>081197</v>
      </c>
      <c r="P12" t="str">
        <f>IFERROR(SUBSTITUTE(AllWireRollCerts[[#This Row],[traceability_no]],AllWireRollCerts[[#This Row],[sort1]],""),"")</f>
        <v>K</v>
      </c>
    </row>
    <row r="13" spans="1:18" x14ac:dyDescent="0.2">
      <c r="A13"/>
      <c r="B13"/>
      <c r="C13"/>
      <c r="D13"/>
      <c r="K13"/>
      <c r="L13"/>
      <c r="M13"/>
      <c r="N13"/>
      <c r="O13" t="str">
        <f>IFERROR(LEFT(AllWireRollCerts[[#This Row],[traceability_no]],6),"")</f>
        <v>081197</v>
      </c>
      <c r="P13" t="str">
        <f>IFERROR(SUBSTITUTE(AllWireRollCerts[[#This Row],[traceability_no]],AllWireRollCerts[[#This Row],[sort1]],""),"")</f>
        <v>S</v>
      </c>
    </row>
    <row r="14" spans="1:18" x14ac:dyDescent="0.2">
      <c r="A14"/>
      <c r="B14"/>
      <c r="C14"/>
      <c r="D14"/>
      <c r="K14"/>
      <c r="L14"/>
      <c r="M14"/>
      <c r="N14"/>
      <c r="O14" t="str">
        <f>IFERROR(LEFT(AllWireRollCerts[[#This Row],[traceability_no]],6),"")</f>
        <v>081197</v>
      </c>
      <c r="P14" t="str">
        <f>IFERROR(SUBSTITUTE(AllWireRollCerts[[#This Row],[traceability_no]],AllWireRollCerts[[#This Row],[sort1]],""),"")</f>
        <v>T</v>
      </c>
    </row>
    <row r="15" spans="1:18" x14ac:dyDescent="0.2">
      <c r="A15"/>
      <c r="B15"/>
      <c r="C15"/>
      <c r="D15"/>
      <c r="K15"/>
      <c r="L15"/>
      <c r="M15"/>
      <c r="N15"/>
      <c r="O15" t="str">
        <f>IFERROR(LEFT(AllWireRollCerts[[#This Row],[traceability_no]],6),"")</f>
        <v>078454</v>
      </c>
      <c r="P15" t="str">
        <f>IFERROR(SUBSTITUTE(AllWireRollCerts[[#This Row],[traceability_no]],AllWireRollCerts[[#This Row],[sort1]],""),"")</f>
        <v>A</v>
      </c>
    </row>
    <row r="16" spans="1:18" x14ac:dyDescent="0.2">
      <c r="A16"/>
      <c r="B16"/>
      <c r="C16"/>
      <c r="D16"/>
      <c r="H16" s="36"/>
      <c r="K16"/>
      <c r="L16"/>
      <c r="M16"/>
      <c r="N16"/>
      <c r="O16" t="str">
        <f>IFERROR(LEFT(AllWireRollCerts[[#This Row],[traceability_no]],6),"")</f>
        <v>078454</v>
      </c>
      <c r="P16" t="str">
        <f>IFERROR(SUBSTITUTE(AllWireRollCerts[[#This Row],[traceability_no]],AllWireRollCerts[[#This Row],[sort1]],""),"")</f>
        <v>B</v>
      </c>
    </row>
    <row r="17" spans="1:16" x14ac:dyDescent="0.2">
      <c r="A17"/>
      <c r="B17"/>
      <c r="C17"/>
      <c r="D17"/>
      <c r="K17"/>
      <c r="L17"/>
      <c r="M17"/>
      <c r="N17"/>
      <c r="O17" t="str">
        <f>IFERROR(LEFT(AllWireRollCerts[[#This Row],[traceability_no]],6),"")</f>
        <v>078454</v>
      </c>
      <c r="P17" t="str">
        <f>IFERROR(SUBSTITUTE(AllWireRollCerts[[#This Row],[traceability_no]],AllWireRollCerts[[#This Row],[sort1]],""),"")</f>
        <v>C</v>
      </c>
    </row>
    <row r="18" spans="1:16" x14ac:dyDescent="0.2">
      <c r="A18"/>
      <c r="B18"/>
      <c r="C18"/>
      <c r="D18"/>
      <c r="K18"/>
      <c r="L18"/>
      <c r="M18"/>
      <c r="N18"/>
      <c r="O18" t="str">
        <f>IFERROR(LEFT(AllWireRollCerts[[#This Row],[traceability_no]],6),"")</f>
        <v>078454</v>
      </c>
      <c r="P18" t="str">
        <f>IFERROR(SUBSTITUTE(AllWireRollCerts[[#This Row],[traceability_no]],AllWireRollCerts[[#This Row],[sort1]],""),"")</f>
        <v>D</v>
      </c>
    </row>
    <row r="19" spans="1:16" x14ac:dyDescent="0.2">
      <c r="A19"/>
      <c r="B19"/>
      <c r="C19"/>
      <c r="D19"/>
      <c r="K19"/>
      <c r="L19"/>
      <c r="M19"/>
      <c r="N19"/>
      <c r="O19" t="str">
        <f>IFERROR(LEFT(AllWireRollCerts[[#This Row],[traceability_no]],6),"")</f>
        <v>078454</v>
      </c>
      <c r="P19" t="str">
        <f>IFERROR(SUBSTITUTE(AllWireRollCerts[[#This Row],[traceability_no]],AllWireRollCerts[[#This Row],[sort1]],""),"")</f>
        <v>E</v>
      </c>
    </row>
    <row r="20" spans="1:16" x14ac:dyDescent="0.2">
      <c r="A20"/>
      <c r="B20"/>
      <c r="C20"/>
      <c r="D20"/>
      <c r="K20"/>
      <c r="L20"/>
      <c r="M20"/>
      <c r="N20"/>
      <c r="O20" t="str">
        <f>IFERROR(LEFT(AllWireRollCerts[[#This Row],[traceability_no]],6),"")</f>
        <v>078454</v>
      </c>
      <c r="P20" t="str">
        <f>IFERROR(SUBSTITUTE(AllWireRollCerts[[#This Row],[traceability_no]],AllWireRollCerts[[#This Row],[sort1]],""),"")</f>
        <v>F</v>
      </c>
    </row>
    <row r="21" spans="1:16" x14ac:dyDescent="0.2">
      <c r="A21"/>
      <c r="B21"/>
      <c r="C21"/>
      <c r="D21"/>
      <c r="K21"/>
      <c r="L21"/>
      <c r="M21"/>
      <c r="N21"/>
      <c r="O21" t="str">
        <f>IFERROR(LEFT(AllWireRollCerts[[#This Row],[traceability_no]],6),"")</f>
        <v>074618</v>
      </c>
      <c r="P21" t="str">
        <f>IFERROR(SUBSTITUTE(AllWireRollCerts[[#This Row],[traceability_no]],AllWireRollCerts[[#This Row],[sort1]],""),"")</f>
        <v>A</v>
      </c>
    </row>
    <row r="22" spans="1:16" x14ac:dyDescent="0.2">
      <c r="A22"/>
      <c r="B22"/>
      <c r="C22"/>
      <c r="D22"/>
      <c r="K22"/>
      <c r="L22"/>
      <c r="M22"/>
      <c r="N22"/>
      <c r="O22" t="str">
        <f>IFERROR(LEFT(AllWireRollCerts[[#This Row],[traceability_no]],6),"")</f>
        <v>074618</v>
      </c>
      <c r="P22" t="str">
        <f>IFERROR(SUBSTITUTE(AllWireRollCerts[[#This Row],[traceability_no]],AllWireRollCerts[[#This Row],[sort1]],""),"")</f>
        <v>B</v>
      </c>
    </row>
    <row r="23" spans="1:16" x14ac:dyDescent="0.2">
      <c r="A23"/>
      <c r="B23"/>
      <c r="C23"/>
      <c r="D23"/>
      <c r="K23"/>
      <c r="L23"/>
      <c r="M23"/>
      <c r="N23"/>
      <c r="O23" t="str">
        <f>IFERROR(LEFT(AllWireRollCerts[[#This Row],[traceability_no]],6),"")</f>
        <v>072513</v>
      </c>
      <c r="P23" t="str">
        <f>IFERROR(SUBSTITUTE(AllWireRollCerts[[#This Row],[traceability_no]],AllWireRollCerts[[#This Row],[sort1]],""),"")</f>
        <v>C</v>
      </c>
    </row>
    <row r="24" spans="1:16" x14ac:dyDescent="0.2">
      <c r="A24"/>
      <c r="B24"/>
      <c r="C24"/>
      <c r="D24"/>
      <c r="K24"/>
      <c r="L24"/>
      <c r="M24"/>
      <c r="N24"/>
      <c r="O24" t="str">
        <f>IFERROR(LEFT(AllWireRollCerts[[#This Row],[traceability_no]],6),"")</f>
        <v>072513</v>
      </c>
      <c r="P24" t="str">
        <f>IFERROR(SUBSTITUTE(AllWireRollCerts[[#This Row],[traceability_no]],AllWireRollCerts[[#This Row],[sort1]],""),"")</f>
        <v>E</v>
      </c>
    </row>
    <row r="25" spans="1:16" x14ac:dyDescent="0.2">
      <c r="A25"/>
      <c r="B25"/>
      <c r="C25"/>
      <c r="D25"/>
      <c r="K25"/>
      <c r="L25"/>
      <c r="M25"/>
      <c r="N25"/>
      <c r="O25" t="str">
        <f>IFERROR(LEFT(AllWireRollCerts[[#This Row],[traceability_no]],6),"")</f>
        <v>072513</v>
      </c>
      <c r="P25" t="str">
        <f>IFERROR(SUBSTITUTE(AllWireRollCerts[[#This Row],[traceability_no]],AllWireRollCerts[[#This Row],[sort1]],""),"")</f>
        <v>G</v>
      </c>
    </row>
    <row r="26" spans="1:16" x14ac:dyDescent="0.2">
      <c r="A26"/>
      <c r="B26"/>
      <c r="C26"/>
      <c r="D26"/>
      <c r="K26"/>
      <c r="L26"/>
      <c r="M26"/>
      <c r="N26"/>
      <c r="O26" t="str">
        <f>IFERROR(LEFT(AllWireRollCerts[[#This Row],[traceability_no]],6),"")</f>
        <v>072513</v>
      </c>
      <c r="P26" t="str">
        <f>IFERROR(SUBSTITUTE(AllWireRollCerts[[#This Row],[traceability_no]],AllWireRollCerts[[#This Row],[sort1]],""),"")</f>
        <v>H</v>
      </c>
    </row>
    <row r="27" spans="1:16" x14ac:dyDescent="0.2">
      <c r="A27"/>
      <c r="B27"/>
      <c r="C27"/>
      <c r="D27"/>
      <c r="K27"/>
      <c r="L27"/>
      <c r="M27"/>
      <c r="N27"/>
      <c r="O27" t="str">
        <f>IFERROR(LEFT(AllWireRollCerts[[#This Row],[traceability_no]],6),"")</f>
        <v>072513</v>
      </c>
      <c r="P27" t="str">
        <f>IFERROR(SUBSTITUTE(AllWireRollCerts[[#This Row],[traceability_no]],AllWireRollCerts[[#This Row],[sort1]],""),"")</f>
        <v>I</v>
      </c>
    </row>
    <row r="28" spans="1:16" x14ac:dyDescent="0.2">
      <c r="A28"/>
      <c r="B28"/>
      <c r="C28"/>
      <c r="D28"/>
      <c r="K28"/>
      <c r="L28"/>
      <c r="M28"/>
      <c r="N28"/>
      <c r="O28" t="str">
        <f>IFERROR(LEFT(AllWireRollCerts[[#This Row],[traceability_no]],6),"")</f>
        <v>072513</v>
      </c>
      <c r="P28" t="str">
        <f>IFERROR(SUBSTITUTE(AllWireRollCerts[[#This Row],[traceability_no]],AllWireRollCerts[[#This Row],[sort1]],""),"")</f>
        <v>K</v>
      </c>
    </row>
    <row r="29" spans="1:16" x14ac:dyDescent="0.2">
      <c r="A29"/>
      <c r="B29"/>
      <c r="C29"/>
      <c r="D29"/>
      <c r="K29"/>
      <c r="L29"/>
      <c r="M29"/>
      <c r="N29"/>
      <c r="O29" t="str">
        <f>IFERROR(LEFT(AllWireRollCerts[[#This Row],[traceability_no]],6),"")</f>
        <v>072513</v>
      </c>
      <c r="P29" t="str">
        <f>IFERROR(SUBSTITUTE(AllWireRollCerts[[#This Row],[traceability_no]],AllWireRollCerts[[#This Row],[sort1]],""),"")</f>
        <v>L</v>
      </c>
    </row>
    <row r="30" spans="1:16" x14ac:dyDescent="0.2">
      <c r="A30"/>
      <c r="B30"/>
      <c r="C30"/>
      <c r="D30"/>
      <c r="K30"/>
      <c r="L30"/>
      <c r="M30"/>
      <c r="N30"/>
      <c r="O30" t="str">
        <f>IFERROR(LEFT(AllWireRollCerts[[#This Row],[traceability_no]],6),"")</f>
        <v>072513</v>
      </c>
      <c r="P30" t="str">
        <f>IFERROR(SUBSTITUTE(AllWireRollCerts[[#This Row],[traceability_no]],AllWireRollCerts[[#This Row],[sort1]],""),"")</f>
        <v>M</v>
      </c>
    </row>
    <row r="31" spans="1:16" x14ac:dyDescent="0.2">
      <c r="A31"/>
      <c r="B31"/>
      <c r="C31"/>
      <c r="D31"/>
      <c r="K31"/>
      <c r="L31"/>
      <c r="M31"/>
      <c r="N31"/>
      <c r="O31" t="str">
        <f>IFERROR(LEFT(AllWireRollCerts[[#This Row],[traceability_no]],6),"")</f>
        <v>072513</v>
      </c>
      <c r="P31" t="str">
        <f>IFERROR(SUBSTITUTE(AllWireRollCerts[[#This Row],[traceability_no]],AllWireRollCerts[[#This Row],[sort1]],""),"")</f>
        <v>N</v>
      </c>
    </row>
    <row r="32" spans="1:16" x14ac:dyDescent="0.2">
      <c r="A32"/>
      <c r="B32"/>
      <c r="C32"/>
      <c r="D32"/>
      <c r="K32"/>
      <c r="L32"/>
      <c r="M32"/>
      <c r="N32"/>
      <c r="O32" t="str">
        <f>IFERROR(LEFT(AllWireRollCerts[[#This Row],[traceability_no]],6),"")</f>
        <v>065908</v>
      </c>
      <c r="P32" t="str">
        <f>IFERROR(SUBSTITUTE(AllWireRollCerts[[#This Row],[traceability_no]],AllWireRollCerts[[#This Row],[sort1]],""),"")</f>
        <v>I</v>
      </c>
    </row>
    <row r="33" spans="1:16" x14ac:dyDescent="0.2">
      <c r="A33"/>
      <c r="B33"/>
      <c r="C33"/>
      <c r="D33"/>
      <c r="K33"/>
      <c r="L33"/>
      <c r="M33"/>
      <c r="N33"/>
      <c r="O33" t="str">
        <f>IFERROR(LEFT(AllWireRollCerts[[#This Row],[traceability_no]],6),"")</f>
        <v>065908</v>
      </c>
      <c r="P33" t="str">
        <f>IFERROR(SUBSTITUTE(AllWireRollCerts[[#This Row],[traceability_no]],AllWireRollCerts[[#This Row],[sort1]],""),"")</f>
        <v>M</v>
      </c>
    </row>
    <row r="34" spans="1:16" x14ac:dyDescent="0.2">
      <c r="A34"/>
      <c r="B34"/>
      <c r="C34"/>
      <c r="D34"/>
      <c r="K34"/>
      <c r="L34"/>
      <c r="M34"/>
      <c r="N34"/>
      <c r="O34" t="str">
        <f>IFERROR(LEFT(AllWireRollCerts[[#This Row],[traceability_no]],6),"")</f>
        <v>065908</v>
      </c>
      <c r="P34" t="str">
        <f>IFERROR(SUBSTITUTE(AllWireRollCerts[[#This Row],[traceability_no]],AllWireRollCerts[[#This Row],[sort1]],""),"")</f>
        <v>N</v>
      </c>
    </row>
    <row r="35" spans="1:16" x14ac:dyDescent="0.2">
      <c r="A35"/>
      <c r="B35"/>
      <c r="C35"/>
      <c r="D35"/>
      <c r="K35"/>
      <c r="L35"/>
      <c r="M35"/>
      <c r="N35"/>
      <c r="O35" t="str">
        <f>IFERROR(LEFT(AllWireRollCerts[[#This Row],[traceability_no]],6),"")</f>
        <v>065908</v>
      </c>
      <c r="P35" t="str">
        <f>IFERROR(SUBSTITUTE(AllWireRollCerts[[#This Row],[traceability_no]],AllWireRollCerts[[#This Row],[sort1]],""),"")</f>
        <v>O</v>
      </c>
    </row>
    <row r="36" spans="1:16" x14ac:dyDescent="0.2">
      <c r="A36"/>
      <c r="B36"/>
      <c r="C36"/>
      <c r="D36"/>
    </row>
    <row r="37" spans="1:16" x14ac:dyDescent="0.2">
      <c r="A37"/>
      <c r="B37"/>
      <c r="C37"/>
      <c r="D37"/>
    </row>
    <row r="38" spans="1:16" x14ac:dyDescent="0.2">
      <c r="A38"/>
      <c r="B38"/>
      <c r="C38"/>
      <c r="D38"/>
    </row>
    <row r="39" spans="1:16" x14ac:dyDescent="0.2">
      <c r="A39"/>
      <c r="B39"/>
      <c r="C39"/>
      <c r="D39"/>
    </row>
    <row r="40" spans="1:16" x14ac:dyDescent="0.2">
      <c r="A40"/>
      <c r="B40"/>
      <c r="C40"/>
      <c r="D40"/>
    </row>
    <row r="41" spans="1:16" x14ac:dyDescent="0.2">
      <c r="A41"/>
      <c r="B41"/>
      <c r="C41"/>
      <c r="D41"/>
    </row>
    <row r="42" spans="1:16" x14ac:dyDescent="0.2">
      <c r="A42"/>
      <c r="B42"/>
      <c r="C42"/>
      <c r="D42"/>
    </row>
    <row r="43" spans="1:16" x14ac:dyDescent="0.2">
      <c r="A43"/>
      <c r="B43"/>
      <c r="C43"/>
      <c r="D43"/>
    </row>
    <row r="44" spans="1:16" x14ac:dyDescent="0.2">
      <c r="A44"/>
      <c r="B44"/>
      <c r="C44"/>
      <c r="D44"/>
    </row>
    <row r="45" spans="1:16" x14ac:dyDescent="0.2">
      <c r="A45"/>
      <c r="B45"/>
      <c r="C45"/>
      <c r="D45"/>
    </row>
    <row r="46" spans="1:16" x14ac:dyDescent="0.2">
      <c r="A46"/>
      <c r="B46"/>
      <c r="C46"/>
      <c r="D46"/>
    </row>
    <row r="47" spans="1:16" x14ac:dyDescent="0.2">
      <c r="A47"/>
      <c r="B47"/>
      <c r="C47"/>
      <c r="D47"/>
    </row>
    <row r="48" spans="1:16"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sheetData>
  <phoneticPr fontId="22"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385</v>
      </c>
      <c r="F1" s="36" t="s">
        <v>201</v>
      </c>
      <c r="G1" s="36" t="s">
        <v>202</v>
      </c>
      <c r="H1" s="36" t="s">
        <v>388</v>
      </c>
      <c r="J1" s="556" t="s">
        <v>383</v>
      </c>
      <c r="K1" s="557"/>
      <c r="M1" s="395" t="s">
        <v>378</v>
      </c>
      <c r="N1" s="396" t="s">
        <v>382</v>
      </c>
      <c r="O1" s="396" t="s">
        <v>374</v>
      </c>
      <c r="P1" s="396" t="s">
        <v>14</v>
      </c>
      <c r="Q1" s="447" t="s">
        <v>436</v>
      </c>
      <c r="R1" s="447" t="s">
        <v>201</v>
      </c>
      <c r="S1" s="447" t="s">
        <v>202</v>
      </c>
      <c r="T1" s="447" t="s">
        <v>437</v>
      </c>
    </row>
    <row r="2" spans="1:20" x14ac:dyDescent="0.2">
      <c r="A2" s="384"/>
      <c r="J2" s="398" t="s">
        <v>379</v>
      </c>
      <c r="K2" s="399">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4" t="str">
        <f>IFERROR(IF(OR(Alerts[[#This Row],[High]],Alerts[[#This Row],[Low]]),VALUE(Alerts[[#This Row],[High]]&amp;Alerts[[#This Row],[Low]]),Alerts[[#This Row],[Out Of Tolerance]]),"")</f>
        <v/>
      </c>
      <c r="Q2" t="b">
        <f>IF(
  Main!O5 = "",
  FALSE,
  COUNTIF(Survey[TestPoint], Alerts[[#This Row],[TestPoint]]) = 0
)</f>
        <v>0</v>
      </c>
      <c r="R2" s="384" t="str" cm="1">
        <f t="array" ref="R2">_xlfn.XLOOKUP(1,
  (Survey[TestPoint]=Alerts[[#This Row],[TestPoint]])*Survey[High],
  Survey[Time],
  "")</f>
        <v/>
      </c>
      <c r="S2" s="384" t="str" cm="1">
        <f t="array" ref="S2">_xlfn.XLOOKUP(1,
  (Survey[TestPoint]=Alerts[[#This Row],[TestPoint]])*Survey[Low],
  Survey[Time],
  "")</f>
        <v/>
      </c>
      <c r="T2" s="384" t="str" cm="1">
        <f t="array" ref="T2">_xlfn.XLOOKUP(1,
  (Survey[TestPoint]=Alerts[[#This Row],[TestPoint]])*Survey[OutOfTolerance],
  Survey[Time],
  "")</f>
        <v/>
      </c>
    </row>
    <row r="3" spans="1:20" x14ac:dyDescent="0.2">
      <c r="J3" s="404" t="s">
        <v>386</v>
      </c>
      <c r="K3" s="405">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4" t="str">
        <f>IFERROR(IF(OR(Alerts[[#This Row],[High]],Alerts[[#This Row],[Low]]),VALUE(Alerts[[#This Row],[High]]&amp;Alerts[[#This Row],[Low]]),Alerts[[#This Row],[Out Of Tolerance]]),"")</f>
        <v/>
      </c>
      <c r="Q3" t="b">
        <f>IF(
  Main!O6 = "",
  FALSE,
  COUNTIF(Survey[TestPoint], Alerts[[#This Row],[TestPoint]]) = 0
)</f>
        <v>0</v>
      </c>
      <c r="R3" s="384" t="str" cm="1">
        <f t="array" ref="R3">_xlfn.XLOOKUP(1,
  (Survey[TestPoint]=Alerts[[#This Row],[TestPoint]])*Survey[High],
  Survey[Time],
  "")</f>
        <v/>
      </c>
      <c r="S3" s="384" t="str" cm="1">
        <f t="array" ref="S3">_xlfn.XLOOKUP(1,
  (Survey[TestPoint]=Alerts[[#This Row],[TestPoint]])*Survey[Low],
  Survey[Time],
  "")</f>
        <v/>
      </c>
      <c r="T3" s="384" t="str" cm="1">
        <f t="array" ref="T3">_xlfn.XLOOKUP(1,
  (Survey[TestPoint]=Alerts[[#This Row],[TestPoint]])*Survey[OutOfTolerance],
  Survey[Time],
  "")</f>
        <v/>
      </c>
    </row>
    <row r="4" spans="1:20" x14ac:dyDescent="0.2">
      <c r="J4" s="400" t="s">
        <v>390</v>
      </c>
      <c r="K4" s="401"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4" t="str">
        <f>IFERROR(IF(OR(Alerts[[#This Row],[High]],Alerts[[#This Row],[Low]]),VALUE(Alerts[[#This Row],[High]]&amp;Alerts[[#This Row],[Low]]),Alerts[[#This Row],[Out Of Tolerance]]),"")</f>
        <v/>
      </c>
      <c r="Q4" t="b">
        <f>IF(
  Main!O7 = "",
  FALSE,
  COUNTIF(Survey[TestPoint], Alerts[[#This Row],[TestPoint]]) = 0
)</f>
        <v>0</v>
      </c>
      <c r="R4" s="384" t="str" cm="1">
        <f t="array" ref="R4">_xlfn.XLOOKUP(1,
  (Survey[TestPoint]=Alerts[[#This Row],[TestPoint]])*Survey[High],
  Survey[Time],
  "")</f>
        <v/>
      </c>
      <c r="S4" s="384" t="str" cm="1">
        <f t="array" ref="S4">_xlfn.XLOOKUP(1,
  (Survey[TestPoint]=Alerts[[#This Row],[TestPoint]])*Survey[Low],
  Survey[Time],
  "")</f>
        <v/>
      </c>
      <c r="T4" s="384" t="str" cm="1">
        <f t="array" ref="T4">_xlfn.XLOOKUP(1,
  (Survey[TestPoint]=Alerts[[#This Row],[TestPoint]])*Survey[OutOfTolerance],
  Survey[Time],
  "")</f>
        <v/>
      </c>
    </row>
    <row r="5" spans="1:20" x14ac:dyDescent="0.2">
      <c r="J5" s="404" t="s">
        <v>391</v>
      </c>
      <c r="K5" s="406"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4" t="str">
        <f>IFERROR(IF(OR(Alerts[[#This Row],[High]],Alerts[[#This Row],[Low]]),VALUE(Alerts[[#This Row],[High]]&amp;Alerts[[#This Row],[Low]]),Alerts[[#This Row],[Out Of Tolerance]]),"")</f>
        <v/>
      </c>
      <c r="Q5" t="b">
        <f>IF(
  Main!O8 = "",
  FALSE,
  COUNTIF(Survey[TestPoint], Alerts[[#This Row],[TestPoint]]) = 0
)</f>
        <v>0</v>
      </c>
      <c r="R5" s="384" t="str" cm="1">
        <f t="array" ref="R5">_xlfn.XLOOKUP(1,
  (Survey[TestPoint]=Alerts[[#This Row],[TestPoint]])*Survey[High],
  Survey[Time],
  "")</f>
        <v/>
      </c>
      <c r="S5" s="384" t="str" cm="1">
        <f t="array" ref="S5">_xlfn.XLOOKUP(1,
  (Survey[TestPoint]=Alerts[[#This Row],[TestPoint]])*Survey[Low],
  Survey[Time],
  "")</f>
        <v/>
      </c>
      <c r="T5" s="384" t="str" cm="1">
        <f t="array" ref="T5">_xlfn.XLOOKUP(1,
  (Survey[TestPoint]=Alerts[[#This Row],[TestPoint]])*Survey[OutOfTolerance],
  Survey[Time],
  "")</f>
        <v/>
      </c>
    </row>
    <row r="6" spans="1:20" x14ac:dyDescent="0.2">
      <c r="J6" s="400" t="s">
        <v>389</v>
      </c>
      <c r="K6" s="401">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4" t="str">
        <f>IFERROR(IF(OR(Alerts[[#This Row],[High]],Alerts[[#This Row],[Low]]),VALUE(Alerts[[#This Row],[High]]&amp;Alerts[[#This Row],[Low]]),Alerts[[#This Row],[Out Of Tolerance]]),"")</f>
        <v/>
      </c>
      <c r="Q6" t="b">
        <f>IF(
  Main!O9 = "",
  FALSE,
  COUNTIF(Survey[TestPoint], Alerts[[#This Row],[TestPoint]]) = 0
)</f>
        <v>0</v>
      </c>
      <c r="R6" s="384" t="str" cm="1">
        <f t="array" ref="R6">_xlfn.XLOOKUP(1,
  (Survey[TestPoint]=Alerts[[#This Row],[TestPoint]])*Survey[High],
  Survey[Time],
  "")</f>
        <v/>
      </c>
      <c r="S6" s="384" t="str" cm="1">
        <f t="array" ref="S6">_xlfn.XLOOKUP(1,
  (Survey[TestPoint]=Alerts[[#This Row],[TestPoint]])*Survey[Low],
  Survey[Time],
  "")</f>
        <v/>
      </c>
      <c r="T6" s="384" t="str" cm="1">
        <f t="array" ref="T6">_xlfn.XLOOKUP(1,
  (Survey[TestPoint]=Alerts[[#This Row],[TestPoint]])*Survey[OutOfTolerance],
  Survey[Time],
  "")</f>
        <v/>
      </c>
    </row>
    <row r="7" spans="1:20" x14ac:dyDescent="0.2">
      <c r="J7" s="404" t="s">
        <v>380</v>
      </c>
      <c r="K7" s="407">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4" t="str">
        <f>IFERROR(IF(OR(Alerts[[#This Row],[High]],Alerts[[#This Row],[Low]]),VALUE(Alerts[[#This Row],[High]]&amp;Alerts[[#This Row],[Low]]),Alerts[[#This Row],[Out Of Tolerance]]),"")</f>
        <v/>
      </c>
      <c r="Q7" t="b">
        <f>IF(
  Main!O10 = "",
  FALSE,
  COUNTIF(Survey[TestPoint], Alerts[[#This Row],[TestPoint]]) = 0
)</f>
        <v>0</v>
      </c>
      <c r="R7" s="384" t="str" cm="1">
        <f t="array" ref="R7">_xlfn.XLOOKUP(1,
  (Survey[TestPoint]=Alerts[[#This Row],[TestPoint]])*Survey[High],
  Survey[Time],
  "")</f>
        <v/>
      </c>
      <c r="S7" s="384" t="str" cm="1">
        <f t="array" ref="S7">_xlfn.XLOOKUP(1,
  (Survey[TestPoint]=Alerts[[#This Row],[TestPoint]])*Survey[Low],
  Survey[Time],
  "")</f>
        <v/>
      </c>
      <c r="T7" s="384" t="str" cm="1">
        <f t="array" ref="T7">_xlfn.XLOOKUP(1,
  (Survey[TestPoint]=Alerts[[#This Row],[TestPoint]])*Survey[OutOfTolerance],
  Survey[Time],
  "")</f>
        <v/>
      </c>
    </row>
    <row r="8" spans="1:20" ht="13.5" thickBot="1" x14ac:dyDescent="0.25">
      <c r="J8" s="402" t="s">
        <v>381</v>
      </c>
      <c r="K8" s="403">
        <f>_xlfn.XLOOKUP(TRUE, CMCs[MatchingRow], CMCs[CMC], "", 0, -1)</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4" t="str">
        <f>IFERROR(IF(OR(Alerts[[#This Row],[High]],Alerts[[#This Row],[Low]]),VALUE(Alerts[[#This Row],[High]]&amp;Alerts[[#This Row],[Low]]),Alerts[[#This Row],[Out Of Tolerance]]),"")</f>
        <v/>
      </c>
      <c r="Q8" t="b">
        <f>IF(
  Main!O11 = "",
  FALSE,
  COUNTIF(Survey[TestPoint], Alerts[[#This Row],[TestPoint]]) = 0
)</f>
        <v>0</v>
      </c>
      <c r="R8" s="384" t="str" cm="1">
        <f t="array" ref="R8">_xlfn.XLOOKUP(1,
  (Survey[TestPoint]=Alerts[[#This Row],[TestPoint]])*Survey[High],
  Survey[Time],
  "")</f>
        <v/>
      </c>
      <c r="S8" s="384" t="str" cm="1">
        <f t="array" ref="S8">_xlfn.XLOOKUP(1,
  (Survey[TestPoint]=Alerts[[#This Row],[TestPoint]])*Survey[Low],
  Survey[Time],
  "")</f>
        <v/>
      </c>
      <c r="T8" s="384" t="str" cm="1">
        <f t="array" ref="T8">_xlfn.XLOOKUP(1,
  (Survey[TestPoint]=Alerts[[#This Row],[TestPoint]])*Survey[OutOfTolerance],
  Survey[Time],
  "")</f>
        <v/>
      </c>
    </row>
    <row r="9" spans="1:20" ht="13.5" thickTop="1" x14ac:dyDescent="0.2">
      <c r="J9" s="408" t="s">
        <v>387</v>
      </c>
      <c r="K9" s="409">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4" t="str">
        <f>IFERROR(IF(OR(Alerts[[#This Row],[High]],Alerts[[#This Row],[Low]]),VALUE(Alerts[[#This Row],[High]]&amp;Alerts[[#This Row],[Low]]),Alerts[[#This Row],[Out Of Tolerance]]),"")</f>
        <v/>
      </c>
      <c r="Q9" t="b">
        <f>IF(
  Main!O12 = "",
  FALSE,
  COUNTIF(Survey[TestPoint], Alerts[[#This Row],[TestPoint]]) = 0
)</f>
        <v>0</v>
      </c>
      <c r="R9" s="384" t="str" cm="1">
        <f t="array" ref="R9">_xlfn.XLOOKUP(1,
  (Survey[TestPoint]=Alerts[[#This Row],[TestPoint]])*Survey[High],
  Survey[Time],
  "")</f>
        <v/>
      </c>
      <c r="S9" s="384" t="str" cm="1">
        <f t="array" ref="S9">_xlfn.XLOOKUP(1,
  (Survey[TestPoint]=Alerts[[#This Row],[TestPoint]])*Survey[Low],
  Survey[Time],
  "")</f>
        <v/>
      </c>
      <c r="T9" s="384"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4" t="str">
        <f>IFERROR(IF(OR(Alerts[[#This Row],[High]],Alerts[[#This Row],[Low]]),VALUE(Alerts[[#This Row],[High]]&amp;Alerts[[#This Row],[Low]]),Alerts[[#This Row],[Out Of Tolerance]]),"")</f>
        <v/>
      </c>
      <c r="Q10" t="b">
        <f>IF(
  Main!O13 = "",
  FALSE,
  COUNTIF(Survey[TestPoint], Alerts[[#This Row],[TestPoint]]) = 0
)</f>
        <v>0</v>
      </c>
      <c r="R10" s="384" t="str" cm="1">
        <f t="array" ref="R10">_xlfn.XLOOKUP(1,
  (Survey[TestPoint]=Alerts[[#This Row],[TestPoint]])*Survey[High],
  Survey[Time],
  "")</f>
        <v/>
      </c>
      <c r="S10" s="384" t="str" cm="1">
        <f t="array" ref="S10">_xlfn.XLOOKUP(1,
  (Survey[TestPoint]=Alerts[[#This Row],[TestPoint]])*Survey[Low],
  Survey[Time],
  "")</f>
        <v/>
      </c>
      <c r="T10" s="384"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4" t="str">
        <f>IFERROR(IF(OR(Alerts[[#This Row],[High]],Alerts[[#This Row],[Low]]),VALUE(Alerts[[#This Row],[High]]&amp;Alerts[[#This Row],[Low]]),Alerts[[#This Row],[Out Of Tolerance]]),"")</f>
        <v/>
      </c>
      <c r="Q11" t="b">
        <f>IF(
  Main!O14 = "",
  FALSE,
  COUNTIF(Survey[TestPoint], Alerts[[#This Row],[TestPoint]]) = 0
)</f>
        <v>0</v>
      </c>
      <c r="R11" s="384" t="str" cm="1">
        <f t="array" ref="R11">_xlfn.XLOOKUP(1,
  (Survey[TestPoint]=Alerts[[#This Row],[TestPoint]])*Survey[High],
  Survey[Time],
  "")</f>
        <v/>
      </c>
      <c r="S11" s="384" t="str" cm="1">
        <f t="array" ref="S11">_xlfn.XLOOKUP(1,
  (Survey[TestPoint]=Alerts[[#This Row],[TestPoint]])*Survey[Low],
  Survey[Time],
  "")</f>
        <v/>
      </c>
      <c r="T11" s="384"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4" t="str">
        <f>IFERROR(IF(OR(Alerts[[#This Row],[High]],Alerts[[#This Row],[Low]]),VALUE(Alerts[[#This Row],[High]]&amp;Alerts[[#This Row],[Low]]),Alerts[[#This Row],[Out Of Tolerance]]),"")</f>
        <v/>
      </c>
      <c r="Q12" t="b">
        <f>IF(
  Main!O15 = "",
  FALSE,
  COUNTIF(Survey[TestPoint], Alerts[[#This Row],[TestPoint]]) = 0
)</f>
        <v>0</v>
      </c>
      <c r="R12" s="384" t="str" cm="1">
        <f t="array" ref="R12">_xlfn.XLOOKUP(1,
  (Survey[TestPoint]=Alerts[[#This Row],[TestPoint]])*Survey[High],
  Survey[Time],
  "")</f>
        <v/>
      </c>
      <c r="S12" s="384" t="str" cm="1">
        <f t="array" ref="S12">_xlfn.XLOOKUP(1,
  (Survey[TestPoint]=Alerts[[#This Row],[TestPoint]])*Survey[Low],
  Survey[Time],
  "")</f>
        <v/>
      </c>
      <c r="T12" s="384"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4" t="str">
        <f>IFERROR(IF(OR(Alerts[[#This Row],[High]],Alerts[[#This Row],[Low]]),VALUE(Alerts[[#This Row],[High]]&amp;Alerts[[#This Row],[Low]]),Alerts[[#This Row],[Out Of Tolerance]]),"")</f>
        <v/>
      </c>
      <c r="Q13" t="b">
        <f>IF(
  Main!O16 = "",
  FALSE,
  COUNTIF(Survey[TestPoint], Alerts[[#This Row],[TestPoint]]) = 0
)</f>
        <v>0</v>
      </c>
      <c r="R13" s="384" t="str" cm="1">
        <f t="array" ref="R13">_xlfn.XLOOKUP(1,
  (Survey[TestPoint]=Alerts[[#This Row],[TestPoint]])*Survey[High],
  Survey[Time],
  "")</f>
        <v/>
      </c>
      <c r="S13" s="384" t="str" cm="1">
        <f t="array" ref="S13">_xlfn.XLOOKUP(1,
  (Survey[TestPoint]=Alerts[[#This Row],[TestPoint]])*Survey[Low],
  Survey[Time],
  "")</f>
        <v/>
      </c>
      <c r="T13" s="384"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4" t="str">
        <f>IFERROR(IF(OR(Alerts[[#This Row],[High]],Alerts[[#This Row],[Low]]),VALUE(Alerts[[#This Row],[High]]&amp;Alerts[[#This Row],[Low]]),Alerts[[#This Row],[Out Of Tolerance]]),"")</f>
        <v/>
      </c>
      <c r="Q14" t="b">
        <f>IF(
  Main!O17 = "",
  FALSE,
  COUNTIF(Survey[TestPoint], Alerts[[#This Row],[TestPoint]]) = 0
)</f>
        <v>0</v>
      </c>
      <c r="R14" s="384" t="str" cm="1">
        <f t="array" ref="R14">_xlfn.XLOOKUP(1,
  (Survey[TestPoint]=Alerts[[#This Row],[TestPoint]])*Survey[High],
  Survey[Time],
  "")</f>
        <v/>
      </c>
      <c r="S14" s="384" t="str" cm="1">
        <f t="array" ref="S14">_xlfn.XLOOKUP(1,
  (Survey[TestPoint]=Alerts[[#This Row],[TestPoint]])*Survey[Low],
  Survey[Time],
  "")</f>
        <v/>
      </c>
      <c r="T14" s="384"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4" t="str">
        <f>IFERROR(IF(OR(Alerts[[#This Row],[High]],Alerts[[#This Row],[Low]]),VALUE(Alerts[[#This Row],[High]]&amp;Alerts[[#This Row],[Low]]),Alerts[[#This Row],[Out Of Tolerance]]),"")</f>
        <v/>
      </c>
      <c r="Q15" t="b">
        <f>IF(
  Main!O18 = "",
  FALSE,
  COUNTIF(Survey[TestPoint], Alerts[[#This Row],[TestPoint]]) = 0
)</f>
        <v>0</v>
      </c>
      <c r="R15" s="384" t="str" cm="1">
        <f t="array" ref="R15">_xlfn.XLOOKUP(1,
  (Survey[TestPoint]=Alerts[[#This Row],[TestPoint]])*Survey[High],
  Survey[Time],
  "")</f>
        <v/>
      </c>
      <c r="S15" s="384" t="str" cm="1">
        <f t="array" ref="S15">_xlfn.XLOOKUP(1,
  (Survey[TestPoint]=Alerts[[#This Row],[TestPoint]])*Survey[Low],
  Survey[Time],
  "")</f>
        <v/>
      </c>
      <c r="T15" s="384"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4" t="str">
        <f>IFERROR(IF(OR(Alerts[[#This Row],[High]],Alerts[[#This Row],[Low]]),VALUE(Alerts[[#This Row],[High]]&amp;Alerts[[#This Row],[Low]]),Alerts[[#This Row],[Out Of Tolerance]]),"")</f>
        <v/>
      </c>
      <c r="Q16" t="b">
        <f>IF(
  Main!O19 = "",
  FALSE,
  COUNTIF(Survey[TestPoint], Alerts[[#This Row],[TestPoint]]) = 0
)</f>
        <v>0</v>
      </c>
      <c r="R16" s="384" t="str" cm="1">
        <f t="array" ref="R16">_xlfn.XLOOKUP(1,
  (Survey[TestPoint]=Alerts[[#This Row],[TestPoint]])*Survey[High],
  Survey[Time],
  "")</f>
        <v/>
      </c>
      <c r="S16" s="384" t="str" cm="1">
        <f t="array" ref="S16">_xlfn.XLOOKUP(1,
  (Survey[TestPoint]=Alerts[[#This Row],[TestPoint]])*Survey[Low],
  Survey[Time],
  "")</f>
        <v/>
      </c>
      <c r="T16" s="384"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4" t="str">
        <f>IFERROR(IF(OR(Alerts[[#This Row],[High]],Alerts[[#This Row],[Low]]),VALUE(Alerts[[#This Row],[High]]&amp;Alerts[[#This Row],[Low]]),Alerts[[#This Row],[Out Of Tolerance]]),"")</f>
        <v/>
      </c>
      <c r="Q17" t="b">
        <f>IF(
  Main!O20 = "",
  FALSE,
  COUNTIF(Survey[TestPoint], Alerts[[#This Row],[TestPoint]]) = 0
)</f>
        <v>0</v>
      </c>
      <c r="R17" s="384" t="str" cm="1">
        <f t="array" ref="R17">_xlfn.XLOOKUP(1,
  (Survey[TestPoint]=Alerts[[#This Row],[TestPoint]])*Survey[High],
  Survey[Time],
  "")</f>
        <v/>
      </c>
      <c r="S17" s="384" t="str" cm="1">
        <f t="array" ref="S17">_xlfn.XLOOKUP(1,
  (Survey[TestPoint]=Alerts[[#This Row],[TestPoint]])*Survey[Low],
  Survey[Time],
  "")</f>
        <v/>
      </c>
      <c r="T17" s="384"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4" t="str">
        <f>IFERROR(IF(OR(Alerts[[#This Row],[High]],Alerts[[#This Row],[Low]]),VALUE(Alerts[[#This Row],[High]]&amp;Alerts[[#This Row],[Low]]),Alerts[[#This Row],[Out Of Tolerance]]),"")</f>
        <v/>
      </c>
      <c r="Q18" t="b">
        <f>IF(
  Main!O21 = "",
  FALSE,
  COUNTIF(Survey[TestPoint], Alerts[[#This Row],[TestPoint]]) = 0
)</f>
        <v>0</v>
      </c>
      <c r="R18" s="384" t="str" cm="1">
        <f t="array" ref="R18">_xlfn.XLOOKUP(1,
  (Survey[TestPoint]=Alerts[[#This Row],[TestPoint]])*Survey[High],
  Survey[Time],
  "")</f>
        <v/>
      </c>
      <c r="S18" s="384" t="str" cm="1">
        <f t="array" ref="S18">_xlfn.XLOOKUP(1,
  (Survey[TestPoint]=Alerts[[#This Row],[TestPoint]])*Survey[Low],
  Survey[Time],
  "")</f>
        <v/>
      </c>
      <c r="T18" s="384"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4" t="str">
        <f>IFERROR(IF(OR(Alerts[[#This Row],[High]],Alerts[[#This Row],[Low]]),VALUE(Alerts[[#This Row],[High]]&amp;Alerts[[#This Row],[Low]]),Alerts[[#This Row],[Out Of Tolerance]]),"")</f>
        <v/>
      </c>
      <c r="Q19" t="b">
        <f>IF(
  Main!O22 = "",
  FALSE,
  COUNTIF(Survey[TestPoint], Alerts[[#This Row],[TestPoint]]) = 0
)</f>
        <v>0</v>
      </c>
      <c r="R19" s="384" t="str" cm="1">
        <f t="array" ref="R19">_xlfn.XLOOKUP(1,
  (Survey[TestPoint]=Alerts[[#This Row],[TestPoint]])*Survey[High],
  Survey[Time],
  "")</f>
        <v/>
      </c>
      <c r="S19" s="384" t="str" cm="1">
        <f t="array" ref="S19">_xlfn.XLOOKUP(1,
  (Survey[TestPoint]=Alerts[[#This Row],[TestPoint]])*Survey[Low],
  Survey[Time],
  "")</f>
        <v/>
      </c>
      <c r="T19" s="384"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4" t="str">
        <f>IFERROR(IF(OR(Alerts[[#This Row],[High]],Alerts[[#This Row],[Low]]),VALUE(Alerts[[#This Row],[High]]&amp;Alerts[[#This Row],[Low]]),Alerts[[#This Row],[Out Of Tolerance]]),"")</f>
        <v/>
      </c>
      <c r="Q20" t="b">
        <f>IF(
  Main!O23 = "",
  FALSE,
  COUNTIF(Survey[TestPoint], Alerts[[#This Row],[TestPoint]]) = 0
)</f>
        <v>0</v>
      </c>
      <c r="R20" s="384" t="str" cm="1">
        <f t="array" ref="R20">_xlfn.XLOOKUP(1,
  (Survey[TestPoint]=Alerts[[#This Row],[TestPoint]])*Survey[High],
  Survey[Time],
  "")</f>
        <v/>
      </c>
      <c r="S20" s="384" t="str" cm="1">
        <f t="array" ref="S20">_xlfn.XLOOKUP(1,
  (Survey[TestPoint]=Alerts[[#This Row],[TestPoint]])*Survey[Low],
  Survey[Time],
  "")</f>
        <v/>
      </c>
      <c r="T20" s="384"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4" t="str">
        <f>IFERROR(IF(OR(Alerts[[#This Row],[High]],Alerts[[#This Row],[Low]]),VALUE(Alerts[[#This Row],[High]]&amp;Alerts[[#This Row],[Low]]),Alerts[[#This Row],[Out Of Tolerance]]),"")</f>
        <v/>
      </c>
      <c r="Q21" t="b">
        <f>IF(
  Main!O24 = "",
  FALSE,
  COUNTIF(Survey[TestPoint], Alerts[[#This Row],[TestPoint]]) = 0
)</f>
        <v>0</v>
      </c>
      <c r="R21" s="384" t="str" cm="1">
        <f t="array" ref="R21">_xlfn.XLOOKUP(1,
  (Survey[TestPoint]=Alerts[[#This Row],[TestPoint]])*Survey[High],
  Survey[Time],
  "")</f>
        <v/>
      </c>
      <c r="S21" s="384" t="str" cm="1">
        <f t="array" ref="S21">_xlfn.XLOOKUP(1,
  (Survey[TestPoint]=Alerts[[#This Row],[TestPoint]])*Survey[Low],
  Survey[Time],
  "")</f>
        <v/>
      </c>
      <c r="T21" s="384"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4" t="str">
        <f>IFERROR(IF(OR(Alerts[[#This Row],[High]],Alerts[[#This Row],[Low]]),VALUE(Alerts[[#This Row],[High]]&amp;Alerts[[#This Row],[Low]]),Alerts[[#This Row],[Out Of Tolerance]]),"")</f>
        <v/>
      </c>
      <c r="Q22" t="b">
        <f>IF(
  Main!O25 = "",
  FALSE,
  COUNTIF(Survey[TestPoint], Alerts[[#This Row],[TestPoint]]) = 0
)</f>
        <v>0</v>
      </c>
      <c r="R22" s="384" t="str" cm="1">
        <f t="array" ref="R22">_xlfn.XLOOKUP(1,
  (Survey[TestPoint]=Alerts[[#This Row],[TestPoint]])*Survey[High],
  Survey[Time],
  "")</f>
        <v/>
      </c>
      <c r="S22" s="384" t="str" cm="1">
        <f t="array" ref="S22">_xlfn.XLOOKUP(1,
  (Survey[TestPoint]=Alerts[[#This Row],[TestPoint]])*Survey[Low],
  Survey[Time],
  "")</f>
        <v/>
      </c>
      <c r="T22" s="384"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4" t="str">
        <f>IFERROR(IF(OR(Alerts[[#This Row],[High]],Alerts[[#This Row],[Low]]),VALUE(Alerts[[#This Row],[High]]&amp;Alerts[[#This Row],[Low]]),Alerts[[#This Row],[Out Of Tolerance]]),"")</f>
        <v/>
      </c>
      <c r="Q23" t="b">
        <f>IF(
  Main!O26 = "",
  FALSE,
  COUNTIF(Survey[TestPoint], Alerts[[#This Row],[TestPoint]]) = 0
)</f>
        <v>0</v>
      </c>
      <c r="R23" s="384" t="str" cm="1">
        <f t="array" ref="R23">_xlfn.XLOOKUP(1,
  (Survey[TestPoint]=Alerts[[#This Row],[TestPoint]])*Survey[High],
  Survey[Time],
  "")</f>
        <v/>
      </c>
      <c r="S23" s="384" t="str" cm="1">
        <f t="array" ref="S23">_xlfn.XLOOKUP(1,
  (Survey[TestPoint]=Alerts[[#This Row],[TestPoint]])*Survey[Low],
  Survey[Time],
  "")</f>
        <v/>
      </c>
      <c r="T23" s="384"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4" t="str">
        <f>IFERROR(IF(OR(Alerts[[#This Row],[High]],Alerts[[#This Row],[Low]]),VALUE(Alerts[[#This Row],[High]]&amp;Alerts[[#This Row],[Low]]),Alerts[[#This Row],[Out Of Tolerance]]),"")</f>
        <v/>
      </c>
      <c r="Q24" t="b">
        <f>IF(
  Main!O27 = "",
  FALSE,
  COUNTIF(Survey[TestPoint], Alerts[[#This Row],[TestPoint]]) = 0
)</f>
        <v>0</v>
      </c>
      <c r="R24" s="384" t="str" cm="1">
        <f t="array" ref="R24">_xlfn.XLOOKUP(1,
  (Survey[TestPoint]=Alerts[[#This Row],[TestPoint]])*Survey[High],
  Survey[Time],
  "")</f>
        <v/>
      </c>
      <c r="S24" s="384" t="str" cm="1">
        <f t="array" ref="S24">_xlfn.XLOOKUP(1,
  (Survey[TestPoint]=Alerts[[#This Row],[TestPoint]])*Survey[Low],
  Survey[Time],
  "")</f>
        <v/>
      </c>
      <c r="T24" s="384"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4" t="str">
        <f>IFERROR(IF(OR(Alerts[[#This Row],[High]],Alerts[[#This Row],[Low]]),VALUE(Alerts[[#This Row],[High]]&amp;Alerts[[#This Row],[Low]]),Alerts[[#This Row],[Out Of Tolerance]]),"")</f>
        <v/>
      </c>
      <c r="Q25" t="b">
        <f>IF(
  Main!O28 = "",
  FALSE,
  COUNTIF(Survey[TestPoint], Alerts[[#This Row],[TestPoint]]) = 0
)</f>
        <v>0</v>
      </c>
      <c r="R25" s="384" t="str" cm="1">
        <f t="array" ref="R25">_xlfn.XLOOKUP(1,
  (Survey[TestPoint]=Alerts[[#This Row],[TestPoint]])*Survey[High],
  Survey[Time],
  "")</f>
        <v/>
      </c>
      <c r="S25" s="384" t="str" cm="1">
        <f t="array" ref="S25">_xlfn.XLOOKUP(1,
  (Survey[TestPoint]=Alerts[[#This Row],[TestPoint]])*Survey[Low],
  Survey[Time],
  "")</f>
        <v/>
      </c>
      <c r="T25" s="384"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4" t="str">
        <f>IFERROR(IF(OR(Alerts[[#This Row],[High]],Alerts[[#This Row],[Low]]),VALUE(Alerts[[#This Row],[High]]&amp;Alerts[[#This Row],[Low]]),Alerts[[#This Row],[Out Of Tolerance]]),"")</f>
        <v/>
      </c>
      <c r="Q26" t="b">
        <f>IF(
  Main!O29 = "",
  FALSE,
  COUNTIF(Survey[TestPoint], Alerts[[#This Row],[TestPoint]]) = 0
)</f>
        <v>0</v>
      </c>
      <c r="R26" s="384" t="str" cm="1">
        <f t="array" ref="R26">_xlfn.XLOOKUP(1,
  (Survey[TestPoint]=Alerts[[#This Row],[TestPoint]])*Survey[High],
  Survey[Time],
  "")</f>
        <v/>
      </c>
      <c r="S26" s="384" t="str" cm="1">
        <f t="array" ref="S26">_xlfn.XLOOKUP(1,
  (Survey[TestPoint]=Alerts[[#This Row],[TestPoint]])*Survey[Low],
  Survey[Time],
  "")</f>
        <v/>
      </c>
      <c r="T26" s="384"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4" t="str">
        <f>IFERROR(IF(OR(Alerts[[#This Row],[High]],Alerts[[#This Row],[Low]]),VALUE(Alerts[[#This Row],[High]]&amp;Alerts[[#This Row],[Low]]),Alerts[[#This Row],[Out Of Tolerance]]),"")</f>
        <v/>
      </c>
      <c r="Q27" t="b">
        <f>IF(
  Main!O30 = "",
  FALSE,
  COUNTIF(Survey[TestPoint], Alerts[[#This Row],[TestPoint]]) = 0
)</f>
        <v>0</v>
      </c>
      <c r="R27" s="384" t="str" cm="1">
        <f t="array" ref="R27">_xlfn.XLOOKUP(1,
  (Survey[TestPoint]=Alerts[[#This Row],[TestPoint]])*Survey[High],
  Survey[Time],
  "")</f>
        <v/>
      </c>
      <c r="S27" s="384" t="str" cm="1">
        <f t="array" ref="S27">_xlfn.XLOOKUP(1,
  (Survey[TestPoint]=Alerts[[#This Row],[TestPoint]])*Survey[Low],
  Survey[Time],
  "")</f>
        <v/>
      </c>
      <c r="T27" s="384"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4" t="str">
        <f>IFERROR(IF(OR(Alerts[[#This Row],[High]],Alerts[[#This Row],[Low]]),VALUE(Alerts[[#This Row],[High]]&amp;Alerts[[#This Row],[Low]]),Alerts[[#This Row],[Out Of Tolerance]]),"")</f>
        <v/>
      </c>
      <c r="Q28" t="b">
        <f>IF(
  Main!O31 = "",
  FALSE,
  COUNTIF(Survey[TestPoint], Alerts[[#This Row],[TestPoint]]) = 0
)</f>
        <v>0</v>
      </c>
      <c r="R28" s="384" t="str" cm="1">
        <f t="array" ref="R28">_xlfn.XLOOKUP(1,
  (Survey[TestPoint]=Alerts[[#This Row],[TestPoint]])*Survey[High],
  Survey[Time],
  "")</f>
        <v/>
      </c>
      <c r="S28" s="384" t="str" cm="1">
        <f t="array" ref="S28">_xlfn.XLOOKUP(1,
  (Survey[TestPoint]=Alerts[[#This Row],[TestPoint]])*Survey[Low],
  Survey[Time],
  "")</f>
        <v/>
      </c>
      <c r="T28" s="384"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4" t="str">
        <f>IFERROR(IF(OR(Alerts[[#This Row],[High]],Alerts[[#This Row],[Low]]),VALUE(Alerts[[#This Row],[High]]&amp;Alerts[[#This Row],[Low]]),Alerts[[#This Row],[Out Of Tolerance]]),"")</f>
        <v/>
      </c>
      <c r="Q29" t="b">
        <f>IF(
  Main!O32 = "",
  FALSE,
  COUNTIF(Survey[TestPoint], Alerts[[#This Row],[TestPoint]]) = 0
)</f>
        <v>0</v>
      </c>
      <c r="R29" s="384" t="str" cm="1">
        <f t="array" ref="R29">_xlfn.XLOOKUP(1,
  (Survey[TestPoint]=Alerts[[#This Row],[TestPoint]])*Survey[High],
  Survey[Time],
  "")</f>
        <v/>
      </c>
      <c r="S29" s="384" t="str" cm="1">
        <f t="array" ref="S29">_xlfn.XLOOKUP(1,
  (Survey[TestPoint]=Alerts[[#This Row],[TestPoint]])*Survey[Low],
  Survey[Time],
  "")</f>
        <v/>
      </c>
      <c r="T29" s="384"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4" t="str">
        <f>IFERROR(IF(OR(Alerts[[#This Row],[High]],Alerts[[#This Row],[Low]]),VALUE(Alerts[[#This Row],[High]]&amp;Alerts[[#This Row],[Low]]),Alerts[[#This Row],[Out Of Tolerance]]),"")</f>
        <v/>
      </c>
      <c r="Q30" t="b">
        <f>IF(
  Main!O33 = "",
  FALSE,
  COUNTIF(Survey[TestPoint], Alerts[[#This Row],[TestPoint]]) = 0
)</f>
        <v>0</v>
      </c>
      <c r="R30" s="384" t="str" cm="1">
        <f t="array" ref="R30">_xlfn.XLOOKUP(1,
  (Survey[TestPoint]=Alerts[[#This Row],[TestPoint]])*Survey[High],
  Survey[Time],
  "")</f>
        <v/>
      </c>
      <c r="S30" s="384" t="str" cm="1">
        <f t="array" ref="S30">_xlfn.XLOOKUP(1,
  (Survey[TestPoint]=Alerts[[#This Row],[TestPoint]])*Survey[Low],
  Survey[Time],
  "")</f>
        <v/>
      </c>
      <c r="T30" s="384"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4" t="str">
        <f>IFERROR(IF(OR(Alerts[[#This Row],[High]],Alerts[[#This Row],[Low]]),VALUE(Alerts[[#This Row],[High]]&amp;Alerts[[#This Row],[Low]]),Alerts[[#This Row],[Out Of Tolerance]]),"")</f>
        <v/>
      </c>
      <c r="Q31" t="b">
        <f>IF(
  Main!O34 = "",
  FALSE,
  COUNTIF(Survey[TestPoint], Alerts[[#This Row],[TestPoint]]) = 0
)</f>
        <v>0</v>
      </c>
      <c r="R31" s="384" t="str" cm="1">
        <f t="array" ref="R31">_xlfn.XLOOKUP(1,
  (Survey[TestPoint]=Alerts[[#This Row],[TestPoint]])*Survey[High],
  Survey[Time],
  "")</f>
        <v/>
      </c>
      <c r="S31" s="384" t="str" cm="1">
        <f t="array" ref="S31">_xlfn.XLOOKUP(1,
  (Survey[TestPoint]=Alerts[[#This Row],[TestPoint]])*Survey[Low],
  Survey[Time],
  "")</f>
        <v/>
      </c>
      <c r="T31" s="384"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4" t="str">
        <f>IFERROR(IF(OR(Alerts[[#This Row],[High]],Alerts[[#This Row],[Low]]),VALUE(Alerts[[#This Row],[High]]&amp;Alerts[[#This Row],[Low]]),Alerts[[#This Row],[Out Of Tolerance]]),"")</f>
        <v/>
      </c>
      <c r="Q32" t="b">
        <f>IF(
  Main!O35 = "",
  FALSE,
  COUNTIF(Survey[TestPoint], Alerts[[#This Row],[TestPoint]]) = 0
)</f>
        <v>0</v>
      </c>
      <c r="R32" s="384" t="str" cm="1">
        <f t="array" ref="R32">_xlfn.XLOOKUP(1,
  (Survey[TestPoint]=Alerts[[#This Row],[TestPoint]])*Survey[High],
  Survey[Time],
  "")</f>
        <v/>
      </c>
      <c r="S32" s="384" t="str" cm="1">
        <f t="array" ref="S32">_xlfn.XLOOKUP(1,
  (Survey[TestPoint]=Alerts[[#This Row],[TestPoint]])*Survey[Low],
  Survey[Time],
  "")</f>
        <v/>
      </c>
      <c r="T32" s="384"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4" t="str">
        <f>IFERROR(IF(OR(Alerts[[#This Row],[High]],Alerts[[#This Row],[Low]]),VALUE(Alerts[[#This Row],[High]]&amp;Alerts[[#This Row],[Low]]),Alerts[[#This Row],[Out Of Tolerance]]),"")</f>
        <v/>
      </c>
      <c r="Q33" t="b">
        <f>IF(
  Main!O36 = "",
  FALSE,
  COUNTIF(Survey[TestPoint], Alerts[[#This Row],[TestPoint]]) = 0
)</f>
        <v>0</v>
      </c>
      <c r="R33" s="384" t="str" cm="1">
        <f t="array" ref="R33">_xlfn.XLOOKUP(1,
  (Survey[TestPoint]=Alerts[[#This Row],[TestPoint]])*Survey[High],
  Survey[Time],
  "")</f>
        <v/>
      </c>
      <c r="S33" s="384" t="str" cm="1">
        <f t="array" ref="S33">_xlfn.XLOOKUP(1,
  (Survey[TestPoint]=Alerts[[#This Row],[TestPoint]])*Survey[Low],
  Survey[Time],
  "")</f>
        <v/>
      </c>
      <c r="T33" s="384"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4" t="str">
        <f>IFERROR(IF(OR(Alerts[[#This Row],[High]],Alerts[[#This Row],[Low]]),VALUE(Alerts[[#This Row],[High]]&amp;Alerts[[#This Row],[Low]]),Alerts[[#This Row],[Out Of Tolerance]]),"")</f>
        <v/>
      </c>
      <c r="Q34" t="b">
        <f>IF(
  Main!O37 = "",
  FALSE,
  COUNTIF(Survey[TestPoint], Alerts[[#This Row],[TestPoint]]) = 0
)</f>
        <v>0</v>
      </c>
      <c r="R34" s="384" t="str" cm="1">
        <f t="array" ref="R34">_xlfn.XLOOKUP(1,
  (Survey[TestPoint]=Alerts[[#This Row],[TestPoint]])*Survey[High],
  Survey[Time],
  "")</f>
        <v/>
      </c>
      <c r="S34" s="384" t="str" cm="1">
        <f t="array" ref="S34">_xlfn.XLOOKUP(1,
  (Survey[TestPoint]=Alerts[[#This Row],[TestPoint]])*Survey[Low],
  Survey[Time],
  "")</f>
        <v/>
      </c>
      <c r="T34" s="384"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4" t="str">
        <f>IFERROR(IF(OR(Alerts[[#This Row],[High]],Alerts[[#This Row],[Low]]),VALUE(Alerts[[#This Row],[High]]&amp;Alerts[[#This Row],[Low]]),Alerts[[#This Row],[Out Of Tolerance]]),"")</f>
        <v/>
      </c>
      <c r="Q35" t="b">
        <f>IF(
  Main!O38 = "",
  FALSE,
  COUNTIF(Survey[TestPoint], Alerts[[#This Row],[TestPoint]]) = 0
)</f>
        <v>0</v>
      </c>
      <c r="R35" s="384" t="str" cm="1">
        <f t="array" ref="R35">_xlfn.XLOOKUP(1,
  (Survey[TestPoint]=Alerts[[#This Row],[TestPoint]])*Survey[High],
  Survey[Time],
  "")</f>
        <v/>
      </c>
      <c r="S35" s="384" t="str" cm="1">
        <f t="array" ref="S35">_xlfn.XLOOKUP(1,
  (Survey[TestPoint]=Alerts[[#This Row],[TestPoint]])*Survey[Low],
  Survey[Time],
  "")</f>
        <v/>
      </c>
      <c r="T35" s="384"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4" t="str">
        <f>IFERROR(IF(OR(Alerts[[#This Row],[High]],Alerts[[#This Row],[Low]]),VALUE(Alerts[[#This Row],[High]]&amp;Alerts[[#This Row],[Low]]),Alerts[[#This Row],[Out Of Tolerance]]),"")</f>
        <v/>
      </c>
      <c r="Q36" t="b">
        <f>IF(
  Main!O39 = "",
  FALSE,
  COUNTIF(Survey[TestPoint], Alerts[[#This Row],[TestPoint]]) = 0
)</f>
        <v>0</v>
      </c>
      <c r="R36" s="384" t="str" cm="1">
        <f t="array" ref="R36">_xlfn.XLOOKUP(1,
  (Survey[TestPoint]=Alerts[[#This Row],[TestPoint]])*Survey[High],
  Survey[Time],
  "")</f>
        <v/>
      </c>
      <c r="S36" s="384" t="str" cm="1">
        <f t="array" ref="S36">_xlfn.XLOOKUP(1,
  (Survey[TestPoint]=Alerts[[#This Row],[TestPoint]])*Survey[Low],
  Survey[Time],
  "")</f>
        <v/>
      </c>
      <c r="T36" s="384"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4" t="str">
        <f>IFERROR(IF(OR(Alerts[[#This Row],[High]],Alerts[[#This Row],[Low]]),VALUE(Alerts[[#This Row],[High]]&amp;Alerts[[#This Row],[Low]]),Alerts[[#This Row],[Out Of Tolerance]]),"")</f>
        <v/>
      </c>
      <c r="Q37" t="b">
        <f>IF(
  Main!O40 = "",
  FALSE,
  COUNTIF(Survey[TestPoint], Alerts[[#This Row],[TestPoint]]) = 0
)</f>
        <v>0</v>
      </c>
      <c r="R37" s="384" t="str" cm="1">
        <f t="array" ref="R37">_xlfn.XLOOKUP(1,
  (Survey[TestPoint]=Alerts[[#This Row],[TestPoint]])*Survey[High],
  Survey[Time],
  "")</f>
        <v/>
      </c>
      <c r="S37" s="384" t="str" cm="1">
        <f t="array" ref="S37">_xlfn.XLOOKUP(1,
  (Survey[TestPoint]=Alerts[[#This Row],[TestPoint]])*Survey[Low],
  Survey[Time],
  "")</f>
        <v/>
      </c>
      <c r="T37" s="384"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4" t="str">
        <f>IFERROR(IF(OR(Alerts[[#This Row],[High]],Alerts[[#This Row],[Low]]),VALUE(Alerts[[#This Row],[High]]&amp;Alerts[[#This Row],[Low]]),Alerts[[#This Row],[Out Of Tolerance]]),"")</f>
        <v/>
      </c>
      <c r="Q38" t="b">
        <f>IF(
  Main!O41 = "",
  FALSE,
  COUNTIF(Survey[TestPoint], Alerts[[#This Row],[TestPoint]]) = 0
)</f>
        <v>0</v>
      </c>
      <c r="R38" s="384" t="str" cm="1">
        <f t="array" ref="R38">_xlfn.XLOOKUP(1,
  (Survey[TestPoint]=Alerts[[#This Row],[TestPoint]])*Survey[High],
  Survey[Time],
  "")</f>
        <v/>
      </c>
      <c r="S38" s="384" t="str" cm="1">
        <f t="array" ref="S38">_xlfn.XLOOKUP(1,
  (Survey[TestPoint]=Alerts[[#This Row],[TestPoint]])*Survey[Low],
  Survey[Time],
  "")</f>
        <v/>
      </c>
      <c r="T38" s="384"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4" t="str">
        <f>IFERROR(IF(OR(Alerts[[#This Row],[High]],Alerts[[#This Row],[Low]]),VALUE(Alerts[[#This Row],[High]]&amp;Alerts[[#This Row],[Low]]),Alerts[[#This Row],[Out Of Tolerance]]),"")</f>
        <v/>
      </c>
      <c r="Q39" t="b">
        <f>IF(
  Main!O42 = "",
  FALSE,
  COUNTIF(Survey[TestPoint], Alerts[[#This Row],[TestPoint]]) = 0
)</f>
        <v>0</v>
      </c>
      <c r="R39" s="384" t="str" cm="1">
        <f t="array" ref="R39">_xlfn.XLOOKUP(1,
  (Survey[TestPoint]=Alerts[[#This Row],[TestPoint]])*Survey[High],
  Survey[Time],
  "")</f>
        <v/>
      </c>
      <c r="S39" s="384" t="str" cm="1">
        <f t="array" ref="S39">_xlfn.XLOOKUP(1,
  (Survey[TestPoint]=Alerts[[#This Row],[TestPoint]])*Survey[Low],
  Survey[Time],
  "")</f>
        <v/>
      </c>
      <c r="T39" s="384"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4" t="str">
        <f>IFERROR(IF(OR(Alerts[[#This Row],[High]],Alerts[[#This Row],[Low]]),VALUE(Alerts[[#This Row],[High]]&amp;Alerts[[#This Row],[Low]]),Alerts[[#This Row],[Out Of Tolerance]]),"")</f>
        <v/>
      </c>
      <c r="Q40" t="b">
        <f>IF(
  Main!O43 = "",
  FALSE,
  COUNTIF(Survey[TestPoint], Alerts[[#This Row],[TestPoint]]) = 0
)</f>
        <v>0</v>
      </c>
      <c r="R40" s="384" t="str" cm="1">
        <f t="array" ref="R40">_xlfn.XLOOKUP(1,
  (Survey[TestPoint]=Alerts[[#This Row],[TestPoint]])*Survey[High],
  Survey[Time],
  "")</f>
        <v/>
      </c>
      <c r="S40" s="384" t="str" cm="1">
        <f t="array" ref="S40">_xlfn.XLOOKUP(1,
  (Survey[TestPoint]=Alerts[[#This Row],[TestPoint]])*Survey[Low],
  Survey[Time],
  "")</f>
        <v/>
      </c>
      <c r="T40" s="384"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4" t="str">
        <f>IFERROR(IF(OR(Alerts[[#This Row],[High]],Alerts[[#This Row],[Low]]),VALUE(Alerts[[#This Row],[High]]&amp;Alerts[[#This Row],[Low]]),Alerts[[#This Row],[Out Of Tolerance]]),"")</f>
        <v/>
      </c>
      <c r="Q41" t="b">
        <f>IF(
  Main!O44 = "",
  FALSE,
  COUNTIF(Survey[TestPoint], Alerts[[#This Row],[TestPoint]]) = 0
)</f>
        <v>0</v>
      </c>
      <c r="R41" s="384" t="str" cm="1">
        <f t="array" ref="R41">_xlfn.XLOOKUP(1,
  (Survey[TestPoint]=Alerts[[#This Row],[TestPoint]])*Survey[High],
  Survey[Time],
  "")</f>
        <v/>
      </c>
      <c r="S41" s="384" t="str" cm="1">
        <f t="array" ref="S41">_xlfn.XLOOKUP(1,
  (Survey[TestPoint]=Alerts[[#This Row],[TestPoint]])*Survey[Low],
  Survey[Time],
  "")</f>
        <v/>
      </c>
      <c r="T41" s="384" t="str" cm="1">
        <f t="array" ref="T41">_xlfn.XLOOKUP(1,
  (Survey[TestPoint]=Alerts[[#This Row],[TestPoint]])*Survey[OutOfTolerance],
  Survey[Time],
  "")</f>
        <v/>
      </c>
    </row>
  </sheetData>
  <mergeCells count="1">
    <mergeCell ref="J1:K1"/>
  </mergeCells>
  <phoneticPr fontId="22"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H1537"/>
  <sheetViews>
    <sheetView topLeftCell="A243" workbookViewId="0">
      <selection activeCell="Y282" sqref="Y28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7" width="12.42578125" bestFit="1" customWidth="1"/>
    <col min="14" max="14" width="8" bestFit="1" customWidth="1"/>
    <col min="15" max="15" width="16.7109375" style="456" bestFit="1" customWidth="1"/>
    <col min="16" max="16" width="13.7109375" bestFit="1" customWidth="1"/>
    <col min="17" max="17" width="12.140625" bestFit="1" customWidth="1"/>
    <col min="18" max="18" width="10" bestFit="1" customWidth="1"/>
    <col min="19" max="19" width="10.5703125" bestFit="1" customWidth="1"/>
    <col min="20" max="20" width="12.5703125" bestFit="1" customWidth="1"/>
    <col min="21" max="24" width="8.7109375" customWidth="1"/>
    <col min="25" max="25" width="11.28515625" bestFit="1" customWidth="1"/>
    <col min="26" max="26" width="8.7109375" customWidth="1"/>
    <col min="27" max="27" width="6.42578125" style="460" bestFit="1" customWidth="1"/>
    <col min="28" max="28" width="11.28515625" style="194" bestFit="1" customWidth="1"/>
    <col min="29" max="32" width="11.28515625" customWidth="1"/>
    <col min="33" max="33" width="8.7109375" customWidth="1"/>
    <col min="34" max="34" width="13.5703125" style="69" bestFit="1" customWidth="1"/>
    <col min="35" max="53" width="8.7109375" customWidth="1"/>
  </cols>
  <sheetData>
    <row r="1" spans="1:34" ht="13.5" thickBot="1" x14ac:dyDescent="0.25">
      <c r="A1"/>
      <c r="B1"/>
      <c r="C1"/>
      <c r="D1"/>
      <c r="E1"/>
      <c r="F1" s="36" t="s">
        <v>758</v>
      </c>
      <c r="I1" s="455" t="s">
        <v>439</v>
      </c>
      <c r="J1" s="455" t="s">
        <v>374</v>
      </c>
      <c r="K1" s="455" t="s">
        <v>438</v>
      </c>
      <c r="M1" s="455" t="s">
        <v>439</v>
      </c>
      <c r="N1" s="455" t="s">
        <v>722</v>
      </c>
      <c r="O1" s="455" t="s">
        <v>723</v>
      </c>
      <c r="P1" s="455" t="s">
        <v>85</v>
      </c>
      <c r="Q1" s="455" t="s">
        <v>459</v>
      </c>
      <c r="R1" s="455" t="s">
        <v>719</v>
      </c>
      <c r="S1" s="455" t="s">
        <v>720</v>
      </c>
      <c r="T1" s="455" t="s">
        <v>721</v>
      </c>
      <c r="W1" s="36" t="s">
        <v>724</v>
      </c>
      <c r="X1" s="36" t="s">
        <v>729</v>
      </c>
      <c r="Z1" s="461" t="s">
        <v>724</v>
      </c>
      <c r="AA1" s="462" t="s">
        <v>728</v>
      </c>
      <c r="AB1" s="470"/>
      <c r="AC1" s="470"/>
      <c r="AD1" s="470"/>
      <c r="AE1" s="470"/>
      <c r="AF1" s="1"/>
      <c r="AG1" s="463" t="s">
        <v>727</v>
      </c>
      <c r="AH1"/>
    </row>
    <row r="2" spans="1:34" ht="13.5" thickTop="1" x14ac:dyDescent="0.2">
      <c r="A2"/>
      <c r="B2"/>
      <c r="C2"/>
      <c r="D2"/>
      <c r="E2"/>
      <c r="F2" t="str">
        <f>LEFT(AllDaqbookOffsets[[#This Row],[traceability_no]],2)</f>
        <v>J1</v>
      </c>
      <c r="I2" t="e" cm="1" vm="1">
        <f t="array" ref="I2">_xlfn._xlws.FILTER(AllDaqbookOffsets[[point]:[Offset]],AllDaqbookOffsets[AssetTag2]=DaqbookAssetTag)</f>
        <v>#VALUE!</v>
      </c>
      <c r="M2">
        <v>1</v>
      </c>
      <c r="N2" s="458"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6"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440</v>
      </c>
      <c r="X2" t="s">
        <v>164</v>
      </c>
      <c r="Z2" s="460" t="str" cm="1">
        <f t="array" ref="Z2:AA314">_xlfn._xlws.SORT(_xlfn.VSTACK(WireSNs[],_xlfn.UNIQUE(SBPOffsets[[probe_serial_number]:[SBP_Set]])))</f>
        <v>06A</v>
      </c>
      <c r="AA2" s="194" t="str">
        <v>SBP Set 1</v>
      </c>
      <c r="AB2"/>
      <c r="AG2" s="69" t="str" cm="1">
        <f t="array" ref="AG2:AG314">IF(
  Main!$K$47=1,
  IF(COUNTA(WireSetSNs)&gt;0,
   _xlfn.LET(
    _xlpm.data,_xlfn.ANCHORARRAY($Z$2),
    _xlpm.sn,INDEX(_xlpm.data,,1),
    _xlpm.grp, INDEX(_xlpm.data,,2),
    _xlpm.sets,  _xlfn.TOROW(WireSetSNs,1),
    _xlfn.TOCOL(IF(ISNUMBER(_xlfn.XMATCH(_xlpm.grp,_xlpm.sets)), _xlpm.sn, NA()), 3)
   ),
  INDEX(_xlfn.ANCHORARRAY($Z$2),,1)),
  _xlfn.SEQUENCE(40,1,1,1)
)</f>
        <v>06A</v>
      </c>
      <c r="AH2"/>
    </row>
    <row r="3" spans="1:34" x14ac:dyDescent="0.2">
      <c r="A3"/>
      <c r="B3"/>
      <c r="C3"/>
      <c r="D3"/>
      <c r="E3"/>
      <c r="F3" t="str">
        <f>LEFT(AllDaqbookOffsets[[#This Row],[traceability_no]],2)</f>
        <v>J1</v>
      </c>
      <c r="M3">
        <v>2</v>
      </c>
      <c r="N3" s="458"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6"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441</v>
      </c>
      <c r="X3" t="s">
        <v>164</v>
      </c>
      <c r="Z3" s="460" t="str">
        <v>06B</v>
      </c>
      <c r="AA3" s="194" t="str">
        <v>SBP Set 1</v>
      </c>
      <c r="AB3"/>
      <c r="AG3" s="69" t="str">
        <v>06B</v>
      </c>
      <c r="AH3"/>
    </row>
    <row r="4" spans="1:34" x14ac:dyDescent="0.2">
      <c r="A4"/>
      <c r="B4"/>
      <c r="C4"/>
      <c r="D4"/>
      <c r="E4"/>
      <c r="F4" t="str">
        <f>LEFT(AllDaqbookOffsets[[#This Row],[traceability_no]],2)</f>
        <v>J1</v>
      </c>
      <c r="M4">
        <v>3</v>
      </c>
      <c r="N4" s="458"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6"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442</v>
      </c>
      <c r="X4" t="s">
        <v>164</v>
      </c>
      <c r="Z4" s="460" t="str">
        <v>06C</v>
      </c>
      <c r="AA4" s="194" t="str">
        <v>SBP Set 1</v>
      </c>
      <c r="AB4"/>
      <c r="AG4" s="69" t="str">
        <v>06C</v>
      </c>
      <c r="AH4"/>
    </row>
    <row r="5" spans="1:34" x14ac:dyDescent="0.2">
      <c r="A5"/>
      <c r="B5"/>
      <c r="C5"/>
      <c r="D5"/>
      <c r="E5"/>
      <c r="F5" t="str">
        <f>LEFT(AllDaqbookOffsets[[#This Row],[traceability_no]],2)</f>
        <v>J1</v>
      </c>
      <c r="M5">
        <v>4</v>
      </c>
      <c r="N5" s="458"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6"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443</v>
      </c>
      <c r="X5" t="s">
        <v>164</v>
      </c>
      <c r="Z5" s="460" t="str">
        <v>06D</v>
      </c>
      <c r="AA5" s="194" t="str">
        <v>SBP Set 1</v>
      </c>
      <c r="AB5"/>
      <c r="AG5" s="69" t="str">
        <v>06D</v>
      </c>
      <c r="AH5"/>
    </row>
    <row r="6" spans="1:34" x14ac:dyDescent="0.2">
      <c r="A6"/>
      <c r="B6"/>
      <c r="C6"/>
      <c r="D6"/>
      <c r="E6"/>
      <c r="F6" t="str">
        <f>LEFT(AllDaqbookOffsets[[#This Row],[traceability_no]],2)</f>
        <v>J1</v>
      </c>
      <c r="M6">
        <v>5</v>
      </c>
      <c r="N6" s="458"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6"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444</v>
      </c>
      <c r="X6" t="s">
        <v>164</v>
      </c>
      <c r="Z6" s="460" t="str">
        <v>06E</v>
      </c>
      <c r="AA6" s="194" t="str">
        <v>SBP Set 1</v>
      </c>
      <c r="AB6"/>
      <c r="AG6" s="69" t="str">
        <v>06E</v>
      </c>
      <c r="AH6"/>
    </row>
    <row r="7" spans="1:34" x14ac:dyDescent="0.2">
      <c r="A7"/>
      <c r="B7"/>
      <c r="C7"/>
      <c r="D7"/>
      <c r="E7"/>
      <c r="F7" t="str">
        <f>LEFT(AllDaqbookOffsets[[#This Row],[traceability_no]],2)</f>
        <v>J1</v>
      </c>
      <c r="M7">
        <v>6</v>
      </c>
      <c r="N7" s="458"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6"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445</v>
      </c>
      <c r="X7" t="s">
        <v>164</v>
      </c>
      <c r="Z7" s="460" t="str">
        <v>06F</v>
      </c>
      <c r="AA7" s="194" t="str">
        <v>SBP Set 1</v>
      </c>
      <c r="AB7"/>
      <c r="AG7" s="69" t="str">
        <v>06F</v>
      </c>
      <c r="AH7"/>
    </row>
    <row r="8" spans="1:34" x14ac:dyDescent="0.2">
      <c r="A8"/>
      <c r="B8"/>
      <c r="C8"/>
      <c r="D8"/>
      <c r="E8"/>
      <c r="F8" t="str">
        <f>LEFT(AllDaqbookOffsets[[#This Row],[traceability_no]],2)</f>
        <v>J1</v>
      </c>
      <c r="M8">
        <v>7</v>
      </c>
      <c r="N8" s="458"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6" t="e" cm="1">
        <f t="array" ref="O8">IF(DaqbookInterp[[#This Row],[Include]],QRound(N8),NA())</f>
        <v>#N/A</v>
      </c>
      <c r="P8" t="e">
        <f>IF(DaqbookInterp[[#This Row],[Include]],Main!O11, NA())</f>
        <v>#N/A</v>
      </c>
      <c r="Q8" s="458"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446</v>
      </c>
      <c r="X8" t="s">
        <v>164</v>
      </c>
      <c r="Z8" s="460" t="str">
        <v>10A</v>
      </c>
      <c r="AA8" s="194" t="str">
        <v>SBP Set 1</v>
      </c>
      <c r="AB8"/>
      <c r="AG8" s="69" t="str">
        <v>10A</v>
      </c>
      <c r="AH8"/>
    </row>
    <row r="9" spans="1:34" x14ac:dyDescent="0.2">
      <c r="A9"/>
      <c r="B9"/>
      <c r="C9"/>
      <c r="D9"/>
      <c r="E9"/>
      <c r="F9" t="str">
        <f>LEFT(AllDaqbookOffsets[[#This Row],[traceability_no]],2)</f>
        <v>J1</v>
      </c>
      <c r="M9">
        <v>8</v>
      </c>
      <c r="N9" s="458"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6" t="e" cm="1">
        <f t="array" ref="O9">IF(DaqbookInterp[[#This Row],[Include]],QRound(N9),NA())</f>
        <v>#N/A</v>
      </c>
      <c r="P9" s="458"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447</v>
      </c>
      <c r="X9" t="s">
        <v>164</v>
      </c>
      <c r="Z9" s="460" t="str">
        <v>10B</v>
      </c>
      <c r="AA9" s="194" t="str">
        <v>SBP Set 1</v>
      </c>
      <c r="AB9"/>
      <c r="AG9" s="69" t="str">
        <v>10B</v>
      </c>
      <c r="AH9"/>
    </row>
    <row r="10" spans="1:34" x14ac:dyDescent="0.2">
      <c r="A10"/>
      <c r="B10"/>
      <c r="C10"/>
      <c r="D10"/>
      <c r="E10"/>
      <c r="F10" t="str">
        <f>LEFT(AllDaqbookOffsets[[#This Row],[traceability_no]],2)</f>
        <v>J1</v>
      </c>
      <c r="M10">
        <v>9</v>
      </c>
      <c r="N10" s="458"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6"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448</v>
      </c>
      <c r="X10" t="s">
        <v>164</v>
      </c>
      <c r="Z10" s="460" t="str">
        <v>10C</v>
      </c>
      <c r="AA10" s="194" t="str">
        <v>SBP Set 1</v>
      </c>
      <c r="AB10"/>
      <c r="AG10" s="69" t="str">
        <v>10C</v>
      </c>
      <c r="AH10"/>
    </row>
    <row r="11" spans="1:34" x14ac:dyDescent="0.2">
      <c r="A11"/>
      <c r="B11"/>
      <c r="C11"/>
      <c r="D11"/>
      <c r="E11"/>
      <c r="F11" t="str">
        <f>LEFT(AllDaqbookOffsets[[#This Row],[traceability_no]],2)</f>
        <v>J1</v>
      </c>
      <c r="M11">
        <v>10</v>
      </c>
      <c r="N11" s="458"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6" t="e" cm="1">
        <f t="array" ref="O11">IF(DaqbookInterp[[#This Row],[Include]],QRound(N11),NA())</f>
        <v>#N/A</v>
      </c>
      <c r="P11" t="e">
        <f>IF(DaqbookInterp[[#This Row],[Include]],Main!O14, NA())</f>
        <v>#N/A</v>
      </c>
      <c r="Q11" s="458"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449</v>
      </c>
      <c r="X11" t="s">
        <v>164</v>
      </c>
      <c r="Z11" s="460" t="str">
        <v>10D</v>
      </c>
      <c r="AA11" s="194" t="str">
        <v>SBP Set 1</v>
      </c>
      <c r="AB11"/>
      <c r="AG11" s="69" t="str">
        <v>10D</v>
      </c>
      <c r="AH11"/>
    </row>
    <row r="12" spans="1:34" x14ac:dyDescent="0.2">
      <c r="A12"/>
      <c r="B12"/>
      <c r="C12"/>
      <c r="D12"/>
      <c r="E12"/>
      <c r="F12" t="str">
        <f>LEFT(AllDaqbookOffsets[[#This Row],[traceability_no]],2)</f>
        <v>J1</v>
      </c>
      <c r="M12">
        <v>11</v>
      </c>
      <c r="N12" s="458"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6"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452</v>
      </c>
      <c r="X12" t="s">
        <v>165</v>
      </c>
      <c r="Z12" s="460" t="str">
        <v>10E</v>
      </c>
      <c r="AA12" s="194" t="str">
        <v>SBP Set 1</v>
      </c>
      <c r="AB12"/>
      <c r="AG12" s="69" t="str">
        <v>10E</v>
      </c>
      <c r="AH12"/>
    </row>
    <row r="13" spans="1:34" x14ac:dyDescent="0.2">
      <c r="A13"/>
      <c r="B13"/>
      <c r="C13"/>
      <c r="D13"/>
      <c r="E13"/>
      <c r="F13" t="str">
        <f>LEFT(AllDaqbookOffsets[[#This Row],[traceability_no]],2)</f>
        <v>J1</v>
      </c>
      <c r="M13">
        <v>12</v>
      </c>
      <c r="N13" s="458"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6"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453</v>
      </c>
      <c r="X13" t="s">
        <v>165</v>
      </c>
      <c r="Z13" s="460" t="str">
        <v>210A</v>
      </c>
      <c r="AA13" s="194" t="str">
        <v>SBP Set 2</v>
      </c>
      <c r="AB13"/>
      <c r="AG13" s="69" t="str">
        <v>210A</v>
      </c>
      <c r="AH13"/>
    </row>
    <row r="14" spans="1:34" x14ac:dyDescent="0.2">
      <c r="A14"/>
      <c r="B14"/>
      <c r="C14"/>
      <c r="D14"/>
      <c r="E14"/>
      <c r="F14" t="str">
        <f>LEFT(AllDaqbookOffsets[[#This Row],[traceability_no]],2)</f>
        <v>J1</v>
      </c>
      <c r="M14">
        <v>13</v>
      </c>
      <c r="N14" s="458"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6"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454</v>
      </c>
      <c r="X14" t="s">
        <v>165</v>
      </c>
      <c r="Z14" s="460" t="str">
        <v>210B</v>
      </c>
      <c r="AA14" s="194" t="str">
        <v>SBP Set 2</v>
      </c>
      <c r="AB14"/>
      <c r="AG14" s="69" t="str">
        <v>210B</v>
      </c>
      <c r="AH14"/>
    </row>
    <row r="15" spans="1:34" x14ac:dyDescent="0.2">
      <c r="A15"/>
      <c r="B15"/>
      <c r="C15"/>
      <c r="D15"/>
      <c r="E15"/>
      <c r="F15" t="str">
        <f>LEFT(AllDaqbookOffsets[[#This Row],[traceability_no]],2)</f>
        <v>J1</v>
      </c>
      <c r="M15">
        <v>14</v>
      </c>
      <c r="N15" s="458"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6"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455</v>
      </c>
      <c r="X15" t="s">
        <v>165</v>
      </c>
      <c r="Z15" s="460" t="str">
        <v>210C</v>
      </c>
      <c r="AA15" s="194" t="str">
        <v>SBP Set 2</v>
      </c>
      <c r="AB15"/>
      <c r="AG15" s="69" t="str">
        <v>210C</v>
      </c>
      <c r="AH15"/>
    </row>
    <row r="16" spans="1:34" x14ac:dyDescent="0.2">
      <c r="A16"/>
      <c r="B16"/>
      <c r="C16"/>
      <c r="D16"/>
      <c r="E16"/>
      <c r="F16" t="str">
        <f>LEFT(AllDaqbookOffsets[[#This Row],[traceability_no]],2)</f>
        <v>J1</v>
      </c>
      <c r="M16">
        <v>15</v>
      </c>
      <c r="N16" s="458"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6"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456</v>
      </c>
      <c r="X16" t="s">
        <v>165</v>
      </c>
      <c r="Z16" s="460" t="str">
        <v>210D</v>
      </c>
      <c r="AA16" s="194" t="str">
        <v>SBP Set 2</v>
      </c>
      <c r="AB16"/>
      <c r="AG16" s="69" t="str">
        <v>210D</v>
      </c>
      <c r="AH16"/>
    </row>
    <row r="17" spans="1:34" x14ac:dyDescent="0.2">
      <c r="A17"/>
      <c r="B17"/>
      <c r="C17"/>
      <c r="D17"/>
      <c r="E17"/>
      <c r="F17" t="str">
        <f>LEFT(AllDaqbookOffsets[[#This Row],[traceability_no]],2)</f>
        <v>J1</v>
      </c>
      <c r="M17">
        <v>16</v>
      </c>
      <c r="N17" s="458"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6"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457</v>
      </c>
      <c r="X17" t="s">
        <v>165</v>
      </c>
      <c r="Z17" s="460" t="str">
        <v>210E</v>
      </c>
      <c r="AA17" s="194" t="str">
        <v>SBP Set 2</v>
      </c>
      <c r="AB17"/>
      <c r="AG17" s="69" t="str">
        <v>210E</v>
      </c>
      <c r="AH17"/>
    </row>
    <row r="18" spans="1:34" x14ac:dyDescent="0.2">
      <c r="A18"/>
      <c r="B18"/>
      <c r="C18"/>
      <c r="D18"/>
      <c r="E18"/>
      <c r="F18" t="str">
        <f>LEFT(AllDaqbookOffsets[[#This Row],[traceability_no]],2)</f>
        <v>J1</v>
      </c>
      <c r="M18">
        <v>17</v>
      </c>
      <c r="N18" s="458"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6"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458</v>
      </c>
      <c r="X18" t="s">
        <v>165</v>
      </c>
      <c r="Z18" s="460" t="str">
        <v>26A</v>
      </c>
      <c r="AA18" s="194" t="str">
        <v>SBP Set 2</v>
      </c>
      <c r="AB18"/>
      <c r="AG18" s="69" t="str">
        <v>26A</v>
      </c>
      <c r="AH18"/>
    </row>
    <row r="19" spans="1:34" x14ac:dyDescent="0.2">
      <c r="A19"/>
      <c r="B19"/>
      <c r="C19"/>
      <c r="D19"/>
      <c r="E19"/>
      <c r="F19" t="str">
        <f>LEFT(AllDaqbookOffsets[[#This Row],[traceability_no]],2)</f>
        <v>J1</v>
      </c>
      <c r="M19">
        <v>18</v>
      </c>
      <c r="N19" s="458"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6"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472</v>
      </c>
      <c r="X19" t="s">
        <v>165</v>
      </c>
      <c r="Z19" s="460" t="str">
        <v>26B</v>
      </c>
      <c r="AA19" s="194" t="str">
        <v>SBP Set 2</v>
      </c>
      <c r="AB19"/>
      <c r="AG19" s="69" t="str">
        <v>26B</v>
      </c>
      <c r="AH19"/>
    </row>
    <row r="20" spans="1:34" x14ac:dyDescent="0.2">
      <c r="A20"/>
      <c r="B20"/>
      <c r="C20"/>
      <c r="D20"/>
      <c r="E20"/>
      <c r="F20" t="str">
        <f>LEFT(AllDaqbookOffsets[[#This Row],[traceability_no]],2)</f>
        <v>J1</v>
      </c>
      <c r="M20">
        <v>19</v>
      </c>
      <c r="N20" s="458"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6"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473</v>
      </c>
      <c r="X20" t="s">
        <v>165</v>
      </c>
      <c r="Z20" s="460" t="str">
        <v>26C</v>
      </c>
      <c r="AA20" s="194" t="str">
        <v>SBP Set 2</v>
      </c>
      <c r="AB20"/>
      <c r="AG20" s="69" t="str">
        <v>26C</v>
      </c>
      <c r="AH20"/>
    </row>
    <row r="21" spans="1:34" x14ac:dyDescent="0.2">
      <c r="A21"/>
      <c r="B21"/>
      <c r="C21"/>
      <c r="D21"/>
      <c r="E21"/>
      <c r="F21" t="str">
        <f>LEFT(AllDaqbookOffsets[[#This Row],[traceability_no]],2)</f>
        <v>J1</v>
      </c>
      <c r="M21">
        <v>20</v>
      </c>
      <c r="N21" s="458"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6" t="e" cm="1">
        <f t="array" ref="O21">IF(DaqbookInterp[[#This Row],[Include]],QRound(N21),NA())</f>
        <v>#N/A</v>
      </c>
      <c r="P21" s="458"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450</v>
      </c>
      <c r="X21" t="s">
        <v>164</v>
      </c>
      <c r="Z21" s="460" t="str">
        <v>26D</v>
      </c>
      <c r="AA21" s="194" t="str">
        <v>SBP Set 2</v>
      </c>
      <c r="AB21"/>
      <c r="AG21" s="69" t="str">
        <v>26D</v>
      </c>
      <c r="AH21"/>
    </row>
    <row r="22" spans="1:34" x14ac:dyDescent="0.2">
      <c r="A22"/>
      <c r="B22"/>
      <c r="C22"/>
      <c r="D22"/>
      <c r="E22"/>
      <c r="F22" t="str">
        <f>LEFT(AllDaqbookOffsets[[#This Row],[traceability_no]],2)</f>
        <v>J1</v>
      </c>
      <c r="M22">
        <v>21</v>
      </c>
      <c r="N22" s="458"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6"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474</v>
      </c>
      <c r="X22" t="s">
        <v>165</v>
      </c>
      <c r="Z22" s="460" t="str">
        <v>26E</v>
      </c>
      <c r="AA22" s="194" t="str">
        <v>SBP Set 2</v>
      </c>
      <c r="AB22"/>
      <c r="AG22" s="69" t="str">
        <v>26E</v>
      </c>
      <c r="AH22"/>
    </row>
    <row r="23" spans="1:34" x14ac:dyDescent="0.2">
      <c r="A23"/>
      <c r="B23"/>
      <c r="C23"/>
      <c r="D23"/>
      <c r="E23"/>
      <c r="F23" t="str">
        <f>LEFT(AllDaqbookOffsets[[#This Row],[traceability_no]],2)</f>
        <v>J1</v>
      </c>
      <c r="M23">
        <v>22</v>
      </c>
      <c r="N23" s="458"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6"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475</v>
      </c>
      <c r="X23" t="s">
        <v>166</v>
      </c>
      <c r="Z23" s="460" t="str">
        <v>ENV101</v>
      </c>
      <c r="AA23" s="194" t="str">
        <v>ENV101</v>
      </c>
      <c r="AB23"/>
      <c r="AG23" s="69" t="str">
        <v>ENV101</v>
      </c>
      <c r="AH23"/>
    </row>
    <row r="24" spans="1:34" x14ac:dyDescent="0.2">
      <c r="A24"/>
      <c r="B24"/>
      <c r="C24"/>
      <c r="D24"/>
      <c r="E24"/>
      <c r="F24" t="str">
        <f>LEFT(AllDaqbookOffsets[[#This Row],[traceability_no]],2)</f>
        <v>J1</v>
      </c>
      <c r="M24">
        <v>23</v>
      </c>
      <c r="N24" s="458"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6"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476</v>
      </c>
      <c r="X24" t="s">
        <v>166</v>
      </c>
      <c r="Z24" s="460" t="str">
        <v>ENV102</v>
      </c>
      <c r="AA24" s="194" t="str">
        <v>ENV101</v>
      </c>
      <c r="AB24"/>
      <c r="AG24" s="69" t="str">
        <v>ENV102</v>
      </c>
      <c r="AH24"/>
    </row>
    <row r="25" spans="1:34" x14ac:dyDescent="0.2">
      <c r="A25"/>
      <c r="B25"/>
      <c r="C25"/>
      <c r="D25"/>
      <c r="E25"/>
      <c r="F25" t="str">
        <f>LEFT(AllDaqbookOffsets[[#This Row],[traceability_no]],2)</f>
        <v>J1</v>
      </c>
      <c r="M25">
        <v>24</v>
      </c>
      <c r="N25" s="458"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6"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477</v>
      </c>
      <c r="X25" t="s">
        <v>166</v>
      </c>
      <c r="Z25" s="460" t="str">
        <v>ENV103</v>
      </c>
      <c r="AA25" s="194" t="str">
        <v>ENV101</v>
      </c>
      <c r="AB25"/>
      <c r="AG25" s="69" t="str">
        <v>ENV103</v>
      </c>
      <c r="AH25"/>
    </row>
    <row r="26" spans="1:34" x14ac:dyDescent="0.2">
      <c r="A26"/>
      <c r="B26"/>
      <c r="C26"/>
      <c r="D26"/>
      <c r="E26"/>
      <c r="F26" t="str">
        <f>LEFT(AllDaqbookOffsets[[#This Row],[traceability_no]],2)</f>
        <v>J1</v>
      </c>
      <c r="M26">
        <v>25</v>
      </c>
      <c r="N26" s="458"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6"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478</v>
      </c>
      <c r="X26" t="s">
        <v>166</v>
      </c>
      <c r="Z26" s="460" t="str">
        <v>ENV104</v>
      </c>
      <c r="AA26" s="194" t="str">
        <v>ENV101</v>
      </c>
      <c r="AB26"/>
      <c r="AG26" s="69" t="str">
        <v>ENV104</v>
      </c>
      <c r="AH26"/>
    </row>
    <row r="27" spans="1:34" x14ac:dyDescent="0.2">
      <c r="A27"/>
      <c r="B27"/>
      <c r="C27"/>
      <c r="D27"/>
      <c r="E27"/>
      <c r="F27" t="str">
        <f>LEFT(AllDaqbookOffsets[[#This Row],[traceability_no]],2)</f>
        <v>J1</v>
      </c>
      <c r="M27">
        <v>26</v>
      </c>
      <c r="N27" s="458"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6" t="e" cm="1">
        <f t="array" ref="O27">IF(DaqbookInterp[[#This Row],[Include]],QRound(N27),NA())</f>
        <v>#N/A</v>
      </c>
      <c r="P27" s="458"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479</v>
      </c>
      <c r="X27" t="s">
        <v>166</v>
      </c>
      <c r="Z27" s="460" t="str">
        <v>ENV105</v>
      </c>
      <c r="AA27" s="194" t="str">
        <v>ENV101</v>
      </c>
      <c r="AB27"/>
      <c r="AG27" s="69" t="str">
        <v>ENV105</v>
      </c>
      <c r="AH27"/>
    </row>
    <row r="28" spans="1:34" x14ac:dyDescent="0.2">
      <c r="A28"/>
      <c r="B28"/>
      <c r="C28"/>
      <c r="D28"/>
      <c r="E28"/>
      <c r="F28" t="str">
        <f>LEFT(AllDaqbookOffsets[[#This Row],[traceability_no]],2)</f>
        <v>J1</v>
      </c>
      <c r="M28">
        <v>27</v>
      </c>
      <c r="N28" s="458"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6"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480</v>
      </c>
      <c r="X28" t="s">
        <v>166</v>
      </c>
      <c r="Z28" s="460" t="str">
        <v>ENV106</v>
      </c>
      <c r="AA28" s="194" t="str">
        <v>ENV101</v>
      </c>
      <c r="AB28"/>
      <c r="AG28" s="69" t="str">
        <v>ENV106</v>
      </c>
      <c r="AH28"/>
    </row>
    <row r="29" spans="1:34" x14ac:dyDescent="0.2">
      <c r="A29"/>
      <c r="B29"/>
      <c r="C29"/>
      <c r="D29"/>
      <c r="E29"/>
      <c r="F29" t="str">
        <f>LEFT(AllDaqbookOffsets[[#This Row],[traceability_no]],2)</f>
        <v>J1</v>
      </c>
      <c r="M29">
        <v>28</v>
      </c>
      <c r="N29" s="458"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6"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481</v>
      </c>
      <c r="X29" t="s">
        <v>166</v>
      </c>
      <c r="Z29" s="460" t="str">
        <v>ENV107</v>
      </c>
      <c r="AA29" s="194" t="str">
        <v>ENV101</v>
      </c>
      <c r="AB29"/>
      <c r="AG29" s="69" t="str">
        <v>ENV107</v>
      </c>
      <c r="AH29"/>
    </row>
    <row r="30" spans="1:34" x14ac:dyDescent="0.2">
      <c r="A30"/>
      <c r="B30"/>
      <c r="C30"/>
      <c r="D30"/>
      <c r="E30"/>
      <c r="F30" t="str">
        <f>LEFT(AllDaqbookOffsets[[#This Row],[traceability_no]],2)</f>
        <v>J1</v>
      </c>
      <c r="M30">
        <v>29</v>
      </c>
      <c r="N30" s="458"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6"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482</v>
      </c>
      <c r="X30" t="s">
        <v>166</v>
      </c>
      <c r="Z30" s="460" t="str">
        <v>ENV108</v>
      </c>
      <c r="AA30" s="194" t="str">
        <v>ENV101</v>
      </c>
      <c r="AB30"/>
      <c r="AG30" s="69" t="str">
        <v>ENV108</v>
      </c>
      <c r="AH30"/>
    </row>
    <row r="31" spans="1:34" x14ac:dyDescent="0.2">
      <c r="A31"/>
      <c r="B31"/>
      <c r="C31"/>
      <c r="D31"/>
      <c r="E31"/>
      <c r="F31" t="str">
        <f>LEFT(AllDaqbookOffsets[[#This Row],[traceability_no]],2)</f>
        <v>J1</v>
      </c>
      <c r="M31">
        <v>30</v>
      </c>
      <c r="N31" s="458"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6"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483</v>
      </c>
      <c r="X31" t="s">
        <v>166</v>
      </c>
      <c r="Z31" s="460" t="str">
        <v>ENV109</v>
      </c>
      <c r="AA31" s="194" t="str">
        <v>ENV101</v>
      </c>
      <c r="AB31"/>
      <c r="AG31" s="69" t="str">
        <v>ENV109</v>
      </c>
      <c r="AH31"/>
    </row>
    <row r="32" spans="1:34" x14ac:dyDescent="0.2">
      <c r="A32"/>
      <c r="B32"/>
      <c r="C32"/>
      <c r="D32"/>
      <c r="E32"/>
      <c r="F32" t="str">
        <f>LEFT(AllDaqbookOffsets[[#This Row],[traceability_no]],2)</f>
        <v>J1</v>
      </c>
      <c r="M32">
        <v>31</v>
      </c>
      <c r="N32" s="458"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6" t="e" cm="1">
        <f t="array" ref="O32">IF(DaqbookInterp[[#This Row],[Include]],QRound(N32),NA())</f>
        <v>#N/A</v>
      </c>
      <c r="P32" s="458"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451</v>
      </c>
      <c r="X32" t="s">
        <v>164</v>
      </c>
      <c r="Z32" s="460" t="str">
        <v>ENV110</v>
      </c>
      <c r="AA32" s="194" t="str">
        <v>ENV101</v>
      </c>
      <c r="AB32"/>
      <c r="AG32" s="69" t="str">
        <v>ENV110</v>
      </c>
      <c r="AH32"/>
    </row>
    <row r="33" spans="1:34" x14ac:dyDescent="0.2">
      <c r="A33"/>
      <c r="B33"/>
      <c r="C33"/>
      <c r="D33"/>
      <c r="E33"/>
      <c r="F33" t="str">
        <f>LEFT(AllDaqbookOffsets[[#This Row],[traceability_no]],2)</f>
        <v>J1</v>
      </c>
      <c r="M33">
        <v>32</v>
      </c>
      <c r="N33" s="458"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6"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484</v>
      </c>
      <c r="X33" t="s">
        <v>166</v>
      </c>
      <c r="Z33" s="460" t="str">
        <v>ENV111</v>
      </c>
      <c r="AA33" s="194" t="str">
        <v>ENV101</v>
      </c>
      <c r="AB33"/>
      <c r="AG33" s="69" t="str">
        <v>ENV111</v>
      </c>
      <c r="AH33"/>
    </row>
    <row r="34" spans="1:34" x14ac:dyDescent="0.2">
      <c r="A34"/>
      <c r="B34"/>
      <c r="C34"/>
      <c r="D34"/>
      <c r="E34"/>
      <c r="F34" t="str">
        <f>LEFT(AllDaqbookOffsets[[#This Row],[traceability_no]],2)</f>
        <v>J1</v>
      </c>
      <c r="M34">
        <v>33</v>
      </c>
      <c r="N34" s="458"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6"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460</v>
      </c>
      <c r="X34" t="s">
        <v>164</v>
      </c>
      <c r="Z34" s="460" t="str">
        <v>ENV112</v>
      </c>
      <c r="AA34" s="194" t="str">
        <v>ENV101</v>
      </c>
      <c r="AB34"/>
      <c r="AG34" s="69" t="str">
        <v>ENV112</v>
      </c>
      <c r="AH34"/>
    </row>
    <row r="35" spans="1:34" x14ac:dyDescent="0.2">
      <c r="A35"/>
      <c r="B35"/>
      <c r="C35"/>
      <c r="D35"/>
      <c r="E35"/>
      <c r="F35" t="str">
        <f>LEFT(AllDaqbookOffsets[[#This Row],[traceability_no]],2)</f>
        <v>J1</v>
      </c>
      <c r="M35">
        <v>34</v>
      </c>
      <c r="N35" s="458"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6"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461</v>
      </c>
      <c r="X35" t="s">
        <v>164</v>
      </c>
      <c r="Z35" s="460" t="str">
        <v>ENV113</v>
      </c>
      <c r="AA35" s="194" t="str">
        <v>ENV101</v>
      </c>
      <c r="AB35"/>
      <c r="AG35" s="69" t="str">
        <v>ENV113</v>
      </c>
      <c r="AH35"/>
    </row>
    <row r="36" spans="1:34" x14ac:dyDescent="0.2">
      <c r="A36"/>
      <c r="B36"/>
      <c r="C36"/>
      <c r="D36"/>
      <c r="E36"/>
      <c r="F36" t="str">
        <f>LEFT(AllDaqbookOffsets[[#This Row],[traceability_no]],2)</f>
        <v>J1</v>
      </c>
      <c r="M36">
        <v>35</v>
      </c>
      <c r="N36" s="458"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6"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462</v>
      </c>
      <c r="X36" t="s">
        <v>164</v>
      </c>
      <c r="Z36" s="460" t="str">
        <v>ENV114</v>
      </c>
      <c r="AA36" s="194" t="str">
        <v>ENV101</v>
      </c>
      <c r="AB36"/>
      <c r="AG36" s="69" t="str">
        <v>ENV114</v>
      </c>
      <c r="AH36"/>
    </row>
    <row r="37" spans="1:34" x14ac:dyDescent="0.2">
      <c r="A37"/>
      <c r="B37"/>
      <c r="C37"/>
      <c r="D37"/>
      <c r="E37"/>
      <c r="F37" t="str">
        <f>LEFT(AllDaqbookOffsets[[#This Row],[traceability_no]],2)</f>
        <v>J1</v>
      </c>
      <c r="M37">
        <v>36</v>
      </c>
      <c r="N37" s="458"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6"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463</v>
      </c>
      <c r="X37" t="s">
        <v>164</v>
      </c>
      <c r="Z37" s="460" t="str">
        <v>J01</v>
      </c>
      <c r="AA37" s="194" t="str">
        <v>J01-J24</v>
      </c>
      <c r="AB37"/>
      <c r="AG37" s="69" t="str">
        <v>J01</v>
      </c>
      <c r="AH37"/>
    </row>
    <row r="38" spans="1:34" x14ac:dyDescent="0.2">
      <c r="A38"/>
      <c r="B38"/>
      <c r="C38"/>
      <c r="D38"/>
      <c r="E38"/>
      <c r="F38" t="str">
        <f>LEFT(AllDaqbookOffsets[[#This Row],[traceability_no]],2)</f>
        <v>J1</v>
      </c>
      <c r="M38">
        <v>37</v>
      </c>
      <c r="N38" s="458"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6"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464</v>
      </c>
      <c r="X38" t="s">
        <v>164</v>
      </c>
      <c r="Z38" s="460" t="str">
        <v>J02</v>
      </c>
      <c r="AA38" s="194" t="str">
        <v>J01-J24</v>
      </c>
      <c r="AB38"/>
      <c r="AG38" s="69" t="str">
        <v>J02</v>
      </c>
      <c r="AH38"/>
    </row>
    <row r="39" spans="1:34" x14ac:dyDescent="0.2">
      <c r="A39"/>
      <c r="B39"/>
      <c r="C39"/>
      <c r="D39"/>
      <c r="E39"/>
      <c r="F39" t="str">
        <f>LEFT(AllDaqbookOffsets[[#This Row],[traceability_no]],2)</f>
        <v>J1</v>
      </c>
      <c r="M39">
        <v>38</v>
      </c>
      <c r="N39" s="458"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6"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465</v>
      </c>
      <c r="X39" t="s">
        <v>164</v>
      </c>
      <c r="Z39" s="460" t="str">
        <v>J03</v>
      </c>
      <c r="AA39" s="194" t="str">
        <v>J01-J24</v>
      </c>
      <c r="AB39"/>
      <c r="AG39" s="69" t="str">
        <v>J03</v>
      </c>
      <c r="AH39"/>
    </row>
    <row r="40" spans="1:34" x14ac:dyDescent="0.2">
      <c r="A40"/>
      <c r="B40"/>
      <c r="C40"/>
      <c r="D40"/>
      <c r="E40"/>
      <c r="F40" t="str">
        <f>LEFT(AllDaqbookOffsets[[#This Row],[traceability_no]],2)</f>
        <v>J1</v>
      </c>
      <c r="M40">
        <v>39</v>
      </c>
      <c r="N40" s="458"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6"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466</v>
      </c>
      <c r="X40" t="s">
        <v>164</v>
      </c>
      <c r="Z40" s="460" t="str">
        <v>J04</v>
      </c>
      <c r="AA40" s="194" t="str">
        <v>J01-J24</v>
      </c>
      <c r="AB40"/>
      <c r="AG40" s="69" t="str">
        <v>J04</v>
      </c>
      <c r="AH40"/>
    </row>
    <row r="41" spans="1:34" x14ac:dyDescent="0.2">
      <c r="A41"/>
      <c r="B41"/>
      <c r="C41"/>
      <c r="D41"/>
      <c r="E41"/>
      <c r="F41" t="str">
        <f>LEFT(AllDaqbookOffsets[[#This Row],[traceability_no]],2)</f>
        <v>J1</v>
      </c>
      <c r="M41">
        <v>40</v>
      </c>
      <c r="N41" s="458"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6"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467</v>
      </c>
      <c r="X41" t="s">
        <v>164</v>
      </c>
      <c r="Z41" s="460" t="str">
        <v>J05</v>
      </c>
      <c r="AA41" s="194" t="str">
        <v>J01-J24</v>
      </c>
      <c r="AB41"/>
      <c r="AG41" s="69" t="str">
        <v>J05</v>
      </c>
      <c r="AH41"/>
    </row>
    <row r="42" spans="1:34" x14ac:dyDescent="0.2">
      <c r="A42"/>
      <c r="B42"/>
      <c r="C42"/>
      <c r="D42"/>
      <c r="E42"/>
      <c r="F42" t="str">
        <f>LEFT(AllDaqbookOffsets[[#This Row],[traceability_no]],2)</f>
        <v>J1</v>
      </c>
      <c r="N42" s="456"/>
      <c r="O42"/>
      <c r="W42" t="s">
        <v>485</v>
      </c>
      <c r="X42" t="s">
        <v>167</v>
      </c>
      <c r="Z42" s="460" t="str">
        <v>J06</v>
      </c>
      <c r="AA42" s="194" t="str">
        <v>J01-J24</v>
      </c>
      <c r="AB42"/>
      <c r="AG42" s="69" t="str">
        <v>J06</v>
      </c>
      <c r="AH42"/>
    </row>
    <row r="43" spans="1:34" x14ac:dyDescent="0.2">
      <c r="A43"/>
      <c r="B43"/>
      <c r="C43"/>
      <c r="D43"/>
      <c r="E43"/>
      <c r="F43" t="str">
        <f>LEFT(AllDaqbookOffsets[[#This Row],[traceability_no]],2)</f>
        <v>J1</v>
      </c>
      <c r="N43" s="456"/>
      <c r="O43"/>
      <c r="W43" t="s">
        <v>486</v>
      </c>
      <c r="X43" t="s">
        <v>167</v>
      </c>
      <c r="Z43" s="460" t="str">
        <v>J07</v>
      </c>
      <c r="AA43" s="194" t="str">
        <v>J01-J24</v>
      </c>
      <c r="AB43"/>
      <c r="AG43" s="69" t="str">
        <v>J07</v>
      </c>
      <c r="AH43"/>
    </row>
    <row r="44" spans="1:34" x14ac:dyDescent="0.2">
      <c r="A44"/>
      <c r="B44"/>
      <c r="C44"/>
      <c r="D44"/>
      <c r="E44"/>
      <c r="F44" t="str">
        <f>LEFT(AllDaqbookOffsets[[#This Row],[traceability_no]],2)</f>
        <v>J1</v>
      </c>
      <c r="N44" s="456"/>
      <c r="O44"/>
      <c r="W44" t="s">
        <v>487</v>
      </c>
      <c r="X44" t="s">
        <v>167</v>
      </c>
      <c r="Z44" s="460" t="str">
        <v>J08</v>
      </c>
      <c r="AA44" s="194" t="str">
        <v>J01-J24</v>
      </c>
      <c r="AB44"/>
      <c r="AG44" s="69" t="str">
        <v>J08</v>
      </c>
      <c r="AH44"/>
    </row>
    <row r="45" spans="1:34" x14ac:dyDescent="0.2">
      <c r="A45"/>
      <c r="B45"/>
      <c r="C45"/>
      <c r="D45"/>
      <c r="E45"/>
      <c r="F45" t="str">
        <f>LEFT(AllDaqbookOffsets[[#This Row],[traceability_no]],2)</f>
        <v>J1</v>
      </c>
      <c r="N45" s="456"/>
      <c r="O45"/>
      <c r="W45" t="s">
        <v>488</v>
      </c>
      <c r="X45" t="s">
        <v>167</v>
      </c>
      <c r="Z45" s="460" t="str">
        <v>J09</v>
      </c>
      <c r="AA45" s="194" t="str">
        <v>J01-J24</v>
      </c>
      <c r="AB45"/>
      <c r="AG45" s="69" t="str">
        <v>J09</v>
      </c>
      <c r="AH45"/>
    </row>
    <row r="46" spans="1:34" x14ac:dyDescent="0.2">
      <c r="A46"/>
      <c r="B46"/>
      <c r="C46"/>
      <c r="D46"/>
      <c r="E46"/>
      <c r="F46" t="str">
        <f>LEFT(AllDaqbookOffsets[[#This Row],[traceability_no]],2)</f>
        <v>J1</v>
      </c>
      <c r="N46" s="456"/>
      <c r="O46"/>
      <c r="W46" t="s">
        <v>489</v>
      </c>
      <c r="X46" t="s">
        <v>167</v>
      </c>
      <c r="Z46" s="460" t="str">
        <v>J10</v>
      </c>
      <c r="AA46" s="194" t="str">
        <v>J01-J24</v>
      </c>
      <c r="AB46"/>
      <c r="AG46" s="69" t="str">
        <v>J10</v>
      </c>
      <c r="AH46"/>
    </row>
    <row r="47" spans="1:34" x14ac:dyDescent="0.2">
      <c r="A47"/>
      <c r="B47"/>
      <c r="C47"/>
      <c r="D47"/>
      <c r="E47"/>
      <c r="F47" t="str">
        <f>LEFT(AllDaqbookOffsets[[#This Row],[traceability_no]],2)</f>
        <v>J1</v>
      </c>
      <c r="N47" s="456"/>
      <c r="O47"/>
      <c r="W47" t="s">
        <v>490</v>
      </c>
      <c r="X47" t="s">
        <v>167</v>
      </c>
      <c r="Z47" s="460" t="str">
        <v>J101</v>
      </c>
      <c r="AA47" s="194" t="str">
        <v>J101-J110</v>
      </c>
      <c r="AB47"/>
      <c r="AG47" s="69" t="str">
        <v>J101</v>
      </c>
      <c r="AH47"/>
    </row>
    <row r="48" spans="1:34" x14ac:dyDescent="0.2">
      <c r="A48"/>
      <c r="B48"/>
      <c r="C48"/>
      <c r="D48"/>
      <c r="E48"/>
      <c r="F48" t="str">
        <f>LEFT(AllDaqbookOffsets[[#This Row],[traceability_no]],2)</f>
        <v>J1</v>
      </c>
      <c r="N48" s="456"/>
      <c r="O48"/>
      <c r="W48" t="s">
        <v>491</v>
      </c>
      <c r="X48" t="s">
        <v>167</v>
      </c>
      <c r="Z48" s="460" t="str">
        <v>J102</v>
      </c>
      <c r="AA48" s="194" t="str">
        <v>J101-J110</v>
      </c>
      <c r="AB48"/>
      <c r="AG48" s="69" t="str">
        <v>J102</v>
      </c>
      <c r="AH48"/>
    </row>
    <row r="49" spans="1:34" x14ac:dyDescent="0.2">
      <c r="A49"/>
      <c r="B49"/>
      <c r="C49"/>
      <c r="D49"/>
      <c r="E49"/>
      <c r="F49" t="str">
        <f>LEFT(AllDaqbookOffsets[[#This Row],[traceability_no]],2)</f>
        <v>J1</v>
      </c>
      <c r="N49" s="456"/>
      <c r="O49"/>
      <c r="W49" t="s">
        <v>492</v>
      </c>
      <c r="X49" t="s">
        <v>167</v>
      </c>
      <c r="Z49" s="460" t="str">
        <v>J103</v>
      </c>
      <c r="AA49" s="194" t="str">
        <v>J101-J110</v>
      </c>
      <c r="AB49"/>
      <c r="AG49" s="69" t="str">
        <v>J103</v>
      </c>
      <c r="AH49"/>
    </row>
    <row r="50" spans="1:34" x14ac:dyDescent="0.2">
      <c r="A50"/>
      <c r="B50"/>
      <c r="C50"/>
      <c r="D50"/>
      <c r="E50"/>
      <c r="F50" t="str">
        <f>LEFT(AllDaqbookOffsets[[#This Row],[traceability_no]],2)</f>
        <v>J1</v>
      </c>
      <c r="N50" s="456"/>
      <c r="O50"/>
      <c r="W50" t="s">
        <v>493</v>
      </c>
      <c r="X50" t="s">
        <v>167</v>
      </c>
      <c r="Z50" s="460" t="str">
        <v>J104</v>
      </c>
      <c r="AA50" s="194" t="str">
        <v>J101-J110</v>
      </c>
      <c r="AB50"/>
      <c r="AG50" s="69" t="str">
        <v>J104</v>
      </c>
      <c r="AH50"/>
    </row>
    <row r="51" spans="1:34" x14ac:dyDescent="0.2">
      <c r="A51"/>
      <c r="B51"/>
      <c r="C51"/>
      <c r="D51"/>
      <c r="E51"/>
      <c r="F51" t="str">
        <f>LEFT(AllDaqbookOffsets[[#This Row],[traceability_no]],2)</f>
        <v>J1</v>
      </c>
      <c r="N51" s="456"/>
      <c r="O51"/>
      <c r="W51" t="s">
        <v>468</v>
      </c>
      <c r="X51" t="s">
        <v>164</v>
      </c>
      <c r="Z51" s="460" t="str">
        <v>J105</v>
      </c>
      <c r="AA51" s="194" t="str">
        <v>J101-J110</v>
      </c>
      <c r="AB51"/>
      <c r="AG51" s="69" t="str">
        <v>J105</v>
      </c>
      <c r="AH51"/>
    </row>
    <row r="52" spans="1:34" x14ac:dyDescent="0.2">
      <c r="A52"/>
      <c r="B52"/>
      <c r="C52"/>
      <c r="D52"/>
      <c r="E52"/>
      <c r="F52" t="str">
        <f>LEFT(AllDaqbookOffsets[[#This Row],[traceability_no]],2)</f>
        <v>J1</v>
      </c>
      <c r="N52" s="456"/>
      <c r="O52"/>
      <c r="W52" t="s">
        <v>494</v>
      </c>
      <c r="X52" t="s">
        <v>167</v>
      </c>
      <c r="Z52" s="460" t="str">
        <v>J106</v>
      </c>
      <c r="AA52" s="194" t="str">
        <v>J101-J110</v>
      </c>
      <c r="AB52"/>
      <c r="AG52" s="69" t="str">
        <v>J106</v>
      </c>
      <c r="AH52"/>
    </row>
    <row r="53" spans="1:34" x14ac:dyDescent="0.2">
      <c r="A53"/>
      <c r="B53"/>
      <c r="C53"/>
      <c r="D53"/>
      <c r="E53"/>
      <c r="F53" t="str">
        <f>LEFT(AllDaqbookOffsets[[#This Row],[traceability_no]],2)</f>
        <v>J1</v>
      </c>
      <c r="N53" s="456"/>
      <c r="O53"/>
      <c r="W53" t="s">
        <v>495</v>
      </c>
      <c r="X53" t="s">
        <v>167</v>
      </c>
      <c r="Z53" s="460" t="str">
        <v>J107</v>
      </c>
      <c r="AA53" s="194" t="str">
        <v>J101-J110</v>
      </c>
      <c r="AB53"/>
      <c r="AG53" s="69" t="str">
        <v>J107</v>
      </c>
      <c r="AH53"/>
    </row>
    <row r="54" spans="1:34" x14ac:dyDescent="0.2">
      <c r="A54"/>
      <c r="B54"/>
      <c r="C54"/>
      <c r="D54"/>
      <c r="E54"/>
      <c r="F54" t="str">
        <f>LEFT(AllDaqbookOffsets[[#This Row],[traceability_no]],2)</f>
        <v>J1</v>
      </c>
      <c r="N54" s="456"/>
      <c r="O54"/>
      <c r="W54" t="s">
        <v>496</v>
      </c>
      <c r="X54" t="s">
        <v>167</v>
      </c>
      <c r="Z54" s="460" t="str">
        <v>J108</v>
      </c>
      <c r="AA54" s="194" t="str">
        <v>J101-J110</v>
      </c>
      <c r="AB54"/>
      <c r="AG54" s="69" t="str">
        <v>J108</v>
      </c>
      <c r="AH54"/>
    </row>
    <row r="55" spans="1:34" x14ac:dyDescent="0.2">
      <c r="A55"/>
      <c r="B55"/>
      <c r="C55"/>
      <c r="D55"/>
      <c r="E55"/>
      <c r="F55" t="str">
        <f>LEFT(AllDaqbookOffsets[[#This Row],[traceability_no]],2)</f>
        <v>J1</v>
      </c>
      <c r="N55" s="456"/>
      <c r="O55"/>
      <c r="W55" t="s">
        <v>497</v>
      </c>
      <c r="X55" t="s">
        <v>167</v>
      </c>
      <c r="Z55" s="460" t="str">
        <v>J109</v>
      </c>
      <c r="AA55" s="194" t="str">
        <v>J101-J110</v>
      </c>
      <c r="AB55"/>
      <c r="AG55" s="69" t="str">
        <v>J109</v>
      </c>
      <c r="AH55"/>
    </row>
    <row r="56" spans="1:34" x14ac:dyDescent="0.2">
      <c r="A56"/>
      <c r="B56"/>
      <c r="C56"/>
      <c r="D56"/>
      <c r="E56"/>
      <c r="F56" t="str">
        <f>LEFT(AllDaqbookOffsets[[#This Row],[traceability_no]],2)</f>
        <v>J1</v>
      </c>
      <c r="N56" s="456"/>
      <c r="O56"/>
      <c r="W56" t="s">
        <v>498</v>
      </c>
      <c r="X56" t="s">
        <v>167</v>
      </c>
      <c r="Z56" s="460" t="str">
        <v>J11</v>
      </c>
      <c r="AA56" s="194" t="str">
        <v>J01-J24</v>
      </c>
      <c r="AB56"/>
      <c r="AG56" s="69" t="str">
        <v>J11</v>
      </c>
      <c r="AH56"/>
    </row>
    <row r="57" spans="1:34" x14ac:dyDescent="0.2">
      <c r="A57"/>
      <c r="B57"/>
      <c r="C57"/>
      <c r="D57"/>
      <c r="E57"/>
      <c r="F57" t="str">
        <f>LEFT(AllDaqbookOffsets[[#This Row],[traceability_no]],2)</f>
        <v>J1</v>
      </c>
      <c r="N57" s="456"/>
      <c r="O57"/>
      <c r="W57" t="s">
        <v>469</v>
      </c>
      <c r="X57" t="s">
        <v>164</v>
      </c>
      <c r="Z57" s="460" t="str">
        <v>J110</v>
      </c>
      <c r="AA57" s="194" t="str">
        <v>J101-J110</v>
      </c>
      <c r="AB57"/>
      <c r="AG57" s="69" t="str">
        <v>J110</v>
      </c>
      <c r="AH57"/>
    </row>
    <row r="58" spans="1:34" x14ac:dyDescent="0.2">
      <c r="A58"/>
      <c r="B58"/>
      <c r="C58"/>
      <c r="D58"/>
      <c r="E58"/>
      <c r="F58" t="str">
        <f>LEFT(AllDaqbookOffsets[[#This Row],[traceability_no]],2)</f>
        <v>J1</v>
      </c>
      <c r="N58" s="456"/>
      <c r="O58"/>
      <c r="W58" t="s">
        <v>470</v>
      </c>
      <c r="X58" t="s">
        <v>164</v>
      </c>
      <c r="Z58" s="460" t="str">
        <v>J111</v>
      </c>
      <c r="AA58" s="194" t="str">
        <v>J111-J120</v>
      </c>
      <c r="AB58"/>
      <c r="AG58" s="69" t="str">
        <v>J111</v>
      </c>
      <c r="AH58"/>
    </row>
    <row r="59" spans="1:34" x14ac:dyDescent="0.2">
      <c r="A59"/>
      <c r="B59"/>
      <c r="C59"/>
      <c r="D59"/>
      <c r="E59"/>
      <c r="F59" t="str">
        <f>LEFT(AllDaqbookOffsets[[#This Row],[traceability_no]],2)</f>
        <v>J1</v>
      </c>
      <c r="N59" s="456"/>
      <c r="O59"/>
      <c r="W59" t="s">
        <v>471</v>
      </c>
      <c r="X59" t="s">
        <v>164</v>
      </c>
      <c r="Z59" s="460" t="str">
        <v>J112</v>
      </c>
      <c r="AA59" s="194" t="str">
        <v>J111-J120</v>
      </c>
      <c r="AB59"/>
      <c r="AG59" s="69" t="str">
        <v>J112</v>
      </c>
      <c r="AH59"/>
    </row>
    <row r="60" spans="1:34" x14ac:dyDescent="0.2">
      <c r="A60"/>
      <c r="B60"/>
      <c r="C60"/>
      <c r="D60"/>
      <c r="E60"/>
      <c r="F60" t="str">
        <f>LEFT(AllDaqbookOffsets[[#This Row],[traceability_no]],2)</f>
        <v>J1</v>
      </c>
      <c r="N60" s="456"/>
      <c r="O60"/>
      <c r="W60" t="s">
        <v>499</v>
      </c>
      <c r="X60" t="s">
        <v>168</v>
      </c>
      <c r="Z60" s="460" t="str">
        <v>J113</v>
      </c>
      <c r="AA60" s="194" t="str">
        <v>J111-J120</v>
      </c>
      <c r="AB60"/>
      <c r="AG60" s="69" t="str">
        <v>J113</v>
      </c>
      <c r="AH60"/>
    </row>
    <row r="61" spans="1:34" x14ac:dyDescent="0.2">
      <c r="A61"/>
      <c r="B61"/>
      <c r="C61"/>
      <c r="D61"/>
      <c r="E61"/>
      <c r="F61" t="str">
        <f>LEFT(AllDaqbookOffsets[[#This Row],[traceability_no]],2)</f>
        <v>J1</v>
      </c>
      <c r="N61" s="456"/>
      <c r="O61"/>
      <c r="W61" t="s">
        <v>500</v>
      </c>
      <c r="X61" t="s">
        <v>168</v>
      </c>
      <c r="Z61" s="460" t="str">
        <v>J114</v>
      </c>
      <c r="AA61" s="194" t="str">
        <v>J111-J120</v>
      </c>
      <c r="AB61"/>
      <c r="AG61" s="69" t="str">
        <v>J114</v>
      </c>
      <c r="AH61"/>
    </row>
    <row r="62" spans="1:34" x14ac:dyDescent="0.2">
      <c r="A62"/>
      <c r="B62"/>
      <c r="C62"/>
      <c r="D62"/>
      <c r="E62"/>
      <c r="F62" t="str">
        <f>LEFT(AllDaqbookOffsets[[#This Row],[traceability_no]],2)</f>
        <v>J1</v>
      </c>
      <c r="N62" s="456"/>
      <c r="O62"/>
      <c r="W62" t="s">
        <v>501</v>
      </c>
      <c r="X62" t="s">
        <v>168</v>
      </c>
      <c r="Z62" s="460" t="str">
        <v>J115</v>
      </c>
      <c r="AA62" s="194" t="str">
        <v>J111-J120</v>
      </c>
      <c r="AB62"/>
      <c r="AG62" s="69" t="str">
        <v>J115</v>
      </c>
      <c r="AH62"/>
    </row>
    <row r="63" spans="1:34" x14ac:dyDescent="0.2">
      <c r="A63"/>
      <c r="B63"/>
      <c r="C63"/>
      <c r="D63"/>
      <c r="E63"/>
      <c r="F63" t="str">
        <f>LEFT(AllDaqbookOffsets[[#This Row],[traceability_no]],2)</f>
        <v>J1</v>
      </c>
      <c r="N63" s="456"/>
      <c r="O63"/>
      <c r="W63" t="s">
        <v>502</v>
      </c>
      <c r="X63" t="s">
        <v>168</v>
      </c>
      <c r="Z63" s="460" t="str">
        <v>J116</v>
      </c>
      <c r="AA63" s="194" t="str">
        <v>J111-J120</v>
      </c>
      <c r="AB63"/>
      <c r="AG63" s="69" t="str">
        <v>J116</v>
      </c>
      <c r="AH63"/>
    </row>
    <row r="64" spans="1:34" x14ac:dyDescent="0.2">
      <c r="A64"/>
      <c r="B64"/>
      <c r="C64"/>
      <c r="D64"/>
      <c r="E64"/>
      <c r="F64" t="str">
        <f>LEFT(AllDaqbookOffsets[[#This Row],[traceability_no]],2)</f>
        <v>J1</v>
      </c>
      <c r="N64" s="456"/>
      <c r="O64"/>
      <c r="W64" t="s">
        <v>503</v>
      </c>
      <c r="X64" t="s">
        <v>168</v>
      </c>
      <c r="Z64" s="460" t="str">
        <v>J117</v>
      </c>
      <c r="AA64" s="194" t="str">
        <v>J111-J120</v>
      </c>
      <c r="AB64"/>
      <c r="AG64" s="69" t="str">
        <v>J117</v>
      </c>
      <c r="AH64"/>
    </row>
    <row r="65" spans="1:34" x14ac:dyDescent="0.2">
      <c r="A65"/>
      <c r="B65"/>
      <c r="C65"/>
      <c r="D65"/>
      <c r="E65"/>
      <c r="F65" t="str">
        <f>LEFT(AllDaqbookOffsets[[#This Row],[traceability_no]],2)</f>
        <v>J1</v>
      </c>
      <c r="N65" s="456"/>
      <c r="O65"/>
      <c r="W65" t="s">
        <v>504</v>
      </c>
      <c r="X65" t="s">
        <v>168</v>
      </c>
      <c r="Z65" s="460" t="str">
        <v>J118</v>
      </c>
      <c r="AA65" s="194" t="str">
        <v>J111-J120</v>
      </c>
      <c r="AB65"/>
      <c r="AG65" s="69" t="str">
        <v>J118</v>
      </c>
      <c r="AH65"/>
    </row>
    <row r="66" spans="1:34" x14ac:dyDescent="0.2">
      <c r="A66"/>
      <c r="B66"/>
      <c r="C66"/>
      <c r="D66"/>
      <c r="E66"/>
      <c r="F66" t="str">
        <f>LEFT(AllDaqbookOffsets[[#This Row],[traceability_no]],2)</f>
        <v>J1</v>
      </c>
      <c r="N66" s="456"/>
      <c r="O66"/>
      <c r="W66" t="s">
        <v>505</v>
      </c>
      <c r="X66" t="s">
        <v>168</v>
      </c>
      <c r="Z66" s="460" t="str">
        <v>J119</v>
      </c>
      <c r="AA66" s="194" t="str">
        <v>J111-J120</v>
      </c>
      <c r="AB66"/>
      <c r="AG66" s="69" t="str">
        <v>J119</v>
      </c>
      <c r="AH66"/>
    </row>
    <row r="67" spans="1:34" x14ac:dyDescent="0.2">
      <c r="A67"/>
      <c r="B67"/>
      <c r="C67"/>
      <c r="D67"/>
      <c r="E67"/>
      <c r="F67" t="str">
        <f>LEFT(AllDaqbookOffsets[[#This Row],[traceability_no]],2)</f>
        <v>J1</v>
      </c>
      <c r="N67" s="456"/>
      <c r="O67"/>
      <c r="W67" t="s">
        <v>506</v>
      </c>
      <c r="X67" t="s">
        <v>168</v>
      </c>
      <c r="Z67" s="460" t="str">
        <v>J12</v>
      </c>
      <c r="AA67" s="194" t="str">
        <v>J01-J24</v>
      </c>
      <c r="AB67"/>
      <c r="AG67" s="69" t="str">
        <v>J12</v>
      </c>
      <c r="AH67"/>
    </row>
    <row r="68" spans="1:34" x14ac:dyDescent="0.2">
      <c r="A68"/>
      <c r="B68"/>
      <c r="C68"/>
      <c r="D68"/>
      <c r="E68"/>
      <c r="F68" t="str">
        <f>LEFT(AllDaqbookOffsets[[#This Row],[traceability_no]],2)</f>
        <v>J1</v>
      </c>
      <c r="N68" s="456"/>
      <c r="O68"/>
      <c r="W68" t="s">
        <v>507</v>
      </c>
      <c r="X68" t="s">
        <v>168</v>
      </c>
      <c r="Z68" s="460" t="str">
        <v>J120</v>
      </c>
      <c r="AA68" s="194" t="str">
        <v>J111-J120</v>
      </c>
      <c r="AB68"/>
      <c r="AG68" s="69" t="str">
        <v>J120</v>
      </c>
      <c r="AH68"/>
    </row>
    <row r="69" spans="1:34" x14ac:dyDescent="0.2">
      <c r="A69"/>
      <c r="B69"/>
      <c r="C69"/>
      <c r="D69"/>
      <c r="E69"/>
      <c r="F69" t="str">
        <f>LEFT(AllDaqbookOffsets[[#This Row],[traceability_no]],2)</f>
        <v>J1</v>
      </c>
      <c r="N69" s="456"/>
      <c r="O69"/>
      <c r="W69" t="s">
        <v>508</v>
      </c>
      <c r="X69" t="s">
        <v>168</v>
      </c>
      <c r="Z69" s="460" t="str">
        <v>J13</v>
      </c>
      <c r="AA69" s="194" t="str">
        <v>J01-J24</v>
      </c>
      <c r="AB69"/>
      <c r="AG69" s="69" t="str">
        <v>J13</v>
      </c>
      <c r="AH69"/>
    </row>
    <row r="70" spans="1:34" x14ac:dyDescent="0.2">
      <c r="A70"/>
      <c r="B70"/>
      <c r="C70"/>
      <c r="D70"/>
      <c r="E70"/>
      <c r="F70" t="str">
        <f>LEFT(AllDaqbookOffsets[[#This Row],[traceability_no]],2)</f>
        <v>J1</v>
      </c>
      <c r="N70" s="456"/>
      <c r="O70"/>
      <c r="W70" t="s">
        <v>509</v>
      </c>
      <c r="X70" t="s">
        <v>168</v>
      </c>
      <c r="Z70" s="460" t="str">
        <v>J14</v>
      </c>
      <c r="AA70" s="194" t="str">
        <v>J01-J24</v>
      </c>
      <c r="AB70"/>
      <c r="AG70" s="69" t="str">
        <v>J14</v>
      </c>
      <c r="AH70"/>
    </row>
    <row r="71" spans="1:34" x14ac:dyDescent="0.2">
      <c r="A71"/>
      <c r="B71"/>
      <c r="C71"/>
      <c r="D71"/>
      <c r="E71"/>
      <c r="F71" t="str">
        <f>LEFT(AllDaqbookOffsets[[#This Row],[traceability_no]],2)</f>
        <v>J1</v>
      </c>
      <c r="N71" s="456"/>
      <c r="O71"/>
      <c r="W71" t="s">
        <v>510</v>
      </c>
      <c r="X71" t="s">
        <v>168</v>
      </c>
      <c r="Z71" s="460" t="str">
        <v>J15</v>
      </c>
      <c r="AA71" s="194" t="str">
        <v>J01-J24</v>
      </c>
      <c r="AB71"/>
      <c r="AG71" s="69" t="str">
        <v>J15</v>
      </c>
      <c r="AH71"/>
    </row>
    <row r="72" spans="1:34" x14ac:dyDescent="0.2">
      <c r="A72"/>
      <c r="B72"/>
      <c r="C72"/>
      <c r="D72"/>
      <c r="E72"/>
      <c r="F72" t="str">
        <f>LEFT(AllDaqbookOffsets[[#This Row],[traceability_no]],2)</f>
        <v>J1</v>
      </c>
      <c r="N72" s="456"/>
      <c r="O72"/>
      <c r="W72" t="s">
        <v>511</v>
      </c>
      <c r="X72" t="s">
        <v>168</v>
      </c>
      <c r="Z72" s="460" t="str">
        <v>J16</v>
      </c>
      <c r="AA72" s="194" t="str">
        <v>J01-J24</v>
      </c>
      <c r="AB72"/>
      <c r="AG72" s="69" t="str">
        <v>J16</v>
      </c>
      <c r="AH72"/>
    </row>
    <row r="73" spans="1:34" x14ac:dyDescent="0.2">
      <c r="A73"/>
      <c r="B73"/>
      <c r="C73"/>
      <c r="D73"/>
      <c r="E73"/>
      <c r="F73" t="str">
        <f>LEFT(AllDaqbookOffsets[[#This Row],[traceability_no]],2)</f>
        <v>J1</v>
      </c>
      <c r="N73" s="456"/>
      <c r="O73"/>
      <c r="W73" t="s">
        <v>512</v>
      </c>
      <c r="X73" t="s">
        <v>168</v>
      </c>
      <c r="Z73" s="460" t="str">
        <v>J17</v>
      </c>
      <c r="AA73" s="194" t="str">
        <v>J01-J24</v>
      </c>
      <c r="AB73"/>
      <c r="AG73" s="69" t="str">
        <v>J17</v>
      </c>
      <c r="AH73"/>
    </row>
    <row r="74" spans="1:34" x14ac:dyDescent="0.2">
      <c r="A74"/>
      <c r="B74"/>
      <c r="C74"/>
      <c r="D74"/>
      <c r="E74"/>
      <c r="F74" t="str">
        <f>LEFT(AllDaqbookOffsets[[#This Row],[traceability_no]],2)</f>
        <v>J1</v>
      </c>
      <c r="N74" s="456"/>
      <c r="O74"/>
      <c r="W74" t="s">
        <v>513</v>
      </c>
      <c r="X74" t="s">
        <v>169</v>
      </c>
      <c r="Z74" s="460" t="str">
        <v>J18</v>
      </c>
      <c r="AA74" s="194" t="str">
        <v>J01-J24</v>
      </c>
      <c r="AB74"/>
      <c r="AG74" s="69" t="str">
        <v>J18</v>
      </c>
      <c r="AH74"/>
    </row>
    <row r="75" spans="1:34" x14ac:dyDescent="0.2">
      <c r="A75"/>
      <c r="B75"/>
      <c r="C75"/>
      <c r="D75"/>
      <c r="E75"/>
      <c r="F75" t="str">
        <f>LEFT(AllDaqbookOffsets[[#This Row],[traceability_no]],2)</f>
        <v>J1</v>
      </c>
      <c r="N75" s="456"/>
      <c r="O75"/>
      <c r="W75" t="s">
        <v>514</v>
      </c>
      <c r="X75" t="s">
        <v>169</v>
      </c>
      <c r="Z75" s="460" t="str">
        <v>J19</v>
      </c>
      <c r="AA75" s="194" t="str">
        <v>J01-J24</v>
      </c>
      <c r="AB75"/>
      <c r="AG75" s="69" t="str">
        <v>J19</v>
      </c>
      <c r="AH75"/>
    </row>
    <row r="76" spans="1:34" x14ac:dyDescent="0.2">
      <c r="A76"/>
      <c r="B76"/>
      <c r="C76"/>
      <c r="D76"/>
      <c r="E76"/>
      <c r="F76" t="str">
        <f>LEFT(AllDaqbookOffsets[[#This Row],[traceability_no]],2)</f>
        <v>J1</v>
      </c>
      <c r="N76" s="456"/>
      <c r="O76"/>
      <c r="W76" t="s">
        <v>515</v>
      </c>
      <c r="X76" t="s">
        <v>169</v>
      </c>
      <c r="Z76" s="460" t="str">
        <v>J20</v>
      </c>
      <c r="AA76" s="194" t="str">
        <v>J01-J24</v>
      </c>
      <c r="AB76"/>
      <c r="AG76" s="69" t="str">
        <v>J20</v>
      </c>
      <c r="AH76"/>
    </row>
    <row r="77" spans="1:34" x14ac:dyDescent="0.2">
      <c r="A77"/>
      <c r="B77"/>
      <c r="C77"/>
      <c r="D77"/>
      <c r="E77"/>
      <c r="F77" t="str">
        <f>LEFT(AllDaqbookOffsets[[#This Row],[traceability_no]],2)</f>
        <v>J1</v>
      </c>
      <c r="N77" s="456"/>
      <c r="O77"/>
      <c r="W77" t="s">
        <v>516</v>
      </c>
      <c r="X77" t="s">
        <v>169</v>
      </c>
      <c r="Z77" s="460" t="str">
        <v>J201</v>
      </c>
      <c r="AA77" s="194" t="str">
        <v>J201-J214</v>
      </c>
      <c r="AB77"/>
      <c r="AG77" s="69" t="str">
        <v>J201</v>
      </c>
      <c r="AH77"/>
    </row>
    <row r="78" spans="1:34" x14ac:dyDescent="0.2">
      <c r="A78"/>
      <c r="B78"/>
      <c r="C78"/>
      <c r="D78"/>
      <c r="E78"/>
      <c r="F78" t="str">
        <f>LEFT(AllDaqbookOffsets[[#This Row],[traceability_no]],2)</f>
        <v>J1</v>
      </c>
      <c r="N78" s="456"/>
      <c r="O78"/>
      <c r="W78" t="s">
        <v>517</v>
      </c>
      <c r="X78" t="s">
        <v>169</v>
      </c>
      <c r="Z78" s="460" t="str">
        <v>J202</v>
      </c>
      <c r="AA78" s="194" t="str">
        <v>J201-J214</v>
      </c>
      <c r="AB78"/>
      <c r="AG78" s="69" t="str">
        <v>J202</v>
      </c>
      <c r="AH78"/>
    </row>
    <row r="79" spans="1:34" x14ac:dyDescent="0.2">
      <c r="A79"/>
      <c r="B79"/>
      <c r="C79"/>
      <c r="D79"/>
      <c r="E79"/>
      <c r="F79" t="str">
        <f>LEFT(AllDaqbookOffsets[[#This Row],[traceability_no]],2)</f>
        <v>J1</v>
      </c>
      <c r="N79" s="456"/>
      <c r="O79"/>
      <c r="W79" t="s">
        <v>518</v>
      </c>
      <c r="X79" t="s">
        <v>169</v>
      </c>
      <c r="Z79" s="460" t="str">
        <v>J203</v>
      </c>
      <c r="AA79" s="194" t="str">
        <v>J201-J214</v>
      </c>
      <c r="AB79"/>
      <c r="AG79" s="69" t="str">
        <v>J203</v>
      </c>
      <c r="AH79"/>
    </row>
    <row r="80" spans="1:34" x14ac:dyDescent="0.2">
      <c r="A80"/>
      <c r="B80"/>
      <c r="C80"/>
      <c r="D80"/>
      <c r="E80"/>
      <c r="F80" t="str">
        <f>LEFT(AllDaqbookOffsets[[#This Row],[traceability_no]],2)</f>
        <v>J1</v>
      </c>
      <c r="N80" s="456"/>
      <c r="O80"/>
      <c r="W80" t="s">
        <v>519</v>
      </c>
      <c r="X80" t="s">
        <v>169</v>
      </c>
      <c r="Z80" s="460" t="str">
        <v>J204</v>
      </c>
      <c r="AA80" s="194" t="str">
        <v>J201-J214</v>
      </c>
      <c r="AB80"/>
      <c r="AG80" s="69" t="str">
        <v>J204</v>
      </c>
      <c r="AH80"/>
    </row>
    <row r="81" spans="1:34" x14ac:dyDescent="0.2">
      <c r="A81"/>
      <c r="B81"/>
      <c r="C81"/>
      <c r="D81"/>
      <c r="E81"/>
      <c r="F81" t="str">
        <f>LEFT(AllDaqbookOffsets[[#This Row],[traceability_no]],2)</f>
        <v>J1</v>
      </c>
      <c r="N81" s="456"/>
      <c r="O81"/>
      <c r="W81" t="s">
        <v>520</v>
      </c>
      <c r="X81" t="s">
        <v>169</v>
      </c>
      <c r="Z81" s="460" t="str">
        <v>J205</v>
      </c>
      <c r="AA81" s="194" t="str">
        <v>J201-J214</v>
      </c>
      <c r="AB81"/>
      <c r="AG81" s="69" t="str">
        <v>J205</v>
      </c>
      <c r="AH81"/>
    </row>
    <row r="82" spans="1:34" x14ac:dyDescent="0.2">
      <c r="A82"/>
      <c r="B82"/>
      <c r="C82"/>
      <c r="D82"/>
      <c r="E82"/>
      <c r="F82" t="str">
        <f>LEFT(AllDaqbookOffsets[[#This Row],[traceability_no]],2)</f>
        <v>J1</v>
      </c>
      <c r="N82" s="456"/>
      <c r="O82"/>
      <c r="W82" t="s">
        <v>521</v>
      </c>
      <c r="X82" t="s">
        <v>169</v>
      </c>
      <c r="Z82" s="460" t="str">
        <v>J206</v>
      </c>
      <c r="AA82" s="194" t="str">
        <v>J201-J214</v>
      </c>
      <c r="AB82"/>
      <c r="AG82" s="69" t="str">
        <v>J206</v>
      </c>
      <c r="AH82"/>
    </row>
    <row r="83" spans="1:34" x14ac:dyDescent="0.2">
      <c r="A83"/>
      <c r="B83"/>
      <c r="C83"/>
      <c r="D83"/>
      <c r="E83"/>
      <c r="F83" t="str">
        <f>LEFT(AllDaqbookOffsets[[#This Row],[traceability_no]],2)</f>
        <v>J1</v>
      </c>
      <c r="N83" s="456"/>
      <c r="O83"/>
      <c r="W83" t="s">
        <v>522</v>
      </c>
      <c r="X83" t="s">
        <v>169</v>
      </c>
      <c r="Z83" s="460" t="str">
        <v>J207</v>
      </c>
      <c r="AA83" s="194" t="str">
        <v>J201-J214</v>
      </c>
      <c r="AB83"/>
      <c r="AG83" s="69" t="str">
        <v>J207</v>
      </c>
      <c r="AH83"/>
    </row>
    <row r="84" spans="1:34" x14ac:dyDescent="0.2">
      <c r="A84"/>
      <c r="B84"/>
      <c r="C84"/>
      <c r="D84"/>
      <c r="E84"/>
      <c r="F84" t="str">
        <f>LEFT(AllDaqbookOffsets[[#This Row],[traceability_no]],2)</f>
        <v>J1</v>
      </c>
      <c r="N84" s="456"/>
      <c r="O84"/>
      <c r="W84" t="s">
        <v>523</v>
      </c>
      <c r="X84" t="s">
        <v>169</v>
      </c>
      <c r="Z84" s="460" t="str">
        <v>J208</v>
      </c>
      <c r="AA84" s="194" t="str">
        <v>J201-J214</v>
      </c>
      <c r="AB84"/>
      <c r="AG84" s="69" t="str">
        <v>J208</v>
      </c>
      <c r="AH84"/>
    </row>
    <row r="85" spans="1:34" x14ac:dyDescent="0.2">
      <c r="A85"/>
      <c r="B85"/>
      <c r="C85"/>
      <c r="D85"/>
      <c r="E85"/>
      <c r="F85" t="str">
        <f>LEFT(AllDaqbookOffsets[[#This Row],[traceability_no]],2)</f>
        <v>J1</v>
      </c>
      <c r="N85" s="456"/>
      <c r="O85"/>
      <c r="W85" t="s">
        <v>524</v>
      </c>
      <c r="X85" t="s">
        <v>169</v>
      </c>
      <c r="Z85" s="460" t="str">
        <v>J209</v>
      </c>
      <c r="AA85" s="194" t="str">
        <v>J201-J214</v>
      </c>
      <c r="AB85"/>
      <c r="AG85" s="69" t="str">
        <v>J209</v>
      </c>
      <c r="AH85"/>
    </row>
    <row r="86" spans="1:34" x14ac:dyDescent="0.2">
      <c r="A86"/>
      <c r="B86"/>
      <c r="C86"/>
      <c r="D86"/>
      <c r="E86"/>
      <c r="F86" t="str">
        <f>LEFT(AllDaqbookOffsets[[#This Row],[traceability_no]],2)</f>
        <v>J1</v>
      </c>
      <c r="N86" s="456"/>
      <c r="O86"/>
      <c r="W86" t="s">
        <v>525</v>
      </c>
      <c r="X86" t="s">
        <v>169</v>
      </c>
      <c r="Z86" s="460" t="str">
        <v>J21</v>
      </c>
      <c r="AA86" s="194" t="str">
        <v>J01-J24</v>
      </c>
      <c r="AB86"/>
      <c r="AG86" s="69" t="str">
        <v>J21</v>
      </c>
      <c r="AH86"/>
    </row>
    <row r="87" spans="1:34" x14ac:dyDescent="0.2">
      <c r="A87"/>
      <c r="B87"/>
      <c r="C87"/>
      <c r="D87"/>
      <c r="E87"/>
      <c r="F87" t="str">
        <f>LEFT(AllDaqbookOffsets[[#This Row],[traceability_no]],2)</f>
        <v>J1</v>
      </c>
      <c r="N87" s="456"/>
      <c r="O87"/>
      <c r="W87" t="s">
        <v>526</v>
      </c>
      <c r="X87" t="s">
        <v>169</v>
      </c>
      <c r="Z87" s="460" t="str">
        <v>J210</v>
      </c>
      <c r="AA87" s="194" t="str">
        <v>J201-J214</v>
      </c>
      <c r="AB87"/>
      <c r="AG87" s="69" t="str">
        <v>J210</v>
      </c>
      <c r="AH87"/>
    </row>
    <row r="88" spans="1:34" x14ac:dyDescent="0.2">
      <c r="A88"/>
      <c r="B88"/>
      <c r="C88"/>
      <c r="D88"/>
      <c r="E88"/>
      <c r="F88" t="str">
        <f>LEFT(AllDaqbookOffsets[[#This Row],[traceability_no]],2)</f>
        <v>J1</v>
      </c>
      <c r="N88" s="456"/>
      <c r="O88"/>
      <c r="W88" t="s">
        <v>527</v>
      </c>
      <c r="X88" t="s">
        <v>170</v>
      </c>
      <c r="Z88" s="460" t="str">
        <v>J211</v>
      </c>
      <c r="AA88" s="194" t="str">
        <v>J201-J214</v>
      </c>
      <c r="AB88"/>
      <c r="AG88" s="69" t="str">
        <v>J211</v>
      </c>
      <c r="AH88"/>
    </row>
    <row r="89" spans="1:34" x14ac:dyDescent="0.2">
      <c r="A89"/>
      <c r="B89"/>
      <c r="C89"/>
      <c r="D89"/>
      <c r="E89"/>
      <c r="F89" t="str">
        <f>LEFT(AllDaqbookOffsets[[#This Row],[traceability_no]],2)</f>
        <v>J1</v>
      </c>
      <c r="N89" s="456"/>
      <c r="O89"/>
      <c r="W89" t="s">
        <v>528</v>
      </c>
      <c r="X89" t="s">
        <v>170</v>
      </c>
      <c r="Z89" s="460" t="str">
        <v>J212</v>
      </c>
      <c r="AA89" s="194" t="str">
        <v>J201-J214</v>
      </c>
      <c r="AB89"/>
      <c r="AG89" s="69" t="str">
        <v>J212</v>
      </c>
      <c r="AH89"/>
    </row>
    <row r="90" spans="1:34" x14ac:dyDescent="0.2">
      <c r="A90"/>
      <c r="B90"/>
      <c r="C90"/>
      <c r="D90"/>
      <c r="E90"/>
      <c r="F90" t="str">
        <f>LEFT(AllDaqbookOffsets[[#This Row],[traceability_no]],2)</f>
        <v>J1</v>
      </c>
      <c r="N90" s="456"/>
      <c r="O90"/>
      <c r="W90" t="s">
        <v>529</v>
      </c>
      <c r="X90" t="s">
        <v>170</v>
      </c>
      <c r="Z90" s="460" t="str">
        <v>J213</v>
      </c>
      <c r="AA90" s="194" t="str">
        <v>J201-J214</v>
      </c>
      <c r="AB90"/>
      <c r="AG90" s="69" t="str">
        <v>J213</v>
      </c>
      <c r="AH90"/>
    </row>
    <row r="91" spans="1:34" x14ac:dyDescent="0.2">
      <c r="A91"/>
      <c r="B91"/>
      <c r="C91"/>
      <c r="D91"/>
      <c r="E91"/>
      <c r="F91" t="str">
        <f>LEFT(AllDaqbookOffsets[[#This Row],[traceability_no]],2)</f>
        <v>J1</v>
      </c>
      <c r="N91" s="456"/>
      <c r="O91"/>
      <c r="W91" t="s">
        <v>530</v>
      </c>
      <c r="X91" t="s">
        <v>170</v>
      </c>
      <c r="Z91" s="460" t="str">
        <v>J214</v>
      </c>
      <c r="AA91" s="194" t="str">
        <v>J201-J214</v>
      </c>
      <c r="AB91"/>
      <c r="AG91" s="69" t="str">
        <v>J214</v>
      </c>
      <c r="AH91"/>
    </row>
    <row r="92" spans="1:34" x14ac:dyDescent="0.2">
      <c r="A92"/>
      <c r="B92"/>
      <c r="C92"/>
      <c r="D92"/>
      <c r="E92"/>
      <c r="F92" t="str">
        <f>LEFT(AllDaqbookOffsets[[#This Row],[traceability_no]],2)</f>
        <v>J1</v>
      </c>
      <c r="N92" s="456"/>
      <c r="O92"/>
      <c r="W92" t="s">
        <v>531</v>
      </c>
      <c r="X92" t="s">
        <v>170</v>
      </c>
      <c r="Z92" s="460" t="str">
        <v>J22</v>
      </c>
      <c r="AA92" s="194" t="str">
        <v>J01-J24</v>
      </c>
      <c r="AB92"/>
      <c r="AG92" s="69" t="str">
        <v>J22</v>
      </c>
      <c r="AH92"/>
    </row>
    <row r="93" spans="1:34" x14ac:dyDescent="0.2">
      <c r="A93"/>
      <c r="B93"/>
      <c r="C93"/>
      <c r="D93"/>
      <c r="E93"/>
      <c r="F93" t="str">
        <f>LEFT(AllDaqbookOffsets[[#This Row],[traceability_no]],2)</f>
        <v>J1</v>
      </c>
      <c r="N93" s="456"/>
      <c r="O93"/>
      <c r="W93" t="s">
        <v>532</v>
      </c>
      <c r="X93" t="s">
        <v>170</v>
      </c>
      <c r="Z93" s="460" t="str">
        <v>J23</v>
      </c>
      <c r="AA93" s="194" t="str">
        <v>J01-J24</v>
      </c>
      <c r="AB93"/>
      <c r="AG93" s="69" t="str">
        <v>J23</v>
      </c>
      <c r="AH93"/>
    </row>
    <row r="94" spans="1:34" x14ac:dyDescent="0.2">
      <c r="A94"/>
      <c r="B94"/>
      <c r="C94"/>
      <c r="D94"/>
      <c r="E94"/>
      <c r="F94" t="str">
        <f>LEFT(AllDaqbookOffsets[[#This Row],[traceability_no]],2)</f>
        <v>J1</v>
      </c>
      <c r="N94" s="456"/>
      <c r="O94"/>
      <c r="W94" t="s">
        <v>533</v>
      </c>
      <c r="X94" t="s">
        <v>170</v>
      </c>
      <c r="Z94" s="460" t="str">
        <v>J24</v>
      </c>
      <c r="AA94" s="194" t="str">
        <v>J01-J24</v>
      </c>
      <c r="AB94"/>
      <c r="AG94" s="69" t="str">
        <v>J24</v>
      </c>
      <c r="AH94"/>
    </row>
    <row r="95" spans="1:34" x14ac:dyDescent="0.2">
      <c r="A95"/>
      <c r="B95"/>
      <c r="C95"/>
      <c r="D95"/>
      <c r="E95"/>
      <c r="F95" t="str">
        <f>LEFT(AllDaqbookOffsets[[#This Row],[traceability_no]],2)</f>
        <v>J1</v>
      </c>
      <c r="N95" s="456"/>
      <c r="O95"/>
      <c r="W95" t="s">
        <v>534</v>
      </c>
      <c r="X95" t="s">
        <v>170</v>
      </c>
      <c r="Z95" s="460" t="str">
        <v>J301</v>
      </c>
      <c r="AA95" s="194" t="str">
        <v>J301-J314</v>
      </c>
      <c r="AB95"/>
      <c r="AG95" s="69" t="str">
        <v>J301</v>
      </c>
      <c r="AH95"/>
    </row>
    <row r="96" spans="1:34" x14ac:dyDescent="0.2">
      <c r="A96"/>
      <c r="B96"/>
      <c r="C96"/>
      <c r="D96"/>
      <c r="E96"/>
      <c r="F96" t="str">
        <f>LEFT(AllDaqbookOffsets[[#This Row],[traceability_no]],2)</f>
        <v>J1</v>
      </c>
      <c r="N96" s="456"/>
      <c r="O96"/>
      <c r="W96" t="s">
        <v>535</v>
      </c>
      <c r="X96" t="s">
        <v>170</v>
      </c>
      <c r="Z96" s="460" t="str">
        <v>J302</v>
      </c>
      <c r="AA96" s="194" t="str">
        <v>J301-J314</v>
      </c>
      <c r="AB96"/>
      <c r="AG96" s="69" t="str">
        <v>J302</v>
      </c>
      <c r="AH96"/>
    </row>
    <row r="97" spans="1:34" x14ac:dyDescent="0.2">
      <c r="A97"/>
      <c r="B97"/>
      <c r="C97"/>
      <c r="D97"/>
      <c r="E97"/>
      <c r="F97" t="str">
        <f>LEFT(AllDaqbookOffsets[[#This Row],[traceability_no]],2)</f>
        <v>J1</v>
      </c>
      <c r="N97" s="456"/>
      <c r="O97"/>
      <c r="W97" t="s">
        <v>536</v>
      </c>
      <c r="X97" t="s">
        <v>170</v>
      </c>
      <c r="Z97" s="460" t="str">
        <v>J303</v>
      </c>
      <c r="AA97" s="194" t="str">
        <v>J301-J314</v>
      </c>
      <c r="AB97"/>
      <c r="AG97" s="69" t="str">
        <v>J303</v>
      </c>
      <c r="AH97"/>
    </row>
    <row r="98" spans="1:34" x14ac:dyDescent="0.2">
      <c r="A98"/>
      <c r="B98"/>
      <c r="C98"/>
      <c r="D98"/>
      <c r="E98"/>
      <c r="F98" t="str">
        <f>LEFT(AllDaqbookOffsets[[#This Row],[traceability_no]],2)</f>
        <v>J1</v>
      </c>
      <c r="N98" s="456"/>
      <c r="O98"/>
      <c r="W98" t="s">
        <v>537</v>
      </c>
      <c r="X98" t="s">
        <v>171</v>
      </c>
      <c r="Z98" s="460" t="str">
        <v>J304</v>
      </c>
      <c r="AA98" s="194" t="str">
        <v>J301-J314</v>
      </c>
      <c r="AB98"/>
      <c r="AG98" s="69" t="str">
        <v>J304</v>
      </c>
      <c r="AH98"/>
    </row>
    <row r="99" spans="1:34" x14ac:dyDescent="0.2">
      <c r="A99"/>
      <c r="B99"/>
      <c r="C99"/>
      <c r="D99"/>
      <c r="E99"/>
      <c r="F99" t="str">
        <f>LEFT(AllDaqbookOffsets[[#This Row],[traceability_no]],2)</f>
        <v>J1</v>
      </c>
      <c r="N99" s="456"/>
      <c r="O99"/>
      <c r="W99" t="s">
        <v>538</v>
      </c>
      <c r="X99" t="s">
        <v>171</v>
      </c>
      <c r="Z99" s="460" t="str">
        <v>J305</v>
      </c>
      <c r="AA99" s="194" t="str">
        <v>J301-J314</v>
      </c>
      <c r="AB99"/>
      <c r="AG99" s="69" t="str">
        <v>J305</v>
      </c>
      <c r="AH99"/>
    </row>
    <row r="100" spans="1:34" x14ac:dyDescent="0.2">
      <c r="A100"/>
      <c r="B100"/>
      <c r="C100"/>
      <c r="D100"/>
      <c r="E100"/>
      <c r="F100" t="str">
        <f>LEFT(AllDaqbookOffsets[[#This Row],[traceability_no]],2)</f>
        <v>J1</v>
      </c>
      <c r="N100" s="456"/>
      <c r="O100"/>
      <c r="W100" t="s">
        <v>539</v>
      </c>
      <c r="X100" t="s">
        <v>171</v>
      </c>
      <c r="Z100" s="460" t="str">
        <v>J306</v>
      </c>
      <c r="AA100" s="194" t="str">
        <v>J301-J314</v>
      </c>
      <c r="AB100"/>
      <c r="AG100" s="69" t="str">
        <v>J306</v>
      </c>
      <c r="AH100"/>
    </row>
    <row r="101" spans="1:34" x14ac:dyDescent="0.2">
      <c r="A101"/>
      <c r="B101"/>
      <c r="C101"/>
      <c r="D101"/>
      <c r="E101"/>
      <c r="F101" t="str">
        <f>LEFT(AllDaqbookOffsets[[#This Row],[traceability_no]],2)</f>
        <v>J1</v>
      </c>
      <c r="N101" s="456"/>
      <c r="O101"/>
      <c r="W101" t="s">
        <v>540</v>
      </c>
      <c r="X101" t="s">
        <v>171</v>
      </c>
      <c r="Z101" s="460" t="str">
        <v>J307</v>
      </c>
      <c r="AA101" s="194" t="str">
        <v>J301-J314</v>
      </c>
      <c r="AB101"/>
      <c r="AG101" s="69" t="str">
        <v>J307</v>
      </c>
      <c r="AH101"/>
    </row>
    <row r="102" spans="1:34" x14ac:dyDescent="0.2">
      <c r="A102"/>
      <c r="B102"/>
      <c r="C102"/>
      <c r="D102"/>
      <c r="E102"/>
      <c r="F102" t="str">
        <f>LEFT(AllDaqbookOffsets[[#This Row],[traceability_no]],2)</f>
        <v>J1</v>
      </c>
      <c r="N102" s="456"/>
      <c r="O102"/>
      <c r="W102" t="s">
        <v>541</v>
      </c>
      <c r="X102" t="s">
        <v>171</v>
      </c>
      <c r="Z102" s="460" t="str">
        <v>J308</v>
      </c>
      <c r="AA102" s="194" t="str">
        <v>J301-J314</v>
      </c>
      <c r="AB102"/>
      <c r="AG102" s="69" t="str">
        <v>J308</v>
      </c>
      <c r="AH102"/>
    </row>
    <row r="103" spans="1:34" x14ac:dyDescent="0.2">
      <c r="A103"/>
      <c r="B103"/>
      <c r="C103"/>
      <c r="D103"/>
      <c r="E103"/>
      <c r="F103" t="str">
        <f>LEFT(AllDaqbookOffsets[[#This Row],[traceability_no]],2)</f>
        <v>J1</v>
      </c>
      <c r="N103" s="456"/>
      <c r="O103"/>
      <c r="W103" t="s">
        <v>542</v>
      </c>
      <c r="X103" t="s">
        <v>171</v>
      </c>
      <c r="Z103" s="460" t="str">
        <v>J309</v>
      </c>
      <c r="AA103" s="194" t="str">
        <v>J301-J314</v>
      </c>
      <c r="AB103"/>
      <c r="AG103" s="69" t="str">
        <v>J309</v>
      </c>
      <c r="AH103"/>
    </row>
    <row r="104" spans="1:34" x14ac:dyDescent="0.2">
      <c r="A104"/>
      <c r="B104"/>
      <c r="C104"/>
      <c r="D104"/>
      <c r="E104"/>
      <c r="F104" t="str">
        <f>LEFT(AllDaqbookOffsets[[#This Row],[traceability_no]],2)</f>
        <v>J1</v>
      </c>
      <c r="N104" s="456"/>
      <c r="O104"/>
      <c r="W104" t="s">
        <v>543</v>
      </c>
      <c r="X104" t="s">
        <v>171</v>
      </c>
      <c r="Z104" s="460" t="str">
        <v>J310</v>
      </c>
      <c r="AA104" s="194" t="str">
        <v>J301-J314</v>
      </c>
      <c r="AB104"/>
      <c r="AG104" s="69" t="str">
        <v>J310</v>
      </c>
      <c r="AH104"/>
    </row>
    <row r="105" spans="1:34" x14ac:dyDescent="0.2">
      <c r="A105"/>
      <c r="B105"/>
      <c r="C105"/>
      <c r="D105"/>
      <c r="E105"/>
      <c r="F105" t="str">
        <f>LEFT(AllDaqbookOffsets[[#This Row],[traceability_no]],2)</f>
        <v>J1</v>
      </c>
      <c r="N105" s="456"/>
      <c r="O105"/>
      <c r="W105" t="s">
        <v>544</v>
      </c>
      <c r="X105" t="s">
        <v>171</v>
      </c>
      <c r="Z105" s="460" t="str">
        <v>J311</v>
      </c>
      <c r="AA105" s="194" t="str">
        <v>J301-J314</v>
      </c>
      <c r="AB105"/>
      <c r="AG105" s="69" t="str">
        <v>J311</v>
      </c>
      <c r="AH105"/>
    </row>
    <row r="106" spans="1:34" x14ac:dyDescent="0.2">
      <c r="A106"/>
      <c r="B106"/>
      <c r="C106"/>
      <c r="D106"/>
      <c r="E106"/>
      <c r="F106" t="str">
        <f>LEFT(AllDaqbookOffsets[[#This Row],[traceability_no]],2)</f>
        <v>J1</v>
      </c>
      <c r="N106" s="456"/>
      <c r="O106"/>
      <c r="W106" t="s">
        <v>545</v>
      </c>
      <c r="X106" t="s">
        <v>171</v>
      </c>
      <c r="Z106" s="460" t="str">
        <v>J312</v>
      </c>
      <c r="AA106" s="194" t="str">
        <v>J301-J314</v>
      </c>
      <c r="AB106"/>
      <c r="AG106" s="69" t="str">
        <v>J312</v>
      </c>
      <c r="AH106"/>
    </row>
    <row r="107" spans="1:34" x14ac:dyDescent="0.2">
      <c r="A107"/>
      <c r="B107"/>
      <c r="C107"/>
      <c r="D107"/>
      <c r="E107"/>
      <c r="F107" t="str">
        <f>LEFT(AllDaqbookOffsets[[#This Row],[traceability_no]],2)</f>
        <v>J1</v>
      </c>
      <c r="N107" s="456"/>
      <c r="O107"/>
      <c r="W107" t="s">
        <v>546</v>
      </c>
      <c r="X107" t="s">
        <v>171</v>
      </c>
      <c r="Z107" s="460" t="str">
        <v>J313</v>
      </c>
      <c r="AA107" s="194" t="str">
        <v>J301-J314</v>
      </c>
      <c r="AB107"/>
      <c r="AG107" s="69" t="str">
        <v>J313</v>
      </c>
      <c r="AH107"/>
    </row>
    <row r="108" spans="1:34" x14ac:dyDescent="0.2">
      <c r="A108"/>
      <c r="B108"/>
      <c r="C108"/>
      <c r="D108"/>
      <c r="E108"/>
      <c r="F108" t="str">
        <f>LEFT(AllDaqbookOffsets[[#This Row],[traceability_no]],2)</f>
        <v>J1</v>
      </c>
      <c r="N108" s="456"/>
      <c r="O108"/>
      <c r="W108" t="s">
        <v>547</v>
      </c>
      <c r="X108" t="s">
        <v>295</v>
      </c>
      <c r="Z108" s="460" t="str">
        <v>J314</v>
      </c>
      <c r="AA108" s="194" t="str">
        <v>J301-J314</v>
      </c>
      <c r="AB108"/>
      <c r="AG108" s="69" t="str">
        <v>J314</v>
      </c>
      <c r="AH108"/>
    </row>
    <row r="109" spans="1:34" x14ac:dyDescent="0.2">
      <c r="A109"/>
      <c r="B109"/>
      <c r="C109"/>
      <c r="D109"/>
      <c r="E109"/>
      <c r="F109" t="str">
        <f>LEFT(AllDaqbookOffsets[[#This Row],[traceability_no]],2)</f>
        <v>J1</v>
      </c>
      <c r="N109" s="456"/>
      <c r="O109"/>
      <c r="W109" t="s">
        <v>548</v>
      </c>
      <c r="X109" t="s">
        <v>295</v>
      </c>
      <c r="Z109" s="460" t="str">
        <v>J501</v>
      </c>
      <c r="AA109" s="194" t="str">
        <v>J501-J514</v>
      </c>
      <c r="AB109"/>
      <c r="AG109" s="69" t="str">
        <v>J501</v>
      </c>
      <c r="AH109"/>
    </row>
    <row r="110" spans="1:34" x14ac:dyDescent="0.2">
      <c r="A110"/>
      <c r="B110"/>
      <c r="C110"/>
      <c r="D110"/>
      <c r="E110"/>
      <c r="F110" t="str">
        <f>LEFT(AllDaqbookOffsets[[#This Row],[traceability_no]],2)</f>
        <v>J1</v>
      </c>
      <c r="N110" s="456"/>
      <c r="O110"/>
      <c r="W110" t="s">
        <v>549</v>
      </c>
      <c r="X110" t="s">
        <v>295</v>
      </c>
      <c r="Z110" s="460" t="str">
        <v>J502</v>
      </c>
      <c r="AA110" s="194" t="str">
        <v>J501-J514</v>
      </c>
      <c r="AB110"/>
      <c r="AG110" s="69" t="str">
        <v>J502</v>
      </c>
      <c r="AH110"/>
    </row>
    <row r="111" spans="1:34" x14ac:dyDescent="0.2">
      <c r="A111"/>
      <c r="B111"/>
      <c r="C111"/>
      <c r="D111"/>
      <c r="E111"/>
      <c r="F111" t="str">
        <f>LEFT(AllDaqbookOffsets[[#This Row],[traceability_no]],2)</f>
        <v>J1</v>
      </c>
      <c r="N111" s="456"/>
      <c r="O111"/>
      <c r="W111" t="s">
        <v>550</v>
      </c>
      <c r="X111" t="s">
        <v>295</v>
      </c>
      <c r="Z111" s="460" t="str">
        <v>J503</v>
      </c>
      <c r="AA111" s="194" t="str">
        <v>J501-J514</v>
      </c>
      <c r="AB111"/>
      <c r="AG111" s="69" t="str">
        <v>J503</v>
      </c>
      <c r="AH111"/>
    </row>
    <row r="112" spans="1:34" x14ac:dyDescent="0.2">
      <c r="A112"/>
      <c r="B112"/>
      <c r="C112"/>
      <c r="D112"/>
      <c r="E112"/>
      <c r="F112" t="str">
        <f>LEFT(AllDaqbookOffsets[[#This Row],[traceability_no]],2)</f>
        <v>J1</v>
      </c>
      <c r="N112" s="456"/>
      <c r="O112"/>
      <c r="W112" t="s">
        <v>551</v>
      </c>
      <c r="X112" t="s">
        <v>295</v>
      </c>
      <c r="Z112" s="460" t="str">
        <v>J504</v>
      </c>
      <c r="AA112" s="194" t="str">
        <v>J501-J514</v>
      </c>
      <c r="AB112"/>
      <c r="AG112" s="69" t="str">
        <v>J504</v>
      </c>
      <c r="AH112"/>
    </row>
    <row r="113" spans="1:34" x14ac:dyDescent="0.2">
      <c r="A113"/>
      <c r="B113"/>
      <c r="C113"/>
      <c r="D113"/>
      <c r="E113"/>
      <c r="F113" t="str">
        <f>LEFT(AllDaqbookOffsets[[#This Row],[traceability_no]],2)</f>
        <v>J1</v>
      </c>
      <c r="N113" s="456"/>
      <c r="O113"/>
      <c r="W113" t="s">
        <v>552</v>
      </c>
      <c r="X113" t="s">
        <v>295</v>
      </c>
      <c r="Z113" s="460" t="str">
        <v>J505</v>
      </c>
      <c r="AA113" s="194" t="str">
        <v>J501-J514</v>
      </c>
      <c r="AB113"/>
      <c r="AG113" s="69" t="str">
        <v>J505</v>
      </c>
      <c r="AH113"/>
    </row>
    <row r="114" spans="1:34" x14ac:dyDescent="0.2">
      <c r="A114"/>
      <c r="B114"/>
      <c r="C114"/>
      <c r="D114"/>
      <c r="E114"/>
      <c r="F114" t="str">
        <f>LEFT(AllDaqbookOffsets[[#This Row],[traceability_no]],2)</f>
        <v>J1</v>
      </c>
      <c r="N114" s="456"/>
      <c r="O114"/>
      <c r="W114" t="s">
        <v>553</v>
      </c>
      <c r="X114" t="s">
        <v>295</v>
      </c>
      <c r="Z114" s="460" t="str">
        <v>J506</v>
      </c>
      <c r="AA114" s="194" t="str">
        <v>J501-J514</v>
      </c>
      <c r="AB114"/>
      <c r="AG114" s="69" t="str">
        <v>J506</v>
      </c>
      <c r="AH114"/>
    </row>
    <row r="115" spans="1:34" x14ac:dyDescent="0.2">
      <c r="A115"/>
      <c r="B115"/>
      <c r="C115"/>
      <c r="D115"/>
      <c r="E115"/>
      <c r="F115" t="str">
        <f>LEFT(AllDaqbookOffsets[[#This Row],[traceability_no]],2)</f>
        <v>J1</v>
      </c>
      <c r="N115" s="456"/>
      <c r="O115"/>
      <c r="W115" t="s">
        <v>554</v>
      </c>
      <c r="X115" t="s">
        <v>295</v>
      </c>
      <c r="Z115" s="460" t="str">
        <v>J507</v>
      </c>
      <c r="AA115" s="194" t="str">
        <v>J501-J514</v>
      </c>
      <c r="AB115"/>
      <c r="AG115" s="69" t="str">
        <v>J507</v>
      </c>
      <c r="AH115"/>
    </row>
    <row r="116" spans="1:34" x14ac:dyDescent="0.2">
      <c r="A116"/>
      <c r="B116"/>
      <c r="C116"/>
      <c r="D116"/>
      <c r="E116"/>
      <c r="F116" t="str">
        <f>LEFT(AllDaqbookOffsets[[#This Row],[traceability_no]],2)</f>
        <v>J1</v>
      </c>
      <c r="N116" s="456"/>
      <c r="O116"/>
      <c r="W116" t="s">
        <v>555</v>
      </c>
      <c r="X116" t="s">
        <v>295</v>
      </c>
      <c r="Z116" s="460" t="str">
        <v>J508</v>
      </c>
      <c r="AA116" s="194" t="str">
        <v>J501-J514</v>
      </c>
      <c r="AB116"/>
      <c r="AG116" s="69" t="str">
        <v>J508</v>
      </c>
      <c r="AH116"/>
    </row>
    <row r="117" spans="1:34" x14ac:dyDescent="0.2">
      <c r="A117"/>
      <c r="B117"/>
      <c r="C117"/>
      <c r="D117"/>
      <c r="E117"/>
      <c r="F117" t="str">
        <f>LEFT(AllDaqbookOffsets[[#This Row],[traceability_no]],2)</f>
        <v>J1</v>
      </c>
      <c r="N117" s="456"/>
      <c r="O117"/>
      <c r="W117" t="s">
        <v>556</v>
      </c>
      <c r="X117" t="s">
        <v>295</v>
      </c>
      <c r="Z117" s="460" t="str">
        <v>J509</v>
      </c>
      <c r="AA117" s="194" t="str">
        <v>J501-J514</v>
      </c>
      <c r="AB117"/>
      <c r="AG117" s="69" t="str">
        <v>J509</v>
      </c>
      <c r="AH117"/>
    </row>
    <row r="118" spans="1:34" x14ac:dyDescent="0.2">
      <c r="A118"/>
      <c r="B118"/>
      <c r="C118"/>
      <c r="D118"/>
      <c r="E118"/>
      <c r="F118" t="str">
        <f>LEFT(AllDaqbookOffsets[[#This Row],[traceability_no]],2)</f>
        <v>J1</v>
      </c>
      <c r="N118" s="456"/>
      <c r="O118"/>
      <c r="W118" t="s">
        <v>563</v>
      </c>
      <c r="X118" t="s">
        <v>173</v>
      </c>
      <c r="Z118" s="460" t="str">
        <v>J510</v>
      </c>
      <c r="AA118" s="194" t="str">
        <v>J501-J514</v>
      </c>
      <c r="AB118"/>
      <c r="AG118" s="69" t="str">
        <v>J510</v>
      </c>
      <c r="AH118"/>
    </row>
    <row r="119" spans="1:34" x14ac:dyDescent="0.2">
      <c r="A119"/>
      <c r="B119"/>
      <c r="C119"/>
      <c r="D119"/>
      <c r="E119"/>
      <c r="F119" t="str">
        <f>LEFT(AllDaqbookOffsets[[#This Row],[traceability_no]],2)</f>
        <v>J1</v>
      </c>
      <c r="N119" s="456"/>
      <c r="O119"/>
      <c r="W119" t="s">
        <v>564</v>
      </c>
      <c r="X119" t="s">
        <v>173</v>
      </c>
      <c r="Z119" s="460" t="str">
        <v>J511</v>
      </c>
      <c r="AA119" s="194" t="str">
        <v>J501-J514</v>
      </c>
      <c r="AB119"/>
      <c r="AG119" s="69" t="str">
        <v>J511</v>
      </c>
      <c r="AH119"/>
    </row>
    <row r="120" spans="1:34" x14ac:dyDescent="0.2">
      <c r="A120"/>
      <c r="B120"/>
      <c r="C120"/>
      <c r="D120"/>
      <c r="E120"/>
      <c r="F120" t="str">
        <f>LEFT(AllDaqbookOffsets[[#This Row],[traceability_no]],2)</f>
        <v>J1</v>
      </c>
      <c r="N120" s="456"/>
      <c r="O120"/>
      <c r="W120" t="s">
        <v>565</v>
      </c>
      <c r="X120" t="s">
        <v>173</v>
      </c>
      <c r="Z120" s="460" t="str">
        <v>J512</v>
      </c>
      <c r="AA120" s="194" t="str">
        <v>J501-J514</v>
      </c>
      <c r="AB120"/>
      <c r="AG120" s="69" t="str">
        <v>J512</v>
      </c>
      <c r="AH120"/>
    </row>
    <row r="121" spans="1:34" x14ac:dyDescent="0.2">
      <c r="A121"/>
      <c r="B121"/>
      <c r="C121"/>
      <c r="D121"/>
      <c r="E121"/>
      <c r="F121" t="str">
        <f>LEFT(AllDaqbookOffsets[[#This Row],[traceability_no]],2)</f>
        <v>J1</v>
      </c>
      <c r="N121" s="456"/>
      <c r="O121"/>
      <c r="W121" t="s">
        <v>566</v>
      </c>
      <c r="X121" t="s">
        <v>173</v>
      </c>
      <c r="Z121" s="460" t="str">
        <v>J513</v>
      </c>
      <c r="AA121" s="194" t="str">
        <v>J501-J514</v>
      </c>
      <c r="AB121"/>
      <c r="AG121" s="69" t="str">
        <v>J513</v>
      </c>
      <c r="AH121"/>
    </row>
    <row r="122" spans="1:34" x14ac:dyDescent="0.2">
      <c r="A122"/>
      <c r="B122"/>
      <c r="C122"/>
      <c r="D122"/>
      <c r="E122"/>
      <c r="F122" t="str">
        <f>LEFT(AllDaqbookOffsets[[#This Row],[traceability_no]],2)</f>
        <v>J1</v>
      </c>
      <c r="N122" s="456"/>
      <c r="O122"/>
      <c r="W122" t="s">
        <v>567</v>
      </c>
      <c r="X122" t="s">
        <v>173</v>
      </c>
      <c r="Z122" s="460" t="str">
        <v>J514</v>
      </c>
      <c r="AA122" s="194" t="str">
        <v>J501-J514</v>
      </c>
      <c r="AB122"/>
      <c r="AG122" s="69" t="str">
        <v>J514</v>
      </c>
      <c r="AH122"/>
    </row>
    <row r="123" spans="1:34" x14ac:dyDescent="0.2">
      <c r="A123"/>
      <c r="B123"/>
      <c r="C123"/>
      <c r="D123"/>
      <c r="E123"/>
      <c r="F123" t="str">
        <f>LEFT(AllDaqbookOffsets[[#This Row],[traceability_no]],2)</f>
        <v>J1</v>
      </c>
      <c r="N123" s="456"/>
      <c r="O123"/>
      <c r="W123" t="s">
        <v>568</v>
      </c>
      <c r="X123" t="s">
        <v>173</v>
      </c>
      <c r="Z123" s="460" t="str">
        <v>J601</v>
      </c>
      <c r="AA123" s="194" t="str">
        <v>J601-J610</v>
      </c>
      <c r="AB123"/>
      <c r="AG123" s="69" t="str">
        <v>J601</v>
      </c>
      <c r="AH123"/>
    </row>
    <row r="124" spans="1:34" x14ac:dyDescent="0.2">
      <c r="A124"/>
      <c r="B124"/>
      <c r="C124"/>
      <c r="D124"/>
      <c r="E124"/>
      <c r="F124" t="str">
        <f>LEFT(AllDaqbookOffsets[[#This Row],[traceability_no]],2)</f>
        <v>J1</v>
      </c>
      <c r="N124" s="456"/>
      <c r="O124"/>
      <c r="W124" t="s">
        <v>569</v>
      </c>
      <c r="X124" t="s">
        <v>173</v>
      </c>
      <c r="Z124" s="460" t="str">
        <v>J602</v>
      </c>
      <c r="AA124" s="194" t="str">
        <v>J601-J610</v>
      </c>
      <c r="AB124"/>
      <c r="AG124" s="69" t="str">
        <v>J602</v>
      </c>
      <c r="AH124"/>
    </row>
    <row r="125" spans="1:34" x14ac:dyDescent="0.2">
      <c r="A125"/>
      <c r="B125"/>
      <c r="C125"/>
      <c r="D125"/>
      <c r="E125"/>
      <c r="F125" t="str">
        <f>LEFT(AllDaqbookOffsets[[#This Row],[traceability_no]],2)</f>
        <v>J1</v>
      </c>
      <c r="N125" s="456"/>
      <c r="O125"/>
      <c r="W125" t="s">
        <v>570</v>
      </c>
      <c r="X125" t="s">
        <v>173</v>
      </c>
      <c r="Z125" s="460" t="str">
        <v>J603</v>
      </c>
      <c r="AA125" s="194" t="str">
        <v>J601-J610</v>
      </c>
      <c r="AB125"/>
      <c r="AG125" s="69" t="str">
        <v>J603</v>
      </c>
      <c r="AH125"/>
    </row>
    <row r="126" spans="1:34" x14ac:dyDescent="0.2">
      <c r="A126"/>
      <c r="B126"/>
      <c r="C126"/>
      <c r="D126"/>
      <c r="E126"/>
      <c r="F126" t="str">
        <f>LEFT(AllDaqbookOffsets[[#This Row],[traceability_no]],2)</f>
        <v>J1</v>
      </c>
      <c r="N126" s="456"/>
      <c r="O126"/>
      <c r="W126" t="s">
        <v>571</v>
      </c>
      <c r="X126" t="s">
        <v>173</v>
      </c>
      <c r="Z126" s="460" t="str">
        <v>J604</v>
      </c>
      <c r="AA126" s="194" t="str">
        <v>J601-J610</v>
      </c>
      <c r="AB126"/>
      <c r="AG126" s="69" t="str">
        <v>J604</v>
      </c>
      <c r="AH126"/>
    </row>
    <row r="127" spans="1:34" x14ac:dyDescent="0.2">
      <c r="A127"/>
      <c r="B127"/>
      <c r="C127"/>
      <c r="D127"/>
      <c r="E127"/>
      <c r="F127" t="str">
        <f>LEFT(AllDaqbookOffsets[[#This Row],[traceability_no]],2)</f>
        <v>J1</v>
      </c>
      <c r="N127" s="456"/>
      <c r="O127"/>
      <c r="W127" t="s">
        <v>557</v>
      </c>
      <c r="X127" t="s">
        <v>295</v>
      </c>
      <c r="Z127" s="460" t="str">
        <v>J605</v>
      </c>
      <c r="AA127" s="194" t="str">
        <v>J601-J610</v>
      </c>
      <c r="AB127"/>
      <c r="AG127" s="69" t="str">
        <v>J605</v>
      </c>
      <c r="AH127"/>
    </row>
    <row r="128" spans="1:34" x14ac:dyDescent="0.2">
      <c r="A128"/>
      <c r="B128"/>
      <c r="C128"/>
      <c r="D128"/>
      <c r="E128"/>
      <c r="F128" t="str">
        <f>LEFT(AllDaqbookOffsets[[#This Row],[traceability_no]],2)</f>
        <v>J1</v>
      </c>
      <c r="N128" s="456"/>
      <c r="O128"/>
      <c r="W128" t="s">
        <v>572</v>
      </c>
      <c r="X128" t="s">
        <v>173</v>
      </c>
      <c r="Z128" s="460" t="str">
        <v>J606</v>
      </c>
      <c r="AA128" s="194" t="str">
        <v>J601-J610</v>
      </c>
      <c r="AB128"/>
      <c r="AG128" s="69" t="str">
        <v>J606</v>
      </c>
      <c r="AH128"/>
    </row>
    <row r="129" spans="1:34" x14ac:dyDescent="0.2">
      <c r="A129"/>
      <c r="B129"/>
      <c r="C129"/>
      <c r="D129"/>
      <c r="E129"/>
      <c r="F129" t="str">
        <f>LEFT(AllDaqbookOffsets[[#This Row],[traceability_no]],2)</f>
        <v>J1</v>
      </c>
      <c r="N129" s="456"/>
      <c r="O129"/>
      <c r="W129" t="s">
        <v>558</v>
      </c>
      <c r="X129" t="s">
        <v>295</v>
      </c>
      <c r="Z129" s="460" t="str">
        <v>J607</v>
      </c>
      <c r="AA129" s="194" t="str">
        <v>J601-J610</v>
      </c>
      <c r="AB129"/>
      <c r="AG129" s="69" t="str">
        <v>J607</v>
      </c>
      <c r="AH129"/>
    </row>
    <row r="130" spans="1:34" x14ac:dyDescent="0.2">
      <c r="A130"/>
      <c r="B130"/>
      <c r="C130"/>
      <c r="D130"/>
      <c r="E130"/>
      <c r="F130" t="str">
        <f>LEFT(AllDaqbookOffsets[[#This Row],[traceability_no]],2)</f>
        <v>J1</v>
      </c>
      <c r="N130" s="456"/>
      <c r="O130"/>
      <c r="W130" t="s">
        <v>559</v>
      </c>
      <c r="X130" t="s">
        <v>295</v>
      </c>
      <c r="Z130" s="460" t="str">
        <v>J608</v>
      </c>
      <c r="AA130" s="194" t="str">
        <v>J601-J610</v>
      </c>
      <c r="AB130"/>
      <c r="AG130" s="69" t="str">
        <v>J608</v>
      </c>
      <c r="AH130"/>
    </row>
    <row r="131" spans="1:34" x14ac:dyDescent="0.2">
      <c r="A131"/>
      <c r="B131"/>
      <c r="C131"/>
      <c r="D131"/>
      <c r="E131"/>
      <c r="F131" t="str">
        <f>LEFT(AllDaqbookOffsets[[#This Row],[traceability_no]],2)</f>
        <v>J1</v>
      </c>
      <c r="N131" s="456"/>
      <c r="O131"/>
      <c r="W131" t="s">
        <v>560</v>
      </c>
      <c r="X131" t="s">
        <v>295</v>
      </c>
      <c r="Z131" s="460" t="str">
        <v>J609</v>
      </c>
      <c r="AA131" s="194" t="str">
        <v>J601-J610</v>
      </c>
      <c r="AB131"/>
      <c r="AG131" s="69" t="str">
        <v>J609</v>
      </c>
      <c r="AH131"/>
    </row>
    <row r="132" spans="1:34" x14ac:dyDescent="0.2">
      <c r="A132"/>
      <c r="B132"/>
      <c r="C132"/>
      <c r="D132"/>
      <c r="E132"/>
      <c r="F132" t="str">
        <f>LEFT(AllDaqbookOffsets[[#This Row],[traceability_no]],2)</f>
        <v>J1</v>
      </c>
      <c r="N132" s="456"/>
      <c r="O132"/>
      <c r="W132" t="s">
        <v>561</v>
      </c>
      <c r="X132" t="s">
        <v>295</v>
      </c>
      <c r="Z132" s="460" t="str">
        <v>J610</v>
      </c>
      <c r="AA132" s="194" t="str">
        <v>J601-J610</v>
      </c>
      <c r="AB132"/>
      <c r="AG132" s="69" t="str">
        <v>J610</v>
      </c>
      <c r="AH132"/>
    </row>
    <row r="133" spans="1:34" x14ac:dyDescent="0.2">
      <c r="A133"/>
      <c r="B133"/>
      <c r="C133"/>
      <c r="D133"/>
      <c r="E133"/>
      <c r="F133" t="str">
        <f>LEFT(AllDaqbookOffsets[[#This Row],[traceability_no]],2)</f>
        <v>J1</v>
      </c>
      <c r="N133" s="456"/>
      <c r="O133"/>
      <c r="W133" t="s">
        <v>562</v>
      </c>
      <c r="X133" t="s">
        <v>295</v>
      </c>
      <c r="Z133" s="460" t="str">
        <v>J701</v>
      </c>
      <c r="AA133" s="194" t="str">
        <v>J701-J710</v>
      </c>
      <c r="AB133"/>
      <c r="AG133" s="69" t="str">
        <v>J701</v>
      </c>
      <c r="AH133"/>
    </row>
    <row r="134" spans="1:34" x14ac:dyDescent="0.2">
      <c r="A134"/>
      <c r="B134"/>
      <c r="C134"/>
      <c r="D134"/>
      <c r="E134"/>
      <c r="F134" t="str">
        <f>LEFT(AllDaqbookOffsets[[#This Row],[traceability_no]],2)</f>
        <v>J1</v>
      </c>
      <c r="N134" s="456"/>
      <c r="O134"/>
      <c r="W134" t="s">
        <v>573</v>
      </c>
      <c r="X134" t="s">
        <v>174</v>
      </c>
      <c r="Z134" s="460" t="str">
        <v>J702</v>
      </c>
      <c r="AA134" s="194" t="str">
        <v>J701-J710</v>
      </c>
      <c r="AB134"/>
      <c r="AG134" s="69" t="str">
        <v>J702</v>
      </c>
      <c r="AH134"/>
    </row>
    <row r="135" spans="1:34" x14ac:dyDescent="0.2">
      <c r="A135"/>
      <c r="B135"/>
      <c r="C135"/>
      <c r="D135"/>
      <c r="E135"/>
      <c r="F135" t="str">
        <f>LEFT(AllDaqbookOffsets[[#This Row],[traceability_no]],2)</f>
        <v>J1</v>
      </c>
      <c r="N135" s="456"/>
      <c r="O135"/>
      <c r="W135" t="s">
        <v>574</v>
      </c>
      <c r="X135" t="s">
        <v>174</v>
      </c>
      <c r="Z135" s="460" t="str">
        <v>J703</v>
      </c>
      <c r="AA135" s="194" t="str">
        <v>J701-J710</v>
      </c>
      <c r="AB135"/>
      <c r="AG135" s="69" t="str">
        <v>J703</v>
      </c>
      <c r="AH135"/>
    </row>
    <row r="136" spans="1:34" x14ac:dyDescent="0.2">
      <c r="A136"/>
      <c r="B136"/>
      <c r="C136"/>
      <c r="D136"/>
      <c r="E136"/>
      <c r="F136" t="str">
        <f>LEFT(AllDaqbookOffsets[[#This Row],[traceability_no]],2)</f>
        <v>J1</v>
      </c>
      <c r="N136" s="456"/>
      <c r="O136"/>
      <c r="W136" t="s">
        <v>575</v>
      </c>
      <c r="X136" t="s">
        <v>174</v>
      </c>
      <c r="Z136" s="460" t="str">
        <v>J704</v>
      </c>
      <c r="AA136" s="194" t="str">
        <v>J701-J710</v>
      </c>
      <c r="AB136"/>
      <c r="AG136" s="69" t="str">
        <v>J704</v>
      </c>
      <c r="AH136"/>
    </row>
    <row r="137" spans="1:34" x14ac:dyDescent="0.2">
      <c r="A137"/>
      <c r="B137"/>
      <c r="C137"/>
      <c r="D137"/>
      <c r="E137"/>
      <c r="F137" t="str">
        <f>LEFT(AllDaqbookOffsets[[#This Row],[traceability_no]],2)</f>
        <v>J1</v>
      </c>
      <c r="N137" s="456"/>
      <c r="O137"/>
      <c r="W137" t="s">
        <v>576</v>
      </c>
      <c r="X137" t="s">
        <v>174</v>
      </c>
      <c r="Z137" s="460" t="str">
        <v>J705</v>
      </c>
      <c r="AA137" s="194" t="str">
        <v>J701-J710</v>
      </c>
      <c r="AB137"/>
      <c r="AG137" s="69" t="str">
        <v>J705</v>
      </c>
      <c r="AH137"/>
    </row>
    <row r="138" spans="1:34" x14ac:dyDescent="0.2">
      <c r="A138"/>
      <c r="B138"/>
      <c r="C138"/>
      <c r="D138"/>
      <c r="E138"/>
      <c r="F138" t="str">
        <f>LEFT(AllDaqbookOffsets[[#This Row],[traceability_no]],2)</f>
        <v>J1</v>
      </c>
      <c r="N138" s="456"/>
      <c r="O138"/>
      <c r="W138" t="s">
        <v>577</v>
      </c>
      <c r="X138" t="s">
        <v>174</v>
      </c>
      <c r="Z138" s="460" t="str">
        <v>J706</v>
      </c>
      <c r="AA138" s="194" t="str">
        <v>J701-J710</v>
      </c>
      <c r="AB138"/>
      <c r="AG138" s="69" t="str">
        <v>J706</v>
      </c>
      <c r="AH138"/>
    </row>
    <row r="139" spans="1:34" x14ac:dyDescent="0.2">
      <c r="A139"/>
      <c r="B139"/>
      <c r="C139"/>
      <c r="D139"/>
      <c r="E139"/>
      <c r="F139" t="str">
        <f>LEFT(AllDaqbookOffsets[[#This Row],[traceability_no]],2)</f>
        <v>J1</v>
      </c>
      <c r="N139" s="456"/>
      <c r="O139"/>
      <c r="W139" t="s">
        <v>578</v>
      </c>
      <c r="X139" t="s">
        <v>174</v>
      </c>
      <c r="Z139" s="460" t="str">
        <v>J707</v>
      </c>
      <c r="AA139" s="194" t="str">
        <v>J701-J710</v>
      </c>
      <c r="AB139"/>
      <c r="AG139" s="69" t="str">
        <v>J707</v>
      </c>
      <c r="AH139"/>
    </row>
    <row r="140" spans="1:34" x14ac:dyDescent="0.2">
      <c r="A140"/>
      <c r="B140"/>
      <c r="C140"/>
      <c r="D140"/>
      <c r="E140"/>
      <c r="F140" t="str">
        <f>LEFT(AllDaqbookOffsets[[#This Row],[traceability_no]],2)</f>
        <v>J1</v>
      </c>
      <c r="N140" s="456"/>
      <c r="O140"/>
      <c r="W140" t="s">
        <v>579</v>
      </c>
      <c r="X140" t="s">
        <v>174</v>
      </c>
      <c r="Z140" s="460" t="str">
        <v>J708</v>
      </c>
      <c r="AA140" s="194" t="str">
        <v>J701-J710</v>
      </c>
      <c r="AB140"/>
      <c r="AG140" s="69" t="str">
        <v>J708</v>
      </c>
      <c r="AH140"/>
    </row>
    <row r="141" spans="1:34" x14ac:dyDescent="0.2">
      <c r="A141"/>
      <c r="B141"/>
      <c r="C141"/>
      <c r="D141"/>
      <c r="E141"/>
      <c r="F141" t="str">
        <f>LEFT(AllDaqbookOffsets[[#This Row],[traceability_no]],2)</f>
        <v>J1</v>
      </c>
      <c r="N141" s="456"/>
      <c r="O141"/>
      <c r="W141" t="s">
        <v>580</v>
      </c>
      <c r="X141" t="s">
        <v>174</v>
      </c>
      <c r="Z141" s="460" t="str">
        <v>J709</v>
      </c>
      <c r="AA141" s="194" t="str">
        <v>J701-J710</v>
      </c>
      <c r="AB141"/>
      <c r="AG141" s="69" t="str">
        <v>J709</v>
      </c>
      <c r="AH141"/>
    </row>
    <row r="142" spans="1:34" x14ac:dyDescent="0.2">
      <c r="A142"/>
      <c r="B142"/>
      <c r="C142"/>
      <c r="D142"/>
      <c r="E142"/>
      <c r="F142" t="str">
        <f>LEFT(AllDaqbookOffsets[[#This Row],[traceability_no]],2)</f>
        <v>J1</v>
      </c>
      <c r="N142" s="456"/>
      <c r="O142"/>
      <c r="W142" t="s">
        <v>581</v>
      </c>
      <c r="X142" t="s">
        <v>174</v>
      </c>
      <c r="Z142" s="460" t="str">
        <v>J710</v>
      </c>
      <c r="AA142" s="194" t="str">
        <v>J701-J710</v>
      </c>
      <c r="AB142"/>
      <c r="AG142" s="69" t="str">
        <v>J710</v>
      </c>
      <c r="AH142"/>
    </row>
    <row r="143" spans="1:34" x14ac:dyDescent="0.2">
      <c r="A143"/>
      <c r="B143"/>
      <c r="C143"/>
      <c r="D143"/>
      <c r="E143"/>
      <c r="F143" t="str">
        <f>LEFT(AllDaqbookOffsets[[#This Row],[traceability_no]],2)</f>
        <v>J1</v>
      </c>
      <c r="N143" s="456"/>
      <c r="O143"/>
      <c r="W143" t="s">
        <v>582</v>
      </c>
      <c r="X143" t="s">
        <v>174</v>
      </c>
      <c r="Z143" s="460" t="str">
        <v>K01</v>
      </c>
      <c r="AA143" s="194" t="str">
        <v>K01-K16</v>
      </c>
      <c r="AB143"/>
      <c r="AG143" s="69" t="str">
        <v>K01</v>
      </c>
      <c r="AH143"/>
    </row>
    <row r="144" spans="1:34" x14ac:dyDescent="0.2">
      <c r="A144"/>
      <c r="B144"/>
      <c r="C144"/>
      <c r="D144"/>
      <c r="E144"/>
      <c r="F144" t="str">
        <f>LEFT(AllDaqbookOffsets[[#This Row],[traceability_no]],2)</f>
        <v>J1</v>
      </c>
      <c r="N144" s="456"/>
      <c r="O144"/>
      <c r="W144" t="s">
        <v>583</v>
      </c>
      <c r="X144" t="s">
        <v>174</v>
      </c>
      <c r="Z144" s="460" t="str">
        <v>K02</v>
      </c>
      <c r="AA144" s="194" t="str">
        <v>K01-K16</v>
      </c>
      <c r="AB144"/>
      <c r="AG144" s="69" t="str">
        <v>K02</v>
      </c>
      <c r="AH144"/>
    </row>
    <row r="145" spans="1:34" x14ac:dyDescent="0.2">
      <c r="A145"/>
      <c r="B145"/>
      <c r="C145"/>
      <c r="D145"/>
      <c r="E145"/>
      <c r="F145" t="str">
        <f>LEFT(AllDaqbookOffsets[[#This Row],[traceability_no]],2)</f>
        <v>J1</v>
      </c>
      <c r="N145" s="456"/>
      <c r="O145"/>
      <c r="W145" t="s">
        <v>584</v>
      </c>
      <c r="X145" t="s">
        <v>174</v>
      </c>
      <c r="Z145" s="460" t="str">
        <v>K03</v>
      </c>
      <c r="AA145" s="194" t="str">
        <v>K01-K16</v>
      </c>
      <c r="AB145"/>
      <c r="AG145" s="69" t="str">
        <v>K03</v>
      </c>
      <c r="AH145"/>
    </row>
    <row r="146" spans="1:34" x14ac:dyDescent="0.2">
      <c r="A146"/>
      <c r="B146"/>
      <c r="C146"/>
      <c r="D146"/>
      <c r="E146"/>
      <c r="F146" t="str">
        <f>LEFT(AllDaqbookOffsets[[#This Row],[traceability_no]],2)</f>
        <v>J1</v>
      </c>
      <c r="N146" s="456"/>
      <c r="O146"/>
      <c r="W146" t="s">
        <v>585</v>
      </c>
      <c r="X146" t="s">
        <v>174</v>
      </c>
      <c r="Z146" s="460" t="str">
        <v>K04</v>
      </c>
      <c r="AA146" s="194" t="str">
        <v>K01-K16</v>
      </c>
      <c r="AB146"/>
      <c r="AG146" s="69" t="str">
        <v>K04</v>
      </c>
      <c r="AH146"/>
    </row>
    <row r="147" spans="1:34" x14ac:dyDescent="0.2">
      <c r="A147"/>
      <c r="B147"/>
      <c r="C147"/>
      <c r="D147"/>
      <c r="E147"/>
      <c r="F147" t="str">
        <f>LEFT(AllDaqbookOffsets[[#This Row],[traceability_no]],2)</f>
        <v>J1</v>
      </c>
      <c r="N147" s="456"/>
      <c r="O147"/>
      <c r="W147" t="s">
        <v>586</v>
      </c>
      <c r="X147" t="s">
        <v>174</v>
      </c>
      <c r="Z147" s="460" t="str">
        <v>K05</v>
      </c>
      <c r="AA147" s="194" t="str">
        <v>K01-K16</v>
      </c>
      <c r="AB147"/>
      <c r="AG147" s="69" t="str">
        <v>K05</v>
      </c>
      <c r="AH147"/>
    </row>
    <row r="148" spans="1:34" x14ac:dyDescent="0.2">
      <c r="A148"/>
      <c r="B148"/>
      <c r="C148"/>
      <c r="D148"/>
      <c r="E148"/>
      <c r="F148" t="str">
        <f>LEFT(AllDaqbookOffsets[[#This Row],[traceability_no]],2)</f>
        <v>J1</v>
      </c>
      <c r="N148" s="456"/>
      <c r="O148"/>
      <c r="W148" t="s">
        <v>587</v>
      </c>
      <c r="X148" t="s">
        <v>175</v>
      </c>
      <c r="Z148" s="460" t="str">
        <v>K06</v>
      </c>
      <c r="AA148" s="194" t="str">
        <v>K01-K16</v>
      </c>
      <c r="AB148"/>
      <c r="AG148" s="69" t="str">
        <v>K06</v>
      </c>
      <c r="AH148"/>
    </row>
    <row r="149" spans="1:34" x14ac:dyDescent="0.2">
      <c r="A149"/>
      <c r="B149"/>
      <c r="C149"/>
      <c r="D149"/>
      <c r="E149"/>
      <c r="F149" t="str">
        <f>LEFT(AllDaqbookOffsets[[#This Row],[traceability_no]],2)</f>
        <v>J1</v>
      </c>
      <c r="N149" s="456"/>
      <c r="O149"/>
      <c r="W149" t="s">
        <v>588</v>
      </c>
      <c r="X149" t="s">
        <v>175</v>
      </c>
      <c r="Z149" s="460" t="str">
        <v>K07</v>
      </c>
      <c r="AA149" s="194" t="str">
        <v>K01-K16</v>
      </c>
      <c r="AB149"/>
      <c r="AG149" s="69" t="str">
        <v>K07</v>
      </c>
      <c r="AH149"/>
    </row>
    <row r="150" spans="1:34" x14ac:dyDescent="0.2">
      <c r="A150"/>
      <c r="B150"/>
      <c r="C150"/>
      <c r="D150"/>
      <c r="E150"/>
      <c r="F150" t="str">
        <f>LEFT(AllDaqbookOffsets[[#This Row],[traceability_no]],2)</f>
        <v>J1</v>
      </c>
      <c r="N150" s="456"/>
      <c r="O150"/>
      <c r="W150" t="s">
        <v>589</v>
      </c>
      <c r="X150" t="s">
        <v>175</v>
      </c>
      <c r="Z150" s="460" t="str">
        <v>K08</v>
      </c>
      <c r="AA150" s="194" t="str">
        <v>K01-K16</v>
      </c>
      <c r="AB150"/>
      <c r="AG150" s="69" t="str">
        <v>K08</v>
      </c>
      <c r="AH150"/>
    </row>
    <row r="151" spans="1:34" x14ac:dyDescent="0.2">
      <c r="A151"/>
      <c r="B151"/>
      <c r="C151"/>
      <c r="D151"/>
      <c r="E151"/>
      <c r="F151" t="str">
        <f>LEFT(AllDaqbookOffsets[[#This Row],[traceability_no]],2)</f>
        <v>J1</v>
      </c>
      <c r="N151" s="456"/>
      <c r="O151"/>
      <c r="W151" t="s">
        <v>590</v>
      </c>
      <c r="X151" t="s">
        <v>175</v>
      </c>
      <c r="Z151" s="460" t="str">
        <v>K09</v>
      </c>
      <c r="AA151" s="194" t="str">
        <v>K01-K16</v>
      </c>
      <c r="AB151"/>
      <c r="AG151" s="69" t="str">
        <v>K09</v>
      </c>
      <c r="AH151"/>
    </row>
    <row r="152" spans="1:34" x14ac:dyDescent="0.2">
      <c r="A152"/>
      <c r="B152"/>
      <c r="C152"/>
      <c r="D152"/>
      <c r="E152"/>
      <c r="F152" t="str">
        <f>LEFT(AllDaqbookOffsets[[#This Row],[traceability_no]],2)</f>
        <v>J1</v>
      </c>
      <c r="N152" s="456"/>
      <c r="O152"/>
      <c r="W152" t="s">
        <v>591</v>
      </c>
      <c r="X152" t="s">
        <v>175</v>
      </c>
      <c r="Z152" s="460" t="str">
        <v>K10</v>
      </c>
      <c r="AA152" s="194" t="str">
        <v>K01-K16</v>
      </c>
      <c r="AB152"/>
      <c r="AG152" s="69" t="str">
        <v>K10</v>
      </c>
      <c r="AH152"/>
    </row>
    <row r="153" spans="1:34" x14ac:dyDescent="0.2">
      <c r="A153"/>
      <c r="B153"/>
      <c r="C153"/>
      <c r="D153"/>
      <c r="E153"/>
      <c r="F153" t="str">
        <f>LEFT(AllDaqbookOffsets[[#This Row],[traceability_no]],2)</f>
        <v>J1</v>
      </c>
      <c r="N153" s="456"/>
      <c r="O153"/>
      <c r="W153" t="s">
        <v>592</v>
      </c>
      <c r="X153" t="s">
        <v>175</v>
      </c>
      <c r="Z153" s="460" t="str">
        <v>K101</v>
      </c>
      <c r="AA153" s="194" t="str">
        <v>K101 - K110</v>
      </c>
      <c r="AB153"/>
      <c r="AG153" s="69" t="str">
        <v>K101</v>
      </c>
      <c r="AH153"/>
    </row>
    <row r="154" spans="1:34" x14ac:dyDescent="0.2">
      <c r="A154"/>
      <c r="B154"/>
      <c r="C154"/>
      <c r="D154"/>
      <c r="E154"/>
      <c r="F154" t="str">
        <f>LEFT(AllDaqbookOffsets[[#This Row],[traceability_no]],2)</f>
        <v>J1</v>
      </c>
      <c r="N154" s="456"/>
      <c r="O154"/>
      <c r="W154" t="s">
        <v>593</v>
      </c>
      <c r="X154" t="s">
        <v>175</v>
      </c>
      <c r="Z154" s="460" t="str">
        <v>K102</v>
      </c>
      <c r="AA154" s="194" t="str">
        <v>K101 - K110</v>
      </c>
      <c r="AB154"/>
      <c r="AG154" s="69" t="str">
        <v>K102</v>
      </c>
      <c r="AH154"/>
    </row>
    <row r="155" spans="1:34" x14ac:dyDescent="0.2">
      <c r="A155"/>
      <c r="B155"/>
      <c r="C155"/>
      <c r="D155"/>
      <c r="E155"/>
      <c r="F155" t="str">
        <f>LEFT(AllDaqbookOffsets[[#This Row],[traceability_no]],2)</f>
        <v>J1</v>
      </c>
      <c r="N155" s="456"/>
      <c r="O155"/>
      <c r="W155" t="s">
        <v>594</v>
      </c>
      <c r="X155" t="s">
        <v>175</v>
      </c>
      <c r="Z155" s="460" t="str">
        <v>K103</v>
      </c>
      <c r="AA155" s="194" t="str">
        <v>K101 - K110</v>
      </c>
      <c r="AB155"/>
      <c r="AG155" s="69" t="str">
        <v>K103</v>
      </c>
      <c r="AH155"/>
    </row>
    <row r="156" spans="1:34" x14ac:dyDescent="0.2">
      <c r="A156"/>
      <c r="B156"/>
      <c r="C156"/>
      <c r="D156"/>
      <c r="E156"/>
      <c r="F156" t="str">
        <f>LEFT(AllDaqbookOffsets[[#This Row],[traceability_no]],2)</f>
        <v>J1</v>
      </c>
      <c r="N156" s="456"/>
      <c r="O156"/>
      <c r="W156" t="s">
        <v>595</v>
      </c>
      <c r="X156" t="s">
        <v>175</v>
      </c>
      <c r="Z156" s="460" t="str">
        <v>K104</v>
      </c>
      <c r="AA156" s="194" t="str">
        <v>K101 - K110</v>
      </c>
      <c r="AB156"/>
      <c r="AG156" s="69" t="str">
        <v>K104</v>
      </c>
      <c r="AH156"/>
    </row>
    <row r="157" spans="1:34" x14ac:dyDescent="0.2">
      <c r="A157"/>
      <c r="B157"/>
      <c r="C157"/>
      <c r="D157"/>
      <c r="E157"/>
      <c r="F157" t="str">
        <f>LEFT(AllDaqbookOffsets[[#This Row],[traceability_no]],2)</f>
        <v>J1</v>
      </c>
      <c r="N157" s="456"/>
      <c r="O157"/>
      <c r="W157" t="s">
        <v>596</v>
      </c>
      <c r="X157" t="s">
        <v>175</v>
      </c>
      <c r="Z157" s="460" t="str">
        <v>K105</v>
      </c>
      <c r="AA157" s="194" t="str">
        <v>K101 - K110</v>
      </c>
      <c r="AB157"/>
      <c r="AG157" s="69" t="str">
        <v>K105</v>
      </c>
      <c r="AH157"/>
    </row>
    <row r="158" spans="1:34" x14ac:dyDescent="0.2">
      <c r="A158"/>
      <c r="B158"/>
      <c r="C158"/>
      <c r="D158"/>
      <c r="E158"/>
      <c r="F158" t="str">
        <f>LEFT(AllDaqbookOffsets[[#This Row],[traceability_no]],2)</f>
        <v>J1</v>
      </c>
      <c r="N158" s="456"/>
      <c r="O158"/>
      <c r="W158" t="s">
        <v>597</v>
      </c>
      <c r="X158" t="s">
        <v>175</v>
      </c>
      <c r="Z158" s="460" t="str">
        <v>K106</v>
      </c>
      <c r="AA158" s="194" t="str">
        <v>K101 - K110</v>
      </c>
      <c r="AB158"/>
      <c r="AG158" s="69" t="str">
        <v>K106</v>
      </c>
      <c r="AH158"/>
    </row>
    <row r="159" spans="1:34" x14ac:dyDescent="0.2">
      <c r="A159"/>
      <c r="B159"/>
      <c r="C159"/>
      <c r="D159"/>
      <c r="E159"/>
      <c r="F159" t="str">
        <f>LEFT(AllDaqbookOffsets[[#This Row],[traceability_no]],2)</f>
        <v>J1</v>
      </c>
      <c r="N159" s="456"/>
      <c r="O159"/>
      <c r="W159" t="s">
        <v>598</v>
      </c>
      <c r="X159" t="s">
        <v>175</v>
      </c>
      <c r="Z159" s="460" t="str">
        <v>K107</v>
      </c>
      <c r="AA159" s="194" t="str">
        <v>K101 - K110</v>
      </c>
      <c r="AB159"/>
      <c r="AG159" s="69" t="str">
        <v>K107</v>
      </c>
      <c r="AH159"/>
    </row>
    <row r="160" spans="1:34" x14ac:dyDescent="0.2">
      <c r="A160"/>
      <c r="B160"/>
      <c r="C160"/>
      <c r="D160"/>
      <c r="E160"/>
      <c r="F160" t="str">
        <f>LEFT(AllDaqbookOffsets[[#This Row],[traceability_no]],2)</f>
        <v>J1</v>
      </c>
      <c r="N160" s="456"/>
      <c r="O160"/>
      <c r="W160" t="s">
        <v>599</v>
      </c>
      <c r="X160" t="s">
        <v>175</v>
      </c>
      <c r="Z160" s="460" t="str">
        <v>K108</v>
      </c>
      <c r="AA160" s="194" t="str">
        <v>K101 - K110</v>
      </c>
      <c r="AB160"/>
      <c r="AG160" s="69" t="str">
        <v>K108</v>
      </c>
      <c r="AH160"/>
    </row>
    <row r="161" spans="1:34" x14ac:dyDescent="0.2">
      <c r="A161"/>
      <c r="B161"/>
      <c r="C161"/>
      <c r="D161"/>
      <c r="E161"/>
      <c r="F161" t="str">
        <f>LEFT(AllDaqbookOffsets[[#This Row],[traceability_no]],2)</f>
        <v>J1</v>
      </c>
      <c r="N161" s="456"/>
      <c r="O161"/>
      <c r="W161" t="s">
        <v>600</v>
      </c>
      <c r="X161" t="s">
        <v>175</v>
      </c>
      <c r="Z161" s="460" t="str">
        <v>K109</v>
      </c>
      <c r="AA161" s="194" t="str">
        <v>K101 - K110</v>
      </c>
      <c r="AB161"/>
      <c r="AG161" s="69" t="str">
        <v>K109</v>
      </c>
      <c r="AH161"/>
    </row>
    <row r="162" spans="1:34" x14ac:dyDescent="0.2">
      <c r="A162"/>
      <c r="B162"/>
      <c r="C162"/>
      <c r="D162"/>
      <c r="E162"/>
      <c r="F162" t="str">
        <f>LEFT(AllDaqbookOffsets[[#This Row],[traceability_no]],2)</f>
        <v>J1</v>
      </c>
      <c r="N162" s="456"/>
      <c r="O162"/>
      <c r="W162" t="s">
        <v>601</v>
      </c>
      <c r="X162" t="s">
        <v>176</v>
      </c>
      <c r="Z162" s="460" t="str">
        <v>K11</v>
      </c>
      <c r="AA162" s="194" t="str">
        <v>K01-K16</v>
      </c>
      <c r="AB162"/>
      <c r="AG162" s="69" t="str">
        <v>K11</v>
      </c>
      <c r="AH162"/>
    </row>
    <row r="163" spans="1:34" x14ac:dyDescent="0.2">
      <c r="A163"/>
      <c r="B163"/>
      <c r="C163"/>
      <c r="D163"/>
      <c r="E163"/>
      <c r="F163" t="str">
        <f>LEFT(AllDaqbookOffsets[[#This Row],[traceability_no]],2)</f>
        <v>J1</v>
      </c>
      <c r="N163" s="456"/>
      <c r="O163"/>
      <c r="W163" t="s">
        <v>602</v>
      </c>
      <c r="X163" t="s">
        <v>176</v>
      </c>
      <c r="Z163" s="460" t="str">
        <v>K110</v>
      </c>
      <c r="AA163" s="194" t="str">
        <v>K101 - K110</v>
      </c>
      <c r="AB163"/>
      <c r="AG163" s="69" t="str">
        <v>K110</v>
      </c>
      <c r="AH163"/>
    </row>
    <row r="164" spans="1:34" x14ac:dyDescent="0.2">
      <c r="A164"/>
      <c r="B164"/>
      <c r="C164"/>
      <c r="D164"/>
      <c r="E164"/>
      <c r="F164" t="str">
        <f>LEFT(AllDaqbookOffsets[[#This Row],[traceability_no]],2)</f>
        <v>J1</v>
      </c>
      <c r="N164" s="456"/>
      <c r="O164"/>
      <c r="W164" t="s">
        <v>603</v>
      </c>
      <c r="X164" t="s">
        <v>176</v>
      </c>
      <c r="Z164" s="460" t="str">
        <v>K12</v>
      </c>
      <c r="AA164" s="194" t="str">
        <v>K01-K16</v>
      </c>
      <c r="AB164"/>
      <c r="AG164" s="69" t="str">
        <v>K12</v>
      </c>
      <c r="AH164"/>
    </row>
    <row r="165" spans="1:34" x14ac:dyDescent="0.2">
      <c r="A165"/>
      <c r="B165"/>
      <c r="C165"/>
      <c r="D165"/>
      <c r="E165"/>
      <c r="F165" t="str">
        <f>LEFT(AllDaqbookOffsets[[#This Row],[traceability_no]],2)</f>
        <v>J1</v>
      </c>
      <c r="N165" s="456"/>
      <c r="O165"/>
      <c r="W165" t="s">
        <v>604</v>
      </c>
      <c r="X165" t="s">
        <v>176</v>
      </c>
      <c r="Z165" s="460" t="str">
        <v>K13</v>
      </c>
      <c r="AA165" s="194" t="str">
        <v>K01-K16</v>
      </c>
      <c r="AB165"/>
      <c r="AG165" s="69" t="str">
        <v>K13</v>
      </c>
      <c r="AH165"/>
    </row>
    <row r="166" spans="1:34" x14ac:dyDescent="0.2">
      <c r="A166"/>
      <c r="B166"/>
      <c r="C166"/>
      <c r="D166"/>
      <c r="E166"/>
      <c r="F166" t="str">
        <f>LEFT(AllDaqbookOffsets[[#This Row],[traceability_no]],2)</f>
        <v>J1</v>
      </c>
      <c r="N166" s="456"/>
      <c r="O166"/>
      <c r="W166" t="s">
        <v>605</v>
      </c>
      <c r="X166" t="s">
        <v>176</v>
      </c>
      <c r="Z166" s="460" t="str">
        <v>K14</v>
      </c>
      <c r="AA166" s="194" t="str">
        <v>K01-K16</v>
      </c>
      <c r="AB166"/>
      <c r="AG166" s="69" t="str">
        <v>K14</v>
      </c>
      <c r="AH166"/>
    </row>
    <row r="167" spans="1:34" x14ac:dyDescent="0.2">
      <c r="A167"/>
      <c r="B167"/>
      <c r="C167"/>
      <c r="D167"/>
      <c r="E167"/>
      <c r="F167" t="str">
        <f>LEFT(AllDaqbookOffsets[[#This Row],[traceability_no]],2)</f>
        <v>J1</v>
      </c>
      <c r="N167" s="456"/>
      <c r="O167"/>
      <c r="W167" t="s">
        <v>606</v>
      </c>
      <c r="X167" t="s">
        <v>176</v>
      </c>
      <c r="Z167" s="460" t="str">
        <v>K15</v>
      </c>
      <c r="AA167" s="194" t="str">
        <v>K01-K16</v>
      </c>
      <c r="AB167"/>
      <c r="AG167" s="69" t="str">
        <v>K15</v>
      </c>
      <c r="AH167"/>
    </row>
    <row r="168" spans="1:34" x14ac:dyDescent="0.2">
      <c r="A168"/>
      <c r="B168"/>
      <c r="C168"/>
      <c r="D168"/>
      <c r="E168"/>
      <c r="F168" t="str">
        <f>LEFT(AllDaqbookOffsets[[#This Row],[traceability_no]],2)</f>
        <v>J1</v>
      </c>
      <c r="N168" s="456"/>
      <c r="O168"/>
      <c r="W168" t="s">
        <v>607</v>
      </c>
      <c r="X168" t="s">
        <v>176</v>
      </c>
      <c r="Z168" s="460" t="str">
        <v>K16</v>
      </c>
      <c r="AA168" s="194" t="str">
        <v>K01-K16</v>
      </c>
      <c r="AB168"/>
      <c r="AG168" s="69" t="str">
        <v>K16</v>
      </c>
      <c r="AH168"/>
    </row>
    <row r="169" spans="1:34" x14ac:dyDescent="0.2">
      <c r="A169"/>
      <c r="B169"/>
      <c r="C169"/>
      <c r="D169"/>
      <c r="E169"/>
      <c r="F169" t="str">
        <f>LEFT(AllDaqbookOffsets[[#This Row],[traceability_no]],2)</f>
        <v>J1</v>
      </c>
      <c r="N169" s="456"/>
      <c r="O169"/>
      <c r="W169" t="s">
        <v>608</v>
      </c>
      <c r="X169" t="s">
        <v>176</v>
      </c>
      <c r="Z169" s="460" t="str">
        <v>K201</v>
      </c>
      <c r="AA169" s="194" t="str">
        <v>K201-K214</v>
      </c>
      <c r="AB169"/>
      <c r="AG169" s="69" t="str">
        <v>K201</v>
      </c>
      <c r="AH169"/>
    </row>
    <row r="170" spans="1:34" x14ac:dyDescent="0.2">
      <c r="A170"/>
      <c r="B170"/>
      <c r="C170"/>
      <c r="D170"/>
      <c r="E170"/>
      <c r="F170" t="str">
        <f>LEFT(AllDaqbookOffsets[[#This Row],[traceability_no]],2)</f>
        <v>J1</v>
      </c>
      <c r="N170" s="456"/>
      <c r="O170"/>
      <c r="W170" t="s">
        <v>609</v>
      </c>
      <c r="X170" t="s">
        <v>176</v>
      </c>
      <c r="Z170" s="460" t="str">
        <v>K202</v>
      </c>
      <c r="AA170" s="194" t="str">
        <v>K201-K214</v>
      </c>
      <c r="AB170"/>
      <c r="AG170" s="69" t="str">
        <v>K202</v>
      </c>
      <c r="AH170"/>
    </row>
    <row r="171" spans="1:34" x14ac:dyDescent="0.2">
      <c r="A171"/>
      <c r="B171"/>
      <c r="C171"/>
      <c r="D171"/>
      <c r="E171"/>
      <c r="F171" t="str">
        <f>LEFT(AllDaqbookOffsets[[#This Row],[traceability_no]],2)</f>
        <v>J1</v>
      </c>
      <c r="N171" s="456"/>
      <c r="O171"/>
      <c r="W171" t="s">
        <v>610</v>
      </c>
      <c r="X171" t="s">
        <v>176</v>
      </c>
      <c r="Z171" s="460" t="str">
        <v>K203</v>
      </c>
      <c r="AA171" s="194" t="str">
        <v>K201-K214</v>
      </c>
      <c r="AB171"/>
      <c r="AG171" s="69" t="str">
        <v>K203</v>
      </c>
      <c r="AH171"/>
    </row>
    <row r="172" spans="1:34" x14ac:dyDescent="0.2">
      <c r="A172"/>
      <c r="B172"/>
      <c r="C172"/>
      <c r="D172"/>
      <c r="E172"/>
      <c r="F172" t="str">
        <f>LEFT(AllDaqbookOffsets[[#This Row],[traceability_no]],2)</f>
        <v>J1</v>
      </c>
      <c r="N172" s="456"/>
      <c r="O172"/>
      <c r="W172" t="s">
        <v>611</v>
      </c>
      <c r="X172" t="s">
        <v>176</v>
      </c>
      <c r="Z172" s="460" t="str">
        <v>K204</v>
      </c>
      <c r="AA172" s="194" t="str">
        <v>K201-K214</v>
      </c>
      <c r="AB172"/>
      <c r="AG172" s="69" t="str">
        <v>K204</v>
      </c>
      <c r="AH172"/>
    </row>
    <row r="173" spans="1:34" x14ac:dyDescent="0.2">
      <c r="A173"/>
      <c r="B173"/>
      <c r="C173"/>
      <c r="D173"/>
      <c r="E173"/>
      <c r="F173" t="str">
        <f>LEFT(AllDaqbookOffsets[[#This Row],[traceability_no]],2)</f>
        <v>J1</v>
      </c>
      <c r="N173" s="456"/>
      <c r="O173"/>
      <c r="W173" t="s">
        <v>612</v>
      </c>
      <c r="X173" t="s">
        <v>176</v>
      </c>
      <c r="Z173" s="460" t="str">
        <v>K205</v>
      </c>
      <c r="AA173" s="194" t="str">
        <v>K201-K214</v>
      </c>
      <c r="AB173"/>
      <c r="AG173" s="69" t="str">
        <v>K205</v>
      </c>
      <c r="AH173"/>
    </row>
    <row r="174" spans="1:34" x14ac:dyDescent="0.2">
      <c r="A174"/>
      <c r="B174"/>
      <c r="C174"/>
      <c r="D174"/>
      <c r="E174"/>
      <c r="F174" t="str">
        <f>LEFT(AllDaqbookOffsets[[#This Row],[traceability_no]],2)</f>
        <v>J1</v>
      </c>
      <c r="N174" s="456"/>
      <c r="O174"/>
      <c r="W174" t="s">
        <v>613</v>
      </c>
      <c r="X174" t="s">
        <v>176</v>
      </c>
      <c r="Z174" s="460" t="str">
        <v>K206</v>
      </c>
      <c r="AA174" s="194" t="str">
        <v>K201-K214</v>
      </c>
      <c r="AB174"/>
      <c r="AG174" s="69" t="str">
        <v>K206</v>
      </c>
      <c r="AH174"/>
    </row>
    <row r="175" spans="1:34" x14ac:dyDescent="0.2">
      <c r="A175"/>
      <c r="B175"/>
      <c r="C175"/>
      <c r="D175"/>
      <c r="E175"/>
      <c r="F175" t="str">
        <f>LEFT(AllDaqbookOffsets[[#This Row],[traceability_no]],2)</f>
        <v>J1</v>
      </c>
      <c r="N175" s="456"/>
      <c r="O175"/>
      <c r="W175" t="s">
        <v>614</v>
      </c>
      <c r="X175" t="s">
        <v>176</v>
      </c>
      <c r="Z175" s="460" t="str">
        <v>K207</v>
      </c>
      <c r="AA175" s="194" t="str">
        <v>K201-K214</v>
      </c>
      <c r="AB175"/>
      <c r="AG175" s="69" t="str">
        <v>K207</v>
      </c>
      <c r="AH175"/>
    </row>
    <row r="176" spans="1:34" x14ac:dyDescent="0.2">
      <c r="A176"/>
      <c r="B176"/>
      <c r="C176"/>
      <c r="D176"/>
      <c r="E176"/>
      <c r="F176" t="str">
        <f>LEFT(AllDaqbookOffsets[[#This Row],[traceability_no]],2)</f>
        <v>J1</v>
      </c>
      <c r="N176" s="456"/>
      <c r="O176"/>
      <c r="W176" t="s">
        <v>615</v>
      </c>
      <c r="X176" t="s">
        <v>176</v>
      </c>
      <c r="Z176" s="460" t="str">
        <v>K208</v>
      </c>
      <c r="AA176" s="194" t="str">
        <v>K201-K214</v>
      </c>
      <c r="AB176"/>
      <c r="AG176" s="69" t="str">
        <v>K208</v>
      </c>
      <c r="AH176"/>
    </row>
    <row r="177" spans="1:34" x14ac:dyDescent="0.2">
      <c r="A177"/>
      <c r="B177"/>
      <c r="C177"/>
      <c r="D177"/>
      <c r="E177"/>
      <c r="F177" t="str">
        <f>LEFT(AllDaqbookOffsets[[#This Row],[traceability_no]],2)</f>
        <v>J1</v>
      </c>
      <c r="N177" s="456"/>
      <c r="O177"/>
      <c r="W177" t="s">
        <v>616</v>
      </c>
      <c r="X177" t="s">
        <v>176</v>
      </c>
      <c r="Z177" s="460" t="str">
        <v>K209</v>
      </c>
      <c r="AA177" s="194" t="str">
        <v>K201-K214</v>
      </c>
      <c r="AB177"/>
      <c r="AG177" s="69" t="str">
        <v>K209</v>
      </c>
      <c r="AH177"/>
    </row>
    <row r="178" spans="1:34" x14ac:dyDescent="0.2">
      <c r="A178"/>
      <c r="B178"/>
      <c r="C178"/>
      <c r="D178"/>
      <c r="E178"/>
      <c r="F178" t="str">
        <f>LEFT(AllDaqbookOffsets[[#This Row],[traceability_no]],2)</f>
        <v>J1</v>
      </c>
      <c r="N178" s="456"/>
      <c r="O178"/>
      <c r="W178" t="s">
        <v>617</v>
      </c>
      <c r="X178" t="s">
        <v>177</v>
      </c>
      <c r="Z178" s="460" t="str">
        <v>K210</v>
      </c>
      <c r="AA178" s="194" t="str">
        <v>K201-K214</v>
      </c>
      <c r="AB178"/>
      <c r="AG178" s="69" t="str">
        <v>K210</v>
      </c>
      <c r="AH178"/>
    </row>
    <row r="179" spans="1:34" x14ac:dyDescent="0.2">
      <c r="A179"/>
      <c r="B179"/>
      <c r="C179"/>
      <c r="D179"/>
      <c r="E179"/>
      <c r="F179" t="str">
        <f>LEFT(AllDaqbookOffsets[[#This Row],[traceability_no]],2)</f>
        <v>J1</v>
      </c>
      <c r="N179" s="456"/>
      <c r="O179"/>
      <c r="W179" t="s">
        <v>618</v>
      </c>
      <c r="X179" t="s">
        <v>177</v>
      </c>
      <c r="Z179" s="460" t="str">
        <v>K211</v>
      </c>
      <c r="AA179" s="194" t="str">
        <v>K201-K214</v>
      </c>
      <c r="AB179"/>
      <c r="AG179" s="69" t="str">
        <v>K211</v>
      </c>
      <c r="AH179"/>
    </row>
    <row r="180" spans="1:34" x14ac:dyDescent="0.2">
      <c r="A180"/>
      <c r="B180"/>
      <c r="C180"/>
      <c r="D180"/>
      <c r="E180"/>
      <c r="F180" t="str">
        <f>LEFT(AllDaqbookOffsets[[#This Row],[traceability_no]],2)</f>
        <v>J1</v>
      </c>
      <c r="N180" s="456"/>
      <c r="O180"/>
      <c r="W180" t="s">
        <v>619</v>
      </c>
      <c r="X180" t="s">
        <v>177</v>
      </c>
      <c r="Z180" s="460" t="str">
        <v>K212</v>
      </c>
      <c r="AA180" s="194" t="str">
        <v>K201-K214</v>
      </c>
      <c r="AB180"/>
      <c r="AG180" s="69" t="str">
        <v>K212</v>
      </c>
      <c r="AH180"/>
    </row>
    <row r="181" spans="1:34" x14ac:dyDescent="0.2">
      <c r="A181"/>
      <c r="B181"/>
      <c r="C181"/>
      <c r="D181"/>
      <c r="E181"/>
      <c r="F181" t="str">
        <f>LEFT(AllDaqbookOffsets[[#This Row],[traceability_no]],2)</f>
        <v>J1</v>
      </c>
      <c r="N181" s="456"/>
      <c r="O181"/>
      <c r="W181" t="s">
        <v>620</v>
      </c>
      <c r="X181" t="s">
        <v>177</v>
      </c>
      <c r="Z181" s="460" t="str">
        <v>K213</v>
      </c>
      <c r="AA181" s="194" t="str">
        <v>K201-K214</v>
      </c>
      <c r="AB181"/>
      <c r="AG181" s="69" t="str">
        <v>K213</v>
      </c>
      <c r="AH181"/>
    </row>
    <row r="182" spans="1:34" x14ac:dyDescent="0.2">
      <c r="A182"/>
      <c r="B182"/>
      <c r="C182"/>
      <c r="D182"/>
      <c r="E182"/>
      <c r="F182" t="str">
        <f>LEFT(AllDaqbookOffsets[[#This Row],[traceability_no]],2)</f>
        <v>J1</v>
      </c>
      <c r="N182" s="456"/>
      <c r="O182"/>
      <c r="W182" t="s">
        <v>621</v>
      </c>
      <c r="X182" t="s">
        <v>177</v>
      </c>
      <c r="Z182" s="460" t="str">
        <v>K214</v>
      </c>
      <c r="AA182" s="194" t="str">
        <v>K201-K214</v>
      </c>
      <c r="AB182"/>
      <c r="AG182" s="69" t="str">
        <v>K214</v>
      </c>
      <c r="AH182"/>
    </row>
    <row r="183" spans="1:34" x14ac:dyDescent="0.2">
      <c r="A183"/>
      <c r="B183"/>
      <c r="C183"/>
      <c r="D183"/>
      <c r="E183"/>
      <c r="F183" t="str">
        <f>LEFT(AllDaqbookOffsets[[#This Row],[traceability_no]],2)</f>
        <v>J1</v>
      </c>
      <c r="N183" s="456"/>
      <c r="O183"/>
      <c r="W183" t="s">
        <v>622</v>
      </c>
      <c r="X183" t="s">
        <v>177</v>
      </c>
      <c r="Z183" s="460" t="str">
        <v>K301</v>
      </c>
      <c r="AA183" s="194" t="str">
        <v>K301-K314</v>
      </c>
      <c r="AB183"/>
      <c r="AG183" s="69" t="str">
        <v>K301</v>
      </c>
      <c r="AH183"/>
    </row>
    <row r="184" spans="1:34" x14ac:dyDescent="0.2">
      <c r="A184"/>
      <c r="B184"/>
      <c r="C184"/>
      <c r="D184"/>
      <c r="E184"/>
      <c r="F184" t="str">
        <f>LEFT(AllDaqbookOffsets[[#This Row],[traceability_no]],2)</f>
        <v>J1</v>
      </c>
      <c r="N184" s="456"/>
      <c r="O184"/>
      <c r="W184" t="s">
        <v>623</v>
      </c>
      <c r="X184" t="s">
        <v>177</v>
      </c>
      <c r="Z184" s="460" t="str">
        <v>K302</v>
      </c>
      <c r="AA184" s="194" t="str">
        <v>K301-K314</v>
      </c>
      <c r="AB184"/>
      <c r="AG184" s="69" t="str">
        <v>K302</v>
      </c>
      <c r="AH184"/>
    </row>
    <row r="185" spans="1:34" x14ac:dyDescent="0.2">
      <c r="A185"/>
      <c r="B185"/>
      <c r="C185"/>
      <c r="D185"/>
      <c r="E185"/>
      <c r="F185" t="str">
        <f>LEFT(AllDaqbookOffsets[[#This Row],[traceability_no]],2)</f>
        <v>J1</v>
      </c>
      <c r="N185" s="456"/>
      <c r="O185"/>
      <c r="W185" t="s">
        <v>624</v>
      </c>
      <c r="X185" t="s">
        <v>177</v>
      </c>
      <c r="Z185" s="460" t="str">
        <v>K303</v>
      </c>
      <c r="AA185" s="194" t="str">
        <v>K301-K314</v>
      </c>
      <c r="AB185"/>
      <c r="AG185" s="69" t="str">
        <v>K303</v>
      </c>
      <c r="AH185"/>
    </row>
    <row r="186" spans="1:34" x14ac:dyDescent="0.2">
      <c r="A186"/>
      <c r="B186"/>
      <c r="C186"/>
      <c r="D186"/>
      <c r="E186"/>
      <c r="F186" t="str">
        <f>LEFT(AllDaqbookOffsets[[#This Row],[traceability_no]],2)</f>
        <v>J1</v>
      </c>
      <c r="N186" s="456"/>
      <c r="O186"/>
      <c r="W186" t="s">
        <v>625</v>
      </c>
      <c r="X186" t="s">
        <v>177</v>
      </c>
      <c r="Z186" s="460" t="str">
        <v>K304</v>
      </c>
      <c r="AA186" s="194" t="str">
        <v>K301-K314</v>
      </c>
      <c r="AB186"/>
      <c r="AG186" s="69" t="str">
        <v>K304</v>
      </c>
      <c r="AH186"/>
    </row>
    <row r="187" spans="1:34" x14ac:dyDescent="0.2">
      <c r="A187"/>
      <c r="B187"/>
      <c r="C187"/>
      <c r="D187"/>
      <c r="E187"/>
      <c r="F187" t="str">
        <f>LEFT(AllDaqbookOffsets[[#This Row],[traceability_no]],2)</f>
        <v>J1</v>
      </c>
      <c r="N187" s="456"/>
      <c r="O187"/>
      <c r="W187" t="s">
        <v>626</v>
      </c>
      <c r="X187" t="s">
        <v>177</v>
      </c>
      <c r="Z187" s="460" t="str">
        <v>K305</v>
      </c>
      <c r="AA187" s="194" t="str">
        <v>K301-K314</v>
      </c>
      <c r="AB187"/>
      <c r="AG187" s="69" t="str">
        <v>K305</v>
      </c>
      <c r="AH187"/>
    </row>
    <row r="188" spans="1:34" x14ac:dyDescent="0.2">
      <c r="A188"/>
      <c r="B188"/>
      <c r="C188"/>
      <c r="D188"/>
      <c r="E188"/>
      <c r="F188" t="str">
        <f>LEFT(AllDaqbookOffsets[[#This Row],[traceability_no]],2)</f>
        <v>J1</v>
      </c>
      <c r="N188" s="456"/>
      <c r="O188"/>
      <c r="W188" t="s">
        <v>627</v>
      </c>
      <c r="X188" t="s">
        <v>177</v>
      </c>
      <c r="Z188" s="460" t="str">
        <v>K306</v>
      </c>
      <c r="AA188" s="194" t="str">
        <v>K301-K314</v>
      </c>
      <c r="AB188"/>
      <c r="AG188" s="69" t="str">
        <v>K306</v>
      </c>
      <c r="AH188"/>
    </row>
    <row r="189" spans="1:34" x14ac:dyDescent="0.2">
      <c r="A189"/>
      <c r="B189"/>
      <c r="C189"/>
      <c r="D189"/>
      <c r="E189"/>
      <c r="F189" t="str">
        <f>LEFT(AllDaqbookOffsets[[#This Row],[traceability_no]],2)</f>
        <v>J1</v>
      </c>
      <c r="N189" s="456"/>
      <c r="O189"/>
      <c r="W189" t="s">
        <v>628</v>
      </c>
      <c r="X189" t="s">
        <v>177</v>
      </c>
      <c r="Z189" s="460" t="str">
        <v>K307</v>
      </c>
      <c r="AA189" s="194" t="str">
        <v>K301-K314</v>
      </c>
      <c r="AB189"/>
      <c r="AG189" s="69" t="str">
        <v>K307</v>
      </c>
      <c r="AH189"/>
    </row>
    <row r="190" spans="1:34" x14ac:dyDescent="0.2">
      <c r="A190"/>
      <c r="B190"/>
      <c r="C190"/>
      <c r="D190"/>
      <c r="E190"/>
      <c r="F190" t="str">
        <f>LEFT(AllDaqbookOffsets[[#This Row],[traceability_no]],2)</f>
        <v>J1</v>
      </c>
      <c r="N190" s="456"/>
      <c r="O190"/>
      <c r="W190" t="s">
        <v>629</v>
      </c>
      <c r="X190" t="s">
        <v>177</v>
      </c>
      <c r="Z190" s="460" t="str">
        <v>K308</v>
      </c>
      <c r="AA190" s="194" t="str">
        <v>K301-K314</v>
      </c>
      <c r="AB190"/>
      <c r="AG190" s="69" t="str">
        <v>K308</v>
      </c>
      <c r="AH190"/>
    </row>
    <row r="191" spans="1:34" x14ac:dyDescent="0.2">
      <c r="A191"/>
      <c r="B191"/>
      <c r="C191"/>
      <c r="D191"/>
      <c r="E191"/>
      <c r="F191" t="str">
        <f>LEFT(AllDaqbookOffsets[[#This Row],[traceability_no]],2)</f>
        <v>J1</v>
      </c>
      <c r="N191" s="456"/>
      <c r="O191"/>
      <c r="W191" t="s">
        <v>630</v>
      </c>
      <c r="X191" t="s">
        <v>177</v>
      </c>
      <c r="Z191" s="460" t="str">
        <v>K309</v>
      </c>
      <c r="AA191" s="194" t="str">
        <v>K301-K314</v>
      </c>
      <c r="AB191"/>
      <c r="AG191" s="69" t="str">
        <v>K309</v>
      </c>
      <c r="AH191"/>
    </row>
    <row r="192" spans="1:34" x14ac:dyDescent="0.2">
      <c r="A192"/>
      <c r="B192"/>
      <c r="C192"/>
      <c r="D192"/>
      <c r="E192"/>
      <c r="F192" t="str">
        <f>LEFT(AllDaqbookOffsets[[#This Row],[traceability_no]],2)</f>
        <v>J1</v>
      </c>
      <c r="N192" s="456"/>
      <c r="O192"/>
      <c r="W192" t="s">
        <v>631</v>
      </c>
      <c r="X192" t="s">
        <v>178</v>
      </c>
      <c r="Z192" s="460" t="str">
        <v>K310</v>
      </c>
      <c r="AA192" s="194" t="str">
        <v>K301-K314</v>
      </c>
      <c r="AB192"/>
      <c r="AG192" s="69" t="str">
        <v>K310</v>
      </c>
      <c r="AH192"/>
    </row>
    <row r="193" spans="1:34" x14ac:dyDescent="0.2">
      <c r="A193"/>
      <c r="B193"/>
      <c r="C193"/>
      <c r="D193"/>
      <c r="E193"/>
      <c r="F193" t="str">
        <f>LEFT(AllDaqbookOffsets[[#This Row],[traceability_no]],2)</f>
        <v>J1</v>
      </c>
      <c r="N193" s="456"/>
      <c r="O193"/>
      <c r="W193" t="s">
        <v>632</v>
      </c>
      <c r="X193" t="s">
        <v>178</v>
      </c>
      <c r="Z193" s="460" t="str">
        <v>K311</v>
      </c>
      <c r="AA193" s="194" t="str">
        <v>K301-K314</v>
      </c>
      <c r="AB193"/>
      <c r="AG193" s="69" t="str">
        <v>K311</v>
      </c>
      <c r="AH193"/>
    </row>
    <row r="194" spans="1:34" x14ac:dyDescent="0.2">
      <c r="A194"/>
      <c r="B194"/>
      <c r="C194"/>
      <c r="D194"/>
      <c r="E194"/>
      <c r="F194" t="str">
        <f>LEFT(AllDaqbookOffsets[[#This Row],[traceability_no]],2)</f>
        <v>J1</v>
      </c>
      <c r="N194" s="456"/>
      <c r="O194"/>
      <c r="W194" t="s">
        <v>633</v>
      </c>
      <c r="X194" t="s">
        <v>178</v>
      </c>
      <c r="Z194" s="460" t="str">
        <v>K312</v>
      </c>
      <c r="AA194" s="194" t="str">
        <v>K301-K314</v>
      </c>
      <c r="AB194"/>
      <c r="AG194" s="69" t="str">
        <v>K312</v>
      </c>
      <c r="AH194"/>
    </row>
    <row r="195" spans="1:34" x14ac:dyDescent="0.2">
      <c r="A195"/>
      <c r="B195"/>
      <c r="C195"/>
      <c r="D195"/>
      <c r="E195"/>
      <c r="F195" t="str">
        <f>LEFT(AllDaqbookOffsets[[#This Row],[traceability_no]],2)</f>
        <v>J1</v>
      </c>
      <c r="N195" s="456"/>
      <c r="O195"/>
      <c r="W195" t="s">
        <v>634</v>
      </c>
      <c r="X195" t="s">
        <v>178</v>
      </c>
      <c r="Z195" s="460" t="str">
        <v>K313</v>
      </c>
      <c r="AA195" s="194" t="str">
        <v>K301-K314</v>
      </c>
      <c r="AB195"/>
      <c r="AG195" s="69" t="str">
        <v>K313</v>
      </c>
      <c r="AH195"/>
    </row>
    <row r="196" spans="1:34" x14ac:dyDescent="0.2">
      <c r="A196"/>
      <c r="B196"/>
      <c r="C196"/>
      <c r="D196"/>
      <c r="E196"/>
      <c r="F196" t="str">
        <f>LEFT(AllDaqbookOffsets[[#This Row],[traceability_no]],2)</f>
        <v>J1</v>
      </c>
      <c r="N196" s="456"/>
      <c r="O196"/>
      <c r="W196" t="s">
        <v>635</v>
      </c>
      <c r="X196" t="s">
        <v>178</v>
      </c>
      <c r="Z196" s="460" t="str">
        <v>K314</v>
      </c>
      <c r="AA196" s="194" t="str">
        <v>K301-K314</v>
      </c>
      <c r="AB196"/>
      <c r="AG196" s="69" t="str">
        <v>K314</v>
      </c>
      <c r="AH196"/>
    </row>
    <row r="197" spans="1:34" x14ac:dyDescent="0.2">
      <c r="A197"/>
      <c r="B197"/>
      <c r="C197"/>
      <c r="D197"/>
      <c r="E197"/>
      <c r="F197" t="str">
        <f>LEFT(AllDaqbookOffsets[[#This Row],[traceability_no]],2)</f>
        <v>J1</v>
      </c>
      <c r="N197" s="456"/>
      <c r="O197"/>
      <c r="W197" t="s">
        <v>636</v>
      </c>
      <c r="X197" t="s">
        <v>178</v>
      </c>
      <c r="Z197" s="460" t="str">
        <v>K401</v>
      </c>
      <c r="AA197" s="194" t="str">
        <v>K401-K416</v>
      </c>
      <c r="AB197"/>
      <c r="AG197" s="69" t="str">
        <v>K401</v>
      </c>
      <c r="AH197"/>
    </row>
    <row r="198" spans="1:34" x14ac:dyDescent="0.2">
      <c r="A198"/>
      <c r="B198"/>
      <c r="C198"/>
      <c r="D198"/>
      <c r="E198"/>
      <c r="F198" t="str">
        <f>LEFT(AllDaqbookOffsets[[#This Row],[traceability_no]],2)</f>
        <v>J1</v>
      </c>
      <c r="N198" s="456"/>
      <c r="O198"/>
      <c r="W198" t="s">
        <v>637</v>
      </c>
      <c r="X198" t="s">
        <v>178</v>
      </c>
      <c r="Z198" s="460" t="str">
        <v>K402</v>
      </c>
      <c r="AA198" s="194" t="str">
        <v>K401-K416</v>
      </c>
      <c r="AB198"/>
      <c r="AG198" s="69" t="str">
        <v>K402</v>
      </c>
      <c r="AH198"/>
    </row>
    <row r="199" spans="1:34" x14ac:dyDescent="0.2">
      <c r="A199"/>
      <c r="B199"/>
      <c r="C199"/>
      <c r="D199"/>
      <c r="E199"/>
      <c r="F199" t="str">
        <f>LEFT(AllDaqbookOffsets[[#This Row],[traceability_no]],2)</f>
        <v>J1</v>
      </c>
      <c r="N199" s="456"/>
      <c r="O199"/>
      <c r="W199" t="s">
        <v>638</v>
      </c>
      <c r="X199" t="s">
        <v>178</v>
      </c>
      <c r="Z199" s="460" t="str">
        <v>K403</v>
      </c>
      <c r="AA199" s="194" t="str">
        <v>K401-K416</v>
      </c>
      <c r="AB199"/>
      <c r="AG199" s="69" t="str">
        <v>K403</v>
      </c>
      <c r="AH199"/>
    </row>
    <row r="200" spans="1:34" x14ac:dyDescent="0.2">
      <c r="A200"/>
      <c r="B200"/>
      <c r="C200"/>
      <c r="D200"/>
      <c r="E200"/>
      <c r="F200" t="str">
        <f>LEFT(AllDaqbookOffsets[[#This Row],[traceability_no]],2)</f>
        <v>J1</v>
      </c>
      <c r="N200" s="456"/>
      <c r="O200"/>
      <c r="W200" t="s">
        <v>639</v>
      </c>
      <c r="X200" t="s">
        <v>178</v>
      </c>
      <c r="Z200" s="460" t="str">
        <v>K404</v>
      </c>
      <c r="AA200" s="194" t="str">
        <v>K401-K416</v>
      </c>
      <c r="AB200"/>
      <c r="AG200" s="69" t="str">
        <v>K404</v>
      </c>
      <c r="AH200"/>
    </row>
    <row r="201" spans="1:34" x14ac:dyDescent="0.2">
      <c r="A201"/>
      <c r="B201"/>
      <c r="C201"/>
      <c r="D201"/>
      <c r="E201"/>
      <c r="F201" t="str">
        <f>LEFT(AllDaqbookOffsets[[#This Row],[traceability_no]],2)</f>
        <v>J1</v>
      </c>
      <c r="N201" s="456"/>
      <c r="O201"/>
      <c r="W201" t="s">
        <v>640</v>
      </c>
      <c r="X201" t="s">
        <v>178</v>
      </c>
      <c r="Z201" s="460" t="str">
        <v>K405</v>
      </c>
      <c r="AA201" s="194" t="str">
        <v>K401-K416</v>
      </c>
      <c r="AB201"/>
      <c r="AG201" s="69" t="str">
        <v>K405</v>
      </c>
      <c r="AH201"/>
    </row>
    <row r="202" spans="1:34" x14ac:dyDescent="0.2">
      <c r="A202"/>
      <c r="B202"/>
      <c r="C202"/>
      <c r="D202"/>
      <c r="E202"/>
      <c r="F202" t="str">
        <f>LEFT(AllDaqbookOffsets[[#This Row],[traceability_no]],2)</f>
        <v>J1</v>
      </c>
      <c r="N202" s="456"/>
      <c r="O202"/>
      <c r="W202" t="s">
        <v>641</v>
      </c>
      <c r="X202" t="s">
        <v>179</v>
      </c>
      <c r="Z202" s="460" t="str">
        <v>K406</v>
      </c>
      <c r="AA202" s="194" t="str">
        <v>K401-K416</v>
      </c>
      <c r="AB202"/>
      <c r="AG202" s="69" t="str">
        <v>K406</v>
      </c>
      <c r="AH202"/>
    </row>
    <row r="203" spans="1:34" x14ac:dyDescent="0.2">
      <c r="A203"/>
      <c r="B203"/>
      <c r="C203"/>
      <c r="D203"/>
      <c r="E203"/>
      <c r="F203" t="str">
        <f>LEFT(AllDaqbookOffsets[[#This Row],[traceability_no]],2)</f>
        <v>J1</v>
      </c>
      <c r="N203" s="456"/>
      <c r="O203"/>
      <c r="W203" t="s">
        <v>642</v>
      </c>
      <c r="X203" t="s">
        <v>179</v>
      </c>
      <c r="Z203" s="460" t="str">
        <v>K407</v>
      </c>
      <c r="AA203" s="194" t="str">
        <v>K401-K416</v>
      </c>
      <c r="AB203"/>
      <c r="AG203" s="69" t="str">
        <v>K407</v>
      </c>
      <c r="AH203"/>
    </row>
    <row r="204" spans="1:34" x14ac:dyDescent="0.2">
      <c r="A204"/>
      <c r="B204"/>
      <c r="C204"/>
      <c r="D204"/>
      <c r="E204"/>
      <c r="F204" t="str">
        <f>LEFT(AllDaqbookOffsets[[#This Row],[traceability_no]],2)</f>
        <v>J1</v>
      </c>
      <c r="N204" s="456"/>
      <c r="O204"/>
      <c r="W204" t="s">
        <v>643</v>
      </c>
      <c r="X204" t="s">
        <v>179</v>
      </c>
      <c r="Z204" s="460" t="str">
        <v>K408</v>
      </c>
      <c r="AA204" s="194" t="str">
        <v>K401-K416</v>
      </c>
      <c r="AB204"/>
      <c r="AG204" s="69" t="str">
        <v>K408</v>
      </c>
      <c r="AH204"/>
    </row>
    <row r="205" spans="1:34" x14ac:dyDescent="0.2">
      <c r="A205"/>
      <c r="B205"/>
      <c r="C205"/>
      <c r="D205"/>
      <c r="E205"/>
      <c r="F205" t="str">
        <f>LEFT(AllDaqbookOffsets[[#This Row],[traceability_no]],2)</f>
        <v>J1</v>
      </c>
      <c r="N205" s="456"/>
      <c r="O205"/>
      <c r="W205" t="s">
        <v>644</v>
      </c>
      <c r="X205" t="s">
        <v>179</v>
      </c>
      <c r="Z205" s="460" t="str">
        <v>K409</v>
      </c>
      <c r="AA205" s="194" t="str">
        <v>K401-K416</v>
      </c>
      <c r="AB205"/>
      <c r="AG205" s="69" t="str">
        <v>K409</v>
      </c>
      <c r="AH205"/>
    </row>
    <row r="206" spans="1:34" x14ac:dyDescent="0.2">
      <c r="A206"/>
      <c r="B206"/>
      <c r="C206"/>
      <c r="D206"/>
      <c r="E206"/>
      <c r="F206" t="str">
        <f>LEFT(AllDaqbookOffsets[[#This Row],[traceability_no]],2)</f>
        <v>J1</v>
      </c>
      <c r="N206" s="456"/>
      <c r="O206"/>
      <c r="W206" t="s">
        <v>645</v>
      </c>
      <c r="X206" t="s">
        <v>179</v>
      </c>
      <c r="Z206" s="460" t="str">
        <v>K410</v>
      </c>
      <c r="AA206" s="194" t="str">
        <v>K401-K416</v>
      </c>
      <c r="AB206"/>
      <c r="AG206" s="69" t="str">
        <v>K410</v>
      </c>
      <c r="AH206"/>
    </row>
    <row r="207" spans="1:34" x14ac:dyDescent="0.2">
      <c r="A207"/>
      <c r="B207"/>
      <c r="C207"/>
      <c r="D207"/>
      <c r="E207"/>
      <c r="F207" t="str">
        <f>LEFT(AllDaqbookOffsets[[#This Row],[traceability_no]],2)</f>
        <v>J1</v>
      </c>
      <c r="N207" s="456"/>
      <c r="O207"/>
      <c r="W207" t="s">
        <v>646</v>
      </c>
      <c r="X207" t="s">
        <v>179</v>
      </c>
      <c r="Z207" s="460" t="str">
        <v>K411</v>
      </c>
      <c r="AA207" s="194" t="str">
        <v>K401-K416</v>
      </c>
      <c r="AB207"/>
      <c r="AG207" s="69" t="str">
        <v>K411</v>
      </c>
      <c r="AH207"/>
    </row>
    <row r="208" spans="1:34" x14ac:dyDescent="0.2">
      <c r="A208"/>
      <c r="B208"/>
      <c r="C208"/>
      <c r="D208"/>
      <c r="E208"/>
      <c r="F208" t="str">
        <f>LEFT(AllDaqbookOffsets[[#This Row],[traceability_no]],2)</f>
        <v>J1</v>
      </c>
      <c r="N208" s="456"/>
      <c r="O208"/>
      <c r="W208" t="s">
        <v>647</v>
      </c>
      <c r="X208" t="s">
        <v>179</v>
      </c>
      <c r="Z208" s="460" t="str">
        <v>K412</v>
      </c>
      <c r="AA208" s="194" t="str">
        <v>K401-K416</v>
      </c>
      <c r="AB208"/>
      <c r="AG208" s="69" t="str">
        <v>K412</v>
      </c>
      <c r="AH208"/>
    </row>
    <row r="209" spans="1:34" x14ac:dyDescent="0.2">
      <c r="A209"/>
      <c r="B209"/>
      <c r="C209"/>
      <c r="D209"/>
      <c r="E209"/>
      <c r="F209" t="str">
        <f>LEFT(AllDaqbookOffsets[[#This Row],[traceability_no]],2)</f>
        <v>J1</v>
      </c>
      <c r="N209" s="456"/>
      <c r="O209"/>
      <c r="W209" t="s">
        <v>648</v>
      </c>
      <c r="X209" t="s">
        <v>179</v>
      </c>
      <c r="Z209" s="460" t="str">
        <v>K413</v>
      </c>
      <c r="AA209" s="194" t="str">
        <v>K401-K416</v>
      </c>
      <c r="AB209"/>
      <c r="AG209" s="69" t="str">
        <v>K413</v>
      </c>
      <c r="AH209"/>
    </row>
    <row r="210" spans="1:34" x14ac:dyDescent="0.2">
      <c r="A210"/>
      <c r="B210"/>
      <c r="C210"/>
      <c r="D210"/>
      <c r="E210"/>
      <c r="F210" t="str">
        <f>LEFT(AllDaqbookOffsets[[#This Row],[traceability_no]],2)</f>
        <v>J1</v>
      </c>
      <c r="N210" s="456"/>
      <c r="O210"/>
      <c r="W210" t="s">
        <v>649</v>
      </c>
      <c r="X210" t="s">
        <v>179</v>
      </c>
      <c r="Z210" s="460" t="str">
        <v>K414</v>
      </c>
      <c r="AA210" s="194" t="str">
        <v>K401-K416</v>
      </c>
      <c r="AB210"/>
      <c r="AG210" s="69" t="str">
        <v>K414</v>
      </c>
      <c r="AH210"/>
    </row>
    <row r="211" spans="1:34" x14ac:dyDescent="0.2">
      <c r="A211"/>
      <c r="B211"/>
      <c r="C211"/>
      <c r="D211"/>
      <c r="E211"/>
      <c r="F211" t="str">
        <f>LEFT(AllDaqbookOffsets[[#This Row],[traceability_no]],2)</f>
        <v>J1</v>
      </c>
      <c r="N211" s="456"/>
      <c r="O211"/>
      <c r="W211" t="s">
        <v>650</v>
      </c>
      <c r="X211" t="s">
        <v>179</v>
      </c>
      <c r="Z211" s="460" t="str">
        <v>K415</v>
      </c>
      <c r="AA211" s="194" t="str">
        <v>K401-K416</v>
      </c>
      <c r="AB211"/>
      <c r="AG211" s="69" t="str">
        <v>K415</v>
      </c>
      <c r="AH211"/>
    </row>
    <row r="212" spans="1:34" x14ac:dyDescent="0.2">
      <c r="A212"/>
      <c r="B212"/>
      <c r="C212"/>
      <c r="D212"/>
      <c r="E212"/>
      <c r="F212" t="str">
        <f>LEFT(AllDaqbookOffsets[[#This Row],[traceability_no]],2)</f>
        <v>J1</v>
      </c>
      <c r="N212" s="456"/>
      <c r="O212"/>
      <c r="W212" t="s">
        <v>651</v>
      </c>
      <c r="X212" t="s">
        <v>180</v>
      </c>
      <c r="Z212" s="460" t="str">
        <v>K416</v>
      </c>
      <c r="AA212" s="194" t="str">
        <v>K401-K416</v>
      </c>
      <c r="AB212"/>
      <c r="AG212" s="69" t="str">
        <v>K416</v>
      </c>
      <c r="AH212"/>
    </row>
    <row r="213" spans="1:34" x14ac:dyDescent="0.2">
      <c r="A213"/>
      <c r="B213"/>
      <c r="C213"/>
      <c r="D213"/>
      <c r="E213"/>
      <c r="F213" t="str">
        <f>LEFT(AllDaqbookOffsets[[#This Row],[traceability_no]],2)</f>
        <v>J1</v>
      </c>
      <c r="N213" s="456"/>
      <c r="O213"/>
      <c r="W213" t="s">
        <v>652</v>
      </c>
      <c r="X213" t="s">
        <v>180</v>
      </c>
      <c r="Z213" s="460" t="str">
        <v>K521</v>
      </c>
      <c r="AA213" s="194" t="str">
        <v>K521-K534</v>
      </c>
      <c r="AB213"/>
      <c r="AG213" s="69" t="str">
        <v>K521</v>
      </c>
      <c r="AH213"/>
    </row>
    <row r="214" spans="1:34" x14ac:dyDescent="0.2">
      <c r="A214"/>
      <c r="B214"/>
      <c r="C214"/>
      <c r="D214"/>
      <c r="E214"/>
      <c r="F214" t="str">
        <f>LEFT(AllDaqbookOffsets[[#This Row],[traceability_no]],2)</f>
        <v>J1</v>
      </c>
      <c r="N214" s="456"/>
      <c r="O214"/>
      <c r="W214" t="s">
        <v>653</v>
      </c>
      <c r="X214" t="s">
        <v>180</v>
      </c>
      <c r="Z214" s="460" t="str">
        <v>K522</v>
      </c>
      <c r="AA214" s="194" t="str">
        <v>K521-K534</v>
      </c>
      <c r="AB214"/>
      <c r="AG214" s="69" t="str">
        <v>K522</v>
      </c>
      <c r="AH214"/>
    </row>
    <row r="215" spans="1:34" x14ac:dyDescent="0.2">
      <c r="A215"/>
      <c r="B215"/>
      <c r="C215"/>
      <c r="D215"/>
      <c r="E215"/>
      <c r="F215" t="str">
        <f>LEFT(AllDaqbookOffsets[[#This Row],[traceability_no]],2)</f>
        <v>J1</v>
      </c>
      <c r="N215" s="456"/>
      <c r="O215"/>
      <c r="W215" t="s">
        <v>654</v>
      </c>
      <c r="X215" t="s">
        <v>180</v>
      </c>
      <c r="Z215" s="460" t="str">
        <v>K523</v>
      </c>
      <c r="AA215" s="194" t="str">
        <v>K521-K534</v>
      </c>
      <c r="AB215"/>
      <c r="AG215" s="69" t="str">
        <v>K523</v>
      </c>
      <c r="AH215"/>
    </row>
    <row r="216" spans="1:34" x14ac:dyDescent="0.2">
      <c r="A216"/>
      <c r="B216"/>
      <c r="C216"/>
      <c r="D216"/>
      <c r="E216"/>
      <c r="F216" t="str">
        <f>LEFT(AllDaqbookOffsets[[#This Row],[traceability_no]],2)</f>
        <v>J1</v>
      </c>
      <c r="N216" s="456"/>
      <c r="O216"/>
      <c r="W216" t="s">
        <v>655</v>
      </c>
      <c r="X216" t="s">
        <v>180</v>
      </c>
      <c r="Z216" s="460" t="str">
        <v>K524</v>
      </c>
      <c r="AA216" s="194" t="str">
        <v>K521-K534</v>
      </c>
      <c r="AB216"/>
      <c r="AG216" s="69" t="str">
        <v>K524</v>
      </c>
      <c r="AH216"/>
    </row>
    <row r="217" spans="1:34" x14ac:dyDescent="0.2">
      <c r="A217"/>
      <c r="B217"/>
      <c r="C217"/>
      <c r="D217"/>
      <c r="E217"/>
      <c r="F217" t="str">
        <f>LEFT(AllDaqbookOffsets[[#This Row],[traceability_no]],2)</f>
        <v>J1</v>
      </c>
      <c r="N217" s="456"/>
      <c r="O217"/>
      <c r="W217" t="s">
        <v>656</v>
      </c>
      <c r="X217" t="s">
        <v>180</v>
      </c>
      <c r="Z217" s="460" t="str">
        <v>K525</v>
      </c>
      <c r="AA217" s="194" t="str">
        <v>K521-K534</v>
      </c>
      <c r="AB217"/>
      <c r="AG217" s="69" t="str">
        <v>K525</v>
      </c>
      <c r="AH217"/>
    </row>
    <row r="218" spans="1:34" x14ac:dyDescent="0.2">
      <c r="A218"/>
      <c r="B218"/>
      <c r="C218"/>
      <c r="D218"/>
      <c r="E218"/>
      <c r="F218" t="str">
        <f>LEFT(AllDaqbookOffsets[[#This Row],[traceability_no]],2)</f>
        <v>J1</v>
      </c>
      <c r="N218" s="456"/>
      <c r="O218"/>
      <c r="W218" t="s">
        <v>657</v>
      </c>
      <c r="X218" t="s">
        <v>180</v>
      </c>
      <c r="Z218" s="460" t="str">
        <v>K526</v>
      </c>
      <c r="AA218" s="194" t="str">
        <v>K521-K534</v>
      </c>
      <c r="AB218"/>
      <c r="AG218" s="69" t="str">
        <v>K526</v>
      </c>
      <c r="AH218"/>
    </row>
    <row r="219" spans="1:34" x14ac:dyDescent="0.2">
      <c r="A219"/>
      <c r="B219"/>
      <c r="C219"/>
      <c r="D219"/>
      <c r="E219"/>
      <c r="F219" t="str">
        <f>LEFT(AllDaqbookOffsets[[#This Row],[traceability_no]],2)</f>
        <v>J1</v>
      </c>
      <c r="N219" s="456"/>
      <c r="O219"/>
      <c r="W219" t="s">
        <v>658</v>
      </c>
      <c r="X219" t="s">
        <v>180</v>
      </c>
      <c r="Z219" s="460" t="str">
        <v>K527</v>
      </c>
      <c r="AA219" s="194" t="str">
        <v>K521-K534</v>
      </c>
      <c r="AB219"/>
      <c r="AG219" s="69" t="str">
        <v>K527</v>
      </c>
      <c r="AH219"/>
    </row>
    <row r="220" spans="1:34" x14ac:dyDescent="0.2">
      <c r="A220"/>
      <c r="B220"/>
      <c r="C220"/>
      <c r="D220"/>
      <c r="E220"/>
      <c r="F220" t="str">
        <f>LEFT(AllDaqbookOffsets[[#This Row],[traceability_no]],2)</f>
        <v>J1</v>
      </c>
      <c r="N220" s="456"/>
      <c r="O220"/>
      <c r="W220" t="s">
        <v>659</v>
      </c>
      <c r="X220" t="s">
        <v>180</v>
      </c>
      <c r="Z220" s="460" t="str">
        <v>K528</v>
      </c>
      <c r="AA220" s="194" t="str">
        <v>K521-K534</v>
      </c>
      <c r="AB220"/>
      <c r="AG220" s="69" t="str">
        <v>K528</v>
      </c>
      <c r="AH220"/>
    </row>
    <row r="221" spans="1:34" x14ac:dyDescent="0.2">
      <c r="A221"/>
      <c r="B221"/>
      <c r="C221"/>
      <c r="D221"/>
      <c r="E221"/>
      <c r="F221" t="str">
        <f>LEFT(AllDaqbookOffsets[[#This Row],[traceability_no]],2)</f>
        <v>J1</v>
      </c>
      <c r="N221" s="456"/>
      <c r="O221"/>
      <c r="W221" t="s">
        <v>660</v>
      </c>
      <c r="X221" t="s">
        <v>180</v>
      </c>
      <c r="Z221" s="460" t="str">
        <v>K529</v>
      </c>
      <c r="AA221" s="194" t="str">
        <v>K521-K534</v>
      </c>
      <c r="AB221"/>
      <c r="AG221" s="69" t="str">
        <v>K529</v>
      </c>
      <c r="AH221"/>
    </row>
    <row r="222" spans="1:34" x14ac:dyDescent="0.2">
      <c r="A222"/>
      <c r="B222"/>
      <c r="C222"/>
      <c r="D222"/>
      <c r="E222"/>
      <c r="F222" t="str">
        <f>LEFT(AllDaqbookOffsets[[#This Row],[traceability_no]],2)</f>
        <v>J1</v>
      </c>
      <c r="N222" s="456"/>
      <c r="O222"/>
      <c r="W222" t="s">
        <v>661</v>
      </c>
      <c r="X222" t="s">
        <v>180</v>
      </c>
      <c r="Z222" s="460" t="str">
        <v>K530</v>
      </c>
      <c r="AA222" s="194" t="str">
        <v>K521-K534</v>
      </c>
      <c r="AB222"/>
      <c r="AG222" s="69" t="str">
        <v>K530</v>
      </c>
      <c r="AH222"/>
    </row>
    <row r="223" spans="1:34" x14ac:dyDescent="0.2">
      <c r="A223"/>
      <c r="B223"/>
      <c r="C223"/>
      <c r="D223"/>
      <c r="E223"/>
      <c r="F223" t="str">
        <f>LEFT(AllDaqbookOffsets[[#This Row],[traceability_no]],2)</f>
        <v>J1</v>
      </c>
      <c r="N223" s="456"/>
      <c r="O223"/>
      <c r="W223" t="s">
        <v>662</v>
      </c>
      <c r="X223" t="s">
        <v>180</v>
      </c>
      <c r="Z223" s="460" t="str">
        <v>K531</v>
      </c>
      <c r="AA223" s="194" t="str">
        <v>K521-K534</v>
      </c>
      <c r="AB223"/>
      <c r="AG223" s="69" t="str">
        <v>K531</v>
      </c>
      <c r="AH223"/>
    </row>
    <row r="224" spans="1:34" x14ac:dyDescent="0.2">
      <c r="A224"/>
      <c r="B224"/>
      <c r="C224"/>
      <c r="D224"/>
      <c r="E224"/>
      <c r="F224" t="str">
        <f>LEFT(AllDaqbookOffsets[[#This Row],[traceability_no]],2)</f>
        <v>J1</v>
      </c>
      <c r="N224" s="456"/>
      <c r="O224"/>
      <c r="W224" t="s">
        <v>663</v>
      </c>
      <c r="X224" t="s">
        <v>180</v>
      </c>
      <c r="Z224" s="460" t="str">
        <v>K532</v>
      </c>
      <c r="AA224" s="194" t="str">
        <v>K521-K534</v>
      </c>
      <c r="AB224"/>
      <c r="AG224" s="69" t="str">
        <v>K532</v>
      </c>
      <c r="AH224"/>
    </row>
    <row r="225" spans="1:34" x14ac:dyDescent="0.2">
      <c r="A225"/>
      <c r="B225"/>
      <c r="C225"/>
      <c r="D225"/>
      <c r="E225"/>
      <c r="F225" t="str">
        <f>LEFT(AllDaqbookOffsets[[#This Row],[traceability_no]],2)</f>
        <v>J1</v>
      </c>
      <c r="N225" s="456"/>
      <c r="O225"/>
      <c r="W225" t="s">
        <v>664</v>
      </c>
      <c r="X225" t="s">
        <v>180</v>
      </c>
      <c r="Z225" s="460" t="str">
        <v>K533</v>
      </c>
      <c r="AA225" s="194" t="str">
        <v>K521-K534</v>
      </c>
      <c r="AB225"/>
      <c r="AG225" s="69" t="str">
        <v>K533</v>
      </c>
      <c r="AH225"/>
    </row>
    <row r="226" spans="1:34" x14ac:dyDescent="0.2">
      <c r="A226"/>
      <c r="B226"/>
      <c r="C226"/>
      <c r="D226"/>
      <c r="E226"/>
      <c r="F226" t="str">
        <f>LEFT(AllDaqbookOffsets[[#This Row],[traceability_no]],2)</f>
        <v>J1</v>
      </c>
      <c r="N226" s="456"/>
      <c r="O226"/>
      <c r="W226" t="s">
        <v>665</v>
      </c>
      <c r="X226" t="s">
        <v>180</v>
      </c>
      <c r="Z226" s="460" t="str">
        <v>K534</v>
      </c>
      <c r="AA226" s="194" t="str">
        <v>K521-K534</v>
      </c>
      <c r="AB226"/>
      <c r="AG226" s="69" t="str">
        <v>K534</v>
      </c>
      <c r="AH226"/>
    </row>
    <row r="227" spans="1:34" x14ac:dyDescent="0.2">
      <c r="A227"/>
      <c r="B227"/>
      <c r="C227"/>
      <c r="D227"/>
      <c r="E227"/>
      <c r="F227" t="str">
        <f>LEFT(AllDaqbookOffsets[[#This Row],[traceability_no]],2)</f>
        <v>J1</v>
      </c>
      <c r="N227" s="456"/>
      <c r="O227"/>
      <c r="W227" t="s">
        <v>666</v>
      </c>
      <c r="X227" t="s">
        <v>180</v>
      </c>
      <c r="Z227" s="460" t="str">
        <v>K601</v>
      </c>
      <c r="AA227" s="194" t="str">
        <v>K601-K610</v>
      </c>
      <c r="AB227"/>
      <c r="AG227" s="69" t="str">
        <v>K601</v>
      </c>
      <c r="AH227"/>
    </row>
    <row r="228" spans="1:34" x14ac:dyDescent="0.2">
      <c r="A228"/>
      <c r="B228"/>
      <c r="C228"/>
      <c r="D228"/>
      <c r="E228"/>
      <c r="F228" t="str">
        <f>LEFT(AllDaqbookOffsets[[#This Row],[traceability_no]],2)</f>
        <v>J1</v>
      </c>
      <c r="N228" s="456"/>
      <c r="O228"/>
      <c r="W228" t="s">
        <v>667</v>
      </c>
      <c r="X228" t="s">
        <v>181</v>
      </c>
      <c r="Z228" s="460" t="str">
        <v>K602</v>
      </c>
      <c r="AA228" s="194" t="str">
        <v>K601-K610</v>
      </c>
      <c r="AB228"/>
      <c r="AG228" s="69" t="str">
        <v>K602</v>
      </c>
      <c r="AH228"/>
    </row>
    <row r="229" spans="1:34" x14ac:dyDescent="0.2">
      <c r="A229"/>
      <c r="B229"/>
      <c r="C229"/>
      <c r="D229"/>
      <c r="E229"/>
      <c r="F229" t="str">
        <f>LEFT(AllDaqbookOffsets[[#This Row],[traceability_no]],2)</f>
        <v>J1</v>
      </c>
      <c r="N229" s="456"/>
      <c r="O229"/>
      <c r="W229" t="s">
        <v>668</v>
      </c>
      <c r="X229" t="s">
        <v>181</v>
      </c>
      <c r="Z229" s="460" t="str">
        <v>K603</v>
      </c>
      <c r="AA229" s="194" t="str">
        <v>K601-K610</v>
      </c>
      <c r="AB229"/>
      <c r="AG229" s="69" t="str">
        <v>K603</v>
      </c>
      <c r="AH229"/>
    </row>
    <row r="230" spans="1:34" x14ac:dyDescent="0.2">
      <c r="A230"/>
      <c r="B230"/>
      <c r="C230"/>
      <c r="D230"/>
      <c r="E230"/>
      <c r="F230" t="str">
        <f>LEFT(AllDaqbookOffsets[[#This Row],[traceability_no]],2)</f>
        <v>J1</v>
      </c>
      <c r="N230" s="456"/>
      <c r="O230"/>
      <c r="W230" t="s">
        <v>669</v>
      </c>
      <c r="X230" t="s">
        <v>181</v>
      </c>
      <c r="Z230" s="460" t="str">
        <v>K604</v>
      </c>
      <c r="AA230" s="194" t="str">
        <v>K601-K610</v>
      </c>
      <c r="AB230"/>
      <c r="AG230" s="69" t="str">
        <v>K604</v>
      </c>
      <c r="AH230"/>
    </row>
    <row r="231" spans="1:34" x14ac:dyDescent="0.2">
      <c r="A231"/>
      <c r="B231"/>
      <c r="C231"/>
      <c r="D231"/>
      <c r="E231"/>
      <c r="F231" t="str">
        <f>LEFT(AllDaqbookOffsets[[#This Row],[traceability_no]],2)</f>
        <v>J1</v>
      </c>
      <c r="N231" s="456"/>
      <c r="O231"/>
      <c r="W231" t="s">
        <v>670</v>
      </c>
      <c r="X231" t="s">
        <v>181</v>
      </c>
      <c r="Z231" s="460" t="str">
        <v>K605</v>
      </c>
      <c r="AA231" s="194" t="str">
        <v>K601-K610</v>
      </c>
      <c r="AB231"/>
      <c r="AG231" s="69" t="str">
        <v>K605</v>
      </c>
      <c r="AH231"/>
    </row>
    <row r="232" spans="1:34" x14ac:dyDescent="0.2">
      <c r="A232"/>
      <c r="B232"/>
      <c r="C232"/>
      <c r="D232"/>
      <c r="E232"/>
      <c r="F232" t="str">
        <f>LEFT(AllDaqbookOffsets[[#This Row],[traceability_no]],2)</f>
        <v>J1</v>
      </c>
      <c r="N232" s="456"/>
      <c r="O232"/>
      <c r="W232" t="s">
        <v>671</v>
      </c>
      <c r="X232" t="s">
        <v>181</v>
      </c>
      <c r="Z232" s="460" t="str">
        <v>K606</v>
      </c>
      <c r="AA232" s="194" t="str">
        <v>K601-K610</v>
      </c>
      <c r="AB232"/>
      <c r="AG232" s="69" t="str">
        <v>K606</v>
      </c>
      <c r="AH232"/>
    </row>
    <row r="233" spans="1:34" x14ac:dyDescent="0.2">
      <c r="A233"/>
      <c r="B233"/>
      <c r="C233"/>
      <c r="D233"/>
      <c r="E233"/>
      <c r="F233" t="str">
        <f>LEFT(AllDaqbookOffsets[[#This Row],[traceability_no]],2)</f>
        <v>J1</v>
      </c>
      <c r="N233" s="456"/>
      <c r="O233"/>
      <c r="W233" t="s">
        <v>672</v>
      </c>
      <c r="X233" t="s">
        <v>181</v>
      </c>
      <c r="Z233" s="460" t="str">
        <v>K607</v>
      </c>
      <c r="AA233" s="194" t="str">
        <v>K601-K610</v>
      </c>
      <c r="AB233"/>
      <c r="AG233" s="69" t="str">
        <v>K607</v>
      </c>
      <c r="AH233"/>
    </row>
    <row r="234" spans="1:34" x14ac:dyDescent="0.2">
      <c r="A234"/>
      <c r="B234"/>
      <c r="C234"/>
      <c r="D234"/>
      <c r="E234"/>
      <c r="F234" t="str">
        <f>LEFT(AllDaqbookOffsets[[#This Row],[traceability_no]],2)</f>
        <v>J1</v>
      </c>
      <c r="N234" s="456"/>
      <c r="O234"/>
      <c r="W234" t="s">
        <v>673</v>
      </c>
      <c r="X234" t="s">
        <v>181</v>
      </c>
      <c r="Z234" s="460" t="str">
        <v>K608</v>
      </c>
      <c r="AA234" s="194" t="str">
        <v>K601-K610</v>
      </c>
      <c r="AB234"/>
      <c r="AG234" s="69" t="str">
        <v>K608</v>
      </c>
      <c r="AH234"/>
    </row>
    <row r="235" spans="1:34" x14ac:dyDescent="0.2">
      <c r="A235"/>
      <c r="B235"/>
      <c r="C235"/>
      <c r="D235"/>
      <c r="E235"/>
      <c r="F235" t="str">
        <f>LEFT(AllDaqbookOffsets[[#This Row],[traceability_no]],2)</f>
        <v>J1</v>
      </c>
      <c r="N235" s="456"/>
      <c r="O235"/>
      <c r="W235" t="s">
        <v>674</v>
      </c>
      <c r="X235" t="s">
        <v>181</v>
      </c>
      <c r="Z235" s="460" t="str">
        <v>K609</v>
      </c>
      <c r="AA235" s="194" t="str">
        <v>K601-K610</v>
      </c>
      <c r="AB235"/>
      <c r="AG235" s="69" t="str">
        <v>K609</v>
      </c>
      <c r="AH235"/>
    </row>
    <row r="236" spans="1:34" x14ac:dyDescent="0.2">
      <c r="A236"/>
      <c r="B236"/>
      <c r="C236"/>
      <c r="D236"/>
      <c r="E236"/>
      <c r="F236" t="str">
        <f>LEFT(AllDaqbookOffsets[[#This Row],[traceability_no]],2)</f>
        <v>J1</v>
      </c>
      <c r="N236" s="456"/>
      <c r="O236"/>
      <c r="W236" t="s">
        <v>675</v>
      </c>
      <c r="X236" t="s">
        <v>181</v>
      </c>
      <c r="Z236" s="460" t="str">
        <v>K610</v>
      </c>
      <c r="AA236" s="194" t="str">
        <v>K601-K610</v>
      </c>
      <c r="AB236"/>
      <c r="AG236" s="69" t="str">
        <v>K610</v>
      </c>
      <c r="AH236"/>
    </row>
    <row r="237" spans="1:34" x14ac:dyDescent="0.2">
      <c r="A237"/>
      <c r="B237"/>
      <c r="C237"/>
      <c r="D237"/>
      <c r="E237"/>
      <c r="F237" t="str">
        <f>LEFT(AllDaqbookOffsets[[#This Row],[traceability_no]],2)</f>
        <v>J1</v>
      </c>
      <c r="N237" s="456"/>
      <c r="O237"/>
      <c r="W237" t="s">
        <v>676</v>
      </c>
      <c r="X237" t="s">
        <v>181</v>
      </c>
      <c r="Z237" s="460" t="str">
        <v>K701</v>
      </c>
      <c r="AA237" s="194" t="str">
        <v>K701-K710</v>
      </c>
      <c r="AB237"/>
      <c r="AG237" s="69" t="str">
        <v>K701</v>
      </c>
      <c r="AH237"/>
    </row>
    <row r="238" spans="1:34" x14ac:dyDescent="0.2">
      <c r="A238"/>
      <c r="B238"/>
      <c r="C238"/>
      <c r="D238"/>
      <c r="E238"/>
      <c r="F238" t="str">
        <f>LEFT(AllDaqbookOffsets[[#This Row],[traceability_no]],2)</f>
        <v>J1</v>
      </c>
      <c r="N238" s="456"/>
      <c r="O238"/>
      <c r="W238" t="s">
        <v>677</v>
      </c>
      <c r="X238" t="s">
        <v>257</v>
      </c>
      <c r="Z238" s="460" t="str">
        <v>K702</v>
      </c>
      <c r="AA238" s="194" t="str">
        <v>K701-K710</v>
      </c>
      <c r="AB238"/>
      <c r="AG238" s="69" t="str">
        <v>K702</v>
      </c>
      <c r="AH238"/>
    </row>
    <row r="239" spans="1:34" x14ac:dyDescent="0.2">
      <c r="A239"/>
      <c r="B239"/>
      <c r="C239"/>
      <c r="D239"/>
      <c r="E239"/>
      <c r="F239" t="str">
        <f>LEFT(AllDaqbookOffsets[[#This Row],[traceability_no]],2)</f>
        <v>J1</v>
      </c>
      <c r="N239" s="456"/>
      <c r="O239"/>
      <c r="W239" t="s">
        <v>678</v>
      </c>
      <c r="X239" t="s">
        <v>257</v>
      </c>
      <c r="Z239" s="460" t="str">
        <v>K703</v>
      </c>
      <c r="AA239" s="194" t="str">
        <v>K701-K710</v>
      </c>
      <c r="AB239"/>
      <c r="AG239" s="69" t="str">
        <v>K703</v>
      </c>
      <c r="AH239"/>
    </row>
    <row r="240" spans="1:34" x14ac:dyDescent="0.2">
      <c r="A240"/>
      <c r="B240"/>
      <c r="C240"/>
      <c r="D240"/>
      <c r="E240"/>
      <c r="F240" t="str">
        <f>LEFT(AllDaqbookOffsets[[#This Row],[traceability_no]],2)</f>
        <v>J1</v>
      </c>
      <c r="N240" s="456"/>
      <c r="O240"/>
      <c r="W240" t="s">
        <v>679</v>
      </c>
      <c r="X240" t="s">
        <v>257</v>
      </c>
      <c r="Z240" s="460" t="str">
        <v>K704</v>
      </c>
      <c r="AA240" s="194" t="str">
        <v>K701-K710</v>
      </c>
      <c r="AB240"/>
      <c r="AG240" s="69" t="str">
        <v>K704</v>
      </c>
      <c r="AH240"/>
    </row>
    <row r="241" spans="1:34" x14ac:dyDescent="0.2">
      <c r="A241"/>
      <c r="B241"/>
      <c r="C241"/>
      <c r="D241"/>
      <c r="E241"/>
      <c r="F241" t="str">
        <f>LEFT(AllDaqbookOffsets[[#This Row],[traceability_no]],2)</f>
        <v>J1</v>
      </c>
      <c r="N241" s="456"/>
      <c r="O241"/>
      <c r="W241" t="s">
        <v>680</v>
      </c>
      <c r="X241" t="s">
        <v>257</v>
      </c>
      <c r="Z241" s="460" t="str">
        <v>K705</v>
      </c>
      <c r="AA241" s="194" t="str">
        <v>K701-K710</v>
      </c>
      <c r="AB241"/>
      <c r="AG241" s="69" t="str">
        <v>K705</v>
      </c>
      <c r="AH241"/>
    </row>
    <row r="242" spans="1:34" x14ac:dyDescent="0.2">
      <c r="A242"/>
      <c r="B242"/>
      <c r="C242"/>
      <c r="D242"/>
      <c r="E242"/>
      <c r="F242" t="str">
        <f>LEFT(AllDaqbookOffsets[[#This Row],[traceability_no]],2)</f>
        <v>J2</v>
      </c>
      <c r="N242" s="456"/>
      <c r="O242"/>
      <c r="W242" t="s">
        <v>681</v>
      </c>
      <c r="X242" t="s">
        <v>257</v>
      </c>
      <c r="Z242" s="460" t="str">
        <v>K706</v>
      </c>
      <c r="AA242" s="194" t="str">
        <v>K701-K710</v>
      </c>
      <c r="AB242"/>
      <c r="AG242" s="69" t="str">
        <v>K706</v>
      </c>
      <c r="AH242"/>
    </row>
    <row r="243" spans="1:34" x14ac:dyDescent="0.2">
      <c r="A243"/>
      <c r="B243"/>
      <c r="C243"/>
      <c r="D243"/>
      <c r="E243"/>
      <c r="F243" t="str">
        <f>LEFT(AllDaqbookOffsets[[#This Row],[traceability_no]],2)</f>
        <v>J2</v>
      </c>
      <c r="N243" s="456"/>
      <c r="O243"/>
      <c r="W243" t="s">
        <v>682</v>
      </c>
      <c r="X243" t="s">
        <v>257</v>
      </c>
      <c r="Z243" s="460" t="str">
        <v>K707</v>
      </c>
      <c r="AA243" s="194" t="str">
        <v>K701-K710</v>
      </c>
      <c r="AB243"/>
      <c r="AG243" s="69" t="str">
        <v>K707</v>
      </c>
      <c r="AH243"/>
    </row>
    <row r="244" spans="1:34" x14ac:dyDescent="0.2">
      <c r="A244"/>
      <c r="B244"/>
      <c r="C244"/>
      <c r="D244"/>
      <c r="E244"/>
      <c r="F244" t="str">
        <f>LEFT(AllDaqbookOffsets[[#This Row],[traceability_no]],2)</f>
        <v>J2</v>
      </c>
      <c r="N244" s="456"/>
      <c r="O244"/>
      <c r="W244" t="s">
        <v>683</v>
      </c>
      <c r="X244" t="s">
        <v>257</v>
      </c>
      <c r="Z244" s="460" t="str">
        <v>K708</v>
      </c>
      <c r="AA244" s="194" t="str">
        <v>K701-K710</v>
      </c>
      <c r="AB244"/>
      <c r="AG244" s="69" t="str">
        <v>K708</v>
      </c>
      <c r="AH244"/>
    </row>
    <row r="245" spans="1:34" x14ac:dyDescent="0.2">
      <c r="A245"/>
      <c r="B245"/>
      <c r="C245"/>
      <c r="D245"/>
      <c r="E245"/>
      <c r="F245" t="str">
        <f>LEFT(AllDaqbookOffsets[[#This Row],[traceability_no]],2)</f>
        <v>J2</v>
      </c>
      <c r="N245" s="456"/>
      <c r="O245"/>
      <c r="W245" t="s">
        <v>684</v>
      </c>
      <c r="X245" t="s">
        <v>257</v>
      </c>
      <c r="Z245" s="460" t="str">
        <v>K709</v>
      </c>
      <c r="AA245" s="194" t="str">
        <v>K701-K710</v>
      </c>
      <c r="AB245"/>
      <c r="AG245" s="69" t="str">
        <v>K709</v>
      </c>
      <c r="AH245"/>
    </row>
    <row r="246" spans="1:34" x14ac:dyDescent="0.2">
      <c r="A246"/>
      <c r="B246"/>
      <c r="C246"/>
      <c r="D246"/>
      <c r="E246"/>
      <c r="F246" t="str">
        <f>LEFT(AllDaqbookOffsets[[#This Row],[traceability_no]],2)</f>
        <v>J2</v>
      </c>
      <c r="N246" s="456"/>
      <c r="O246"/>
      <c r="W246" t="s">
        <v>685</v>
      </c>
      <c r="X246" t="s">
        <v>257</v>
      </c>
      <c r="Z246" s="460" t="str">
        <v>K710</v>
      </c>
      <c r="AA246" s="194" t="str">
        <v>K701-K710</v>
      </c>
      <c r="AB246"/>
      <c r="AG246" s="69" t="str">
        <v>K710</v>
      </c>
      <c r="AH246"/>
    </row>
    <row r="247" spans="1:34" x14ac:dyDescent="0.2">
      <c r="A247"/>
      <c r="B247"/>
      <c r="C247"/>
      <c r="D247"/>
      <c r="E247"/>
      <c r="F247" t="str">
        <f>LEFT(AllDaqbookOffsets[[#This Row],[traceability_no]],2)</f>
        <v>J2</v>
      </c>
      <c r="N247" s="456"/>
      <c r="O247"/>
      <c r="W247" t="s">
        <v>686</v>
      </c>
      <c r="X247" t="s">
        <v>257</v>
      </c>
      <c r="Z247" s="460" t="str">
        <v>K801</v>
      </c>
      <c r="AA247" s="194" t="str">
        <v>K801-K816</v>
      </c>
      <c r="AB247"/>
      <c r="AG247" s="69" t="str">
        <v>K801</v>
      </c>
      <c r="AH247"/>
    </row>
    <row r="248" spans="1:34" x14ac:dyDescent="0.2">
      <c r="A248"/>
      <c r="B248"/>
      <c r="C248"/>
      <c r="D248"/>
      <c r="E248"/>
      <c r="F248" t="str">
        <f>LEFT(AllDaqbookOffsets[[#This Row],[traceability_no]],2)</f>
        <v>J2</v>
      </c>
      <c r="N248" s="456"/>
      <c r="O248"/>
      <c r="W248" t="s">
        <v>693</v>
      </c>
      <c r="X248" t="s">
        <v>182</v>
      </c>
      <c r="Z248" s="460" t="str">
        <v>K802</v>
      </c>
      <c r="AA248" s="194" t="str">
        <v>K801-K816</v>
      </c>
      <c r="AB248"/>
      <c r="AG248" s="69" t="str">
        <v>K802</v>
      </c>
      <c r="AH248"/>
    </row>
    <row r="249" spans="1:34" x14ac:dyDescent="0.2">
      <c r="A249"/>
      <c r="B249"/>
      <c r="C249"/>
      <c r="D249"/>
      <c r="E249"/>
      <c r="F249" t="str">
        <f>LEFT(AllDaqbookOffsets[[#This Row],[traceability_no]],2)</f>
        <v>J2</v>
      </c>
      <c r="N249" s="456"/>
      <c r="O249"/>
      <c r="W249" t="s">
        <v>694</v>
      </c>
      <c r="X249" t="s">
        <v>182</v>
      </c>
      <c r="Z249" s="460" t="str">
        <v>K803</v>
      </c>
      <c r="AA249" s="194" t="str">
        <v>K801-K816</v>
      </c>
      <c r="AB249"/>
      <c r="AG249" s="69" t="str">
        <v>K803</v>
      </c>
      <c r="AH249"/>
    </row>
    <row r="250" spans="1:34" x14ac:dyDescent="0.2">
      <c r="A250"/>
      <c r="B250"/>
      <c r="C250"/>
      <c r="D250"/>
      <c r="E250"/>
      <c r="F250" t="str">
        <f>LEFT(AllDaqbookOffsets[[#This Row],[traceability_no]],2)</f>
        <v>J2</v>
      </c>
      <c r="N250" s="456"/>
      <c r="O250"/>
      <c r="W250" t="s">
        <v>695</v>
      </c>
      <c r="X250" t="s">
        <v>182</v>
      </c>
      <c r="Z250" s="460" t="str">
        <v>K804</v>
      </c>
      <c r="AA250" s="194" t="str">
        <v>K801-K816</v>
      </c>
      <c r="AB250"/>
      <c r="AG250" s="69" t="str">
        <v>K804</v>
      </c>
      <c r="AH250"/>
    </row>
    <row r="251" spans="1:34" x14ac:dyDescent="0.2">
      <c r="A251"/>
      <c r="B251"/>
      <c r="C251"/>
      <c r="D251"/>
      <c r="E251"/>
      <c r="F251" t="str">
        <f>LEFT(AllDaqbookOffsets[[#This Row],[traceability_no]],2)</f>
        <v>J2</v>
      </c>
      <c r="N251" s="456"/>
      <c r="O251"/>
      <c r="W251" t="s">
        <v>696</v>
      </c>
      <c r="X251" t="s">
        <v>182</v>
      </c>
      <c r="Z251" s="460" t="str">
        <v>K805</v>
      </c>
      <c r="AA251" s="194" t="str">
        <v>K801-K816</v>
      </c>
      <c r="AB251"/>
      <c r="AG251" s="69" t="str">
        <v>K805</v>
      </c>
      <c r="AH251"/>
    </row>
    <row r="252" spans="1:34" x14ac:dyDescent="0.2">
      <c r="A252"/>
      <c r="B252"/>
      <c r="C252"/>
      <c r="D252"/>
      <c r="E252"/>
      <c r="F252" t="str">
        <f>LEFT(AllDaqbookOffsets[[#This Row],[traceability_no]],2)</f>
        <v>J2</v>
      </c>
      <c r="N252" s="456"/>
      <c r="O252"/>
      <c r="W252" t="s">
        <v>697</v>
      </c>
      <c r="X252" t="s">
        <v>182</v>
      </c>
      <c r="Z252" s="460" t="str">
        <v>K806</v>
      </c>
      <c r="AA252" s="194" t="str">
        <v>K801-K816</v>
      </c>
      <c r="AB252"/>
      <c r="AG252" s="69" t="str">
        <v>K806</v>
      </c>
      <c r="AH252"/>
    </row>
    <row r="253" spans="1:34" x14ac:dyDescent="0.2">
      <c r="A253"/>
      <c r="B253"/>
      <c r="C253"/>
      <c r="D253"/>
      <c r="E253"/>
      <c r="F253" t="str">
        <f>LEFT(AllDaqbookOffsets[[#This Row],[traceability_no]],2)</f>
        <v>J2</v>
      </c>
      <c r="N253" s="456"/>
      <c r="O253"/>
      <c r="W253" t="s">
        <v>698</v>
      </c>
      <c r="X253" t="s">
        <v>182</v>
      </c>
      <c r="Z253" s="460" t="str">
        <v>K807</v>
      </c>
      <c r="AA253" s="194" t="str">
        <v>K801-K816</v>
      </c>
      <c r="AB253"/>
      <c r="AG253" s="69" t="str">
        <v>K807</v>
      </c>
      <c r="AH253"/>
    </row>
    <row r="254" spans="1:34" x14ac:dyDescent="0.2">
      <c r="A254"/>
      <c r="B254"/>
      <c r="C254"/>
      <c r="D254"/>
      <c r="E254"/>
      <c r="F254" t="str">
        <f>LEFT(AllDaqbookOffsets[[#This Row],[traceability_no]],2)</f>
        <v>J2</v>
      </c>
      <c r="N254" s="456"/>
      <c r="O254"/>
      <c r="W254" t="s">
        <v>699</v>
      </c>
      <c r="X254" t="s">
        <v>182</v>
      </c>
      <c r="Z254" s="460" t="str">
        <v>K808</v>
      </c>
      <c r="AA254" s="194" t="str">
        <v>K801-K816</v>
      </c>
      <c r="AB254"/>
      <c r="AG254" s="69" t="str">
        <v>K808</v>
      </c>
      <c r="AH254"/>
    </row>
    <row r="255" spans="1:34" x14ac:dyDescent="0.2">
      <c r="A255"/>
      <c r="B255"/>
      <c r="C255"/>
      <c r="D255"/>
      <c r="E255"/>
      <c r="F255" t="str">
        <f>LEFT(AllDaqbookOffsets[[#This Row],[traceability_no]],2)</f>
        <v>J2</v>
      </c>
      <c r="N255" s="456"/>
      <c r="O255"/>
      <c r="W255" t="s">
        <v>700</v>
      </c>
      <c r="X255" t="s">
        <v>182</v>
      </c>
      <c r="Z255" s="460" t="str">
        <v>K809</v>
      </c>
      <c r="AA255" s="194" t="str">
        <v>K801-K816</v>
      </c>
      <c r="AB255"/>
      <c r="AG255" s="69" t="str">
        <v>K809</v>
      </c>
      <c r="AH255"/>
    </row>
    <row r="256" spans="1:34" x14ac:dyDescent="0.2">
      <c r="A256"/>
      <c r="B256"/>
      <c r="C256"/>
      <c r="D256"/>
      <c r="E256"/>
      <c r="F256" t="str">
        <f>LEFT(AllDaqbookOffsets[[#This Row],[traceability_no]],2)</f>
        <v>J2</v>
      </c>
      <c r="N256" s="456"/>
      <c r="O256"/>
      <c r="W256" t="s">
        <v>701</v>
      </c>
      <c r="X256" t="s">
        <v>182</v>
      </c>
      <c r="Z256" s="460" t="str">
        <v>K810</v>
      </c>
      <c r="AA256" s="194" t="str">
        <v>K801-K816</v>
      </c>
      <c r="AB256"/>
      <c r="AG256" s="69" t="str">
        <v>K810</v>
      </c>
      <c r="AH256"/>
    </row>
    <row r="257" spans="1:34" x14ac:dyDescent="0.2">
      <c r="A257"/>
      <c r="B257"/>
      <c r="C257"/>
      <c r="D257"/>
      <c r="E257"/>
      <c r="F257" t="str">
        <f>LEFT(AllDaqbookOffsets[[#This Row],[traceability_no]],2)</f>
        <v>J2</v>
      </c>
      <c r="N257" s="456"/>
      <c r="O257"/>
      <c r="W257" t="s">
        <v>687</v>
      </c>
      <c r="X257" t="s">
        <v>257</v>
      </c>
      <c r="Z257" s="460" t="str">
        <v>K811</v>
      </c>
      <c r="AA257" s="194" t="str">
        <v>K801-K816</v>
      </c>
      <c r="AB257"/>
      <c r="AG257" s="69" t="str">
        <v>K811</v>
      </c>
      <c r="AH257"/>
    </row>
    <row r="258" spans="1:34" x14ac:dyDescent="0.2">
      <c r="A258"/>
      <c r="B258"/>
      <c r="C258"/>
      <c r="D258"/>
      <c r="E258"/>
      <c r="F258" t="str">
        <f>LEFT(AllDaqbookOffsets[[#This Row],[traceability_no]],2)</f>
        <v>J2</v>
      </c>
      <c r="N258" s="456"/>
      <c r="O258"/>
      <c r="W258" t="s">
        <v>702</v>
      </c>
      <c r="X258" t="s">
        <v>182</v>
      </c>
      <c r="Z258" s="460" t="str">
        <v>K812</v>
      </c>
      <c r="AA258" s="194" t="str">
        <v>K801-K816</v>
      </c>
      <c r="AB258"/>
      <c r="AG258" s="69" t="str">
        <v>K812</v>
      </c>
      <c r="AH258"/>
    </row>
    <row r="259" spans="1:34" x14ac:dyDescent="0.2">
      <c r="A259"/>
      <c r="B259"/>
      <c r="C259"/>
      <c r="D259"/>
      <c r="E259"/>
      <c r="F259" t="str">
        <f>LEFT(AllDaqbookOffsets[[#This Row],[traceability_no]],2)</f>
        <v>J2</v>
      </c>
      <c r="N259" s="456"/>
      <c r="O259"/>
      <c r="W259" t="s">
        <v>703</v>
      </c>
      <c r="X259" t="s">
        <v>182</v>
      </c>
      <c r="Z259" s="460" t="str">
        <v>K813</v>
      </c>
      <c r="AA259" s="194" t="str">
        <v>K801-K816</v>
      </c>
      <c r="AB259"/>
      <c r="AG259" s="69" t="str">
        <v>K813</v>
      </c>
      <c r="AH259"/>
    </row>
    <row r="260" spans="1:34" x14ac:dyDescent="0.2">
      <c r="A260"/>
      <c r="B260"/>
      <c r="C260"/>
      <c r="D260"/>
      <c r="E260"/>
      <c r="F260" t="str">
        <f>LEFT(AllDaqbookOffsets[[#This Row],[traceability_no]],2)</f>
        <v>J2</v>
      </c>
      <c r="N260" s="456"/>
      <c r="O260"/>
      <c r="W260" t="s">
        <v>704</v>
      </c>
      <c r="X260" t="s">
        <v>182</v>
      </c>
      <c r="Z260" s="460" t="str">
        <v>K814</v>
      </c>
      <c r="AA260" s="194" t="str">
        <v>K801-K816</v>
      </c>
      <c r="AB260"/>
      <c r="AG260" s="69" t="str">
        <v>K814</v>
      </c>
      <c r="AH260"/>
    </row>
    <row r="261" spans="1:34" x14ac:dyDescent="0.2">
      <c r="A261"/>
      <c r="B261"/>
      <c r="C261"/>
      <c r="D261"/>
      <c r="E261"/>
      <c r="F261" t="str">
        <f>LEFT(AllDaqbookOffsets[[#This Row],[traceability_no]],2)</f>
        <v>J2</v>
      </c>
      <c r="N261" s="456"/>
      <c r="O261"/>
      <c r="W261" t="s">
        <v>688</v>
      </c>
      <c r="X261" t="s">
        <v>257</v>
      </c>
      <c r="Z261" s="460" t="str">
        <v>K815</v>
      </c>
      <c r="AA261" s="194" t="str">
        <v>K801-K816</v>
      </c>
      <c r="AB261"/>
      <c r="AG261" s="69" t="str">
        <v>K815</v>
      </c>
      <c r="AH261"/>
    </row>
    <row r="262" spans="1:34" x14ac:dyDescent="0.2">
      <c r="A262"/>
      <c r="B262"/>
      <c r="C262"/>
      <c r="D262"/>
      <c r="E262"/>
      <c r="F262" t="str">
        <f>LEFT(AllDaqbookOffsets[[#This Row],[traceability_no]],2)</f>
        <v>J2</v>
      </c>
      <c r="N262" s="456"/>
      <c r="O262"/>
      <c r="W262" t="s">
        <v>689</v>
      </c>
      <c r="X262" t="s">
        <v>257</v>
      </c>
      <c r="Z262" s="460" t="str">
        <v>K816</v>
      </c>
      <c r="AA262" s="194" t="str">
        <v>K801-K816</v>
      </c>
      <c r="AB262"/>
      <c r="AG262" s="69" t="str">
        <v>K816</v>
      </c>
      <c r="AH262"/>
    </row>
    <row r="263" spans="1:34" x14ac:dyDescent="0.2">
      <c r="A263"/>
      <c r="B263"/>
      <c r="C263"/>
      <c r="D263"/>
      <c r="E263"/>
      <c r="F263" t="str">
        <f>LEFT(AllDaqbookOffsets[[#This Row],[traceability_no]],2)</f>
        <v>J2</v>
      </c>
      <c r="N263" s="456"/>
      <c r="O263"/>
      <c r="W263" t="s">
        <v>690</v>
      </c>
      <c r="X263" t="s">
        <v>257</v>
      </c>
      <c r="Z263" s="460" t="str">
        <v>K901</v>
      </c>
      <c r="AA263" s="194" t="str">
        <v>K901-K910</v>
      </c>
      <c r="AB263"/>
      <c r="AG263" s="69" t="str">
        <v>K901</v>
      </c>
      <c r="AH263"/>
    </row>
    <row r="264" spans="1:34" x14ac:dyDescent="0.2">
      <c r="A264"/>
      <c r="B264"/>
      <c r="C264"/>
      <c r="D264"/>
      <c r="E264"/>
      <c r="F264" t="str">
        <f>LEFT(AllDaqbookOffsets[[#This Row],[traceability_no]],2)</f>
        <v>J2</v>
      </c>
      <c r="N264" s="456"/>
      <c r="O264"/>
      <c r="W264" t="s">
        <v>691</v>
      </c>
      <c r="X264" t="s">
        <v>257</v>
      </c>
      <c r="Z264" s="460" t="str">
        <v>K902</v>
      </c>
      <c r="AA264" s="194" t="str">
        <v>K901-K910</v>
      </c>
      <c r="AB264"/>
      <c r="AG264" s="69" t="str">
        <v>K902</v>
      </c>
      <c r="AH264"/>
    </row>
    <row r="265" spans="1:34" x14ac:dyDescent="0.2">
      <c r="A265"/>
      <c r="B265"/>
      <c r="C265"/>
      <c r="D265"/>
      <c r="E265"/>
      <c r="F265" t="str">
        <f>LEFT(AllDaqbookOffsets[[#This Row],[traceability_no]],2)</f>
        <v>J2</v>
      </c>
      <c r="N265" s="456"/>
      <c r="O265"/>
      <c r="W265" t="s">
        <v>692</v>
      </c>
      <c r="X265" t="s">
        <v>257</v>
      </c>
      <c r="Z265" s="460" t="str">
        <v>K903</v>
      </c>
      <c r="AA265" s="194" t="str">
        <v>K901-K910</v>
      </c>
      <c r="AB265"/>
      <c r="AG265" s="69" t="str">
        <v>K903</v>
      </c>
      <c r="AH265"/>
    </row>
    <row r="266" spans="1:34" x14ac:dyDescent="0.2">
      <c r="A266"/>
      <c r="B266"/>
      <c r="C266"/>
      <c r="D266"/>
      <c r="E266"/>
      <c r="F266" t="str">
        <f>LEFT(AllDaqbookOffsets[[#This Row],[traceability_no]],2)</f>
        <v>J2</v>
      </c>
      <c r="N266" s="456"/>
      <c r="O266"/>
      <c r="W266" t="s">
        <v>705</v>
      </c>
      <c r="X266" t="s">
        <v>183</v>
      </c>
      <c r="Z266" s="460" t="str">
        <v>K904</v>
      </c>
      <c r="AA266" s="194" t="str">
        <v>K901-K910</v>
      </c>
      <c r="AB266"/>
      <c r="AG266" s="69" t="str">
        <v>K904</v>
      </c>
      <c r="AH266"/>
    </row>
    <row r="267" spans="1:34" x14ac:dyDescent="0.2">
      <c r="A267"/>
      <c r="B267"/>
      <c r="C267"/>
      <c r="D267"/>
      <c r="E267"/>
      <c r="F267" t="str">
        <f>LEFT(AllDaqbookOffsets[[#This Row],[traceability_no]],2)</f>
        <v>J2</v>
      </c>
      <c r="N267" s="456"/>
      <c r="O267"/>
      <c r="W267" t="s">
        <v>706</v>
      </c>
      <c r="X267" t="s">
        <v>183</v>
      </c>
      <c r="Z267" s="460" t="str">
        <v>K905</v>
      </c>
      <c r="AA267" s="194" t="str">
        <v>K901-K910</v>
      </c>
      <c r="AB267"/>
      <c r="AG267" s="69" t="str">
        <v>K905</v>
      </c>
      <c r="AH267"/>
    </row>
    <row r="268" spans="1:34" x14ac:dyDescent="0.2">
      <c r="A268"/>
      <c r="B268"/>
      <c r="C268"/>
      <c r="D268"/>
      <c r="E268"/>
      <c r="F268" t="str">
        <f>LEFT(AllDaqbookOffsets[[#This Row],[traceability_no]],2)</f>
        <v>J2</v>
      </c>
      <c r="N268" s="456"/>
      <c r="O268"/>
      <c r="W268" t="s">
        <v>707</v>
      </c>
      <c r="X268" t="s">
        <v>183</v>
      </c>
      <c r="Z268" s="460" t="str">
        <v>K906</v>
      </c>
      <c r="AA268" s="194" t="str">
        <v>K901-K910</v>
      </c>
      <c r="AB268"/>
      <c r="AG268" s="69" t="str">
        <v>K906</v>
      </c>
      <c r="AH268"/>
    </row>
    <row r="269" spans="1:34" x14ac:dyDescent="0.2">
      <c r="A269"/>
      <c r="B269"/>
      <c r="C269"/>
      <c r="D269"/>
      <c r="E269"/>
      <c r="F269" t="str">
        <f>LEFT(AllDaqbookOffsets[[#This Row],[traceability_no]],2)</f>
        <v>J2</v>
      </c>
      <c r="N269" s="456"/>
      <c r="O269"/>
      <c r="W269" t="s">
        <v>708</v>
      </c>
      <c r="X269" t="s">
        <v>183</v>
      </c>
      <c r="Z269" s="460" t="str">
        <v>K907</v>
      </c>
      <c r="AA269" s="194" t="str">
        <v>K901-K910</v>
      </c>
      <c r="AB269"/>
      <c r="AG269" s="69" t="str">
        <v>K907</v>
      </c>
      <c r="AH269"/>
    </row>
    <row r="270" spans="1:34" x14ac:dyDescent="0.2">
      <c r="A270"/>
      <c r="B270"/>
      <c r="C270"/>
      <c r="D270"/>
      <c r="E270"/>
      <c r="F270" t="str">
        <f>LEFT(AllDaqbookOffsets[[#This Row],[traceability_no]],2)</f>
        <v>J2</v>
      </c>
      <c r="N270" s="456"/>
      <c r="O270"/>
      <c r="W270" t="s">
        <v>709</v>
      </c>
      <c r="X270" t="s">
        <v>183</v>
      </c>
      <c r="Z270" s="460" t="str">
        <v>K908</v>
      </c>
      <c r="AA270" s="194" t="str">
        <v>K901-K910</v>
      </c>
      <c r="AB270"/>
      <c r="AG270" s="69" t="str">
        <v>K908</v>
      </c>
      <c r="AH270"/>
    </row>
    <row r="271" spans="1:34" x14ac:dyDescent="0.2">
      <c r="A271"/>
      <c r="B271"/>
      <c r="C271"/>
      <c r="D271"/>
      <c r="E271"/>
      <c r="F271" t="str">
        <f>LEFT(AllDaqbookOffsets[[#This Row],[traceability_no]],2)</f>
        <v>J2</v>
      </c>
      <c r="N271" s="456"/>
      <c r="O271"/>
      <c r="W271" t="s">
        <v>710</v>
      </c>
      <c r="X271" t="s">
        <v>183</v>
      </c>
      <c r="Z271" s="460" t="str">
        <v>K909</v>
      </c>
      <c r="AA271" s="194" t="str">
        <v>K901-K910</v>
      </c>
      <c r="AB271"/>
      <c r="AG271" s="69" t="str">
        <v>K909</v>
      </c>
      <c r="AH271"/>
    </row>
    <row r="272" spans="1:34" x14ac:dyDescent="0.2">
      <c r="A272"/>
      <c r="B272"/>
      <c r="C272"/>
      <c r="D272"/>
      <c r="E272"/>
      <c r="F272" t="str">
        <f>LEFT(AllDaqbookOffsets[[#This Row],[traceability_no]],2)</f>
        <v>J2</v>
      </c>
      <c r="N272" s="456"/>
      <c r="O272"/>
      <c r="W272" t="s">
        <v>711</v>
      </c>
      <c r="X272" t="s">
        <v>183</v>
      </c>
      <c r="Z272" s="460" t="str">
        <v>K910</v>
      </c>
      <c r="AA272" s="194" t="str">
        <v>K901-K910</v>
      </c>
      <c r="AB272"/>
      <c r="AG272" s="69" t="str">
        <v>K910</v>
      </c>
      <c r="AH272"/>
    </row>
    <row r="273" spans="1:34" x14ac:dyDescent="0.2">
      <c r="A273"/>
      <c r="B273"/>
      <c r="C273"/>
      <c r="D273"/>
      <c r="E273"/>
      <c r="F273" t="str">
        <f>LEFT(AllDaqbookOffsets[[#This Row],[traceability_no]],2)</f>
        <v>J2</v>
      </c>
      <c r="N273" s="456"/>
      <c r="O273"/>
      <c r="W273" t="s">
        <v>712</v>
      </c>
      <c r="X273" t="s">
        <v>183</v>
      </c>
      <c r="Z273" s="460" t="str">
        <v>N01</v>
      </c>
      <c r="AA273" s="194" t="str">
        <v>N01-N16</v>
      </c>
      <c r="AB273"/>
      <c r="AG273" s="69" t="str">
        <v>N01</v>
      </c>
      <c r="AH273"/>
    </row>
    <row r="274" spans="1:34" x14ac:dyDescent="0.2">
      <c r="A274"/>
      <c r="B274"/>
      <c r="C274"/>
      <c r="D274"/>
      <c r="E274"/>
      <c r="F274" t="str">
        <f>LEFT(AllDaqbookOffsets[[#This Row],[traceability_no]],2)</f>
        <v>J2</v>
      </c>
      <c r="N274" s="456"/>
      <c r="O274"/>
      <c r="W274" t="s">
        <v>713</v>
      </c>
      <c r="X274" t="s">
        <v>183</v>
      </c>
      <c r="Z274" s="460" t="str">
        <v>N02</v>
      </c>
      <c r="AA274" s="194" t="str">
        <v>N01-N16</v>
      </c>
      <c r="AB274"/>
      <c r="AG274" s="69" t="str">
        <v>N02</v>
      </c>
      <c r="AH274"/>
    </row>
    <row r="275" spans="1:34" x14ac:dyDescent="0.2">
      <c r="A275"/>
      <c r="B275"/>
      <c r="C275"/>
      <c r="D275"/>
      <c r="E275"/>
      <c r="F275" t="str">
        <f>LEFT(AllDaqbookOffsets[[#This Row],[traceability_no]],2)</f>
        <v>J2</v>
      </c>
      <c r="N275" s="456"/>
      <c r="O275"/>
      <c r="W275" t="s">
        <v>714</v>
      </c>
      <c r="X275" t="s">
        <v>183</v>
      </c>
      <c r="Z275" s="460" t="str">
        <v>N03</v>
      </c>
      <c r="AA275" s="194" t="str">
        <v>N01-N16</v>
      </c>
      <c r="AB275"/>
      <c r="AG275" s="69" t="str">
        <v>N03</v>
      </c>
      <c r="AH275"/>
    </row>
    <row r="276" spans="1:34" x14ac:dyDescent="0.2">
      <c r="A276"/>
      <c r="B276"/>
      <c r="C276"/>
      <c r="D276"/>
      <c r="E276"/>
      <c r="F276" t="str">
        <f>LEFT(AllDaqbookOffsets[[#This Row],[traceability_no]],2)</f>
        <v>J2</v>
      </c>
      <c r="N276" s="456"/>
      <c r="O276"/>
      <c r="W276" t="s">
        <v>715</v>
      </c>
      <c r="X276" t="s">
        <v>183</v>
      </c>
      <c r="Z276" s="460" t="str">
        <v>N04</v>
      </c>
      <c r="AA276" s="194" t="str">
        <v>N01-N16</v>
      </c>
      <c r="AB276"/>
      <c r="AG276" s="69" t="str">
        <v>N04</v>
      </c>
      <c r="AH276"/>
    </row>
    <row r="277" spans="1:34" x14ac:dyDescent="0.2">
      <c r="A277"/>
      <c r="B277"/>
      <c r="C277"/>
      <c r="D277"/>
      <c r="E277"/>
      <c r="F277" t="str">
        <f>LEFT(AllDaqbookOffsets[[#This Row],[traceability_no]],2)</f>
        <v>J2</v>
      </c>
      <c r="N277" s="456"/>
      <c r="O277"/>
      <c r="W277" t="s">
        <v>716</v>
      </c>
      <c r="X277" t="s">
        <v>183</v>
      </c>
      <c r="Z277" s="460" t="str">
        <v>N05</v>
      </c>
      <c r="AA277" s="194" t="str">
        <v>N01-N16</v>
      </c>
      <c r="AB277"/>
      <c r="AG277" s="69" t="str">
        <v>N05</v>
      </c>
      <c r="AH277"/>
    </row>
    <row r="278" spans="1:34" x14ac:dyDescent="0.2">
      <c r="A278"/>
      <c r="B278"/>
      <c r="C278"/>
      <c r="D278"/>
      <c r="E278"/>
      <c r="F278" t="str">
        <f>LEFT(AllDaqbookOffsets[[#This Row],[traceability_no]],2)</f>
        <v>J2</v>
      </c>
      <c r="N278" s="456"/>
      <c r="O278"/>
      <c r="W278" t="s">
        <v>717</v>
      </c>
      <c r="X278" t="s">
        <v>183</v>
      </c>
      <c r="Z278" s="460" t="str">
        <v>N06</v>
      </c>
      <c r="AA278" s="194" t="str">
        <v>N01-N16</v>
      </c>
      <c r="AB278"/>
      <c r="AG278" s="69" t="str">
        <v>N06</v>
      </c>
      <c r="AH278"/>
    </row>
    <row r="279" spans="1:34" x14ac:dyDescent="0.2">
      <c r="A279"/>
      <c r="B279"/>
      <c r="C279"/>
      <c r="D279"/>
      <c r="E279"/>
      <c r="F279" t="str">
        <f>LEFT(AllDaqbookOffsets[[#This Row],[traceability_no]],2)</f>
        <v>J2</v>
      </c>
      <c r="N279" s="456"/>
      <c r="O279"/>
      <c r="W279" t="s">
        <v>718</v>
      </c>
      <c r="X279" t="s">
        <v>183</v>
      </c>
      <c r="Z279" s="460" t="str">
        <v>N07</v>
      </c>
      <c r="AA279" s="194" t="str">
        <v>N01-N16</v>
      </c>
      <c r="AB279"/>
      <c r="AG279" s="69" t="str">
        <v>N07</v>
      </c>
      <c r="AH279"/>
    </row>
    <row r="280" spans="1:34" x14ac:dyDescent="0.2">
      <c r="A280"/>
      <c r="B280"/>
      <c r="C280"/>
      <c r="D280"/>
      <c r="E280"/>
      <c r="F280" t="str">
        <f>LEFT(AllDaqbookOffsets[[#This Row],[traceability_no]],2)</f>
        <v>J2</v>
      </c>
      <c r="N280" s="456"/>
      <c r="O280"/>
      <c r="W280" s="36" t="s">
        <v>743</v>
      </c>
      <c r="X280" t="s">
        <v>743</v>
      </c>
      <c r="Z280" s="460" t="str">
        <v>N08</v>
      </c>
      <c r="AA280" s="194" t="str">
        <v>N01-N16</v>
      </c>
      <c r="AB280"/>
      <c r="AG280" s="69" t="str">
        <v>N08</v>
      </c>
      <c r="AH280"/>
    </row>
    <row r="281" spans="1:34" x14ac:dyDescent="0.2">
      <c r="A281"/>
      <c r="B281"/>
      <c r="C281"/>
      <c r="D281"/>
      <c r="E281"/>
      <c r="F281" t="str">
        <f>LEFT(AllDaqbookOffsets[[#This Row],[traceability_no]],2)</f>
        <v>J2</v>
      </c>
      <c r="N281" s="456"/>
      <c r="O281"/>
      <c r="W281" s="36" t="s">
        <v>744</v>
      </c>
      <c r="X281" t="s">
        <v>743</v>
      </c>
      <c r="Z281" s="460" t="str">
        <v>N09</v>
      </c>
      <c r="AA281" s="194" t="str">
        <v>N01-N16</v>
      </c>
      <c r="AB281"/>
      <c r="AG281" s="69" t="str">
        <v>N09</v>
      </c>
      <c r="AH281"/>
    </row>
    <row r="282" spans="1:34" x14ac:dyDescent="0.2">
      <c r="A282"/>
      <c r="B282"/>
      <c r="C282"/>
      <c r="D282"/>
      <c r="E282"/>
      <c r="F282" t="str">
        <f>LEFT(AllDaqbookOffsets[[#This Row],[traceability_no]],2)</f>
        <v>J2</v>
      </c>
      <c r="N282" s="456"/>
      <c r="O282"/>
      <c r="W282" s="36" t="s">
        <v>745</v>
      </c>
      <c r="X282" t="s">
        <v>743</v>
      </c>
      <c r="Z282" s="460" t="str">
        <v>N10</v>
      </c>
      <c r="AA282" s="194" t="str">
        <v>N01-N16</v>
      </c>
      <c r="AB282"/>
      <c r="AG282" s="69" t="str">
        <v>N10</v>
      </c>
      <c r="AH282"/>
    </row>
    <row r="283" spans="1:34" x14ac:dyDescent="0.2">
      <c r="A283"/>
      <c r="B283"/>
      <c r="C283"/>
      <c r="D283"/>
      <c r="E283"/>
      <c r="F283" t="str">
        <f>LEFT(AllDaqbookOffsets[[#This Row],[traceability_no]],2)</f>
        <v>J2</v>
      </c>
      <c r="N283" s="456"/>
      <c r="O283"/>
      <c r="W283" s="36" t="s">
        <v>746</v>
      </c>
      <c r="X283" t="s">
        <v>743</v>
      </c>
      <c r="Z283" s="460" t="str">
        <v>N101</v>
      </c>
      <c r="AA283" s="194" t="str">
        <v>N101-N112</v>
      </c>
      <c r="AB283"/>
      <c r="AG283" s="69" t="str">
        <v>N101</v>
      </c>
      <c r="AH283"/>
    </row>
    <row r="284" spans="1:34" x14ac:dyDescent="0.2">
      <c r="A284"/>
      <c r="B284"/>
      <c r="C284"/>
      <c r="D284"/>
      <c r="E284"/>
      <c r="F284" t="str">
        <f>LEFT(AllDaqbookOffsets[[#This Row],[traceability_no]],2)</f>
        <v>J2</v>
      </c>
      <c r="N284" s="456"/>
      <c r="O284"/>
      <c r="W284" s="36" t="s">
        <v>747</v>
      </c>
      <c r="X284" t="s">
        <v>743</v>
      </c>
      <c r="Z284" s="460" t="str">
        <v>N102</v>
      </c>
      <c r="AA284" s="194" t="str">
        <v>N101-N112</v>
      </c>
      <c r="AB284"/>
      <c r="AG284" s="69" t="str">
        <v>N102</v>
      </c>
      <c r="AH284"/>
    </row>
    <row r="285" spans="1:34" x14ac:dyDescent="0.2">
      <c r="A285"/>
      <c r="B285"/>
      <c r="C285"/>
      <c r="D285"/>
      <c r="E285"/>
      <c r="F285" t="str">
        <f>LEFT(AllDaqbookOffsets[[#This Row],[traceability_no]],2)</f>
        <v>J2</v>
      </c>
      <c r="N285" s="456"/>
      <c r="O285"/>
      <c r="W285" s="36" t="s">
        <v>748</v>
      </c>
      <c r="X285" t="s">
        <v>743</v>
      </c>
      <c r="Z285" s="460" t="str">
        <v>N103</v>
      </c>
      <c r="AA285" s="194" t="str">
        <v>N101-N112</v>
      </c>
      <c r="AB285"/>
      <c r="AG285" s="69" t="str">
        <v>N103</v>
      </c>
      <c r="AH285"/>
    </row>
    <row r="286" spans="1:34" x14ac:dyDescent="0.2">
      <c r="A286"/>
      <c r="B286"/>
      <c r="C286"/>
      <c r="D286"/>
      <c r="E286"/>
      <c r="F286" t="str">
        <f>LEFT(AllDaqbookOffsets[[#This Row],[traceability_no]],2)</f>
        <v>J2</v>
      </c>
      <c r="N286" s="456"/>
      <c r="O286"/>
      <c r="W286" s="36" t="s">
        <v>749</v>
      </c>
      <c r="X286" t="s">
        <v>743</v>
      </c>
      <c r="Z286" s="460" t="str">
        <v>N104</v>
      </c>
      <c r="AA286" s="194" t="str">
        <v>N101-N112</v>
      </c>
      <c r="AB286"/>
      <c r="AG286" s="69" t="str">
        <v>N104</v>
      </c>
      <c r="AH286"/>
    </row>
    <row r="287" spans="1:34" x14ac:dyDescent="0.2">
      <c r="A287"/>
      <c r="B287"/>
      <c r="C287"/>
      <c r="D287"/>
      <c r="E287"/>
      <c r="F287" t="str">
        <f>LEFT(AllDaqbookOffsets[[#This Row],[traceability_no]],2)</f>
        <v>J2</v>
      </c>
      <c r="N287" s="456"/>
      <c r="O287"/>
      <c r="W287" s="36" t="s">
        <v>750</v>
      </c>
      <c r="X287" t="s">
        <v>743</v>
      </c>
      <c r="Z287" s="460" t="str">
        <v>N105</v>
      </c>
      <c r="AA287" s="194" t="str">
        <v>N101-N112</v>
      </c>
      <c r="AB287"/>
      <c r="AG287" s="69" t="str">
        <v>N105</v>
      </c>
      <c r="AH287"/>
    </row>
    <row r="288" spans="1:34" x14ac:dyDescent="0.2">
      <c r="A288"/>
      <c r="B288"/>
      <c r="C288"/>
      <c r="D288"/>
      <c r="E288"/>
      <c r="F288" t="str">
        <f>LEFT(AllDaqbookOffsets[[#This Row],[traceability_no]],2)</f>
        <v>J2</v>
      </c>
      <c r="N288" s="456"/>
      <c r="O288"/>
      <c r="W288" s="36" t="s">
        <v>751</v>
      </c>
      <c r="X288" t="s">
        <v>743</v>
      </c>
      <c r="Z288" s="460" t="str">
        <v>N106</v>
      </c>
      <c r="AA288" s="194" t="str">
        <v>N101-N112</v>
      </c>
      <c r="AB288"/>
      <c r="AG288" s="69" t="str">
        <v>N106</v>
      </c>
      <c r="AH288"/>
    </row>
    <row r="289" spans="1:34" x14ac:dyDescent="0.2">
      <c r="A289"/>
      <c r="B289"/>
      <c r="C289"/>
      <c r="D289"/>
      <c r="E289"/>
      <c r="F289" t="str">
        <f>LEFT(AllDaqbookOffsets[[#This Row],[traceability_no]],2)</f>
        <v>J2</v>
      </c>
      <c r="N289" s="456"/>
      <c r="O289"/>
      <c r="W289" s="36" t="s">
        <v>752</v>
      </c>
      <c r="X289" t="s">
        <v>743</v>
      </c>
      <c r="Z289" s="460" t="str">
        <v>N107</v>
      </c>
      <c r="AA289" s="194" t="str">
        <v>N101-N112</v>
      </c>
      <c r="AB289"/>
      <c r="AG289" s="69" t="str">
        <v>N107</v>
      </c>
      <c r="AH289"/>
    </row>
    <row r="290" spans="1:34" x14ac:dyDescent="0.2">
      <c r="A290"/>
      <c r="B290"/>
      <c r="C290"/>
      <c r="D290"/>
      <c r="E290"/>
      <c r="F290" t="str">
        <f>LEFT(AllDaqbookOffsets[[#This Row],[traceability_no]],2)</f>
        <v>J2</v>
      </c>
      <c r="N290" s="456"/>
      <c r="O290"/>
      <c r="W290" s="36" t="s">
        <v>753</v>
      </c>
      <c r="X290" t="s">
        <v>743</v>
      </c>
      <c r="Z290" s="460" t="str">
        <v>N108</v>
      </c>
      <c r="AA290" s="194" t="str">
        <v>N101-N112</v>
      </c>
      <c r="AB290"/>
      <c r="AG290" s="69" t="str">
        <v>N108</v>
      </c>
      <c r="AH290"/>
    </row>
    <row r="291" spans="1:34" x14ac:dyDescent="0.2">
      <c r="A291"/>
      <c r="B291"/>
      <c r="C291"/>
      <c r="D291"/>
      <c r="E291"/>
      <c r="F291" t="str">
        <f>LEFT(AllDaqbookOffsets[[#This Row],[traceability_no]],2)</f>
        <v>J2</v>
      </c>
      <c r="N291" s="456"/>
      <c r="O291"/>
      <c r="W291" s="36" t="s">
        <v>754</v>
      </c>
      <c r="X291" t="s">
        <v>743</v>
      </c>
      <c r="Z291" s="460" t="str">
        <v>N109</v>
      </c>
      <c r="AA291" s="194" t="str">
        <v>N101-N112</v>
      </c>
      <c r="AB291"/>
      <c r="AG291" s="69" t="str">
        <v>N109</v>
      </c>
      <c r="AH291"/>
    </row>
    <row r="292" spans="1:34" x14ac:dyDescent="0.2">
      <c r="A292"/>
      <c r="B292"/>
      <c r="C292"/>
      <c r="D292"/>
      <c r="E292"/>
      <c r="F292" t="str">
        <f>LEFT(AllDaqbookOffsets[[#This Row],[traceability_no]],2)</f>
        <v>J2</v>
      </c>
      <c r="N292" s="456"/>
      <c r="O292"/>
      <c r="W292" s="36" t="s">
        <v>755</v>
      </c>
      <c r="X292" t="s">
        <v>743</v>
      </c>
      <c r="Z292" s="460" t="str">
        <v>N11</v>
      </c>
      <c r="AA292" s="194" t="str">
        <v>N01-N16</v>
      </c>
      <c r="AB292"/>
      <c r="AG292" s="69" t="str">
        <v>N11</v>
      </c>
      <c r="AH292"/>
    </row>
    <row r="293" spans="1:34" x14ac:dyDescent="0.2">
      <c r="A293"/>
      <c r="B293"/>
      <c r="C293"/>
      <c r="D293"/>
      <c r="E293"/>
      <c r="F293" t="str">
        <f>LEFT(AllDaqbookOffsets[[#This Row],[traceability_no]],2)</f>
        <v>J2</v>
      </c>
      <c r="N293" s="456"/>
      <c r="O293"/>
      <c r="W293" s="36" t="s">
        <v>756</v>
      </c>
      <c r="X293" t="s">
        <v>743</v>
      </c>
      <c r="Z293" s="460" t="str">
        <v>N110</v>
      </c>
      <c r="AA293" s="194" t="str">
        <v>N101-N112</v>
      </c>
      <c r="AB293"/>
      <c r="AG293" s="69" t="str">
        <v>N110</v>
      </c>
      <c r="AH293"/>
    </row>
    <row r="294" spans="1:34" x14ac:dyDescent="0.2">
      <c r="A294"/>
      <c r="B294"/>
      <c r="C294"/>
      <c r="D294"/>
      <c r="E294"/>
      <c r="F294" t="str">
        <f>LEFT(AllDaqbookOffsets[[#This Row],[traceability_no]],2)</f>
        <v>J2</v>
      </c>
      <c r="N294" s="456"/>
      <c r="O294"/>
      <c r="Z294" s="460" t="str">
        <v>N111</v>
      </c>
      <c r="AA294" s="194" t="str">
        <v>N101-N112</v>
      </c>
      <c r="AB294"/>
      <c r="AG294" s="69" t="str">
        <v>N111</v>
      </c>
      <c r="AH294"/>
    </row>
    <row r="295" spans="1:34" x14ac:dyDescent="0.2">
      <c r="A295"/>
      <c r="B295"/>
      <c r="C295"/>
      <c r="D295"/>
      <c r="E295"/>
      <c r="F295" t="str">
        <f>LEFT(AllDaqbookOffsets[[#This Row],[traceability_no]],2)</f>
        <v>J2</v>
      </c>
      <c r="N295" s="456"/>
      <c r="O295"/>
      <c r="Z295" s="460" t="str">
        <v>N112</v>
      </c>
      <c r="AA295" s="194" t="str">
        <v>N101-N112</v>
      </c>
      <c r="AB295"/>
      <c r="AG295" s="69" t="str">
        <v>N112</v>
      </c>
      <c r="AH295"/>
    </row>
    <row r="296" spans="1:34" x14ac:dyDescent="0.2">
      <c r="A296"/>
      <c r="B296"/>
      <c r="C296"/>
      <c r="D296"/>
      <c r="E296"/>
      <c r="F296" t="str">
        <f>LEFT(AllDaqbookOffsets[[#This Row],[traceability_no]],2)</f>
        <v>J2</v>
      </c>
      <c r="N296" s="456"/>
      <c r="O296"/>
      <c r="Z296" s="460" t="str">
        <v>N12</v>
      </c>
      <c r="AA296" s="194" t="str">
        <v>N01-N16</v>
      </c>
      <c r="AB296"/>
      <c r="AG296" s="69" t="str">
        <v>N12</v>
      </c>
      <c r="AH296"/>
    </row>
    <row r="297" spans="1:34" x14ac:dyDescent="0.2">
      <c r="A297"/>
      <c r="B297"/>
      <c r="C297"/>
      <c r="D297"/>
      <c r="E297"/>
      <c r="F297" t="str">
        <f>LEFT(AllDaqbookOffsets[[#This Row],[traceability_no]],2)</f>
        <v>J2</v>
      </c>
      <c r="N297" s="456"/>
      <c r="O297"/>
      <c r="Z297" s="460" t="str">
        <v>N13</v>
      </c>
      <c r="AA297" s="194" t="str">
        <v>N01-N16</v>
      </c>
      <c r="AB297"/>
      <c r="AG297" s="69" t="str">
        <v>N13</v>
      </c>
      <c r="AH297"/>
    </row>
    <row r="298" spans="1:34" x14ac:dyDescent="0.2">
      <c r="A298"/>
      <c r="B298"/>
      <c r="C298"/>
      <c r="D298"/>
      <c r="E298"/>
      <c r="F298" t="str">
        <f>LEFT(AllDaqbookOffsets[[#This Row],[traceability_no]],2)</f>
        <v>J2</v>
      </c>
      <c r="N298" s="456"/>
      <c r="O298"/>
      <c r="Z298" s="460" t="str">
        <v>N14</v>
      </c>
      <c r="AA298" s="194" t="str">
        <v>N01-N16</v>
      </c>
      <c r="AB298"/>
      <c r="AG298" s="69" t="str">
        <v>N14</v>
      </c>
      <c r="AH298"/>
    </row>
    <row r="299" spans="1:34" x14ac:dyDescent="0.2">
      <c r="A299"/>
      <c r="B299"/>
      <c r="C299"/>
      <c r="D299"/>
      <c r="E299"/>
      <c r="F299" t="str">
        <f>LEFT(AllDaqbookOffsets[[#This Row],[traceability_no]],2)</f>
        <v>J2</v>
      </c>
      <c r="N299" s="456"/>
      <c r="O299"/>
      <c r="Z299" s="460" t="str">
        <v>N15</v>
      </c>
      <c r="AA299" s="194" t="str">
        <v>N01-N16</v>
      </c>
      <c r="AB299"/>
      <c r="AG299" s="69" t="str">
        <v>N15</v>
      </c>
      <c r="AH299"/>
    </row>
    <row r="300" spans="1:34" x14ac:dyDescent="0.2">
      <c r="A300"/>
      <c r="B300"/>
      <c r="C300"/>
      <c r="D300"/>
      <c r="E300"/>
      <c r="F300" t="str">
        <f>LEFT(AllDaqbookOffsets[[#This Row],[traceability_no]],2)</f>
        <v>J2</v>
      </c>
      <c r="N300" s="456"/>
      <c r="O300"/>
      <c r="Z300" s="460" t="str">
        <v>N16</v>
      </c>
      <c r="AA300" s="194" t="str">
        <v>N01-N16</v>
      </c>
      <c r="AB300"/>
      <c r="AG300" s="69" t="str">
        <v>N16</v>
      </c>
      <c r="AH300"/>
    </row>
    <row r="301" spans="1:34" x14ac:dyDescent="0.2">
      <c r="A301"/>
      <c r="B301"/>
      <c r="C301"/>
      <c r="D301"/>
      <c r="E301"/>
      <c r="F301" t="str">
        <f>LEFT(AllDaqbookOffsets[[#This Row],[traceability_no]],2)</f>
        <v>J2</v>
      </c>
      <c r="N301" s="456"/>
      <c r="O301"/>
      <c r="Z301" s="460" t="str">
        <v>N21</v>
      </c>
      <c r="AA301" s="194" t="str">
        <v>N21-N34</v>
      </c>
      <c r="AB301"/>
      <c r="AG301" s="69" t="str">
        <v>N21</v>
      </c>
      <c r="AH301"/>
    </row>
    <row r="302" spans="1:34" x14ac:dyDescent="0.2">
      <c r="A302"/>
      <c r="B302"/>
      <c r="C302"/>
      <c r="D302"/>
      <c r="E302"/>
      <c r="F302" t="str">
        <f>LEFT(AllDaqbookOffsets[[#This Row],[traceability_no]],2)</f>
        <v>J2</v>
      </c>
      <c r="N302" s="456"/>
      <c r="O302"/>
      <c r="Z302" s="460" t="str">
        <v>N22</v>
      </c>
      <c r="AA302" s="194" t="str">
        <v>N21-N34</v>
      </c>
      <c r="AB302"/>
      <c r="AG302" s="69" t="str">
        <v>N22</v>
      </c>
      <c r="AH302"/>
    </row>
    <row r="303" spans="1:34" x14ac:dyDescent="0.2">
      <c r="A303"/>
      <c r="B303"/>
      <c r="C303"/>
      <c r="D303"/>
      <c r="E303"/>
      <c r="F303" t="str">
        <f>LEFT(AllDaqbookOffsets[[#This Row],[traceability_no]],2)</f>
        <v>J2</v>
      </c>
      <c r="N303" s="456"/>
      <c r="O303"/>
      <c r="Z303" s="460" t="str">
        <v>N23</v>
      </c>
      <c r="AA303" s="194" t="str">
        <v>N21-N34</v>
      </c>
      <c r="AB303"/>
      <c r="AG303" s="69" t="str">
        <v>N23</v>
      </c>
      <c r="AH303"/>
    </row>
    <row r="304" spans="1:34" x14ac:dyDescent="0.2">
      <c r="A304"/>
      <c r="B304"/>
      <c r="C304"/>
      <c r="D304"/>
      <c r="E304"/>
      <c r="F304" t="str">
        <f>LEFT(AllDaqbookOffsets[[#This Row],[traceability_no]],2)</f>
        <v>J2</v>
      </c>
      <c r="N304" s="456"/>
      <c r="O304"/>
      <c r="Z304" s="460" t="str">
        <v>N24</v>
      </c>
      <c r="AA304" s="194" t="str">
        <v>N21-N34</v>
      </c>
      <c r="AB304"/>
      <c r="AG304" s="69" t="str">
        <v>N24</v>
      </c>
      <c r="AH304"/>
    </row>
    <row r="305" spans="1:34" x14ac:dyDescent="0.2">
      <c r="A305"/>
      <c r="B305"/>
      <c r="C305"/>
      <c r="D305"/>
      <c r="E305"/>
      <c r="F305" t="str">
        <f>LEFT(AllDaqbookOffsets[[#This Row],[traceability_no]],2)</f>
        <v>J2</v>
      </c>
      <c r="N305" s="456"/>
      <c r="O305"/>
      <c r="Z305" s="460" t="str">
        <v>N25</v>
      </c>
      <c r="AA305" s="194" t="str">
        <v>N21-N34</v>
      </c>
      <c r="AB305"/>
      <c r="AG305" s="69" t="str">
        <v>N25</v>
      </c>
      <c r="AH305"/>
    </row>
    <row r="306" spans="1:34" x14ac:dyDescent="0.2">
      <c r="A306"/>
      <c r="B306"/>
      <c r="C306"/>
      <c r="D306"/>
      <c r="E306"/>
      <c r="F306" t="str">
        <f>LEFT(AllDaqbookOffsets[[#This Row],[traceability_no]],2)</f>
        <v>J2</v>
      </c>
      <c r="N306" s="456"/>
      <c r="O306"/>
      <c r="Z306" s="460" t="str">
        <v>N26</v>
      </c>
      <c r="AA306" s="194" t="str">
        <v>N21-N34</v>
      </c>
      <c r="AB306"/>
      <c r="AG306" s="69" t="str">
        <v>N26</v>
      </c>
      <c r="AH306"/>
    </row>
    <row r="307" spans="1:34" x14ac:dyDescent="0.2">
      <c r="A307"/>
      <c r="B307"/>
      <c r="C307"/>
      <c r="D307"/>
      <c r="E307"/>
      <c r="F307" t="str">
        <f>LEFT(AllDaqbookOffsets[[#This Row],[traceability_no]],2)</f>
        <v>J2</v>
      </c>
      <c r="N307" s="456"/>
      <c r="O307"/>
      <c r="Z307" s="460" t="str">
        <v>N27</v>
      </c>
      <c r="AA307" s="194" t="str">
        <v>N21-N34</v>
      </c>
      <c r="AB307"/>
      <c r="AG307" s="69" t="str">
        <v>N27</v>
      </c>
      <c r="AH307"/>
    </row>
    <row r="308" spans="1:34" x14ac:dyDescent="0.2">
      <c r="A308"/>
      <c r="B308"/>
      <c r="C308"/>
      <c r="D308"/>
      <c r="E308"/>
      <c r="F308" t="str">
        <f>LEFT(AllDaqbookOffsets[[#This Row],[traceability_no]],2)</f>
        <v>J2</v>
      </c>
      <c r="N308" s="456"/>
      <c r="O308"/>
      <c r="Z308" s="460" t="str">
        <v>N28</v>
      </c>
      <c r="AA308" s="194" t="str">
        <v>N21-N34</v>
      </c>
      <c r="AB308"/>
      <c r="AG308" s="69" t="str">
        <v>N28</v>
      </c>
      <c r="AH308"/>
    </row>
    <row r="309" spans="1:34" x14ac:dyDescent="0.2">
      <c r="A309"/>
      <c r="B309"/>
      <c r="C309"/>
      <c r="D309"/>
      <c r="E309"/>
      <c r="F309" t="str">
        <f>LEFT(AllDaqbookOffsets[[#This Row],[traceability_no]],2)</f>
        <v>J2</v>
      </c>
      <c r="N309" s="456"/>
      <c r="O309"/>
      <c r="Z309" s="460" t="str">
        <v>N29</v>
      </c>
      <c r="AA309" s="194" t="str">
        <v>N21-N34</v>
      </c>
      <c r="AB309"/>
      <c r="AG309" s="69" t="str">
        <v>N29</v>
      </c>
      <c r="AH309"/>
    </row>
    <row r="310" spans="1:34" x14ac:dyDescent="0.2">
      <c r="A310"/>
      <c r="B310"/>
      <c r="C310"/>
      <c r="D310"/>
      <c r="E310"/>
      <c r="F310" t="str">
        <f>LEFT(AllDaqbookOffsets[[#This Row],[traceability_no]],2)</f>
        <v>J2</v>
      </c>
      <c r="N310" s="456"/>
      <c r="O310"/>
      <c r="Z310" s="460" t="str">
        <v>N30</v>
      </c>
      <c r="AA310" s="194" t="str">
        <v>N21-N34</v>
      </c>
      <c r="AB310"/>
      <c r="AG310" s="69" t="str">
        <v>N30</v>
      </c>
      <c r="AH310"/>
    </row>
    <row r="311" spans="1:34" x14ac:dyDescent="0.2">
      <c r="A311"/>
      <c r="B311"/>
      <c r="C311"/>
      <c r="D311"/>
      <c r="E311"/>
      <c r="F311" t="str">
        <f>LEFT(AllDaqbookOffsets[[#This Row],[traceability_no]],2)</f>
        <v>J2</v>
      </c>
      <c r="N311" s="456"/>
      <c r="O311"/>
      <c r="Z311" s="460" t="str">
        <v>N31</v>
      </c>
      <c r="AA311" s="194" t="str">
        <v>N21-N34</v>
      </c>
      <c r="AB311"/>
      <c r="AG311" s="69" t="str">
        <v>N31</v>
      </c>
      <c r="AH311"/>
    </row>
    <row r="312" spans="1:34" x14ac:dyDescent="0.2">
      <c r="A312"/>
      <c r="B312"/>
      <c r="C312"/>
      <c r="D312"/>
      <c r="E312"/>
      <c r="F312" t="str">
        <f>LEFT(AllDaqbookOffsets[[#This Row],[traceability_no]],2)</f>
        <v>J2</v>
      </c>
      <c r="N312" s="456"/>
      <c r="O312"/>
      <c r="Z312" s="460" t="str">
        <v>N32</v>
      </c>
      <c r="AA312" s="194" t="str">
        <v>N21-N34</v>
      </c>
      <c r="AB312"/>
      <c r="AG312" s="69" t="str">
        <v>N32</v>
      </c>
      <c r="AH312"/>
    </row>
    <row r="313" spans="1:34" x14ac:dyDescent="0.2">
      <c r="A313"/>
      <c r="B313"/>
      <c r="C313"/>
      <c r="D313"/>
      <c r="E313"/>
      <c r="F313" t="str">
        <f>LEFT(AllDaqbookOffsets[[#This Row],[traceability_no]],2)</f>
        <v>J2</v>
      </c>
      <c r="N313" s="456"/>
      <c r="O313"/>
      <c r="Z313" s="460" t="str">
        <v>N33</v>
      </c>
      <c r="AA313" s="194" t="str">
        <v>N21-N34</v>
      </c>
      <c r="AB313"/>
      <c r="AG313" s="69" t="str">
        <v>N33</v>
      </c>
      <c r="AH313"/>
    </row>
    <row r="314" spans="1:34" x14ac:dyDescent="0.2">
      <c r="A314"/>
      <c r="B314"/>
      <c r="C314"/>
      <c r="D314"/>
      <c r="E314"/>
      <c r="F314" t="str">
        <f>LEFT(AllDaqbookOffsets[[#This Row],[traceability_no]],2)</f>
        <v>J2</v>
      </c>
      <c r="N314" s="456"/>
      <c r="O314"/>
      <c r="Z314" s="460" t="str">
        <v>N34</v>
      </c>
      <c r="AA314" s="194" t="str">
        <v>N21-N34</v>
      </c>
      <c r="AB314"/>
      <c r="AG314" s="69" t="str">
        <v>N34</v>
      </c>
      <c r="AH314"/>
    </row>
    <row r="315" spans="1:34" x14ac:dyDescent="0.2">
      <c r="A315"/>
      <c r="B315"/>
      <c r="C315"/>
      <c r="D315"/>
      <c r="E315"/>
      <c r="F315" t="str">
        <f>LEFT(AllDaqbookOffsets[[#This Row],[traceability_no]],2)</f>
        <v>J2</v>
      </c>
      <c r="N315" s="456"/>
      <c r="O315"/>
      <c r="Z315" s="460"/>
      <c r="AA315" s="194"/>
      <c r="AB315"/>
      <c r="AG315" s="69"/>
      <c r="AH315"/>
    </row>
    <row r="316" spans="1:34" x14ac:dyDescent="0.2">
      <c r="A316"/>
      <c r="B316"/>
      <c r="C316"/>
      <c r="D316"/>
      <c r="E316"/>
      <c r="F316" t="str">
        <f>LEFT(AllDaqbookOffsets[[#This Row],[traceability_no]],2)</f>
        <v>J2</v>
      </c>
      <c r="N316" s="456"/>
      <c r="O316"/>
      <c r="Z316" s="460"/>
      <c r="AA316" s="194"/>
      <c r="AB316"/>
      <c r="AG316" s="69"/>
      <c r="AH316"/>
    </row>
    <row r="317" spans="1:34" x14ac:dyDescent="0.2">
      <c r="A317"/>
      <c r="B317"/>
      <c r="C317"/>
      <c r="D317"/>
      <c r="E317"/>
      <c r="F317" t="str">
        <f>LEFT(AllDaqbookOffsets[[#This Row],[traceability_no]],2)</f>
        <v>J2</v>
      </c>
      <c r="N317" s="456"/>
      <c r="O317"/>
      <c r="Z317" s="460"/>
      <c r="AA317" s="194"/>
      <c r="AB317"/>
      <c r="AG317" s="69"/>
      <c r="AH317"/>
    </row>
    <row r="318" spans="1:34" x14ac:dyDescent="0.2">
      <c r="A318"/>
      <c r="B318"/>
      <c r="C318"/>
      <c r="D318"/>
      <c r="E318"/>
      <c r="F318" t="str">
        <f>LEFT(AllDaqbookOffsets[[#This Row],[traceability_no]],2)</f>
        <v>J2</v>
      </c>
      <c r="N318" s="456"/>
      <c r="O318"/>
      <c r="Z318" s="460"/>
      <c r="AA318" s="194"/>
      <c r="AB318"/>
      <c r="AG318" s="69"/>
      <c r="AH318"/>
    </row>
    <row r="319" spans="1:34" x14ac:dyDescent="0.2">
      <c r="A319"/>
      <c r="B319"/>
      <c r="C319"/>
      <c r="D319"/>
      <c r="E319"/>
      <c r="F319" t="str">
        <f>LEFT(AllDaqbookOffsets[[#This Row],[traceability_no]],2)</f>
        <v>J2</v>
      </c>
      <c r="N319" s="456"/>
      <c r="O319"/>
      <c r="Z319" s="460"/>
      <c r="AA319" s="194"/>
      <c r="AB319"/>
      <c r="AG319" s="69"/>
      <c r="AH319"/>
    </row>
    <row r="320" spans="1:34" x14ac:dyDescent="0.2">
      <c r="A320"/>
      <c r="B320"/>
      <c r="C320"/>
      <c r="D320"/>
      <c r="E320"/>
      <c r="F320" t="str">
        <f>LEFT(AllDaqbookOffsets[[#This Row],[traceability_no]],2)</f>
        <v>J2</v>
      </c>
      <c r="N320" s="456"/>
      <c r="O320"/>
      <c r="Z320" s="460"/>
      <c r="AA320" s="194"/>
      <c r="AB320"/>
      <c r="AG320" s="69"/>
      <c r="AH320"/>
    </row>
    <row r="321" spans="1:34" x14ac:dyDescent="0.2">
      <c r="A321"/>
      <c r="B321"/>
      <c r="C321"/>
      <c r="D321"/>
      <c r="E321"/>
      <c r="F321" t="str">
        <f>LEFT(AllDaqbookOffsets[[#This Row],[traceability_no]],2)</f>
        <v>J2</v>
      </c>
      <c r="N321" s="456"/>
      <c r="O321"/>
      <c r="Z321" s="460"/>
      <c r="AA321" s="194"/>
      <c r="AB321"/>
      <c r="AG321" s="69"/>
      <c r="AH321"/>
    </row>
    <row r="322" spans="1:34" x14ac:dyDescent="0.2">
      <c r="A322"/>
      <c r="B322"/>
      <c r="C322"/>
      <c r="D322"/>
      <c r="E322"/>
      <c r="F322" t="str">
        <f>LEFT(AllDaqbookOffsets[[#This Row],[traceability_no]],2)</f>
        <v>J2</v>
      </c>
      <c r="N322" s="456"/>
      <c r="O322"/>
      <c r="Z322" s="460"/>
      <c r="AA322" s="194"/>
      <c r="AB322"/>
      <c r="AG322" s="69"/>
      <c r="AH322"/>
    </row>
    <row r="323" spans="1:34" x14ac:dyDescent="0.2">
      <c r="A323"/>
      <c r="B323"/>
      <c r="C323"/>
      <c r="D323"/>
      <c r="E323"/>
      <c r="F323" t="str">
        <f>LEFT(AllDaqbookOffsets[[#This Row],[traceability_no]],2)</f>
        <v>J2</v>
      </c>
      <c r="N323" s="456"/>
      <c r="O323"/>
      <c r="Z323" s="460"/>
      <c r="AA323" s="194"/>
      <c r="AB323"/>
      <c r="AG323" s="69"/>
      <c r="AH323"/>
    </row>
    <row r="324" spans="1:34" x14ac:dyDescent="0.2">
      <c r="A324"/>
      <c r="B324"/>
      <c r="C324"/>
      <c r="D324"/>
      <c r="E324"/>
      <c r="F324" t="str">
        <f>LEFT(AllDaqbookOffsets[[#This Row],[traceability_no]],2)</f>
        <v>J2</v>
      </c>
      <c r="N324" s="456"/>
      <c r="O324"/>
      <c r="Z324" s="460"/>
      <c r="AA324" s="194"/>
      <c r="AB324"/>
      <c r="AG324" s="69"/>
      <c r="AH324"/>
    </row>
    <row r="325" spans="1:34" x14ac:dyDescent="0.2">
      <c r="A325"/>
      <c r="B325"/>
      <c r="C325"/>
      <c r="D325"/>
      <c r="E325"/>
      <c r="F325" t="str">
        <f>LEFT(AllDaqbookOffsets[[#This Row],[traceability_no]],2)</f>
        <v>J2</v>
      </c>
      <c r="N325" s="456"/>
      <c r="O325"/>
      <c r="Z325" s="460"/>
      <c r="AA325" s="194"/>
      <c r="AB325"/>
      <c r="AG325" s="69"/>
      <c r="AH325"/>
    </row>
    <row r="326" spans="1:34" x14ac:dyDescent="0.2">
      <c r="A326"/>
      <c r="B326"/>
      <c r="C326"/>
      <c r="D326"/>
      <c r="E326"/>
      <c r="F326" t="str">
        <f>LEFT(AllDaqbookOffsets[[#This Row],[traceability_no]],2)</f>
        <v>J2</v>
      </c>
      <c r="N326" s="456"/>
      <c r="O326"/>
      <c r="Z326" s="460"/>
      <c r="AA326" s="194"/>
      <c r="AB326"/>
      <c r="AG326" s="69"/>
      <c r="AH326"/>
    </row>
    <row r="327" spans="1:34" x14ac:dyDescent="0.2">
      <c r="A327"/>
      <c r="B327"/>
      <c r="C327"/>
      <c r="D327"/>
      <c r="E327"/>
      <c r="F327" t="str">
        <f>LEFT(AllDaqbookOffsets[[#This Row],[traceability_no]],2)</f>
        <v>J2</v>
      </c>
      <c r="N327" s="456"/>
      <c r="O327"/>
      <c r="Z327" s="460"/>
      <c r="AA327" s="194"/>
      <c r="AB327"/>
      <c r="AG327" s="69"/>
      <c r="AH327"/>
    </row>
    <row r="328" spans="1:34" x14ac:dyDescent="0.2">
      <c r="A328"/>
      <c r="B328"/>
      <c r="C328"/>
      <c r="D328"/>
      <c r="E328"/>
      <c r="F328" t="str">
        <f>LEFT(AllDaqbookOffsets[[#This Row],[traceability_no]],2)</f>
        <v>J2</v>
      </c>
      <c r="N328" s="456"/>
      <c r="O328"/>
      <c r="Z328" s="460"/>
      <c r="AA328" s="194"/>
      <c r="AB328"/>
      <c r="AG328" s="69"/>
      <c r="AH328"/>
    </row>
    <row r="329" spans="1:34" x14ac:dyDescent="0.2">
      <c r="A329"/>
      <c r="B329"/>
      <c r="C329"/>
      <c r="D329"/>
      <c r="E329"/>
      <c r="F329" t="str">
        <f>LEFT(AllDaqbookOffsets[[#This Row],[traceability_no]],2)</f>
        <v>J2</v>
      </c>
      <c r="N329" s="456"/>
      <c r="O329"/>
      <c r="Z329" s="460"/>
      <c r="AA329" s="194"/>
      <c r="AB329"/>
      <c r="AG329" s="69"/>
      <c r="AH329"/>
    </row>
    <row r="330" spans="1:34" x14ac:dyDescent="0.2">
      <c r="A330"/>
      <c r="B330"/>
      <c r="C330"/>
      <c r="D330"/>
      <c r="E330"/>
      <c r="F330" t="str">
        <f>LEFT(AllDaqbookOffsets[[#This Row],[traceability_no]],2)</f>
        <v>J2</v>
      </c>
      <c r="N330" s="456"/>
      <c r="O330"/>
      <c r="Z330" s="460"/>
      <c r="AA330" s="194"/>
      <c r="AB330"/>
      <c r="AG330" s="69"/>
      <c r="AH330"/>
    </row>
    <row r="331" spans="1:34" x14ac:dyDescent="0.2">
      <c r="A331"/>
      <c r="B331"/>
      <c r="C331"/>
      <c r="D331"/>
      <c r="E331"/>
      <c r="F331" t="str">
        <f>LEFT(AllDaqbookOffsets[[#This Row],[traceability_no]],2)</f>
        <v>J2</v>
      </c>
      <c r="N331" s="456"/>
      <c r="O331"/>
      <c r="Z331" s="460"/>
      <c r="AA331" s="194"/>
      <c r="AB331"/>
      <c r="AG331" s="69"/>
      <c r="AH331"/>
    </row>
    <row r="332" spans="1:34" x14ac:dyDescent="0.2">
      <c r="A332"/>
      <c r="B332"/>
      <c r="C332"/>
      <c r="D332"/>
      <c r="E332"/>
      <c r="F332" t="str">
        <f>LEFT(AllDaqbookOffsets[[#This Row],[traceability_no]],2)</f>
        <v>J2</v>
      </c>
      <c r="N332" s="456"/>
      <c r="O332"/>
      <c r="Z332" s="460"/>
      <c r="AA332" s="194"/>
      <c r="AB332"/>
      <c r="AG332" s="69"/>
      <c r="AH332"/>
    </row>
    <row r="333" spans="1:34" x14ac:dyDescent="0.2">
      <c r="A333"/>
      <c r="B333"/>
      <c r="C333"/>
      <c r="D333"/>
      <c r="E333"/>
      <c r="F333" t="str">
        <f>LEFT(AllDaqbookOffsets[[#This Row],[traceability_no]],2)</f>
        <v>J2</v>
      </c>
      <c r="N333" s="456"/>
      <c r="O333"/>
      <c r="Z333" s="460"/>
      <c r="AA333" s="194"/>
      <c r="AB333"/>
      <c r="AG333" s="69"/>
      <c r="AH333"/>
    </row>
    <row r="334" spans="1:34" x14ac:dyDescent="0.2">
      <c r="A334"/>
      <c r="B334"/>
      <c r="C334"/>
      <c r="D334"/>
      <c r="E334"/>
      <c r="F334" t="str">
        <f>LEFT(AllDaqbookOffsets[[#This Row],[traceability_no]],2)</f>
        <v>J2</v>
      </c>
      <c r="N334" s="456"/>
      <c r="O334"/>
      <c r="Z334" s="460"/>
      <c r="AA334" s="194"/>
      <c r="AB334"/>
      <c r="AG334" s="69"/>
      <c r="AH334"/>
    </row>
    <row r="335" spans="1:34" x14ac:dyDescent="0.2">
      <c r="A335"/>
      <c r="B335"/>
      <c r="C335"/>
      <c r="D335"/>
      <c r="E335"/>
      <c r="F335" t="str">
        <f>LEFT(AllDaqbookOffsets[[#This Row],[traceability_no]],2)</f>
        <v>J2</v>
      </c>
      <c r="N335" s="456"/>
      <c r="O335"/>
      <c r="Z335" s="460"/>
      <c r="AA335" s="194"/>
      <c r="AB335"/>
      <c r="AG335" s="69"/>
      <c r="AH335"/>
    </row>
    <row r="336" spans="1:34" x14ac:dyDescent="0.2">
      <c r="A336"/>
      <c r="B336"/>
      <c r="C336"/>
      <c r="D336"/>
      <c r="E336"/>
      <c r="F336" t="str">
        <f>LEFT(AllDaqbookOffsets[[#This Row],[traceability_no]],2)</f>
        <v>J2</v>
      </c>
      <c r="N336" s="456"/>
      <c r="O336"/>
      <c r="Z336" s="460"/>
      <c r="AA336" s="194"/>
      <c r="AB336"/>
      <c r="AG336" s="69"/>
      <c r="AH336"/>
    </row>
    <row r="337" spans="1:34" x14ac:dyDescent="0.2">
      <c r="A337"/>
      <c r="B337"/>
      <c r="C337"/>
      <c r="D337"/>
      <c r="E337"/>
      <c r="F337" t="str">
        <f>LEFT(AllDaqbookOffsets[[#This Row],[traceability_no]],2)</f>
        <v>J2</v>
      </c>
      <c r="N337" s="456"/>
      <c r="O337"/>
      <c r="Z337" s="460"/>
      <c r="AA337" s="194"/>
      <c r="AB337"/>
      <c r="AG337" s="69"/>
      <c r="AH337"/>
    </row>
    <row r="338" spans="1:34" x14ac:dyDescent="0.2">
      <c r="A338"/>
      <c r="B338"/>
      <c r="C338"/>
      <c r="D338"/>
      <c r="E338"/>
      <c r="F338" t="str">
        <f>LEFT(AllDaqbookOffsets[[#This Row],[traceability_no]],2)</f>
        <v>J2</v>
      </c>
      <c r="N338" s="456"/>
      <c r="O338"/>
      <c r="Z338" s="460"/>
      <c r="AA338" s="194"/>
      <c r="AB338"/>
      <c r="AG338" s="69"/>
      <c r="AH338"/>
    </row>
    <row r="339" spans="1:34" x14ac:dyDescent="0.2">
      <c r="A339"/>
      <c r="B339"/>
      <c r="C339"/>
      <c r="D339"/>
      <c r="E339"/>
      <c r="F339" t="str">
        <f>LEFT(AllDaqbookOffsets[[#This Row],[traceability_no]],2)</f>
        <v>J2</v>
      </c>
      <c r="N339" s="456"/>
      <c r="O339"/>
      <c r="Z339" s="460"/>
      <c r="AA339" s="194"/>
      <c r="AB339"/>
      <c r="AG339" s="69"/>
      <c r="AH339"/>
    </row>
    <row r="340" spans="1:34" x14ac:dyDescent="0.2">
      <c r="A340"/>
      <c r="B340"/>
      <c r="C340"/>
      <c r="D340"/>
      <c r="E340"/>
      <c r="F340" t="str">
        <f>LEFT(AllDaqbookOffsets[[#This Row],[traceability_no]],2)</f>
        <v>J2</v>
      </c>
      <c r="N340" s="456"/>
      <c r="O340"/>
      <c r="Z340" s="460"/>
      <c r="AA340" s="194"/>
      <c r="AB340"/>
      <c r="AG340" s="69"/>
      <c r="AH340"/>
    </row>
    <row r="341" spans="1:34" x14ac:dyDescent="0.2">
      <c r="A341"/>
      <c r="B341"/>
      <c r="C341"/>
      <c r="D341"/>
      <c r="E341"/>
      <c r="F341" t="str">
        <f>LEFT(AllDaqbookOffsets[[#This Row],[traceability_no]],2)</f>
        <v>J2</v>
      </c>
      <c r="N341" s="456"/>
      <c r="O341"/>
      <c r="Z341" s="460"/>
      <c r="AA341" s="194"/>
      <c r="AB341"/>
      <c r="AG341" s="69"/>
      <c r="AH341"/>
    </row>
    <row r="342" spans="1:34" x14ac:dyDescent="0.2">
      <c r="A342"/>
      <c r="B342"/>
      <c r="C342"/>
      <c r="D342"/>
      <c r="E342"/>
      <c r="F342" t="str">
        <f>LEFT(AllDaqbookOffsets[[#This Row],[traceability_no]],2)</f>
        <v>J2</v>
      </c>
      <c r="N342" s="456"/>
      <c r="O342"/>
      <c r="Z342" s="460"/>
      <c r="AA342" s="194"/>
      <c r="AB342"/>
      <c r="AG342" s="69"/>
      <c r="AH342"/>
    </row>
    <row r="343" spans="1:34" x14ac:dyDescent="0.2">
      <c r="A343"/>
      <c r="B343"/>
      <c r="C343"/>
      <c r="D343"/>
      <c r="E343"/>
      <c r="F343" t="str">
        <f>LEFT(AllDaqbookOffsets[[#This Row],[traceability_no]],2)</f>
        <v>J2</v>
      </c>
      <c r="N343" s="456"/>
      <c r="O343"/>
      <c r="Z343" s="460"/>
      <c r="AA343" s="194"/>
      <c r="AB343"/>
      <c r="AG343" s="69"/>
      <c r="AH343"/>
    </row>
    <row r="344" spans="1:34" x14ac:dyDescent="0.2">
      <c r="A344"/>
      <c r="B344"/>
      <c r="C344"/>
      <c r="D344"/>
      <c r="E344"/>
      <c r="F344" t="str">
        <f>LEFT(AllDaqbookOffsets[[#This Row],[traceability_no]],2)</f>
        <v>J2</v>
      </c>
      <c r="N344" s="456"/>
      <c r="O344"/>
      <c r="Z344" s="460"/>
      <c r="AA344" s="194"/>
      <c r="AB344"/>
      <c r="AG344" s="69"/>
      <c r="AH344"/>
    </row>
    <row r="345" spans="1:34" x14ac:dyDescent="0.2">
      <c r="A345"/>
      <c r="B345"/>
      <c r="C345"/>
      <c r="D345"/>
      <c r="E345"/>
      <c r="F345" t="str">
        <f>LEFT(AllDaqbookOffsets[[#This Row],[traceability_no]],2)</f>
        <v>J2</v>
      </c>
      <c r="N345" s="456"/>
      <c r="O345"/>
      <c r="Z345" s="460"/>
      <c r="AA345" s="194"/>
      <c r="AB345"/>
      <c r="AG345" s="69"/>
      <c r="AH345"/>
    </row>
    <row r="346" spans="1:34" x14ac:dyDescent="0.2">
      <c r="A346"/>
      <c r="B346"/>
      <c r="C346"/>
      <c r="D346"/>
      <c r="E346"/>
      <c r="F346" t="str">
        <f>LEFT(AllDaqbookOffsets[[#This Row],[traceability_no]],2)</f>
        <v>J2</v>
      </c>
      <c r="N346" s="456"/>
      <c r="O346"/>
      <c r="Z346" s="460"/>
      <c r="AA346" s="194"/>
      <c r="AB346"/>
      <c r="AG346" s="69"/>
      <c r="AH346"/>
    </row>
    <row r="347" spans="1:34" x14ac:dyDescent="0.2">
      <c r="A347"/>
      <c r="B347"/>
      <c r="C347"/>
      <c r="D347"/>
      <c r="E347"/>
      <c r="F347" t="str">
        <f>LEFT(AllDaqbookOffsets[[#This Row],[traceability_no]],2)</f>
        <v>J2</v>
      </c>
      <c r="N347" s="456"/>
      <c r="O347"/>
      <c r="Z347" s="460"/>
      <c r="AA347" s="194"/>
      <c r="AB347"/>
      <c r="AG347" s="69"/>
      <c r="AH347"/>
    </row>
    <row r="348" spans="1:34" x14ac:dyDescent="0.2">
      <c r="A348"/>
      <c r="B348"/>
      <c r="C348"/>
      <c r="D348"/>
      <c r="E348"/>
      <c r="F348" t="str">
        <f>LEFT(AllDaqbookOffsets[[#This Row],[traceability_no]],2)</f>
        <v>J2</v>
      </c>
      <c r="N348" s="456"/>
      <c r="O348"/>
      <c r="Z348" s="460"/>
      <c r="AA348" s="194"/>
      <c r="AB348"/>
      <c r="AG348" s="69"/>
      <c r="AH348"/>
    </row>
    <row r="349" spans="1:34" x14ac:dyDescent="0.2">
      <c r="A349"/>
      <c r="B349"/>
      <c r="C349"/>
      <c r="D349"/>
      <c r="E349"/>
      <c r="F349" t="str">
        <f>LEFT(AllDaqbookOffsets[[#This Row],[traceability_no]],2)</f>
        <v>J2</v>
      </c>
      <c r="N349" s="456"/>
      <c r="O349"/>
      <c r="Z349" s="460"/>
      <c r="AA349" s="194"/>
      <c r="AB349"/>
      <c r="AG349" s="69"/>
      <c r="AH349"/>
    </row>
    <row r="350" spans="1:34" x14ac:dyDescent="0.2">
      <c r="A350"/>
      <c r="B350"/>
      <c r="C350"/>
      <c r="D350"/>
      <c r="E350"/>
      <c r="F350" t="str">
        <f>LEFT(AllDaqbookOffsets[[#This Row],[traceability_no]],2)</f>
        <v>J2</v>
      </c>
      <c r="N350" s="456"/>
      <c r="O350"/>
      <c r="Z350" s="460"/>
      <c r="AA350" s="194"/>
      <c r="AB350"/>
      <c r="AG350" s="69"/>
      <c r="AH350"/>
    </row>
    <row r="351" spans="1:34" x14ac:dyDescent="0.2">
      <c r="A351"/>
      <c r="B351"/>
      <c r="C351"/>
      <c r="D351"/>
      <c r="E351"/>
      <c r="F351" t="str">
        <f>LEFT(AllDaqbookOffsets[[#This Row],[traceability_no]],2)</f>
        <v>J2</v>
      </c>
      <c r="N351" s="456"/>
      <c r="O351"/>
      <c r="Z351" s="460"/>
      <c r="AA351" s="194"/>
      <c r="AB351"/>
      <c r="AG351" s="69"/>
      <c r="AH351"/>
    </row>
    <row r="352" spans="1:34" x14ac:dyDescent="0.2">
      <c r="A352"/>
      <c r="B352"/>
      <c r="C352"/>
      <c r="D352"/>
      <c r="E352"/>
      <c r="F352" t="str">
        <f>LEFT(AllDaqbookOffsets[[#This Row],[traceability_no]],2)</f>
        <v>J2</v>
      </c>
      <c r="N352" s="456"/>
      <c r="O352"/>
      <c r="Z352" s="460"/>
      <c r="AA352" s="194"/>
      <c r="AB352"/>
      <c r="AG352" s="69"/>
      <c r="AH352"/>
    </row>
    <row r="353" spans="1:34" x14ac:dyDescent="0.2">
      <c r="A353"/>
      <c r="B353"/>
      <c r="C353"/>
      <c r="D353"/>
      <c r="E353"/>
      <c r="F353" t="str">
        <f>LEFT(AllDaqbookOffsets[[#This Row],[traceability_no]],2)</f>
        <v>J2</v>
      </c>
      <c r="N353" s="456"/>
      <c r="O353"/>
      <c r="Z353" s="460"/>
      <c r="AA353" s="194"/>
      <c r="AB353"/>
      <c r="AG353" s="69"/>
      <c r="AH353"/>
    </row>
    <row r="354" spans="1:34" x14ac:dyDescent="0.2">
      <c r="A354"/>
      <c r="B354"/>
      <c r="C354"/>
      <c r="D354"/>
      <c r="E354"/>
      <c r="F354" t="str">
        <f>LEFT(AllDaqbookOffsets[[#This Row],[traceability_no]],2)</f>
        <v>J2</v>
      </c>
      <c r="N354" s="456"/>
      <c r="O354"/>
      <c r="Z354" s="460"/>
      <c r="AA354" s="194"/>
      <c r="AB354"/>
      <c r="AG354" s="69"/>
      <c r="AH354"/>
    </row>
    <row r="355" spans="1:34" x14ac:dyDescent="0.2">
      <c r="A355"/>
      <c r="B355"/>
      <c r="C355"/>
      <c r="D355"/>
      <c r="E355"/>
      <c r="F355" t="str">
        <f>LEFT(AllDaqbookOffsets[[#This Row],[traceability_no]],2)</f>
        <v>J2</v>
      </c>
      <c r="N355" s="456"/>
      <c r="O355"/>
      <c r="Z355" s="460"/>
      <c r="AA355" s="194"/>
      <c r="AB355"/>
      <c r="AG355" s="69"/>
      <c r="AH355"/>
    </row>
    <row r="356" spans="1:34" x14ac:dyDescent="0.2">
      <c r="A356"/>
      <c r="B356"/>
      <c r="C356"/>
      <c r="D356"/>
      <c r="E356"/>
      <c r="F356" t="str">
        <f>LEFT(AllDaqbookOffsets[[#This Row],[traceability_no]],2)</f>
        <v>J2</v>
      </c>
      <c r="N356" s="456"/>
      <c r="O356"/>
      <c r="Z356" s="460"/>
      <c r="AA356" s="194"/>
      <c r="AB356"/>
      <c r="AG356" s="69"/>
      <c r="AH356"/>
    </row>
    <row r="357" spans="1:34" x14ac:dyDescent="0.2">
      <c r="A357"/>
      <c r="B357"/>
      <c r="C357"/>
      <c r="D357"/>
      <c r="E357"/>
      <c r="F357" t="str">
        <f>LEFT(AllDaqbookOffsets[[#This Row],[traceability_no]],2)</f>
        <v>J2</v>
      </c>
      <c r="N357" s="456"/>
      <c r="O357"/>
      <c r="Z357" s="460"/>
      <c r="AA357" s="194"/>
      <c r="AB357"/>
      <c r="AG357" s="69"/>
      <c r="AH357"/>
    </row>
    <row r="358" spans="1:34" x14ac:dyDescent="0.2">
      <c r="A358"/>
      <c r="B358"/>
      <c r="C358"/>
      <c r="D358"/>
      <c r="E358"/>
      <c r="F358" t="str">
        <f>LEFT(AllDaqbookOffsets[[#This Row],[traceability_no]],2)</f>
        <v>J2</v>
      </c>
      <c r="N358" s="456"/>
      <c r="O358"/>
      <c r="Z358" s="460"/>
      <c r="AA358" s="194"/>
      <c r="AB358"/>
      <c r="AG358" s="69"/>
      <c r="AH358"/>
    </row>
    <row r="359" spans="1:34" x14ac:dyDescent="0.2">
      <c r="A359"/>
      <c r="B359"/>
      <c r="C359"/>
      <c r="D359"/>
      <c r="E359"/>
      <c r="F359" t="str">
        <f>LEFT(AllDaqbookOffsets[[#This Row],[traceability_no]],2)</f>
        <v>J2</v>
      </c>
      <c r="N359" s="456"/>
      <c r="O359"/>
      <c r="Z359" s="460"/>
      <c r="AA359" s="194"/>
      <c r="AB359"/>
      <c r="AG359" s="69"/>
      <c r="AH359"/>
    </row>
    <row r="360" spans="1:34" x14ac:dyDescent="0.2">
      <c r="A360"/>
      <c r="B360"/>
      <c r="C360"/>
      <c r="D360"/>
      <c r="E360"/>
      <c r="F360" t="str">
        <f>LEFT(AllDaqbookOffsets[[#This Row],[traceability_no]],2)</f>
        <v>J2</v>
      </c>
      <c r="N360" s="456"/>
      <c r="O360"/>
      <c r="Z360" s="460"/>
      <c r="AA360" s="194"/>
      <c r="AB360"/>
      <c r="AG360" s="69"/>
      <c r="AH360"/>
    </row>
    <row r="361" spans="1:34" x14ac:dyDescent="0.2">
      <c r="A361"/>
      <c r="B361"/>
      <c r="C361"/>
      <c r="D361"/>
      <c r="E361"/>
      <c r="F361" t="str">
        <f>LEFT(AllDaqbookOffsets[[#This Row],[traceability_no]],2)</f>
        <v>J2</v>
      </c>
      <c r="N361" s="456"/>
      <c r="O361"/>
      <c r="Z361" s="460"/>
      <c r="AA361" s="194"/>
      <c r="AB361"/>
      <c r="AG361" s="69"/>
      <c r="AH361"/>
    </row>
    <row r="362" spans="1:34" x14ac:dyDescent="0.2">
      <c r="A362"/>
      <c r="B362"/>
      <c r="C362"/>
      <c r="D362"/>
      <c r="E362"/>
      <c r="F362" t="str">
        <f>LEFT(AllDaqbookOffsets[[#This Row],[traceability_no]],2)</f>
        <v>J2</v>
      </c>
      <c r="N362" s="456"/>
      <c r="O362"/>
      <c r="Z362" s="460"/>
      <c r="AA362" s="194"/>
      <c r="AB362"/>
      <c r="AG362" s="69"/>
      <c r="AH362"/>
    </row>
    <row r="363" spans="1:34" x14ac:dyDescent="0.2">
      <c r="A363"/>
      <c r="B363"/>
      <c r="C363"/>
      <c r="D363"/>
      <c r="E363"/>
      <c r="F363" t="str">
        <f>LEFT(AllDaqbookOffsets[[#This Row],[traceability_no]],2)</f>
        <v>J2</v>
      </c>
      <c r="N363" s="456"/>
      <c r="O363"/>
      <c r="Z363" s="460"/>
      <c r="AA363" s="194"/>
      <c r="AB363"/>
      <c r="AG363" s="69"/>
      <c r="AH363"/>
    </row>
    <row r="364" spans="1:34" x14ac:dyDescent="0.2">
      <c r="A364"/>
      <c r="B364"/>
      <c r="C364"/>
      <c r="D364"/>
      <c r="E364"/>
      <c r="F364" t="str">
        <f>LEFT(AllDaqbookOffsets[[#This Row],[traceability_no]],2)</f>
        <v>J2</v>
      </c>
      <c r="N364" s="456"/>
      <c r="O364"/>
      <c r="Z364" s="460"/>
      <c r="AA364" s="194"/>
      <c r="AB364"/>
      <c r="AG364" s="69"/>
      <c r="AH364"/>
    </row>
    <row r="365" spans="1:34" x14ac:dyDescent="0.2">
      <c r="A365"/>
      <c r="B365"/>
      <c r="C365"/>
      <c r="D365"/>
      <c r="E365"/>
      <c r="F365" t="str">
        <f>LEFT(AllDaqbookOffsets[[#This Row],[traceability_no]],2)</f>
        <v>J2</v>
      </c>
      <c r="N365" s="456"/>
      <c r="O365"/>
      <c r="Z365" s="460"/>
      <c r="AA365" s="194"/>
      <c r="AB365"/>
      <c r="AG365" s="69"/>
      <c r="AH365"/>
    </row>
    <row r="366" spans="1:34" x14ac:dyDescent="0.2">
      <c r="A366"/>
      <c r="B366"/>
      <c r="C366"/>
      <c r="D366"/>
      <c r="E366"/>
      <c r="F366" t="str">
        <f>LEFT(AllDaqbookOffsets[[#This Row],[traceability_no]],2)</f>
        <v>J2</v>
      </c>
      <c r="N366" s="456"/>
      <c r="O366"/>
      <c r="Z366" s="460"/>
      <c r="AA366" s="194"/>
      <c r="AB366"/>
      <c r="AG366" s="69"/>
      <c r="AH366"/>
    </row>
    <row r="367" spans="1:34" x14ac:dyDescent="0.2">
      <c r="A367"/>
      <c r="B367"/>
      <c r="C367"/>
      <c r="D367"/>
      <c r="E367"/>
      <c r="F367" t="str">
        <f>LEFT(AllDaqbookOffsets[[#This Row],[traceability_no]],2)</f>
        <v>J2</v>
      </c>
      <c r="N367" s="456"/>
      <c r="O367"/>
      <c r="Z367" s="460"/>
      <c r="AA367" s="194"/>
      <c r="AB367"/>
      <c r="AG367" s="69"/>
      <c r="AH367"/>
    </row>
    <row r="368" spans="1:34" x14ac:dyDescent="0.2">
      <c r="A368"/>
      <c r="B368"/>
      <c r="C368"/>
      <c r="D368"/>
      <c r="E368"/>
      <c r="F368" t="str">
        <f>LEFT(AllDaqbookOffsets[[#This Row],[traceability_no]],2)</f>
        <v>J2</v>
      </c>
      <c r="N368" s="456"/>
      <c r="O368"/>
      <c r="Z368" s="460"/>
      <c r="AA368" s="194"/>
      <c r="AB368"/>
      <c r="AG368" s="69"/>
      <c r="AH368"/>
    </row>
    <row r="369" spans="1:34" x14ac:dyDescent="0.2">
      <c r="A369"/>
      <c r="B369"/>
      <c r="C369"/>
      <c r="D369"/>
      <c r="E369"/>
      <c r="F369" t="str">
        <f>LEFT(AllDaqbookOffsets[[#This Row],[traceability_no]],2)</f>
        <v>J2</v>
      </c>
      <c r="N369" s="456"/>
      <c r="O369"/>
      <c r="Z369" s="460"/>
      <c r="AA369" s="194"/>
      <c r="AB369"/>
      <c r="AG369" s="69"/>
      <c r="AH369"/>
    </row>
    <row r="370" spans="1:34" x14ac:dyDescent="0.2">
      <c r="A370"/>
      <c r="B370"/>
      <c r="C370"/>
      <c r="D370"/>
      <c r="E370"/>
      <c r="F370" t="str">
        <f>LEFT(AllDaqbookOffsets[[#This Row],[traceability_no]],2)</f>
        <v>J2</v>
      </c>
      <c r="N370" s="456"/>
      <c r="O370"/>
      <c r="Z370" s="460"/>
      <c r="AA370" s="194"/>
      <c r="AB370"/>
      <c r="AG370" s="69"/>
      <c r="AH370"/>
    </row>
    <row r="371" spans="1:34" x14ac:dyDescent="0.2">
      <c r="A371"/>
      <c r="B371"/>
      <c r="C371"/>
      <c r="D371"/>
      <c r="E371"/>
      <c r="F371" t="str">
        <f>LEFT(AllDaqbookOffsets[[#This Row],[traceability_no]],2)</f>
        <v>J2</v>
      </c>
      <c r="N371" s="456"/>
      <c r="O371"/>
      <c r="Z371" s="460"/>
      <c r="AA371" s="194"/>
      <c r="AB371"/>
      <c r="AG371" s="69"/>
      <c r="AH371"/>
    </row>
    <row r="372" spans="1:34" x14ac:dyDescent="0.2">
      <c r="A372"/>
      <c r="B372"/>
      <c r="C372"/>
      <c r="D372"/>
      <c r="E372"/>
      <c r="F372" t="str">
        <f>LEFT(AllDaqbookOffsets[[#This Row],[traceability_no]],2)</f>
        <v>J2</v>
      </c>
      <c r="N372" s="456"/>
      <c r="O372"/>
      <c r="Z372" s="460"/>
      <c r="AA372" s="194"/>
      <c r="AB372"/>
      <c r="AG372" s="69"/>
      <c r="AH372"/>
    </row>
    <row r="373" spans="1:34" x14ac:dyDescent="0.2">
      <c r="A373"/>
      <c r="B373"/>
      <c r="C373"/>
      <c r="D373"/>
      <c r="E373"/>
      <c r="F373" t="str">
        <f>LEFT(AllDaqbookOffsets[[#This Row],[traceability_no]],2)</f>
        <v>J2</v>
      </c>
      <c r="N373" s="456"/>
      <c r="O373"/>
      <c r="Z373" s="460"/>
      <c r="AA373" s="194"/>
      <c r="AB373"/>
      <c r="AG373" s="69"/>
      <c r="AH373"/>
    </row>
    <row r="374" spans="1:34" x14ac:dyDescent="0.2">
      <c r="A374"/>
      <c r="B374"/>
      <c r="C374"/>
      <c r="D374"/>
      <c r="E374"/>
      <c r="F374" t="str">
        <f>LEFT(AllDaqbookOffsets[[#This Row],[traceability_no]],2)</f>
        <v>J2</v>
      </c>
      <c r="N374" s="456"/>
      <c r="O374"/>
      <c r="Z374" s="460"/>
      <c r="AA374" s="194"/>
      <c r="AB374"/>
      <c r="AG374" s="69"/>
      <c r="AH374"/>
    </row>
    <row r="375" spans="1:34" x14ac:dyDescent="0.2">
      <c r="A375"/>
      <c r="B375"/>
      <c r="C375"/>
      <c r="D375"/>
      <c r="E375"/>
      <c r="F375" t="str">
        <f>LEFT(AllDaqbookOffsets[[#This Row],[traceability_no]],2)</f>
        <v>J2</v>
      </c>
      <c r="N375" s="456"/>
      <c r="O375"/>
      <c r="Z375" s="460"/>
      <c r="AA375" s="194"/>
      <c r="AB375"/>
      <c r="AG375" s="69"/>
      <c r="AH375"/>
    </row>
    <row r="376" spans="1:34" x14ac:dyDescent="0.2">
      <c r="A376"/>
      <c r="B376"/>
      <c r="C376"/>
      <c r="D376"/>
      <c r="E376"/>
      <c r="F376" t="str">
        <f>LEFT(AllDaqbookOffsets[[#This Row],[traceability_no]],2)</f>
        <v>J2</v>
      </c>
      <c r="N376" s="456"/>
      <c r="O376"/>
      <c r="Z376" s="460"/>
      <c r="AA376" s="194"/>
      <c r="AB376"/>
      <c r="AG376" s="69"/>
      <c r="AH376"/>
    </row>
    <row r="377" spans="1:34" x14ac:dyDescent="0.2">
      <c r="A377"/>
      <c r="B377"/>
      <c r="C377"/>
      <c r="D377"/>
      <c r="E377"/>
      <c r="F377" t="str">
        <f>LEFT(AllDaqbookOffsets[[#This Row],[traceability_no]],2)</f>
        <v>J2</v>
      </c>
      <c r="N377" s="456"/>
      <c r="O377"/>
      <c r="Z377" s="460"/>
      <c r="AA377" s="194"/>
      <c r="AB377"/>
      <c r="AG377" s="69"/>
      <c r="AH377"/>
    </row>
    <row r="378" spans="1:34" x14ac:dyDescent="0.2">
      <c r="A378"/>
      <c r="B378"/>
      <c r="C378"/>
      <c r="D378"/>
      <c r="E378"/>
      <c r="F378" t="str">
        <f>LEFT(AllDaqbookOffsets[[#This Row],[traceability_no]],2)</f>
        <v>J2</v>
      </c>
      <c r="N378" s="456"/>
      <c r="O378"/>
      <c r="Z378" s="460"/>
      <c r="AA378" s="194"/>
      <c r="AB378"/>
      <c r="AG378" s="69"/>
      <c r="AH378"/>
    </row>
    <row r="379" spans="1:34" x14ac:dyDescent="0.2">
      <c r="A379"/>
      <c r="B379"/>
      <c r="C379"/>
      <c r="D379"/>
      <c r="E379"/>
      <c r="F379" t="str">
        <f>LEFT(AllDaqbookOffsets[[#This Row],[traceability_no]],2)</f>
        <v>J2</v>
      </c>
      <c r="N379" s="456"/>
      <c r="O379"/>
      <c r="Z379" s="460"/>
      <c r="AA379" s="194"/>
      <c r="AB379"/>
      <c r="AG379" s="69"/>
      <c r="AH379"/>
    </row>
    <row r="380" spans="1:34" x14ac:dyDescent="0.2">
      <c r="A380"/>
      <c r="B380"/>
      <c r="C380"/>
      <c r="D380"/>
      <c r="E380"/>
      <c r="F380" t="str">
        <f>LEFT(AllDaqbookOffsets[[#This Row],[traceability_no]],2)</f>
        <v>J2</v>
      </c>
      <c r="N380" s="456"/>
      <c r="O380"/>
      <c r="Z380" s="460"/>
      <c r="AA380" s="194"/>
      <c r="AB380"/>
      <c r="AG380" s="69"/>
      <c r="AH380"/>
    </row>
    <row r="381" spans="1:34" x14ac:dyDescent="0.2">
      <c r="A381"/>
      <c r="B381"/>
      <c r="C381"/>
      <c r="D381"/>
      <c r="E381"/>
      <c r="F381" t="str">
        <f>LEFT(AllDaqbookOffsets[[#This Row],[traceability_no]],2)</f>
        <v>J2</v>
      </c>
      <c r="N381" s="456"/>
      <c r="O381"/>
      <c r="Z381" s="460"/>
      <c r="AA381" s="194"/>
      <c r="AB381"/>
      <c r="AG381" s="69"/>
      <c r="AH381"/>
    </row>
    <row r="382" spans="1:34" x14ac:dyDescent="0.2">
      <c r="A382"/>
      <c r="B382"/>
      <c r="C382"/>
      <c r="D382"/>
      <c r="E382"/>
      <c r="F382" t="str">
        <f>LEFT(AllDaqbookOffsets[[#This Row],[traceability_no]],2)</f>
        <v>J2</v>
      </c>
      <c r="N382" s="456"/>
      <c r="O382"/>
      <c r="Z382" s="460"/>
      <c r="AA382" s="194"/>
      <c r="AB382"/>
      <c r="AG382" s="69"/>
      <c r="AH382"/>
    </row>
    <row r="383" spans="1:34" x14ac:dyDescent="0.2">
      <c r="A383"/>
      <c r="B383"/>
      <c r="C383"/>
      <c r="D383"/>
      <c r="E383"/>
      <c r="F383" t="str">
        <f>LEFT(AllDaqbookOffsets[[#This Row],[traceability_no]],2)</f>
        <v>J2</v>
      </c>
      <c r="N383" s="456"/>
      <c r="O383"/>
      <c r="Z383" s="460"/>
      <c r="AA383" s="194"/>
      <c r="AB383"/>
      <c r="AG383" s="69"/>
      <c r="AH383"/>
    </row>
    <row r="384" spans="1:34" x14ac:dyDescent="0.2">
      <c r="A384"/>
      <c r="B384"/>
      <c r="C384"/>
      <c r="D384"/>
      <c r="E384"/>
      <c r="F384" t="str">
        <f>LEFT(AllDaqbookOffsets[[#This Row],[traceability_no]],2)</f>
        <v>J2</v>
      </c>
      <c r="N384" s="456"/>
      <c r="O384"/>
      <c r="Z384" s="460"/>
      <c r="AA384" s="194"/>
      <c r="AB384"/>
      <c r="AG384" s="69"/>
      <c r="AH384"/>
    </row>
    <row r="385" spans="1:34" x14ac:dyDescent="0.2">
      <c r="A385"/>
      <c r="B385"/>
      <c r="C385"/>
      <c r="D385"/>
      <c r="E385"/>
      <c r="F385" t="str">
        <f>LEFT(AllDaqbookOffsets[[#This Row],[traceability_no]],2)</f>
        <v>J2</v>
      </c>
      <c r="N385" s="456"/>
      <c r="O385"/>
      <c r="Z385" s="460"/>
      <c r="AA385" s="194"/>
      <c r="AB385"/>
      <c r="AG385" s="69"/>
      <c r="AH385"/>
    </row>
    <row r="386" spans="1:34" x14ac:dyDescent="0.2">
      <c r="A386"/>
      <c r="B386"/>
      <c r="C386"/>
      <c r="D386"/>
      <c r="E386"/>
      <c r="F386" t="str">
        <f>LEFT(AllDaqbookOffsets[[#This Row],[traceability_no]],2)</f>
        <v>J2</v>
      </c>
      <c r="N386" s="456"/>
      <c r="O386"/>
      <c r="Z386" s="460"/>
      <c r="AA386" s="194"/>
      <c r="AB386"/>
      <c r="AG386" s="69"/>
      <c r="AH386"/>
    </row>
    <row r="387" spans="1:34" x14ac:dyDescent="0.2">
      <c r="A387"/>
      <c r="B387"/>
      <c r="C387"/>
      <c r="D387"/>
      <c r="E387"/>
      <c r="F387" t="str">
        <f>LEFT(AllDaqbookOffsets[[#This Row],[traceability_no]],2)</f>
        <v>J2</v>
      </c>
      <c r="N387" s="456"/>
      <c r="O387"/>
      <c r="Z387" s="460"/>
      <c r="AA387" s="194"/>
      <c r="AB387"/>
      <c r="AG387" s="69"/>
      <c r="AH387"/>
    </row>
    <row r="388" spans="1:34" x14ac:dyDescent="0.2">
      <c r="A388"/>
      <c r="B388"/>
      <c r="C388"/>
      <c r="D388"/>
      <c r="E388"/>
      <c r="F388" t="str">
        <f>LEFT(AllDaqbookOffsets[[#This Row],[traceability_no]],2)</f>
        <v>J2</v>
      </c>
      <c r="N388" s="456"/>
      <c r="O388"/>
      <c r="Z388" s="460"/>
      <c r="AA388" s="194"/>
      <c r="AB388"/>
      <c r="AG388" s="69"/>
      <c r="AH388"/>
    </row>
    <row r="389" spans="1:34" x14ac:dyDescent="0.2">
      <c r="A389"/>
      <c r="B389"/>
      <c r="C389"/>
      <c r="D389"/>
      <c r="E389"/>
      <c r="F389" t="str">
        <f>LEFT(AllDaqbookOffsets[[#This Row],[traceability_no]],2)</f>
        <v>J2</v>
      </c>
      <c r="N389" s="456"/>
      <c r="O389"/>
      <c r="Z389" s="460"/>
      <c r="AA389" s="194"/>
      <c r="AB389"/>
      <c r="AG389" s="69"/>
      <c r="AH389"/>
    </row>
    <row r="390" spans="1:34" x14ac:dyDescent="0.2">
      <c r="A390"/>
      <c r="B390"/>
      <c r="C390"/>
      <c r="D390"/>
      <c r="E390"/>
      <c r="F390" t="str">
        <f>LEFT(AllDaqbookOffsets[[#This Row],[traceability_no]],2)</f>
        <v>J2</v>
      </c>
      <c r="N390" s="456"/>
      <c r="O390"/>
      <c r="Z390" s="460"/>
      <c r="AA390" s="194"/>
      <c r="AB390"/>
      <c r="AG390" s="69"/>
      <c r="AH390"/>
    </row>
    <row r="391" spans="1:34" x14ac:dyDescent="0.2">
      <c r="A391"/>
      <c r="B391"/>
      <c r="C391"/>
      <c r="D391"/>
      <c r="E391"/>
      <c r="F391" t="str">
        <f>LEFT(AllDaqbookOffsets[[#This Row],[traceability_no]],2)</f>
        <v>J2</v>
      </c>
      <c r="N391" s="456"/>
      <c r="O391"/>
      <c r="Z391" s="460"/>
      <c r="AA391" s="194"/>
      <c r="AB391"/>
      <c r="AG391" s="69"/>
      <c r="AH391"/>
    </row>
    <row r="392" spans="1:34" x14ac:dyDescent="0.2">
      <c r="A392"/>
      <c r="B392"/>
      <c r="C392"/>
      <c r="D392"/>
      <c r="E392"/>
      <c r="F392" t="str">
        <f>LEFT(AllDaqbookOffsets[[#This Row],[traceability_no]],2)</f>
        <v>J2</v>
      </c>
      <c r="N392" s="456"/>
      <c r="O392"/>
      <c r="Z392" s="460"/>
      <c r="AA392" s="194"/>
      <c r="AB392"/>
      <c r="AG392" s="69"/>
      <c r="AH392"/>
    </row>
    <row r="393" spans="1:34" x14ac:dyDescent="0.2">
      <c r="A393"/>
      <c r="B393"/>
      <c r="C393"/>
      <c r="D393"/>
      <c r="E393"/>
      <c r="F393" t="str">
        <f>LEFT(AllDaqbookOffsets[[#This Row],[traceability_no]],2)</f>
        <v>J2</v>
      </c>
      <c r="N393" s="456"/>
      <c r="O393"/>
      <c r="Z393" s="460"/>
      <c r="AA393" s="194"/>
      <c r="AB393"/>
      <c r="AG393" s="69"/>
      <c r="AH393"/>
    </row>
    <row r="394" spans="1:34" x14ac:dyDescent="0.2">
      <c r="A394"/>
      <c r="B394"/>
      <c r="C394"/>
      <c r="D394"/>
      <c r="E394"/>
      <c r="F394" t="str">
        <f>LEFT(AllDaqbookOffsets[[#This Row],[traceability_no]],2)</f>
        <v>J2</v>
      </c>
      <c r="N394" s="456"/>
      <c r="O394"/>
      <c r="Z394" s="460"/>
      <c r="AA394" s="194"/>
      <c r="AB394"/>
      <c r="AG394" s="69"/>
      <c r="AH394"/>
    </row>
    <row r="395" spans="1:34" x14ac:dyDescent="0.2">
      <c r="A395"/>
      <c r="B395"/>
      <c r="C395"/>
      <c r="D395"/>
      <c r="E395"/>
      <c r="F395" t="str">
        <f>LEFT(AllDaqbookOffsets[[#This Row],[traceability_no]],2)</f>
        <v>J2</v>
      </c>
      <c r="N395" s="456"/>
      <c r="O395"/>
      <c r="Z395" s="460"/>
      <c r="AA395" s="194"/>
      <c r="AB395"/>
      <c r="AG395" s="69"/>
      <c r="AH395"/>
    </row>
    <row r="396" spans="1:34" x14ac:dyDescent="0.2">
      <c r="A396"/>
      <c r="B396"/>
      <c r="C396"/>
      <c r="D396"/>
      <c r="E396"/>
      <c r="F396" t="str">
        <f>LEFT(AllDaqbookOffsets[[#This Row],[traceability_no]],2)</f>
        <v>J2</v>
      </c>
      <c r="N396" s="456"/>
      <c r="O396"/>
      <c r="Z396" s="460"/>
      <c r="AA396" s="194"/>
      <c r="AB396"/>
      <c r="AG396" s="69"/>
      <c r="AH396"/>
    </row>
    <row r="397" spans="1:34" x14ac:dyDescent="0.2">
      <c r="A397"/>
      <c r="B397"/>
      <c r="C397"/>
      <c r="D397"/>
      <c r="E397"/>
      <c r="F397" t="str">
        <f>LEFT(AllDaqbookOffsets[[#This Row],[traceability_no]],2)</f>
        <v>J2</v>
      </c>
      <c r="N397" s="456"/>
      <c r="O397"/>
      <c r="Z397" s="460"/>
      <c r="AA397" s="194"/>
      <c r="AB397"/>
      <c r="AG397" s="69"/>
      <c r="AH397"/>
    </row>
    <row r="398" spans="1:34" x14ac:dyDescent="0.2">
      <c r="A398"/>
      <c r="B398"/>
      <c r="C398"/>
      <c r="D398"/>
      <c r="E398"/>
      <c r="F398" t="str">
        <f>LEFT(AllDaqbookOffsets[[#This Row],[traceability_no]],2)</f>
        <v>J2</v>
      </c>
      <c r="N398" s="456"/>
      <c r="O398"/>
      <c r="Z398" s="460"/>
      <c r="AA398" s="194"/>
      <c r="AB398"/>
      <c r="AG398" s="69"/>
      <c r="AH398"/>
    </row>
    <row r="399" spans="1:34" x14ac:dyDescent="0.2">
      <c r="A399"/>
      <c r="B399"/>
      <c r="C399"/>
      <c r="D399"/>
      <c r="E399"/>
      <c r="F399" t="str">
        <f>LEFT(AllDaqbookOffsets[[#This Row],[traceability_no]],2)</f>
        <v>J2</v>
      </c>
      <c r="N399" s="456"/>
      <c r="O399"/>
      <c r="Z399" s="460"/>
      <c r="AA399" s="194"/>
      <c r="AB399"/>
      <c r="AG399" s="69"/>
      <c r="AH399"/>
    </row>
    <row r="400" spans="1:34" x14ac:dyDescent="0.2">
      <c r="A400"/>
      <c r="B400"/>
      <c r="C400"/>
      <c r="D400"/>
      <c r="E400"/>
      <c r="F400" t="str">
        <f>LEFT(AllDaqbookOffsets[[#This Row],[traceability_no]],2)</f>
        <v>J2</v>
      </c>
      <c r="N400" s="456"/>
      <c r="O400"/>
      <c r="Z400" s="460"/>
      <c r="AA400" s="194"/>
      <c r="AB400"/>
      <c r="AG400" s="69"/>
      <c r="AH400"/>
    </row>
    <row r="401" spans="1:34" x14ac:dyDescent="0.2">
      <c r="A401"/>
      <c r="B401"/>
      <c r="C401"/>
      <c r="D401"/>
      <c r="E401"/>
      <c r="F401" t="str">
        <f>LEFT(AllDaqbookOffsets[[#This Row],[traceability_no]],2)</f>
        <v>J2</v>
      </c>
      <c r="N401" s="456"/>
      <c r="O401"/>
      <c r="Z401" s="460"/>
      <c r="AA401" s="194"/>
      <c r="AB401"/>
      <c r="AG401" s="69"/>
      <c r="AH401"/>
    </row>
    <row r="402" spans="1:34" x14ac:dyDescent="0.2">
      <c r="A402"/>
      <c r="B402"/>
      <c r="C402"/>
      <c r="D402"/>
      <c r="E402"/>
      <c r="F402" t="str">
        <f>LEFT(AllDaqbookOffsets[[#This Row],[traceability_no]],2)</f>
        <v>J2</v>
      </c>
      <c r="N402" s="456"/>
      <c r="O402"/>
      <c r="Z402" s="460"/>
      <c r="AA402" s="194"/>
      <c r="AB402"/>
      <c r="AG402" s="69"/>
      <c r="AH402"/>
    </row>
    <row r="403" spans="1:34" x14ac:dyDescent="0.2">
      <c r="A403"/>
      <c r="B403"/>
      <c r="C403"/>
      <c r="D403"/>
      <c r="E403"/>
      <c r="F403" t="str">
        <f>LEFT(AllDaqbookOffsets[[#This Row],[traceability_no]],2)</f>
        <v>J2</v>
      </c>
      <c r="N403" s="456"/>
      <c r="O403"/>
      <c r="Z403" s="460"/>
      <c r="AA403" s="194"/>
      <c r="AB403"/>
      <c r="AG403" s="69"/>
      <c r="AH403"/>
    </row>
    <row r="404" spans="1:34" x14ac:dyDescent="0.2">
      <c r="A404"/>
      <c r="B404"/>
      <c r="C404"/>
      <c r="D404"/>
      <c r="E404"/>
      <c r="F404" t="str">
        <f>LEFT(AllDaqbookOffsets[[#This Row],[traceability_no]],2)</f>
        <v>J2</v>
      </c>
      <c r="N404" s="456"/>
      <c r="O404"/>
      <c r="Z404" s="460"/>
      <c r="AA404" s="194"/>
      <c r="AB404"/>
      <c r="AG404" s="69"/>
      <c r="AH404"/>
    </row>
    <row r="405" spans="1:34" x14ac:dyDescent="0.2">
      <c r="A405"/>
      <c r="B405"/>
      <c r="C405"/>
      <c r="D405"/>
      <c r="E405"/>
      <c r="F405" t="str">
        <f>LEFT(AllDaqbookOffsets[[#This Row],[traceability_no]],2)</f>
        <v>J2</v>
      </c>
      <c r="N405" s="456"/>
      <c r="O405"/>
      <c r="Z405" s="460"/>
      <c r="AA405" s="194"/>
      <c r="AB405"/>
      <c r="AG405" s="69"/>
      <c r="AH405"/>
    </row>
    <row r="406" spans="1:34" x14ac:dyDescent="0.2">
      <c r="A406"/>
      <c r="B406"/>
      <c r="C406"/>
      <c r="D406"/>
      <c r="E406"/>
      <c r="F406" t="str">
        <f>LEFT(AllDaqbookOffsets[[#This Row],[traceability_no]],2)</f>
        <v>J2</v>
      </c>
      <c r="N406" s="456"/>
      <c r="O406"/>
      <c r="Z406" s="460"/>
      <c r="AA406" s="194"/>
      <c r="AB406"/>
      <c r="AG406" s="69"/>
      <c r="AH406"/>
    </row>
    <row r="407" spans="1:34" x14ac:dyDescent="0.2">
      <c r="A407"/>
      <c r="B407"/>
      <c r="C407"/>
      <c r="D407"/>
      <c r="E407"/>
      <c r="F407" t="str">
        <f>LEFT(AllDaqbookOffsets[[#This Row],[traceability_no]],2)</f>
        <v>J2</v>
      </c>
      <c r="N407" s="456"/>
      <c r="O407"/>
      <c r="Z407" s="460"/>
      <c r="AA407" s="194"/>
      <c r="AB407"/>
      <c r="AG407" s="69"/>
      <c r="AH407"/>
    </row>
    <row r="408" spans="1:34" x14ac:dyDescent="0.2">
      <c r="A408"/>
      <c r="B408"/>
      <c r="C408"/>
      <c r="D408"/>
      <c r="E408"/>
      <c r="F408" t="str">
        <f>LEFT(AllDaqbookOffsets[[#This Row],[traceability_no]],2)</f>
        <v>J2</v>
      </c>
      <c r="N408" s="456"/>
      <c r="O408"/>
      <c r="Z408" s="460"/>
      <c r="AA408" s="194"/>
      <c r="AB408"/>
      <c r="AG408" s="69"/>
      <c r="AH408"/>
    </row>
    <row r="409" spans="1:34" x14ac:dyDescent="0.2">
      <c r="A409"/>
      <c r="B409"/>
      <c r="C409"/>
      <c r="D409"/>
      <c r="E409"/>
      <c r="F409" t="str">
        <f>LEFT(AllDaqbookOffsets[[#This Row],[traceability_no]],2)</f>
        <v>J2</v>
      </c>
      <c r="N409" s="456"/>
      <c r="O409"/>
      <c r="Z409" s="460"/>
      <c r="AA409" s="194"/>
      <c r="AB409"/>
      <c r="AG409" s="69"/>
      <c r="AH409"/>
    </row>
    <row r="410" spans="1:34" x14ac:dyDescent="0.2">
      <c r="A410"/>
      <c r="B410"/>
      <c r="C410"/>
      <c r="D410"/>
      <c r="E410"/>
      <c r="F410" t="str">
        <f>LEFT(AllDaqbookOffsets[[#This Row],[traceability_no]],2)</f>
        <v>J2</v>
      </c>
      <c r="N410" s="456"/>
      <c r="O410"/>
      <c r="Z410" s="460"/>
      <c r="AA410" s="194"/>
      <c r="AB410"/>
      <c r="AG410" s="69"/>
      <c r="AH410"/>
    </row>
    <row r="411" spans="1:34" x14ac:dyDescent="0.2">
      <c r="A411"/>
      <c r="B411"/>
      <c r="C411"/>
      <c r="D411"/>
      <c r="E411"/>
      <c r="F411" t="str">
        <f>LEFT(AllDaqbookOffsets[[#This Row],[traceability_no]],2)</f>
        <v>J2</v>
      </c>
      <c r="N411" s="456"/>
      <c r="O411"/>
      <c r="Z411" s="460"/>
      <c r="AA411" s="194"/>
      <c r="AB411"/>
      <c r="AG411" s="69"/>
      <c r="AH411"/>
    </row>
    <row r="412" spans="1:34" x14ac:dyDescent="0.2">
      <c r="A412"/>
      <c r="B412"/>
      <c r="C412"/>
      <c r="D412"/>
      <c r="E412"/>
      <c r="F412" t="str">
        <f>LEFT(AllDaqbookOffsets[[#This Row],[traceability_no]],2)</f>
        <v>J2</v>
      </c>
      <c r="N412" s="456"/>
      <c r="O412"/>
      <c r="Z412" s="460"/>
      <c r="AA412" s="194"/>
      <c r="AB412"/>
      <c r="AG412" s="69"/>
      <c r="AH412"/>
    </row>
    <row r="413" spans="1:34" x14ac:dyDescent="0.2">
      <c r="A413"/>
      <c r="B413"/>
      <c r="C413"/>
      <c r="D413"/>
      <c r="E413"/>
      <c r="F413" t="str">
        <f>LEFT(AllDaqbookOffsets[[#This Row],[traceability_no]],2)</f>
        <v>J2</v>
      </c>
      <c r="N413" s="456"/>
      <c r="O413"/>
      <c r="Z413" s="460"/>
      <c r="AA413" s="194"/>
      <c r="AB413"/>
      <c r="AG413" s="69"/>
      <c r="AH413"/>
    </row>
    <row r="414" spans="1:34" x14ac:dyDescent="0.2">
      <c r="A414"/>
      <c r="B414"/>
      <c r="C414"/>
      <c r="D414"/>
      <c r="E414"/>
      <c r="F414" t="str">
        <f>LEFT(AllDaqbookOffsets[[#This Row],[traceability_no]],2)</f>
        <v>J2</v>
      </c>
      <c r="N414" s="456"/>
      <c r="O414"/>
      <c r="Z414" s="460"/>
      <c r="AA414" s="194"/>
      <c r="AB414"/>
      <c r="AG414" s="69"/>
      <c r="AH414"/>
    </row>
    <row r="415" spans="1:34" x14ac:dyDescent="0.2">
      <c r="A415"/>
      <c r="B415"/>
      <c r="C415"/>
      <c r="D415"/>
      <c r="E415"/>
      <c r="F415" t="str">
        <f>LEFT(AllDaqbookOffsets[[#This Row],[traceability_no]],2)</f>
        <v>J2</v>
      </c>
      <c r="N415" s="456"/>
      <c r="O415"/>
      <c r="Z415" s="460"/>
      <c r="AA415" s="194"/>
      <c r="AB415"/>
      <c r="AG415" s="69"/>
      <c r="AH415"/>
    </row>
    <row r="416" spans="1:34" x14ac:dyDescent="0.2">
      <c r="A416"/>
      <c r="B416"/>
      <c r="C416"/>
      <c r="D416"/>
      <c r="E416"/>
      <c r="F416" t="str">
        <f>LEFT(AllDaqbookOffsets[[#This Row],[traceability_no]],2)</f>
        <v>J2</v>
      </c>
      <c r="N416" s="456"/>
      <c r="O416"/>
      <c r="Z416" s="460"/>
      <c r="AA416" s="194"/>
      <c r="AB416"/>
      <c r="AG416" s="69"/>
      <c r="AH416"/>
    </row>
    <row r="417" spans="1:34" x14ac:dyDescent="0.2">
      <c r="A417"/>
      <c r="B417"/>
      <c r="C417"/>
      <c r="D417"/>
      <c r="E417"/>
      <c r="F417" t="str">
        <f>LEFT(AllDaqbookOffsets[[#This Row],[traceability_no]],2)</f>
        <v>J2</v>
      </c>
      <c r="N417" s="456"/>
      <c r="O417"/>
      <c r="Z417" s="460"/>
      <c r="AA417" s="194"/>
      <c r="AB417"/>
      <c r="AG417" s="69"/>
      <c r="AH417"/>
    </row>
    <row r="418" spans="1:34" x14ac:dyDescent="0.2">
      <c r="A418"/>
      <c r="B418"/>
      <c r="C418"/>
      <c r="D418"/>
      <c r="E418"/>
      <c r="F418" t="str">
        <f>LEFT(AllDaqbookOffsets[[#This Row],[traceability_no]],2)</f>
        <v>J2</v>
      </c>
      <c r="N418" s="456"/>
      <c r="O418"/>
      <c r="Z418" s="460"/>
      <c r="AA418" s="194"/>
      <c r="AB418"/>
      <c r="AG418" s="69"/>
      <c r="AH418"/>
    </row>
    <row r="419" spans="1:34" x14ac:dyDescent="0.2">
      <c r="A419"/>
      <c r="B419"/>
      <c r="C419"/>
      <c r="D419"/>
      <c r="E419"/>
      <c r="F419" t="str">
        <f>LEFT(AllDaqbookOffsets[[#This Row],[traceability_no]],2)</f>
        <v>J2</v>
      </c>
      <c r="N419" s="456"/>
      <c r="O419"/>
      <c r="Z419" s="460"/>
      <c r="AA419" s="194"/>
      <c r="AB419"/>
      <c r="AG419" s="69"/>
      <c r="AH419"/>
    </row>
    <row r="420" spans="1:34" x14ac:dyDescent="0.2">
      <c r="A420"/>
      <c r="B420"/>
      <c r="C420"/>
      <c r="D420"/>
      <c r="E420"/>
      <c r="F420" t="str">
        <f>LEFT(AllDaqbookOffsets[[#This Row],[traceability_no]],2)</f>
        <v>J2</v>
      </c>
      <c r="N420" s="456"/>
      <c r="O420"/>
      <c r="Z420" s="460"/>
      <c r="AA420" s="194"/>
      <c r="AB420"/>
      <c r="AG420" s="69"/>
      <c r="AH420"/>
    </row>
    <row r="421" spans="1:34" x14ac:dyDescent="0.2">
      <c r="A421"/>
      <c r="B421"/>
      <c r="C421"/>
      <c r="D421"/>
      <c r="E421"/>
      <c r="F421" t="str">
        <f>LEFT(AllDaqbookOffsets[[#This Row],[traceability_no]],2)</f>
        <v>J2</v>
      </c>
      <c r="N421" s="456"/>
      <c r="O421"/>
      <c r="Z421" s="460"/>
      <c r="AA421" s="194"/>
      <c r="AB421"/>
      <c r="AG421" s="69"/>
      <c r="AH421"/>
    </row>
    <row r="422" spans="1:34" x14ac:dyDescent="0.2">
      <c r="A422"/>
      <c r="B422"/>
      <c r="C422"/>
      <c r="D422"/>
      <c r="E422"/>
      <c r="F422" t="str">
        <f>LEFT(AllDaqbookOffsets[[#This Row],[traceability_no]],2)</f>
        <v>J2</v>
      </c>
      <c r="N422" s="456"/>
      <c r="O422"/>
      <c r="Z422" s="460"/>
      <c r="AA422" s="194"/>
      <c r="AB422"/>
      <c r="AG422" s="69"/>
      <c r="AH422"/>
    </row>
    <row r="423" spans="1:34" x14ac:dyDescent="0.2">
      <c r="A423"/>
      <c r="B423"/>
      <c r="C423"/>
      <c r="D423"/>
      <c r="E423"/>
      <c r="F423" t="str">
        <f>LEFT(AllDaqbookOffsets[[#This Row],[traceability_no]],2)</f>
        <v>J2</v>
      </c>
      <c r="N423" s="456"/>
      <c r="O423"/>
      <c r="Z423" s="460"/>
      <c r="AA423" s="194"/>
      <c r="AB423"/>
      <c r="AG423" s="69"/>
      <c r="AH423"/>
    </row>
    <row r="424" spans="1:34" x14ac:dyDescent="0.2">
      <c r="A424"/>
      <c r="B424"/>
      <c r="C424"/>
      <c r="D424"/>
      <c r="E424"/>
      <c r="F424" t="str">
        <f>LEFT(AllDaqbookOffsets[[#This Row],[traceability_no]],2)</f>
        <v>J2</v>
      </c>
      <c r="N424" s="456"/>
      <c r="O424"/>
      <c r="Z424" s="460"/>
      <c r="AA424" s="194"/>
      <c r="AB424"/>
      <c r="AG424" s="69"/>
      <c r="AH424"/>
    </row>
    <row r="425" spans="1:34" x14ac:dyDescent="0.2">
      <c r="A425"/>
      <c r="B425"/>
      <c r="C425"/>
      <c r="D425"/>
      <c r="E425"/>
      <c r="F425" t="str">
        <f>LEFT(AllDaqbookOffsets[[#This Row],[traceability_no]],2)</f>
        <v>J2</v>
      </c>
      <c r="N425" s="456"/>
      <c r="O425"/>
      <c r="Z425" s="460"/>
      <c r="AA425" s="194"/>
      <c r="AB425"/>
      <c r="AG425" s="69"/>
      <c r="AH425"/>
    </row>
    <row r="426" spans="1:34" x14ac:dyDescent="0.2">
      <c r="A426"/>
      <c r="B426"/>
      <c r="C426"/>
      <c r="D426"/>
      <c r="E426"/>
      <c r="F426" t="str">
        <f>LEFT(AllDaqbookOffsets[[#This Row],[traceability_no]],2)</f>
        <v>J2</v>
      </c>
      <c r="N426" s="456"/>
      <c r="O426"/>
      <c r="Z426" s="460"/>
      <c r="AA426" s="194"/>
      <c r="AB426"/>
      <c r="AG426" s="69"/>
      <c r="AH426"/>
    </row>
    <row r="427" spans="1:34" x14ac:dyDescent="0.2">
      <c r="A427"/>
      <c r="B427"/>
      <c r="C427"/>
      <c r="D427"/>
      <c r="E427"/>
      <c r="F427" t="str">
        <f>LEFT(AllDaqbookOffsets[[#This Row],[traceability_no]],2)</f>
        <v>J2</v>
      </c>
      <c r="N427" s="456"/>
      <c r="O427"/>
      <c r="Z427" s="460"/>
      <c r="AA427" s="194"/>
      <c r="AB427"/>
      <c r="AG427" s="69"/>
      <c r="AH427"/>
    </row>
    <row r="428" spans="1:34" x14ac:dyDescent="0.2">
      <c r="A428"/>
      <c r="B428"/>
      <c r="C428"/>
      <c r="D428"/>
      <c r="E428"/>
      <c r="F428" t="str">
        <f>LEFT(AllDaqbookOffsets[[#This Row],[traceability_no]],2)</f>
        <v>J2</v>
      </c>
      <c r="N428" s="456"/>
      <c r="O428"/>
      <c r="Z428" s="460"/>
      <c r="AA428" s="194"/>
      <c r="AB428"/>
      <c r="AG428" s="69"/>
      <c r="AH428"/>
    </row>
    <row r="429" spans="1:34" x14ac:dyDescent="0.2">
      <c r="A429"/>
      <c r="B429"/>
      <c r="C429"/>
      <c r="D429"/>
      <c r="E429"/>
      <c r="F429" t="str">
        <f>LEFT(AllDaqbookOffsets[[#This Row],[traceability_no]],2)</f>
        <v>J2</v>
      </c>
      <c r="N429" s="456"/>
      <c r="O429"/>
      <c r="Z429" s="460"/>
      <c r="AA429" s="194"/>
      <c r="AB429"/>
      <c r="AG429" s="69"/>
      <c r="AH429"/>
    </row>
    <row r="430" spans="1:34" x14ac:dyDescent="0.2">
      <c r="A430"/>
      <c r="B430"/>
      <c r="C430"/>
      <c r="D430"/>
      <c r="E430"/>
      <c r="F430" t="str">
        <f>LEFT(AllDaqbookOffsets[[#This Row],[traceability_no]],2)</f>
        <v>J2</v>
      </c>
      <c r="N430" s="456"/>
      <c r="O430"/>
      <c r="Z430" s="460"/>
      <c r="AA430" s="194"/>
      <c r="AB430"/>
      <c r="AG430" s="69"/>
      <c r="AH430"/>
    </row>
    <row r="431" spans="1:34" x14ac:dyDescent="0.2">
      <c r="A431"/>
      <c r="B431"/>
      <c r="C431"/>
      <c r="D431"/>
      <c r="E431"/>
      <c r="F431" t="str">
        <f>LEFT(AllDaqbookOffsets[[#This Row],[traceability_no]],2)</f>
        <v>J2</v>
      </c>
      <c r="N431" s="456"/>
      <c r="O431"/>
      <c r="Z431" s="460"/>
      <c r="AA431" s="194"/>
      <c r="AB431"/>
      <c r="AG431" s="69"/>
      <c r="AH431"/>
    </row>
    <row r="432" spans="1:34" x14ac:dyDescent="0.2">
      <c r="A432"/>
      <c r="B432"/>
      <c r="C432"/>
      <c r="D432"/>
      <c r="E432"/>
      <c r="F432" t="str">
        <f>LEFT(AllDaqbookOffsets[[#This Row],[traceability_no]],2)</f>
        <v>J2</v>
      </c>
      <c r="N432" s="456"/>
      <c r="O432"/>
      <c r="Z432" s="460"/>
      <c r="AA432" s="194"/>
      <c r="AB432"/>
      <c r="AG432" s="69"/>
      <c r="AH432"/>
    </row>
    <row r="433" spans="1:34" x14ac:dyDescent="0.2">
      <c r="A433"/>
      <c r="B433"/>
      <c r="C433"/>
      <c r="D433"/>
      <c r="E433"/>
      <c r="F433" t="str">
        <f>LEFT(AllDaqbookOffsets[[#This Row],[traceability_no]],2)</f>
        <v>J2</v>
      </c>
      <c r="N433" s="456"/>
      <c r="O433"/>
      <c r="Z433" s="460"/>
      <c r="AA433" s="194"/>
      <c r="AB433"/>
      <c r="AG433" s="69"/>
      <c r="AH433"/>
    </row>
    <row r="434" spans="1:34" x14ac:dyDescent="0.2">
      <c r="A434"/>
      <c r="B434"/>
      <c r="C434"/>
      <c r="D434"/>
      <c r="E434"/>
      <c r="F434" t="str">
        <f>LEFT(AllDaqbookOffsets[[#This Row],[traceability_no]],2)</f>
        <v>J2</v>
      </c>
      <c r="N434" s="456"/>
      <c r="O434"/>
      <c r="Z434" s="460"/>
      <c r="AA434" s="194"/>
      <c r="AB434"/>
      <c r="AG434" s="69"/>
      <c r="AH434"/>
    </row>
    <row r="435" spans="1:34" x14ac:dyDescent="0.2">
      <c r="A435"/>
      <c r="B435"/>
      <c r="C435"/>
      <c r="D435"/>
      <c r="E435"/>
      <c r="F435" t="str">
        <f>LEFT(AllDaqbookOffsets[[#This Row],[traceability_no]],2)</f>
        <v>J2</v>
      </c>
      <c r="N435" s="456"/>
      <c r="O435"/>
      <c r="Z435" s="460"/>
      <c r="AA435" s="194"/>
      <c r="AB435"/>
      <c r="AG435" s="69"/>
      <c r="AH435"/>
    </row>
    <row r="436" spans="1:34" x14ac:dyDescent="0.2">
      <c r="A436"/>
      <c r="B436"/>
      <c r="C436"/>
      <c r="D436"/>
      <c r="E436"/>
      <c r="F436" t="str">
        <f>LEFT(AllDaqbookOffsets[[#This Row],[traceability_no]],2)</f>
        <v>J2</v>
      </c>
      <c r="N436" s="456"/>
      <c r="O436"/>
      <c r="Z436" s="460"/>
      <c r="AA436" s="194"/>
      <c r="AB436"/>
      <c r="AG436" s="69"/>
      <c r="AH436"/>
    </row>
    <row r="437" spans="1:34" x14ac:dyDescent="0.2">
      <c r="A437"/>
      <c r="B437"/>
      <c r="C437"/>
      <c r="D437"/>
      <c r="E437"/>
      <c r="F437" t="str">
        <f>LEFT(AllDaqbookOffsets[[#This Row],[traceability_no]],2)</f>
        <v>J2</v>
      </c>
      <c r="N437" s="456"/>
      <c r="O437"/>
      <c r="Z437" s="460"/>
      <c r="AA437" s="194"/>
      <c r="AB437"/>
      <c r="AG437" s="69"/>
      <c r="AH437"/>
    </row>
    <row r="438" spans="1:34" x14ac:dyDescent="0.2">
      <c r="A438"/>
      <c r="B438"/>
      <c r="C438"/>
      <c r="D438"/>
      <c r="E438"/>
      <c r="F438" t="str">
        <f>LEFT(AllDaqbookOffsets[[#This Row],[traceability_no]],2)</f>
        <v>J2</v>
      </c>
      <c r="N438" s="456"/>
      <c r="O438"/>
      <c r="Z438" s="460"/>
      <c r="AA438" s="194"/>
      <c r="AB438"/>
      <c r="AG438" s="69"/>
      <c r="AH438"/>
    </row>
    <row r="439" spans="1:34" x14ac:dyDescent="0.2">
      <c r="A439"/>
      <c r="B439"/>
      <c r="C439"/>
      <c r="D439"/>
      <c r="E439"/>
      <c r="F439" t="str">
        <f>LEFT(AllDaqbookOffsets[[#This Row],[traceability_no]],2)</f>
        <v>J2</v>
      </c>
      <c r="N439" s="456"/>
      <c r="O439"/>
      <c r="Z439" s="460"/>
      <c r="AA439" s="194"/>
      <c r="AB439"/>
      <c r="AG439" s="69"/>
      <c r="AH439"/>
    </row>
    <row r="440" spans="1:34" x14ac:dyDescent="0.2">
      <c r="A440"/>
      <c r="B440"/>
      <c r="C440"/>
      <c r="D440"/>
      <c r="E440"/>
      <c r="F440" t="str">
        <f>LEFT(AllDaqbookOffsets[[#This Row],[traceability_no]],2)</f>
        <v>J2</v>
      </c>
      <c r="N440" s="456"/>
      <c r="O440"/>
      <c r="Z440" s="460"/>
      <c r="AA440" s="194"/>
      <c r="AB440"/>
      <c r="AG440" s="69"/>
      <c r="AH440"/>
    </row>
    <row r="441" spans="1:34" x14ac:dyDescent="0.2">
      <c r="A441"/>
      <c r="B441"/>
      <c r="C441"/>
      <c r="D441"/>
      <c r="E441"/>
      <c r="F441" t="str">
        <f>LEFT(AllDaqbookOffsets[[#This Row],[traceability_no]],2)</f>
        <v>J2</v>
      </c>
      <c r="N441" s="456"/>
      <c r="O441"/>
      <c r="Z441" s="460"/>
      <c r="AA441" s="194"/>
      <c r="AB441"/>
      <c r="AG441" s="69"/>
      <c r="AH441"/>
    </row>
    <row r="442" spans="1:34" x14ac:dyDescent="0.2">
      <c r="A442"/>
      <c r="B442"/>
      <c r="C442"/>
      <c r="D442"/>
      <c r="E442"/>
      <c r="F442" t="str">
        <f>LEFT(AllDaqbookOffsets[[#This Row],[traceability_no]],2)</f>
        <v>J2</v>
      </c>
      <c r="N442" s="456"/>
      <c r="O442"/>
      <c r="Z442" s="460"/>
      <c r="AA442" s="194"/>
      <c r="AB442"/>
      <c r="AG442" s="69"/>
      <c r="AH442"/>
    </row>
    <row r="443" spans="1:34" x14ac:dyDescent="0.2">
      <c r="A443"/>
      <c r="B443"/>
      <c r="C443"/>
      <c r="D443"/>
      <c r="E443"/>
      <c r="F443" t="str">
        <f>LEFT(AllDaqbookOffsets[[#This Row],[traceability_no]],2)</f>
        <v>J2</v>
      </c>
      <c r="N443" s="456"/>
      <c r="O443"/>
      <c r="Z443" s="460"/>
      <c r="AA443" s="194"/>
      <c r="AB443"/>
      <c r="AG443" s="69"/>
      <c r="AH443"/>
    </row>
    <row r="444" spans="1:34" x14ac:dyDescent="0.2">
      <c r="A444"/>
      <c r="B444"/>
      <c r="C444"/>
      <c r="D444"/>
      <c r="E444"/>
      <c r="F444" t="str">
        <f>LEFT(AllDaqbookOffsets[[#This Row],[traceability_no]],2)</f>
        <v>J2</v>
      </c>
      <c r="N444" s="456"/>
      <c r="O444"/>
      <c r="Z444" s="460"/>
      <c r="AA444" s="194"/>
      <c r="AB444"/>
      <c r="AG444" s="69"/>
      <c r="AH444"/>
    </row>
    <row r="445" spans="1:34" x14ac:dyDescent="0.2">
      <c r="A445"/>
      <c r="B445"/>
      <c r="C445"/>
      <c r="D445"/>
      <c r="E445"/>
      <c r="F445" t="str">
        <f>LEFT(AllDaqbookOffsets[[#This Row],[traceability_no]],2)</f>
        <v>J2</v>
      </c>
      <c r="N445" s="456"/>
      <c r="O445"/>
      <c r="Z445" s="460"/>
      <c r="AA445" s="194"/>
      <c r="AB445"/>
      <c r="AG445" s="69"/>
      <c r="AH445"/>
    </row>
    <row r="446" spans="1:34" x14ac:dyDescent="0.2">
      <c r="A446"/>
      <c r="B446"/>
      <c r="C446"/>
      <c r="D446"/>
      <c r="E446"/>
      <c r="F446" t="str">
        <f>LEFT(AllDaqbookOffsets[[#This Row],[traceability_no]],2)</f>
        <v>J2</v>
      </c>
      <c r="N446" s="456"/>
      <c r="O446"/>
      <c r="Z446" s="460"/>
      <c r="AA446" s="194"/>
      <c r="AB446"/>
      <c r="AG446" s="69"/>
      <c r="AH446"/>
    </row>
    <row r="447" spans="1:34" x14ac:dyDescent="0.2">
      <c r="A447"/>
      <c r="B447"/>
      <c r="C447"/>
      <c r="D447"/>
      <c r="E447"/>
      <c r="F447" t="str">
        <f>LEFT(AllDaqbookOffsets[[#This Row],[traceability_no]],2)</f>
        <v>J2</v>
      </c>
      <c r="N447" s="456"/>
      <c r="O447"/>
      <c r="Z447" s="460"/>
      <c r="AA447" s="194"/>
      <c r="AB447"/>
      <c r="AG447" s="69"/>
      <c r="AH447"/>
    </row>
    <row r="448" spans="1:34" x14ac:dyDescent="0.2">
      <c r="A448"/>
      <c r="B448"/>
      <c r="C448"/>
      <c r="D448"/>
      <c r="E448"/>
      <c r="F448" t="str">
        <f>LEFT(AllDaqbookOffsets[[#This Row],[traceability_no]],2)</f>
        <v>J2</v>
      </c>
      <c r="N448" s="456"/>
      <c r="O448"/>
      <c r="Z448" s="460"/>
      <c r="AA448" s="194"/>
      <c r="AB448"/>
      <c r="AG448" s="69"/>
      <c r="AH448"/>
    </row>
    <row r="449" spans="1:34" x14ac:dyDescent="0.2">
      <c r="A449"/>
      <c r="B449"/>
      <c r="C449"/>
      <c r="D449"/>
      <c r="E449"/>
      <c r="F449" t="str">
        <f>LEFT(AllDaqbookOffsets[[#This Row],[traceability_no]],2)</f>
        <v>J2</v>
      </c>
      <c r="N449" s="456"/>
      <c r="O449"/>
      <c r="Z449" s="460"/>
      <c r="AA449" s="194"/>
      <c r="AB449"/>
      <c r="AG449" s="69"/>
      <c r="AH449"/>
    </row>
    <row r="450" spans="1:34" x14ac:dyDescent="0.2">
      <c r="A450"/>
      <c r="B450"/>
      <c r="C450"/>
      <c r="D450"/>
      <c r="E450"/>
      <c r="F450" t="str">
        <f>LEFT(AllDaqbookOffsets[[#This Row],[traceability_no]],2)</f>
        <v>J2</v>
      </c>
      <c r="N450" s="456"/>
      <c r="O450"/>
      <c r="Z450" s="460"/>
      <c r="AA450" s="194"/>
      <c r="AB450"/>
      <c r="AG450" s="69"/>
      <c r="AH450"/>
    </row>
    <row r="451" spans="1:34" x14ac:dyDescent="0.2">
      <c r="A451"/>
      <c r="B451"/>
      <c r="C451"/>
      <c r="D451"/>
      <c r="E451"/>
      <c r="F451" t="str">
        <f>LEFT(AllDaqbookOffsets[[#This Row],[traceability_no]],2)</f>
        <v>J2</v>
      </c>
      <c r="N451" s="456"/>
      <c r="O451"/>
      <c r="Z451" s="460"/>
      <c r="AA451" s="194"/>
      <c r="AB451"/>
      <c r="AG451" s="69"/>
      <c r="AH451"/>
    </row>
    <row r="452" spans="1:34" x14ac:dyDescent="0.2">
      <c r="A452"/>
      <c r="B452"/>
      <c r="C452"/>
      <c r="D452"/>
      <c r="E452"/>
      <c r="F452" t="str">
        <f>LEFT(AllDaqbookOffsets[[#This Row],[traceability_no]],2)</f>
        <v>J2</v>
      </c>
      <c r="N452" s="456"/>
      <c r="O452"/>
      <c r="Z452" s="460"/>
      <c r="AA452" s="194"/>
      <c r="AB452"/>
      <c r="AG452" s="69"/>
      <c r="AH452"/>
    </row>
    <row r="453" spans="1:34" x14ac:dyDescent="0.2">
      <c r="A453"/>
      <c r="B453"/>
      <c r="C453"/>
      <c r="D453"/>
      <c r="E453"/>
      <c r="F453" t="str">
        <f>LEFT(AllDaqbookOffsets[[#This Row],[traceability_no]],2)</f>
        <v>J2</v>
      </c>
      <c r="N453" s="456"/>
      <c r="O453"/>
      <c r="Z453" s="460"/>
      <c r="AA453" s="194"/>
      <c r="AB453"/>
      <c r="AG453" s="69"/>
      <c r="AH453"/>
    </row>
    <row r="454" spans="1:34" x14ac:dyDescent="0.2">
      <c r="A454"/>
      <c r="B454"/>
      <c r="C454"/>
      <c r="D454"/>
      <c r="E454"/>
      <c r="F454" t="str">
        <f>LEFT(AllDaqbookOffsets[[#This Row],[traceability_no]],2)</f>
        <v>J2</v>
      </c>
      <c r="N454" s="456"/>
      <c r="O454"/>
      <c r="Z454" s="460"/>
      <c r="AA454" s="194"/>
      <c r="AB454"/>
      <c r="AG454" s="69"/>
      <c r="AH454"/>
    </row>
    <row r="455" spans="1:34" x14ac:dyDescent="0.2">
      <c r="A455"/>
      <c r="B455"/>
      <c r="C455"/>
      <c r="D455"/>
      <c r="E455"/>
      <c r="F455" t="str">
        <f>LEFT(AllDaqbookOffsets[[#This Row],[traceability_no]],2)</f>
        <v>J2</v>
      </c>
      <c r="N455" s="456"/>
      <c r="O455"/>
      <c r="Z455" s="460"/>
      <c r="AA455" s="194"/>
      <c r="AB455"/>
      <c r="AG455" s="69"/>
      <c r="AH455"/>
    </row>
    <row r="456" spans="1:34" x14ac:dyDescent="0.2">
      <c r="A456"/>
      <c r="B456"/>
      <c r="C456"/>
      <c r="D456"/>
      <c r="E456"/>
      <c r="F456" t="str">
        <f>LEFT(AllDaqbookOffsets[[#This Row],[traceability_no]],2)</f>
        <v>J2</v>
      </c>
      <c r="N456" s="456"/>
      <c r="O456"/>
      <c r="Z456" s="460"/>
      <c r="AA456" s="194"/>
      <c r="AB456"/>
      <c r="AG456" s="69"/>
      <c r="AH456"/>
    </row>
    <row r="457" spans="1:34" x14ac:dyDescent="0.2">
      <c r="A457"/>
      <c r="B457"/>
      <c r="C457"/>
      <c r="D457"/>
      <c r="E457"/>
      <c r="F457" t="str">
        <f>LEFT(AllDaqbookOffsets[[#This Row],[traceability_no]],2)</f>
        <v>J2</v>
      </c>
      <c r="N457" s="456"/>
      <c r="O457"/>
      <c r="Z457" s="460"/>
      <c r="AA457" s="194"/>
      <c r="AB457"/>
      <c r="AG457" s="69"/>
      <c r="AH457"/>
    </row>
    <row r="458" spans="1:34" x14ac:dyDescent="0.2">
      <c r="A458"/>
      <c r="B458"/>
      <c r="C458"/>
      <c r="D458"/>
      <c r="E458"/>
      <c r="F458" t="str">
        <f>LEFT(AllDaqbookOffsets[[#This Row],[traceability_no]],2)</f>
        <v>J2</v>
      </c>
      <c r="N458" s="456"/>
      <c r="O458"/>
      <c r="Z458" s="460"/>
      <c r="AA458" s="194"/>
      <c r="AB458"/>
      <c r="AG458" s="69"/>
      <c r="AH458"/>
    </row>
    <row r="459" spans="1:34" x14ac:dyDescent="0.2">
      <c r="A459"/>
      <c r="B459"/>
      <c r="C459"/>
      <c r="D459"/>
      <c r="E459"/>
      <c r="F459" t="str">
        <f>LEFT(AllDaqbookOffsets[[#This Row],[traceability_no]],2)</f>
        <v>J2</v>
      </c>
      <c r="N459" s="456"/>
      <c r="O459"/>
      <c r="Z459" s="460"/>
      <c r="AA459" s="194"/>
      <c r="AB459"/>
      <c r="AG459" s="69"/>
      <c r="AH459"/>
    </row>
    <row r="460" spans="1:34" x14ac:dyDescent="0.2">
      <c r="A460"/>
      <c r="B460"/>
      <c r="C460"/>
      <c r="D460"/>
      <c r="E460"/>
      <c r="F460" t="str">
        <f>LEFT(AllDaqbookOffsets[[#This Row],[traceability_no]],2)</f>
        <v>J2</v>
      </c>
      <c r="N460" s="456"/>
      <c r="O460"/>
      <c r="Z460" s="460"/>
      <c r="AA460" s="194"/>
      <c r="AB460"/>
      <c r="AG460" s="69"/>
      <c r="AH460"/>
    </row>
    <row r="461" spans="1:34" x14ac:dyDescent="0.2">
      <c r="A461"/>
      <c r="B461"/>
      <c r="C461"/>
      <c r="D461"/>
      <c r="E461"/>
      <c r="F461" t="str">
        <f>LEFT(AllDaqbookOffsets[[#This Row],[traceability_no]],2)</f>
        <v>J2</v>
      </c>
      <c r="N461" s="456"/>
      <c r="O461"/>
      <c r="Z461" s="460"/>
      <c r="AA461" s="194"/>
      <c r="AB461"/>
      <c r="AG461" s="69"/>
      <c r="AH461"/>
    </row>
    <row r="462" spans="1:34" x14ac:dyDescent="0.2">
      <c r="A462"/>
      <c r="B462"/>
      <c r="C462"/>
      <c r="D462"/>
      <c r="E462"/>
      <c r="F462" t="str">
        <f>LEFT(AllDaqbookOffsets[[#This Row],[traceability_no]],2)</f>
        <v>J2</v>
      </c>
      <c r="N462" s="456"/>
      <c r="O462"/>
      <c r="Z462" s="460"/>
      <c r="AA462" s="194"/>
      <c r="AB462"/>
      <c r="AG462" s="69"/>
      <c r="AH462"/>
    </row>
    <row r="463" spans="1:34" x14ac:dyDescent="0.2">
      <c r="A463"/>
      <c r="B463"/>
      <c r="C463"/>
      <c r="D463"/>
      <c r="E463"/>
      <c r="F463" t="str">
        <f>LEFT(AllDaqbookOffsets[[#This Row],[traceability_no]],2)</f>
        <v>J2</v>
      </c>
      <c r="N463" s="456"/>
      <c r="O463"/>
      <c r="Z463" s="460"/>
      <c r="AA463" s="194"/>
      <c r="AB463"/>
      <c r="AG463" s="69"/>
      <c r="AH463"/>
    </row>
    <row r="464" spans="1:34" x14ac:dyDescent="0.2">
      <c r="A464"/>
      <c r="B464"/>
      <c r="C464"/>
      <c r="D464"/>
      <c r="E464"/>
      <c r="F464" t="str">
        <f>LEFT(AllDaqbookOffsets[[#This Row],[traceability_no]],2)</f>
        <v>J2</v>
      </c>
      <c r="N464" s="456"/>
      <c r="O464"/>
      <c r="Z464" s="460"/>
      <c r="AA464" s="194"/>
      <c r="AB464"/>
      <c r="AG464" s="69"/>
      <c r="AH464"/>
    </row>
    <row r="465" spans="1:34" x14ac:dyDescent="0.2">
      <c r="A465"/>
      <c r="B465"/>
      <c r="C465"/>
      <c r="D465"/>
      <c r="E465"/>
      <c r="F465" t="str">
        <f>LEFT(AllDaqbookOffsets[[#This Row],[traceability_no]],2)</f>
        <v>J2</v>
      </c>
      <c r="N465" s="456"/>
      <c r="O465"/>
      <c r="Z465" s="460"/>
      <c r="AA465" s="194"/>
      <c r="AB465"/>
      <c r="AG465" s="69"/>
      <c r="AH465"/>
    </row>
    <row r="466" spans="1:34" x14ac:dyDescent="0.2">
      <c r="A466"/>
      <c r="B466"/>
      <c r="C466"/>
      <c r="D466"/>
      <c r="E466"/>
      <c r="F466" t="str">
        <f>LEFT(AllDaqbookOffsets[[#This Row],[traceability_no]],2)</f>
        <v>J2</v>
      </c>
      <c r="N466" s="456"/>
      <c r="O466"/>
      <c r="Z466" s="460"/>
      <c r="AA466" s="194"/>
      <c r="AB466"/>
      <c r="AG466" s="69"/>
      <c r="AH466"/>
    </row>
    <row r="467" spans="1:34" x14ac:dyDescent="0.2">
      <c r="A467"/>
      <c r="B467"/>
      <c r="C467"/>
      <c r="D467"/>
      <c r="E467"/>
      <c r="F467" t="str">
        <f>LEFT(AllDaqbookOffsets[[#This Row],[traceability_no]],2)</f>
        <v>J2</v>
      </c>
      <c r="N467" s="456"/>
      <c r="O467"/>
      <c r="Z467" s="460"/>
      <c r="AA467" s="194"/>
      <c r="AB467"/>
      <c r="AG467" s="69"/>
      <c r="AH467"/>
    </row>
    <row r="468" spans="1:34" x14ac:dyDescent="0.2">
      <c r="A468"/>
      <c r="B468"/>
      <c r="C468"/>
      <c r="D468"/>
      <c r="E468"/>
      <c r="F468" t="str">
        <f>LEFT(AllDaqbookOffsets[[#This Row],[traceability_no]],2)</f>
        <v>J2</v>
      </c>
      <c r="N468" s="456"/>
      <c r="O468"/>
      <c r="Z468" s="460"/>
      <c r="AA468" s="194"/>
      <c r="AB468"/>
      <c r="AG468" s="69"/>
      <c r="AH468"/>
    </row>
    <row r="469" spans="1:34" x14ac:dyDescent="0.2">
      <c r="A469"/>
      <c r="B469"/>
      <c r="C469"/>
      <c r="D469"/>
      <c r="E469"/>
      <c r="F469" t="str">
        <f>LEFT(AllDaqbookOffsets[[#This Row],[traceability_no]],2)</f>
        <v>J2</v>
      </c>
      <c r="N469" s="456"/>
      <c r="O469"/>
      <c r="Z469" s="460"/>
      <c r="AA469" s="194"/>
      <c r="AB469"/>
      <c r="AG469" s="69"/>
      <c r="AH469"/>
    </row>
    <row r="470" spans="1:34" x14ac:dyDescent="0.2">
      <c r="A470"/>
      <c r="B470"/>
      <c r="C470"/>
      <c r="D470"/>
      <c r="E470"/>
      <c r="F470" t="str">
        <f>LEFT(AllDaqbookOffsets[[#This Row],[traceability_no]],2)</f>
        <v>J2</v>
      </c>
      <c r="N470" s="456"/>
      <c r="O470"/>
      <c r="Z470" s="460"/>
      <c r="AA470" s="194"/>
      <c r="AB470"/>
      <c r="AG470" s="69"/>
      <c r="AH470"/>
    </row>
    <row r="471" spans="1:34" x14ac:dyDescent="0.2">
      <c r="A471"/>
      <c r="B471"/>
      <c r="C471"/>
      <c r="D471"/>
      <c r="E471"/>
      <c r="F471" t="str">
        <f>LEFT(AllDaqbookOffsets[[#This Row],[traceability_no]],2)</f>
        <v>J2</v>
      </c>
      <c r="N471" s="456"/>
      <c r="O471"/>
      <c r="Z471" s="460"/>
      <c r="AA471" s="194"/>
      <c r="AB471"/>
      <c r="AG471" s="69"/>
      <c r="AH471"/>
    </row>
    <row r="472" spans="1:34" x14ac:dyDescent="0.2">
      <c r="A472"/>
      <c r="B472"/>
      <c r="C472"/>
      <c r="D472"/>
      <c r="E472"/>
      <c r="F472" t="str">
        <f>LEFT(AllDaqbookOffsets[[#This Row],[traceability_no]],2)</f>
        <v>J2</v>
      </c>
      <c r="N472" s="456"/>
      <c r="O472"/>
      <c r="Z472" s="460"/>
      <c r="AA472" s="194"/>
      <c r="AB472"/>
      <c r="AG472" s="69"/>
      <c r="AH472"/>
    </row>
    <row r="473" spans="1:34" x14ac:dyDescent="0.2">
      <c r="A473"/>
      <c r="B473"/>
      <c r="C473"/>
      <c r="D473"/>
      <c r="E473"/>
      <c r="F473" t="str">
        <f>LEFT(AllDaqbookOffsets[[#This Row],[traceability_no]],2)</f>
        <v>J2</v>
      </c>
      <c r="N473" s="456"/>
      <c r="O473"/>
      <c r="Z473" s="460"/>
      <c r="AA473" s="194"/>
      <c r="AB473"/>
      <c r="AG473" s="69"/>
      <c r="AH473"/>
    </row>
    <row r="474" spans="1:34" x14ac:dyDescent="0.2">
      <c r="A474"/>
      <c r="B474"/>
      <c r="C474"/>
      <c r="D474"/>
      <c r="E474"/>
      <c r="F474" t="str">
        <f>LEFT(AllDaqbookOffsets[[#This Row],[traceability_no]],2)</f>
        <v>J2</v>
      </c>
      <c r="N474" s="456"/>
      <c r="O474"/>
      <c r="Z474" s="460"/>
      <c r="AA474" s="194"/>
      <c r="AB474"/>
      <c r="AG474" s="69"/>
      <c r="AH474"/>
    </row>
    <row r="475" spans="1:34" x14ac:dyDescent="0.2">
      <c r="A475"/>
      <c r="B475"/>
      <c r="C475"/>
      <c r="D475"/>
      <c r="E475"/>
      <c r="F475" t="str">
        <f>LEFT(AllDaqbookOffsets[[#This Row],[traceability_no]],2)</f>
        <v>J2</v>
      </c>
      <c r="N475" s="456"/>
      <c r="O475"/>
      <c r="Z475" s="460"/>
      <c r="AA475" s="194"/>
      <c r="AB475"/>
      <c r="AG475" s="69"/>
      <c r="AH475"/>
    </row>
    <row r="476" spans="1:34" x14ac:dyDescent="0.2">
      <c r="A476"/>
      <c r="B476"/>
      <c r="C476"/>
      <c r="D476"/>
      <c r="E476"/>
      <c r="F476" t="str">
        <f>LEFT(AllDaqbookOffsets[[#This Row],[traceability_no]],2)</f>
        <v>J2</v>
      </c>
      <c r="N476" s="456"/>
      <c r="O476"/>
      <c r="Z476" s="460"/>
      <c r="AA476" s="194"/>
      <c r="AB476"/>
      <c r="AG476" s="69"/>
      <c r="AH476"/>
    </row>
    <row r="477" spans="1:34" x14ac:dyDescent="0.2">
      <c r="A477"/>
      <c r="B477"/>
      <c r="C477"/>
      <c r="D477"/>
      <c r="E477"/>
      <c r="F477" t="str">
        <f>LEFT(AllDaqbookOffsets[[#This Row],[traceability_no]],2)</f>
        <v>J2</v>
      </c>
      <c r="N477" s="456"/>
      <c r="O477"/>
      <c r="Z477" s="460"/>
      <c r="AA477" s="194"/>
      <c r="AB477"/>
      <c r="AG477" s="69"/>
      <c r="AH477"/>
    </row>
    <row r="478" spans="1:34" x14ac:dyDescent="0.2">
      <c r="A478"/>
      <c r="B478"/>
      <c r="C478"/>
      <c r="D478"/>
      <c r="E478"/>
      <c r="F478" t="str">
        <f>LEFT(AllDaqbookOffsets[[#This Row],[traceability_no]],2)</f>
        <v>J2</v>
      </c>
      <c r="N478" s="456"/>
      <c r="O478"/>
      <c r="Z478" s="460"/>
      <c r="AA478" s="194"/>
      <c r="AB478"/>
      <c r="AG478" s="69"/>
      <c r="AH478"/>
    </row>
    <row r="479" spans="1:34" x14ac:dyDescent="0.2">
      <c r="A479"/>
      <c r="B479"/>
      <c r="C479"/>
      <c r="D479"/>
      <c r="E479"/>
      <c r="F479" t="str">
        <f>LEFT(AllDaqbookOffsets[[#This Row],[traceability_no]],2)</f>
        <v>J2</v>
      </c>
      <c r="N479" s="456"/>
      <c r="O479"/>
      <c r="Z479" s="460"/>
      <c r="AA479" s="194"/>
      <c r="AB479"/>
      <c r="AG479" s="69"/>
      <c r="AH479"/>
    </row>
    <row r="480" spans="1:34" x14ac:dyDescent="0.2">
      <c r="A480"/>
      <c r="B480"/>
      <c r="C480"/>
      <c r="D480"/>
      <c r="E480"/>
      <c r="F480" t="str">
        <f>LEFT(AllDaqbookOffsets[[#This Row],[traceability_no]],2)</f>
        <v>J2</v>
      </c>
      <c r="N480" s="456"/>
      <c r="O480"/>
      <c r="Z480" s="460"/>
      <c r="AA480" s="194"/>
      <c r="AB480"/>
      <c r="AG480" s="69"/>
      <c r="AH480"/>
    </row>
    <row r="481" spans="1:34" x14ac:dyDescent="0.2">
      <c r="A481"/>
      <c r="B481"/>
      <c r="C481"/>
      <c r="D481"/>
      <c r="E481"/>
      <c r="F481" t="str">
        <f>LEFT(AllDaqbookOffsets[[#This Row],[traceability_no]],2)</f>
        <v>J2</v>
      </c>
      <c r="N481" s="456"/>
      <c r="O481"/>
      <c r="Z481" s="460"/>
      <c r="AA481" s="194"/>
      <c r="AB481"/>
      <c r="AG481" s="69"/>
      <c r="AH481"/>
    </row>
    <row r="482" spans="1:34" x14ac:dyDescent="0.2">
      <c r="A482"/>
      <c r="B482"/>
      <c r="C482"/>
      <c r="D482"/>
      <c r="E482"/>
      <c r="F482" t="str">
        <f>LEFT(AllDaqbookOffsets[[#This Row],[traceability_no]],2)</f>
        <v>J3</v>
      </c>
      <c r="N482" s="456"/>
      <c r="O482"/>
      <c r="Z482" s="460"/>
      <c r="AA482" s="194"/>
      <c r="AB482"/>
      <c r="AG482" s="69"/>
      <c r="AH482"/>
    </row>
    <row r="483" spans="1:34" x14ac:dyDescent="0.2">
      <c r="A483"/>
      <c r="B483"/>
      <c r="C483"/>
      <c r="D483"/>
      <c r="E483"/>
      <c r="F483" t="str">
        <f>LEFT(AllDaqbookOffsets[[#This Row],[traceability_no]],2)</f>
        <v>J3</v>
      </c>
      <c r="N483" s="456"/>
      <c r="O483"/>
      <c r="Z483" s="460"/>
      <c r="AA483" s="194"/>
      <c r="AB483"/>
      <c r="AG483" s="69"/>
      <c r="AH483"/>
    </row>
    <row r="484" spans="1:34" x14ac:dyDescent="0.2">
      <c r="A484"/>
      <c r="B484"/>
      <c r="C484"/>
      <c r="D484"/>
      <c r="E484"/>
      <c r="F484" t="str">
        <f>LEFT(AllDaqbookOffsets[[#This Row],[traceability_no]],2)</f>
        <v>J3</v>
      </c>
      <c r="N484" s="456"/>
      <c r="O484"/>
      <c r="Z484" s="460"/>
      <c r="AA484" s="194"/>
      <c r="AB484"/>
      <c r="AG484" s="69"/>
      <c r="AH484"/>
    </row>
    <row r="485" spans="1:34" x14ac:dyDescent="0.2">
      <c r="A485"/>
      <c r="B485"/>
      <c r="C485"/>
      <c r="D485"/>
      <c r="E485"/>
      <c r="F485" t="str">
        <f>LEFT(AllDaqbookOffsets[[#This Row],[traceability_no]],2)</f>
        <v>J3</v>
      </c>
      <c r="N485" s="456"/>
      <c r="O485"/>
      <c r="Z485" s="460"/>
      <c r="AA485" s="194"/>
      <c r="AB485"/>
      <c r="AG485" s="69"/>
      <c r="AH485"/>
    </row>
    <row r="486" spans="1:34" x14ac:dyDescent="0.2">
      <c r="A486"/>
      <c r="B486"/>
      <c r="C486"/>
      <c r="D486"/>
      <c r="E486"/>
      <c r="F486" t="str">
        <f>LEFT(AllDaqbookOffsets[[#This Row],[traceability_no]],2)</f>
        <v>J3</v>
      </c>
      <c r="N486" s="456"/>
      <c r="O486"/>
      <c r="Z486" s="460"/>
      <c r="AA486" s="194"/>
      <c r="AB486"/>
      <c r="AG486" s="69"/>
      <c r="AH486"/>
    </row>
    <row r="487" spans="1:34" x14ac:dyDescent="0.2">
      <c r="A487"/>
      <c r="B487"/>
      <c r="C487"/>
      <c r="D487"/>
      <c r="E487"/>
      <c r="F487" t="str">
        <f>LEFT(AllDaqbookOffsets[[#This Row],[traceability_no]],2)</f>
        <v>J3</v>
      </c>
      <c r="N487" s="456"/>
      <c r="O487"/>
      <c r="Z487" s="460"/>
      <c r="AA487" s="194"/>
      <c r="AB487"/>
      <c r="AG487" s="69"/>
      <c r="AH487"/>
    </row>
    <row r="488" spans="1:34" x14ac:dyDescent="0.2">
      <c r="A488"/>
      <c r="B488"/>
      <c r="C488"/>
      <c r="D488"/>
      <c r="E488"/>
      <c r="F488" t="str">
        <f>LEFT(AllDaqbookOffsets[[#This Row],[traceability_no]],2)</f>
        <v>J3</v>
      </c>
      <c r="N488" s="456"/>
      <c r="O488"/>
      <c r="Z488" s="460"/>
      <c r="AA488" s="194"/>
      <c r="AB488"/>
      <c r="AG488" s="69"/>
      <c r="AH488"/>
    </row>
    <row r="489" spans="1:34" x14ac:dyDescent="0.2">
      <c r="A489"/>
      <c r="B489"/>
      <c r="C489"/>
      <c r="D489"/>
      <c r="E489"/>
      <c r="F489" t="str">
        <f>LEFT(AllDaqbookOffsets[[#This Row],[traceability_no]],2)</f>
        <v>J3</v>
      </c>
      <c r="N489" s="456"/>
      <c r="O489"/>
      <c r="Z489" s="460"/>
      <c r="AA489" s="194"/>
      <c r="AB489"/>
      <c r="AG489" s="69"/>
      <c r="AH489"/>
    </row>
    <row r="490" spans="1:34" x14ac:dyDescent="0.2">
      <c r="A490"/>
      <c r="B490"/>
      <c r="C490"/>
      <c r="D490"/>
      <c r="E490"/>
      <c r="F490" t="str">
        <f>LEFT(AllDaqbookOffsets[[#This Row],[traceability_no]],2)</f>
        <v>J3</v>
      </c>
      <c r="N490" s="456"/>
      <c r="O490"/>
      <c r="Z490" s="460"/>
      <c r="AA490" s="194"/>
      <c r="AB490"/>
      <c r="AG490" s="69"/>
      <c r="AH490"/>
    </row>
    <row r="491" spans="1:34" x14ac:dyDescent="0.2">
      <c r="A491"/>
      <c r="B491"/>
      <c r="C491"/>
      <c r="D491"/>
      <c r="E491"/>
      <c r="F491" t="str">
        <f>LEFT(AllDaqbookOffsets[[#This Row],[traceability_no]],2)</f>
        <v>J3</v>
      </c>
      <c r="N491" s="456"/>
      <c r="O491"/>
      <c r="Z491" s="460"/>
      <c r="AA491" s="194"/>
      <c r="AB491"/>
      <c r="AG491" s="69"/>
      <c r="AH491"/>
    </row>
    <row r="492" spans="1:34" x14ac:dyDescent="0.2">
      <c r="A492"/>
      <c r="B492"/>
      <c r="C492"/>
      <c r="D492"/>
      <c r="E492"/>
      <c r="F492" t="str">
        <f>LEFT(AllDaqbookOffsets[[#This Row],[traceability_no]],2)</f>
        <v>J3</v>
      </c>
      <c r="N492" s="456"/>
      <c r="O492"/>
      <c r="Z492" s="460"/>
      <c r="AA492" s="194"/>
      <c r="AB492"/>
      <c r="AG492" s="69"/>
      <c r="AH492"/>
    </row>
    <row r="493" spans="1:34" x14ac:dyDescent="0.2">
      <c r="A493"/>
      <c r="B493"/>
      <c r="C493"/>
      <c r="D493"/>
      <c r="E493"/>
      <c r="F493" t="str">
        <f>LEFT(AllDaqbookOffsets[[#This Row],[traceability_no]],2)</f>
        <v>J3</v>
      </c>
      <c r="N493" s="456"/>
      <c r="O493"/>
      <c r="Z493" s="460"/>
      <c r="AA493" s="194"/>
      <c r="AB493"/>
      <c r="AG493" s="69"/>
      <c r="AH493"/>
    </row>
    <row r="494" spans="1:34" x14ac:dyDescent="0.2">
      <c r="A494"/>
      <c r="B494"/>
      <c r="C494"/>
      <c r="D494"/>
      <c r="E494"/>
      <c r="F494" t="str">
        <f>LEFT(AllDaqbookOffsets[[#This Row],[traceability_no]],2)</f>
        <v>J3</v>
      </c>
      <c r="N494" s="456"/>
      <c r="O494"/>
      <c r="Z494" s="460"/>
      <c r="AA494" s="194"/>
      <c r="AB494"/>
      <c r="AG494" s="69"/>
      <c r="AH494"/>
    </row>
    <row r="495" spans="1:34" x14ac:dyDescent="0.2">
      <c r="A495"/>
      <c r="B495"/>
      <c r="C495"/>
      <c r="D495"/>
      <c r="E495"/>
      <c r="F495" t="str">
        <f>LEFT(AllDaqbookOffsets[[#This Row],[traceability_no]],2)</f>
        <v>J3</v>
      </c>
      <c r="N495" s="456"/>
      <c r="O495"/>
      <c r="Z495" s="460"/>
      <c r="AA495" s="194"/>
      <c r="AB495"/>
      <c r="AG495" s="69"/>
      <c r="AH495"/>
    </row>
    <row r="496" spans="1:34" x14ac:dyDescent="0.2">
      <c r="A496"/>
      <c r="B496"/>
      <c r="C496"/>
      <c r="D496"/>
      <c r="E496"/>
      <c r="F496" t="str">
        <f>LEFT(AllDaqbookOffsets[[#This Row],[traceability_no]],2)</f>
        <v>J3</v>
      </c>
      <c r="N496" s="456"/>
      <c r="O496"/>
      <c r="Z496" s="460"/>
      <c r="AA496" s="194"/>
      <c r="AB496"/>
      <c r="AG496" s="69"/>
      <c r="AH496"/>
    </row>
    <row r="497" spans="1:34" x14ac:dyDescent="0.2">
      <c r="A497"/>
      <c r="B497"/>
      <c r="C497"/>
      <c r="D497"/>
      <c r="E497"/>
      <c r="F497" t="str">
        <f>LEFT(AllDaqbookOffsets[[#This Row],[traceability_no]],2)</f>
        <v>J3</v>
      </c>
      <c r="N497" s="456"/>
      <c r="O497"/>
      <c r="Z497" s="460"/>
      <c r="AA497" s="194"/>
      <c r="AB497"/>
      <c r="AG497" s="69"/>
      <c r="AH497"/>
    </row>
    <row r="498" spans="1:34" x14ac:dyDescent="0.2">
      <c r="A498"/>
      <c r="B498"/>
      <c r="C498"/>
      <c r="D498"/>
      <c r="E498"/>
      <c r="F498" t="str">
        <f>LEFT(AllDaqbookOffsets[[#This Row],[traceability_no]],2)</f>
        <v>J3</v>
      </c>
      <c r="N498" s="456"/>
      <c r="O498"/>
      <c r="Z498" s="460"/>
      <c r="AA498" s="194"/>
      <c r="AB498"/>
      <c r="AG498" s="69"/>
      <c r="AH498"/>
    </row>
    <row r="499" spans="1:34" x14ac:dyDescent="0.2">
      <c r="A499"/>
      <c r="B499"/>
      <c r="C499"/>
      <c r="D499"/>
      <c r="E499"/>
      <c r="F499" t="str">
        <f>LEFT(AllDaqbookOffsets[[#This Row],[traceability_no]],2)</f>
        <v>J3</v>
      </c>
      <c r="N499" s="456"/>
      <c r="O499"/>
      <c r="Z499" s="460"/>
      <c r="AA499" s="194"/>
      <c r="AB499"/>
      <c r="AG499" s="69"/>
      <c r="AH499"/>
    </row>
    <row r="500" spans="1:34" x14ac:dyDescent="0.2">
      <c r="A500"/>
      <c r="B500"/>
      <c r="C500"/>
      <c r="D500"/>
      <c r="E500"/>
      <c r="F500" t="str">
        <f>LEFT(AllDaqbookOffsets[[#This Row],[traceability_no]],2)</f>
        <v>J3</v>
      </c>
      <c r="N500" s="456"/>
      <c r="O500"/>
      <c r="Z500" s="460"/>
      <c r="AA500" s="194"/>
      <c r="AB500"/>
      <c r="AG500" s="69"/>
      <c r="AH500"/>
    </row>
    <row r="501" spans="1:34" x14ac:dyDescent="0.2">
      <c r="A501"/>
      <c r="B501"/>
      <c r="C501"/>
      <c r="D501"/>
      <c r="E501"/>
      <c r="F501" t="str">
        <f>LEFT(AllDaqbookOffsets[[#This Row],[traceability_no]],2)</f>
        <v>J3</v>
      </c>
      <c r="N501" s="456"/>
      <c r="O501"/>
      <c r="Z501" s="460"/>
      <c r="AA501" s="194"/>
      <c r="AB501"/>
      <c r="AG501" s="69"/>
      <c r="AH501"/>
    </row>
    <row r="502" spans="1:34" x14ac:dyDescent="0.2">
      <c r="A502"/>
      <c r="B502"/>
      <c r="C502"/>
      <c r="D502"/>
      <c r="E502"/>
      <c r="F502" t="str">
        <f>LEFT(AllDaqbookOffsets[[#This Row],[traceability_no]],2)</f>
        <v>J3</v>
      </c>
      <c r="N502" s="456"/>
      <c r="O502"/>
      <c r="Z502" s="460"/>
      <c r="AA502" s="194"/>
      <c r="AB502"/>
      <c r="AG502" s="69"/>
      <c r="AH502"/>
    </row>
    <row r="503" spans="1:34" x14ac:dyDescent="0.2">
      <c r="A503"/>
      <c r="B503"/>
      <c r="C503"/>
      <c r="D503"/>
      <c r="E503"/>
      <c r="F503" t="str">
        <f>LEFT(AllDaqbookOffsets[[#This Row],[traceability_no]],2)</f>
        <v>J3</v>
      </c>
      <c r="N503" s="456"/>
      <c r="O503"/>
      <c r="Z503" s="460"/>
      <c r="AA503" s="194"/>
      <c r="AB503"/>
      <c r="AG503" s="69"/>
      <c r="AH503"/>
    </row>
    <row r="504" spans="1:34" x14ac:dyDescent="0.2">
      <c r="A504"/>
      <c r="B504"/>
      <c r="C504"/>
      <c r="D504"/>
      <c r="E504"/>
      <c r="F504" t="str">
        <f>LEFT(AllDaqbookOffsets[[#This Row],[traceability_no]],2)</f>
        <v>J3</v>
      </c>
      <c r="N504" s="456"/>
      <c r="O504"/>
      <c r="Z504" s="460"/>
      <c r="AA504" s="194"/>
      <c r="AB504"/>
      <c r="AG504" s="69"/>
      <c r="AH504"/>
    </row>
    <row r="505" spans="1:34" x14ac:dyDescent="0.2">
      <c r="A505"/>
      <c r="B505"/>
      <c r="C505"/>
      <c r="D505"/>
      <c r="E505"/>
      <c r="F505" t="str">
        <f>LEFT(AllDaqbookOffsets[[#This Row],[traceability_no]],2)</f>
        <v>J3</v>
      </c>
      <c r="N505" s="456"/>
      <c r="O505"/>
      <c r="Z505" s="460"/>
      <c r="AA505" s="194"/>
      <c r="AB505"/>
      <c r="AG505" s="69"/>
      <c r="AH505"/>
    </row>
    <row r="506" spans="1:34" x14ac:dyDescent="0.2">
      <c r="A506"/>
      <c r="B506"/>
      <c r="C506"/>
      <c r="D506"/>
      <c r="E506"/>
      <c r="F506" t="str">
        <f>LEFT(AllDaqbookOffsets[[#This Row],[traceability_no]],2)</f>
        <v>J3</v>
      </c>
      <c r="N506" s="456"/>
      <c r="O506"/>
      <c r="Z506" s="460"/>
      <c r="AA506" s="194"/>
      <c r="AB506"/>
      <c r="AG506" s="69"/>
      <c r="AH506"/>
    </row>
    <row r="507" spans="1:34" x14ac:dyDescent="0.2">
      <c r="A507"/>
      <c r="B507"/>
      <c r="C507"/>
      <c r="D507"/>
      <c r="E507"/>
      <c r="F507" t="str">
        <f>LEFT(AllDaqbookOffsets[[#This Row],[traceability_no]],2)</f>
        <v>J3</v>
      </c>
      <c r="N507" s="456"/>
      <c r="O507"/>
      <c r="Z507" s="460"/>
      <c r="AA507" s="194"/>
      <c r="AB507"/>
      <c r="AG507" s="69"/>
      <c r="AH507"/>
    </row>
    <row r="508" spans="1:34" x14ac:dyDescent="0.2">
      <c r="A508"/>
      <c r="B508"/>
      <c r="C508"/>
      <c r="D508"/>
      <c r="E508"/>
      <c r="F508" t="str">
        <f>LEFT(AllDaqbookOffsets[[#This Row],[traceability_no]],2)</f>
        <v>J3</v>
      </c>
      <c r="N508" s="456"/>
      <c r="O508"/>
      <c r="Z508" s="460"/>
      <c r="AA508" s="194"/>
      <c r="AB508"/>
      <c r="AG508" s="69"/>
      <c r="AH508"/>
    </row>
    <row r="509" spans="1:34" x14ac:dyDescent="0.2">
      <c r="A509"/>
      <c r="B509"/>
      <c r="C509"/>
      <c r="D509"/>
      <c r="E509"/>
      <c r="F509" t="str">
        <f>LEFT(AllDaqbookOffsets[[#This Row],[traceability_no]],2)</f>
        <v>J3</v>
      </c>
      <c r="N509" s="456"/>
      <c r="O509"/>
      <c r="Z509" s="460"/>
      <c r="AA509" s="194"/>
      <c r="AB509"/>
      <c r="AG509" s="69"/>
      <c r="AH509"/>
    </row>
    <row r="510" spans="1:34" x14ac:dyDescent="0.2">
      <c r="A510"/>
      <c r="B510"/>
      <c r="C510"/>
      <c r="D510"/>
      <c r="E510"/>
      <c r="F510" t="str">
        <f>LEFT(AllDaqbookOffsets[[#This Row],[traceability_no]],2)</f>
        <v>J3</v>
      </c>
      <c r="N510" s="456"/>
      <c r="O510"/>
      <c r="Z510" s="460"/>
      <c r="AA510" s="194"/>
      <c r="AB510"/>
      <c r="AG510" s="69"/>
      <c r="AH510"/>
    </row>
    <row r="511" spans="1:34" x14ac:dyDescent="0.2">
      <c r="A511"/>
      <c r="B511"/>
      <c r="C511"/>
      <c r="D511"/>
      <c r="E511"/>
      <c r="F511" t="str">
        <f>LEFT(AllDaqbookOffsets[[#This Row],[traceability_no]],2)</f>
        <v>J3</v>
      </c>
      <c r="N511" s="456"/>
      <c r="O511"/>
      <c r="Z511" s="460"/>
      <c r="AA511" s="194"/>
      <c r="AB511"/>
      <c r="AG511" s="69"/>
      <c r="AH511"/>
    </row>
    <row r="512" spans="1:34" x14ac:dyDescent="0.2">
      <c r="A512"/>
      <c r="B512"/>
      <c r="C512"/>
      <c r="D512"/>
      <c r="E512"/>
      <c r="F512" t="str">
        <f>LEFT(AllDaqbookOffsets[[#This Row],[traceability_no]],2)</f>
        <v>J3</v>
      </c>
      <c r="N512" s="456"/>
      <c r="O512"/>
      <c r="Z512" s="460"/>
      <c r="AA512" s="194"/>
      <c r="AB512"/>
      <c r="AG512" s="69"/>
      <c r="AH512"/>
    </row>
    <row r="513" spans="1:34" x14ac:dyDescent="0.2">
      <c r="A513"/>
      <c r="B513"/>
      <c r="C513"/>
      <c r="D513"/>
      <c r="E513"/>
      <c r="F513" t="str">
        <f>LEFT(AllDaqbookOffsets[[#This Row],[traceability_no]],2)</f>
        <v>J3</v>
      </c>
      <c r="N513" s="456"/>
      <c r="O513"/>
      <c r="Z513" s="460"/>
      <c r="AA513" s="194"/>
      <c r="AB513"/>
      <c r="AG513" s="69"/>
      <c r="AH513"/>
    </row>
    <row r="514" spans="1:34" x14ac:dyDescent="0.2">
      <c r="A514"/>
      <c r="B514"/>
      <c r="C514"/>
      <c r="D514"/>
      <c r="E514"/>
      <c r="F514" t="str">
        <f>LEFT(AllDaqbookOffsets[[#This Row],[traceability_no]],2)</f>
        <v>J3</v>
      </c>
      <c r="N514" s="456"/>
      <c r="O514"/>
      <c r="Z514" s="460"/>
      <c r="AA514" s="194"/>
      <c r="AB514"/>
      <c r="AG514" s="69"/>
      <c r="AH514"/>
    </row>
    <row r="515" spans="1:34" x14ac:dyDescent="0.2">
      <c r="A515"/>
      <c r="B515"/>
      <c r="C515"/>
      <c r="D515"/>
      <c r="E515"/>
      <c r="F515" t="str">
        <f>LEFT(AllDaqbookOffsets[[#This Row],[traceability_no]],2)</f>
        <v>J3</v>
      </c>
      <c r="N515" s="456"/>
      <c r="O515"/>
      <c r="Z515" s="460"/>
      <c r="AA515" s="194"/>
      <c r="AB515"/>
      <c r="AG515" s="69"/>
      <c r="AH515"/>
    </row>
    <row r="516" spans="1:34" x14ac:dyDescent="0.2">
      <c r="A516"/>
      <c r="B516"/>
      <c r="C516"/>
      <c r="D516"/>
      <c r="E516"/>
      <c r="F516" t="str">
        <f>LEFT(AllDaqbookOffsets[[#This Row],[traceability_no]],2)</f>
        <v>J3</v>
      </c>
      <c r="N516" s="456"/>
      <c r="O516"/>
      <c r="Z516" s="460"/>
      <c r="AA516" s="194"/>
      <c r="AB516"/>
      <c r="AG516" s="69"/>
      <c r="AH516"/>
    </row>
    <row r="517" spans="1:34" x14ac:dyDescent="0.2">
      <c r="A517"/>
      <c r="B517"/>
      <c r="C517"/>
      <c r="D517"/>
      <c r="E517"/>
      <c r="F517" t="str">
        <f>LEFT(AllDaqbookOffsets[[#This Row],[traceability_no]],2)</f>
        <v>J3</v>
      </c>
      <c r="N517" s="456"/>
      <c r="O517"/>
      <c r="Z517" s="460"/>
      <c r="AA517" s="194"/>
      <c r="AB517"/>
      <c r="AG517" s="69"/>
      <c r="AH517"/>
    </row>
    <row r="518" spans="1:34" x14ac:dyDescent="0.2">
      <c r="A518"/>
      <c r="B518"/>
      <c r="C518"/>
      <c r="D518"/>
      <c r="E518"/>
      <c r="F518" t="str">
        <f>LEFT(AllDaqbookOffsets[[#This Row],[traceability_no]],2)</f>
        <v>J3</v>
      </c>
      <c r="N518" s="456"/>
      <c r="O518"/>
      <c r="Z518" s="460"/>
      <c r="AA518" s="194"/>
      <c r="AB518"/>
      <c r="AG518" s="69"/>
      <c r="AH518"/>
    </row>
    <row r="519" spans="1:34" x14ac:dyDescent="0.2">
      <c r="A519"/>
      <c r="B519"/>
      <c r="C519"/>
      <c r="D519"/>
      <c r="E519"/>
      <c r="F519" t="str">
        <f>LEFT(AllDaqbookOffsets[[#This Row],[traceability_no]],2)</f>
        <v>J3</v>
      </c>
      <c r="N519" s="456"/>
      <c r="O519"/>
      <c r="Z519" s="460"/>
      <c r="AA519" s="194"/>
      <c r="AB519"/>
      <c r="AG519" s="69"/>
      <c r="AH519"/>
    </row>
    <row r="520" spans="1:34" x14ac:dyDescent="0.2">
      <c r="A520"/>
      <c r="B520"/>
      <c r="C520"/>
      <c r="D520"/>
      <c r="E520"/>
      <c r="F520" t="str">
        <f>LEFT(AllDaqbookOffsets[[#This Row],[traceability_no]],2)</f>
        <v>J3</v>
      </c>
      <c r="N520" s="456"/>
      <c r="O520"/>
      <c r="Z520" s="460"/>
      <c r="AA520" s="194"/>
      <c r="AB520"/>
      <c r="AG520" s="69"/>
      <c r="AH520"/>
    </row>
    <row r="521" spans="1:34" x14ac:dyDescent="0.2">
      <c r="A521"/>
      <c r="B521"/>
      <c r="C521"/>
      <c r="D521"/>
      <c r="E521"/>
      <c r="F521" t="str">
        <f>LEFT(AllDaqbookOffsets[[#This Row],[traceability_no]],2)</f>
        <v>J3</v>
      </c>
      <c r="N521" s="456"/>
      <c r="O521"/>
      <c r="Z521" s="460"/>
      <c r="AA521" s="194"/>
      <c r="AB521"/>
      <c r="AG521" s="69"/>
      <c r="AH521"/>
    </row>
    <row r="522" spans="1:34" x14ac:dyDescent="0.2">
      <c r="A522"/>
      <c r="B522"/>
      <c r="C522"/>
      <c r="D522"/>
      <c r="E522"/>
      <c r="F522" t="str">
        <f>LEFT(AllDaqbookOffsets[[#This Row],[traceability_no]],2)</f>
        <v>J3</v>
      </c>
      <c r="N522" s="456"/>
      <c r="O522"/>
      <c r="Z522" s="460"/>
      <c r="AA522" s="194"/>
      <c r="AB522"/>
      <c r="AG522" s="69"/>
      <c r="AH522"/>
    </row>
    <row r="523" spans="1:34" x14ac:dyDescent="0.2">
      <c r="A523"/>
      <c r="B523"/>
      <c r="C523"/>
      <c r="D523"/>
      <c r="E523"/>
      <c r="F523" t="str">
        <f>LEFT(AllDaqbookOffsets[[#This Row],[traceability_no]],2)</f>
        <v>J3</v>
      </c>
      <c r="N523" s="456"/>
      <c r="O523"/>
      <c r="Z523" s="460"/>
      <c r="AA523" s="194"/>
      <c r="AB523"/>
      <c r="AG523" s="69"/>
      <c r="AH523"/>
    </row>
    <row r="524" spans="1:34" x14ac:dyDescent="0.2">
      <c r="A524"/>
      <c r="B524"/>
      <c r="C524"/>
      <c r="D524"/>
      <c r="E524"/>
      <c r="F524" t="str">
        <f>LEFT(AllDaqbookOffsets[[#This Row],[traceability_no]],2)</f>
        <v>J3</v>
      </c>
      <c r="N524" s="456"/>
      <c r="O524"/>
      <c r="Z524" s="460"/>
      <c r="AA524" s="194"/>
      <c r="AB524"/>
      <c r="AG524" s="69"/>
      <c r="AH524"/>
    </row>
    <row r="525" spans="1:34" x14ac:dyDescent="0.2">
      <c r="A525"/>
      <c r="B525"/>
      <c r="C525"/>
      <c r="D525"/>
      <c r="E525"/>
      <c r="F525" t="str">
        <f>LEFT(AllDaqbookOffsets[[#This Row],[traceability_no]],2)</f>
        <v>J3</v>
      </c>
      <c r="N525" s="456"/>
      <c r="O525"/>
      <c r="Z525" s="460"/>
      <c r="AA525" s="194"/>
      <c r="AB525"/>
      <c r="AG525" s="69"/>
      <c r="AH525"/>
    </row>
    <row r="526" spans="1:34" x14ac:dyDescent="0.2">
      <c r="A526"/>
      <c r="B526"/>
      <c r="C526"/>
      <c r="D526"/>
      <c r="E526"/>
      <c r="F526" t="str">
        <f>LEFT(AllDaqbookOffsets[[#This Row],[traceability_no]],2)</f>
        <v>J3</v>
      </c>
      <c r="N526" s="456"/>
      <c r="O526"/>
      <c r="Z526" s="460"/>
      <c r="AA526" s="194"/>
      <c r="AB526"/>
      <c r="AG526" s="69"/>
      <c r="AH526"/>
    </row>
    <row r="527" spans="1:34" x14ac:dyDescent="0.2">
      <c r="A527"/>
      <c r="B527"/>
      <c r="C527"/>
      <c r="D527"/>
      <c r="E527"/>
      <c r="F527" t="str">
        <f>LEFT(AllDaqbookOffsets[[#This Row],[traceability_no]],2)</f>
        <v>J3</v>
      </c>
      <c r="N527" s="456"/>
      <c r="O527"/>
      <c r="Z527" s="460"/>
      <c r="AA527" s="194"/>
      <c r="AB527"/>
      <c r="AG527" s="69"/>
      <c r="AH527"/>
    </row>
    <row r="528" spans="1:34" x14ac:dyDescent="0.2">
      <c r="A528"/>
      <c r="B528"/>
      <c r="C528"/>
      <c r="D528"/>
      <c r="E528"/>
      <c r="F528" t="str">
        <f>LEFT(AllDaqbookOffsets[[#This Row],[traceability_no]],2)</f>
        <v>J3</v>
      </c>
      <c r="N528" s="456"/>
      <c r="O528"/>
      <c r="Z528" s="460"/>
      <c r="AA528" s="194"/>
      <c r="AB528"/>
      <c r="AG528" s="69"/>
      <c r="AH528"/>
    </row>
    <row r="529" spans="1:34" x14ac:dyDescent="0.2">
      <c r="A529"/>
      <c r="B529"/>
      <c r="C529"/>
      <c r="D529"/>
      <c r="E529"/>
      <c r="F529" t="str">
        <f>LEFT(AllDaqbookOffsets[[#This Row],[traceability_no]],2)</f>
        <v>J3</v>
      </c>
      <c r="N529" s="456"/>
      <c r="O529"/>
      <c r="Z529" s="460"/>
      <c r="AA529" s="194"/>
      <c r="AB529"/>
      <c r="AG529" s="69"/>
      <c r="AH529"/>
    </row>
    <row r="530" spans="1:34" x14ac:dyDescent="0.2">
      <c r="A530"/>
      <c r="B530"/>
      <c r="C530"/>
      <c r="D530"/>
      <c r="E530"/>
      <c r="F530" t="str">
        <f>LEFT(AllDaqbookOffsets[[#This Row],[traceability_no]],2)</f>
        <v>J3</v>
      </c>
      <c r="N530" s="456"/>
      <c r="O530"/>
      <c r="Z530" s="460"/>
      <c r="AA530" s="194"/>
      <c r="AB530"/>
      <c r="AG530" s="69"/>
      <c r="AH530"/>
    </row>
    <row r="531" spans="1:34" x14ac:dyDescent="0.2">
      <c r="A531"/>
      <c r="B531"/>
      <c r="C531"/>
      <c r="D531"/>
      <c r="E531"/>
      <c r="F531" t="str">
        <f>LEFT(AllDaqbookOffsets[[#This Row],[traceability_no]],2)</f>
        <v>J3</v>
      </c>
      <c r="N531" s="456"/>
      <c r="O531"/>
      <c r="Z531" s="460"/>
      <c r="AA531" s="194"/>
      <c r="AB531"/>
      <c r="AG531" s="69"/>
      <c r="AH531"/>
    </row>
    <row r="532" spans="1:34" x14ac:dyDescent="0.2">
      <c r="A532"/>
      <c r="B532"/>
      <c r="C532"/>
      <c r="D532"/>
      <c r="E532"/>
      <c r="F532" t="str">
        <f>LEFT(AllDaqbookOffsets[[#This Row],[traceability_no]],2)</f>
        <v>J3</v>
      </c>
      <c r="N532" s="456"/>
      <c r="O532"/>
      <c r="Z532" s="460"/>
      <c r="AA532" s="194"/>
      <c r="AB532"/>
      <c r="AG532" s="69"/>
      <c r="AH532"/>
    </row>
    <row r="533" spans="1:34" x14ac:dyDescent="0.2">
      <c r="A533"/>
      <c r="B533"/>
      <c r="C533"/>
      <c r="D533"/>
      <c r="E533"/>
      <c r="F533" t="str">
        <f>LEFT(AllDaqbookOffsets[[#This Row],[traceability_no]],2)</f>
        <v>J3</v>
      </c>
      <c r="N533" s="456"/>
      <c r="O533"/>
      <c r="Z533" s="460"/>
      <c r="AA533" s="194"/>
      <c r="AB533"/>
      <c r="AG533" s="69"/>
      <c r="AH533"/>
    </row>
    <row r="534" spans="1:34" x14ac:dyDescent="0.2">
      <c r="A534"/>
      <c r="B534"/>
      <c r="C534"/>
      <c r="D534"/>
      <c r="E534"/>
      <c r="F534" t="str">
        <f>LEFT(AllDaqbookOffsets[[#This Row],[traceability_no]],2)</f>
        <v>J3</v>
      </c>
      <c r="N534" s="456"/>
      <c r="O534"/>
      <c r="Z534" s="460"/>
      <c r="AA534" s="194"/>
      <c r="AB534"/>
      <c r="AG534" s="69"/>
      <c r="AH534"/>
    </row>
    <row r="535" spans="1:34" x14ac:dyDescent="0.2">
      <c r="A535"/>
      <c r="B535"/>
      <c r="C535"/>
      <c r="D535"/>
      <c r="E535"/>
      <c r="F535" t="str">
        <f>LEFT(AllDaqbookOffsets[[#This Row],[traceability_no]],2)</f>
        <v>J3</v>
      </c>
      <c r="N535" s="456"/>
      <c r="O535"/>
      <c r="Z535" s="460"/>
      <c r="AA535" s="194"/>
      <c r="AB535"/>
      <c r="AG535" s="69"/>
      <c r="AH535"/>
    </row>
    <row r="536" spans="1:34" x14ac:dyDescent="0.2">
      <c r="A536"/>
      <c r="B536"/>
      <c r="C536"/>
      <c r="D536"/>
      <c r="E536"/>
      <c r="F536" t="str">
        <f>LEFT(AllDaqbookOffsets[[#This Row],[traceability_no]],2)</f>
        <v>J3</v>
      </c>
      <c r="N536" s="456"/>
      <c r="O536"/>
      <c r="Z536" s="460"/>
      <c r="AA536" s="194"/>
      <c r="AB536"/>
      <c r="AG536" s="69"/>
      <c r="AH536"/>
    </row>
    <row r="537" spans="1:34" x14ac:dyDescent="0.2">
      <c r="A537"/>
      <c r="B537"/>
      <c r="C537"/>
      <c r="D537"/>
      <c r="E537"/>
      <c r="F537" t="str">
        <f>LEFT(AllDaqbookOffsets[[#This Row],[traceability_no]],2)</f>
        <v>J3</v>
      </c>
      <c r="N537" s="456"/>
      <c r="O537"/>
      <c r="Z537" s="460"/>
      <c r="AA537" s="194"/>
      <c r="AB537"/>
      <c r="AG537" s="69"/>
      <c r="AH537"/>
    </row>
    <row r="538" spans="1:34" x14ac:dyDescent="0.2">
      <c r="A538"/>
      <c r="B538"/>
      <c r="C538"/>
      <c r="D538"/>
      <c r="E538"/>
      <c r="F538" t="str">
        <f>LEFT(AllDaqbookOffsets[[#This Row],[traceability_no]],2)</f>
        <v>J3</v>
      </c>
      <c r="N538" s="456"/>
      <c r="O538"/>
      <c r="Z538" s="460"/>
      <c r="AA538" s="194"/>
      <c r="AB538"/>
      <c r="AG538" s="69"/>
      <c r="AH538"/>
    </row>
    <row r="539" spans="1:34" x14ac:dyDescent="0.2">
      <c r="A539"/>
      <c r="B539"/>
      <c r="C539"/>
      <c r="D539"/>
      <c r="E539"/>
      <c r="F539" t="str">
        <f>LEFT(AllDaqbookOffsets[[#This Row],[traceability_no]],2)</f>
        <v>J3</v>
      </c>
      <c r="N539" s="456"/>
      <c r="O539"/>
      <c r="Z539" s="460"/>
      <c r="AA539" s="194"/>
      <c r="AB539"/>
      <c r="AG539" s="69"/>
      <c r="AH539"/>
    </row>
    <row r="540" spans="1:34" x14ac:dyDescent="0.2">
      <c r="A540"/>
      <c r="B540"/>
      <c r="C540"/>
      <c r="D540"/>
      <c r="E540"/>
      <c r="F540" t="str">
        <f>LEFT(AllDaqbookOffsets[[#This Row],[traceability_no]],2)</f>
        <v>J3</v>
      </c>
      <c r="N540" s="456"/>
      <c r="O540"/>
      <c r="Z540" s="460"/>
      <c r="AA540" s="194"/>
      <c r="AB540"/>
      <c r="AG540" s="69"/>
      <c r="AH540"/>
    </row>
    <row r="541" spans="1:34" x14ac:dyDescent="0.2">
      <c r="A541"/>
      <c r="B541"/>
      <c r="C541"/>
      <c r="D541"/>
      <c r="E541"/>
      <c r="F541" t="str">
        <f>LEFT(AllDaqbookOffsets[[#This Row],[traceability_no]],2)</f>
        <v>J3</v>
      </c>
      <c r="N541" s="456"/>
      <c r="O541"/>
      <c r="Z541" s="460"/>
      <c r="AA541" s="194"/>
      <c r="AB541"/>
      <c r="AG541" s="69"/>
      <c r="AH541"/>
    </row>
    <row r="542" spans="1:34" x14ac:dyDescent="0.2">
      <c r="A542"/>
      <c r="B542"/>
      <c r="C542"/>
      <c r="D542"/>
      <c r="E542"/>
      <c r="F542" t="str">
        <f>LEFT(AllDaqbookOffsets[[#This Row],[traceability_no]],2)</f>
        <v>J3</v>
      </c>
      <c r="N542" s="456"/>
      <c r="O542"/>
      <c r="Z542" s="460"/>
      <c r="AA542" s="194"/>
      <c r="AB542"/>
      <c r="AG542" s="69"/>
      <c r="AH542"/>
    </row>
    <row r="543" spans="1:34" x14ac:dyDescent="0.2">
      <c r="A543"/>
      <c r="B543"/>
      <c r="C543"/>
      <c r="D543"/>
      <c r="E543"/>
      <c r="F543" t="str">
        <f>LEFT(AllDaqbookOffsets[[#This Row],[traceability_no]],2)</f>
        <v>J3</v>
      </c>
      <c r="N543" s="456"/>
      <c r="O543"/>
      <c r="Z543" s="460"/>
      <c r="AA543" s="194"/>
      <c r="AB543"/>
      <c r="AG543" s="69"/>
      <c r="AH543"/>
    </row>
    <row r="544" spans="1:34" x14ac:dyDescent="0.2">
      <c r="A544"/>
      <c r="B544"/>
      <c r="C544"/>
      <c r="D544"/>
      <c r="E544"/>
      <c r="F544" t="str">
        <f>LEFT(AllDaqbookOffsets[[#This Row],[traceability_no]],2)</f>
        <v>J3</v>
      </c>
      <c r="N544" s="456"/>
      <c r="O544"/>
      <c r="Z544" s="460"/>
      <c r="AA544" s="194"/>
      <c r="AB544"/>
      <c r="AG544" s="69"/>
      <c r="AH544"/>
    </row>
    <row r="545" spans="1:34" x14ac:dyDescent="0.2">
      <c r="A545"/>
      <c r="B545"/>
      <c r="C545"/>
      <c r="D545"/>
      <c r="E545"/>
      <c r="F545" t="str">
        <f>LEFT(AllDaqbookOffsets[[#This Row],[traceability_no]],2)</f>
        <v>J3</v>
      </c>
      <c r="N545" s="456"/>
      <c r="O545"/>
      <c r="Z545" s="460"/>
      <c r="AA545" s="194"/>
      <c r="AB545"/>
      <c r="AG545" s="69"/>
      <c r="AH545"/>
    </row>
    <row r="546" spans="1:34" x14ac:dyDescent="0.2">
      <c r="A546"/>
      <c r="B546"/>
      <c r="C546"/>
      <c r="D546"/>
      <c r="E546"/>
      <c r="F546" t="str">
        <f>LEFT(AllDaqbookOffsets[[#This Row],[traceability_no]],2)</f>
        <v>J3</v>
      </c>
      <c r="N546" s="456"/>
      <c r="O546"/>
      <c r="Z546" s="460"/>
      <c r="AA546" s="194"/>
      <c r="AB546"/>
      <c r="AG546" s="69"/>
      <c r="AH546"/>
    </row>
    <row r="547" spans="1:34" x14ac:dyDescent="0.2">
      <c r="A547"/>
      <c r="B547"/>
      <c r="C547"/>
      <c r="D547"/>
      <c r="E547"/>
      <c r="F547" t="str">
        <f>LEFT(AllDaqbookOffsets[[#This Row],[traceability_no]],2)</f>
        <v>J3</v>
      </c>
      <c r="N547" s="456"/>
      <c r="O547"/>
      <c r="Z547" s="460"/>
      <c r="AA547" s="194"/>
      <c r="AB547"/>
      <c r="AG547" s="69"/>
      <c r="AH547"/>
    </row>
    <row r="548" spans="1:34" x14ac:dyDescent="0.2">
      <c r="A548"/>
      <c r="B548"/>
      <c r="C548"/>
      <c r="D548"/>
      <c r="E548"/>
      <c r="F548" t="str">
        <f>LEFT(AllDaqbookOffsets[[#This Row],[traceability_no]],2)</f>
        <v>J3</v>
      </c>
      <c r="N548" s="456"/>
      <c r="O548"/>
      <c r="Z548" s="460"/>
      <c r="AA548" s="194"/>
      <c r="AB548"/>
      <c r="AG548" s="69"/>
      <c r="AH548"/>
    </row>
    <row r="549" spans="1:34" x14ac:dyDescent="0.2">
      <c r="A549"/>
      <c r="B549"/>
      <c r="C549"/>
      <c r="D549"/>
      <c r="E549"/>
      <c r="F549" t="str">
        <f>LEFT(AllDaqbookOffsets[[#This Row],[traceability_no]],2)</f>
        <v>J3</v>
      </c>
      <c r="N549" s="456"/>
      <c r="O549"/>
      <c r="Z549" s="460"/>
      <c r="AA549" s="194"/>
      <c r="AB549"/>
      <c r="AG549" s="69"/>
      <c r="AH549"/>
    </row>
    <row r="550" spans="1:34" x14ac:dyDescent="0.2">
      <c r="A550"/>
      <c r="B550"/>
      <c r="C550"/>
      <c r="D550"/>
      <c r="E550"/>
      <c r="F550" t="str">
        <f>LEFT(AllDaqbookOffsets[[#This Row],[traceability_no]],2)</f>
        <v>J3</v>
      </c>
      <c r="N550" s="456"/>
      <c r="O550"/>
      <c r="Z550" s="460"/>
      <c r="AA550" s="194"/>
      <c r="AB550"/>
      <c r="AG550" s="69"/>
      <c r="AH550"/>
    </row>
    <row r="551" spans="1:34" x14ac:dyDescent="0.2">
      <c r="A551"/>
      <c r="B551"/>
      <c r="C551"/>
      <c r="D551"/>
      <c r="E551"/>
      <c r="F551" t="str">
        <f>LEFT(AllDaqbookOffsets[[#This Row],[traceability_no]],2)</f>
        <v>J3</v>
      </c>
      <c r="N551" s="456"/>
      <c r="O551"/>
      <c r="Z551" s="460"/>
      <c r="AA551" s="194"/>
      <c r="AB551"/>
      <c r="AG551" s="69"/>
      <c r="AH551"/>
    </row>
    <row r="552" spans="1:34" x14ac:dyDescent="0.2">
      <c r="A552"/>
      <c r="B552"/>
      <c r="C552"/>
      <c r="D552"/>
      <c r="E552"/>
      <c r="F552" t="str">
        <f>LEFT(AllDaqbookOffsets[[#This Row],[traceability_no]],2)</f>
        <v>J3</v>
      </c>
      <c r="N552" s="456"/>
      <c r="O552"/>
      <c r="Z552" s="460"/>
      <c r="AA552" s="194"/>
      <c r="AB552"/>
      <c r="AG552" s="69"/>
      <c r="AH552"/>
    </row>
    <row r="553" spans="1:34" x14ac:dyDescent="0.2">
      <c r="A553"/>
      <c r="B553"/>
      <c r="C553"/>
      <c r="D553"/>
      <c r="E553"/>
      <c r="F553" t="str">
        <f>LEFT(AllDaqbookOffsets[[#This Row],[traceability_no]],2)</f>
        <v>J3</v>
      </c>
      <c r="N553" s="456"/>
      <c r="O553"/>
      <c r="Z553" s="460"/>
      <c r="AA553" s="194"/>
      <c r="AB553"/>
      <c r="AG553" s="69"/>
      <c r="AH553"/>
    </row>
    <row r="554" spans="1:34" x14ac:dyDescent="0.2">
      <c r="A554"/>
      <c r="B554"/>
      <c r="C554"/>
      <c r="D554"/>
      <c r="E554"/>
      <c r="F554" t="str">
        <f>LEFT(AllDaqbookOffsets[[#This Row],[traceability_no]],2)</f>
        <v>J3</v>
      </c>
      <c r="N554" s="456"/>
      <c r="O554"/>
      <c r="Z554" s="460"/>
      <c r="AA554" s="194"/>
      <c r="AB554"/>
      <c r="AG554" s="69"/>
      <c r="AH554"/>
    </row>
    <row r="555" spans="1:34" x14ac:dyDescent="0.2">
      <c r="A555"/>
      <c r="B555"/>
      <c r="C555"/>
      <c r="D555"/>
      <c r="E555"/>
      <c r="F555" t="str">
        <f>LEFT(AllDaqbookOffsets[[#This Row],[traceability_no]],2)</f>
        <v>J3</v>
      </c>
      <c r="N555" s="456"/>
      <c r="O555"/>
      <c r="Z555" s="460"/>
      <c r="AA555" s="194"/>
      <c r="AB555"/>
      <c r="AG555" s="69"/>
      <c r="AH555"/>
    </row>
    <row r="556" spans="1:34" x14ac:dyDescent="0.2">
      <c r="A556"/>
      <c r="B556"/>
      <c r="C556"/>
      <c r="D556"/>
      <c r="E556"/>
      <c r="F556" t="str">
        <f>LEFT(AllDaqbookOffsets[[#This Row],[traceability_no]],2)</f>
        <v>J3</v>
      </c>
      <c r="N556" s="456"/>
      <c r="O556"/>
      <c r="Z556" s="460"/>
      <c r="AA556" s="194"/>
      <c r="AB556"/>
      <c r="AG556" s="69"/>
      <c r="AH556"/>
    </row>
    <row r="557" spans="1:34" x14ac:dyDescent="0.2">
      <c r="A557"/>
      <c r="B557"/>
      <c r="C557"/>
      <c r="D557"/>
      <c r="E557"/>
      <c r="F557" t="str">
        <f>LEFT(AllDaqbookOffsets[[#This Row],[traceability_no]],2)</f>
        <v>J3</v>
      </c>
      <c r="N557" s="456"/>
      <c r="O557"/>
      <c r="Z557" s="460"/>
      <c r="AA557" s="194"/>
      <c r="AB557"/>
      <c r="AG557" s="69"/>
      <c r="AH557"/>
    </row>
    <row r="558" spans="1:34" x14ac:dyDescent="0.2">
      <c r="A558"/>
      <c r="B558"/>
      <c r="C558"/>
      <c r="D558"/>
      <c r="E558"/>
      <c r="F558" t="str">
        <f>LEFT(AllDaqbookOffsets[[#This Row],[traceability_no]],2)</f>
        <v>J3</v>
      </c>
      <c r="N558" s="456"/>
      <c r="O558"/>
      <c r="Z558" s="460"/>
      <c r="AA558" s="194"/>
      <c r="AB558"/>
      <c r="AG558" s="69"/>
      <c r="AH558"/>
    </row>
    <row r="559" spans="1:34" x14ac:dyDescent="0.2">
      <c r="A559"/>
      <c r="B559"/>
      <c r="C559"/>
      <c r="D559"/>
      <c r="E559"/>
      <c r="F559" t="str">
        <f>LEFT(AllDaqbookOffsets[[#This Row],[traceability_no]],2)</f>
        <v>J3</v>
      </c>
      <c r="N559" s="456"/>
      <c r="O559"/>
      <c r="Z559" s="460"/>
      <c r="AA559" s="194"/>
      <c r="AB559"/>
      <c r="AG559" s="69"/>
      <c r="AH559"/>
    </row>
    <row r="560" spans="1:34" x14ac:dyDescent="0.2">
      <c r="A560"/>
      <c r="B560"/>
      <c r="C560"/>
      <c r="D560"/>
      <c r="E560"/>
      <c r="F560" t="str">
        <f>LEFT(AllDaqbookOffsets[[#This Row],[traceability_no]],2)</f>
        <v>J3</v>
      </c>
      <c r="N560" s="456"/>
      <c r="O560"/>
      <c r="Z560" s="460"/>
      <c r="AA560" s="194"/>
      <c r="AB560"/>
      <c r="AG560" s="69"/>
      <c r="AH560"/>
    </row>
    <row r="561" spans="1:34" x14ac:dyDescent="0.2">
      <c r="A561"/>
      <c r="B561"/>
      <c r="C561"/>
      <c r="D561"/>
      <c r="E561"/>
      <c r="F561" t="str">
        <f>LEFT(AllDaqbookOffsets[[#This Row],[traceability_no]],2)</f>
        <v>J3</v>
      </c>
      <c r="N561" s="456"/>
      <c r="O561"/>
      <c r="Z561" s="460"/>
      <c r="AA561" s="194"/>
      <c r="AB561"/>
      <c r="AG561" s="69"/>
      <c r="AH561"/>
    </row>
    <row r="562" spans="1:34" x14ac:dyDescent="0.2">
      <c r="A562"/>
      <c r="B562"/>
      <c r="C562"/>
      <c r="D562"/>
      <c r="E562"/>
      <c r="F562" t="str">
        <f>LEFT(AllDaqbookOffsets[[#This Row],[traceability_no]],2)</f>
        <v>J3</v>
      </c>
      <c r="N562" s="456"/>
      <c r="O562"/>
      <c r="Z562" s="460"/>
      <c r="AA562" s="194"/>
      <c r="AB562"/>
      <c r="AG562" s="69"/>
      <c r="AH562"/>
    </row>
    <row r="563" spans="1:34" x14ac:dyDescent="0.2">
      <c r="A563"/>
      <c r="B563"/>
      <c r="C563"/>
      <c r="D563"/>
      <c r="E563"/>
      <c r="F563" t="str">
        <f>LEFT(AllDaqbookOffsets[[#This Row],[traceability_no]],2)</f>
        <v>J3</v>
      </c>
      <c r="N563" s="456"/>
      <c r="O563"/>
      <c r="Z563" s="460"/>
      <c r="AA563" s="194"/>
      <c r="AB563"/>
      <c r="AG563" s="69"/>
      <c r="AH563"/>
    </row>
    <row r="564" spans="1:34" x14ac:dyDescent="0.2">
      <c r="A564"/>
      <c r="B564"/>
      <c r="C564"/>
      <c r="D564"/>
      <c r="E564"/>
      <c r="F564" t="str">
        <f>LEFT(AllDaqbookOffsets[[#This Row],[traceability_no]],2)</f>
        <v>J3</v>
      </c>
      <c r="N564" s="456"/>
      <c r="O564"/>
      <c r="Z564" s="460"/>
      <c r="AA564" s="194"/>
      <c r="AB564"/>
      <c r="AG564" s="69"/>
      <c r="AH564"/>
    </row>
    <row r="565" spans="1:34" x14ac:dyDescent="0.2">
      <c r="A565"/>
      <c r="B565"/>
      <c r="C565"/>
      <c r="D565"/>
      <c r="E565"/>
      <c r="F565" t="str">
        <f>LEFT(AllDaqbookOffsets[[#This Row],[traceability_no]],2)</f>
        <v>J3</v>
      </c>
      <c r="N565" s="456"/>
      <c r="O565"/>
      <c r="Z565" s="460"/>
      <c r="AA565" s="194"/>
      <c r="AB565"/>
      <c r="AG565" s="69"/>
      <c r="AH565"/>
    </row>
    <row r="566" spans="1:34" x14ac:dyDescent="0.2">
      <c r="A566"/>
      <c r="B566"/>
      <c r="C566"/>
      <c r="D566"/>
      <c r="E566"/>
      <c r="F566" t="str">
        <f>LEFT(AllDaqbookOffsets[[#This Row],[traceability_no]],2)</f>
        <v>J3</v>
      </c>
      <c r="N566" s="456"/>
      <c r="O566"/>
      <c r="Z566" s="460"/>
      <c r="AA566" s="194"/>
      <c r="AB566"/>
      <c r="AG566" s="69"/>
      <c r="AH566"/>
    </row>
    <row r="567" spans="1:34" x14ac:dyDescent="0.2">
      <c r="A567"/>
      <c r="B567"/>
      <c r="C567"/>
      <c r="D567"/>
      <c r="E567"/>
      <c r="F567" t="str">
        <f>LEFT(AllDaqbookOffsets[[#This Row],[traceability_no]],2)</f>
        <v>J3</v>
      </c>
      <c r="N567" s="456"/>
      <c r="O567"/>
      <c r="Z567" s="460"/>
      <c r="AA567" s="194"/>
      <c r="AB567"/>
      <c r="AG567" s="69"/>
      <c r="AH567"/>
    </row>
    <row r="568" spans="1:34" x14ac:dyDescent="0.2">
      <c r="A568"/>
      <c r="B568"/>
      <c r="C568"/>
      <c r="D568"/>
      <c r="E568"/>
      <c r="F568" t="str">
        <f>LEFT(AllDaqbookOffsets[[#This Row],[traceability_no]],2)</f>
        <v>J3</v>
      </c>
      <c r="N568" s="456"/>
      <c r="O568"/>
      <c r="Z568" s="460"/>
      <c r="AA568" s="194"/>
      <c r="AB568"/>
      <c r="AG568" s="69"/>
      <c r="AH568"/>
    </row>
    <row r="569" spans="1:34" x14ac:dyDescent="0.2">
      <c r="A569"/>
      <c r="B569"/>
      <c r="C569"/>
      <c r="D569"/>
      <c r="E569"/>
      <c r="F569" t="str">
        <f>LEFT(AllDaqbookOffsets[[#This Row],[traceability_no]],2)</f>
        <v>J3</v>
      </c>
      <c r="N569" s="456"/>
      <c r="O569"/>
      <c r="Z569" s="460"/>
      <c r="AA569" s="194"/>
      <c r="AB569"/>
      <c r="AG569" s="69"/>
      <c r="AH569"/>
    </row>
    <row r="570" spans="1:34" x14ac:dyDescent="0.2">
      <c r="A570"/>
      <c r="B570"/>
      <c r="C570"/>
      <c r="D570"/>
      <c r="E570"/>
      <c r="F570" t="str">
        <f>LEFT(AllDaqbookOffsets[[#This Row],[traceability_no]],2)</f>
        <v>J3</v>
      </c>
      <c r="N570" s="456"/>
      <c r="O570"/>
      <c r="Z570" s="460"/>
      <c r="AA570" s="194"/>
      <c r="AB570"/>
      <c r="AG570" s="69"/>
      <c r="AH570"/>
    </row>
    <row r="571" spans="1:34" x14ac:dyDescent="0.2">
      <c r="A571"/>
      <c r="B571"/>
      <c r="C571"/>
      <c r="D571"/>
      <c r="E571"/>
      <c r="F571" t="str">
        <f>LEFT(AllDaqbookOffsets[[#This Row],[traceability_no]],2)</f>
        <v>J3</v>
      </c>
      <c r="N571" s="456"/>
      <c r="O571"/>
      <c r="Z571" s="460"/>
      <c r="AA571" s="194"/>
      <c r="AB571"/>
      <c r="AG571" s="69"/>
      <c r="AH571"/>
    </row>
    <row r="572" spans="1:34" x14ac:dyDescent="0.2">
      <c r="A572"/>
      <c r="B572"/>
      <c r="C572"/>
      <c r="D572"/>
      <c r="E572"/>
      <c r="F572" t="str">
        <f>LEFT(AllDaqbookOffsets[[#This Row],[traceability_no]],2)</f>
        <v>J3</v>
      </c>
      <c r="N572" s="456"/>
      <c r="O572"/>
      <c r="Z572" s="460"/>
      <c r="AA572" s="194"/>
      <c r="AB572"/>
      <c r="AG572" s="69"/>
      <c r="AH572"/>
    </row>
    <row r="573" spans="1:34" x14ac:dyDescent="0.2">
      <c r="A573"/>
      <c r="B573"/>
      <c r="C573"/>
      <c r="D573"/>
      <c r="E573"/>
      <c r="F573" t="str">
        <f>LEFT(AllDaqbookOffsets[[#This Row],[traceability_no]],2)</f>
        <v>J3</v>
      </c>
      <c r="N573" s="456"/>
      <c r="O573"/>
      <c r="Z573" s="460"/>
      <c r="AA573" s="194"/>
      <c r="AB573"/>
      <c r="AG573" s="69"/>
      <c r="AH573"/>
    </row>
    <row r="574" spans="1:34" x14ac:dyDescent="0.2">
      <c r="A574"/>
      <c r="B574"/>
      <c r="C574"/>
      <c r="D574"/>
      <c r="E574"/>
      <c r="F574" t="str">
        <f>LEFT(AllDaqbookOffsets[[#This Row],[traceability_no]],2)</f>
        <v>J3</v>
      </c>
      <c r="N574" s="456"/>
      <c r="O574"/>
      <c r="Z574" s="460"/>
      <c r="AA574" s="194"/>
      <c r="AB574"/>
      <c r="AG574" s="69"/>
      <c r="AH574"/>
    </row>
    <row r="575" spans="1:34" x14ac:dyDescent="0.2">
      <c r="A575"/>
      <c r="B575"/>
      <c r="C575"/>
      <c r="D575"/>
      <c r="E575"/>
      <c r="F575" t="str">
        <f>LEFT(AllDaqbookOffsets[[#This Row],[traceability_no]],2)</f>
        <v>J3</v>
      </c>
      <c r="N575" s="456"/>
      <c r="O575"/>
      <c r="Z575" s="460"/>
      <c r="AA575" s="194"/>
      <c r="AB575"/>
      <c r="AG575" s="69"/>
      <c r="AH575"/>
    </row>
    <row r="576" spans="1:34" x14ac:dyDescent="0.2">
      <c r="A576"/>
      <c r="B576"/>
      <c r="C576"/>
      <c r="D576"/>
      <c r="E576"/>
      <c r="F576" t="str">
        <f>LEFT(AllDaqbookOffsets[[#This Row],[traceability_no]],2)</f>
        <v>J3</v>
      </c>
      <c r="N576" s="456"/>
      <c r="O576"/>
      <c r="Z576" s="460"/>
      <c r="AA576" s="194"/>
      <c r="AB576"/>
      <c r="AG576" s="69"/>
      <c r="AH576"/>
    </row>
    <row r="577" spans="1:34" x14ac:dyDescent="0.2">
      <c r="A577"/>
      <c r="B577"/>
      <c r="C577"/>
      <c r="D577"/>
      <c r="E577"/>
      <c r="F577" t="str">
        <f>LEFT(AllDaqbookOffsets[[#This Row],[traceability_no]],2)</f>
        <v>J3</v>
      </c>
      <c r="N577" s="456"/>
      <c r="O577"/>
      <c r="Z577" s="460"/>
      <c r="AA577" s="194"/>
      <c r="AB577"/>
      <c r="AG577" s="69"/>
      <c r="AH577"/>
    </row>
    <row r="578" spans="1:34" x14ac:dyDescent="0.2">
      <c r="A578"/>
      <c r="B578"/>
      <c r="C578"/>
      <c r="D578"/>
      <c r="E578"/>
      <c r="F578" t="str">
        <f>LEFT(AllDaqbookOffsets[[#This Row],[traceability_no]],2)</f>
        <v>J3</v>
      </c>
      <c r="N578" s="456"/>
      <c r="O578"/>
      <c r="Z578" s="460"/>
      <c r="AA578" s="194"/>
      <c r="AB578"/>
      <c r="AG578" s="69"/>
      <c r="AH578"/>
    </row>
    <row r="579" spans="1:34" x14ac:dyDescent="0.2">
      <c r="A579"/>
      <c r="B579"/>
      <c r="C579"/>
      <c r="D579"/>
      <c r="E579"/>
      <c r="F579" t="str">
        <f>LEFT(AllDaqbookOffsets[[#This Row],[traceability_no]],2)</f>
        <v>J3</v>
      </c>
      <c r="N579" s="456"/>
      <c r="O579"/>
      <c r="Z579" s="460"/>
      <c r="AA579" s="194"/>
      <c r="AB579"/>
      <c r="AG579" s="69"/>
      <c r="AH579"/>
    </row>
    <row r="580" spans="1:34" x14ac:dyDescent="0.2">
      <c r="A580"/>
      <c r="B580"/>
      <c r="C580"/>
      <c r="D580"/>
      <c r="E580"/>
      <c r="F580" t="str">
        <f>LEFT(AllDaqbookOffsets[[#This Row],[traceability_no]],2)</f>
        <v>J3</v>
      </c>
      <c r="N580" s="456"/>
      <c r="O580"/>
      <c r="Z580" s="460"/>
      <c r="AA580" s="194"/>
      <c r="AB580"/>
      <c r="AG580" s="69"/>
      <c r="AH580"/>
    </row>
    <row r="581" spans="1:34" x14ac:dyDescent="0.2">
      <c r="A581"/>
      <c r="B581"/>
      <c r="C581"/>
      <c r="D581"/>
      <c r="E581"/>
      <c r="F581" t="str">
        <f>LEFT(AllDaqbookOffsets[[#This Row],[traceability_no]],2)</f>
        <v>J3</v>
      </c>
      <c r="N581" s="456"/>
      <c r="O581"/>
      <c r="Z581" s="460"/>
      <c r="AA581" s="194"/>
      <c r="AB581"/>
      <c r="AG581" s="69"/>
      <c r="AH581"/>
    </row>
    <row r="582" spans="1:34" x14ac:dyDescent="0.2">
      <c r="A582"/>
      <c r="B582"/>
      <c r="C582"/>
      <c r="D582"/>
      <c r="E582"/>
      <c r="F582" t="str">
        <f>LEFT(AllDaqbookOffsets[[#This Row],[traceability_no]],2)</f>
        <v>J3</v>
      </c>
      <c r="N582" s="456"/>
      <c r="O582"/>
      <c r="Z582" s="460"/>
      <c r="AA582" s="194"/>
      <c r="AB582"/>
      <c r="AG582" s="69"/>
      <c r="AH582"/>
    </row>
    <row r="583" spans="1:34" x14ac:dyDescent="0.2">
      <c r="A583"/>
      <c r="B583"/>
      <c r="C583"/>
      <c r="D583"/>
      <c r="E583"/>
      <c r="F583" t="str">
        <f>LEFT(AllDaqbookOffsets[[#This Row],[traceability_no]],2)</f>
        <v>J3</v>
      </c>
      <c r="N583" s="456"/>
      <c r="O583"/>
      <c r="Z583" s="460"/>
      <c r="AA583" s="194"/>
      <c r="AB583"/>
      <c r="AG583" s="69"/>
      <c r="AH583"/>
    </row>
    <row r="584" spans="1:34" x14ac:dyDescent="0.2">
      <c r="A584"/>
      <c r="B584"/>
      <c r="C584"/>
      <c r="D584"/>
      <c r="E584"/>
      <c r="F584" t="str">
        <f>LEFT(AllDaqbookOffsets[[#This Row],[traceability_no]],2)</f>
        <v>J3</v>
      </c>
      <c r="N584" s="456"/>
      <c r="O584"/>
      <c r="Z584" s="460"/>
      <c r="AA584" s="194"/>
      <c r="AB584"/>
      <c r="AG584" s="69"/>
      <c r="AH584"/>
    </row>
    <row r="585" spans="1:34" x14ac:dyDescent="0.2">
      <c r="A585"/>
      <c r="B585"/>
      <c r="C585"/>
      <c r="D585"/>
      <c r="E585"/>
      <c r="F585" t="str">
        <f>LEFT(AllDaqbookOffsets[[#This Row],[traceability_no]],2)</f>
        <v>J3</v>
      </c>
      <c r="N585" s="456"/>
      <c r="O585"/>
      <c r="Z585" s="460"/>
      <c r="AA585" s="194"/>
      <c r="AB585"/>
      <c r="AG585" s="69"/>
      <c r="AH585"/>
    </row>
    <row r="586" spans="1:34" x14ac:dyDescent="0.2">
      <c r="A586"/>
      <c r="B586"/>
      <c r="C586"/>
      <c r="D586"/>
      <c r="E586"/>
      <c r="F586" t="str">
        <f>LEFT(AllDaqbookOffsets[[#This Row],[traceability_no]],2)</f>
        <v>J3</v>
      </c>
      <c r="N586" s="456"/>
      <c r="O586"/>
      <c r="Z586" s="460"/>
      <c r="AA586" s="194"/>
      <c r="AB586"/>
      <c r="AG586" s="69"/>
      <c r="AH586"/>
    </row>
    <row r="587" spans="1:34" x14ac:dyDescent="0.2">
      <c r="A587"/>
      <c r="B587"/>
      <c r="C587"/>
      <c r="D587"/>
      <c r="E587"/>
      <c r="F587" t="str">
        <f>LEFT(AllDaqbookOffsets[[#This Row],[traceability_no]],2)</f>
        <v>J3</v>
      </c>
      <c r="N587" s="456"/>
      <c r="O587"/>
      <c r="Z587" s="460"/>
      <c r="AA587" s="194"/>
      <c r="AB587"/>
      <c r="AG587" s="69"/>
      <c r="AH587"/>
    </row>
    <row r="588" spans="1:34" x14ac:dyDescent="0.2">
      <c r="A588"/>
      <c r="B588"/>
      <c r="C588"/>
      <c r="D588"/>
      <c r="E588"/>
      <c r="F588" t="str">
        <f>LEFT(AllDaqbookOffsets[[#This Row],[traceability_no]],2)</f>
        <v>J3</v>
      </c>
      <c r="N588" s="456"/>
      <c r="O588"/>
      <c r="Z588" s="460"/>
      <c r="AA588" s="194"/>
      <c r="AB588"/>
      <c r="AG588" s="69"/>
      <c r="AH588"/>
    </row>
    <row r="589" spans="1:34" x14ac:dyDescent="0.2">
      <c r="A589"/>
      <c r="B589"/>
      <c r="C589"/>
      <c r="D589"/>
      <c r="E589"/>
      <c r="F589" t="str">
        <f>LEFT(AllDaqbookOffsets[[#This Row],[traceability_no]],2)</f>
        <v>J3</v>
      </c>
      <c r="N589" s="456"/>
      <c r="O589"/>
      <c r="Z589" s="460"/>
      <c r="AA589" s="194"/>
      <c r="AB589"/>
      <c r="AG589" s="69"/>
      <c r="AH589"/>
    </row>
    <row r="590" spans="1:34" x14ac:dyDescent="0.2">
      <c r="A590"/>
      <c r="B590"/>
      <c r="C590"/>
      <c r="D590"/>
      <c r="E590"/>
      <c r="F590" t="str">
        <f>LEFT(AllDaqbookOffsets[[#This Row],[traceability_no]],2)</f>
        <v>J3</v>
      </c>
      <c r="N590" s="456"/>
      <c r="O590"/>
      <c r="Z590" s="460"/>
      <c r="AA590" s="194"/>
      <c r="AB590"/>
      <c r="AG590" s="69"/>
      <c r="AH590"/>
    </row>
    <row r="591" spans="1:34" x14ac:dyDescent="0.2">
      <c r="A591"/>
      <c r="B591"/>
      <c r="C591"/>
      <c r="D591"/>
      <c r="E591"/>
      <c r="F591" t="str">
        <f>LEFT(AllDaqbookOffsets[[#This Row],[traceability_no]],2)</f>
        <v>J3</v>
      </c>
      <c r="N591" s="456"/>
      <c r="O591"/>
      <c r="Z591" s="460"/>
      <c r="AA591" s="194"/>
      <c r="AB591"/>
      <c r="AG591" s="69"/>
      <c r="AH591"/>
    </row>
    <row r="592" spans="1:34" x14ac:dyDescent="0.2">
      <c r="A592"/>
      <c r="B592"/>
      <c r="C592"/>
      <c r="D592"/>
      <c r="E592"/>
      <c r="F592" t="str">
        <f>LEFT(AllDaqbookOffsets[[#This Row],[traceability_no]],2)</f>
        <v>J3</v>
      </c>
      <c r="N592" s="456"/>
      <c r="O592"/>
      <c r="Z592" s="460"/>
      <c r="AA592" s="194"/>
      <c r="AB592"/>
      <c r="AG592" s="69"/>
      <c r="AH592"/>
    </row>
    <row r="593" spans="1:34" x14ac:dyDescent="0.2">
      <c r="A593"/>
      <c r="B593"/>
      <c r="C593"/>
      <c r="D593"/>
      <c r="E593"/>
      <c r="F593" t="str">
        <f>LEFT(AllDaqbookOffsets[[#This Row],[traceability_no]],2)</f>
        <v>J3</v>
      </c>
      <c r="N593" s="456"/>
      <c r="O593"/>
      <c r="Z593" s="460"/>
      <c r="AA593" s="194"/>
      <c r="AB593"/>
      <c r="AG593" s="69"/>
      <c r="AH593"/>
    </row>
    <row r="594" spans="1:34" x14ac:dyDescent="0.2">
      <c r="A594"/>
      <c r="B594"/>
      <c r="C594"/>
      <c r="D594"/>
      <c r="E594"/>
      <c r="F594" t="str">
        <f>LEFT(AllDaqbookOffsets[[#This Row],[traceability_no]],2)</f>
        <v>J3</v>
      </c>
      <c r="N594" s="456"/>
      <c r="O594"/>
      <c r="Z594" s="460"/>
      <c r="AA594" s="194"/>
      <c r="AB594"/>
      <c r="AG594" s="69"/>
      <c r="AH594"/>
    </row>
    <row r="595" spans="1:34" x14ac:dyDescent="0.2">
      <c r="A595"/>
      <c r="B595"/>
      <c r="C595"/>
      <c r="D595"/>
      <c r="E595"/>
      <c r="F595" t="str">
        <f>LEFT(AllDaqbookOffsets[[#This Row],[traceability_no]],2)</f>
        <v>J3</v>
      </c>
      <c r="N595" s="456"/>
      <c r="O595"/>
      <c r="Z595" s="460"/>
      <c r="AA595" s="194"/>
      <c r="AB595"/>
      <c r="AG595" s="69"/>
      <c r="AH595"/>
    </row>
    <row r="596" spans="1:34" x14ac:dyDescent="0.2">
      <c r="A596"/>
      <c r="B596"/>
      <c r="C596"/>
      <c r="D596"/>
      <c r="E596"/>
      <c r="F596" t="str">
        <f>LEFT(AllDaqbookOffsets[[#This Row],[traceability_no]],2)</f>
        <v>J3</v>
      </c>
      <c r="N596" s="456"/>
      <c r="O596"/>
      <c r="Z596" s="460"/>
      <c r="AA596" s="194"/>
      <c r="AB596"/>
      <c r="AG596" s="69"/>
      <c r="AH596"/>
    </row>
    <row r="597" spans="1:34" x14ac:dyDescent="0.2">
      <c r="A597"/>
      <c r="B597"/>
      <c r="C597"/>
      <c r="D597"/>
      <c r="E597"/>
      <c r="F597" t="str">
        <f>LEFT(AllDaqbookOffsets[[#This Row],[traceability_no]],2)</f>
        <v>J3</v>
      </c>
      <c r="N597" s="456"/>
      <c r="O597"/>
      <c r="Z597" s="460"/>
      <c r="AA597" s="194"/>
      <c r="AB597"/>
      <c r="AG597" s="69"/>
      <c r="AH597"/>
    </row>
    <row r="598" spans="1:34" x14ac:dyDescent="0.2">
      <c r="A598"/>
      <c r="B598"/>
      <c r="C598"/>
      <c r="D598"/>
      <c r="E598"/>
      <c r="F598" t="str">
        <f>LEFT(AllDaqbookOffsets[[#This Row],[traceability_no]],2)</f>
        <v>J3</v>
      </c>
      <c r="N598" s="456"/>
      <c r="O598"/>
      <c r="Z598" s="460"/>
      <c r="AA598" s="194"/>
      <c r="AB598"/>
      <c r="AG598" s="69"/>
      <c r="AH598"/>
    </row>
    <row r="599" spans="1:34" x14ac:dyDescent="0.2">
      <c r="A599"/>
      <c r="B599"/>
      <c r="C599"/>
      <c r="D599"/>
      <c r="E599"/>
      <c r="F599" t="str">
        <f>LEFT(AllDaqbookOffsets[[#This Row],[traceability_no]],2)</f>
        <v>J3</v>
      </c>
      <c r="N599" s="456"/>
      <c r="O599"/>
      <c r="Z599" s="460"/>
      <c r="AA599" s="194"/>
      <c r="AB599"/>
      <c r="AG599" s="69"/>
      <c r="AH599"/>
    </row>
    <row r="600" spans="1:34" x14ac:dyDescent="0.2">
      <c r="A600"/>
      <c r="B600"/>
      <c r="C600"/>
      <c r="D600"/>
      <c r="E600"/>
      <c r="F600" t="str">
        <f>LEFT(AllDaqbookOffsets[[#This Row],[traceability_no]],2)</f>
        <v>J3</v>
      </c>
      <c r="N600" s="456"/>
      <c r="O600"/>
      <c r="Z600" s="460"/>
      <c r="AA600" s="194"/>
      <c r="AB600"/>
      <c r="AG600" s="69"/>
      <c r="AH600"/>
    </row>
    <row r="601" spans="1:34" x14ac:dyDescent="0.2">
      <c r="A601"/>
      <c r="B601"/>
      <c r="C601"/>
      <c r="D601"/>
      <c r="E601"/>
      <c r="F601" t="str">
        <f>LEFT(AllDaqbookOffsets[[#This Row],[traceability_no]],2)</f>
        <v>J3</v>
      </c>
      <c r="N601" s="456"/>
      <c r="O601"/>
      <c r="Z601" s="460"/>
      <c r="AA601" s="194"/>
      <c r="AB601"/>
      <c r="AG601" s="69"/>
      <c r="AH601"/>
    </row>
    <row r="602" spans="1:34" x14ac:dyDescent="0.2">
      <c r="A602"/>
      <c r="B602"/>
      <c r="C602"/>
      <c r="D602"/>
      <c r="E602"/>
      <c r="F602" t="str">
        <f>LEFT(AllDaqbookOffsets[[#This Row],[traceability_no]],2)</f>
        <v>J3</v>
      </c>
      <c r="N602" s="456"/>
      <c r="O602"/>
      <c r="Z602" s="460"/>
      <c r="AA602" s="194"/>
      <c r="AB602"/>
      <c r="AG602" s="69"/>
      <c r="AH602"/>
    </row>
    <row r="603" spans="1:34" x14ac:dyDescent="0.2">
      <c r="A603"/>
      <c r="B603"/>
      <c r="C603"/>
      <c r="D603"/>
      <c r="E603"/>
      <c r="F603" t="str">
        <f>LEFT(AllDaqbookOffsets[[#This Row],[traceability_no]],2)</f>
        <v>J3</v>
      </c>
      <c r="N603" s="456"/>
      <c r="O603"/>
      <c r="Z603" s="460"/>
      <c r="AA603" s="194"/>
      <c r="AB603"/>
      <c r="AG603" s="69"/>
      <c r="AH603"/>
    </row>
    <row r="604" spans="1:34" x14ac:dyDescent="0.2">
      <c r="A604"/>
      <c r="B604"/>
      <c r="C604"/>
      <c r="D604"/>
      <c r="E604"/>
      <c r="F604" t="str">
        <f>LEFT(AllDaqbookOffsets[[#This Row],[traceability_no]],2)</f>
        <v>J3</v>
      </c>
      <c r="N604" s="456"/>
      <c r="O604"/>
      <c r="Z604" s="460"/>
      <c r="AA604" s="194"/>
      <c r="AB604"/>
      <c r="AG604" s="69"/>
      <c r="AH604"/>
    </row>
    <row r="605" spans="1:34" x14ac:dyDescent="0.2">
      <c r="A605"/>
      <c r="B605"/>
      <c r="C605"/>
      <c r="D605"/>
      <c r="E605"/>
      <c r="F605" t="str">
        <f>LEFT(AllDaqbookOffsets[[#This Row],[traceability_no]],2)</f>
        <v>J3</v>
      </c>
      <c r="N605" s="456"/>
      <c r="O605"/>
      <c r="Z605" s="460"/>
      <c r="AA605" s="194"/>
      <c r="AB605"/>
      <c r="AG605" s="69"/>
      <c r="AH605"/>
    </row>
    <row r="606" spans="1:34" x14ac:dyDescent="0.2">
      <c r="A606"/>
      <c r="B606"/>
      <c r="C606"/>
      <c r="D606"/>
      <c r="E606"/>
      <c r="F606" t="str">
        <f>LEFT(AllDaqbookOffsets[[#This Row],[traceability_no]],2)</f>
        <v>J3</v>
      </c>
      <c r="N606" s="456"/>
      <c r="O606"/>
      <c r="Z606" s="460"/>
      <c r="AA606" s="194"/>
      <c r="AB606"/>
      <c r="AG606" s="69"/>
      <c r="AH606"/>
    </row>
    <row r="607" spans="1:34" x14ac:dyDescent="0.2">
      <c r="A607"/>
      <c r="B607"/>
      <c r="C607"/>
      <c r="D607"/>
      <c r="E607"/>
      <c r="F607" t="str">
        <f>LEFT(AllDaqbookOffsets[[#This Row],[traceability_no]],2)</f>
        <v>J3</v>
      </c>
      <c r="N607" s="456"/>
      <c r="O607"/>
      <c r="Z607" s="460"/>
      <c r="AA607" s="194"/>
      <c r="AB607"/>
      <c r="AG607" s="69"/>
      <c r="AH607"/>
    </row>
    <row r="608" spans="1:34" x14ac:dyDescent="0.2">
      <c r="A608"/>
      <c r="B608"/>
      <c r="C608"/>
      <c r="D608"/>
      <c r="E608"/>
      <c r="F608" t="str">
        <f>LEFT(AllDaqbookOffsets[[#This Row],[traceability_no]],2)</f>
        <v>J3</v>
      </c>
      <c r="N608" s="456"/>
      <c r="O608"/>
      <c r="Z608" s="460"/>
      <c r="AA608" s="194"/>
      <c r="AB608"/>
      <c r="AG608" s="69"/>
      <c r="AH608"/>
    </row>
    <row r="609" spans="1:34" x14ac:dyDescent="0.2">
      <c r="A609"/>
      <c r="B609"/>
      <c r="C609"/>
      <c r="D609"/>
      <c r="E609"/>
      <c r="F609" t="str">
        <f>LEFT(AllDaqbookOffsets[[#This Row],[traceability_no]],2)</f>
        <v>J3</v>
      </c>
      <c r="N609" s="456"/>
      <c r="O609"/>
      <c r="Z609" s="460"/>
      <c r="AA609" s="194"/>
      <c r="AB609"/>
      <c r="AG609" s="69"/>
      <c r="AH609"/>
    </row>
    <row r="610" spans="1:34" x14ac:dyDescent="0.2">
      <c r="A610"/>
      <c r="B610"/>
      <c r="C610"/>
      <c r="D610"/>
      <c r="E610"/>
      <c r="F610" t="str">
        <f>LEFT(AllDaqbookOffsets[[#This Row],[traceability_no]],2)</f>
        <v>J3</v>
      </c>
      <c r="N610" s="456"/>
      <c r="O610"/>
      <c r="Z610" s="460"/>
      <c r="AA610" s="194"/>
      <c r="AB610"/>
      <c r="AG610" s="69"/>
      <c r="AH610"/>
    </row>
    <row r="611" spans="1:34" x14ac:dyDescent="0.2">
      <c r="A611"/>
      <c r="B611"/>
      <c r="C611"/>
      <c r="D611"/>
      <c r="E611"/>
      <c r="F611" t="str">
        <f>LEFT(AllDaqbookOffsets[[#This Row],[traceability_no]],2)</f>
        <v>J3</v>
      </c>
      <c r="N611" s="456"/>
      <c r="O611"/>
      <c r="Z611" s="460"/>
      <c r="AA611" s="194"/>
      <c r="AB611"/>
      <c r="AG611" s="69"/>
      <c r="AH611"/>
    </row>
    <row r="612" spans="1:34" x14ac:dyDescent="0.2">
      <c r="A612"/>
      <c r="B612"/>
      <c r="C612"/>
      <c r="D612"/>
      <c r="E612"/>
      <c r="F612" t="str">
        <f>LEFT(AllDaqbookOffsets[[#This Row],[traceability_no]],2)</f>
        <v>J3</v>
      </c>
      <c r="N612" s="456"/>
      <c r="O612"/>
      <c r="Z612" s="460"/>
      <c r="AA612" s="194"/>
      <c r="AB612"/>
      <c r="AG612" s="69"/>
      <c r="AH612"/>
    </row>
    <row r="613" spans="1:34" x14ac:dyDescent="0.2">
      <c r="A613"/>
      <c r="B613"/>
      <c r="C613"/>
      <c r="D613"/>
      <c r="E613"/>
      <c r="F613" t="str">
        <f>LEFT(AllDaqbookOffsets[[#This Row],[traceability_no]],2)</f>
        <v>J3</v>
      </c>
      <c r="N613" s="456"/>
      <c r="O613"/>
      <c r="Z613" s="460"/>
      <c r="AA613" s="194"/>
      <c r="AB613"/>
      <c r="AG613" s="69"/>
      <c r="AH613"/>
    </row>
    <row r="614" spans="1:34" x14ac:dyDescent="0.2">
      <c r="A614"/>
      <c r="B614"/>
      <c r="C614"/>
      <c r="D614"/>
      <c r="E614"/>
      <c r="F614" t="str">
        <f>LEFT(AllDaqbookOffsets[[#This Row],[traceability_no]],2)</f>
        <v>J3</v>
      </c>
      <c r="N614" s="456"/>
      <c r="O614"/>
      <c r="Z614" s="460"/>
      <c r="AA614" s="194"/>
      <c r="AB614"/>
      <c r="AG614" s="69"/>
      <c r="AH614"/>
    </row>
    <row r="615" spans="1:34" x14ac:dyDescent="0.2">
      <c r="A615"/>
      <c r="B615"/>
      <c r="C615"/>
      <c r="D615"/>
      <c r="E615"/>
      <c r="F615" t="str">
        <f>LEFT(AllDaqbookOffsets[[#This Row],[traceability_no]],2)</f>
        <v>J3</v>
      </c>
      <c r="N615" s="456"/>
      <c r="O615"/>
      <c r="Z615" s="460"/>
      <c r="AA615" s="194"/>
      <c r="AB615"/>
      <c r="AG615" s="69"/>
      <c r="AH615"/>
    </row>
    <row r="616" spans="1:34" x14ac:dyDescent="0.2">
      <c r="A616"/>
      <c r="B616"/>
      <c r="C616"/>
      <c r="D616"/>
      <c r="E616"/>
      <c r="F616" t="str">
        <f>LEFT(AllDaqbookOffsets[[#This Row],[traceability_no]],2)</f>
        <v>J3</v>
      </c>
      <c r="N616" s="456"/>
      <c r="O616"/>
      <c r="Z616" s="460"/>
      <c r="AA616" s="194"/>
      <c r="AB616"/>
      <c r="AG616" s="69"/>
      <c r="AH616"/>
    </row>
    <row r="617" spans="1:34" x14ac:dyDescent="0.2">
      <c r="A617"/>
      <c r="B617"/>
      <c r="C617"/>
      <c r="D617"/>
      <c r="E617"/>
      <c r="F617" t="str">
        <f>LEFT(AllDaqbookOffsets[[#This Row],[traceability_no]],2)</f>
        <v>J3</v>
      </c>
      <c r="N617" s="456"/>
      <c r="O617"/>
      <c r="Z617" s="460"/>
      <c r="AA617" s="194"/>
      <c r="AB617"/>
      <c r="AG617" s="69"/>
      <c r="AH617"/>
    </row>
    <row r="618" spans="1:34" x14ac:dyDescent="0.2">
      <c r="A618"/>
      <c r="B618"/>
      <c r="C618"/>
      <c r="D618"/>
      <c r="E618"/>
      <c r="F618" t="str">
        <f>LEFT(AllDaqbookOffsets[[#This Row],[traceability_no]],2)</f>
        <v>J3</v>
      </c>
      <c r="N618" s="456"/>
      <c r="O618"/>
      <c r="Z618" s="460"/>
      <c r="AA618" s="194"/>
      <c r="AB618"/>
      <c r="AG618" s="69"/>
      <c r="AH618"/>
    </row>
    <row r="619" spans="1:34" x14ac:dyDescent="0.2">
      <c r="A619"/>
      <c r="B619"/>
      <c r="C619"/>
      <c r="D619"/>
      <c r="E619"/>
      <c r="F619" t="str">
        <f>LEFT(AllDaqbookOffsets[[#This Row],[traceability_no]],2)</f>
        <v>J3</v>
      </c>
      <c r="N619" s="456"/>
      <c r="O619"/>
      <c r="Z619" s="460"/>
      <c r="AA619" s="194"/>
      <c r="AB619"/>
      <c r="AG619" s="69"/>
      <c r="AH619"/>
    </row>
    <row r="620" spans="1:34" x14ac:dyDescent="0.2">
      <c r="A620"/>
      <c r="B620"/>
      <c r="C620"/>
      <c r="D620"/>
      <c r="E620"/>
      <c r="F620" t="str">
        <f>LEFT(AllDaqbookOffsets[[#This Row],[traceability_no]],2)</f>
        <v>J3</v>
      </c>
      <c r="N620" s="456"/>
      <c r="O620"/>
      <c r="Z620" s="460"/>
      <c r="AA620" s="194"/>
      <c r="AB620"/>
      <c r="AG620" s="69"/>
      <c r="AH620"/>
    </row>
    <row r="621" spans="1:34" x14ac:dyDescent="0.2">
      <c r="A621"/>
      <c r="B621"/>
      <c r="C621"/>
      <c r="D621"/>
      <c r="E621"/>
      <c r="F621" t="str">
        <f>LEFT(AllDaqbookOffsets[[#This Row],[traceability_no]],2)</f>
        <v>J3</v>
      </c>
      <c r="N621" s="456"/>
      <c r="O621"/>
      <c r="Z621" s="460"/>
      <c r="AA621" s="194"/>
      <c r="AB621"/>
      <c r="AG621" s="69"/>
      <c r="AH621"/>
    </row>
    <row r="622" spans="1:34" x14ac:dyDescent="0.2">
      <c r="A622"/>
      <c r="B622"/>
      <c r="C622"/>
      <c r="D622"/>
      <c r="E622"/>
      <c r="F622" t="str">
        <f>LEFT(AllDaqbookOffsets[[#This Row],[traceability_no]],2)</f>
        <v>J3</v>
      </c>
      <c r="N622" s="456"/>
      <c r="O622"/>
      <c r="Z622" s="460"/>
      <c r="AA622" s="194"/>
      <c r="AB622"/>
      <c r="AG622" s="69"/>
      <c r="AH622"/>
    </row>
    <row r="623" spans="1:34" x14ac:dyDescent="0.2">
      <c r="A623"/>
      <c r="B623"/>
      <c r="C623"/>
      <c r="D623"/>
      <c r="E623"/>
      <c r="F623" t="str">
        <f>LEFT(AllDaqbookOffsets[[#This Row],[traceability_no]],2)</f>
        <v>J3</v>
      </c>
      <c r="N623" s="456"/>
      <c r="O623"/>
      <c r="Z623" s="460"/>
      <c r="AA623" s="194"/>
      <c r="AB623"/>
      <c r="AG623" s="69"/>
      <c r="AH623"/>
    </row>
    <row r="624" spans="1:34" x14ac:dyDescent="0.2">
      <c r="A624"/>
      <c r="B624"/>
      <c r="C624"/>
      <c r="D624"/>
      <c r="E624"/>
      <c r="F624" t="str">
        <f>LEFT(AllDaqbookOffsets[[#This Row],[traceability_no]],2)</f>
        <v>J3</v>
      </c>
      <c r="N624" s="456"/>
      <c r="O624"/>
      <c r="Z624" s="460"/>
      <c r="AA624" s="194"/>
      <c r="AB624"/>
      <c r="AG624" s="69"/>
      <c r="AH624"/>
    </row>
    <row r="625" spans="1:34" x14ac:dyDescent="0.2">
      <c r="A625"/>
      <c r="B625"/>
      <c r="C625"/>
      <c r="D625"/>
      <c r="E625"/>
      <c r="F625" t="str">
        <f>LEFT(AllDaqbookOffsets[[#This Row],[traceability_no]],2)</f>
        <v>J3</v>
      </c>
      <c r="N625" s="456"/>
      <c r="O625"/>
      <c r="Z625" s="460"/>
      <c r="AA625" s="194"/>
      <c r="AB625"/>
      <c r="AG625" s="69"/>
      <c r="AH625"/>
    </row>
    <row r="626" spans="1:34" x14ac:dyDescent="0.2">
      <c r="A626"/>
      <c r="B626"/>
      <c r="C626"/>
      <c r="D626"/>
      <c r="E626"/>
      <c r="F626" t="str">
        <f>LEFT(AllDaqbookOffsets[[#This Row],[traceability_no]],2)</f>
        <v>J3</v>
      </c>
      <c r="N626" s="456"/>
      <c r="O626"/>
      <c r="Z626" s="460"/>
      <c r="AA626" s="194"/>
      <c r="AB626"/>
      <c r="AG626" s="69"/>
      <c r="AH626"/>
    </row>
    <row r="627" spans="1:34" x14ac:dyDescent="0.2">
      <c r="A627"/>
      <c r="B627"/>
      <c r="C627"/>
      <c r="D627"/>
      <c r="E627"/>
      <c r="F627" t="str">
        <f>LEFT(AllDaqbookOffsets[[#This Row],[traceability_no]],2)</f>
        <v>J3</v>
      </c>
      <c r="N627" s="456"/>
      <c r="O627"/>
      <c r="Z627" s="460"/>
      <c r="AA627" s="194"/>
      <c r="AB627"/>
      <c r="AG627" s="69"/>
      <c r="AH627"/>
    </row>
    <row r="628" spans="1:34" x14ac:dyDescent="0.2">
      <c r="A628"/>
      <c r="B628"/>
      <c r="C628"/>
      <c r="D628"/>
      <c r="E628"/>
      <c r="F628" t="str">
        <f>LEFT(AllDaqbookOffsets[[#This Row],[traceability_no]],2)</f>
        <v>J3</v>
      </c>
      <c r="N628" s="456"/>
      <c r="O628"/>
      <c r="Z628" s="460"/>
      <c r="AA628" s="194"/>
      <c r="AB628"/>
      <c r="AG628" s="69"/>
      <c r="AH628"/>
    </row>
    <row r="629" spans="1:34" x14ac:dyDescent="0.2">
      <c r="A629"/>
      <c r="B629"/>
      <c r="C629"/>
      <c r="D629"/>
      <c r="E629"/>
      <c r="F629" t="str">
        <f>LEFT(AllDaqbookOffsets[[#This Row],[traceability_no]],2)</f>
        <v>J3</v>
      </c>
      <c r="N629" s="456"/>
      <c r="O629"/>
      <c r="Z629" s="460"/>
      <c r="AA629" s="194"/>
      <c r="AB629"/>
      <c r="AG629" s="69"/>
      <c r="AH629"/>
    </row>
    <row r="630" spans="1:34" x14ac:dyDescent="0.2">
      <c r="A630"/>
      <c r="B630"/>
      <c r="C630"/>
      <c r="D630"/>
      <c r="E630"/>
      <c r="F630" t="str">
        <f>LEFT(AllDaqbookOffsets[[#This Row],[traceability_no]],2)</f>
        <v>J3</v>
      </c>
      <c r="N630" s="456"/>
      <c r="O630"/>
      <c r="Z630" s="460"/>
      <c r="AA630" s="194"/>
      <c r="AB630"/>
      <c r="AG630" s="69"/>
      <c r="AH630"/>
    </row>
    <row r="631" spans="1:34" x14ac:dyDescent="0.2">
      <c r="A631"/>
      <c r="B631"/>
      <c r="C631"/>
      <c r="D631"/>
      <c r="E631"/>
      <c r="F631" t="str">
        <f>LEFT(AllDaqbookOffsets[[#This Row],[traceability_no]],2)</f>
        <v>J3</v>
      </c>
      <c r="N631" s="456"/>
      <c r="O631"/>
      <c r="Z631" s="460"/>
      <c r="AA631" s="194"/>
      <c r="AB631"/>
      <c r="AG631" s="69"/>
      <c r="AH631"/>
    </row>
    <row r="632" spans="1:34" x14ac:dyDescent="0.2">
      <c r="A632"/>
      <c r="B632"/>
      <c r="C632"/>
      <c r="D632"/>
      <c r="E632"/>
      <c r="F632" t="str">
        <f>LEFT(AllDaqbookOffsets[[#This Row],[traceability_no]],2)</f>
        <v>J3</v>
      </c>
      <c r="N632" s="456"/>
      <c r="O632"/>
      <c r="Z632" s="460"/>
      <c r="AA632" s="194"/>
      <c r="AB632"/>
      <c r="AG632" s="69"/>
      <c r="AH632"/>
    </row>
    <row r="633" spans="1:34" x14ac:dyDescent="0.2">
      <c r="A633"/>
      <c r="B633"/>
      <c r="C633"/>
      <c r="D633"/>
      <c r="E633"/>
      <c r="F633" t="str">
        <f>LEFT(AllDaqbookOffsets[[#This Row],[traceability_no]],2)</f>
        <v>J3</v>
      </c>
      <c r="N633" s="456"/>
      <c r="O633"/>
      <c r="Z633" s="460"/>
      <c r="AA633" s="194"/>
      <c r="AB633"/>
      <c r="AG633" s="69"/>
      <c r="AH633"/>
    </row>
    <row r="634" spans="1:34" x14ac:dyDescent="0.2">
      <c r="A634"/>
      <c r="B634"/>
      <c r="C634"/>
      <c r="D634"/>
      <c r="E634"/>
      <c r="F634" t="str">
        <f>LEFT(AllDaqbookOffsets[[#This Row],[traceability_no]],2)</f>
        <v>J3</v>
      </c>
      <c r="N634" s="456"/>
      <c r="O634"/>
      <c r="Z634" s="460"/>
      <c r="AA634" s="194"/>
      <c r="AB634"/>
      <c r="AG634" s="69"/>
      <c r="AH634"/>
    </row>
    <row r="635" spans="1:34" x14ac:dyDescent="0.2">
      <c r="A635"/>
      <c r="B635"/>
      <c r="C635"/>
      <c r="D635"/>
      <c r="E635"/>
      <c r="F635" t="str">
        <f>LEFT(AllDaqbookOffsets[[#This Row],[traceability_no]],2)</f>
        <v>J3</v>
      </c>
      <c r="N635" s="456"/>
      <c r="O635"/>
      <c r="Z635" s="460"/>
      <c r="AA635" s="194"/>
      <c r="AB635"/>
      <c r="AG635" s="69"/>
      <c r="AH635"/>
    </row>
    <row r="636" spans="1:34" x14ac:dyDescent="0.2">
      <c r="A636"/>
      <c r="B636"/>
      <c r="C636"/>
      <c r="D636"/>
      <c r="E636"/>
      <c r="F636" t="str">
        <f>LEFT(AllDaqbookOffsets[[#This Row],[traceability_no]],2)</f>
        <v>J3</v>
      </c>
      <c r="N636" s="456"/>
      <c r="O636"/>
      <c r="Z636" s="460"/>
      <c r="AA636" s="194"/>
      <c r="AB636"/>
      <c r="AG636" s="69"/>
      <c r="AH636"/>
    </row>
    <row r="637" spans="1:34" x14ac:dyDescent="0.2">
      <c r="A637"/>
      <c r="B637"/>
      <c r="C637"/>
      <c r="D637"/>
      <c r="E637"/>
      <c r="F637" t="str">
        <f>LEFT(AllDaqbookOffsets[[#This Row],[traceability_no]],2)</f>
        <v>J3</v>
      </c>
      <c r="N637" s="456"/>
      <c r="O637"/>
      <c r="Z637" s="460"/>
      <c r="AA637" s="194"/>
      <c r="AB637"/>
      <c r="AG637" s="69"/>
      <c r="AH637"/>
    </row>
    <row r="638" spans="1:34" x14ac:dyDescent="0.2">
      <c r="A638"/>
      <c r="B638"/>
      <c r="C638"/>
      <c r="D638"/>
      <c r="E638"/>
      <c r="F638" t="str">
        <f>LEFT(AllDaqbookOffsets[[#This Row],[traceability_no]],2)</f>
        <v>J3</v>
      </c>
      <c r="N638" s="456"/>
      <c r="O638"/>
      <c r="Z638" s="460"/>
      <c r="AA638" s="194"/>
      <c r="AB638"/>
      <c r="AG638" s="69"/>
      <c r="AH638"/>
    </row>
    <row r="639" spans="1:34" x14ac:dyDescent="0.2">
      <c r="A639"/>
      <c r="B639"/>
      <c r="C639"/>
      <c r="D639"/>
      <c r="E639"/>
      <c r="F639" t="str">
        <f>LEFT(AllDaqbookOffsets[[#This Row],[traceability_no]],2)</f>
        <v>J3</v>
      </c>
      <c r="N639" s="456"/>
      <c r="O639"/>
      <c r="Z639" s="460"/>
      <c r="AA639" s="194"/>
      <c r="AB639"/>
      <c r="AG639" s="69"/>
      <c r="AH639"/>
    </row>
    <row r="640" spans="1:34" x14ac:dyDescent="0.2">
      <c r="A640"/>
      <c r="B640"/>
      <c r="C640"/>
      <c r="D640"/>
      <c r="E640"/>
      <c r="F640" t="str">
        <f>LEFT(AllDaqbookOffsets[[#This Row],[traceability_no]],2)</f>
        <v>J3</v>
      </c>
      <c r="N640" s="456"/>
      <c r="O640"/>
      <c r="Z640" s="460"/>
      <c r="AA640" s="194"/>
      <c r="AB640"/>
      <c r="AG640" s="69"/>
      <c r="AH640"/>
    </row>
    <row r="641" spans="1:34" x14ac:dyDescent="0.2">
      <c r="A641"/>
      <c r="B641"/>
      <c r="C641"/>
      <c r="D641"/>
      <c r="E641"/>
      <c r="F641" t="str">
        <f>LEFT(AllDaqbookOffsets[[#This Row],[traceability_no]],2)</f>
        <v>J3</v>
      </c>
      <c r="N641" s="456"/>
      <c r="O641"/>
      <c r="Z641" s="460"/>
      <c r="AA641" s="194"/>
      <c r="AB641"/>
      <c r="AG641" s="69"/>
      <c r="AH641"/>
    </row>
    <row r="642" spans="1:34" x14ac:dyDescent="0.2">
      <c r="A642"/>
      <c r="B642"/>
      <c r="C642"/>
      <c r="D642"/>
      <c r="E642"/>
      <c r="F642" t="str">
        <f>LEFT(AllDaqbookOffsets[[#This Row],[traceability_no]],2)</f>
        <v>J3</v>
      </c>
      <c r="N642" s="456"/>
      <c r="O642"/>
      <c r="Z642" s="460"/>
      <c r="AA642" s="194"/>
      <c r="AB642"/>
      <c r="AG642" s="69"/>
      <c r="AH642"/>
    </row>
    <row r="643" spans="1:34" x14ac:dyDescent="0.2">
      <c r="A643"/>
      <c r="B643"/>
      <c r="C643"/>
      <c r="D643"/>
      <c r="E643"/>
      <c r="F643" t="str">
        <f>LEFT(AllDaqbookOffsets[[#This Row],[traceability_no]],2)</f>
        <v>J3</v>
      </c>
      <c r="N643" s="456"/>
      <c r="O643"/>
      <c r="Z643" s="460"/>
      <c r="AA643" s="194"/>
      <c r="AB643"/>
      <c r="AG643" s="69"/>
      <c r="AH643"/>
    </row>
    <row r="644" spans="1:34" x14ac:dyDescent="0.2">
      <c r="A644"/>
      <c r="B644"/>
      <c r="C644"/>
      <c r="D644"/>
      <c r="E644"/>
      <c r="F644" t="str">
        <f>LEFT(AllDaqbookOffsets[[#This Row],[traceability_no]],2)</f>
        <v>J3</v>
      </c>
      <c r="N644" s="456"/>
      <c r="O644"/>
      <c r="Z644" s="460"/>
      <c r="AA644" s="194"/>
      <c r="AB644"/>
      <c r="AG644" s="69"/>
      <c r="AH644"/>
    </row>
    <row r="645" spans="1:34" x14ac:dyDescent="0.2">
      <c r="A645"/>
      <c r="B645"/>
      <c r="C645"/>
      <c r="D645"/>
      <c r="E645"/>
      <c r="F645" t="str">
        <f>LEFT(AllDaqbookOffsets[[#This Row],[traceability_no]],2)</f>
        <v>J3</v>
      </c>
      <c r="N645" s="456"/>
      <c r="O645"/>
      <c r="Z645" s="460"/>
      <c r="AA645" s="194"/>
      <c r="AB645"/>
      <c r="AG645" s="69"/>
      <c r="AH645"/>
    </row>
    <row r="646" spans="1:34" x14ac:dyDescent="0.2">
      <c r="A646"/>
      <c r="B646"/>
      <c r="C646"/>
      <c r="D646"/>
      <c r="E646"/>
      <c r="F646" t="str">
        <f>LEFT(AllDaqbookOffsets[[#This Row],[traceability_no]],2)</f>
        <v>J3</v>
      </c>
      <c r="N646" s="456"/>
      <c r="O646"/>
      <c r="Z646" s="460"/>
      <c r="AA646" s="194"/>
      <c r="AB646"/>
      <c r="AG646" s="69"/>
      <c r="AH646"/>
    </row>
    <row r="647" spans="1:34" x14ac:dyDescent="0.2">
      <c r="A647"/>
      <c r="B647"/>
      <c r="C647"/>
      <c r="D647"/>
      <c r="E647"/>
      <c r="F647" t="str">
        <f>LEFT(AllDaqbookOffsets[[#This Row],[traceability_no]],2)</f>
        <v>J3</v>
      </c>
      <c r="N647" s="456"/>
      <c r="O647"/>
      <c r="Z647" s="460"/>
      <c r="AA647" s="194"/>
      <c r="AB647"/>
      <c r="AG647" s="69"/>
      <c r="AH647"/>
    </row>
    <row r="648" spans="1:34" x14ac:dyDescent="0.2">
      <c r="A648"/>
      <c r="B648"/>
      <c r="C648"/>
      <c r="D648"/>
      <c r="E648"/>
      <c r="F648" t="str">
        <f>LEFT(AllDaqbookOffsets[[#This Row],[traceability_no]],2)</f>
        <v>J3</v>
      </c>
      <c r="N648" s="456"/>
      <c r="O648"/>
      <c r="Z648" s="460"/>
      <c r="AA648" s="194"/>
      <c r="AB648"/>
      <c r="AG648" s="69"/>
      <c r="AH648"/>
    </row>
    <row r="649" spans="1:34" x14ac:dyDescent="0.2">
      <c r="A649"/>
      <c r="B649"/>
      <c r="C649"/>
      <c r="D649"/>
      <c r="E649"/>
      <c r="F649" t="str">
        <f>LEFT(AllDaqbookOffsets[[#This Row],[traceability_no]],2)</f>
        <v>J3</v>
      </c>
      <c r="N649" s="456"/>
      <c r="O649"/>
      <c r="Z649" s="460"/>
      <c r="AA649" s="194"/>
      <c r="AB649"/>
      <c r="AG649" s="69"/>
      <c r="AH649"/>
    </row>
    <row r="650" spans="1:34" x14ac:dyDescent="0.2">
      <c r="A650"/>
      <c r="B650"/>
      <c r="C650"/>
      <c r="D650"/>
      <c r="E650"/>
      <c r="F650" t="str">
        <f>LEFT(AllDaqbookOffsets[[#This Row],[traceability_no]],2)</f>
        <v>J3</v>
      </c>
      <c r="N650" s="456"/>
      <c r="O650"/>
      <c r="Z650" s="460"/>
      <c r="AA650" s="194"/>
      <c r="AB650"/>
      <c r="AG650" s="69"/>
      <c r="AH650"/>
    </row>
    <row r="651" spans="1:34" x14ac:dyDescent="0.2">
      <c r="A651"/>
      <c r="B651"/>
      <c r="C651"/>
      <c r="D651"/>
      <c r="E651"/>
      <c r="F651" t="str">
        <f>LEFT(AllDaqbookOffsets[[#This Row],[traceability_no]],2)</f>
        <v>J3</v>
      </c>
      <c r="N651" s="456"/>
      <c r="O651"/>
      <c r="Z651" s="460"/>
      <c r="AA651" s="194"/>
      <c r="AB651"/>
      <c r="AG651" s="69"/>
      <c r="AH651"/>
    </row>
    <row r="652" spans="1:34" x14ac:dyDescent="0.2">
      <c r="A652"/>
      <c r="B652"/>
      <c r="C652"/>
      <c r="D652"/>
      <c r="E652"/>
      <c r="F652" t="str">
        <f>LEFT(AllDaqbookOffsets[[#This Row],[traceability_no]],2)</f>
        <v>J3</v>
      </c>
      <c r="N652" s="456"/>
      <c r="O652"/>
      <c r="Z652" s="460"/>
      <c r="AA652" s="194"/>
      <c r="AB652"/>
      <c r="AG652" s="69"/>
      <c r="AH652"/>
    </row>
    <row r="653" spans="1:34" x14ac:dyDescent="0.2">
      <c r="A653"/>
      <c r="B653"/>
      <c r="C653"/>
      <c r="D653"/>
      <c r="E653"/>
      <c r="F653" t="str">
        <f>LEFT(AllDaqbookOffsets[[#This Row],[traceability_no]],2)</f>
        <v>J3</v>
      </c>
      <c r="N653" s="456"/>
      <c r="O653"/>
      <c r="Z653" s="460"/>
      <c r="AA653" s="194"/>
      <c r="AB653"/>
      <c r="AG653" s="69"/>
      <c r="AH653"/>
    </row>
    <row r="654" spans="1:34" x14ac:dyDescent="0.2">
      <c r="A654"/>
      <c r="B654"/>
      <c r="C654"/>
      <c r="D654"/>
      <c r="E654"/>
      <c r="F654" t="str">
        <f>LEFT(AllDaqbookOffsets[[#This Row],[traceability_no]],2)</f>
        <v>J3</v>
      </c>
      <c r="N654" s="456"/>
      <c r="O654"/>
      <c r="Z654" s="460"/>
      <c r="AA654" s="194"/>
      <c r="AB654"/>
      <c r="AG654" s="69"/>
      <c r="AH654"/>
    </row>
    <row r="655" spans="1:34" x14ac:dyDescent="0.2">
      <c r="A655"/>
      <c r="B655"/>
      <c r="C655"/>
      <c r="D655"/>
      <c r="E655"/>
      <c r="F655" t="str">
        <f>LEFT(AllDaqbookOffsets[[#This Row],[traceability_no]],2)</f>
        <v>J3</v>
      </c>
      <c r="N655" s="456"/>
      <c r="O655"/>
      <c r="Z655" s="460"/>
      <c r="AA655" s="194"/>
      <c r="AB655"/>
      <c r="AG655" s="69"/>
      <c r="AH655"/>
    </row>
    <row r="656" spans="1:34" x14ac:dyDescent="0.2">
      <c r="A656"/>
      <c r="B656"/>
      <c r="C656"/>
      <c r="D656"/>
      <c r="E656"/>
      <c r="F656" t="str">
        <f>LEFT(AllDaqbookOffsets[[#This Row],[traceability_no]],2)</f>
        <v>J3</v>
      </c>
      <c r="N656" s="456"/>
      <c r="O656"/>
      <c r="Z656" s="460"/>
      <c r="AA656" s="194"/>
      <c r="AB656"/>
      <c r="AG656" s="69"/>
      <c r="AH656"/>
    </row>
    <row r="657" spans="1:34" x14ac:dyDescent="0.2">
      <c r="A657"/>
      <c r="B657"/>
      <c r="C657"/>
      <c r="D657"/>
      <c r="E657"/>
      <c r="F657" t="str">
        <f>LEFT(AllDaqbookOffsets[[#This Row],[traceability_no]],2)</f>
        <v>J3</v>
      </c>
      <c r="N657" s="456"/>
      <c r="O657"/>
      <c r="Z657" s="460"/>
      <c r="AA657" s="194"/>
      <c r="AB657"/>
      <c r="AG657" s="69"/>
      <c r="AH657"/>
    </row>
    <row r="658" spans="1:34" x14ac:dyDescent="0.2">
      <c r="A658"/>
      <c r="B658"/>
      <c r="C658"/>
      <c r="D658"/>
      <c r="E658"/>
      <c r="F658" t="str">
        <f>LEFT(AllDaqbookOffsets[[#This Row],[traceability_no]],2)</f>
        <v>J3</v>
      </c>
      <c r="N658" s="456"/>
      <c r="O658"/>
      <c r="Z658" s="460"/>
      <c r="AA658" s="194"/>
      <c r="AB658"/>
      <c r="AG658" s="69"/>
      <c r="AH658"/>
    </row>
    <row r="659" spans="1:34" x14ac:dyDescent="0.2">
      <c r="A659"/>
      <c r="B659"/>
      <c r="C659"/>
      <c r="D659"/>
      <c r="E659"/>
      <c r="F659" t="str">
        <f>LEFT(AllDaqbookOffsets[[#This Row],[traceability_no]],2)</f>
        <v>J3</v>
      </c>
      <c r="N659" s="456"/>
      <c r="O659"/>
      <c r="Z659" s="460"/>
      <c r="AA659" s="194"/>
      <c r="AB659"/>
      <c r="AG659" s="69"/>
      <c r="AH659"/>
    </row>
    <row r="660" spans="1:34" x14ac:dyDescent="0.2">
      <c r="A660"/>
      <c r="B660"/>
      <c r="C660"/>
      <c r="D660"/>
      <c r="E660"/>
      <c r="F660" t="str">
        <f>LEFT(AllDaqbookOffsets[[#This Row],[traceability_no]],2)</f>
        <v>J3</v>
      </c>
      <c r="N660" s="456"/>
      <c r="O660"/>
      <c r="Z660" s="460"/>
      <c r="AA660" s="194"/>
      <c r="AB660"/>
      <c r="AG660" s="69"/>
      <c r="AH660"/>
    </row>
    <row r="661" spans="1:34" x14ac:dyDescent="0.2">
      <c r="A661"/>
      <c r="B661"/>
      <c r="C661"/>
      <c r="D661"/>
      <c r="E661"/>
      <c r="F661" t="str">
        <f>LEFT(AllDaqbookOffsets[[#This Row],[traceability_no]],2)</f>
        <v>J3</v>
      </c>
      <c r="N661" s="456"/>
      <c r="O661"/>
      <c r="Z661" s="460"/>
      <c r="AA661" s="194"/>
      <c r="AB661"/>
      <c r="AG661" s="69"/>
      <c r="AH661"/>
    </row>
    <row r="662" spans="1:34" x14ac:dyDescent="0.2">
      <c r="A662"/>
      <c r="B662"/>
      <c r="C662"/>
      <c r="D662"/>
      <c r="E662"/>
      <c r="F662" t="str">
        <f>LEFT(AllDaqbookOffsets[[#This Row],[traceability_no]],2)</f>
        <v>J3</v>
      </c>
      <c r="N662" s="456"/>
      <c r="O662"/>
      <c r="Z662" s="460"/>
      <c r="AA662" s="194"/>
      <c r="AB662"/>
      <c r="AG662" s="69"/>
      <c r="AH662"/>
    </row>
    <row r="663" spans="1:34" x14ac:dyDescent="0.2">
      <c r="A663"/>
      <c r="B663"/>
      <c r="C663"/>
      <c r="D663"/>
      <c r="E663"/>
      <c r="F663" t="str">
        <f>LEFT(AllDaqbookOffsets[[#This Row],[traceability_no]],2)</f>
        <v>J3</v>
      </c>
      <c r="N663" s="456"/>
      <c r="O663"/>
      <c r="Z663" s="460"/>
      <c r="AA663" s="194"/>
      <c r="AB663"/>
      <c r="AG663" s="69"/>
      <c r="AH663"/>
    </row>
    <row r="664" spans="1:34" x14ac:dyDescent="0.2">
      <c r="A664"/>
      <c r="B664"/>
      <c r="C664"/>
      <c r="D664"/>
      <c r="E664"/>
      <c r="F664" t="str">
        <f>LEFT(AllDaqbookOffsets[[#This Row],[traceability_no]],2)</f>
        <v>J3</v>
      </c>
      <c r="N664" s="456"/>
      <c r="O664"/>
      <c r="Z664" s="460"/>
      <c r="AA664" s="194"/>
      <c r="AB664"/>
      <c r="AG664" s="69"/>
      <c r="AH664"/>
    </row>
    <row r="665" spans="1:34" x14ac:dyDescent="0.2">
      <c r="A665"/>
      <c r="B665"/>
      <c r="C665"/>
      <c r="D665"/>
      <c r="E665"/>
      <c r="F665" t="str">
        <f>LEFT(AllDaqbookOffsets[[#This Row],[traceability_no]],2)</f>
        <v>J3</v>
      </c>
      <c r="N665" s="456"/>
      <c r="O665"/>
      <c r="Z665" s="460"/>
      <c r="AA665" s="194"/>
      <c r="AB665"/>
      <c r="AG665" s="69"/>
      <c r="AH665"/>
    </row>
    <row r="666" spans="1:34" x14ac:dyDescent="0.2">
      <c r="A666"/>
      <c r="B666"/>
      <c r="C666"/>
      <c r="D666"/>
      <c r="E666"/>
      <c r="F666" t="str">
        <f>LEFT(AllDaqbookOffsets[[#This Row],[traceability_no]],2)</f>
        <v>J3</v>
      </c>
      <c r="N666" s="456"/>
      <c r="O666"/>
      <c r="Z666" s="460"/>
      <c r="AA666" s="194"/>
      <c r="AB666"/>
      <c r="AG666" s="69"/>
      <c r="AH666"/>
    </row>
    <row r="667" spans="1:34" x14ac:dyDescent="0.2">
      <c r="A667"/>
      <c r="B667"/>
      <c r="C667"/>
      <c r="D667"/>
      <c r="E667"/>
      <c r="F667" t="str">
        <f>LEFT(AllDaqbookOffsets[[#This Row],[traceability_no]],2)</f>
        <v>J3</v>
      </c>
      <c r="N667" s="456"/>
      <c r="O667"/>
      <c r="Z667" s="460"/>
      <c r="AA667" s="194"/>
      <c r="AB667"/>
      <c r="AG667" s="69"/>
      <c r="AH667"/>
    </row>
    <row r="668" spans="1:34" x14ac:dyDescent="0.2">
      <c r="A668"/>
      <c r="B668"/>
      <c r="C668"/>
      <c r="D668"/>
      <c r="E668"/>
      <c r="F668" t="str">
        <f>LEFT(AllDaqbookOffsets[[#This Row],[traceability_no]],2)</f>
        <v>J3</v>
      </c>
      <c r="N668" s="456"/>
      <c r="O668"/>
      <c r="Z668" s="460"/>
      <c r="AA668" s="194"/>
      <c r="AB668"/>
      <c r="AG668" s="69"/>
      <c r="AH668"/>
    </row>
    <row r="669" spans="1:34" x14ac:dyDescent="0.2">
      <c r="A669"/>
      <c r="B669"/>
      <c r="C669"/>
      <c r="D669"/>
      <c r="E669"/>
      <c r="F669" t="str">
        <f>LEFT(AllDaqbookOffsets[[#This Row],[traceability_no]],2)</f>
        <v>J3</v>
      </c>
      <c r="N669" s="456"/>
      <c r="O669"/>
      <c r="Z669" s="460"/>
      <c r="AA669" s="194"/>
      <c r="AB669"/>
      <c r="AG669" s="69"/>
      <c r="AH669"/>
    </row>
    <row r="670" spans="1:34" x14ac:dyDescent="0.2">
      <c r="A670"/>
      <c r="B670"/>
      <c r="C670"/>
      <c r="D670"/>
      <c r="E670"/>
      <c r="F670" t="str">
        <f>LEFT(AllDaqbookOffsets[[#This Row],[traceability_no]],2)</f>
        <v>J3</v>
      </c>
      <c r="N670" s="456"/>
      <c r="O670"/>
      <c r="Z670" s="460"/>
      <c r="AA670" s="194"/>
      <c r="AB670"/>
      <c r="AG670" s="69"/>
      <c r="AH670"/>
    </row>
    <row r="671" spans="1:34" x14ac:dyDescent="0.2">
      <c r="A671"/>
      <c r="B671"/>
      <c r="C671"/>
      <c r="D671"/>
      <c r="E671"/>
      <c r="F671" t="str">
        <f>LEFT(AllDaqbookOffsets[[#This Row],[traceability_no]],2)</f>
        <v>J3</v>
      </c>
      <c r="N671" s="456"/>
      <c r="O671"/>
      <c r="Z671" s="460"/>
      <c r="AA671" s="194"/>
      <c r="AB671"/>
      <c r="AG671" s="69"/>
      <c r="AH671"/>
    </row>
    <row r="672" spans="1:34" x14ac:dyDescent="0.2">
      <c r="A672"/>
      <c r="B672"/>
      <c r="C672"/>
      <c r="D672"/>
      <c r="E672"/>
      <c r="F672" t="str">
        <f>LEFT(AllDaqbookOffsets[[#This Row],[traceability_no]],2)</f>
        <v>J3</v>
      </c>
      <c r="N672" s="456"/>
      <c r="O672"/>
      <c r="Z672" s="460"/>
      <c r="AA672" s="194"/>
      <c r="AB672"/>
      <c r="AG672" s="69"/>
      <c r="AH672"/>
    </row>
    <row r="673" spans="1:34" x14ac:dyDescent="0.2">
      <c r="A673"/>
      <c r="B673"/>
      <c r="C673"/>
      <c r="D673"/>
      <c r="E673"/>
      <c r="F673" t="str">
        <f>LEFT(AllDaqbookOffsets[[#This Row],[traceability_no]],2)</f>
        <v>J3</v>
      </c>
      <c r="N673" s="456"/>
      <c r="O673"/>
      <c r="Z673" s="460"/>
      <c r="AA673" s="194"/>
      <c r="AB673"/>
      <c r="AG673" s="69"/>
      <c r="AH673"/>
    </row>
    <row r="674" spans="1:34" x14ac:dyDescent="0.2">
      <c r="A674"/>
      <c r="B674"/>
      <c r="C674"/>
      <c r="D674"/>
      <c r="E674"/>
      <c r="F674" t="str">
        <f>LEFT(AllDaqbookOffsets[[#This Row],[traceability_no]],2)</f>
        <v>J3</v>
      </c>
      <c r="N674" s="456"/>
      <c r="O674"/>
      <c r="Z674" s="460"/>
      <c r="AA674" s="194"/>
      <c r="AB674"/>
      <c r="AG674" s="69"/>
      <c r="AH674"/>
    </row>
    <row r="675" spans="1:34" x14ac:dyDescent="0.2">
      <c r="A675"/>
      <c r="B675"/>
      <c r="C675"/>
      <c r="D675"/>
      <c r="E675"/>
      <c r="F675" t="str">
        <f>LEFT(AllDaqbookOffsets[[#This Row],[traceability_no]],2)</f>
        <v>J3</v>
      </c>
      <c r="N675" s="456"/>
      <c r="O675"/>
      <c r="Z675" s="460"/>
      <c r="AA675" s="194"/>
      <c r="AB675"/>
      <c r="AG675" s="69"/>
      <c r="AH675"/>
    </row>
    <row r="676" spans="1:34" x14ac:dyDescent="0.2">
      <c r="A676"/>
      <c r="B676"/>
      <c r="C676"/>
      <c r="D676"/>
      <c r="E676"/>
      <c r="F676" t="str">
        <f>LEFT(AllDaqbookOffsets[[#This Row],[traceability_no]],2)</f>
        <v>J3</v>
      </c>
      <c r="N676" s="456"/>
      <c r="O676"/>
      <c r="Z676" s="460"/>
      <c r="AA676" s="194"/>
      <c r="AB676"/>
      <c r="AG676" s="69"/>
      <c r="AH676"/>
    </row>
    <row r="677" spans="1:34" x14ac:dyDescent="0.2">
      <c r="A677"/>
      <c r="B677"/>
      <c r="C677"/>
      <c r="D677"/>
      <c r="E677"/>
      <c r="F677" t="str">
        <f>LEFT(AllDaqbookOffsets[[#This Row],[traceability_no]],2)</f>
        <v>J3</v>
      </c>
      <c r="N677" s="456"/>
      <c r="O677"/>
      <c r="Z677" s="460"/>
      <c r="AA677" s="194"/>
      <c r="AB677"/>
      <c r="AG677" s="69"/>
      <c r="AH677"/>
    </row>
    <row r="678" spans="1:34" x14ac:dyDescent="0.2">
      <c r="A678"/>
      <c r="B678"/>
      <c r="C678"/>
      <c r="D678"/>
      <c r="E678"/>
      <c r="F678" t="str">
        <f>LEFT(AllDaqbookOffsets[[#This Row],[traceability_no]],2)</f>
        <v>J3</v>
      </c>
      <c r="N678" s="456"/>
      <c r="O678"/>
      <c r="Z678" s="460"/>
      <c r="AA678" s="194"/>
      <c r="AB678"/>
      <c r="AG678" s="69"/>
      <c r="AH678"/>
    </row>
    <row r="679" spans="1:34" x14ac:dyDescent="0.2">
      <c r="A679"/>
      <c r="B679"/>
      <c r="C679"/>
      <c r="D679"/>
      <c r="E679"/>
      <c r="F679" t="str">
        <f>LEFT(AllDaqbookOffsets[[#This Row],[traceability_no]],2)</f>
        <v>J3</v>
      </c>
      <c r="N679" s="456"/>
      <c r="O679"/>
      <c r="Z679" s="460"/>
      <c r="AA679" s="194"/>
      <c r="AB679"/>
      <c r="AG679" s="69"/>
      <c r="AH679"/>
    </row>
    <row r="680" spans="1:34" x14ac:dyDescent="0.2">
      <c r="A680"/>
      <c r="B680"/>
      <c r="C680"/>
      <c r="D680"/>
      <c r="E680"/>
      <c r="F680" t="str">
        <f>LEFT(AllDaqbookOffsets[[#This Row],[traceability_no]],2)</f>
        <v>J3</v>
      </c>
      <c r="N680" s="456"/>
      <c r="O680"/>
      <c r="Z680" s="460"/>
      <c r="AA680" s="194"/>
      <c r="AB680"/>
      <c r="AG680" s="69"/>
      <c r="AH680"/>
    </row>
    <row r="681" spans="1:34" x14ac:dyDescent="0.2">
      <c r="A681"/>
      <c r="B681"/>
      <c r="C681"/>
      <c r="D681"/>
      <c r="E681"/>
      <c r="F681" t="str">
        <f>LEFT(AllDaqbookOffsets[[#This Row],[traceability_no]],2)</f>
        <v>J3</v>
      </c>
      <c r="N681" s="456"/>
      <c r="O681"/>
      <c r="Z681" s="460"/>
      <c r="AA681" s="194"/>
      <c r="AB681"/>
      <c r="AG681" s="69"/>
      <c r="AH681"/>
    </row>
    <row r="682" spans="1:34" x14ac:dyDescent="0.2">
      <c r="A682"/>
      <c r="B682"/>
      <c r="C682"/>
      <c r="D682"/>
      <c r="E682"/>
      <c r="F682" t="str">
        <f>LEFT(AllDaqbookOffsets[[#This Row],[traceability_no]],2)</f>
        <v>J3</v>
      </c>
      <c r="N682" s="456"/>
      <c r="O682"/>
      <c r="Z682" s="460"/>
      <c r="AA682" s="194"/>
      <c r="AB682"/>
      <c r="AG682" s="69"/>
      <c r="AH682"/>
    </row>
    <row r="683" spans="1:34" x14ac:dyDescent="0.2">
      <c r="A683"/>
      <c r="B683"/>
      <c r="C683"/>
      <c r="D683"/>
      <c r="E683"/>
      <c r="F683" t="str">
        <f>LEFT(AllDaqbookOffsets[[#This Row],[traceability_no]],2)</f>
        <v>J3</v>
      </c>
      <c r="N683" s="456"/>
      <c r="O683"/>
      <c r="Z683" s="460"/>
      <c r="AA683" s="194"/>
      <c r="AB683"/>
      <c r="AG683" s="69"/>
      <c r="AH683"/>
    </row>
    <row r="684" spans="1:34" x14ac:dyDescent="0.2">
      <c r="A684"/>
      <c r="B684"/>
      <c r="C684"/>
      <c r="D684"/>
      <c r="E684"/>
      <c r="F684" t="str">
        <f>LEFT(AllDaqbookOffsets[[#This Row],[traceability_no]],2)</f>
        <v>J3</v>
      </c>
      <c r="N684" s="456"/>
      <c r="O684"/>
      <c r="Z684" s="460"/>
      <c r="AA684" s="194"/>
      <c r="AB684"/>
      <c r="AG684" s="69"/>
      <c r="AH684"/>
    </row>
    <row r="685" spans="1:34" x14ac:dyDescent="0.2">
      <c r="A685"/>
      <c r="B685"/>
      <c r="C685"/>
      <c r="D685"/>
      <c r="E685"/>
      <c r="F685" t="str">
        <f>LEFT(AllDaqbookOffsets[[#This Row],[traceability_no]],2)</f>
        <v>J3</v>
      </c>
      <c r="N685" s="456"/>
      <c r="O685"/>
      <c r="Z685" s="460"/>
      <c r="AA685" s="194"/>
      <c r="AB685"/>
      <c r="AG685" s="69"/>
      <c r="AH685"/>
    </row>
    <row r="686" spans="1:34" x14ac:dyDescent="0.2">
      <c r="A686"/>
      <c r="B686"/>
      <c r="C686"/>
      <c r="D686"/>
      <c r="E686"/>
      <c r="F686" t="str">
        <f>LEFT(AllDaqbookOffsets[[#This Row],[traceability_no]],2)</f>
        <v>J3</v>
      </c>
      <c r="N686" s="456"/>
      <c r="O686"/>
      <c r="Z686" s="460"/>
      <c r="AA686" s="194"/>
      <c r="AB686"/>
      <c r="AG686" s="69"/>
      <c r="AH686"/>
    </row>
    <row r="687" spans="1:34" x14ac:dyDescent="0.2">
      <c r="A687"/>
      <c r="B687"/>
      <c r="C687"/>
      <c r="D687"/>
      <c r="E687"/>
      <c r="F687" t="str">
        <f>LEFT(AllDaqbookOffsets[[#This Row],[traceability_no]],2)</f>
        <v>J3</v>
      </c>
      <c r="N687" s="456"/>
      <c r="O687"/>
      <c r="Z687" s="460"/>
      <c r="AA687" s="194"/>
      <c r="AB687"/>
      <c r="AG687" s="69"/>
      <c r="AH687"/>
    </row>
    <row r="688" spans="1:34" x14ac:dyDescent="0.2">
      <c r="A688"/>
      <c r="B688"/>
      <c r="C688"/>
      <c r="D688"/>
      <c r="E688"/>
      <c r="F688" t="str">
        <f>LEFT(AllDaqbookOffsets[[#This Row],[traceability_no]],2)</f>
        <v>J3</v>
      </c>
      <c r="N688" s="456"/>
      <c r="O688"/>
      <c r="Z688" s="460"/>
      <c r="AA688" s="194"/>
      <c r="AB688"/>
      <c r="AG688" s="69"/>
      <c r="AH688"/>
    </row>
    <row r="689" spans="1:34" x14ac:dyDescent="0.2">
      <c r="A689"/>
      <c r="B689"/>
      <c r="C689"/>
      <c r="D689"/>
      <c r="E689"/>
      <c r="F689" t="str">
        <f>LEFT(AllDaqbookOffsets[[#This Row],[traceability_no]],2)</f>
        <v>J3</v>
      </c>
      <c r="N689" s="456"/>
      <c r="O689"/>
      <c r="Z689" s="460"/>
      <c r="AA689" s="194"/>
      <c r="AB689"/>
      <c r="AG689" s="69"/>
      <c r="AH689"/>
    </row>
    <row r="690" spans="1:34" x14ac:dyDescent="0.2">
      <c r="A690"/>
      <c r="B690"/>
      <c r="C690"/>
      <c r="D690"/>
      <c r="E690"/>
      <c r="F690" t="str">
        <f>LEFT(AllDaqbookOffsets[[#This Row],[traceability_no]],2)</f>
        <v>J3</v>
      </c>
      <c r="N690" s="456"/>
      <c r="O690"/>
      <c r="Z690" s="460"/>
      <c r="AA690" s="194"/>
      <c r="AB690"/>
      <c r="AG690" s="69"/>
      <c r="AH690"/>
    </row>
    <row r="691" spans="1:34" x14ac:dyDescent="0.2">
      <c r="A691"/>
      <c r="B691"/>
      <c r="C691"/>
      <c r="D691"/>
      <c r="E691"/>
      <c r="F691" t="str">
        <f>LEFT(AllDaqbookOffsets[[#This Row],[traceability_no]],2)</f>
        <v>J3</v>
      </c>
      <c r="N691" s="456"/>
      <c r="O691"/>
      <c r="Z691" s="460"/>
      <c r="AA691" s="194"/>
      <c r="AB691"/>
      <c r="AG691" s="69"/>
      <c r="AH691"/>
    </row>
    <row r="692" spans="1:34" x14ac:dyDescent="0.2">
      <c r="A692"/>
      <c r="B692"/>
      <c r="C692"/>
      <c r="D692"/>
      <c r="E692"/>
      <c r="F692" t="str">
        <f>LEFT(AllDaqbookOffsets[[#This Row],[traceability_no]],2)</f>
        <v>J3</v>
      </c>
      <c r="N692" s="456"/>
      <c r="O692"/>
      <c r="Z692" s="460"/>
      <c r="AA692" s="194"/>
      <c r="AB692"/>
      <c r="AG692" s="69"/>
      <c r="AH692"/>
    </row>
    <row r="693" spans="1:34" x14ac:dyDescent="0.2">
      <c r="A693"/>
      <c r="B693"/>
      <c r="C693"/>
      <c r="D693"/>
      <c r="E693"/>
      <c r="F693" t="str">
        <f>LEFT(AllDaqbookOffsets[[#This Row],[traceability_no]],2)</f>
        <v>J3</v>
      </c>
      <c r="N693" s="456"/>
      <c r="O693"/>
      <c r="Z693" s="460"/>
      <c r="AA693" s="194"/>
      <c r="AB693"/>
      <c r="AG693" s="69"/>
      <c r="AH693"/>
    </row>
    <row r="694" spans="1:34" x14ac:dyDescent="0.2">
      <c r="A694"/>
      <c r="B694"/>
      <c r="C694"/>
      <c r="D694"/>
      <c r="E694"/>
      <c r="F694" t="str">
        <f>LEFT(AllDaqbookOffsets[[#This Row],[traceability_no]],2)</f>
        <v>J3</v>
      </c>
      <c r="N694" s="456"/>
      <c r="O694"/>
      <c r="Z694" s="460"/>
      <c r="AA694" s="194"/>
      <c r="AB694"/>
      <c r="AG694" s="69"/>
      <c r="AH694"/>
    </row>
    <row r="695" spans="1:34" x14ac:dyDescent="0.2">
      <c r="A695"/>
      <c r="B695"/>
      <c r="C695"/>
      <c r="D695"/>
      <c r="E695"/>
      <c r="F695" t="str">
        <f>LEFT(AllDaqbookOffsets[[#This Row],[traceability_no]],2)</f>
        <v>J3</v>
      </c>
      <c r="N695" s="456"/>
      <c r="O695"/>
      <c r="Z695" s="460"/>
      <c r="AA695" s="194"/>
      <c r="AB695"/>
      <c r="AG695" s="69"/>
      <c r="AH695"/>
    </row>
    <row r="696" spans="1:34" x14ac:dyDescent="0.2">
      <c r="A696"/>
      <c r="B696"/>
      <c r="C696"/>
      <c r="D696"/>
      <c r="E696"/>
      <c r="F696" t="str">
        <f>LEFT(AllDaqbookOffsets[[#This Row],[traceability_no]],2)</f>
        <v>J3</v>
      </c>
      <c r="N696" s="456"/>
      <c r="O696"/>
      <c r="Z696" s="460"/>
      <c r="AA696" s="194"/>
      <c r="AB696"/>
      <c r="AG696" s="69"/>
      <c r="AH696"/>
    </row>
    <row r="697" spans="1:34" x14ac:dyDescent="0.2">
      <c r="A697"/>
      <c r="B697"/>
      <c r="C697"/>
      <c r="D697"/>
      <c r="E697"/>
      <c r="F697" t="str">
        <f>LEFT(AllDaqbookOffsets[[#This Row],[traceability_no]],2)</f>
        <v>J3</v>
      </c>
      <c r="N697" s="456"/>
      <c r="O697"/>
      <c r="Z697" s="460"/>
      <c r="AA697" s="194"/>
      <c r="AB697"/>
      <c r="AG697" s="69"/>
      <c r="AH697"/>
    </row>
    <row r="698" spans="1:34" x14ac:dyDescent="0.2">
      <c r="A698"/>
      <c r="B698"/>
      <c r="C698"/>
      <c r="D698"/>
      <c r="E698"/>
      <c r="F698" t="str">
        <f>LEFT(AllDaqbookOffsets[[#This Row],[traceability_no]],2)</f>
        <v>J3</v>
      </c>
      <c r="N698" s="456"/>
      <c r="O698"/>
      <c r="Z698" s="460"/>
      <c r="AA698" s="194"/>
      <c r="AB698"/>
      <c r="AG698" s="69"/>
      <c r="AH698"/>
    </row>
    <row r="699" spans="1:34" x14ac:dyDescent="0.2">
      <c r="A699"/>
      <c r="B699"/>
      <c r="C699"/>
      <c r="D699"/>
      <c r="E699"/>
      <c r="F699" t="str">
        <f>LEFT(AllDaqbookOffsets[[#This Row],[traceability_no]],2)</f>
        <v>J3</v>
      </c>
      <c r="N699" s="456"/>
      <c r="O699"/>
      <c r="Z699" s="460"/>
      <c r="AA699" s="194"/>
      <c r="AB699"/>
      <c r="AG699" s="69"/>
      <c r="AH699"/>
    </row>
    <row r="700" spans="1:34" x14ac:dyDescent="0.2">
      <c r="A700"/>
      <c r="B700"/>
      <c r="C700"/>
      <c r="D700"/>
      <c r="E700"/>
      <c r="F700" t="str">
        <f>LEFT(AllDaqbookOffsets[[#This Row],[traceability_no]],2)</f>
        <v>J3</v>
      </c>
      <c r="N700" s="456"/>
      <c r="O700"/>
      <c r="Z700" s="460"/>
      <c r="AA700" s="194"/>
      <c r="AB700"/>
      <c r="AG700" s="69"/>
      <c r="AH700"/>
    </row>
    <row r="701" spans="1:34" x14ac:dyDescent="0.2">
      <c r="A701"/>
      <c r="B701"/>
      <c r="C701"/>
      <c r="D701"/>
      <c r="E701"/>
      <c r="F701" t="str">
        <f>LEFT(AllDaqbookOffsets[[#This Row],[traceability_no]],2)</f>
        <v>J3</v>
      </c>
      <c r="N701" s="456"/>
      <c r="O701"/>
      <c r="Z701" s="460"/>
      <c r="AA701" s="194"/>
      <c r="AB701"/>
      <c r="AG701" s="69"/>
      <c r="AH701"/>
    </row>
    <row r="702" spans="1:34" x14ac:dyDescent="0.2">
      <c r="A702"/>
      <c r="B702"/>
      <c r="C702"/>
      <c r="D702"/>
      <c r="E702"/>
      <c r="F702" t="str">
        <f>LEFT(AllDaqbookOffsets[[#This Row],[traceability_no]],2)</f>
        <v>J3</v>
      </c>
      <c r="N702" s="456"/>
      <c r="O702"/>
      <c r="Z702" s="460"/>
      <c r="AA702" s="194"/>
      <c r="AB702"/>
      <c r="AG702" s="69"/>
      <c r="AH702"/>
    </row>
    <row r="703" spans="1:34" x14ac:dyDescent="0.2">
      <c r="A703"/>
      <c r="B703"/>
      <c r="C703"/>
      <c r="D703"/>
      <c r="E703"/>
      <c r="F703" t="str">
        <f>LEFT(AllDaqbookOffsets[[#This Row],[traceability_no]],2)</f>
        <v>J3</v>
      </c>
      <c r="N703" s="456"/>
      <c r="O703"/>
      <c r="Z703" s="460"/>
      <c r="AA703" s="194"/>
      <c r="AB703"/>
      <c r="AG703" s="69"/>
      <c r="AH703"/>
    </row>
    <row r="704" spans="1:34" x14ac:dyDescent="0.2">
      <c r="A704"/>
      <c r="B704"/>
      <c r="C704"/>
      <c r="D704"/>
      <c r="E704"/>
      <c r="F704" t="str">
        <f>LEFT(AllDaqbookOffsets[[#This Row],[traceability_no]],2)</f>
        <v>J3</v>
      </c>
      <c r="N704" s="456"/>
      <c r="O704"/>
      <c r="Z704" s="460"/>
      <c r="AA704" s="194"/>
      <c r="AB704"/>
      <c r="AG704" s="69"/>
      <c r="AH704"/>
    </row>
    <row r="705" spans="1:34" x14ac:dyDescent="0.2">
      <c r="A705"/>
      <c r="B705"/>
      <c r="C705"/>
      <c r="D705"/>
      <c r="E705"/>
      <c r="F705" t="str">
        <f>LEFT(AllDaqbookOffsets[[#This Row],[traceability_no]],2)</f>
        <v>J3</v>
      </c>
      <c r="N705" s="456"/>
      <c r="O705"/>
      <c r="Z705" s="460"/>
      <c r="AA705" s="194"/>
      <c r="AB705"/>
      <c r="AG705" s="69"/>
      <c r="AH705"/>
    </row>
    <row r="706" spans="1:34" x14ac:dyDescent="0.2">
      <c r="A706"/>
      <c r="B706"/>
      <c r="C706"/>
      <c r="D706"/>
      <c r="E706"/>
      <c r="F706" t="str">
        <f>LEFT(AllDaqbookOffsets[[#This Row],[traceability_no]],2)</f>
        <v>J3</v>
      </c>
      <c r="N706" s="456"/>
      <c r="O706"/>
      <c r="Z706" s="460"/>
      <c r="AA706" s="194"/>
      <c r="AB706"/>
      <c r="AG706" s="69"/>
      <c r="AH706"/>
    </row>
    <row r="707" spans="1:34" x14ac:dyDescent="0.2">
      <c r="A707"/>
      <c r="B707"/>
      <c r="C707"/>
      <c r="D707"/>
      <c r="E707"/>
      <c r="F707" t="str">
        <f>LEFT(AllDaqbookOffsets[[#This Row],[traceability_no]],2)</f>
        <v>J3</v>
      </c>
      <c r="N707" s="456"/>
      <c r="O707"/>
      <c r="Z707" s="460"/>
      <c r="AA707" s="194"/>
      <c r="AB707"/>
      <c r="AG707" s="69"/>
      <c r="AH707"/>
    </row>
    <row r="708" spans="1:34" x14ac:dyDescent="0.2">
      <c r="A708"/>
      <c r="B708"/>
      <c r="C708"/>
      <c r="D708"/>
      <c r="E708"/>
      <c r="F708" t="str">
        <f>LEFT(AllDaqbookOffsets[[#This Row],[traceability_no]],2)</f>
        <v>J3</v>
      </c>
      <c r="N708" s="456"/>
      <c r="O708"/>
      <c r="Z708" s="460"/>
      <c r="AA708" s="194"/>
      <c r="AB708"/>
      <c r="AG708" s="69"/>
      <c r="AH708"/>
    </row>
    <row r="709" spans="1:34" x14ac:dyDescent="0.2">
      <c r="A709"/>
      <c r="B709"/>
      <c r="C709"/>
      <c r="D709"/>
      <c r="E709"/>
      <c r="F709" t="str">
        <f>LEFT(AllDaqbookOffsets[[#This Row],[traceability_no]],2)</f>
        <v>J3</v>
      </c>
      <c r="N709" s="456"/>
      <c r="O709"/>
      <c r="Z709" s="460"/>
      <c r="AA709" s="194"/>
      <c r="AB709"/>
      <c r="AG709" s="69"/>
      <c r="AH709"/>
    </row>
    <row r="710" spans="1:34" x14ac:dyDescent="0.2">
      <c r="A710"/>
      <c r="B710"/>
      <c r="C710"/>
      <c r="D710"/>
      <c r="E710"/>
      <c r="F710" t="str">
        <f>LEFT(AllDaqbookOffsets[[#This Row],[traceability_no]],2)</f>
        <v>J3</v>
      </c>
      <c r="N710" s="456"/>
      <c r="O710"/>
      <c r="Z710" s="460"/>
      <c r="AA710" s="194"/>
      <c r="AB710"/>
      <c r="AG710" s="69"/>
      <c r="AH710"/>
    </row>
    <row r="711" spans="1:34" x14ac:dyDescent="0.2">
      <c r="A711"/>
      <c r="B711"/>
      <c r="C711"/>
      <c r="D711"/>
      <c r="E711"/>
      <c r="F711" t="str">
        <f>LEFT(AllDaqbookOffsets[[#This Row],[traceability_no]],2)</f>
        <v>J3</v>
      </c>
      <c r="N711" s="456"/>
      <c r="O711"/>
      <c r="Z711" s="460"/>
      <c r="AA711" s="194"/>
      <c r="AB711"/>
      <c r="AG711" s="69"/>
      <c r="AH711"/>
    </row>
    <row r="712" spans="1:34" x14ac:dyDescent="0.2">
      <c r="A712"/>
      <c r="B712"/>
      <c r="C712"/>
      <c r="D712"/>
      <c r="E712"/>
      <c r="F712" t="str">
        <f>LEFT(AllDaqbookOffsets[[#This Row],[traceability_no]],2)</f>
        <v>J3</v>
      </c>
      <c r="N712" s="456"/>
      <c r="O712"/>
      <c r="Z712" s="460"/>
      <c r="AA712" s="194"/>
      <c r="AB712"/>
      <c r="AG712" s="69"/>
      <c r="AH712"/>
    </row>
    <row r="713" spans="1:34" x14ac:dyDescent="0.2">
      <c r="A713"/>
      <c r="B713"/>
      <c r="C713"/>
      <c r="D713"/>
      <c r="E713"/>
      <c r="F713" t="str">
        <f>LEFT(AllDaqbookOffsets[[#This Row],[traceability_no]],2)</f>
        <v>J3</v>
      </c>
      <c r="N713" s="456"/>
      <c r="O713"/>
      <c r="Z713" s="460"/>
      <c r="AA713" s="194"/>
      <c r="AB713"/>
      <c r="AG713" s="69"/>
      <c r="AH713"/>
    </row>
    <row r="714" spans="1:34" x14ac:dyDescent="0.2">
      <c r="A714"/>
      <c r="B714"/>
      <c r="C714"/>
      <c r="D714"/>
      <c r="E714"/>
      <c r="F714" t="str">
        <f>LEFT(AllDaqbookOffsets[[#This Row],[traceability_no]],2)</f>
        <v>J3</v>
      </c>
      <c r="N714" s="456"/>
      <c r="O714"/>
      <c r="Z714" s="460"/>
      <c r="AA714" s="194"/>
      <c r="AB714"/>
      <c r="AG714" s="69"/>
      <c r="AH714"/>
    </row>
    <row r="715" spans="1:34" x14ac:dyDescent="0.2">
      <c r="A715"/>
      <c r="B715"/>
      <c r="C715"/>
      <c r="D715"/>
      <c r="E715"/>
      <c r="F715" t="str">
        <f>LEFT(AllDaqbookOffsets[[#This Row],[traceability_no]],2)</f>
        <v>J3</v>
      </c>
      <c r="N715" s="456"/>
      <c r="O715"/>
      <c r="Z715" s="460"/>
      <c r="AA715" s="194"/>
      <c r="AB715"/>
      <c r="AG715" s="69"/>
      <c r="AH715"/>
    </row>
    <row r="716" spans="1:34" x14ac:dyDescent="0.2">
      <c r="A716"/>
      <c r="B716"/>
      <c r="C716"/>
      <c r="D716"/>
      <c r="E716"/>
      <c r="F716" t="str">
        <f>LEFT(AllDaqbookOffsets[[#This Row],[traceability_no]],2)</f>
        <v>J3</v>
      </c>
      <c r="N716" s="456"/>
      <c r="O716"/>
      <c r="Z716" s="460"/>
      <c r="AA716" s="194"/>
      <c r="AB716"/>
      <c r="AG716" s="69"/>
      <c r="AH716"/>
    </row>
    <row r="717" spans="1:34" x14ac:dyDescent="0.2">
      <c r="A717"/>
      <c r="B717"/>
      <c r="C717"/>
      <c r="D717"/>
      <c r="E717"/>
      <c r="F717" t="str">
        <f>LEFT(AllDaqbookOffsets[[#This Row],[traceability_no]],2)</f>
        <v>J3</v>
      </c>
      <c r="N717" s="456"/>
      <c r="O717"/>
      <c r="Z717" s="460"/>
      <c r="AA717" s="194"/>
      <c r="AB717"/>
      <c r="AG717" s="69"/>
      <c r="AH717"/>
    </row>
    <row r="718" spans="1:34" x14ac:dyDescent="0.2">
      <c r="A718"/>
      <c r="B718"/>
      <c r="C718"/>
      <c r="D718"/>
      <c r="E718"/>
      <c r="F718" t="str">
        <f>LEFT(AllDaqbookOffsets[[#This Row],[traceability_no]],2)</f>
        <v>J3</v>
      </c>
      <c r="N718" s="456"/>
      <c r="O718"/>
      <c r="Z718" s="460"/>
      <c r="AA718" s="194"/>
      <c r="AB718"/>
      <c r="AG718" s="69"/>
      <c r="AH718"/>
    </row>
    <row r="719" spans="1:34" x14ac:dyDescent="0.2">
      <c r="A719"/>
      <c r="B719"/>
      <c r="C719"/>
      <c r="D719"/>
      <c r="E719"/>
      <c r="F719" t="str">
        <f>LEFT(AllDaqbookOffsets[[#This Row],[traceability_no]],2)</f>
        <v>J3</v>
      </c>
      <c r="N719" s="456"/>
      <c r="O719"/>
      <c r="Z719" s="460"/>
      <c r="AA719" s="194"/>
      <c r="AB719"/>
      <c r="AG719" s="69"/>
      <c r="AH719"/>
    </row>
    <row r="720" spans="1:34" x14ac:dyDescent="0.2">
      <c r="A720"/>
      <c r="B720"/>
      <c r="C720"/>
      <c r="D720"/>
      <c r="E720"/>
      <c r="F720" t="str">
        <f>LEFT(AllDaqbookOffsets[[#This Row],[traceability_no]],2)</f>
        <v>J3</v>
      </c>
      <c r="N720" s="456"/>
      <c r="O720"/>
      <c r="Z720" s="460"/>
      <c r="AA720" s="194"/>
      <c r="AB720"/>
      <c r="AG720" s="69"/>
      <c r="AH720"/>
    </row>
    <row r="721" spans="1:34" x14ac:dyDescent="0.2">
      <c r="A721"/>
      <c r="B721"/>
      <c r="C721"/>
      <c r="D721"/>
      <c r="E721"/>
      <c r="F721" t="str">
        <f>LEFT(AllDaqbookOffsets[[#This Row],[traceability_no]],2)</f>
        <v>J3</v>
      </c>
      <c r="N721" s="456"/>
      <c r="O721"/>
      <c r="Z721" s="460"/>
      <c r="AA721" s="194"/>
      <c r="AB721"/>
      <c r="AG721" s="69"/>
      <c r="AH721"/>
    </row>
    <row r="722" spans="1:34" x14ac:dyDescent="0.2">
      <c r="A722"/>
      <c r="B722"/>
      <c r="C722"/>
      <c r="D722"/>
      <c r="E722"/>
      <c r="F722" t="str">
        <f>LEFT(AllDaqbookOffsets[[#This Row],[traceability_no]],2)</f>
        <v>K4</v>
      </c>
      <c r="N722" s="456"/>
      <c r="O722"/>
      <c r="Z722" s="460"/>
      <c r="AA722" s="194"/>
      <c r="AB722"/>
      <c r="AG722" s="69"/>
      <c r="AH722"/>
    </row>
    <row r="723" spans="1:34" x14ac:dyDescent="0.2">
      <c r="A723"/>
      <c r="B723"/>
      <c r="C723"/>
      <c r="D723"/>
      <c r="E723"/>
      <c r="F723" t="str">
        <f>LEFT(AllDaqbookOffsets[[#This Row],[traceability_no]],2)</f>
        <v>K4</v>
      </c>
      <c r="N723" s="456"/>
      <c r="O723"/>
      <c r="Z723" s="460"/>
      <c r="AA723" s="194"/>
      <c r="AB723"/>
      <c r="AG723" s="69"/>
      <c r="AH723"/>
    </row>
    <row r="724" spans="1:34" x14ac:dyDescent="0.2">
      <c r="A724"/>
      <c r="B724"/>
      <c r="C724"/>
      <c r="D724"/>
      <c r="E724"/>
      <c r="F724" t="str">
        <f>LEFT(AllDaqbookOffsets[[#This Row],[traceability_no]],2)</f>
        <v>K4</v>
      </c>
      <c r="N724" s="456"/>
      <c r="O724"/>
      <c r="Z724" s="460"/>
      <c r="AA724" s="194"/>
      <c r="AB724"/>
      <c r="AG724" s="69"/>
      <c r="AH724"/>
    </row>
    <row r="725" spans="1:34" x14ac:dyDescent="0.2">
      <c r="A725"/>
      <c r="B725"/>
      <c r="C725"/>
      <c r="D725"/>
      <c r="E725"/>
      <c r="F725" t="str">
        <f>LEFT(AllDaqbookOffsets[[#This Row],[traceability_no]],2)</f>
        <v>K4</v>
      </c>
      <c r="N725" s="456"/>
      <c r="O725"/>
      <c r="Z725" s="460"/>
      <c r="AA725" s="194"/>
      <c r="AB725"/>
      <c r="AG725" s="69"/>
      <c r="AH725"/>
    </row>
    <row r="726" spans="1:34" x14ac:dyDescent="0.2">
      <c r="A726"/>
      <c r="B726"/>
      <c r="C726"/>
      <c r="D726"/>
      <c r="E726"/>
      <c r="F726" t="str">
        <f>LEFT(AllDaqbookOffsets[[#This Row],[traceability_no]],2)</f>
        <v>K4</v>
      </c>
      <c r="N726" s="456"/>
      <c r="O726"/>
      <c r="Z726" s="460"/>
      <c r="AA726" s="194"/>
      <c r="AB726"/>
      <c r="AG726" s="69"/>
      <c r="AH726"/>
    </row>
    <row r="727" spans="1:34" x14ac:dyDescent="0.2">
      <c r="A727"/>
      <c r="B727"/>
      <c r="C727"/>
      <c r="D727"/>
      <c r="E727"/>
      <c r="F727" t="str">
        <f>LEFT(AllDaqbookOffsets[[#This Row],[traceability_no]],2)</f>
        <v>K4</v>
      </c>
      <c r="N727" s="456"/>
      <c r="O727"/>
      <c r="Z727" s="460"/>
      <c r="AA727" s="194"/>
      <c r="AB727"/>
      <c r="AG727" s="69"/>
      <c r="AH727"/>
    </row>
    <row r="728" spans="1:34" x14ac:dyDescent="0.2">
      <c r="A728"/>
      <c r="B728"/>
      <c r="C728"/>
      <c r="D728"/>
      <c r="E728"/>
      <c r="F728" t="str">
        <f>LEFT(AllDaqbookOffsets[[#This Row],[traceability_no]],2)</f>
        <v>K4</v>
      </c>
      <c r="N728" s="456"/>
      <c r="O728"/>
      <c r="Z728" s="460"/>
      <c r="AA728" s="194"/>
      <c r="AB728"/>
      <c r="AG728" s="69"/>
      <c r="AH728"/>
    </row>
    <row r="729" spans="1:34" x14ac:dyDescent="0.2">
      <c r="A729"/>
      <c r="B729"/>
      <c r="C729"/>
      <c r="D729"/>
      <c r="E729"/>
      <c r="F729" t="str">
        <f>LEFT(AllDaqbookOffsets[[#This Row],[traceability_no]],2)</f>
        <v>K4</v>
      </c>
      <c r="N729" s="456"/>
      <c r="O729"/>
      <c r="Z729" s="460"/>
      <c r="AA729" s="194"/>
      <c r="AB729"/>
      <c r="AG729" s="69"/>
      <c r="AH729"/>
    </row>
    <row r="730" spans="1:34" x14ac:dyDescent="0.2">
      <c r="A730"/>
      <c r="B730"/>
      <c r="C730"/>
      <c r="D730"/>
      <c r="E730"/>
      <c r="F730" t="str">
        <f>LEFT(AllDaqbookOffsets[[#This Row],[traceability_no]],2)</f>
        <v>K4</v>
      </c>
      <c r="N730" s="456"/>
      <c r="O730"/>
      <c r="Z730" s="460"/>
      <c r="AA730" s="194"/>
      <c r="AB730"/>
      <c r="AG730" s="69"/>
      <c r="AH730"/>
    </row>
    <row r="731" spans="1:34" x14ac:dyDescent="0.2">
      <c r="A731"/>
      <c r="B731"/>
      <c r="C731"/>
      <c r="D731"/>
      <c r="E731"/>
      <c r="F731" t="str">
        <f>LEFT(AllDaqbookOffsets[[#This Row],[traceability_no]],2)</f>
        <v>K4</v>
      </c>
      <c r="N731" s="456"/>
      <c r="O731"/>
      <c r="Z731" s="460"/>
      <c r="AA731" s="194"/>
      <c r="AB731"/>
      <c r="AG731" s="69"/>
      <c r="AH731"/>
    </row>
    <row r="732" spans="1:34" x14ac:dyDescent="0.2">
      <c r="A732"/>
      <c r="B732"/>
      <c r="C732"/>
      <c r="D732"/>
      <c r="E732"/>
      <c r="F732" t="str">
        <f>LEFT(AllDaqbookOffsets[[#This Row],[traceability_no]],2)</f>
        <v>K4</v>
      </c>
      <c r="N732" s="456"/>
      <c r="O732"/>
      <c r="Z732" s="460"/>
      <c r="AA732" s="194"/>
      <c r="AB732"/>
      <c r="AG732" s="69"/>
      <c r="AH732"/>
    </row>
    <row r="733" spans="1:34" x14ac:dyDescent="0.2">
      <c r="A733"/>
      <c r="B733"/>
      <c r="C733"/>
      <c r="D733"/>
      <c r="E733"/>
      <c r="F733" t="str">
        <f>LEFT(AllDaqbookOffsets[[#This Row],[traceability_no]],2)</f>
        <v>K4</v>
      </c>
      <c r="N733" s="456"/>
      <c r="O733"/>
      <c r="Z733" s="460"/>
      <c r="AA733" s="194"/>
      <c r="AB733"/>
      <c r="AG733" s="69"/>
      <c r="AH733"/>
    </row>
    <row r="734" spans="1:34" x14ac:dyDescent="0.2">
      <c r="A734"/>
      <c r="B734"/>
      <c r="C734"/>
      <c r="D734"/>
      <c r="E734"/>
      <c r="F734" t="str">
        <f>LEFT(AllDaqbookOffsets[[#This Row],[traceability_no]],2)</f>
        <v>K4</v>
      </c>
      <c r="N734" s="456"/>
      <c r="O734"/>
      <c r="Z734" s="460"/>
      <c r="AA734" s="194"/>
      <c r="AB734"/>
      <c r="AG734" s="69"/>
      <c r="AH734"/>
    </row>
    <row r="735" spans="1:34" x14ac:dyDescent="0.2">
      <c r="A735"/>
      <c r="B735"/>
      <c r="C735"/>
      <c r="D735"/>
      <c r="E735"/>
      <c r="F735" t="str">
        <f>LEFT(AllDaqbookOffsets[[#This Row],[traceability_no]],2)</f>
        <v>K4</v>
      </c>
      <c r="N735" s="456"/>
      <c r="O735"/>
      <c r="Z735" s="460"/>
      <c r="AA735" s="194"/>
      <c r="AB735"/>
      <c r="AG735" s="69"/>
      <c r="AH735"/>
    </row>
    <row r="736" spans="1:34" x14ac:dyDescent="0.2">
      <c r="A736"/>
      <c r="B736"/>
      <c r="C736"/>
      <c r="D736"/>
      <c r="E736"/>
      <c r="F736" t="str">
        <f>LEFT(AllDaqbookOffsets[[#This Row],[traceability_no]],2)</f>
        <v>K4</v>
      </c>
      <c r="N736" s="456"/>
      <c r="O736"/>
      <c r="Z736" s="460"/>
      <c r="AA736" s="194"/>
      <c r="AB736"/>
      <c r="AG736" s="69"/>
      <c r="AH736"/>
    </row>
    <row r="737" spans="1:34" x14ac:dyDescent="0.2">
      <c r="A737"/>
      <c r="B737"/>
      <c r="C737"/>
      <c r="D737"/>
      <c r="E737"/>
      <c r="F737" t="str">
        <f>LEFT(AllDaqbookOffsets[[#This Row],[traceability_no]],2)</f>
        <v>K4</v>
      </c>
      <c r="N737" s="456"/>
      <c r="O737"/>
      <c r="Z737" s="460"/>
      <c r="AA737" s="194"/>
      <c r="AB737"/>
      <c r="AG737" s="69"/>
      <c r="AH737"/>
    </row>
    <row r="738" spans="1:34" x14ac:dyDescent="0.2">
      <c r="A738"/>
      <c r="B738"/>
      <c r="C738"/>
      <c r="D738"/>
      <c r="E738"/>
      <c r="F738" t="str">
        <f>LEFT(AllDaqbookOffsets[[#This Row],[traceability_no]],2)</f>
        <v>K4</v>
      </c>
      <c r="N738" s="456"/>
      <c r="O738"/>
      <c r="Z738" s="460"/>
      <c r="AA738" s="194"/>
      <c r="AB738"/>
      <c r="AG738" s="69"/>
      <c r="AH738"/>
    </row>
    <row r="739" spans="1:34" x14ac:dyDescent="0.2">
      <c r="A739"/>
      <c r="B739"/>
      <c r="C739"/>
      <c r="D739"/>
      <c r="E739"/>
      <c r="F739" t="str">
        <f>LEFT(AllDaqbookOffsets[[#This Row],[traceability_no]],2)</f>
        <v>K4</v>
      </c>
      <c r="N739" s="456"/>
      <c r="O739"/>
      <c r="Z739" s="460"/>
      <c r="AA739" s="194"/>
      <c r="AB739"/>
      <c r="AG739" s="69"/>
      <c r="AH739"/>
    </row>
    <row r="740" spans="1:34" x14ac:dyDescent="0.2">
      <c r="A740"/>
      <c r="B740"/>
      <c r="C740"/>
      <c r="D740"/>
      <c r="E740"/>
      <c r="F740" t="str">
        <f>LEFT(AllDaqbookOffsets[[#This Row],[traceability_no]],2)</f>
        <v>K4</v>
      </c>
      <c r="N740" s="456"/>
      <c r="O740"/>
      <c r="Z740" s="460"/>
      <c r="AA740" s="194"/>
      <c r="AB740"/>
      <c r="AG740" s="69"/>
      <c r="AH740"/>
    </row>
    <row r="741" spans="1:34" x14ac:dyDescent="0.2">
      <c r="A741"/>
      <c r="B741"/>
      <c r="C741"/>
      <c r="D741"/>
      <c r="E741"/>
      <c r="F741" t="str">
        <f>LEFT(AllDaqbookOffsets[[#This Row],[traceability_no]],2)</f>
        <v>K4</v>
      </c>
      <c r="N741" s="456"/>
      <c r="O741"/>
      <c r="Z741" s="460"/>
      <c r="AA741" s="194"/>
      <c r="AB741"/>
      <c r="AG741" s="69"/>
      <c r="AH741"/>
    </row>
    <row r="742" spans="1:34" x14ac:dyDescent="0.2">
      <c r="A742"/>
      <c r="B742"/>
      <c r="C742"/>
      <c r="D742"/>
      <c r="E742"/>
      <c r="F742" t="str">
        <f>LEFT(AllDaqbookOffsets[[#This Row],[traceability_no]],2)</f>
        <v>K4</v>
      </c>
      <c r="N742" s="456"/>
      <c r="O742"/>
      <c r="Z742" s="460"/>
      <c r="AA742" s="194"/>
      <c r="AB742"/>
      <c r="AG742" s="69"/>
      <c r="AH742"/>
    </row>
    <row r="743" spans="1:34" x14ac:dyDescent="0.2">
      <c r="A743"/>
      <c r="B743"/>
      <c r="C743"/>
      <c r="D743"/>
      <c r="E743"/>
      <c r="F743" t="str">
        <f>LEFT(AllDaqbookOffsets[[#This Row],[traceability_no]],2)</f>
        <v>K4</v>
      </c>
      <c r="N743" s="456"/>
      <c r="O743"/>
      <c r="Z743" s="460"/>
      <c r="AA743" s="194"/>
      <c r="AB743"/>
      <c r="AG743" s="69"/>
      <c r="AH743"/>
    </row>
    <row r="744" spans="1:34" x14ac:dyDescent="0.2">
      <c r="A744"/>
      <c r="B744"/>
      <c r="C744"/>
      <c r="D744"/>
      <c r="E744"/>
      <c r="F744" t="str">
        <f>LEFT(AllDaqbookOffsets[[#This Row],[traceability_no]],2)</f>
        <v>K4</v>
      </c>
      <c r="N744" s="456"/>
      <c r="O744"/>
      <c r="Z744" s="460"/>
      <c r="AA744" s="194"/>
      <c r="AB744"/>
      <c r="AG744" s="69"/>
      <c r="AH744"/>
    </row>
    <row r="745" spans="1:34" x14ac:dyDescent="0.2">
      <c r="A745"/>
      <c r="B745"/>
      <c r="C745"/>
      <c r="D745"/>
      <c r="E745"/>
      <c r="F745" t="str">
        <f>LEFT(AllDaqbookOffsets[[#This Row],[traceability_no]],2)</f>
        <v>K4</v>
      </c>
      <c r="N745" s="456"/>
      <c r="O745"/>
      <c r="Z745" s="460"/>
      <c r="AA745" s="194"/>
      <c r="AB745"/>
      <c r="AG745" s="69"/>
      <c r="AH745"/>
    </row>
    <row r="746" spans="1:34" x14ac:dyDescent="0.2">
      <c r="A746"/>
      <c r="B746"/>
      <c r="C746"/>
      <c r="D746"/>
      <c r="E746"/>
      <c r="F746" t="str">
        <f>LEFT(AllDaqbookOffsets[[#This Row],[traceability_no]],2)</f>
        <v>K4</v>
      </c>
      <c r="N746" s="456"/>
      <c r="O746"/>
      <c r="Z746" s="460"/>
      <c r="AA746" s="194"/>
      <c r="AB746"/>
      <c r="AG746" s="69"/>
      <c r="AH746"/>
    </row>
    <row r="747" spans="1:34" x14ac:dyDescent="0.2">
      <c r="A747"/>
      <c r="B747"/>
      <c r="C747"/>
      <c r="D747"/>
      <c r="E747"/>
      <c r="F747" t="str">
        <f>LEFT(AllDaqbookOffsets[[#This Row],[traceability_no]],2)</f>
        <v>K4</v>
      </c>
      <c r="N747" s="456"/>
      <c r="O747"/>
      <c r="Z747" s="460"/>
      <c r="AA747" s="194"/>
      <c r="AB747"/>
      <c r="AG747" s="69"/>
      <c r="AH747"/>
    </row>
    <row r="748" spans="1:34" x14ac:dyDescent="0.2">
      <c r="A748"/>
      <c r="B748"/>
      <c r="C748"/>
      <c r="D748"/>
      <c r="E748"/>
      <c r="F748" t="str">
        <f>LEFT(AllDaqbookOffsets[[#This Row],[traceability_no]],2)</f>
        <v>K4</v>
      </c>
      <c r="N748" s="456"/>
      <c r="O748"/>
      <c r="Z748" s="460"/>
      <c r="AA748" s="194"/>
      <c r="AB748"/>
      <c r="AG748" s="69"/>
      <c r="AH748"/>
    </row>
    <row r="749" spans="1:34" x14ac:dyDescent="0.2">
      <c r="A749"/>
      <c r="B749"/>
      <c r="C749"/>
      <c r="D749"/>
      <c r="E749"/>
      <c r="F749" t="str">
        <f>LEFT(AllDaqbookOffsets[[#This Row],[traceability_no]],2)</f>
        <v>K4</v>
      </c>
      <c r="N749" s="456"/>
      <c r="O749"/>
      <c r="Z749" s="460"/>
      <c r="AA749" s="194"/>
      <c r="AB749"/>
      <c r="AG749" s="69"/>
      <c r="AH749"/>
    </row>
    <row r="750" spans="1:34" x14ac:dyDescent="0.2">
      <c r="A750"/>
      <c r="B750"/>
      <c r="C750"/>
      <c r="D750"/>
      <c r="E750"/>
      <c r="F750" t="str">
        <f>LEFT(AllDaqbookOffsets[[#This Row],[traceability_no]],2)</f>
        <v>K4</v>
      </c>
      <c r="N750" s="456"/>
      <c r="O750"/>
      <c r="Z750" s="460"/>
      <c r="AA750" s="194"/>
      <c r="AB750"/>
      <c r="AG750" s="69"/>
      <c r="AH750"/>
    </row>
    <row r="751" spans="1:34" x14ac:dyDescent="0.2">
      <c r="A751"/>
      <c r="B751"/>
      <c r="C751"/>
      <c r="D751"/>
      <c r="E751"/>
      <c r="F751" t="str">
        <f>LEFT(AllDaqbookOffsets[[#This Row],[traceability_no]],2)</f>
        <v>K4</v>
      </c>
      <c r="N751" s="456"/>
      <c r="O751"/>
      <c r="Z751" s="460"/>
      <c r="AA751" s="194"/>
      <c r="AB751"/>
      <c r="AG751" s="69"/>
      <c r="AH751"/>
    </row>
    <row r="752" spans="1:34" x14ac:dyDescent="0.2">
      <c r="A752"/>
      <c r="B752"/>
      <c r="C752"/>
      <c r="D752"/>
      <c r="E752"/>
      <c r="F752" t="str">
        <f>LEFT(AllDaqbookOffsets[[#This Row],[traceability_no]],2)</f>
        <v>K4</v>
      </c>
      <c r="N752" s="456"/>
      <c r="O752"/>
      <c r="Z752" s="460"/>
      <c r="AA752" s="194"/>
      <c r="AB752"/>
      <c r="AG752" s="69"/>
      <c r="AH752"/>
    </row>
    <row r="753" spans="1:34" x14ac:dyDescent="0.2">
      <c r="A753"/>
      <c r="B753"/>
      <c r="C753"/>
      <c r="D753"/>
      <c r="E753"/>
      <c r="F753" t="str">
        <f>LEFT(AllDaqbookOffsets[[#This Row],[traceability_no]],2)</f>
        <v>K4</v>
      </c>
      <c r="N753" s="456"/>
      <c r="O753"/>
      <c r="Z753" s="460"/>
      <c r="AA753" s="194"/>
      <c r="AB753"/>
      <c r="AG753" s="69"/>
      <c r="AH753"/>
    </row>
    <row r="754" spans="1:34" x14ac:dyDescent="0.2">
      <c r="A754"/>
      <c r="B754"/>
      <c r="C754"/>
      <c r="D754"/>
      <c r="E754"/>
      <c r="F754" t="str">
        <f>LEFT(AllDaqbookOffsets[[#This Row],[traceability_no]],2)</f>
        <v>K4</v>
      </c>
      <c r="N754" s="456"/>
      <c r="O754"/>
      <c r="Z754" s="460"/>
      <c r="AA754" s="194"/>
      <c r="AB754"/>
      <c r="AG754" s="69"/>
      <c r="AH754"/>
    </row>
    <row r="755" spans="1:34" x14ac:dyDescent="0.2">
      <c r="A755"/>
      <c r="B755"/>
      <c r="C755"/>
      <c r="D755"/>
      <c r="E755"/>
      <c r="F755" t="str">
        <f>LEFT(AllDaqbookOffsets[[#This Row],[traceability_no]],2)</f>
        <v>K4</v>
      </c>
      <c r="N755" s="456"/>
      <c r="O755"/>
      <c r="Z755" s="460"/>
      <c r="AA755" s="194"/>
      <c r="AB755"/>
      <c r="AG755" s="69"/>
      <c r="AH755"/>
    </row>
    <row r="756" spans="1:34" x14ac:dyDescent="0.2">
      <c r="A756"/>
      <c r="B756"/>
      <c r="C756"/>
      <c r="D756"/>
      <c r="E756"/>
      <c r="F756" t="str">
        <f>LEFT(AllDaqbookOffsets[[#This Row],[traceability_no]],2)</f>
        <v>K4</v>
      </c>
      <c r="N756" s="456"/>
      <c r="O756"/>
      <c r="Z756" s="460"/>
      <c r="AA756" s="194"/>
      <c r="AB756"/>
      <c r="AG756" s="69"/>
      <c r="AH756"/>
    </row>
    <row r="757" spans="1:34" x14ac:dyDescent="0.2">
      <c r="A757"/>
      <c r="B757"/>
      <c r="C757"/>
      <c r="D757"/>
      <c r="E757"/>
      <c r="F757" t="str">
        <f>LEFT(AllDaqbookOffsets[[#This Row],[traceability_no]],2)</f>
        <v>K4</v>
      </c>
      <c r="N757" s="456"/>
      <c r="O757"/>
      <c r="Z757" s="460"/>
      <c r="AA757" s="194"/>
      <c r="AB757"/>
      <c r="AG757" s="69"/>
      <c r="AH757"/>
    </row>
    <row r="758" spans="1:34" x14ac:dyDescent="0.2">
      <c r="A758"/>
      <c r="B758"/>
      <c r="C758"/>
      <c r="D758"/>
      <c r="E758"/>
      <c r="F758" t="str">
        <f>LEFT(AllDaqbookOffsets[[#This Row],[traceability_no]],2)</f>
        <v>K4</v>
      </c>
      <c r="N758" s="456"/>
      <c r="O758"/>
      <c r="Z758" s="460"/>
      <c r="AA758" s="194"/>
      <c r="AB758"/>
      <c r="AG758" s="69"/>
      <c r="AH758"/>
    </row>
    <row r="759" spans="1:34" x14ac:dyDescent="0.2">
      <c r="A759"/>
      <c r="B759"/>
      <c r="C759"/>
      <c r="D759"/>
      <c r="E759"/>
      <c r="F759" t="str">
        <f>LEFT(AllDaqbookOffsets[[#This Row],[traceability_no]],2)</f>
        <v>K4</v>
      </c>
      <c r="N759" s="456"/>
      <c r="O759"/>
      <c r="Z759" s="460"/>
      <c r="AA759" s="194"/>
      <c r="AB759"/>
      <c r="AG759" s="69"/>
      <c r="AH759"/>
    </row>
    <row r="760" spans="1:34" x14ac:dyDescent="0.2">
      <c r="A760"/>
      <c r="B760"/>
      <c r="C760"/>
      <c r="D760"/>
      <c r="E760"/>
      <c r="F760" t="str">
        <f>LEFT(AllDaqbookOffsets[[#This Row],[traceability_no]],2)</f>
        <v>K4</v>
      </c>
      <c r="N760" s="456"/>
      <c r="O760"/>
      <c r="Z760" s="460"/>
      <c r="AA760" s="194"/>
      <c r="AB760"/>
      <c r="AG760" s="69"/>
      <c r="AH760"/>
    </row>
    <row r="761" spans="1:34" x14ac:dyDescent="0.2">
      <c r="A761"/>
      <c r="B761"/>
      <c r="C761"/>
      <c r="D761"/>
      <c r="E761"/>
      <c r="F761" t="str">
        <f>LEFT(AllDaqbookOffsets[[#This Row],[traceability_no]],2)</f>
        <v>K4</v>
      </c>
      <c r="N761" s="456"/>
      <c r="O761"/>
      <c r="Z761" s="460"/>
      <c r="AA761" s="194"/>
      <c r="AB761"/>
      <c r="AG761" s="69"/>
      <c r="AH761"/>
    </row>
    <row r="762" spans="1:34" x14ac:dyDescent="0.2">
      <c r="A762"/>
      <c r="B762"/>
      <c r="C762"/>
      <c r="D762"/>
      <c r="E762"/>
      <c r="F762" t="str">
        <f>LEFT(AllDaqbookOffsets[[#This Row],[traceability_no]],2)</f>
        <v>K4</v>
      </c>
      <c r="N762" s="456"/>
      <c r="O762"/>
      <c r="Z762" s="460"/>
      <c r="AA762" s="194"/>
      <c r="AB762"/>
      <c r="AG762" s="69"/>
      <c r="AH762"/>
    </row>
    <row r="763" spans="1:34" x14ac:dyDescent="0.2">
      <c r="A763"/>
      <c r="B763"/>
      <c r="C763"/>
      <c r="D763"/>
      <c r="E763"/>
      <c r="F763" t="str">
        <f>LEFT(AllDaqbookOffsets[[#This Row],[traceability_no]],2)</f>
        <v>K4</v>
      </c>
      <c r="N763" s="456"/>
      <c r="O763"/>
      <c r="Z763" s="460"/>
      <c r="AA763" s="194"/>
      <c r="AB763"/>
      <c r="AG763" s="69"/>
      <c r="AH763"/>
    </row>
    <row r="764" spans="1:34" x14ac:dyDescent="0.2">
      <c r="A764"/>
      <c r="B764"/>
      <c r="C764"/>
      <c r="D764"/>
      <c r="E764"/>
      <c r="F764" t="str">
        <f>LEFT(AllDaqbookOffsets[[#This Row],[traceability_no]],2)</f>
        <v>K4</v>
      </c>
      <c r="N764" s="456"/>
      <c r="O764"/>
      <c r="Z764" s="460"/>
      <c r="AA764" s="194"/>
      <c r="AB764"/>
      <c r="AG764" s="69"/>
      <c r="AH764"/>
    </row>
    <row r="765" spans="1:34" x14ac:dyDescent="0.2">
      <c r="A765"/>
      <c r="B765"/>
      <c r="C765"/>
      <c r="D765"/>
      <c r="E765"/>
      <c r="F765" t="str">
        <f>LEFT(AllDaqbookOffsets[[#This Row],[traceability_no]],2)</f>
        <v>K4</v>
      </c>
      <c r="N765" s="456"/>
      <c r="O765"/>
      <c r="Z765" s="460"/>
      <c r="AA765" s="194"/>
      <c r="AB765"/>
      <c r="AG765" s="69"/>
      <c r="AH765"/>
    </row>
    <row r="766" spans="1:34" x14ac:dyDescent="0.2">
      <c r="A766"/>
      <c r="B766"/>
      <c r="C766"/>
      <c r="D766"/>
      <c r="E766"/>
      <c r="F766" t="str">
        <f>LEFT(AllDaqbookOffsets[[#This Row],[traceability_no]],2)</f>
        <v>K4</v>
      </c>
      <c r="N766" s="456"/>
      <c r="O766"/>
      <c r="Z766" s="460"/>
      <c r="AA766" s="194"/>
      <c r="AB766"/>
      <c r="AG766" s="69"/>
      <c r="AH766"/>
    </row>
    <row r="767" spans="1:34" x14ac:dyDescent="0.2">
      <c r="A767"/>
      <c r="B767"/>
      <c r="C767"/>
      <c r="D767"/>
      <c r="E767"/>
      <c r="F767" t="str">
        <f>LEFT(AllDaqbookOffsets[[#This Row],[traceability_no]],2)</f>
        <v>K4</v>
      </c>
      <c r="N767" s="456"/>
      <c r="O767"/>
      <c r="Z767" s="460"/>
      <c r="AA767" s="194"/>
      <c r="AB767"/>
      <c r="AG767" s="69"/>
      <c r="AH767"/>
    </row>
    <row r="768" spans="1:34" x14ac:dyDescent="0.2">
      <c r="A768"/>
      <c r="B768"/>
      <c r="C768"/>
      <c r="D768"/>
      <c r="E768"/>
      <c r="F768" t="str">
        <f>LEFT(AllDaqbookOffsets[[#This Row],[traceability_no]],2)</f>
        <v>K4</v>
      </c>
      <c r="N768" s="456"/>
      <c r="O768"/>
      <c r="Z768" s="460"/>
      <c r="AA768" s="194"/>
      <c r="AB768"/>
      <c r="AG768" s="69"/>
      <c r="AH768"/>
    </row>
    <row r="769" spans="1:34" x14ac:dyDescent="0.2">
      <c r="A769"/>
      <c r="B769"/>
      <c r="C769"/>
      <c r="D769"/>
      <c r="E769"/>
      <c r="F769" t="str">
        <f>LEFT(AllDaqbookOffsets[[#This Row],[traceability_no]],2)</f>
        <v>K4</v>
      </c>
      <c r="N769" s="456"/>
      <c r="O769"/>
      <c r="Z769" s="460"/>
      <c r="AA769" s="194"/>
      <c r="AB769"/>
      <c r="AG769" s="69"/>
      <c r="AH769"/>
    </row>
    <row r="770" spans="1:34" x14ac:dyDescent="0.2">
      <c r="A770"/>
      <c r="B770"/>
      <c r="C770"/>
      <c r="D770"/>
      <c r="E770"/>
      <c r="F770" t="str">
        <f>LEFT(AllDaqbookOffsets[[#This Row],[traceability_no]],2)</f>
        <v>K4</v>
      </c>
      <c r="N770" s="456"/>
      <c r="O770"/>
      <c r="Z770" s="460"/>
      <c r="AA770" s="194"/>
      <c r="AB770"/>
      <c r="AG770" s="69"/>
      <c r="AH770"/>
    </row>
    <row r="771" spans="1:34" x14ac:dyDescent="0.2">
      <c r="A771"/>
      <c r="B771"/>
      <c r="C771"/>
      <c r="D771"/>
      <c r="E771"/>
      <c r="F771" t="str">
        <f>LEFT(AllDaqbookOffsets[[#This Row],[traceability_no]],2)</f>
        <v>K4</v>
      </c>
      <c r="N771" s="456"/>
      <c r="O771"/>
      <c r="Z771" s="460"/>
      <c r="AA771" s="194"/>
      <c r="AB771"/>
      <c r="AG771" s="69"/>
      <c r="AH771"/>
    </row>
    <row r="772" spans="1:34" x14ac:dyDescent="0.2">
      <c r="A772"/>
      <c r="B772"/>
      <c r="C772"/>
      <c r="D772"/>
      <c r="E772"/>
      <c r="F772" t="str">
        <f>LEFT(AllDaqbookOffsets[[#This Row],[traceability_no]],2)</f>
        <v>K4</v>
      </c>
      <c r="N772" s="456"/>
      <c r="O772"/>
      <c r="Z772" s="460"/>
      <c r="AA772" s="194"/>
      <c r="AB772"/>
      <c r="AG772" s="69"/>
      <c r="AH772"/>
    </row>
    <row r="773" spans="1:34" x14ac:dyDescent="0.2">
      <c r="A773"/>
      <c r="B773"/>
      <c r="C773"/>
      <c r="D773"/>
      <c r="E773"/>
      <c r="F773" t="str">
        <f>LEFT(AllDaqbookOffsets[[#This Row],[traceability_no]],2)</f>
        <v>K4</v>
      </c>
      <c r="N773" s="456"/>
      <c r="O773"/>
      <c r="Z773" s="460"/>
      <c r="AA773" s="194"/>
      <c r="AB773"/>
      <c r="AG773" s="69"/>
      <c r="AH773"/>
    </row>
    <row r="774" spans="1:34" x14ac:dyDescent="0.2">
      <c r="A774"/>
      <c r="B774"/>
      <c r="C774"/>
      <c r="D774"/>
      <c r="E774"/>
      <c r="F774" t="str">
        <f>LEFT(AllDaqbookOffsets[[#This Row],[traceability_no]],2)</f>
        <v>K4</v>
      </c>
      <c r="N774" s="456"/>
      <c r="O774"/>
      <c r="Z774" s="460"/>
      <c r="AA774" s="194"/>
      <c r="AB774"/>
      <c r="AG774" s="69"/>
      <c r="AH774"/>
    </row>
    <row r="775" spans="1:34" x14ac:dyDescent="0.2">
      <c r="A775"/>
      <c r="B775"/>
      <c r="C775"/>
      <c r="D775"/>
      <c r="E775"/>
      <c r="F775" t="str">
        <f>LEFT(AllDaqbookOffsets[[#This Row],[traceability_no]],2)</f>
        <v>K4</v>
      </c>
      <c r="N775" s="456"/>
      <c r="O775"/>
      <c r="Z775" s="460"/>
      <c r="AA775" s="194"/>
      <c r="AB775"/>
      <c r="AG775" s="69"/>
      <c r="AH775"/>
    </row>
    <row r="776" spans="1:34" x14ac:dyDescent="0.2">
      <c r="A776"/>
      <c r="B776"/>
      <c r="C776"/>
      <c r="D776"/>
      <c r="E776"/>
      <c r="F776" t="str">
        <f>LEFT(AllDaqbookOffsets[[#This Row],[traceability_no]],2)</f>
        <v>K4</v>
      </c>
      <c r="N776" s="456"/>
      <c r="O776"/>
      <c r="Z776" s="460"/>
      <c r="AA776" s="194"/>
      <c r="AB776"/>
      <c r="AG776" s="69"/>
      <c r="AH776"/>
    </row>
    <row r="777" spans="1:34" x14ac:dyDescent="0.2">
      <c r="A777"/>
      <c r="B777"/>
      <c r="C777"/>
      <c r="D777"/>
      <c r="E777"/>
      <c r="F777" t="str">
        <f>LEFT(AllDaqbookOffsets[[#This Row],[traceability_no]],2)</f>
        <v>K4</v>
      </c>
      <c r="N777" s="456"/>
      <c r="O777"/>
      <c r="Z777" s="460"/>
      <c r="AA777" s="194"/>
      <c r="AB777"/>
      <c r="AG777" s="69"/>
      <c r="AH777"/>
    </row>
    <row r="778" spans="1:34" x14ac:dyDescent="0.2">
      <c r="A778"/>
      <c r="B778"/>
      <c r="C778"/>
      <c r="D778"/>
      <c r="E778"/>
      <c r="F778" t="str">
        <f>LEFT(AllDaqbookOffsets[[#This Row],[traceability_no]],2)</f>
        <v>K4</v>
      </c>
      <c r="N778" s="456"/>
      <c r="O778"/>
      <c r="Z778" s="460"/>
      <c r="AA778" s="194"/>
      <c r="AB778"/>
      <c r="AG778" s="69"/>
      <c r="AH778"/>
    </row>
    <row r="779" spans="1:34" x14ac:dyDescent="0.2">
      <c r="A779"/>
      <c r="B779"/>
      <c r="C779"/>
      <c r="D779"/>
      <c r="E779"/>
      <c r="F779" t="str">
        <f>LEFT(AllDaqbookOffsets[[#This Row],[traceability_no]],2)</f>
        <v>K4</v>
      </c>
      <c r="N779" s="456"/>
      <c r="O779"/>
      <c r="Z779" s="460"/>
      <c r="AA779" s="194"/>
      <c r="AB779"/>
      <c r="AG779" s="69"/>
      <c r="AH779"/>
    </row>
    <row r="780" spans="1:34" x14ac:dyDescent="0.2">
      <c r="A780"/>
      <c r="B780"/>
      <c r="C780"/>
      <c r="D780"/>
      <c r="E780"/>
      <c r="F780" t="str">
        <f>LEFT(AllDaqbookOffsets[[#This Row],[traceability_no]],2)</f>
        <v>K4</v>
      </c>
      <c r="N780" s="456"/>
      <c r="O780"/>
      <c r="Z780" s="460"/>
      <c r="AA780" s="194"/>
      <c r="AB780"/>
      <c r="AG780" s="69"/>
      <c r="AH780"/>
    </row>
    <row r="781" spans="1:34" x14ac:dyDescent="0.2">
      <c r="A781"/>
      <c r="B781"/>
      <c r="C781"/>
      <c r="D781"/>
      <c r="E781"/>
      <c r="F781" t="str">
        <f>LEFT(AllDaqbookOffsets[[#This Row],[traceability_no]],2)</f>
        <v>K4</v>
      </c>
      <c r="N781" s="456"/>
      <c r="O781"/>
      <c r="Z781" s="460"/>
      <c r="AA781" s="194"/>
      <c r="AB781"/>
      <c r="AG781" s="69"/>
      <c r="AH781"/>
    </row>
    <row r="782" spans="1:34" x14ac:dyDescent="0.2">
      <c r="A782"/>
      <c r="B782"/>
      <c r="C782"/>
      <c r="D782"/>
      <c r="E782"/>
      <c r="F782" t="str">
        <f>LEFT(AllDaqbookOffsets[[#This Row],[traceability_no]],2)</f>
        <v>K4</v>
      </c>
      <c r="N782" s="456"/>
      <c r="O782"/>
      <c r="Z782" s="460"/>
      <c r="AA782" s="194"/>
      <c r="AB782"/>
      <c r="AG782" s="69"/>
      <c r="AH782"/>
    </row>
    <row r="783" spans="1:34" x14ac:dyDescent="0.2">
      <c r="A783"/>
      <c r="B783"/>
      <c r="C783"/>
      <c r="D783"/>
      <c r="E783"/>
      <c r="F783" t="str">
        <f>LEFT(AllDaqbookOffsets[[#This Row],[traceability_no]],2)</f>
        <v>K4</v>
      </c>
      <c r="N783" s="456"/>
      <c r="O783"/>
      <c r="Z783" s="460"/>
      <c r="AA783" s="194"/>
      <c r="AB783"/>
      <c r="AG783" s="69"/>
      <c r="AH783"/>
    </row>
    <row r="784" spans="1:34" x14ac:dyDescent="0.2">
      <c r="A784"/>
      <c r="B784"/>
      <c r="C784"/>
      <c r="D784"/>
      <c r="E784"/>
      <c r="F784" t="str">
        <f>LEFT(AllDaqbookOffsets[[#This Row],[traceability_no]],2)</f>
        <v>K4</v>
      </c>
      <c r="N784" s="456"/>
      <c r="O784"/>
      <c r="Z784" s="460"/>
      <c r="AA784" s="194"/>
      <c r="AB784"/>
      <c r="AG784" s="69"/>
      <c r="AH784"/>
    </row>
    <row r="785" spans="1:34" x14ac:dyDescent="0.2">
      <c r="A785"/>
      <c r="B785"/>
      <c r="C785"/>
      <c r="D785"/>
      <c r="E785"/>
      <c r="F785" t="str">
        <f>LEFT(AllDaqbookOffsets[[#This Row],[traceability_no]],2)</f>
        <v>K4</v>
      </c>
      <c r="N785" s="456"/>
      <c r="O785"/>
      <c r="Z785" s="460"/>
      <c r="AA785" s="194"/>
      <c r="AB785"/>
      <c r="AG785" s="69"/>
      <c r="AH785"/>
    </row>
    <row r="786" spans="1:34" x14ac:dyDescent="0.2">
      <c r="A786"/>
      <c r="B786"/>
      <c r="C786"/>
      <c r="D786"/>
      <c r="E786"/>
      <c r="F786" t="str">
        <f>LEFT(AllDaqbookOffsets[[#This Row],[traceability_no]],2)</f>
        <v>K4</v>
      </c>
      <c r="N786" s="456"/>
      <c r="O786"/>
      <c r="Z786" s="460"/>
      <c r="AA786" s="194"/>
      <c r="AB786"/>
      <c r="AG786" s="69"/>
      <c r="AH786"/>
    </row>
    <row r="787" spans="1:34" x14ac:dyDescent="0.2">
      <c r="A787"/>
      <c r="B787"/>
      <c r="C787"/>
      <c r="D787"/>
      <c r="E787"/>
      <c r="F787" t="str">
        <f>LEFT(AllDaqbookOffsets[[#This Row],[traceability_no]],2)</f>
        <v>K4</v>
      </c>
      <c r="N787" s="456"/>
      <c r="O787"/>
      <c r="Z787" s="460"/>
      <c r="AA787" s="194"/>
      <c r="AB787"/>
      <c r="AG787" s="69"/>
      <c r="AH787"/>
    </row>
    <row r="788" spans="1:34" x14ac:dyDescent="0.2">
      <c r="A788"/>
      <c r="B788"/>
      <c r="C788"/>
      <c r="D788"/>
      <c r="E788"/>
      <c r="F788" t="str">
        <f>LEFT(AllDaqbookOffsets[[#This Row],[traceability_no]],2)</f>
        <v>K4</v>
      </c>
      <c r="N788" s="456"/>
      <c r="O788"/>
      <c r="Z788" s="460"/>
      <c r="AA788" s="194"/>
      <c r="AB788"/>
      <c r="AG788" s="69"/>
      <c r="AH788"/>
    </row>
    <row r="789" spans="1:34" x14ac:dyDescent="0.2">
      <c r="A789"/>
      <c r="B789"/>
      <c r="C789"/>
      <c r="D789"/>
      <c r="E789"/>
      <c r="F789" t="str">
        <f>LEFT(AllDaqbookOffsets[[#This Row],[traceability_no]],2)</f>
        <v>K4</v>
      </c>
      <c r="N789" s="456"/>
      <c r="O789"/>
      <c r="Z789" s="460"/>
      <c r="AA789" s="194"/>
      <c r="AB789"/>
      <c r="AG789" s="69"/>
      <c r="AH789"/>
    </row>
    <row r="790" spans="1:34" x14ac:dyDescent="0.2">
      <c r="A790"/>
      <c r="B790"/>
      <c r="C790"/>
      <c r="D790"/>
      <c r="E790"/>
      <c r="F790" t="str">
        <f>LEFT(AllDaqbookOffsets[[#This Row],[traceability_no]],2)</f>
        <v>K4</v>
      </c>
      <c r="N790" s="456"/>
      <c r="O790"/>
      <c r="Z790" s="460"/>
      <c r="AA790" s="194"/>
      <c r="AB790"/>
      <c r="AG790" s="69"/>
      <c r="AH790"/>
    </row>
    <row r="791" spans="1:34" x14ac:dyDescent="0.2">
      <c r="A791"/>
      <c r="B791"/>
      <c r="C791"/>
      <c r="D791"/>
      <c r="E791"/>
      <c r="F791" t="str">
        <f>LEFT(AllDaqbookOffsets[[#This Row],[traceability_no]],2)</f>
        <v>K4</v>
      </c>
      <c r="N791" s="456"/>
      <c r="O791"/>
      <c r="Z791" s="460"/>
      <c r="AA791" s="194"/>
      <c r="AB791"/>
      <c r="AG791" s="69"/>
      <c r="AH791"/>
    </row>
    <row r="792" spans="1:34" x14ac:dyDescent="0.2">
      <c r="A792"/>
      <c r="B792"/>
      <c r="C792"/>
      <c r="D792"/>
      <c r="E792"/>
      <c r="F792" t="str">
        <f>LEFT(AllDaqbookOffsets[[#This Row],[traceability_no]],2)</f>
        <v>K4</v>
      </c>
      <c r="N792" s="456"/>
      <c r="O792"/>
      <c r="Z792" s="460"/>
      <c r="AA792" s="194"/>
      <c r="AB792"/>
      <c r="AG792" s="69"/>
      <c r="AH792"/>
    </row>
    <row r="793" spans="1:34" x14ac:dyDescent="0.2">
      <c r="A793"/>
      <c r="B793"/>
      <c r="C793"/>
      <c r="D793"/>
      <c r="E793"/>
      <c r="F793" t="str">
        <f>LEFT(AllDaqbookOffsets[[#This Row],[traceability_no]],2)</f>
        <v>K4</v>
      </c>
      <c r="N793" s="456"/>
      <c r="O793"/>
      <c r="Z793" s="460"/>
      <c r="AA793" s="194"/>
      <c r="AB793"/>
      <c r="AG793" s="69"/>
      <c r="AH793"/>
    </row>
    <row r="794" spans="1:34" x14ac:dyDescent="0.2">
      <c r="A794"/>
      <c r="B794"/>
      <c r="C794"/>
      <c r="D794"/>
      <c r="E794"/>
      <c r="F794" t="str">
        <f>LEFT(AllDaqbookOffsets[[#This Row],[traceability_no]],2)</f>
        <v>K4</v>
      </c>
      <c r="N794" s="456"/>
      <c r="O794"/>
      <c r="Z794" s="460"/>
      <c r="AA794" s="194"/>
      <c r="AB794"/>
      <c r="AG794" s="69"/>
      <c r="AH794"/>
    </row>
    <row r="795" spans="1:34" x14ac:dyDescent="0.2">
      <c r="A795"/>
      <c r="B795"/>
      <c r="C795"/>
      <c r="D795"/>
      <c r="E795"/>
      <c r="F795" t="str">
        <f>LEFT(AllDaqbookOffsets[[#This Row],[traceability_no]],2)</f>
        <v>K4</v>
      </c>
      <c r="N795" s="456"/>
      <c r="O795"/>
      <c r="Z795" s="460"/>
      <c r="AA795" s="194"/>
      <c r="AB795"/>
      <c r="AG795" s="69"/>
      <c r="AH795"/>
    </row>
    <row r="796" spans="1:34" x14ac:dyDescent="0.2">
      <c r="A796"/>
      <c r="B796"/>
      <c r="C796"/>
      <c r="D796"/>
      <c r="E796"/>
      <c r="F796" t="str">
        <f>LEFT(AllDaqbookOffsets[[#This Row],[traceability_no]],2)</f>
        <v>K4</v>
      </c>
      <c r="N796" s="456"/>
      <c r="O796"/>
      <c r="Z796" s="460"/>
      <c r="AA796" s="194"/>
      <c r="AB796"/>
      <c r="AG796" s="69"/>
      <c r="AH796"/>
    </row>
    <row r="797" spans="1:34" x14ac:dyDescent="0.2">
      <c r="A797"/>
      <c r="B797"/>
      <c r="C797"/>
      <c r="D797"/>
      <c r="E797"/>
      <c r="F797" t="str">
        <f>LEFT(AllDaqbookOffsets[[#This Row],[traceability_no]],2)</f>
        <v>K4</v>
      </c>
      <c r="N797" s="456"/>
      <c r="O797"/>
      <c r="Z797" s="460"/>
      <c r="AA797" s="194"/>
      <c r="AB797"/>
      <c r="AG797" s="69"/>
      <c r="AH797"/>
    </row>
    <row r="798" spans="1:34" x14ac:dyDescent="0.2">
      <c r="A798"/>
      <c r="B798"/>
      <c r="C798"/>
      <c r="D798"/>
      <c r="E798"/>
      <c r="F798" t="str">
        <f>LEFT(AllDaqbookOffsets[[#This Row],[traceability_no]],2)</f>
        <v>K4</v>
      </c>
      <c r="N798" s="456"/>
      <c r="O798"/>
      <c r="Z798" s="460"/>
      <c r="AA798" s="194"/>
      <c r="AB798"/>
      <c r="AG798" s="69"/>
      <c r="AH798"/>
    </row>
    <row r="799" spans="1:34" x14ac:dyDescent="0.2">
      <c r="A799"/>
      <c r="B799"/>
      <c r="C799"/>
      <c r="D799"/>
      <c r="E799"/>
      <c r="F799" t="str">
        <f>LEFT(AllDaqbookOffsets[[#This Row],[traceability_no]],2)</f>
        <v>K4</v>
      </c>
      <c r="N799" s="456"/>
      <c r="O799"/>
      <c r="Z799" s="460"/>
      <c r="AA799" s="194"/>
      <c r="AB799"/>
      <c r="AG799" s="69"/>
      <c r="AH799"/>
    </row>
    <row r="800" spans="1:34" x14ac:dyDescent="0.2">
      <c r="A800"/>
      <c r="B800"/>
      <c r="C800"/>
      <c r="D800"/>
      <c r="E800"/>
      <c r="F800" t="str">
        <f>LEFT(AllDaqbookOffsets[[#This Row],[traceability_no]],2)</f>
        <v>K4</v>
      </c>
      <c r="N800" s="456"/>
      <c r="O800"/>
      <c r="Z800" s="460"/>
      <c r="AA800" s="194"/>
      <c r="AB800"/>
      <c r="AG800" s="69"/>
      <c r="AH800"/>
    </row>
    <row r="801" spans="1:34" x14ac:dyDescent="0.2">
      <c r="A801"/>
      <c r="B801"/>
      <c r="C801"/>
      <c r="D801"/>
      <c r="E801"/>
      <c r="F801" t="str">
        <f>LEFT(AllDaqbookOffsets[[#This Row],[traceability_no]],2)</f>
        <v>K4</v>
      </c>
      <c r="N801" s="456"/>
      <c r="O801"/>
      <c r="Z801" s="460"/>
      <c r="AA801" s="194"/>
      <c r="AB801"/>
      <c r="AG801" s="69"/>
      <c r="AH801"/>
    </row>
    <row r="802" spans="1:34" x14ac:dyDescent="0.2">
      <c r="A802"/>
      <c r="B802"/>
      <c r="C802"/>
      <c r="D802"/>
      <c r="E802"/>
      <c r="F802" t="str">
        <f>LEFT(AllDaqbookOffsets[[#This Row],[traceability_no]],2)</f>
        <v>K4</v>
      </c>
      <c r="N802" s="456"/>
      <c r="O802"/>
      <c r="Z802" s="460"/>
      <c r="AA802" s="194"/>
      <c r="AB802"/>
      <c r="AG802" s="69"/>
      <c r="AH802"/>
    </row>
    <row r="803" spans="1:34" x14ac:dyDescent="0.2">
      <c r="A803"/>
      <c r="B803"/>
      <c r="C803"/>
      <c r="D803"/>
      <c r="E803"/>
      <c r="F803" t="str">
        <f>LEFT(AllDaqbookOffsets[[#This Row],[traceability_no]],2)</f>
        <v>K4</v>
      </c>
      <c r="N803" s="456"/>
      <c r="O803"/>
      <c r="Z803" s="460"/>
      <c r="AA803" s="194"/>
      <c r="AB803"/>
      <c r="AG803" s="69"/>
      <c r="AH803"/>
    </row>
    <row r="804" spans="1:34" x14ac:dyDescent="0.2">
      <c r="A804"/>
      <c r="B804"/>
      <c r="C804"/>
      <c r="D804"/>
      <c r="E804"/>
      <c r="F804" t="str">
        <f>LEFT(AllDaqbookOffsets[[#This Row],[traceability_no]],2)</f>
        <v>K4</v>
      </c>
      <c r="N804" s="456"/>
      <c r="O804"/>
      <c r="Z804" s="460"/>
      <c r="AA804" s="194"/>
      <c r="AB804"/>
      <c r="AG804" s="69"/>
      <c r="AH804"/>
    </row>
    <row r="805" spans="1:34" x14ac:dyDescent="0.2">
      <c r="A805"/>
      <c r="B805"/>
      <c r="C805"/>
      <c r="D805"/>
      <c r="E805"/>
      <c r="F805" t="str">
        <f>LEFT(AllDaqbookOffsets[[#This Row],[traceability_no]],2)</f>
        <v>K4</v>
      </c>
      <c r="N805" s="456"/>
      <c r="O805"/>
      <c r="Z805" s="460"/>
      <c r="AA805" s="194"/>
      <c r="AB805"/>
      <c r="AG805" s="69"/>
      <c r="AH805"/>
    </row>
    <row r="806" spans="1:34" x14ac:dyDescent="0.2">
      <c r="A806"/>
      <c r="B806"/>
      <c r="C806"/>
      <c r="D806"/>
      <c r="E806"/>
      <c r="F806" t="str">
        <f>LEFT(AllDaqbookOffsets[[#This Row],[traceability_no]],2)</f>
        <v>K4</v>
      </c>
      <c r="N806" s="456"/>
      <c r="O806"/>
      <c r="Z806" s="460"/>
      <c r="AA806" s="194"/>
      <c r="AB806"/>
      <c r="AG806" s="69"/>
      <c r="AH806"/>
    </row>
    <row r="807" spans="1:34" x14ac:dyDescent="0.2">
      <c r="A807"/>
      <c r="B807"/>
      <c r="C807"/>
      <c r="D807"/>
      <c r="E807"/>
      <c r="F807" t="str">
        <f>LEFT(AllDaqbookOffsets[[#This Row],[traceability_no]],2)</f>
        <v>K4</v>
      </c>
      <c r="N807" s="456"/>
      <c r="O807"/>
      <c r="Z807" s="460"/>
      <c r="AA807" s="194"/>
      <c r="AB807"/>
      <c r="AG807" s="69"/>
      <c r="AH807"/>
    </row>
    <row r="808" spans="1:34" x14ac:dyDescent="0.2">
      <c r="A808"/>
      <c r="B808"/>
      <c r="C808"/>
      <c r="D808"/>
      <c r="E808"/>
      <c r="F808" t="str">
        <f>LEFT(AllDaqbookOffsets[[#This Row],[traceability_no]],2)</f>
        <v>K4</v>
      </c>
      <c r="N808" s="456"/>
      <c r="O808"/>
      <c r="Z808" s="460"/>
      <c r="AA808" s="194"/>
      <c r="AB808"/>
      <c r="AG808" s="69"/>
      <c r="AH808"/>
    </row>
    <row r="809" spans="1:34" x14ac:dyDescent="0.2">
      <c r="A809"/>
      <c r="B809"/>
      <c r="C809"/>
      <c r="D809"/>
      <c r="E809"/>
      <c r="F809" t="str">
        <f>LEFT(AllDaqbookOffsets[[#This Row],[traceability_no]],2)</f>
        <v>K4</v>
      </c>
      <c r="N809" s="456"/>
      <c r="O809"/>
      <c r="Z809" s="460"/>
      <c r="AA809" s="194"/>
      <c r="AB809"/>
      <c r="AG809" s="69"/>
      <c r="AH809"/>
    </row>
    <row r="810" spans="1:34" x14ac:dyDescent="0.2">
      <c r="A810"/>
      <c r="B810"/>
      <c r="C810"/>
      <c r="D810"/>
      <c r="E810"/>
      <c r="F810" t="str">
        <f>LEFT(AllDaqbookOffsets[[#This Row],[traceability_no]],2)</f>
        <v>K4</v>
      </c>
      <c r="N810" s="456"/>
      <c r="O810"/>
      <c r="Z810" s="460"/>
      <c r="AA810" s="194"/>
      <c r="AB810"/>
      <c r="AG810" s="69"/>
      <c r="AH810"/>
    </row>
    <row r="811" spans="1:34" x14ac:dyDescent="0.2">
      <c r="A811"/>
      <c r="B811"/>
      <c r="C811"/>
      <c r="D811"/>
      <c r="E811"/>
      <c r="F811" t="str">
        <f>LEFT(AllDaqbookOffsets[[#This Row],[traceability_no]],2)</f>
        <v>K4</v>
      </c>
      <c r="N811" s="456"/>
      <c r="O811"/>
      <c r="Z811" s="460"/>
      <c r="AA811" s="194"/>
      <c r="AB811"/>
      <c r="AG811" s="69"/>
      <c r="AH811"/>
    </row>
    <row r="812" spans="1:34" x14ac:dyDescent="0.2">
      <c r="A812"/>
      <c r="B812"/>
      <c r="C812"/>
      <c r="D812"/>
      <c r="E812"/>
      <c r="F812" t="str">
        <f>LEFT(AllDaqbookOffsets[[#This Row],[traceability_no]],2)</f>
        <v>K4</v>
      </c>
      <c r="N812" s="456"/>
      <c r="O812"/>
      <c r="Z812" s="460"/>
      <c r="AA812" s="194"/>
      <c r="AB812"/>
      <c r="AG812" s="69"/>
      <c r="AH812"/>
    </row>
    <row r="813" spans="1:34" x14ac:dyDescent="0.2">
      <c r="A813"/>
      <c r="B813"/>
      <c r="C813"/>
      <c r="D813"/>
      <c r="E813"/>
      <c r="F813" t="str">
        <f>LEFT(AllDaqbookOffsets[[#This Row],[traceability_no]],2)</f>
        <v>K4</v>
      </c>
      <c r="N813" s="456"/>
      <c r="O813"/>
      <c r="Z813" s="460"/>
      <c r="AA813" s="194"/>
      <c r="AB813"/>
      <c r="AG813" s="69"/>
      <c r="AH813"/>
    </row>
    <row r="814" spans="1:34" x14ac:dyDescent="0.2">
      <c r="A814"/>
      <c r="B814"/>
      <c r="C814"/>
      <c r="D814"/>
      <c r="E814"/>
      <c r="F814" t="str">
        <f>LEFT(AllDaqbookOffsets[[#This Row],[traceability_no]],2)</f>
        <v>K4</v>
      </c>
      <c r="N814" s="456"/>
      <c r="O814"/>
      <c r="Z814" s="460"/>
      <c r="AA814" s="194"/>
      <c r="AB814"/>
      <c r="AG814" s="69"/>
      <c r="AH814"/>
    </row>
    <row r="815" spans="1:34" x14ac:dyDescent="0.2">
      <c r="A815"/>
      <c r="B815"/>
      <c r="C815"/>
      <c r="D815"/>
      <c r="E815"/>
      <c r="F815" t="str">
        <f>LEFT(AllDaqbookOffsets[[#This Row],[traceability_no]],2)</f>
        <v>K4</v>
      </c>
      <c r="N815" s="456"/>
      <c r="O815"/>
      <c r="Z815" s="460"/>
      <c r="AA815" s="194"/>
      <c r="AB815"/>
      <c r="AG815" s="69"/>
      <c r="AH815"/>
    </row>
    <row r="816" spans="1:34" x14ac:dyDescent="0.2">
      <c r="A816"/>
      <c r="B816"/>
      <c r="C816"/>
      <c r="D816"/>
      <c r="E816"/>
      <c r="F816" t="str">
        <f>LEFT(AllDaqbookOffsets[[#This Row],[traceability_no]],2)</f>
        <v>K4</v>
      </c>
      <c r="N816" s="456"/>
      <c r="O816"/>
      <c r="Z816" s="460"/>
      <c r="AA816" s="194"/>
      <c r="AB816"/>
      <c r="AG816" s="69"/>
      <c r="AH816"/>
    </row>
    <row r="817" spans="1:34" x14ac:dyDescent="0.2">
      <c r="A817"/>
      <c r="B817"/>
      <c r="C817"/>
      <c r="D817"/>
      <c r="E817"/>
      <c r="F817" t="str">
        <f>LEFT(AllDaqbookOffsets[[#This Row],[traceability_no]],2)</f>
        <v>K4</v>
      </c>
      <c r="N817" s="456"/>
      <c r="O817"/>
      <c r="Z817" s="460"/>
      <c r="AA817" s="194"/>
      <c r="AB817"/>
      <c r="AG817" s="69"/>
      <c r="AH817"/>
    </row>
    <row r="818" spans="1:34" x14ac:dyDescent="0.2">
      <c r="A818"/>
      <c r="B818"/>
      <c r="C818"/>
      <c r="D818"/>
      <c r="E818"/>
      <c r="F818" t="str">
        <f>LEFT(AllDaqbookOffsets[[#This Row],[traceability_no]],2)</f>
        <v>K4</v>
      </c>
      <c r="N818" s="456"/>
      <c r="O818"/>
      <c r="Z818" s="460"/>
      <c r="AA818" s="194"/>
      <c r="AB818"/>
      <c r="AG818" s="69"/>
      <c r="AH818"/>
    </row>
    <row r="819" spans="1:34" x14ac:dyDescent="0.2">
      <c r="A819"/>
      <c r="B819"/>
      <c r="C819"/>
      <c r="D819"/>
      <c r="E819"/>
      <c r="F819" t="str">
        <f>LEFT(AllDaqbookOffsets[[#This Row],[traceability_no]],2)</f>
        <v>K4</v>
      </c>
      <c r="N819" s="456"/>
      <c r="O819"/>
      <c r="Z819" s="460"/>
      <c r="AA819" s="194"/>
      <c r="AB819"/>
      <c r="AG819" s="69"/>
      <c r="AH819"/>
    </row>
    <row r="820" spans="1:34" x14ac:dyDescent="0.2">
      <c r="A820"/>
      <c r="B820"/>
      <c r="C820"/>
      <c r="D820"/>
      <c r="E820"/>
      <c r="F820" t="str">
        <f>LEFT(AllDaqbookOffsets[[#This Row],[traceability_no]],2)</f>
        <v>K4</v>
      </c>
      <c r="N820" s="456"/>
      <c r="O820"/>
      <c r="Z820" s="460"/>
      <c r="AA820" s="194"/>
      <c r="AB820"/>
      <c r="AG820" s="69"/>
      <c r="AH820"/>
    </row>
    <row r="821" spans="1:34" x14ac:dyDescent="0.2">
      <c r="A821"/>
      <c r="B821"/>
      <c r="C821"/>
      <c r="D821"/>
      <c r="E821"/>
      <c r="F821" t="str">
        <f>LEFT(AllDaqbookOffsets[[#This Row],[traceability_no]],2)</f>
        <v>K4</v>
      </c>
      <c r="N821" s="456"/>
      <c r="O821"/>
      <c r="Z821" s="460"/>
      <c r="AA821" s="194"/>
      <c r="AB821"/>
      <c r="AG821" s="69"/>
      <c r="AH821"/>
    </row>
    <row r="822" spans="1:34" x14ac:dyDescent="0.2">
      <c r="A822"/>
      <c r="B822"/>
      <c r="C822"/>
      <c r="D822"/>
      <c r="E822"/>
      <c r="F822" t="str">
        <f>LEFT(AllDaqbookOffsets[[#This Row],[traceability_no]],2)</f>
        <v>K4</v>
      </c>
      <c r="N822" s="456"/>
      <c r="O822"/>
      <c r="Z822" s="460"/>
      <c r="AA822" s="194"/>
      <c r="AB822"/>
      <c r="AG822" s="69"/>
      <c r="AH822"/>
    </row>
    <row r="823" spans="1:34" x14ac:dyDescent="0.2">
      <c r="A823"/>
      <c r="B823"/>
      <c r="C823"/>
      <c r="D823"/>
      <c r="E823"/>
      <c r="F823" t="str">
        <f>LEFT(AllDaqbookOffsets[[#This Row],[traceability_no]],2)</f>
        <v>K4</v>
      </c>
      <c r="N823" s="456"/>
      <c r="O823"/>
      <c r="Z823" s="460"/>
      <c r="AA823" s="194"/>
      <c r="AB823"/>
      <c r="AG823" s="69"/>
      <c r="AH823"/>
    </row>
    <row r="824" spans="1:34" x14ac:dyDescent="0.2">
      <c r="A824"/>
      <c r="B824"/>
      <c r="C824"/>
      <c r="D824"/>
      <c r="E824"/>
      <c r="F824" t="str">
        <f>LEFT(AllDaqbookOffsets[[#This Row],[traceability_no]],2)</f>
        <v>K4</v>
      </c>
      <c r="N824" s="456"/>
      <c r="O824"/>
      <c r="Z824" s="460"/>
      <c r="AA824" s="194"/>
      <c r="AB824"/>
      <c r="AG824" s="69"/>
      <c r="AH824"/>
    </row>
    <row r="825" spans="1:34" x14ac:dyDescent="0.2">
      <c r="A825"/>
      <c r="B825"/>
      <c r="C825"/>
      <c r="D825"/>
      <c r="E825"/>
      <c r="F825" t="str">
        <f>LEFT(AllDaqbookOffsets[[#This Row],[traceability_no]],2)</f>
        <v>K4</v>
      </c>
      <c r="N825" s="456"/>
      <c r="O825"/>
      <c r="Z825" s="460"/>
      <c r="AA825" s="194"/>
      <c r="AB825"/>
      <c r="AG825" s="69"/>
      <c r="AH825"/>
    </row>
    <row r="826" spans="1:34" x14ac:dyDescent="0.2">
      <c r="A826"/>
      <c r="B826"/>
      <c r="C826"/>
      <c r="D826"/>
      <c r="E826"/>
      <c r="F826" t="str">
        <f>LEFT(AllDaqbookOffsets[[#This Row],[traceability_no]],2)</f>
        <v>K4</v>
      </c>
      <c r="N826" s="456"/>
      <c r="O826"/>
      <c r="Z826" s="460"/>
      <c r="AA826" s="194"/>
      <c r="AB826"/>
      <c r="AG826" s="69"/>
      <c r="AH826"/>
    </row>
    <row r="827" spans="1:34" x14ac:dyDescent="0.2">
      <c r="A827"/>
      <c r="B827"/>
      <c r="C827"/>
      <c r="D827"/>
      <c r="E827"/>
      <c r="F827" t="str">
        <f>LEFT(AllDaqbookOffsets[[#This Row],[traceability_no]],2)</f>
        <v>K4</v>
      </c>
      <c r="N827" s="456"/>
      <c r="O827"/>
      <c r="Z827" s="460"/>
      <c r="AA827" s="194"/>
      <c r="AB827"/>
      <c r="AG827" s="69"/>
      <c r="AH827"/>
    </row>
    <row r="828" spans="1:34" x14ac:dyDescent="0.2">
      <c r="A828"/>
      <c r="B828"/>
      <c r="C828"/>
      <c r="D828"/>
      <c r="E828"/>
      <c r="F828" t="str">
        <f>LEFT(AllDaqbookOffsets[[#This Row],[traceability_no]],2)</f>
        <v>K4</v>
      </c>
      <c r="N828" s="456"/>
      <c r="O828"/>
      <c r="Z828" s="460"/>
      <c r="AA828" s="194"/>
      <c r="AB828"/>
      <c r="AG828" s="69"/>
      <c r="AH828"/>
    </row>
    <row r="829" spans="1:34" x14ac:dyDescent="0.2">
      <c r="A829"/>
      <c r="B829"/>
      <c r="C829"/>
      <c r="D829"/>
      <c r="E829"/>
      <c r="F829" t="str">
        <f>LEFT(AllDaqbookOffsets[[#This Row],[traceability_no]],2)</f>
        <v>K4</v>
      </c>
      <c r="N829" s="456"/>
      <c r="O829"/>
      <c r="Z829" s="460"/>
      <c r="AA829" s="194"/>
      <c r="AB829"/>
      <c r="AG829" s="69"/>
      <c r="AH829"/>
    </row>
    <row r="830" spans="1:34" x14ac:dyDescent="0.2">
      <c r="A830"/>
      <c r="B830"/>
      <c r="C830"/>
      <c r="D830"/>
      <c r="E830"/>
      <c r="F830" t="str">
        <f>LEFT(AllDaqbookOffsets[[#This Row],[traceability_no]],2)</f>
        <v>K4</v>
      </c>
      <c r="N830" s="456"/>
      <c r="O830"/>
      <c r="Z830" s="460"/>
      <c r="AA830" s="194"/>
      <c r="AB830"/>
      <c r="AG830" s="69"/>
      <c r="AH830"/>
    </row>
    <row r="831" spans="1:34" x14ac:dyDescent="0.2">
      <c r="A831"/>
      <c r="B831"/>
      <c r="C831"/>
      <c r="D831"/>
      <c r="E831"/>
      <c r="F831" t="str">
        <f>LEFT(AllDaqbookOffsets[[#This Row],[traceability_no]],2)</f>
        <v>K4</v>
      </c>
      <c r="N831" s="456"/>
      <c r="O831"/>
      <c r="Z831" s="460"/>
      <c r="AA831" s="194"/>
      <c r="AB831"/>
      <c r="AG831" s="69"/>
      <c r="AH831"/>
    </row>
    <row r="832" spans="1:34" x14ac:dyDescent="0.2">
      <c r="A832"/>
      <c r="B832"/>
      <c r="C832"/>
      <c r="D832"/>
      <c r="E832"/>
      <c r="F832" t="str">
        <f>LEFT(AllDaqbookOffsets[[#This Row],[traceability_no]],2)</f>
        <v>K4</v>
      </c>
      <c r="N832" s="456"/>
      <c r="O832"/>
      <c r="Z832" s="460"/>
      <c r="AA832" s="194"/>
      <c r="AB832"/>
      <c r="AG832" s="69"/>
      <c r="AH832"/>
    </row>
    <row r="833" spans="1:34" x14ac:dyDescent="0.2">
      <c r="A833"/>
      <c r="B833"/>
      <c r="C833"/>
      <c r="D833"/>
      <c r="E833"/>
      <c r="F833" t="str">
        <f>LEFT(AllDaqbookOffsets[[#This Row],[traceability_no]],2)</f>
        <v>K4</v>
      </c>
      <c r="N833" s="456"/>
      <c r="O833"/>
      <c r="Z833" s="460"/>
      <c r="AA833" s="194"/>
      <c r="AB833"/>
      <c r="AG833" s="69"/>
      <c r="AH833"/>
    </row>
    <row r="834" spans="1:34" x14ac:dyDescent="0.2">
      <c r="A834"/>
      <c r="B834"/>
      <c r="C834"/>
      <c r="D834"/>
      <c r="E834"/>
      <c r="F834" t="str">
        <f>LEFT(AllDaqbookOffsets[[#This Row],[traceability_no]],2)</f>
        <v>K4</v>
      </c>
      <c r="N834" s="456"/>
      <c r="O834"/>
      <c r="Z834" s="460"/>
      <c r="AA834" s="194"/>
      <c r="AB834"/>
      <c r="AG834" s="69"/>
      <c r="AH834"/>
    </row>
    <row r="835" spans="1:34" x14ac:dyDescent="0.2">
      <c r="A835"/>
      <c r="B835"/>
      <c r="C835"/>
      <c r="D835"/>
      <c r="E835"/>
      <c r="F835" t="str">
        <f>LEFT(AllDaqbookOffsets[[#This Row],[traceability_no]],2)</f>
        <v>K4</v>
      </c>
      <c r="N835" s="456"/>
      <c r="O835"/>
      <c r="Z835" s="460"/>
      <c r="AA835" s="194"/>
      <c r="AB835"/>
      <c r="AG835" s="69"/>
      <c r="AH835"/>
    </row>
    <row r="836" spans="1:34" x14ac:dyDescent="0.2">
      <c r="A836"/>
      <c r="B836"/>
      <c r="C836"/>
      <c r="D836"/>
      <c r="E836"/>
      <c r="F836" t="str">
        <f>LEFT(AllDaqbookOffsets[[#This Row],[traceability_no]],2)</f>
        <v>K4</v>
      </c>
      <c r="N836" s="456"/>
      <c r="O836"/>
      <c r="Z836" s="460"/>
      <c r="AA836" s="194"/>
      <c r="AB836"/>
      <c r="AG836" s="69"/>
      <c r="AH836"/>
    </row>
    <row r="837" spans="1:34" x14ac:dyDescent="0.2">
      <c r="A837"/>
      <c r="B837"/>
      <c r="C837"/>
      <c r="D837"/>
      <c r="E837"/>
      <c r="F837" t="str">
        <f>LEFT(AllDaqbookOffsets[[#This Row],[traceability_no]],2)</f>
        <v>K4</v>
      </c>
      <c r="N837" s="456"/>
      <c r="O837"/>
      <c r="Z837" s="460"/>
      <c r="AA837" s="194"/>
      <c r="AB837"/>
      <c r="AG837" s="69"/>
      <c r="AH837"/>
    </row>
    <row r="838" spans="1:34" x14ac:dyDescent="0.2">
      <c r="A838"/>
      <c r="B838"/>
      <c r="C838"/>
      <c r="D838"/>
      <c r="E838"/>
      <c r="F838" t="str">
        <f>LEFT(AllDaqbookOffsets[[#This Row],[traceability_no]],2)</f>
        <v>K4</v>
      </c>
      <c r="N838" s="456"/>
      <c r="O838"/>
      <c r="Z838" s="460"/>
      <c r="AA838" s="194"/>
      <c r="AB838"/>
      <c r="AG838" s="69"/>
      <c r="AH838"/>
    </row>
    <row r="839" spans="1:34" x14ac:dyDescent="0.2">
      <c r="A839"/>
      <c r="B839"/>
      <c r="C839"/>
      <c r="D839"/>
      <c r="E839"/>
      <c r="F839" t="str">
        <f>LEFT(AllDaqbookOffsets[[#This Row],[traceability_no]],2)</f>
        <v>K4</v>
      </c>
      <c r="N839" s="456"/>
      <c r="O839"/>
      <c r="Z839" s="460"/>
      <c r="AA839" s="194"/>
      <c r="AB839"/>
      <c r="AG839" s="69"/>
      <c r="AH839"/>
    </row>
    <row r="840" spans="1:34" x14ac:dyDescent="0.2">
      <c r="A840"/>
      <c r="B840"/>
      <c r="C840"/>
      <c r="D840"/>
      <c r="E840"/>
      <c r="F840" t="str">
        <f>LEFT(AllDaqbookOffsets[[#This Row],[traceability_no]],2)</f>
        <v>K4</v>
      </c>
      <c r="N840" s="456"/>
      <c r="O840"/>
      <c r="Z840" s="460"/>
      <c r="AA840" s="194"/>
      <c r="AB840"/>
      <c r="AG840" s="69"/>
      <c r="AH840"/>
    </row>
    <row r="841" spans="1:34" x14ac:dyDescent="0.2">
      <c r="A841"/>
      <c r="B841"/>
      <c r="C841"/>
      <c r="D841"/>
      <c r="E841"/>
      <c r="F841" t="str">
        <f>LEFT(AllDaqbookOffsets[[#This Row],[traceability_no]],2)</f>
        <v>K4</v>
      </c>
      <c r="N841" s="456"/>
      <c r="O841"/>
      <c r="Z841" s="460"/>
      <c r="AA841" s="194"/>
      <c r="AB841"/>
      <c r="AG841" s="69"/>
      <c r="AH841"/>
    </row>
    <row r="842" spans="1:34" x14ac:dyDescent="0.2">
      <c r="A842"/>
      <c r="B842"/>
      <c r="C842"/>
      <c r="D842"/>
      <c r="E842"/>
      <c r="F842" t="str">
        <f>LEFT(AllDaqbookOffsets[[#This Row],[traceability_no]],2)</f>
        <v>K4</v>
      </c>
      <c r="N842" s="456"/>
      <c r="O842"/>
      <c r="Z842" s="460"/>
      <c r="AA842" s="194"/>
      <c r="AB842"/>
      <c r="AG842" s="69"/>
      <c r="AH842"/>
    </row>
    <row r="843" spans="1:34" x14ac:dyDescent="0.2">
      <c r="A843"/>
      <c r="B843"/>
      <c r="C843"/>
      <c r="D843"/>
      <c r="E843"/>
      <c r="F843" t="str">
        <f>LEFT(AllDaqbookOffsets[[#This Row],[traceability_no]],2)</f>
        <v>K4</v>
      </c>
      <c r="N843" s="456"/>
      <c r="O843"/>
      <c r="Z843" s="460"/>
      <c r="AA843" s="194"/>
      <c r="AB843"/>
      <c r="AG843" s="69"/>
      <c r="AH843"/>
    </row>
    <row r="844" spans="1:34" x14ac:dyDescent="0.2">
      <c r="A844"/>
      <c r="B844"/>
      <c r="C844"/>
      <c r="D844"/>
      <c r="E844"/>
      <c r="F844" t="str">
        <f>LEFT(AllDaqbookOffsets[[#This Row],[traceability_no]],2)</f>
        <v>K4</v>
      </c>
      <c r="N844" s="456"/>
      <c r="O844"/>
      <c r="Z844" s="460"/>
      <c r="AA844" s="194"/>
      <c r="AB844"/>
      <c r="AG844" s="69"/>
      <c r="AH844"/>
    </row>
    <row r="845" spans="1:34" x14ac:dyDescent="0.2">
      <c r="A845"/>
      <c r="B845"/>
      <c r="C845"/>
      <c r="D845"/>
      <c r="E845"/>
      <c r="F845" t="str">
        <f>LEFT(AllDaqbookOffsets[[#This Row],[traceability_no]],2)</f>
        <v>K4</v>
      </c>
      <c r="N845" s="456"/>
      <c r="O845"/>
      <c r="Z845" s="460"/>
      <c r="AA845" s="194"/>
      <c r="AB845"/>
      <c r="AG845" s="69"/>
      <c r="AH845"/>
    </row>
    <row r="846" spans="1:34" x14ac:dyDescent="0.2">
      <c r="A846"/>
      <c r="B846"/>
      <c r="C846"/>
      <c r="D846"/>
      <c r="E846"/>
      <c r="F846" t="str">
        <f>LEFT(AllDaqbookOffsets[[#This Row],[traceability_no]],2)</f>
        <v>K4</v>
      </c>
      <c r="N846" s="456"/>
      <c r="O846"/>
      <c r="Z846" s="460"/>
      <c r="AA846" s="194"/>
      <c r="AB846"/>
      <c r="AG846" s="69"/>
      <c r="AH846"/>
    </row>
    <row r="847" spans="1:34" x14ac:dyDescent="0.2">
      <c r="A847"/>
      <c r="B847"/>
      <c r="C847"/>
      <c r="D847"/>
      <c r="E847"/>
      <c r="F847" t="str">
        <f>LEFT(AllDaqbookOffsets[[#This Row],[traceability_no]],2)</f>
        <v>K4</v>
      </c>
      <c r="N847" s="456"/>
      <c r="O847"/>
      <c r="Z847" s="460"/>
      <c r="AA847" s="194"/>
      <c r="AB847"/>
      <c r="AG847" s="69"/>
      <c r="AH847"/>
    </row>
    <row r="848" spans="1:34" x14ac:dyDescent="0.2">
      <c r="A848"/>
      <c r="B848"/>
      <c r="C848"/>
      <c r="D848"/>
      <c r="E848"/>
      <c r="F848" t="str">
        <f>LEFT(AllDaqbookOffsets[[#This Row],[traceability_no]],2)</f>
        <v>K4</v>
      </c>
      <c r="N848" s="456"/>
      <c r="O848"/>
      <c r="Z848" s="460"/>
      <c r="AA848" s="194"/>
      <c r="AB848"/>
      <c r="AG848" s="69"/>
      <c r="AH848"/>
    </row>
    <row r="849" spans="1:34" x14ac:dyDescent="0.2">
      <c r="A849"/>
      <c r="B849"/>
      <c r="C849"/>
      <c r="D849"/>
      <c r="E849"/>
      <c r="F849" t="str">
        <f>LEFT(AllDaqbookOffsets[[#This Row],[traceability_no]],2)</f>
        <v>K4</v>
      </c>
      <c r="N849" s="456"/>
      <c r="O849"/>
      <c r="Z849" s="460"/>
      <c r="AA849" s="194"/>
      <c r="AB849"/>
      <c r="AG849" s="69"/>
      <c r="AH849"/>
    </row>
    <row r="850" spans="1:34" x14ac:dyDescent="0.2">
      <c r="A850"/>
      <c r="B850"/>
      <c r="C850"/>
      <c r="D850"/>
      <c r="E850"/>
      <c r="F850" t="str">
        <f>LEFT(AllDaqbookOffsets[[#This Row],[traceability_no]],2)</f>
        <v>K4</v>
      </c>
      <c r="N850" s="456"/>
      <c r="O850"/>
      <c r="Z850" s="460"/>
      <c r="AA850" s="194"/>
      <c r="AB850"/>
      <c r="AG850" s="69"/>
      <c r="AH850"/>
    </row>
    <row r="851" spans="1:34" x14ac:dyDescent="0.2">
      <c r="A851"/>
      <c r="B851"/>
      <c r="C851"/>
      <c r="D851"/>
      <c r="E851"/>
      <c r="F851" t="str">
        <f>LEFT(AllDaqbookOffsets[[#This Row],[traceability_no]],2)</f>
        <v>K4</v>
      </c>
      <c r="N851" s="456"/>
      <c r="O851"/>
      <c r="Z851" s="460"/>
      <c r="AA851" s="194"/>
      <c r="AB851"/>
      <c r="AG851" s="69"/>
      <c r="AH851"/>
    </row>
    <row r="852" spans="1:34" x14ac:dyDescent="0.2">
      <c r="A852"/>
      <c r="B852"/>
      <c r="C852"/>
      <c r="D852"/>
      <c r="E852"/>
      <c r="F852" t="str">
        <f>LEFT(AllDaqbookOffsets[[#This Row],[traceability_no]],2)</f>
        <v>K4</v>
      </c>
      <c r="N852" s="456"/>
      <c r="O852"/>
      <c r="Z852" s="460"/>
      <c r="AA852" s="194"/>
      <c r="AB852"/>
      <c r="AG852" s="69"/>
      <c r="AH852"/>
    </row>
    <row r="853" spans="1:34" x14ac:dyDescent="0.2">
      <c r="A853"/>
      <c r="B853"/>
      <c r="C853"/>
      <c r="D853"/>
      <c r="E853"/>
      <c r="F853" t="str">
        <f>LEFT(AllDaqbookOffsets[[#This Row],[traceability_no]],2)</f>
        <v>K4</v>
      </c>
      <c r="N853" s="456"/>
      <c r="O853"/>
      <c r="Z853" s="460"/>
      <c r="AA853" s="194"/>
      <c r="AB853"/>
      <c r="AG853" s="69"/>
      <c r="AH853"/>
    </row>
    <row r="854" spans="1:34" x14ac:dyDescent="0.2">
      <c r="A854"/>
      <c r="B854"/>
      <c r="C854"/>
      <c r="D854"/>
      <c r="E854"/>
      <c r="F854" t="str">
        <f>LEFT(AllDaqbookOffsets[[#This Row],[traceability_no]],2)</f>
        <v>K4</v>
      </c>
      <c r="N854" s="456"/>
      <c r="O854"/>
      <c r="Z854" s="460"/>
      <c r="AA854" s="194"/>
      <c r="AB854"/>
      <c r="AG854" s="69"/>
      <c r="AH854"/>
    </row>
    <row r="855" spans="1:34" x14ac:dyDescent="0.2">
      <c r="A855"/>
      <c r="B855"/>
      <c r="C855"/>
      <c r="D855"/>
      <c r="E855"/>
      <c r="F855" t="str">
        <f>LEFT(AllDaqbookOffsets[[#This Row],[traceability_no]],2)</f>
        <v>K4</v>
      </c>
      <c r="N855" s="456"/>
      <c r="O855"/>
      <c r="Z855" s="460"/>
      <c r="AA855" s="194"/>
      <c r="AB855"/>
      <c r="AG855" s="69"/>
      <c r="AH855"/>
    </row>
    <row r="856" spans="1:34" x14ac:dyDescent="0.2">
      <c r="A856"/>
      <c r="B856"/>
      <c r="C856"/>
      <c r="D856"/>
      <c r="E856"/>
      <c r="F856" t="str">
        <f>LEFT(AllDaqbookOffsets[[#This Row],[traceability_no]],2)</f>
        <v>K4</v>
      </c>
      <c r="N856" s="456"/>
      <c r="O856"/>
      <c r="Z856" s="460"/>
      <c r="AA856" s="194"/>
      <c r="AB856"/>
      <c r="AG856" s="69"/>
      <c r="AH856"/>
    </row>
    <row r="857" spans="1:34" x14ac:dyDescent="0.2">
      <c r="A857"/>
      <c r="B857"/>
      <c r="C857"/>
      <c r="D857"/>
      <c r="E857"/>
      <c r="F857" t="str">
        <f>LEFT(AllDaqbookOffsets[[#This Row],[traceability_no]],2)</f>
        <v>K4</v>
      </c>
      <c r="N857" s="456"/>
      <c r="O857"/>
      <c r="Z857" s="460"/>
      <c r="AA857" s="194"/>
      <c r="AB857"/>
      <c r="AG857" s="69"/>
      <c r="AH857"/>
    </row>
    <row r="858" spans="1:34" x14ac:dyDescent="0.2">
      <c r="A858"/>
      <c r="B858"/>
      <c r="C858"/>
      <c r="D858"/>
      <c r="E858"/>
      <c r="F858" t="str">
        <f>LEFT(AllDaqbookOffsets[[#This Row],[traceability_no]],2)</f>
        <v>K4</v>
      </c>
      <c r="N858" s="456"/>
      <c r="O858"/>
      <c r="Z858" s="460"/>
      <c r="AA858" s="194"/>
      <c r="AB858"/>
      <c r="AG858" s="69"/>
      <c r="AH858"/>
    </row>
    <row r="859" spans="1:34" x14ac:dyDescent="0.2">
      <c r="A859"/>
      <c r="B859"/>
      <c r="C859"/>
      <c r="D859"/>
      <c r="E859"/>
      <c r="F859" t="str">
        <f>LEFT(AllDaqbookOffsets[[#This Row],[traceability_no]],2)</f>
        <v>K4</v>
      </c>
      <c r="N859" s="456"/>
      <c r="O859"/>
      <c r="Z859" s="460"/>
      <c r="AA859" s="194"/>
      <c r="AB859"/>
      <c r="AG859" s="69"/>
      <c r="AH859"/>
    </row>
    <row r="860" spans="1:34" x14ac:dyDescent="0.2">
      <c r="A860"/>
      <c r="B860"/>
      <c r="C860"/>
      <c r="D860"/>
      <c r="E860"/>
      <c r="F860" t="str">
        <f>LEFT(AllDaqbookOffsets[[#This Row],[traceability_no]],2)</f>
        <v>K4</v>
      </c>
      <c r="N860" s="456"/>
      <c r="O860"/>
      <c r="Z860" s="460"/>
      <c r="AA860" s="194"/>
      <c r="AB860"/>
      <c r="AG860" s="69"/>
      <c r="AH860"/>
    </row>
    <row r="861" spans="1:34" x14ac:dyDescent="0.2">
      <c r="A861"/>
      <c r="B861"/>
      <c r="C861"/>
      <c r="D861"/>
      <c r="E861"/>
      <c r="F861" t="str">
        <f>LEFT(AllDaqbookOffsets[[#This Row],[traceability_no]],2)</f>
        <v>K4</v>
      </c>
      <c r="N861" s="456"/>
      <c r="O861"/>
      <c r="Z861" s="460"/>
      <c r="AA861" s="194"/>
      <c r="AB861"/>
      <c r="AG861" s="69"/>
      <c r="AH861"/>
    </row>
    <row r="862" spans="1:34" x14ac:dyDescent="0.2">
      <c r="A862"/>
      <c r="B862"/>
      <c r="C862"/>
      <c r="D862"/>
      <c r="E862"/>
      <c r="F862" t="str">
        <f>LEFT(AllDaqbookOffsets[[#This Row],[traceability_no]],2)</f>
        <v>K4</v>
      </c>
      <c r="N862" s="456"/>
      <c r="O862"/>
      <c r="Z862" s="460"/>
      <c r="AA862" s="194"/>
      <c r="AB862"/>
      <c r="AG862" s="69"/>
      <c r="AH862"/>
    </row>
    <row r="863" spans="1:34" x14ac:dyDescent="0.2">
      <c r="A863"/>
      <c r="B863"/>
      <c r="C863"/>
      <c r="D863"/>
      <c r="E863"/>
      <c r="F863" t="str">
        <f>LEFT(AllDaqbookOffsets[[#This Row],[traceability_no]],2)</f>
        <v>K4</v>
      </c>
      <c r="N863" s="456"/>
      <c r="O863"/>
      <c r="Z863" s="460"/>
      <c r="AA863" s="194"/>
      <c r="AB863"/>
      <c r="AG863" s="69"/>
      <c r="AH863"/>
    </row>
    <row r="864" spans="1:34" x14ac:dyDescent="0.2">
      <c r="A864"/>
      <c r="B864"/>
      <c r="C864"/>
      <c r="D864"/>
      <c r="E864"/>
      <c r="F864" t="str">
        <f>LEFT(AllDaqbookOffsets[[#This Row],[traceability_no]],2)</f>
        <v>K4</v>
      </c>
      <c r="N864" s="456"/>
      <c r="O864"/>
      <c r="Z864" s="460"/>
      <c r="AA864" s="194"/>
      <c r="AB864"/>
      <c r="AG864" s="69"/>
      <c r="AH864"/>
    </row>
    <row r="865" spans="1:34" x14ac:dyDescent="0.2">
      <c r="A865"/>
      <c r="B865"/>
      <c r="C865"/>
      <c r="D865"/>
      <c r="E865"/>
      <c r="F865" t="str">
        <f>LEFT(AllDaqbookOffsets[[#This Row],[traceability_no]],2)</f>
        <v>K4</v>
      </c>
      <c r="N865" s="456"/>
      <c r="O865"/>
      <c r="Z865" s="460"/>
      <c r="AA865" s="194"/>
      <c r="AB865"/>
      <c r="AG865" s="69"/>
      <c r="AH865"/>
    </row>
    <row r="866" spans="1:34" x14ac:dyDescent="0.2">
      <c r="A866"/>
      <c r="B866"/>
      <c r="C866"/>
      <c r="D866"/>
      <c r="E866"/>
      <c r="F866" t="str">
        <f>LEFT(AllDaqbookOffsets[[#This Row],[traceability_no]],2)</f>
        <v>K4</v>
      </c>
      <c r="N866" s="456"/>
      <c r="O866"/>
      <c r="Z866" s="460"/>
      <c r="AA866" s="194"/>
      <c r="AB866"/>
      <c r="AG866" s="69"/>
      <c r="AH866"/>
    </row>
    <row r="867" spans="1:34" x14ac:dyDescent="0.2">
      <c r="A867"/>
      <c r="B867"/>
      <c r="C867"/>
      <c r="D867"/>
      <c r="E867"/>
      <c r="F867" t="str">
        <f>LEFT(AllDaqbookOffsets[[#This Row],[traceability_no]],2)</f>
        <v>K4</v>
      </c>
      <c r="N867" s="456"/>
      <c r="O867"/>
      <c r="Z867" s="460"/>
      <c r="AA867" s="194"/>
      <c r="AB867"/>
      <c r="AG867" s="69"/>
      <c r="AH867"/>
    </row>
    <row r="868" spans="1:34" x14ac:dyDescent="0.2">
      <c r="A868"/>
      <c r="B868"/>
      <c r="C868"/>
      <c r="D868"/>
      <c r="E868"/>
      <c r="F868" t="str">
        <f>LEFT(AllDaqbookOffsets[[#This Row],[traceability_no]],2)</f>
        <v>K4</v>
      </c>
      <c r="N868" s="456"/>
      <c r="O868"/>
      <c r="Z868" s="460"/>
      <c r="AA868" s="194"/>
      <c r="AB868"/>
      <c r="AG868" s="69"/>
      <c r="AH868"/>
    </row>
    <row r="869" spans="1:34" x14ac:dyDescent="0.2">
      <c r="A869"/>
      <c r="B869"/>
      <c r="C869"/>
      <c r="D869"/>
      <c r="E869"/>
      <c r="F869" t="str">
        <f>LEFT(AllDaqbookOffsets[[#This Row],[traceability_no]],2)</f>
        <v>K4</v>
      </c>
      <c r="N869" s="456"/>
      <c r="O869"/>
      <c r="Z869" s="460"/>
      <c r="AA869" s="194"/>
      <c r="AB869"/>
      <c r="AG869" s="69"/>
      <c r="AH869"/>
    </row>
    <row r="870" spans="1:34" x14ac:dyDescent="0.2">
      <c r="A870"/>
      <c r="B870"/>
      <c r="C870"/>
      <c r="D870"/>
      <c r="E870"/>
      <c r="F870" t="str">
        <f>LEFT(AllDaqbookOffsets[[#This Row],[traceability_no]],2)</f>
        <v>K4</v>
      </c>
      <c r="N870" s="456"/>
      <c r="O870"/>
      <c r="Z870" s="460"/>
      <c r="AA870" s="194"/>
      <c r="AB870"/>
      <c r="AG870" s="69"/>
      <c r="AH870"/>
    </row>
    <row r="871" spans="1:34" x14ac:dyDescent="0.2">
      <c r="A871"/>
      <c r="B871"/>
      <c r="C871"/>
      <c r="D871"/>
      <c r="E871"/>
      <c r="F871" t="str">
        <f>LEFT(AllDaqbookOffsets[[#This Row],[traceability_no]],2)</f>
        <v>K4</v>
      </c>
      <c r="N871" s="456"/>
      <c r="O871"/>
      <c r="Z871" s="460"/>
      <c r="AA871" s="194"/>
      <c r="AB871"/>
      <c r="AG871" s="69"/>
      <c r="AH871"/>
    </row>
    <row r="872" spans="1:34" x14ac:dyDescent="0.2">
      <c r="A872"/>
      <c r="B872"/>
      <c r="C872"/>
      <c r="D872"/>
      <c r="E872"/>
      <c r="F872" t="str">
        <f>LEFT(AllDaqbookOffsets[[#This Row],[traceability_no]],2)</f>
        <v>K4</v>
      </c>
      <c r="N872" s="456"/>
      <c r="O872"/>
      <c r="Z872" s="460"/>
      <c r="AA872" s="194"/>
      <c r="AB872"/>
      <c r="AG872" s="69"/>
      <c r="AH872"/>
    </row>
    <row r="873" spans="1:34" x14ac:dyDescent="0.2">
      <c r="A873"/>
      <c r="B873"/>
      <c r="C873"/>
      <c r="D873"/>
      <c r="E873"/>
      <c r="F873" t="str">
        <f>LEFT(AllDaqbookOffsets[[#This Row],[traceability_no]],2)</f>
        <v>K4</v>
      </c>
      <c r="N873" s="456"/>
      <c r="O873"/>
      <c r="Z873" s="460"/>
      <c r="AA873" s="194"/>
      <c r="AB873"/>
      <c r="AG873" s="69"/>
      <c r="AH873"/>
    </row>
    <row r="874" spans="1:34" x14ac:dyDescent="0.2">
      <c r="A874"/>
      <c r="B874"/>
      <c r="C874"/>
      <c r="D874"/>
      <c r="E874"/>
      <c r="F874" t="str">
        <f>LEFT(AllDaqbookOffsets[[#This Row],[traceability_no]],2)</f>
        <v>K4</v>
      </c>
      <c r="N874" s="456"/>
      <c r="O874"/>
      <c r="Z874" s="460"/>
      <c r="AA874" s="194"/>
      <c r="AB874"/>
      <c r="AG874" s="69"/>
      <c r="AH874"/>
    </row>
    <row r="875" spans="1:34" x14ac:dyDescent="0.2">
      <c r="A875"/>
      <c r="B875"/>
      <c r="C875"/>
      <c r="D875"/>
      <c r="E875"/>
      <c r="F875" t="str">
        <f>LEFT(AllDaqbookOffsets[[#This Row],[traceability_no]],2)</f>
        <v>K4</v>
      </c>
      <c r="N875" s="456"/>
      <c r="O875"/>
      <c r="Z875" s="460"/>
      <c r="AA875" s="194"/>
      <c r="AB875"/>
      <c r="AG875" s="69"/>
      <c r="AH875"/>
    </row>
    <row r="876" spans="1:34" x14ac:dyDescent="0.2">
      <c r="A876"/>
      <c r="B876"/>
      <c r="C876"/>
      <c r="D876"/>
      <c r="E876"/>
      <c r="F876" t="str">
        <f>LEFT(AllDaqbookOffsets[[#This Row],[traceability_no]],2)</f>
        <v>K4</v>
      </c>
      <c r="N876" s="456"/>
      <c r="O876"/>
      <c r="Z876" s="460"/>
      <c r="AA876" s="194"/>
      <c r="AB876"/>
      <c r="AG876" s="69"/>
      <c r="AH876"/>
    </row>
    <row r="877" spans="1:34" x14ac:dyDescent="0.2">
      <c r="A877"/>
      <c r="B877"/>
      <c r="C877"/>
      <c r="D877"/>
      <c r="E877"/>
      <c r="F877" t="str">
        <f>LEFT(AllDaqbookOffsets[[#This Row],[traceability_no]],2)</f>
        <v>K4</v>
      </c>
      <c r="N877" s="456"/>
      <c r="O877"/>
      <c r="Z877" s="460"/>
      <c r="AA877" s="194"/>
      <c r="AB877"/>
      <c r="AG877" s="69"/>
      <c r="AH877"/>
    </row>
    <row r="878" spans="1:34" x14ac:dyDescent="0.2">
      <c r="A878"/>
      <c r="B878"/>
      <c r="C878"/>
      <c r="D878"/>
      <c r="E878"/>
      <c r="F878" t="str">
        <f>LEFT(AllDaqbookOffsets[[#This Row],[traceability_no]],2)</f>
        <v>K4</v>
      </c>
      <c r="N878" s="456"/>
      <c r="O878"/>
      <c r="Z878" s="460"/>
      <c r="AA878" s="194"/>
      <c r="AB878"/>
      <c r="AG878" s="69"/>
      <c r="AH878"/>
    </row>
    <row r="879" spans="1:34" x14ac:dyDescent="0.2">
      <c r="A879"/>
      <c r="B879"/>
      <c r="C879"/>
      <c r="D879"/>
      <c r="E879"/>
      <c r="F879" t="str">
        <f>LEFT(AllDaqbookOffsets[[#This Row],[traceability_no]],2)</f>
        <v>K4</v>
      </c>
      <c r="N879" s="456"/>
      <c r="O879"/>
      <c r="Z879" s="460"/>
      <c r="AA879" s="194"/>
      <c r="AB879"/>
      <c r="AG879" s="69"/>
      <c r="AH879"/>
    </row>
    <row r="880" spans="1:34" x14ac:dyDescent="0.2">
      <c r="A880"/>
      <c r="B880"/>
      <c r="C880"/>
      <c r="D880"/>
      <c r="E880"/>
      <c r="F880" t="str">
        <f>LEFT(AllDaqbookOffsets[[#This Row],[traceability_no]],2)</f>
        <v>K4</v>
      </c>
      <c r="N880" s="456"/>
      <c r="O880"/>
      <c r="Z880" s="460"/>
      <c r="AA880" s="194"/>
      <c r="AB880"/>
      <c r="AG880" s="69"/>
      <c r="AH880"/>
    </row>
    <row r="881" spans="1:34" x14ac:dyDescent="0.2">
      <c r="A881"/>
      <c r="B881"/>
      <c r="C881"/>
      <c r="D881"/>
      <c r="E881"/>
      <c r="F881" t="str">
        <f>LEFT(AllDaqbookOffsets[[#This Row],[traceability_no]],2)</f>
        <v>K4</v>
      </c>
      <c r="N881" s="456"/>
      <c r="O881"/>
      <c r="Z881" s="460"/>
      <c r="AA881" s="194"/>
      <c r="AB881"/>
      <c r="AG881" s="69"/>
      <c r="AH881"/>
    </row>
    <row r="882" spans="1:34" x14ac:dyDescent="0.2">
      <c r="A882"/>
      <c r="B882"/>
      <c r="C882"/>
      <c r="D882"/>
      <c r="E882"/>
      <c r="F882" t="str">
        <f>LEFT(AllDaqbookOffsets[[#This Row],[traceability_no]],2)</f>
        <v>K4</v>
      </c>
      <c r="N882" s="456"/>
      <c r="O882"/>
      <c r="Z882" s="460"/>
      <c r="AA882" s="194"/>
      <c r="AB882"/>
      <c r="AG882" s="69"/>
      <c r="AH882"/>
    </row>
    <row r="883" spans="1:34" x14ac:dyDescent="0.2">
      <c r="A883"/>
      <c r="B883"/>
      <c r="C883"/>
      <c r="D883"/>
      <c r="E883"/>
      <c r="F883" t="str">
        <f>LEFT(AllDaqbookOffsets[[#This Row],[traceability_no]],2)</f>
        <v>K4</v>
      </c>
      <c r="N883" s="456"/>
      <c r="O883"/>
      <c r="Z883" s="460"/>
      <c r="AA883" s="194"/>
      <c r="AB883"/>
      <c r="AG883" s="69"/>
      <c r="AH883"/>
    </row>
    <row r="884" spans="1:34" x14ac:dyDescent="0.2">
      <c r="A884"/>
      <c r="B884"/>
      <c r="C884"/>
      <c r="D884"/>
      <c r="E884"/>
      <c r="F884" t="str">
        <f>LEFT(AllDaqbookOffsets[[#This Row],[traceability_no]],2)</f>
        <v>K4</v>
      </c>
      <c r="N884" s="456"/>
      <c r="O884"/>
      <c r="Z884" s="460"/>
      <c r="AA884" s="194"/>
      <c r="AB884"/>
      <c r="AG884" s="69"/>
      <c r="AH884"/>
    </row>
    <row r="885" spans="1:34" x14ac:dyDescent="0.2">
      <c r="A885"/>
      <c r="B885"/>
      <c r="C885"/>
      <c r="D885"/>
      <c r="E885"/>
      <c r="F885" t="str">
        <f>LEFT(AllDaqbookOffsets[[#This Row],[traceability_no]],2)</f>
        <v>K4</v>
      </c>
      <c r="N885" s="456"/>
      <c r="O885"/>
      <c r="Z885" s="460"/>
      <c r="AA885" s="194"/>
      <c r="AB885"/>
      <c r="AG885" s="69"/>
      <c r="AH885"/>
    </row>
    <row r="886" spans="1:34" x14ac:dyDescent="0.2">
      <c r="A886"/>
      <c r="B886"/>
      <c r="C886"/>
      <c r="D886"/>
      <c r="E886"/>
      <c r="F886" t="str">
        <f>LEFT(AllDaqbookOffsets[[#This Row],[traceability_no]],2)</f>
        <v>K4</v>
      </c>
      <c r="N886" s="456"/>
      <c r="O886"/>
      <c r="Z886" s="460"/>
      <c r="AA886" s="194"/>
      <c r="AB886"/>
      <c r="AG886" s="69"/>
      <c r="AH886"/>
    </row>
    <row r="887" spans="1:34" x14ac:dyDescent="0.2">
      <c r="A887"/>
      <c r="B887"/>
      <c r="C887"/>
      <c r="D887"/>
      <c r="E887"/>
      <c r="F887" t="str">
        <f>LEFT(AllDaqbookOffsets[[#This Row],[traceability_no]],2)</f>
        <v>K4</v>
      </c>
      <c r="N887" s="456"/>
      <c r="O887"/>
      <c r="Z887" s="460"/>
      <c r="AA887" s="194"/>
      <c r="AB887"/>
      <c r="AG887" s="69"/>
      <c r="AH887"/>
    </row>
    <row r="888" spans="1:34" x14ac:dyDescent="0.2">
      <c r="A888"/>
      <c r="B888"/>
      <c r="C888"/>
      <c r="D888"/>
      <c r="E888"/>
      <c r="F888" t="str">
        <f>LEFT(AllDaqbookOffsets[[#This Row],[traceability_no]],2)</f>
        <v>K4</v>
      </c>
      <c r="N888" s="456"/>
      <c r="O888"/>
      <c r="Z888" s="460"/>
      <c r="AA888" s="194"/>
      <c r="AB888"/>
      <c r="AG888" s="69"/>
      <c r="AH888"/>
    </row>
    <row r="889" spans="1:34" x14ac:dyDescent="0.2">
      <c r="A889"/>
      <c r="B889"/>
      <c r="C889"/>
      <c r="D889"/>
      <c r="E889"/>
      <c r="F889" t="str">
        <f>LEFT(AllDaqbookOffsets[[#This Row],[traceability_no]],2)</f>
        <v>K4</v>
      </c>
      <c r="N889" s="456"/>
      <c r="O889"/>
      <c r="Z889" s="460"/>
      <c r="AA889" s="194"/>
      <c r="AB889"/>
      <c r="AG889" s="69"/>
      <c r="AH889"/>
    </row>
    <row r="890" spans="1:34" x14ac:dyDescent="0.2">
      <c r="A890"/>
      <c r="B890"/>
      <c r="C890"/>
      <c r="D890"/>
      <c r="E890"/>
      <c r="F890" t="str">
        <f>LEFT(AllDaqbookOffsets[[#This Row],[traceability_no]],2)</f>
        <v>K4</v>
      </c>
      <c r="N890" s="456"/>
      <c r="O890"/>
      <c r="Z890" s="460"/>
      <c r="AA890" s="194"/>
      <c r="AB890"/>
      <c r="AG890" s="69"/>
      <c r="AH890"/>
    </row>
    <row r="891" spans="1:34" x14ac:dyDescent="0.2">
      <c r="A891"/>
      <c r="B891"/>
      <c r="C891"/>
      <c r="D891"/>
      <c r="E891"/>
      <c r="F891" t="str">
        <f>LEFT(AllDaqbookOffsets[[#This Row],[traceability_no]],2)</f>
        <v>K4</v>
      </c>
      <c r="N891" s="456"/>
      <c r="O891"/>
      <c r="Z891" s="460"/>
      <c r="AA891" s="194"/>
      <c r="AB891"/>
      <c r="AG891" s="69"/>
      <c r="AH891"/>
    </row>
    <row r="892" spans="1:34" x14ac:dyDescent="0.2">
      <c r="A892"/>
      <c r="B892"/>
      <c r="C892"/>
      <c r="D892"/>
      <c r="E892"/>
      <c r="F892" t="str">
        <f>LEFT(AllDaqbookOffsets[[#This Row],[traceability_no]],2)</f>
        <v>K4</v>
      </c>
      <c r="N892" s="456"/>
      <c r="O892"/>
      <c r="Z892" s="460"/>
      <c r="AA892" s="194"/>
      <c r="AB892"/>
      <c r="AG892" s="69"/>
      <c r="AH892"/>
    </row>
    <row r="893" spans="1:34" x14ac:dyDescent="0.2">
      <c r="A893"/>
      <c r="B893"/>
      <c r="C893"/>
      <c r="D893"/>
      <c r="E893"/>
      <c r="F893" t="str">
        <f>LEFT(AllDaqbookOffsets[[#This Row],[traceability_no]],2)</f>
        <v>K4</v>
      </c>
      <c r="N893" s="456"/>
      <c r="O893"/>
      <c r="Z893" s="460"/>
      <c r="AA893" s="194"/>
      <c r="AB893"/>
      <c r="AG893" s="69"/>
      <c r="AH893"/>
    </row>
    <row r="894" spans="1:34" x14ac:dyDescent="0.2">
      <c r="A894"/>
      <c r="B894"/>
      <c r="C894"/>
      <c r="D894"/>
      <c r="E894"/>
      <c r="F894" t="str">
        <f>LEFT(AllDaqbookOffsets[[#This Row],[traceability_no]],2)</f>
        <v>K4</v>
      </c>
      <c r="N894" s="456"/>
      <c r="O894"/>
      <c r="Z894" s="460"/>
      <c r="AA894" s="194"/>
      <c r="AB894"/>
      <c r="AG894" s="69"/>
      <c r="AH894"/>
    </row>
    <row r="895" spans="1:34" x14ac:dyDescent="0.2">
      <c r="A895"/>
      <c r="B895"/>
      <c r="C895"/>
      <c r="D895"/>
      <c r="E895"/>
      <c r="F895" t="str">
        <f>LEFT(AllDaqbookOffsets[[#This Row],[traceability_no]],2)</f>
        <v>K4</v>
      </c>
      <c r="N895" s="456"/>
      <c r="O895"/>
      <c r="Z895" s="460"/>
      <c r="AA895" s="194"/>
      <c r="AB895"/>
      <c r="AG895" s="69"/>
      <c r="AH895"/>
    </row>
    <row r="896" spans="1:34" x14ac:dyDescent="0.2">
      <c r="A896"/>
      <c r="B896"/>
      <c r="C896"/>
      <c r="D896"/>
      <c r="E896"/>
      <c r="F896" t="str">
        <f>LEFT(AllDaqbookOffsets[[#This Row],[traceability_no]],2)</f>
        <v>K4</v>
      </c>
      <c r="N896" s="456"/>
      <c r="O896"/>
      <c r="Z896" s="460"/>
      <c r="AA896" s="194"/>
      <c r="AB896"/>
      <c r="AG896" s="69"/>
      <c r="AH896"/>
    </row>
    <row r="897" spans="1:34" x14ac:dyDescent="0.2">
      <c r="A897"/>
      <c r="B897"/>
      <c r="C897"/>
      <c r="D897"/>
      <c r="E897"/>
      <c r="F897" t="str">
        <f>LEFT(AllDaqbookOffsets[[#This Row],[traceability_no]],2)</f>
        <v>K4</v>
      </c>
      <c r="N897" s="456"/>
      <c r="O897"/>
      <c r="Z897" s="460"/>
      <c r="AA897" s="194"/>
      <c r="AB897"/>
      <c r="AG897" s="69"/>
      <c r="AH897"/>
    </row>
    <row r="898" spans="1:34" x14ac:dyDescent="0.2">
      <c r="A898"/>
      <c r="B898"/>
      <c r="C898"/>
      <c r="D898"/>
      <c r="E898"/>
      <c r="F898" t="str">
        <f>LEFT(AllDaqbookOffsets[[#This Row],[traceability_no]],2)</f>
        <v>K4</v>
      </c>
      <c r="N898" s="456"/>
      <c r="O898"/>
      <c r="Z898" s="460"/>
      <c r="AA898" s="194"/>
      <c r="AB898"/>
      <c r="AG898" s="69"/>
      <c r="AH898"/>
    </row>
    <row r="899" spans="1:34" x14ac:dyDescent="0.2">
      <c r="A899"/>
      <c r="B899"/>
      <c r="C899"/>
      <c r="D899"/>
      <c r="E899"/>
      <c r="F899" t="str">
        <f>LEFT(AllDaqbookOffsets[[#This Row],[traceability_no]],2)</f>
        <v>K4</v>
      </c>
      <c r="N899" s="456"/>
      <c r="O899"/>
      <c r="Z899" s="460"/>
      <c r="AA899" s="194"/>
      <c r="AB899"/>
      <c r="AG899" s="69"/>
      <c r="AH899"/>
    </row>
    <row r="900" spans="1:34" x14ac:dyDescent="0.2">
      <c r="A900"/>
      <c r="B900"/>
      <c r="C900"/>
      <c r="D900"/>
      <c r="E900"/>
      <c r="F900" t="str">
        <f>LEFT(AllDaqbookOffsets[[#This Row],[traceability_no]],2)</f>
        <v>K4</v>
      </c>
      <c r="N900" s="456"/>
      <c r="O900"/>
      <c r="Z900" s="460"/>
      <c r="AA900" s="194"/>
      <c r="AB900"/>
      <c r="AG900" s="69"/>
      <c r="AH900"/>
    </row>
    <row r="901" spans="1:34" x14ac:dyDescent="0.2">
      <c r="A901"/>
      <c r="B901"/>
      <c r="C901"/>
      <c r="D901"/>
      <c r="E901"/>
      <c r="F901" t="str">
        <f>LEFT(AllDaqbookOffsets[[#This Row],[traceability_no]],2)</f>
        <v>K4</v>
      </c>
      <c r="N901" s="456"/>
      <c r="O901"/>
      <c r="Z901" s="460"/>
      <c r="AA901" s="194"/>
      <c r="AB901"/>
      <c r="AG901" s="69"/>
      <c r="AH901"/>
    </row>
    <row r="902" spans="1:34" x14ac:dyDescent="0.2">
      <c r="A902"/>
      <c r="B902"/>
      <c r="C902"/>
      <c r="D902"/>
      <c r="E902"/>
      <c r="F902" t="str">
        <f>LEFT(AllDaqbookOffsets[[#This Row],[traceability_no]],2)</f>
        <v>K4</v>
      </c>
      <c r="N902" s="456"/>
      <c r="O902"/>
      <c r="Z902" s="460"/>
      <c r="AA902" s="194"/>
      <c r="AB902"/>
      <c r="AG902" s="69"/>
      <c r="AH902"/>
    </row>
    <row r="903" spans="1:34" x14ac:dyDescent="0.2">
      <c r="A903"/>
      <c r="B903"/>
      <c r="C903"/>
      <c r="D903"/>
      <c r="E903"/>
      <c r="F903" t="str">
        <f>LEFT(AllDaqbookOffsets[[#This Row],[traceability_no]],2)</f>
        <v>K4</v>
      </c>
      <c r="N903" s="456"/>
      <c r="O903"/>
      <c r="Z903" s="460"/>
      <c r="AA903" s="194"/>
      <c r="AB903"/>
      <c r="AG903" s="69"/>
      <c r="AH903"/>
    </row>
    <row r="904" spans="1:34" x14ac:dyDescent="0.2">
      <c r="A904"/>
      <c r="B904"/>
      <c r="C904"/>
      <c r="D904"/>
      <c r="E904"/>
      <c r="F904" t="str">
        <f>LEFT(AllDaqbookOffsets[[#This Row],[traceability_no]],2)</f>
        <v>K4</v>
      </c>
      <c r="N904" s="456"/>
      <c r="O904"/>
      <c r="Z904" s="460"/>
      <c r="AA904" s="194"/>
      <c r="AB904"/>
      <c r="AG904" s="69"/>
      <c r="AH904"/>
    </row>
    <row r="905" spans="1:34" x14ac:dyDescent="0.2">
      <c r="A905"/>
      <c r="B905"/>
      <c r="C905"/>
      <c r="D905"/>
      <c r="E905"/>
      <c r="F905" t="str">
        <f>LEFT(AllDaqbookOffsets[[#This Row],[traceability_no]],2)</f>
        <v>K4</v>
      </c>
      <c r="N905" s="456"/>
      <c r="O905"/>
      <c r="Z905" s="460"/>
      <c r="AA905" s="194"/>
      <c r="AB905"/>
      <c r="AG905" s="69"/>
      <c r="AH905"/>
    </row>
    <row r="906" spans="1:34" x14ac:dyDescent="0.2">
      <c r="A906"/>
      <c r="B906"/>
      <c r="C906"/>
      <c r="D906"/>
      <c r="E906"/>
      <c r="F906" t="str">
        <f>LEFT(AllDaqbookOffsets[[#This Row],[traceability_no]],2)</f>
        <v>K4</v>
      </c>
      <c r="N906" s="456"/>
      <c r="O906"/>
      <c r="Z906" s="460"/>
      <c r="AA906" s="194"/>
      <c r="AB906"/>
      <c r="AG906" s="69"/>
      <c r="AH906"/>
    </row>
    <row r="907" spans="1:34" x14ac:dyDescent="0.2">
      <c r="A907"/>
      <c r="B907"/>
      <c r="C907"/>
      <c r="D907"/>
      <c r="E907"/>
      <c r="F907" t="str">
        <f>LEFT(AllDaqbookOffsets[[#This Row],[traceability_no]],2)</f>
        <v>K4</v>
      </c>
      <c r="N907" s="456"/>
      <c r="O907"/>
      <c r="Z907" s="460"/>
      <c r="AA907" s="194"/>
      <c r="AB907"/>
      <c r="AG907" s="69"/>
      <c r="AH907"/>
    </row>
    <row r="908" spans="1:34" x14ac:dyDescent="0.2">
      <c r="A908"/>
      <c r="B908"/>
      <c r="C908"/>
      <c r="D908"/>
      <c r="E908"/>
      <c r="F908" t="str">
        <f>LEFT(AllDaqbookOffsets[[#This Row],[traceability_no]],2)</f>
        <v>K4</v>
      </c>
      <c r="N908" s="456"/>
      <c r="O908"/>
      <c r="Z908" s="460"/>
      <c r="AA908" s="194"/>
      <c r="AB908"/>
      <c r="AG908" s="69"/>
      <c r="AH908"/>
    </row>
    <row r="909" spans="1:34" x14ac:dyDescent="0.2">
      <c r="A909"/>
      <c r="B909"/>
      <c r="C909"/>
      <c r="D909"/>
      <c r="E909"/>
      <c r="F909" t="str">
        <f>LEFT(AllDaqbookOffsets[[#This Row],[traceability_no]],2)</f>
        <v>K4</v>
      </c>
      <c r="N909" s="456"/>
      <c r="O909"/>
      <c r="Z909" s="460"/>
      <c r="AA909" s="194"/>
      <c r="AB909"/>
      <c r="AG909" s="69"/>
      <c r="AH909"/>
    </row>
    <row r="910" spans="1:34" x14ac:dyDescent="0.2">
      <c r="A910"/>
      <c r="B910"/>
      <c r="C910"/>
      <c r="D910"/>
      <c r="E910"/>
      <c r="F910" t="str">
        <f>LEFT(AllDaqbookOffsets[[#This Row],[traceability_no]],2)</f>
        <v>K4</v>
      </c>
      <c r="N910" s="456"/>
      <c r="O910"/>
      <c r="Z910" s="460"/>
      <c r="AA910" s="194"/>
      <c r="AB910"/>
      <c r="AG910" s="69"/>
      <c r="AH910"/>
    </row>
    <row r="911" spans="1:34" x14ac:dyDescent="0.2">
      <c r="A911"/>
      <c r="B911"/>
      <c r="C911"/>
      <c r="D911"/>
      <c r="E911"/>
      <c r="F911" t="str">
        <f>LEFT(AllDaqbookOffsets[[#This Row],[traceability_no]],2)</f>
        <v>K4</v>
      </c>
      <c r="N911" s="456"/>
      <c r="O911"/>
      <c r="Z911" s="460"/>
      <c r="AA911" s="194"/>
      <c r="AB911"/>
      <c r="AG911" s="69"/>
      <c r="AH911"/>
    </row>
    <row r="912" spans="1:34" x14ac:dyDescent="0.2">
      <c r="A912"/>
      <c r="B912"/>
      <c r="C912"/>
      <c r="D912"/>
      <c r="E912"/>
      <c r="F912" t="str">
        <f>LEFT(AllDaqbookOffsets[[#This Row],[traceability_no]],2)</f>
        <v>K4</v>
      </c>
      <c r="N912" s="456"/>
      <c r="O912"/>
      <c r="Z912" s="460"/>
      <c r="AA912" s="194"/>
      <c r="AB912"/>
      <c r="AG912" s="69"/>
      <c r="AH912"/>
    </row>
    <row r="913" spans="1:34" x14ac:dyDescent="0.2">
      <c r="A913"/>
      <c r="B913"/>
      <c r="C913"/>
      <c r="D913"/>
      <c r="E913"/>
      <c r="F913" t="str">
        <f>LEFT(AllDaqbookOffsets[[#This Row],[traceability_no]],2)</f>
        <v>K4</v>
      </c>
      <c r="N913" s="456"/>
      <c r="O913"/>
      <c r="Z913" s="460"/>
      <c r="AA913" s="194"/>
      <c r="AB913"/>
      <c r="AG913" s="69"/>
      <c r="AH913"/>
    </row>
    <row r="914" spans="1:34" x14ac:dyDescent="0.2">
      <c r="A914"/>
      <c r="B914"/>
      <c r="C914"/>
      <c r="D914"/>
      <c r="E914"/>
      <c r="F914" t="str">
        <f>LEFT(AllDaqbookOffsets[[#This Row],[traceability_no]],2)</f>
        <v>K4</v>
      </c>
      <c r="N914" s="456"/>
      <c r="O914"/>
      <c r="Z914" s="460"/>
      <c r="AA914" s="194"/>
      <c r="AB914"/>
      <c r="AG914" s="69"/>
      <c r="AH914"/>
    </row>
    <row r="915" spans="1:34" x14ac:dyDescent="0.2">
      <c r="A915"/>
      <c r="B915"/>
      <c r="C915"/>
      <c r="D915"/>
      <c r="E915"/>
      <c r="F915" t="str">
        <f>LEFT(AllDaqbookOffsets[[#This Row],[traceability_no]],2)</f>
        <v>K4</v>
      </c>
      <c r="N915" s="456"/>
      <c r="O915"/>
      <c r="Z915" s="460"/>
      <c r="AA915" s="194"/>
      <c r="AB915"/>
      <c r="AG915" s="69"/>
      <c r="AH915"/>
    </row>
    <row r="916" spans="1:34" x14ac:dyDescent="0.2">
      <c r="A916"/>
      <c r="B916"/>
      <c r="C916"/>
      <c r="D916"/>
      <c r="E916"/>
      <c r="F916" t="str">
        <f>LEFT(AllDaqbookOffsets[[#This Row],[traceability_no]],2)</f>
        <v>K4</v>
      </c>
      <c r="N916" s="456"/>
      <c r="O916"/>
      <c r="Z916" s="460"/>
      <c r="AA916" s="194"/>
      <c r="AB916"/>
      <c r="AG916" s="69"/>
      <c r="AH916"/>
    </row>
    <row r="917" spans="1:34" x14ac:dyDescent="0.2">
      <c r="A917"/>
      <c r="B917"/>
      <c r="C917"/>
      <c r="D917"/>
      <c r="E917"/>
      <c r="F917" t="str">
        <f>LEFT(AllDaqbookOffsets[[#This Row],[traceability_no]],2)</f>
        <v>K4</v>
      </c>
      <c r="N917" s="456"/>
      <c r="O917"/>
      <c r="Z917" s="460"/>
      <c r="AA917" s="194"/>
      <c r="AB917"/>
      <c r="AG917" s="69"/>
      <c r="AH917"/>
    </row>
    <row r="918" spans="1:34" x14ac:dyDescent="0.2">
      <c r="A918"/>
      <c r="B918"/>
      <c r="C918"/>
      <c r="D918"/>
      <c r="E918"/>
      <c r="F918" t="str">
        <f>LEFT(AllDaqbookOffsets[[#This Row],[traceability_no]],2)</f>
        <v>K4</v>
      </c>
      <c r="N918" s="456"/>
      <c r="O918"/>
      <c r="Z918" s="460"/>
      <c r="AA918" s="194"/>
      <c r="AB918"/>
      <c r="AG918" s="69"/>
      <c r="AH918"/>
    </row>
    <row r="919" spans="1:34" x14ac:dyDescent="0.2">
      <c r="A919"/>
      <c r="B919"/>
      <c r="C919"/>
      <c r="D919"/>
      <c r="E919"/>
      <c r="F919" t="str">
        <f>LEFT(AllDaqbookOffsets[[#This Row],[traceability_no]],2)</f>
        <v>K4</v>
      </c>
      <c r="N919" s="456"/>
      <c r="O919"/>
      <c r="Z919" s="460"/>
      <c r="AA919" s="194"/>
      <c r="AB919"/>
      <c r="AG919" s="69"/>
      <c r="AH919"/>
    </row>
    <row r="920" spans="1:34" x14ac:dyDescent="0.2">
      <c r="A920"/>
      <c r="B920"/>
      <c r="C920"/>
      <c r="D920"/>
      <c r="E920"/>
      <c r="F920" t="str">
        <f>LEFT(AllDaqbookOffsets[[#This Row],[traceability_no]],2)</f>
        <v>K4</v>
      </c>
      <c r="N920" s="456"/>
      <c r="O920"/>
      <c r="Z920" s="460"/>
      <c r="AA920" s="194"/>
      <c r="AB920"/>
      <c r="AG920" s="69"/>
      <c r="AH920"/>
    </row>
    <row r="921" spans="1:34" x14ac:dyDescent="0.2">
      <c r="A921"/>
      <c r="B921"/>
      <c r="C921"/>
      <c r="D921"/>
      <c r="E921"/>
      <c r="F921" t="str">
        <f>LEFT(AllDaqbookOffsets[[#This Row],[traceability_no]],2)</f>
        <v>K4</v>
      </c>
      <c r="N921" s="456"/>
      <c r="O921"/>
      <c r="Z921" s="460"/>
      <c r="AA921" s="194"/>
      <c r="AB921"/>
      <c r="AG921" s="69"/>
      <c r="AH921"/>
    </row>
    <row r="922" spans="1:34" x14ac:dyDescent="0.2">
      <c r="A922"/>
      <c r="B922"/>
      <c r="C922"/>
      <c r="D922"/>
      <c r="E922"/>
      <c r="F922" t="str">
        <f>LEFT(AllDaqbookOffsets[[#This Row],[traceability_no]],2)</f>
        <v>K4</v>
      </c>
      <c r="N922" s="456"/>
      <c r="O922"/>
      <c r="Z922" s="460"/>
      <c r="AA922" s="194"/>
      <c r="AB922"/>
      <c r="AG922" s="69"/>
      <c r="AH922"/>
    </row>
    <row r="923" spans="1:34" x14ac:dyDescent="0.2">
      <c r="A923"/>
      <c r="B923"/>
      <c r="C923"/>
      <c r="D923"/>
      <c r="E923"/>
      <c r="F923" t="str">
        <f>LEFT(AllDaqbookOffsets[[#This Row],[traceability_no]],2)</f>
        <v>K4</v>
      </c>
      <c r="N923" s="456"/>
      <c r="O923"/>
      <c r="Z923" s="460"/>
      <c r="AA923" s="194"/>
      <c r="AB923"/>
      <c r="AG923" s="69"/>
      <c r="AH923"/>
    </row>
    <row r="924" spans="1:34" x14ac:dyDescent="0.2">
      <c r="A924"/>
      <c r="B924"/>
      <c r="C924"/>
      <c r="D924"/>
      <c r="E924"/>
      <c r="F924" t="str">
        <f>LEFT(AllDaqbookOffsets[[#This Row],[traceability_no]],2)</f>
        <v>K4</v>
      </c>
      <c r="N924" s="456"/>
      <c r="O924"/>
      <c r="Z924" s="460"/>
      <c r="AA924" s="194"/>
      <c r="AB924"/>
      <c r="AG924" s="69"/>
      <c r="AH924"/>
    </row>
    <row r="925" spans="1:34" x14ac:dyDescent="0.2">
      <c r="A925"/>
      <c r="B925"/>
      <c r="C925"/>
      <c r="D925"/>
      <c r="E925"/>
      <c r="F925" t="str">
        <f>LEFT(AllDaqbookOffsets[[#This Row],[traceability_no]],2)</f>
        <v>K4</v>
      </c>
      <c r="N925" s="456"/>
      <c r="O925"/>
      <c r="Z925" s="460"/>
      <c r="AA925" s="194"/>
      <c r="AB925"/>
      <c r="AG925" s="69"/>
      <c r="AH925"/>
    </row>
    <row r="926" spans="1:34" x14ac:dyDescent="0.2">
      <c r="A926"/>
      <c r="B926"/>
      <c r="C926"/>
      <c r="D926"/>
      <c r="E926"/>
      <c r="F926" t="str">
        <f>LEFT(AllDaqbookOffsets[[#This Row],[traceability_no]],2)</f>
        <v>K4</v>
      </c>
      <c r="N926" s="456"/>
      <c r="O926"/>
      <c r="Z926" s="460"/>
      <c r="AA926" s="194"/>
      <c r="AB926"/>
      <c r="AG926" s="69"/>
      <c r="AH926"/>
    </row>
    <row r="927" spans="1:34" x14ac:dyDescent="0.2">
      <c r="A927"/>
      <c r="B927"/>
      <c r="C927"/>
      <c r="D927"/>
      <c r="E927"/>
      <c r="F927" t="str">
        <f>LEFT(AllDaqbookOffsets[[#This Row],[traceability_no]],2)</f>
        <v>K4</v>
      </c>
      <c r="N927" s="456"/>
      <c r="O927"/>
      <c r="Z927" s="460"/>
      <c r="AA927" s="194"/>
      <c r="AB927"/>
      <c r="AG927" s="69"/>
      <c r="AH927"/>
    </row>
    <row r="928" spans="1:34" x14ac:dyDescent="0.2">
      <c r="A928"/>
      <c r="B928"/>
      <c r="C928"/>
      <c r="D928"/>
      <c r="E928"/>
      <c r="F928" t="str">
        <f>LEFT(AllDaqbookOffsets[[#This Row],[traceability_no]],2)</f>
        <v>K4</v>
      </c>
      <c r="N928" s="456"/>
      <c r="O928"/>
      <c r="Z928" s="460"/>
      <c r="AA928" s="194"/>
      <c r="AB928"/>
      <c r="AG928" s="69"/>
      <c r="AH928"/>
    </row>
    <row r="929" spans="1:34" x14ac:dyDescent="0.2">
      <c r="A929"/>
      <c r="B929"/>
      <c r="C929"/>
      <c r="D929"/>
      <c r="E929"/>
      <c r="F929" t="str">
        <f>LEFT(AllDaqbookOffsets[[#This Row],[traceability_no]],2)</f>
        <v>K4</v>
      </c>
      <c r="N929" s="456"/>
      <c r="O929"/>
      <c r="Z929" s="460"/>
      <c r="AA929" s="194"/>
      <c r="AB929"/>
      <c r="AG929" s="69"/>
      <c r="AH929"/>
    </row>
    <row r="930" spans="1:34" x14ac:dyDescent="0.2">
      <c r="A930"/>
      <c r="B930"/>
      <c r="C930"/>
      <c r="D930"/>
      <c r="E930"/>
      <c r="F930" t="str">
        <f>LEFT(AllDaqbookOffsets[[#This Row],[traceability_no]],2)</f>
        <v>K4</v>
      </c>
      <c r="N930" s="456"/>
      <c r="O930"/>
      <c r="Z930" s="460"/>
      <c r="AA930" s="194"/>
      <c r="AB930"/>
      <c r="AG930" s="69"/>
      <c r="AH930"/>
    </row>
    <row r="931" spans="1:34" x14ac:dyDescent="0.2">
      <c r="A931"/>
      <c r="B931"/>
      <c r="C931"/>
      <c r="D931"/>
      <c r="E931"/>
      <c r="F931" t="str">
        <f>LEFT(AllDaqbookOffsets[[#This Row],[traceability_no]],2)</f>
        <v>K4</v>
      </c>
      <c r="N931" s="456"/>
      <c r="O931"/>
      <c r="Z931" s="460"/>
      <c r="AA931" s="194"/>
      <c r="AB931"/>
      <c r="AG931" s="69"/>
      <c r="AH931"/>
    </row>
    <row r="932" spans="1:34" x14ac:dyDescent="0.2">
      <c r="A932"/>
      <c r="B932"/>
      <c r="C932"/>
      <c r="D932"/>
      <c r="E932"/>
      <c r="F932" t="str">
        <f>LEFT(AllDaqbookOffsets[[#This Row],[traceability_no]],2)</f>
        <v>K4</v>
      </c>
      <c r="N932" s="456"/>
      <c r="O932"/>
      <c r="Z932" s="460"/>
      <c r="AA932" s="194"/>
      <c r="AB932"/>
      <c r="AG932" s="69"/>
      <c r="AH932"/>
    </row>
    <row r="933" spans="1:34" x14ac:dyDescent="0.2">
      <c r="A933"/>
      <c r="B933"/>
      <c r="C933"/>
      <c r="D933"/>
      <c r="E933"/>
      <c r="F933" t="str">
        <f>LEFT(AllDaqbookOffsets[[#This Row],[traceability_no]],2)</f>
        <v>K4</v>
      </c>
      <c r="N933" s="456"/>
      <c r="O933"/>
      <c r="Z933" s="460"/>
      <c r="AA933" s="194"/>
      <c r="AB933"/>
      <c r="AG933" s="69"/>
      <c r="AH933"/>
    </row>
    <row r="934" spans="1:34" x14ac:dyDescent="0.2">
      <c r="A934"/>
      <c r="B934"/>
      <c r="C934"/>
      <c r="D934"/>
      <c r="E934"/>
      <c r="F934" t="str">
        <f>LEFT(AllDaqbookOffsets[[#This Row],[traceability_no]],2)</f>
        <v>K4</v>
      </c>
      <c r="N934" s="456"/>
      <c r="O934"/>
      <c r="Z934" s="460"/>
      <c r="AA934" s="194"/>
      <c r="AB934"/>
      <c r="AG934" s="69"/>
      <c r="AH934"/>
    </row>
    <row r="935" spans="1:34" x14ac:dyDescent="0.2">
      <c r="A935"/>
      <c r="B935"/>
      <c r="C935"/>
      <c r="D935"/>
      <c r="E935"/>
      <c r="F935" t="str">
        <f>LEFT(AllDaqbookOffsets[[#This Row],[traceability_no]],2)</f>
        <v>K4</v>
      </c>
      <c r="N935" s="456"/>
      <c r="O935"/>
      <c r="Z935" s="460"/>
      <c r="AA935" s="194"/>
      <c r="AB935"/>
      <c r="AG935" s="69"/>
      <c r="AH935"/>
    </row>
    <row r="936" spans="1:34" x14ac:dyDescent="0.2">
      <c r="A936"/>
      <c r="B936"/>
      <c r="C936"/>
      <c r="D936"/>
      <c r="E936"/>
      <c r="F936" t="str">
        <f>LEFT(AllDaqbookOffsets[[#This Row],[traceability_no]],2)</f>
        <v>K4</v>
      </c>
      <c r="N936" s="456"/>
      <c r="O936"/>
      <c r="Z936" s="460"/>
      <c r="AA936" s="194"/>
      <c r="AB936"/>
      <c r="AG936" s="69"/>
      <c r="AH936"/>
    </row>
    <row r="937" spans="1:34" x14ac:dyDescent="0.2">
      <c r="A937"/>
      <c r="B937"/>
      <c r="C937"/>
      <c r="D937"/>
      <c r="E937"/>
      <c r="F937" t="str">
        <f>LEFT(AllDaqbookOffsets[[#This Row],[traceability_no]],2)</f>
        <v>K4</v>
      </c>
      <c r="N937" s="456"/>
      <c r="O937"/>
      <c r="Z937" s="460"/>
      <c r="AA937" s="194"/>
      <c r="AB937"/>
      <c r="AG937" s="69"/>
      <c r="AH937"/>
    </row>
    <row r="938" spans="1:34" x14ac:dyDescent="0.2">
      <c r="A938"/>
      <c r="B938"/>
      <c r="C938"/>
      <c r="D938"/>
      <c r="E938"/>
      <c r="F938" t="str">
        <f>LEFT(AllDaqbookOffsets[[#This Row],[traceability_no]],2)</f>
        <v>K4</v>
      </c>
      <c r="N938" s="456"/>
      <c r="O938"/>
      <c r="Z938" s="460"/>
      <c r="AA938" s="194"/>
      <c r="AB938"/>
      <c r="AG938" s="69"/>
      <c r="AH938"/>
    </row>
    <row r="939" spans="1:34" x14ac:dyDescent="0.2">
      <c r="A939"/>
      <c r="B939"/>
      <c r="C939"/>
      <c r="D939"/>
      <c r="E939"/>
      <c r="F939" t="str">
        <f>LEFT(AllDaqbookOffsets[[#This Row],[traceability_no]],2)</f>
        <v>K4</v>
      </c>
      <c r="N939" s="456"/>
      <c r="O939"/>
      <c r="Z939" s="460"/>
      <c r="AA939" s="194"/>
      <c r="AB939"/>
      <c r="AG939" s="69"/>
      <c r="AH939"/>
    </row>
    <row r="940" spans="1:34" x14ac:dyDescent="0.2">
      <c r="A940"/>
      <c r="B940"/>
      <c r="C940"/>
      <c r="D940"/>
      <c r="E940"/>
      <c r="F940" t="str">
        <f>LEFT(AllDaqbookOffsets[[#This Row],[traceability_no]],2)</f>
        <v>K4</v>
      </c>
      <c r="N940" s="456"/>
      <c r="O940"/>
      <c r="Z940" s="460"/>
      <c r="AA940" s="194"/>
      <c r="AB940"/>
      <c r="AG940" s="69"/>
      <c r="AH940"/>
    </row>
    <row r="941" spans="1:34" x14ac:dyDescent="0.2">
      <c r="A941"/>
      <c r="B941"/>
      <c r="C941"/>
      <c r="D941"/>
      <c r="E941"/>
      <c r="F941" t="str">
        <f>LEFT(AllDaqbookOffsets[[#This Row],[traceability_no]],2)</f>
        <v>K4</v>
      </c>
      <c r="N941" s="456"/>
      <c r="O941"/>
      <c r="Z941" s="460"/>
      <c r="AA941" s="194"/>
      <c r="AB941"/>
      <c r="AG941" s="69"/>
      <c r="AH941"/>
    </row>
    <row r="942" spans="1:34" x14ac:dyDescent="0.2">
      <c r="A942"/>
      <c r="B942"/>
      <c r="C942"/>
      <c r="D942"/>
      <c r="E942"/>
      <c r="F942" t="str">
        <f>LEFT(AllDaqbookOffsets[[#This Row],[traceability_no]],2)</f>
        <v>K4</v>
      </c>
      <c r="N942" s="456"/>
      <c r="O942"/>
      <c r="Z942" s="460"/>
      <c r="AA942" s="194"/>
      <c r="AB942"/>
      <c r="AG942" s="69"/>
      <c r="AH942"/>
    </row>
    <row r="943" spans="1:34" x14ac:dyDescent="0.2">
      <c r="A943"/>
      <c r="B943"/>
      <c r="C943"/>
      <c r="D943"/>
      <c r="E943"/>
      <c r="F943" t="str">
        <f>LEFT(AllDaqbookOffsets[[#This Row],[traceability_no]],2)</f>
        <v>K4</v>
      </c>
      <c r="N943" s="456"/>
      <c r="O943"/>
      <c r="Z943" s="460"/>
      <c r="AA943" s="194"/>
      <c r="AB943"/>
      <c r="AG943" s="69"/>
      <c r="AH943"/>
    </row>
    <row r="944" spans="1:34" x14ac:dyDescent="0.2">
      <c r="A944"/>
      <c r="B944"/>
      <c r="C944"/>
      <c r="D944"/>
      <c r="E944"/>
      <c r="F944" t="str">
        <f>LEFT(AllDaqbookOffsets[[#This Row],[traceability_no]],2)</f>
        <v>K4</v>
      </c>
      <c r="N944" s="456"/>
      <c r="O944"/>
      <c r="Z944" s="460"/>
      <c r="AA944" s="194"/>
      <c r="AB944"/>
      <c r="AG944" s="69"/>
      <c r="AH944"/>
    </row>
    <row r="945" spans="1:34" x14ac:dyDescent="0.2">
      <c r="A945"/>
      <c r="B945"/>
      <c r="C945"/>
      <c r="D945"/>
      <c r="E945"/>
      <c r="F945" t="str">
        <f>LEFT(AllDaqbookOffsets[[#This Row],[traceability_no]],2)</f>
        <v>K4</v>
      </c>
      <c r="N945" s="456"/>
      <c r="O945"/>
      <c r="Z945" s="460"/>
      <c r="AA945" s="194"/>
      <c r="AB945"/>
      <c r="AG945" s="69"/>
      <c r="AH945"/>
    </row>
    <row r="946" spans="1:34" x14ac:dyDescent="0.2">
      <c r="A946"/>
      <c r="B946"/>
      <c r="C946"/>
      <c r="D946"/>
      <c r="E946"/>
      <c r="F946" t="str">
        <f>LEFT(AllDaqbookOffsets[[#This Row],[traceability_no]],2)</f>
        <v>K4</v>
      </c>
      <c r="N946" s="456"/>
      <c r="O946"/>
      <c r="Z946" s="460"/>
      <c r="AA946" s="194"/>
      <c r="AB946"/>
      <c r="AG946" s="69"/>
      <c r="AH946"/>
    </row>
    <row r="947" spans="1:34" x14ac:dyDescent="0.2">
      <c r="A947"/>
      <c r="B947"/>
      <c r="C947"/>
      <c r="D947"/>
      <c r="E947"/>
      <c r="F947" t="str">
        <f>LEFT(AllDaqbookOffsets[[#This Row],[traceability_no]],2)</f>
        <v>K4</v>
      </c>
      <c r="N947" s="456"/>
      <c r="O947"/>
      <c r="Z947" s="460"/>
      <c r="AA947" s="194"/>
      <c r="AB947"/>
      <c r="AG947" s="69"/>
      <c r="AH947"/>
    </row>
    <row r="948" spans="1:34" x14ac:dyDescent="0.2">
      <c r="A948"/>
      <c r="B948"/>
      <c r="C948"/>
      <c r="D948"/>
      <c r="E948"/>
      <c r="F948" t="str">
        <f>LEFT(AllDaqbookOffsets[[#This Row],[traceability_no]],2)</f>
        <v>K4</v>
      </c>
      <c r="N948" s="456"/>
      <c r="O948"/>
      <c r="Z948" s="460"/>
      <c r="AA948" s="194"/>
      <c r="AB948"/>
      <c r="AG948" s="69"/>
      <c r="AH948"/>
    </row>
    <row r="949" spans="1:34" x14ac:dyDescent="0.2">
      <c r="A949"/>
      <c r="B949"/>
      <c r="C949"/>
      <c r="D949"/>
      <c r="E949"/>
      <c r="F949" t="str">
        <f>LEFT(AllDaqbookOffsets[[#This Row],[traceability_no]],2)</f>
        <v>K4</v>
      </c>
      <c r="N949" s="456"/>
      <c r="O949"/>
      <c r="Z949" s="460"/>
      <c r="AA949" s="194"/>
      <c r="AB949"/>
      <c r="AG949" s="69"/>
      <c r="AH949"/>
    </row>
    <row r="950" spans="1:34" x14ac:dyDescent="0.2">
      <c r="A950"/>
      <c r="B950"/>
      <c r="C950"/>
      <c r="D950"/>
      <c r="E950"/>
      <c r="F950" t="str">
        <f>LEFT(AllDaqbookOffsets[[#This Row],[traceability_no]],2)</f>
        <v>K4</v>
      </c>
      <c r="N950" s="456"/>
      <c r="O950"/>
      <c r="Z950" s="460"/>
      <c r="AA950" s="194"/>
      <c r="AB950"/>
      <c r="AG950" s="69"/>
      <c r="AH950"/>
    </row>
    <row r="951" spans="1:34" x14ac:dyDescent="0.2">
      <c r="A951"/>
      <c r="B951"/>
      <c r="C951"/>
      <c r="D951"/>
      <c r="E951"/>
      <c r="F951" t="str">
        <f>LEFT(AllDaqbookOffsets[[#This Row],[traceability_no]],2)</f>
        <v>K4</v>
      </c>
      <c r="N951" s="456"/>
      <c r="O951"/>
      <c r="Z951" s="460"/>
      <c r="AA951" s="194"/>
      <c r="AB951"/>
      <c r="AG951" s="69"/>
      <c r="AH951"/>
    </row>
    <row r="952" spans="1:34" x14ac:dyDescent="0.2">
      <c r="A952"/>
      <c r="B952"/>
      <c r="C952"/>
      <c r="D952"/>
      <c r="E952"/>
      <c r="F952" t="str">
        <f>LEFT(AllDaqbookOffsets[[#This Row],[traceability_no]],2)</f>
        <v>K4</v>
      </c>
      <c r="N952" s="456"/>
      <c r="O952"/>
      <c r="Z952" s="460"/>
      <c r="AA952" s="194"/>
      <c r="AB952"/>
      <c r="AG952" s="69"/>
      <c r="AH952"/>
    </row>
    <row r="953" spans="1:34" x14ac:dyDescent="0.2">
      <c r="A953"/>
      <c r="B953"/>
      <c r="C953"/>
      <c r="D953"/>
      <c r="E953"/>
      <c r="F953" t="str">
        <f>LEFT(AllDaqbookOffsets[[#This Row],[traceability_no]],2)</f>
        <v>K4</v>
      </c>
      <c r="N953" s="456"/>
      <c r="O953"/>
      <c r="Z953" s="460"/>
      <c r="AA953" s="194"/>
      <c r="AB953"/>
      <c r="AG953" s="69"/>
      <c r="AH953"/>
    </row>
    <row r="954" spans="1:34" x14ac:dyDescent="0.2">
      <c r="A954"/>
      <c r="B954"/>
      <c r="C954"/>
      <c r="D954"/>
      <c r="E954"/>
      <c r="F954" t="str">
        <f>LEFT(AllDaqbookOffsets[[#This Row],[traceability_no]],2)</f>
        <v>K4</v>
      </c>
      <c r="N954" s="456"/>
      <c r="O954"/>
      <c r="Z954" s="460"/>
      <c r="AA954" s="194"/>
      <c r="AB954"/>
      <c r="AG954" s="69"/>
      <c r="AH954"/>
    </row>
    <row r="955" spans="1:34" x14ac:dyDescent="0.2">
      <c r="A955"/>
      <c r="B955"/>
      <c r="C955"/>
      <c r="D955"/>
      <c r="E955"/>
      <c r="F955" t="str">
        <f>LEFT(AllDaqbookOffsets[[#This Row],[traceability_no]],2)</f>
        <v>K4</v>
      </c>
      <c r="N955" s="456"/>
      <c r="O955"/>
      <c r="Z955" s="460"/>
      <c r="AA955" s="194"/>
      <c r="AB955"/>
      <c r="AG955" s="69"/>
      <c r="AH955"/>
    </row>
    <row r="956" spans="1:34" x14ac:dyDescent="0.2">
      <c r="A956"/>
      <c r="B956"/>
      <c r="C956"/>
      <c r="D956"/>
      <c r="E956"/>
      <c r="F956" t="str">
        <f>LEFT(AllDaqbookOffsets[[#This Row],[traceability_no]],2)</f>
        <v>K4</v>
      </c>
      <c r="N956" s="456"/>
      <c r="O956"/>
      <c r="Z956" s="460"/>
      <c r="AA956" s="194"/>
      <c r="AB956"/>
      <c r="AG956" s="69"/>
      <c r="AH956"/>
    </row>
    <row r="957" spans="1:34" x14ac:dyDescent="0.2">
      <c r="A957"/>
      <c r="B957"/>
      <c r="C957"/>
      <c r="D957"/>
      <c r="E957"/>
      <c r="F957" t="str">
        <f>LEFT(AllDaqbookOffsets[[#This Row],[traceability_no]],2)</f>
        <v>K4</v>
      </c>
      <c r="N957" s="456"/>
      <c r="O957"/>
      <c r="Z957" s="460"/>
      <c r="AA957" s="194"/>
      <c r="AB957"/>
      <c r="AG957" s="69"/>
      <c r="AH957"/>
    </row>
    <row r="958" spans="1:34" x14ac:dyDescent="0.2">
      <c r="A958"/>
      <c r="B958"/>
      <c r="C958"/>
      <c r="D958"/>
      <c r="E958"/>
      <c r="F958" t="str">
        <f>LEFT(AllDaqbookOffsets[[#This Row],[traceability_no]],2)</f>
        <v>K4</v>
      </c>
      <c r="N958" s="456"/>
      <c r="O958"/>
      <c r="Z958" s="460"/>
      <c r="AA958" s="194"/>
      <c r="AB958"/>
      <c r="AG958" s="69"/>
      <c r="AH958"/>
    </row>
    <row r="959" spans="1:34" x14ac:dyDescent="0.2">
      <c r="A959"/>
      <c r="B959"/>
      <c r="C959"/>
      <c r="D959"/>
      <c r="E959"/>
      <c r="F959" t="str">
        <f>LEFT(AllDaqbookOffsets[[#This Row],[traceability_no]],2)</f>
        <v>K4</v>
      </c>
      <c r="N959" s="456"/>
      <c r="O959"/>
      <c r="Z959" s="460"/>
      <c r="AA959" s="194"/>
      <c r="AB959"/>
      <c r="AG959" s="69"/>
      <c r="AH959"/>
    </row>
    <row r="960" spans="1:34" x14ac:dyDescent="0.2">
      <c r="A960"/>
      <c r="B960"/>
      <c r="C960"/>
      <c r="D960"/>
      <c r="E960"/>
      <c r="F960" t="str">
        <f>LEFT(AllDaqbookOffsets[[#This Row],[traceability_no]],2)</f>
        <v>K4</v>
      </c>
      <c r="N960" s="456"/>
      <c r="O960"/>
      <c r="Z960" s="460"/>
      <c r="AA960" s="194"/>
      <c r="AB960"/>
      <c r="AG960" s="69"/>
      <c r="AH960"/>
    </row>
    <row r="961" spans="1:34" x14ac:dyDescent="0.2">
      <c r="A961"/>
      <c r="B961"/>
      <c r="C961"/>
      <c r="D961"/>
      <c r="E961"/>
      <c r="F961" t="str">
        <f>LEFT(AllDaqbookOffsets[[#This Row],[traceability_no]],2)</f>
        <v>K4</v>
      </c>
      <c r="N961" s="456"/>
      <c r="O961"/>
      <c r="Z961" s="460"/>
      <c r="AA961" s="194"/>
      <c r="AB961"/>
      <c r="AG961" s="69"/>
      <c r="AH961"/>
    </row>
    <row r="962" spans="1:34" x14ac:dyDescent="0.2">
      <c r="A962"/>
      <c r="B962"/>
      <c r="C962"/>
      <c r="D962"/>
      <c r="E962"/>
      <c r="F962" t="str">
        <f>LEFT(AllDaqbookOffsets[[#This Row],[traceability_no]],2)</f>
        <v>K5</v>
      </c>
      <c r="N962" s="456"/>
      <c r="O962"/>
      <c r="Z962" s="460"/>
      <c r="AA962" s="194"/>
      <c r="AB962"/>
      <c r="AG962" s="69"/>
      <c r="AH962"/>
    </row>
    <row r="963" spans="1:34" x14ac:dyDescent="0.2">
      <c r="A963"/>
      <c r="B963"/>
      <c r="C963"/>
      <c r="D963"/>
      <c r="E963"/>
      <c r="F963" t="str">
        <f>LEFT(AllDaqbookOffsets[[#This Row],[traceability_no]],2)</f>
        <v>K5</v>
      </c>
      <c r="N963" s="456"/>
      <c r="O963"/>
      <c r="Z963" s="460"/>
      <c r="AA963" s="194"/>
      <c r="AB963"/>
      <c r="AG963" s="69"/>
      <c r="AH963"/>
    </row>
    <row r="964" spans="1:34" x14ac:dyDescent="0.2">
      <c r="A964"/>
      <c r="B964"/>
      <c r="C964"/>
      <c r="D964"/>
      <c r="E964"/>
      <c r="F964" t="str">
        <f>LEFT(AllDaqbookOffsets[[#This Row],[traceability_no]],2)</f>
        <v>K5</v>
      </c>
      <c r="N964" s="456"/>
      <c r="O964"/>
      <c r="Z964" s="460"/>
      <c r="AA964" s="194"/>
      <c r="AB964"/>
      <c r="AG964" s="69"/>
      <c r="AH964"/>
    </row>
    <row r="965" spans="1:34" x14ac:dyDescent="0.2">
      <c r="A965"/>
      <c r="B965"/>
      <c r="C965"/>
      <c r="D965"/>
      <c r="E965"/>
      <c r="F965" t="str">
        <f>LEFT(AllDaqbookOffsets[[#This Row],[traceability_no]],2)</f>
        <v>K5</v>
      </c>
      <c r="N965" s="456"/>
      <c r="O965"/>
      <c r="Z965" s="460"/>
      <c r="AA965" s="194"/>
      <c r="AB965"/>
      <c r="AG965" s="69"/>
      <c r="AH965"/>
    </row>
    <row r="966" spans="1:34" x14ac:dyDescent="0.2">
      <c r="A966"/>
      <c r="B966"/>
      <c r="C966"/>
      <c r="D966"/>
      <c r="E966"/>
      <c r="F966" t="str">
        <f>LEFT(AllDaqbookOffsets[[#This Row],[traceability_no]],2)</f>
        <v>K5</v>
      </c>
      <c r="N966" s="456"/>
      <c r="O966"/>
      <c r="Z966" s="460"/>
      <c r="AA966" s="194"/>
      <c r="AB966"/>
      <c r="AG966" s="69"/>
      <c r="AH966"/>
    </row>
    <row r="967" spans="1:34" x14ac:dyDescent="0.2">
      <c r="A967"/>
      <c r="B967"/>
      <c r="C967"/>
      <c r="D967"/>
      <c r="E967"/>
      <c r="F967" t="str">
        <f>LEFT(AllDaqbookOffsets[[#This Row],[traceability_no]],2)</f>
        <v>K5</v>
      </c>
      <c r="N967" s="456"/>
      <c r="O967"/>
      <c r="Z967" s="460"/>
      <c r="AA967" s="194"/>
      <c r="AB967"/>
      <c r="AG967" s="69"/>
      <c r="AH967"/>
    </row>
    <row r="968" spans="1:34" x14ac:dyDescent="0.2">
      <c r="A968"/>
      <c r="B968"/>
      <c r="C968"/>
      <c r="D968"/>
      <c r="E968"/>
      <c r="F968" t="str">
        <f>LEFT(AllDaqbookOffsets[[#This Row],[traceability_no]],2)</f>
        <v>K5</v>
      </c>
      <c r="N968" s="456"/>
      <c r="O968"/>
      <c r="Z968" s="460"/>
      <c r="AA968" s="194"/>
      <c r="AB968"/>
      <c r="AG968" s="69"/>
      <c r="AH968"/>
    </row>
    <row r="969" spans="1:34" x14ac:dyDescent="0.2">
      <c r="A969"/>
      <c r="B969"/>
      <c r="C969"/>
      <c r="D969"/>
      <c r="E969"/>
      <c r="F969" t="str">
        <f>LEFT(AllDaqbookOffsets[[#This Row],[traceability_no]],2)</f>
        <v>K5</v>
      </c>
      <c r="N969" s="456"/>
      <c r="O969"/>
      <c r="Z969" s="460"/>
      <c r="AA969" s="194"/>
      <c r="AB969"/>
      <c r="AG969" s="69"/>
      <c r="AH969"/>
    </row>
    <row r="970" spans="1:34" x14ac:dyDescent="0.2">
      <c r="A970"/>
      <c r="B970"/>
      <c r="C970"/>
      <c r="D970"/>
      <c r="E970"/>
      <c r="F970" t="str">
        <f>LEFT(AllDaqbookOffsets[[#This Row],[traceability_no]],2)</f>
        <v>K5</v>
      </c>
      <c r="N970" s="456"/>
      <c r="O970"/>
      <c r="Z970" s="460"/>
      <c r="AA970" s="194"/>
      <c r="AB970"/>
      <c r="AG970" s="69"/>
      <c r="AH970"/>
    </row>
    <row r="971" spans="1:34" x14ac:dyDescent="0.2">
      <c r="A971"/>
      <c r="B971"/>
      <c r="C971"/>
      <c r="D971"/>
      <c r="E971"/>
      <c r="F971" t="str">
        <f>LEFT(AllDaqbookOffsets[[#This Row],[traceability_no]],2)</f>
        <v>K5</v>
      </c>
      <c r="N971" s="456"/>
      <c r="O971"/>
      <c r="Z971" s="460"/>
      <c r="AA971" s="194"/>
      <c r="AB971"/>
      <c r="AG971" s="69"/>
      <c r="AH971"/>
    </row>
    <row r="972" spans="1:34" x14ac:dyDescent="0.2">
      <c r="A972"/>
      <c r="B972"/>
      <c r="C972"/>
      <c r="D972"/>
      <c r="E972"/>
      <c r="F972" t="str">
        <f>LEFT(AllDaqbookOffsets[[#This Row],[traceability_no]],2)</f>
        <v>K5</v>
      </c>
      <c r="N972" s="456"/>
      <c r="O972"/>
      <c r="Z972" s="460"/>
      <c r="AA972" s="194"/>
      <c r="AB972"/>
      <c r="AG972" s="69"/>
      <c r="AH972"/>
    </row>
    <row r="973" spans="1:34" x14ac:dyDescent="0.2">
      <c r="A973"/>
      <c r="B973"/>
      <c r="C973"/>
      <c r="D973"/>
      <c r="E973"/>
      <c r="F973" t="str">
        <f>LEFT(AllDaqbookOffsets[[#This Row],[traceability_no]],2)</f>
        <v>K5</v>
      </c>
      <c r="N973" s="456"/>
      <c r="O973"/>
      <c r="Z973" s="460"/>
      <c r="AA973" s="194"/>
      <c r="AB973"/>
      <c r="AG973" s="69"/>
      <c r="AH973"/>
    </row>
    <row r="974" spans="1:34" x14ac:dyDescent="0.2">
      <c r="A974"/>
      <c r="B974"/>
      <c r="C974"/>
      <c r="D974"/>
      <c r="E974"/>
      <c r="F974" t="str">
        <f>LEFT(AllDaqbookOffsets[[#This Row],[traceability_no]],2)</f>
        <v>K5</v>
      </c>
      <c r="N974" s="456"/>
      <c r="O974"/>
      <c r="Z974" s="460"/>
      <c r="AA974" s="194"/>
      <c r="AB974"/>
      <c r="AG974" s="69"/>
      <c r="AH974"/>
    </row>
    <row r="975" spans="1:34" x14ac:dyDescent="0.2">
      <c r="A975"/>
      <c r="B975"/>
      <c r="C975"/>
      <c r="D975"/>
      <c r="E975"/>
      <c r="F975" t="str">
        <f>LEFT(AllDaqbookOffsets[[#This Row],[traceability_no]],2)</f>
        <v>K5</v>
      </c>
      <c r="N975" s="456"/>
      <c r="O975"/>
      <c r="Z975" s="460"/>
      <c r="AA975" s="194"/>
      <c r="AB975"/>
      <c r="AG975" s="69"/>
      <c r="AH975"/>
    </row>
    <row r="976" spans="1:34" x14ac:dyDescent="0.2">
      <c r="A976"/>
      <c r="B976"/>
      <c r="C976"/>
      <c r="D976"/>
      <c r="E976"/>
      <c r="F976" t="str">
        <f>LEFT(AllDaqbookOffsets[[#This Row],[traceability_no]],2)</f>
        <v>K5</v>
      </c>
      <c r="N976" s="456"/>
      <c r="O976"/>
      <c r="Z976" s="460"/>
      <c r="AA976" s="194"/>
      <c r="AB976"/>
      <c r="AG976" s="69"/>
      <c r="AH976"/>
    </row>
    <row r="977" spans="1:34" x14ac:dyDescent="0.2">
      <c r="A977"/>
      <c r="B977"/>
      <c r="C977"/>
      <c r="D977"/>
      <c r="E977"/>
      <c r="F977" t="str">
        <f>LEFT(AllDaqbookOffsets[[#This Row],[traceability_no]],2)</f>
        <v>K5</v>
      </c>
      <c r="N977" s="456"/>
      <c r="O977"/>
      <c r="Z977" s="460"/>
      <c r="AA977" s="194"/>
      <c r="AB977"/>
      <c r="AG977" s="69"/>
      <c r="AH977"/>
    </row>
    <row r="978" spans="1:34" x14ac:dyDescent="0.2">
      <c r="A978"/>
      <c r="B978"/>
      <c r="C978"/>
      <c r="D978"/>
      <c r="E978"/>
      <c r="F978" t="str">
        <f>LEFT(AllDaqbookOffsets[[#This Row],[traceability_no]],2)</f>
        <v>K5</v>
      </c>
      <c r="N978" s="456"/>
      <c r="O978"/>
      <c r="Z978" s="460"/>
      <c r="AA978" s="194"/>
      <c r="AB978"/>
      <c r="AG978" s="69"/>
      <c r="AH978"/>
    </row>
    <row r="979" spans="1:34" x14ac:dyDescent="0.2">
      <c r="A979"/>
      <c r="B979"/>
      <c r="C979"/>
      <c r="D979"/>
      <c r="E979"/>
      <c r="F979" t="str">
        <f>LEFT(AllDaqbookOffsets[[#This Row],[traceability_no]],2)</f>
        <v>K5</v>
      </c>
      <c r="N979" s="456"/>
      <c r="O979"/>
      <c r="Z979" s="460"/>
      <c r="AA979" s="194"/>
      <c r="AB979"/>
      <c r="AG979" s="69"/>
      <c r="AH979"/>
    </row>
    <row r="980" spans="1:34" x14ac:dyDescent="0.2">
      <c r="A980"/>
      <c r="B980"/>
      <c r="C980"/>
      <c r="D980"/>
      <c r="E980"/>
      <c r="F980" t="str">
        <f>LEFT(AllDaqbookOffsets[[#This Row],[traceability_no]],2)</f>
        <v>K5</v>
      </c>
      <c r="N980" s="456"/>
      <c r="O980"/>
      <c r="Z980" s="460"/>
      <c r="AA980" s="194"/>
      <c r="AB980"/>
      <c r="AG980" s="69"/>
      <c r="AH980"/>
    </row>
    <row r="981" spans="1:34" x14ac:dyDescent="0.2">
      <c r="A981"/>
      <c r="B981"/>
      <c r="C981"/>
      <c r="D981"/>
      <c r="E981"/>
      <c r="F981" t="str">
        <f>LEFT(AllDaqbookOffsets[[#This Row],[traceability_no]],2)</f>
        <v>K5</v>
      </c>
      <c r="N981" s="456"/>
      <c r="O981"/>
      <c r="Z981" s="460"/>
      <c r="AA981" s="194"/>
      <c r="AB981"/>
      <c r="AG981" s="69"/>
      <c r="AH981"/>
    </row>
    <row r="982" spans="1:34" x14ac:dyDescent="0.2">
      <c r="A982"/>
      <c r="B982"/>
      <c r="C982"/>
      <c r="D982"/>
      <c r="E982"/>
      <c r="F982" t="str">
        <f>LEFT(AllDaqbookOffsets[[#This Row],[traceability_no]],2)</f>
        <v>K5</v>
      </c>
      <c r="N982" s="456"/>
      <c r="O982"/>
      <c r="Z982" s="460"/>
      <c r="AA982" s="194"/>
      <c r="AB982"/>
      <c r="AG982" s="69"/>
      <c r="AH982"/>
    </row>
    <row r="983" spans="1:34" x14ac:dyDescent="0.2">
      <c r="A983"/>
      <c r="B983"/>
      <c r="C983"/>
      <c r="D983"/>
      <c r="E983"/>
      <c r="F983" t="str">
        <f>LEFT(AllDaqbookOffsets[[#This Row],[traceability_no]],2)</f>
        <v>K5</v>
      </c>
      <c r="N983" s="456"/>
      <c r="O983"/>
      <c r="Z983" s="460"/>
      <c r="AA983" s="194"/>
      <c r="AB983"/>
      <c r="AG983" s="69"/>
      <c r="AH983"/>
    </row>
    <row r="984" spans="1:34" x14ac:dyDescent="0.2">
      <c r="A984"/>
      <c r="B984"/>
      <c r="C984"/>
      <c r="D984"/>
      <c r="E984"/>
      <c r="F984" t="str">
        <f>LEFT(AllDaqbookOffsets[[#This Row],[traceability_no]],2)</f>
        <v>K5</v>
      </c>
      <c r="N984" s="456"/>
      <c r="O984"/>
      <c r="Z984" s="460"/>
      <c r="AA984" s="194"/>
      <c r="AB984"/>
      <c r="AG984" s="69"/>
      <c r="AH984"/>
    </row>
    <row r="985" spans="1:34" x14ac:dyDescent="0.2">
      <c r="A985"/>
      <c r="B985"/>
      <c r="C985"/>
      <c r="D985"/>
      <c r="E985"/>
      <c r="F985" t="str">
        <f>LEFT(AllDaqbookOffsets[[#This Row],[traceability_no]],2)</f>
        <v>K5</v>
      </c>
      <c r="N985" s="456"/>
      <c r="O985"/>
      <c r="Z985" s="460"/>
      <c r="AA985" s="194"/>
      <c r="AB985"/>
      <c r="AG985" s="69"/>
      <c r="AH985"/>
    </row>
    <row r="986" spans="1:34" x14ac:dyDescent="0.2">
      <c r="A986"/>
      <c r="B986"/>
      <c r="C986"/>
      <c r="D986"/>
      <c r="E986"/>
      <c r="F986" t="str">
        <f>LEFT(AllDaqbookOffsets[[#This Row],[traceability_no]],2)</f>
        <v>K5</v>
      </c>
      <c r="N986" s="456"/>
      <c r="O986"/>
      <c r="Z986" s="460"/>
      <c r="AA986" s="194"/>
      <c r="AB986"/>
      <c r="AG986" s="69"/>
      <c r="AH986"/>
    </row>
    <row r="987" spans="1:34" x14ac:dyDescent="0.2">
      <c r="A987"/>
      <c r="B987"/>
      <c r="C987"/>
      <c r="D987"/>
      <c r="E987"/>
      <c r="F987" t="str">
        <f>LEFT(AllDaqbookOffsets[[#This Row],[traceability_no]],2)</f>
        <v>K5</v>
      </c>
      <c r="N987" s="456"/>
      <c r="O987"/>
      <c r="Z987" s="460"/>
      <c r="AA987" s="194"/>
      <c r="AB987"/>
      <c r="AG987" s="69"/>
      <c r="AH987"/>
    </row>
    <row r="988" spans="1:34" x14ac:dyDescent="0.2">
      <c r="A988"/>
      <c r="B988"/>
      <c r="C988"/>
      <c r="D988"/>
      <c r="E988"/>
      <c r="F988" t="str">
        <f>LEFT(AllDaqbookOffsets[[#This Row],[traceability_no]],2)</f>
        <v>K5</v>
      </c>
      <c r="N988" s="456"/>
      <c r="O988"/>
      <c r="Z988" s="460"/>
      <c r="AA988" s="194"/>
      <c r="AB988"/>
      <c r="AG988" s="69"/>
      <c r="AH988"/>
    </row>
    <row r="989" spans="1:34" x14ac:dyDescent="0.2">
      <c r="A989"/>
      <c r="B989"/>
      <c r="C989"/>
      <c r="D989"/>
      <c r="E989"/>
      <c r="F989" t="str">
        <f>LEFT(AllDaqbookOffsets[[#This Row],[traceability_no]],2)</f>
        <v>K5</v>
      </c>
      <c r="N989" s="456"/>
      <c r="O989"/>
      <c r="Z989" s="460"/>
      <c r="AA989" s="194"/>
      <c r="AB989"/>
      <c r="AG989" s="69"/>
      <c r="AH989"/>
    </row>
    <row r="990" spans="1:34" x14ac:dyDescent="0.2">
      <c r="A990"/>
      <c r="B990"/>
      <c r="C990"/>
      <c r="D990"/>
      <c r="E990"/>
      <c r="F990" t="str">
        <f>LEFT(AllDaqbookOffsets[[#This Row],[traceability_no]],2)</f>
        <v>K5</v>
      </c>
      <c r="N990" s="456"/>
      <c r="O990"/>
      <c r="Z990" s="460"/>
      <c r="AA990" s="194"/>
      <c r="AB990"/>
      <c r="AG990" s="69"/>
      <c r="AH990"/>
    </row>
    <row r="991" spans="1:34" x14ac:dyDescent="0.2">
      <c r="A991"/>
      <c r="B991"/>
      <c r="C991"/>
      <c r="D991"/>
      <c r="E991"/>
      <c r="F991" t="str">
        <f>LEFT(AllDaqbookOffsets[[#This Row],[traceability_no]],2)</f>
        <v>K5</v>
      </c>
      <c r="N991" s="456"/>
      <c r="O991"/>
      <c r="Z991" s="460"/>
      <c r="AA991" s="194"/>
      <c r="AB991"/>
      <c r="AG991" s="69"/>
      <c r="AH991"/>
    </row>
    <row r="992" spans="1:34" x14ac:dyDescent="0.2">
      <c r="A992"/>
      <c r="B992"/>
      <c r="C992"/>
      <c r="D992"/>
      <c r="E992"/>
      <c r="F992" t="str">
        <f>LEFT(AllDaqbookOffsets[[#This Row],[traceability_no]],2)</f>
        <v>K5</v>
      </c>
      <c r="N992" s="456"/>
      <c r="O992"/>
      <c r="Z992" s="460"/>
      <c r="AA992" s="194"/>
      <c r="AB992"/>
      <c r="AG992" s="69"/>
      <c r="AH992"/>
    </row>
    <row r="993" spans="1:34" x14ac:dyDescent="0.2">
      <c r="A993"/>
      <c r="B993"/>
      <c r="C993"/>
      <c r="D993"/>
      <c r="E993"/>
      <c r="F993" t="str">
        <f>LEFT(AllDaqbookOffsets[[#This Row],[traceability_no]],2)</f>
        <v>K5</v>
      </c>
      <c r="N993" s="456"/>
      <c r="O993"/>
      <c r="Z993" s="460"/>
      <c r="AA993" s="194"/>
      <c r="AB993"/>
      <c r="AG993" s="69"/>
      <c r="AH993"/>
    </row>
    <row r="994" spans="1:34" x14ac:dyDescent="0.2">
      <c r="A994"/>
      <c r="B994"/>
      <c r="C994"/>
      <c r="D994"/>
      <c r="E994"/>
      <c r="F994" t="str">
        <f>LEFT(AllDaqbookOffsets[[#This Row],[traceability_no]],2)</f>
        <v>K5</v>
      </c>
      <c r="N994" s="456"/>
      <c r="O994"/>
      <c r="Z994" s="460"/>
      <c r="AA994" s="194"/>
      <c r="AB994"/>
      <c r="AG994" s="69"/>
      <c r="AH994"/>
    </row>
    <row r="995" spans="1:34" x14ac:dyDescent="0.2">
      <c r="A995"/>
      <c r="B995"/>
      <c r="C995"/>
      <c r="D995"/>
      <c r="E995"/>
      <c r="F995" t="str">
        <f>LEFT(AllDaqbookOffsets[[#This Row],[traceability_no]],2)</f>
        <v>K5</v>
      </c>
      <c r="N995" s="456"/>
      <c r="O995"/>
      <c r="Z995" s="460"/>
      <c r="AA995" s="194"/>
      <c r="AB995"/>
      <c r="AG995" s="69"/>
      <c r="AH995"/>
    </row>
    <row r="996" spans="1:34" x14ac:dyDescent="0.2">
      <c r="A996"/>
      <c r="B996"/>
      <c r="C996"/>
      <c r="D996"/>
      <c r="E996"/>
      <c r="F996" t="str">
        <f>LEFT(AllDaqbookOffsets[[#This Row],[traceability_no]],2)</f>
        <v>K5</v>
      </c>
      <c r="N996" s="456"/>
      <c r="O996"/>
      <c r="Z996" s="460"/>
      <c r="AA996" s="194"/>
      <c r="AB996"/>
      <c r="AG996" s="69"/>
      <c r="AH996"/>
    </row>
    <row r="997" spans="1:34" x14ac:dyDescent="0.2">
      <c r="A997"/>
      <c r="B997"/>
      <c r="C997"/>
      <c r="D997"/>
      <c r="E997"/>
      <c r="F997" t="str">
        <f>LEFT(AllDaqbookOffsets[[#This Row],[traceability_no]],2)</f>
        <v>K5</v>
      </c>
      <c r="N997" s="456"/>
      <c r="O997"/>
      <c r="Z997" s="460"/>
      <c r="AA997" s="194"/>
      <c r="AB997"/>
      <c r="AG997" s="69"/>
      <c r="AH997"/>
    </row>
    <row r="998" spans="1:34" x14ac:dyDescent="0.2">
      <c r="A998"/>
      <c r="B998"/>
      <c r="C998"/>
      <c r="D998"/>
      <c r="E998"/>
      <c r="F998" t="str">
        <f>LEFT(AllDaqbookOffsets[[#This Row],[traceability_no]],2)</f>
        <v>K5</v>
      </c>
      <c r="N998" s="456"/>
      <c r="O998"/>
      <c r="Z998" s="460"/>
      <c r="AA998" s="194"/>
      <c r="AB998"/>
      <c r="AG998" s="69"/>
      <c r="AH998"/>
    </row>
    <row r="999" spans="1:34" x14ac:dyDescent="0.2">
      <c r="A999"/>
      <c r="B999"/>
      <c r="C999"/>
      <c r="D999"/>
      <c r="E999"/>
      <c r="F999" t="str">
        <f>LEFT(AllDaqbookOffsets[[#This Row],[traceability_no]],2)</f>
        <v>K5</v>
      </c>
      <c r="N999" s="456"/>
      <c r="O999"/>
      <c r="Z999" s="460"/>
      <c r="AA999" s="194"/>
      <c r="AB999"/>
      <c r="AG999" s="69"/>
      <c r="AH999"/>
    </row>
    <row r="1000" spans="1:34" x14ac:dyDescent="0.2">
      <c r="A1000"/>
      <c r="B1000"/>
      <c r="C1000"/>
      <c r="D1000"/>
      <c r="E1000"/>
      <c r="F1000" t="str">
        <f>LEFT(AllDaqbookOffsets[[#This Row],[traceability_no]],2)</f>
        <v>K5</v>
      </c>
      <c r="N1000" s="456"/>
      <c r="O1000"/>
      <c r="Z1000" s="460"/>
      <c r="AA1000" s="194"/>
      <c r="AB1000"/>
      <c r="AG1000" s="69"/>
      <c r="AH1000"/>
    </row>
    <row r="1001" spans="1:34" x14ac:dyDescent="0.2">
      <c r="A1001"/>
      <c r="B1001"/>
      <c r="C1001"/>
      <c r="D1001"/>
      <c r="E1001"/>
      <c r="F1001" t="str">
        <f>LEFT(AllDaqbookOffsets[[#This Row],[traceability_no]],2)</f>
        <v>K5</v>
      </c>
      <c r="N1001" s="456"/>
      <c r="O1001"/>
      <c r="Z1001" s="460"/>
      <c r="AA1001" s="194"/>
      <c r="AB1001"/>
      <c r="AG1001" s="69"/>
      <c r="AH1001"/>
    </row>
    <row r="1002" spans="1:34" x14ac:dyDescent="0.2">
      <c r="A1002"/>
      <c r="B1002"/>
      <c r="C1002"/>
      <c r="D1002"/>
      <c r="E1002"/>
      <c r="F1002" t="str">
        <f>LEFT(AllDaqbookOffsets[[#This Row],[traceability_no]],2)</f>
        <v>K5</v>
      </c>
      <c r="N1002" s="456"/>
      <c r="O1002"/>
      <c r="Z1002" s="460"/>
      <c r="AA1002" s="194"/>
      <c r="AB1002"/>
      <c r="AG1002" s="69"/>
      <c r="AH1002"/>
    </row>
    <row r="1003" spans="1:34" x14ac:dyDescent="0.2">
      <c r="A1003"/>
      <c r="B1003"/>
      <c r="C1003"/>
      <c r="D1003"/>
      <c r="E1003"/>
      <c r="F1003" t="str">
        <f>LEFT(AllDaqbookOffsets[[#This Row],[traceability_no]],2)</f>
        <v>K5</v>
      </c>
      <c r="N1003" s="456"/>
      <c r="O1003"/>
      <c r="Z1003" s="460"/>
      <c r="AA1003" s="194"/>
      <c r="AB1003"/>
      <c r="AG1003" s="69"/>
      <c r="AH1003"/>
    </row>
    <row r="1004" spans="1:34" x14ac:dyDescent="0.2">
      <c r="A1004"/>
      <c r="B1004"/>
      <c r="C1004"/>
      <c r="D1004"/>
      <c r="E1004"/>
      <c r="F1004" t="str">
        <f>LEFT(AllDaqbookOffsets[[#This Row],[traceability_no]],2)</f>
        <v>K5</v>
      </c>
      <c r="N1004" s="456"/>
      <c r="O1004"/>
      <c r="Z1004" s="460"/>
      <c r="AA1004" s="194"/>
      <c r="AB1004"/>
      <c r="AG1004" s="69"/>
      <c r="AH1004"/>
    </row>
    <row r="1005" spans="1:34" x14ac:dyDescent="0.2">
      <c r="A1005"/>
      <c r="B1005"/>
      <c r="C1005"/>
      <c r="D1005"/>
      <c r="E1005"/>
      <c r="F1005" t="str">
        <f>LEFT(AllDaqbookOffsets[[#This Row],[traceability_no]],2)</f>
        <v>K5</v>
      </c>
      <c r="N1005" s="456"/>
      <c r="O1005"/>
      <c r="Z1005" s="460"/>
      <c r="AA1005" s="194"/>
      <c r="AB1005"/>
      <c r="AG1005" s="69"/>
      <c r="AH1005"/>
    </row>
    <row r="1006" spans="1:34" x14ac:dyDescent="0.2">
      <c r="A1006"/>
      <c r="B1006"/>
      <c r="C1006"/>
      <c r="D1006"/>
      <c r="E1006"/>
      <c r="F1006" t="str">
        <f>LEFT(AllDaqbookOffsets[[#This Row],[traceability_no]],2)</f>
        <v>K5</v>
      </c>
      <c r="N1006" s="456"/>
      <c r="O1006"/>
      <c r="Z1006" s="460"/>
      <c r="AA1006" s="194"/>
      <c r="AB1006"/>
      <c r="AG1006" s="69"/>
      <c r="AH1006"/>
    </row>
    <row r="1007" spans="1:34" x14ac:dyDescent="0.2">
      <c r="A1007"/>
      <c r="B1007"/>
      <c r="C1007"/>
      <c r="D1007"/>
      <c r="E1007"/>
      <c r="F1007" t="str">
        <f>LEFT(AllDaqbookOffsets[[#This Row],[traceability_no]],2)</f>
        <v>K5</v>
      </c>
      <c r="N1007" s="456"/>
      <c r="O1007"/>
      <c r="Z1007" s="460"/>
      <c r="AA1007" s="194"/>
      <c r="AB1007"/>
      <c r="AG1007" s="69"/>
      <c r="AH1007"/>
    </row>
    <row r="1008" spans="1:34" x14ac:dyDescent="0.2">
      <c r="A1008"/>
      <c r="B1008"/>
      <c r="C1008"/>
      <c r="D1008"/>
      <c r="E1008"/>
      <c r="F1008" t="str">
        <f>LEFT(AllDaqbookOffsets[[#This Row],[traceability_no]],2)</f>
        <v>K5</v>
      </c>
      <c r="N1008" s="456"/>
      <c r="O1008"/>
      <c r="Z1008" s="460"/>
      <c r="AA1008" s="194"/>
      <c r="AB1008"/>
      <c r="AG1008" s="69"/>
      <c r="AH1008"/>
    </row>
    <row r="1009" spans="1:34" x14ac:dyDescent="0.2">
      <c r="A1009"/>
      <c r="B1009"/>
      <c r="C1009"/>
      <c r="D1009"/>
      <c r="E1009"/>
      <c r="F1009" t="str">
        <f>LEFT(AllDaqbookOffsets[[#This Row],[traceability_no]],2)</f>
        <v>K5</v>
      </c>
      <c r="N1009" s="456"/>
      <c r="O1009"/>
      <c r="Z1009" s="460"/>
      <c r="AA1009" s="194"/>
      <c r="AB1009"/>
      <c r="AG1009" s="69"/>
      <c r="AH1009"/>
    </row>
    <row r="1010" spans="1:34" x14ac:dyDescent="0.2">
      <c r="A1010"/>
      <c r="B1010"/>
      <c r="C1010"/>
      <c r="D1010"/>
      <c r="E1010"/>
      <c r="F1010" t="str">
        <f>LEFT(AllDaqbookOffsets[[#This Row],[traceability_no]],2)</f>
        <v>K5</v>
      </c>
      <c r="N1010" s="456"/>
      <c r="O1010"/>
      <c r="Z1010" s="460"/>
      <c r="AA1010" s="194"/>
      <c r="AB1010"/>
      <c r="AG1010" s="69"/>
      <c r="AH1010"/>
    </row>
    <row r="1011" spans="1:34" x14ac:dyDescent="0.2">
      <c r="A1011"/>
      <c r="B1011"/>
      <c r="C1011"/>
      <c r="D1011"/>
      <c r="E1011"/>
      <c r="F1011" t="str">
        <f>LEFT(AllDaqbookOffsets[[#This Row],[traceability_no]],2)</f>
        <v>K5</v>
      </c>
      <c r="N1011" s="456"/>
      <c r="O1011"/>
      <c r="Z1011" s="460"/>
      <c r="AA1011" s="194"/>
      <c r="AB1011"/>
      <c r="AG1011" s="69"/>
      <c r="AH1011"/>
    </row>
    <row r="1012" spans="1:34" x14ac:dyDescent="0.2">
      <c r="A1012"/>
      <c r="B1012"/>
      <c r="C1012"/>
      <c r="D1012"/>
      <c r="E1012"/>
      <c r="F1012" t="str">
        <f>LEFT(AllDaqbookOffsets[[#This Row],[traceability_no]],2)</f>
        <v>K5</v>
      </c>
      <c r="N1012" s="456"/>
      <c r="O1012"/>
      <c r="Z1012" s="460"/>
      <c r="AA1012" s="194"/>
      <c r="AB1012"/>
      <c r="AG1012" s="69"/>
      <c r="AH1012"/>
    </row>
    <row r="1013" spans="1:34" x14ac:dyDescent="0.2">
      <c r="A1013"/>
      <c r="B1013"/>
      <c r="C1013"/>
      <c r="D1013"/>
      <c r="E1013"/>
      <c r="F1013" t="str">
        <f>LEFT(AllDaqbookOffsets[[#This Row],[traceability_no]],2)</f>
        <v>K5</v>
      </c>
      <c r="N1013" s="456"/>
      <c r="O1013"/>
      <c r="Z1013" s="460"/>
      <c r="AA1013" s="194"/>
      <c r="AB1013"/>
      <c r="AG1013" s="69"/>
      <c r="AH1013"/>
    </row>
    <row r="1014" spans="1:34" x14ac:dyDescent="0.2">
      <c r="A1014"/>
      <c r="B1014"/>
      <c r="C1014"/>
      <c r="D1014"/>
      <c r="E1014"/>
      <c r="F1014" t="str">
        <f>LEFT(AllDaqbookOffsets[[#This Row],[traceability_no]],2)</f>
        <v>K5</v>
      </c>
      <c r="N1014" s="456"/>
      <c r="O1014"/>
      <c r="Z1014" s="460"/>
      <c r="AA1014" s="194"/>
      <c r="AB1014"/>
      <c r="AG1014" s="69"/>
      <c r="AH1014"/>
    </row>
    <row r="1015" spans="1:34" x14ac:dyDescent="0.2">
      <c r="A1015"/>
      <c r="B1015"/>
      <c r="C1015"/>
      <c r="D1015"/>
      <c r="E1015"/>
      <c r="F1015" t="str">
        <f>LEFT(AllDaqbookOffsets[[#This Row],[traceability_no]],2)</f>
        <v>K5</v>
      </c>
      <c r="N1015" s="456"/>
      <c r="O1015"/>
      <c r="Z1015" s="460"/>
      <c r="AA1015" s="194"/>
      <c r="AB1015"/>
      <c r="AG1015" s="69"/>
      <c r="AH1015"/>
    </row>
    <row r="1016" spans="1:34" x14ac:dyDescent="0.2">
      <c r="A1016"/>
      <c r="B1016"/>
      <c r="C1016"/>
      <c r="D1016"/>
      <c r="E1016"/>
      <c r="F1016" t="str">
        <f>LEFT(AllDaqbookOffsets[[#This Row],[traceability_no]],2)</f>
        <v>K5</v>
      </c>
      <c r="N1016" s="456"/>
      <c r="O1016"/>
      <c r="Z1016" s="460"/>
      <c r="AA1016" s="194"/>
      <c r="AB1016"/>
      <c r="AG1016" s="69"/>
      <c r="AH1016"/>
    </row>
    <row r="1017" spans="1:34" x14ac:dyDescent="0.2">
      <c r="A1017"/>
      <c r="B1017"/>
      <c r="C1017"/>
      <c r="D1017"/>
      <c r="E1017"/>
      <c r="F1017" t="str">
        <f>LEFT(AllDaqbookOffsets[[#This Row],[traceability_no]],2)</f>
        <v>K5</v>
      </c>
      <c r="N1017" s="456"/>
      <c r="O1017"/>
      <c r="Z1017" s="460"/>
      <c r="AA1017" s="194"/>
      <c r="AB1017"/>
      <c r="AG1017" s="69"/>
      <c r="AH1017"/>
    </row>
    <row r="1018" spans="1:34" x14ac:dyDescent="0.2">
      <c r="A1018"/>
      <c r="B1018"/>
      <c r="C1018"/>
      <c r="D1018"/>
      <c r="E1018"/>
      <c r="F1018" t="str">
        <f>LEFT(AllDaqbookOffsets[[#This Row],[traceability_no]],2)</f>
        <v>K5</v>
      </c>
      <c r="N1018" s="456"/>
      <c r="O1018"/>
      <c r="Z1018" s="460"/>
      <c r="AA1018" s="194"/>
      <c r="AB1018"/>
      <c r="AG1018" s="69"/>
      <c r="AH1018"/>
    </row>
    <row r="1019" spans="1:34" x14ac:dyDescent="0.2">
      <c r="A1019"/>
      <c r="B1019"/>
      <c r="C1019"/>
      <c r="D1019"/>
      <c r="E1019"/>
      <c r="F1019" t="str">
        <f>LEFT(AllDaqbookOffsets[[#This Row],[traceability_no]],2)</f>
        <v>K5</v>
      </c>
      <c r="N1019" s="456"/>
      <c r="O1019"/>
      <c r="Z1019" s="460"/>
      <c r="AA1019" s="194"/>
      <c r="AB1019"/>
      <c r="AG1019" s="69"/>
      <c r="AH1019"/>
    </row>
    <row r="1020" spans="1:34" x14ac:dyDescent="0.2">
      <c r="A1020"/>
      <c r="B1020"/>
      <c r="C1020"/>
      <c r="D1020"/>
      <c r="E1020"/>
      <c r="F1020" t="str">
        <f>LEFT(AllDaqbookOffsets[[#This Row],[traceability_no]],2)</f>
        <v>K5</v>
      </c>
      <c r="N1020" s="456"/>
      <c r="O1020"/>
      <c r="Z1020" s="460"/>
      <c r="AA1020" s="194"/>
      <c r="AB1020"/>
      <c r="AG1020" s="69"/>
      <c r="AH1020"/>
    </row>
    <row r="1021" spans="1:34" x14ac:dyDescent="0.2">
      <c r="A1021"/>
      <c r="B1021"/>
      <c r="C1021"/>
      <c r="D1021"/>
      <c r="E1021"/>
      <c r="F1021" t="str">
        <f>LEFT(AllDaqbookOffsets[[#This Row],[traceability_no]],2)</f>
        <v>K5</v>
      </c>
      <c r="N1021" s="456"/>
      <c r="O1021"/>
      <c r="Z1021" s="460"/>
      <c r="AA1021" s="194"/>
      <c r="AB1021"/>
      <c r="AG1021" s="69"/>
      <c r="AH1021"/>
    </row>
    <row r="1022" spans="1:34" x14ac:dyDescent="0.2">
      <c r="A1022"/>
      <c r="B1022"/>
      <c r="C1022"/>
      <c r="D1022"/>
      <c r="E1022"/>
      <c r="F1022" t="str">
        <f>LEFT(AllDaqbookOffsets[[#This Row],[traceability_no]],2)</f>
        <v>K5</v>
      </c>
      <c r="N1022" s="456"/>
      <c r="O1022"/>
      <c r="Z1022" s="460"/>
      <c r="AA1022" s="194"/>
      <c r="AB1022"/>
      <c r="AG1022" s="69"/>
      <c r="AH1022"/>
    </row>
    <row r="1023" spans="1:34" x14ac:dyDescent="0.2">
      <c r="A1023"/>
      <c r="B1023"/>
      <c r="C1023"/>
      <c r="D1023"/>
      <c r="E1023"/>
      <c r="F1023" t="str">
        <f>LEFT(AllDaqbookOffsets[[#This Row],[traceability_no]],2)</f>
        <v>K5</v>
      </c>
      <c r="N1023" s="456"/>
      <c r="O1023"/>
      <c r="Z1023" s="460"/>
      <c r="AA1023" s="194"/>
      <c r="AB1023"/>
      <c r="AG1023" s="69"/>
      <c r="AH1023"/>
    </row>
    <row r="1024" spans="1:34" x14ac:dyDescent="0.2">
      <c r="A1024"/>
      <c r="B1024"/>
      <c r="C1024"/>
      <c r="D1024"/>
      <c r="E1024"/>
      <c r="F1024" t="str">
        <f>LEFT(AllDaqbookOffsets[[#This Row],[traceability_no]],2)</f>
        <v>K5</v>
      </c>
      <c r="N1024" s="456"/>
      <c r="O1024"/>
      <c r="Z1024" s="460"/>
      <c r="AA1024" s="194"/>
      <c r="AB1024"/>
      <c r="AG1024" s="69"/>
      <c r="AH1024"/>
    </row>
    <row r="1025" spans="1:34" x14ac:dyDescent="0.2">
      <c r="A1025"/>
      <c r="B1025"/>
      <c r="C1025"/>
      <c r="D1025"/>
      <c r="E1025"/>
      <c r="F1025" t="str">
        <f>LEFT(AllDaqbookOffsets[[#This Row],[traceability_no]],2)</f>
        <v>K5</v>
      </c>
      <c r="N1025" s="456"/>
      <c r="O1025"/>
      <c r="Z1025" s="460"/>
      <c r="AA1025" s="194"/>
      <c r="AB1025"/>
      <c r="AG1025" s="69"/>
      <c r="AH1025"/>
    </row>
    <row r="1026" spans="1:34" x14ac:dyDescent="0.2">
      <c r="A1026"/>
      <c r="B1026"/>
      <c r="C1026"/>
      <c r="D1026"/>
      <c r="E1026"/>
      <c r="F1026" t="str">
        <f>LEFT(AllDaqbookOffsets[[#This Row],[traceability_no]],2)</f>
        <v>K5</v>
      </c>
      <c r="N1026" s="456"/>
      <c r="O1026"/>
      <c r="Z1026" s="460"/>
      <c r="AA1026" s="194"/>
      <c r="AB1026"/>
      <c r="AG1026" s="69"/>
      <c r="AH1026"/>
    </row>
    <row r="1027" spans="1:34" x14ac:dyDescent="0.2">
      <c r="A1027"/>
      <c r="B1027"/>
      <c r="C1027"/>
      <c r="D1027"/>
      <c r="E1027"/>
      <c r="F1027" t="str">
        <f>LEFT(AllDaqbookOffsets[[#This Row],[traceability_no]],2)</f>
        <v>K5</v>
      </c>
      <c r="N1027" s="456"/>
      <c r="O1027"/>
      <c r="Z1027" s="460"/>
      <c r="AA1027" s="194"/>
      <c r="AB1027"/>
      <c r="AG1027" s="69"/>
      <c r="AH1027"/>
    </row>
    <row r="1028" spans="1:34" x14ac:dyDescent="0.2">
      <c r="A1028"/>
      <c r="B1028"/>
      <c r="C1028"/>
      <c r="D1028"/>
      <c r="E1028"/>
      <c r="F1028" t="str">
        <f>LEFT(AllDaqbookOffsets[[#This Row],[traceability_no]],2)</f>
        <v>K5</v>
      </c>
      <c r="N1028" s="456"/>
      <c r="O1028"/>
      <c r="Z1028" s="460"/>
      <c r="AA1028" s="194"/>
      <c r="AB1028"/>
      <c r="AG1028" s="69"/>
      <c r="AH1028"/>
    </row>
    <row r="1029" spans="1:34" x14ac:dyDescent="0.2">
      <c r="A1029"/>
      <c r="B1029"/>
      <c r="C1029"/>
      <c r="D1029"/>
      <c r="E1029"/>
      <c r="F1029" t="str">
        <f>LEFT(AllDaqbookOffsets[[#This Row],[traceability_no]],2)</f>
        <v>K5</v>
      </c>
      <c r="N1029" s="456"/>
      <c r="O1029"/>
      <c r="Z1029" s="460"/>
      <c r="AA1029" s="194"/>
      <c r="AB1029"/>
      <c r="AG1029" s="69"/>
      <c r="AH1029"/>
    </row>
    <row r="1030" spans="1:34" x14ac:dyDescent="0.2">
      <c r="A1030"/>
      <c r="B1030"/>
      <c r="C1030"/>
      <c r="D1030"/>
      <c r="E1030"/>
      <c r="F1030" t="str">
        <f>LEFT(AllDaqbookOffsets[[#This Row],[traceability_no]],2)</f>
        <v>K5</v>
      </c>
      <c r="N1030" s="456"/>
      <c r="O1030"/>
      <c r="Z1030" s="460"/>
      <c r="AA1030" s="194"/>
      <c r="AB1030"/>
      <c r="AG1030" s="69"/>
      <c r="AH1030"/>
    </row>
    <row r="1031" spans="1:34" x14ac:dyDescent="0.2">
      <c r="A1031"/>
      <c r="B1031"/>
      <c r="C1031"/>
      <c r="D1031"/>
      <c r="E1031"/>
      <c r="F1031" t="str">
        <f>LEFT(AllDaqbookOffsets[[#This Row],[traceability_no]],2)</f>
        <v>K5</v>
      </c>
      <c r="N1031" s="456"/>
      <c r="O1031"/>
      <c r="Z1031" s="460"/>
      <c r="AA1031" s="194"/>
      <c r="AB1031"/>
      <c r="AG1031" s="69"/>
      <c r="AH1031"/>
    </row>
    <row r="1032" spans="1:34" x14ac:dyDescent="0.2">
      <c r="A1032"/>
      <c r="B1032"/>
      <c r="C1032"/>
      <c r="D1032"/>
      <c r="E1032"/>
      <c r="F1032" t="str">
        <f>LEFT(AllDaqbookOffsets[[#This Row],[traceability_no]],2)</f>
        <v>K5</v>
      </c>
      <c r="N1032" s="456"/>
      <c r="O1032"/>
      <c r="Z1032" s="460"/>
      <c r="AA1032" s="194"/>
      <c r="AB1032"/>
      <c r="AG1032" s="69"/>
      <c r="AH1032"/>
    </row>
    <row r="1033" spans="1:34" x14ac:dyDescent="0.2">
      <c r="A1033"/>
      <c r="B1033"/>
      <c r="C1033"/>
      <c r="D1033"/>
      <c r="E1033"/>
      <c r="F1033" t="str">
        <f>LEFT(AllDaqbookOffsets[[#This Row],[traceability_no]],2)</f>
        <v>K5</v>
      </c>
      <c r="N1033" s="456"/>
      <c r="O1033"/>
      <c r="Z1033" s="460"/>
      <c r="AA1033" s="194"/>
      <c r="AB1033"/>
      <c r="AG1033" s="69"/>
      <c r="AH1033"/>
    </row>
    <row r="1034" spans="1:34" x14ac:dyDescent="0.2">
      <c r="A1034"/>
      <c r="B1034"/>
      <c r="C1034"/>
      <c r="D1034"/>
      <c r="E1034"/>
      <c r="F1034" t="str">
        <f>LEFT(AllDaqbookOffsets[[#This Row],[traceability_no]],2)</f>
        <v>K5</v>
      </c>
      <c r="N1034" s="456"/>
      <c r="O1034"/>
      <c r="Z1034" s="460"/>
      <c r="AA1034" s="194"/>
      <c r="AB1034"/>
      <c r="AG1034" s="69"/>
      <c r="AH1034"/>
    </row>
    <row r="1035" spans="1:34" x14ac:dyDescent="0.2">
      <c r="A1035"/>
      <c r="B1035"/>
      <c r="C1035"/>
      <c r="D1035"/>
      <c r="E1035"/>
      <c r="F1035" t="str">
        <f>LEFT(AllDaqbookOffsets[[#This Row],[traceability_no]],2)</f>
        <v>K5</v>
      </c>
      <c r="N1035" s="456"/>
      <c r="O1035"/>
      <c r="Z1035" s="460"/>
      <c r="AA1035" s="194"/>
      <c r="AB1035"/>
      <c r="AG1035" s="69"/>
      <c r="AH1035"/>
    </row>
    <row r="1036" spans="1:34" x14ac:dyDescent="0.2">
      <c r="A1036"/>
      <c r="B1036"/>
      <c r="C1036"/>
      <c r="D1036"/>
      <c r="E1036"/>
      <c r="F1036" t="str">
        <f>LEFT(AllDaqbookOffsets[[#This Row],[traceability_no]],2)</f>
        <v>K5</v>
      </c>
      <c r="N1036" s="456"/>
      <c r="O1036"/>
      <c r="Z1036" s="460"/>
      <c r="AA1036" s="194"/>
      <c r="AB1036"/>
      <c r="AG1036" s="69"/>
      <c r="AH1036"/>
    </row>
    <row r="1037" spans="1:34" x14ac:dyDescent="0.2">
      <c r="A1037"/>
      <c r="B1037"/>
      <c r="C1037"/>
      <c r="D1037"/>
      <c r="E1037"/>
      <c r="F1037" t="str">
        <f>LEFT(AllDaqbookOffsets[[#This Row],[traceability_no]],2)</f>
        <v>K5</v>
      </c>
      <c r="N1037" s="456"/>
      <c r="O1037"/>
      <c r="Z1037" s="460"/>
      <c r="AA1037" s="194"/>
      <c r="AB1037"/>
      <c r="AG1037" s="69"/>
      <c r="AH1037"/>
    </row>
    <row r="1038" spans="1:34" x14ac:dyDescent="0.2">
      <c r="A1038"/>
      <c r="B1038"/>
      <c r="C1038"/>
      <c r="D1038"/>
      <c r="E1038"/>
      <c r="F1038" t="str">
        <f>LEFT(AllDaqbookOffsets[[#This Row],[traceability_no]],2)</f>
        <v>K5</v>
      </c>
      <c r="N1038" s="456"/>
      <c r="O1038"/>
      <c r="Z1038" s="460"/>
      <c r="AA1038" s="194"/>
      <c r="AB1038"/>
      <c r="AG1038" s="69"/>
      <c r="AH1038"/>
    </row>
    <row r="1039" spans="1:34" x14ac:dyDescent="0.2">
      <c r="A1039"/>
      <c r="B1039"/>
      <c r="C1039"/>
      <c r="D1039"/>
      <c r="E1039"/>
      <c r="F1039" t="str">
        <f>LEFT(AllDaqbookOffsets[[#This Row],[traceability_no]],2)</f>
        <v>K5</v>
      </c>
      <c r="N1039" s="456"/>
      <c r="O1039"/>
      <c r="Z1039" s="460"/>
      <c r="AA1039" s="194"/>
      <c r="AB1039"/>
      <c r="AG1039" s="69"/>
      <c r="AH1039"/>
    </row>
    <row r="1040" spans="1:34" x14ac:dyDescent="0.2">
      <c r="A1040"/>
      <c r="B1040"/>
      <c r="C1040"/>
      <c r="D1040"/>
      <c r="E1040"/>
      <c r="F1040" t="str">
        <f>LEFT(AllDaqbookOffsets[[#This Row],[traceability_no]],2)</f>
        <v>K5</v>
      </c>
      <c r="N1040" s="456"/>
      <c r="O1040"/>
      <c r="Z1040" s="460"/>
      <c r="AA1040" s="194"/>
      <c r="AB1040"/>
      <c r="AG1040" s="69"/>
      <c r="AH1040"/>
    </row>
    <row r="1041" spans="1:34" x14ac:dyDescent="0.2">
      <c r="A1041"/>
      <c r="B1041"/>
      <c r="C1041"/>
      <c r="D1041"/>
      <c r="E1041"/>
      <c r="F1041" t="str">
        <f>LEFT(AllDaqbookOffsets[[#This Row],[traceability_no]],2)</f>
        <v>K5</v>
      </c>
      <c r="N1041" s="456"/>
      <c r="O1041"/>
      <c r="Z1041" s="460"/>
      <c r="AA1041" s="194"/>
      <c r="AB1041"/>
      <c r="AG1041" s="69"/>
      <c r="AH1041"/>
    </row>
    <row r="1042" spans="1:34" x14ac:dyDescent="0.2">
      <c r="A1042"/>
      <c r="B1042"/>
      <c r="C1042"/>
      <c r="D1042"/>
      <c r="E1042"/>
      <c r="F1042" t="str">
        <f>LEFT(AllDaqbookOffsets[[#This Row],[traceability_no]],2)</f>
        <v>K5</v>
      </c>
      <c r="N1042" s="456"/>
      <c r="O1042"/>
      <c r="Z1042" s="460"/>
      <c r="AA1042" s="194"/>
      <c r="AB1042"/>
      <c r="AG1042" s="69"/>
      <c r="AH1042"/>
    </row>
    <row r="1043" spans="1:34" x14ac:dyDescent="0.2">
      <c r="A1043"/>
      <c r="B1043"/>
      <c r="C1043"/>
      <c r="D1043"/>
      <c r="E1043"/>
      <c r="F1043" t="str">
        <f>LEFT(AllDaqbookOffsets[[#This Row],[traceability_no]],2)</f>
        <v>K5</v>
      </c>
      <c r="N1043" s="456"/>
      <c r="O1043"/>
      <c r="Z1043" s="460"/>
      <c r="AA1043" s="194"/>
      <c r="AB1043"/>
      <c r="AG1043" s="69"/>
      <c r="AH1043"/>
    </row>
    <row r="1044" spans="1:34" x14ac:dyDescent="0.2">
      <c r="A1044"/>
      <c r="B1044"/>
      <c r="C1044"/>
      <c r="D1044"/>
      <c r="E1044"/>
      <c r="F1044" t="str">
        <f>LEFT(AllDaqbookOffsets[[#This Row],[traceability_no]],2)</f>
        <v>K5</v>
      </c>
      <c r="N1044" s="456"/>
      <c r="O1044"/>
      <c r="Z1044" s="460"/>
      <c r="AA1044" s="194"/>
      <c r="AB1044"/>
      <c r="AG1044" s="69"/>
      <c r="AH1044"/>
    </row>
    <row r="1045" spans="1:34" x14ac:dyDescent="0.2">
      <c r="A1045"/>
      <c r="B1045"/>
      <c r="C1045"/>
      <c r="D1045"/>
      <c r="E1045"/>
      <c r="F1045" t="str">
        <f>LEFT(AllDaqbookOffsets[[#This Row],[traceability_no]],2)</f>
        <v>K5</v>
      </c>
      <c r="N1045" s="456"/>
      <c r="O1045"/>
      <c r="Z1045" s="460"/>
      <c r="AA1045" s="194"/>
      <c r="AB1045"/>
      <c r="AG1045" s="69"/>
      <c r="AH1045"/>
    </row>
    <row r="1046" spans="1:34" x14ac:dyDescent="0.2">
      <c r="A1046"/>
      <c r="B1046"/>
      <c r="C1046"/>
      <c r="D1046"/>
      <c r="E1046"/>
      <c r="F1046" t="str">
        <f>LEFT(AllDaqbookOffsets[[#This Row],[traceability_no]],2)</f>
        <v>K5</v>
      </c>
      <c r="N1046" s="456"/>
      <c r="O1046"/>
      <c r="Z1046" s="460"/>
      <c r="AA1046" s="194"/>
      <c r="AB1046"/>
      <c r="AG1046" s="69"/>
      <c r="AH1046"/>
    </row>
    <row r="1047" spans="1:34" x14ac:dyDescent="0.2">
      <c r="A1047"/>
      <c r="B1047"/>
      <c r="C1047"/>
      <c r="D1047"/>
      <c r="E1047"/>
      <c r="F1047" t="str">
        <f>LEFT(AllDaqbookOffsets[[#This Row],[traceability_no]],2)</f>
        <v>K5</v>
      </c>
      <c r="N1047" s="456"/>
      <c r="O1047"/>
      <c r="Z1047" s="460"/>
      <c r="AA1047" s="194"/>
      <c r="AB1047"/>
      <c r="AG1047" s="69"/>
      <c r="AH1047"/>
    </row>
    <row r="1048" spans="1:34" x14ac:dyDescent="0.2">
      <c r="A1048"/>
      <c r="B1048"/>
      <c r="C1048"/>
      <c r="D1048"/>
      <c r="E1048"/>
      <c r="F1048" t="str">
        <f>LEFT(AllDaqbookOffsets[[#This Row],[traceability_no]],2)</f>
        <v>K5</v>
      </c>
      <c r="N1048" s="456"/>
      <c r="O1048"/>
      <c r="Z1048" s="460"/>
      <c r="AA1048" s="194"/>
      <c r="AB1048"/>
      <c r="AG1048" s="69"/>
      <c r="AH1048"/>
    </row>
    <row r="1049" spans="1:34" x14ac:dyDescent="0.2">
      <c r="A1049"/>
      <c r="B1049"/>
      <c r="C1049"/>
      <c r="D1049"/>
      <c r="E1049"/>
      <c r="F1049" t="str">
        <f>LEFT(AllDaqbookOffsets[[#This Row],[traceability_no]],2)</f>
        <v>K5</v>
      </c>
      <c r="N1049" s="456"/>
      <c r="O1049"/>
      <c r="Z1049" s="460"/>
      <c r="AA1049" s="194"/>
      <c r="AB1049"/>
      <c r="AG1049" s="69"/>
      <c r="AH1049"/>
    </row>
    <row r="1050" spans="1:34" x14ac:dyDescent="0.2">
      <c r="A1050"/>
      <c r="B1050"/>
      <c r="C1050"/>
      <c r="D1050"/>
      <c r="E1050"/>
      <c r="F1050" t="str">
        <f>LEFT(AllDaqbookOffsets[[#This Row],[traceability_no]],2)</f>
        <v>K5</v>
      </c>
      <c r="N1050" s="456"/>
      <c r="O1050"/>
      <c r="Z1050" s="460"/>
      <c r="AA1050" s="194"/>
      <c r="AB1050"/>
      <c r="AG1050" s="69"/>
      <c r="AH1050"/>
    </row>
    <row r="1051" spans="1:34" x14ac:dyDescent="0.2">
      <c r="A1051"/>
      <c r="B1051"/>
      <c r="C1051"/>
      <c r="D1051"/>
      <c r="E1051"/>
      <c r="F1051" t="str">
        <f>LEFT(AllDaqbookOffsets[[#This Row],[traceability_no]],2)</f>
        <v>K5</v>
      </c>
      <c r="N1051" s="456"/>
      <c r="O1051"/>
      <c r="Z1051" s="460"/>
      <c r="AA1051" s="194"/>
      <c r="AB1051"/>
      <c r="AG1051" s="69"/>
      <c r="AH1051"/>
    </row>
    <row r="1052" spans="1:34" x14ac:dyDescent="0.2">
      <c r="A1052"/>
      <c r="B1052"/>
      <c r="C1052"/>
      <c r="D1052"/>
      <c r="E1052"/>
      <c r="F1052" t="str">
        <f>LEFT(AllDaqbookOffsets[[#This Row],[traceability_no]],2)</f>
        <v>K5</v>
      </c>
      <c r="N1052" s="456"/>
      <c r="O1052"/>
      <c r="Z1052" s="460"/>
      <c r="AA1052" s="194"/>
      <c r="AB1052"/>
      <c r="AG1052" s="69"/>
      <c r="AH1052"/>
    </row>
    <row r="1053" spans="1:34" x14ac:dyDescent="0.2">
      <c r="A1053"/>
      <c r="B1053"/>
      <c r="C1053"/>
      <c r="D1053"/>
      <c r="E1053"/>
      <c r="F1053" t="str">
        <f>LEFT(AllDaqbookOffsets[[#This Row],[traceability_no]],2)</f>
        <v>K5</v>
      </c>
      <c r="N1053" s="456"/>
      <c r="O1053"/>
      <c r="Z1053" s="460"/>
      <c r="AA1053" s="194"/>
      <c r="AB1053"/>
      <c r="AG1053" s="69"/>
      <c r="AH1053"/>
    </row>
    <row r="1054" spans="1:34" x14ac:dyDescent="0.2">
      <c r="A1054"/>
      <c r="B1054"/>
      <c r="C1054"/>
      <c r="D1054"/>
      <c r="E1054"/>
      <c r="F1054" t="str">
        <f>LEFT(AllDaqbookOffsets[[#This Row],[traceability_no]],2)</f>
        <v>K5</v>
      </c>
      <c r="N1054" s="456"/>
      <c r="O1054"/>
      <c r="Z1054" s="460"/>
      <c r="AA1054" s="194"/>
      <c r="AB1054"/>
      <c r="AG1054" s="69"/>
      <c r="AH1054"/>
    </row>
    <row r="1055" spans="1:34" x14ac:dyDescent="0.2">
      <c r="A1055"/>
      <c r="B1055"/>
      <c r="C1055"/>
      <c r="D1055"/>
      <c r="E1055"/>
      <c r="F1055" t="str">
        <f>LEFT(AllDaqbookOffsets[[#This Row],[traceability_no]],2)</f>
        <v>K5</v>
      </c>
      <c r="N1055" s="456"/>
      <c r="O1055"/>
      <c r="Z1055" s="460"/>
      <c r="AA1055" s="194"/>
      <c r="AB1055"/>
      <c r="AG1055" s="69"/>
      <c r="AH1055"/>
    </row>
    <row r="1056" spans="1:34" x14ac:dyDescent="0.2">
      <c r="A1056"/>
      <c r="B1056"/>
      <c r="C1056"/>
      <c r="D1056"/>
      <c r="E1056"/>
      <c r="F1056" t="str">
        <f>LEFT(AllDaqbookOffsets[[#This Row],[traceability_no]],2)</f>
        <v>K5</v>
      </c>
      <c r="N1056" s="456"/>
      <c r="O1056"/>
      <c r="Z1056" s="460"/>
      <c r="AA1056" s="194"/>
      <c r="AB1056"/>
      <c r="AG1056" s="69"/>
      <c r="AH1056"/>
    </row>
    <row r="1057" spans="1:34" x14ac:dyDescent="0.2">
      <c r="A1057"/>
      <c r="B1057"/>
      <c r="C1057"/>
      <c r="D1057"/>
      <c r="E1057"/>
      <c r="F1057" t="str">
        <f>LEFT(AllDaqbookOffsets[[#This Row],[traceability_no]],2)</f>
        <v>K5</v>
      </c>
      <c r="N1057" s="456"/>
      <c r="O1057"/>
      <c r="Z1057" s="460"/>
      <c r="AA1057" s="194"/>
      <c r="AB1057"/>
      <c r="AG1057" s="69"/>
      <c r="AH1057"/>
    </row>
    <row r="1058" spans="1:34" x14ac:dyDescent="0.2">
      <c r="A1058"/>
      <c r="B1058"/>
      <c r="C1058"/>
      <c r="D1058"/>
      <c r="E1058"/>
      <c r="F1058" t="str">
        <f>LEFT(AllDaqbookOffsets[[#This Row],[traceability_no]],2)</f>
        <v>K5</v>
      </c>
      <c r="N1058" s="456"/>
      <c r="O1058"/>
      <c r="Z1058" s="460"/>
      <c r="AA1058" s="194"/>
      <c r="AB1058"/>
      <c r="AG1058" s="69"/>
      <c r="AH1058"/>
    </row>
    <row r="1059" spans="1:34" x14ac:dyDescent="0.2">
      <c r="A1059"/>
      <c r="B1059"/>
      <c r="C1059"/>
      <c r="D1059"/>
      <c r="E1059"/>
      <c r="F1059" t="str">
        <f>LEFT(AllDaqbookOffsets[[#This Row],[traceability_no]],2)</f>
        <v>K5</v>
      </c>
      <c r="N1059" s="456"/>
      <c r="O1059"/>
      <c r="Z1059" s="460"/>
      <c r="AA1059" s="194"/>
      <c r="AB1059"/>
      <c r="AG1059" s="69"/>
      <c r="AH1059"/>
    </row>
    <row r="1060" spans="1:34" x14ac:dyDescent="0.2">
      <c r="A1060"/>
      <c r="B1060"/>
      <c r="C1060"/>
      <c r="D1060"/>
      <c r="E1060"/>
      <c r="F1060" t="str">
        <f>LEFT(AllDaqbookOffsets[[#This Row],[traceability_no]],2)</f>
        <v>K5</v>
      </c>
      <c r="N1060" s="456"/>
      <c r="O1060"/>
      <c r="Z1060" s="460"/>
      <c r="AA1060" s="194"/>
      <c r="AB1060"/>
      <c r="AG1060" s="69"/>
      <c r="AH1060"/>
    </row>
    <row r="1061" spans="1:34" x14ac:dyDescent="0.2">
      <c r="A1061"/>
      <c r="B1061"/>
      <c r="C1061"/>
      <c r="D1061"/>
      <c r="E1061"/>
      <c r="F1061" t="str">
        <f>LEFT(AllDaqbookOffsets[[#This Row],[traceability_no]],2)</f>
        <v>K5</v>
      </c>
      <c r="N1061" s="456"/>
      <c r="O1061"/>
      <c r="Z1061" s="460"/>
      <c r="AA1061" s="194"/>
      <c r="AB1061"/>
      <c r="AG1061" s="69"/>
      <c r="AH1061"/>
    </row>
    <row r="1062" spans="1:34" x14ac:dyDescent="0.2">
      <c r="A1062"/>
      <c r="B1062"/>
      <c r="C1062"/>
      <c r="D1062"/>
      <c r="E1062"/>
      <c r="F1062" t="str">
        <f>LEFT(AllDaqbookOffsets[[#This Row],[traceability_no]],2)</f>
        <v>K5</v>
      </c>
      <c r="N1062" s="456"/>
      <c r="O1062"/>
      <c r="Z1062" s="460"/>
      <c r="AA1062" s="194"/>
      <c r="AB1062"/>
      <c r="AG1062" s="69"/>
      <c r="AH1062"/>
    </row>
    <row r="1063" spans="1:34" x14ac:dyDescent="0.2">
      <c r="A1063"/>
      <c r="B1063"/>
      <c r="C1063"/>
      <c r="D1063"/>
      <c r="E1063"/>
      <c r="F1063" t="str">
        <f>LEFT(AllDaqbookOffsets[[#This Row],[traceability_no]],2)</f>
        <v>K5</v>
      </c>
      <c r="N1063" s="456"/>
      <c r="O1063"/>
      <c r="Z1063" s="460"/>
      <c r="AA1063" s="194"/>
      <c r="AB1063"/>
      <c r="AG1063" s="69"/>
      <c r="AH1063"/>
    </row>
    <row r="1064" spans="1:34" x14ac:dyDescent="0.2">
      <c r="A1064"/>
      <c r="B1064"/>
      <c r="C1064"/>
      <c r="D1064"/>
      <c r="E1064"/>
      <c r="F1064" t="str">
        <f>LEFT(AllDaqbookOffsets[[#This Row],[traceability_no]],2)</f>
        <v>K5</v>
      </c>
      <c r="N1064" s="456"/>
      <c r="O1064"/>
      <c r="Z1064" s="460"/>
      <c r="AA1064" s="194"/>
      <c r="AB1064"/>
      <c r="AG1064" s="69"/>
      <c r="AH1064"/>
    </row>
    <row r="1065" spans="1:34" x14ac:dyDescent="0.2">
      <c r="A1065"/>
      <c r="B1065"/>
      <c r="C1065"/>
      <c r="D1065"/>
      <c r="E1065"/>
      <c r="F1065" t="str">
        <f>LEFT(AllDaqbookOffsets[[#This Row],[traceability_no]],2)</f>
        <v>K5</v>
      </c>
      <c r="N1065" s="456"/>
      <c r="O1065"/>
      <c r="Z1065" s="460"/>
      <c r="AA1065" s="194"/>
      <c r="AB1065"/>
      <c r="AG1065" s="69"/>
      <c r="AH1065"/>
    </row>
    <row r="1066" spans="1:34" x14ac:dyDescent="0.2">
      <c r="A1066"/>
      <c r="B1066"/>
      <c r="C1066"/>
      <c r="D1066"/>
      <c r="E1066"/>
      <c r="F1066" t="str">
        <f>LEFT(AllDaqbookOffsets[[#This Row],[traceability_no]],2)</f>
        <v>K5</v>
      </c>
      <c r="N1066" s="456"/>
      <c r="O1066"/>
      <c r="Z1066" s="460"/>
      <c r="AA1066" s="194"/>
      <c r="AB1066"/>
      <c r="AG1066" s="69"/>
      <c r="AH1066"/>
    </row>
    <row r="1067" spans="1:34" x14ac:dyDescent="0.2">
      <c r="A1067"/>
      <c r="B1067"/>
      <c r="C1067"/>
      <c r="D1067"/>
      <c r="E1067"/>
      <c r="F1067" t="str">
        <f>LEFT(AllDaqbookOffsets[[#This Row],[traceability_no]],2)</f>
        <v>K5</v>
      </c>
      <c r="N1067" s="456"/>
      <c r="O1067"/>
      <c r="Z1067" s="460"/>
      <c r="AA1067" s="194"/>
      <c r="AB1067"/>
      <c r="AG1067" s="69"/>
      <c r="AH1067"/>
    </row>
    <row r="1068" spans="1:34" x14ac:dyDescent="0.2">
      <c r="A1068"/>
      <c r="B1068"/>
      <c r="C1068"/>
      <c r="D1068"/>
      <c r="E1068"/>
      <c r="F1068" t="str">
        <f>LEFT(AllDaqbookOffsets[[#This Row],[traceability_no]],2)</f>
        <v>K5</v>
      </c>
      <c r="N1068" s="456"/>
      <c r="O1068"/>
      <c r="Z1068" s="460"/>
      <c r="AA1068" s="194"/>
      <c r="AB1068"/>
      <c r="AG1068" s="69"/>
      <c r="AH1068"/>
    </row>
    <row r="1069" spans="1:34" x14ac:dyDescent="0.2">
      <c r="A1069"/>
      <c r="B1069"/>
      <c r="C1069"/>
      <c r="D1069"/>
      <c r="E1069"/>
      <c r="F1069" t="str">
        <f>LEFT(AllDaqbookOffsets[[#This Row],[traceability_no]],2)</f>
        <v>K5</v>
      </c>
      <c r="N1069" s="456"/>
      <c r="O1069"/>
      <c r="Z1069" s="460"/>
      <c r="AA1069" s="194"/>
      <c r="AB1069"/>
      <c r="AG1069" s="69"/>
      <c r="AH1069"/>
    </row>
    <row r="1070" spans="1:34" x14ac:dyDescent="0.2">
      <c r="A1070"/>
      <c r="B1070"/>
      <c r="C1070"/>
      <c r="D1070"/>
      <c r="E1070"/>
      <c r="F1070" t="str">
        <f>LEFT(AllDaqbookOffsets[[#This Row],[traceability_no]],2)</f>
        <v>K5</v>
      </c>
      <c r="N1070" s="456"/>
      <c r="O1070"/>
      <c r="Z1070" s="460"/>
      <c r="AA1070" s="194"/>
      <c r="AB1070"/>
      <c r="AG1070" s="69"/>
      <c r="AH1070"/>
    </row>
    <row r="1071" spans="1:34" x14ac:dyDescent="0.2">
      <c r="A1071"/>
      <c r="B1071"/>
      <c r="C1071"/>
      <c r="D1071"/>
      <c r="E1071"/>
      <c r="F1071" t="str">
        <f>LEFT(AllDaqbookOffsets[[#This Row],[traceability_no]],2)</f>
        <v>K5</v>
      </c>
      <c r="N1071" s="456"/>
      <c r="O1071"/>
      <c r="Z1071" s="460"/>
      <c r="AA1071" s="194"/>
      <c r="AB1071"/>
      <c r="AG1071" s="69"/>
      <c r="AH1071"/>
    </row>
    <row r="1072" spans="1:34" x14ac:dyDescent="0.2">
      <c r="A1072"/>
      <c r="B1072"/>
      <c r="C1072"/>
      <c r="D1072"/>
      <c r="E1072"/>
      <c r="F1072" t="str">
        <f>LEFT(AllDaqbookOffsets[[#This Row],[traceability_no]],2)</f>
        <v>K5</v>
      </c>
      <c r="N1072" s="456"/>
      <c r="O1072"/>
      <c r="Z1072" s="460"/>
      <c r="AA1072" s="194"/>
      <c r="AB1072"/>
      <c r="AG1072" s="69"/>
      <c r="AH1072"/>
    </row>
    <row r="1073" spans="1:34" x14ac:dyDescent="0.2">
      <c r="A1073"/>
      <c r="B1073"/>
      <c r="C1073"/>
      <c r="D1073"/>
      <c r="E1073"/>
      <c r="F1073" t="str">
        <f>LEFT(AllDaqbookOffsets[[#This Row],[traceability_no]],2)</f>
        <v>K5</v>
      </c>
      <c r="N1073" s="456"/>
      <c r="O1073"/>
      <c r="Z1073" s="460"/>
      <c r="AA1073" s="194"/>
      <c r="AB1073"/>
      <c r="AG1073" s="69"/>
      <c r="AH1073"/>
    </row>
    <row r="1074" spans="1:34" x14ac:dyDescent="0.2">
      <c r="A1074"/>
      <c r="B1074"/>
      <c r="C1074"/>
      <c r="D1074"/>
      <c r="E1074"/>
      <c r="F1074" t="str">
        <f>LEFT(AllDaqbookOffsets[[#This Row],[traceability_no]],2)</f>
        <v>K5</v>
      </c>
      <c r="N1074" s="456"/>
      <c r="O1074"/>
      <c r="Z1074" s="460"/>
      <c r="AA1074" s="194"/>
      <c r="AB1074"/>
      <c r="AG1074" s="69"/>
      <c r="AH1074"/>
    </row>
    <row r="1075" spans="1:34" x14ac:dyDescent="0.2">
      <c r="A1075"/>
      <c r="B1075"/>
      <c r="C1075"/>
      <c r="D1075"/>
      <c r="E1075"/>
      <c r="F1075" t="str">
        <f>LEFT(AllDaqbookOffsets[[#This Row],[traceability_no]],2)</f>
        <v>K5</v>
      </c>
      <c r="N1075" s="456"/>
      <c r="O1075"/>
      <c r="Z1075" s="460"/>
      <c r="AA1075" s="194"/>
      <c r="AB1075"/>
      <c r="AG1075" s="69"/>
      <c r="AH1075"/>
    </row>
    <row r="1076" spans="1:34" x14ac:dyDescent="0.2">
      <c r="A1076"/>
      <c r="B1076"/>
      <c r="C1076"/>
      <c r="D1076"/>
      <c r="E1076"/>
      <c r="F1076" t="str">
        <f>LEFT(AllDaqbookOffsets[[#This Row],[traceability_no]],2)</f>
        <v>K5</v>
      </c>
      <c r="N1076" s="456"/>
      <c r="O1076"/>
      <c r="Z1076" s="460"/>
      <c r="AA1076" s="194"/>
      <c r="AB1076"/>
      <c r="AG1076" s="69"/>
      <c r="AH1076"/>
    </row>
    <row r="1077" spans="1:34" x14ac:dyDescent="0.2">
      <c r="A1077"/>
      <c r="B1077"/>
      <c r="C1077"/>
      <c r="D1077"/>
      <c r="E1077"/>
      <c r="F1077" t="str">
        <f>LEFT(AllDaqbookOffsets[[#This Row],[traceability_no]],2)</f>
        <v>K5</v>
      </c>
      <c r="N1077" s="456"/>
      <c r="O1077"/>
      <c r="Z1077" s="460"/>
      <c r="AA1077" s="194"/>
      <c r="AB1077"/>
      <c r="AG1077" s="69"/>
      <c r="AH1077"/>
    </row>
    <row r="1078" spans="1:34" x14ac:dyDescent="0.2">
      <c r="A1078"/>
      <c r="B1078"/>
      <c r="C1078"/>
      <c r="D1078"/>
      <c r="E1078"/>
      <c r="F1078" t="str">
        <f>LEFT(AllDaqbookOffsets[[#This Row],[traceability_no]],2)</f>
        <v>K5</v>
      </c>
      <c r="N1078" s="456"/>
      <c r="O1078"/>
      <c r="Z1078" s="460"/>
      <c r="AA1078" s="194"/>
      <c r="AB1078"/>
      <c r="AG1078" s="69"/>
      <c r="AH1078"/>
    </row>
    <row r="1079" spans="1:34" x14ac:dyDescent="0.2">
      <c r="A1079"/>
      <c r="B1079"/>
      <c r="C1079"/>
      <c r="D1079"/>
      <c r="E1079"/>
      <c r="F1079" t="str">
        <f>LEFT(AllDaqbookOffsets[[#This Row],[traceability_no]],2)</f>
        <v>K5</v>
      </c>
      <c r="N1079" s="456"/>
      <c r="O1079"/>
      <c r="Z1079" s="460"/>
      <c r="AA1079" s="194"/>
      <c r="AB1079"/>
      <c r="AG1079" s="69"/>
      <c r="AH1079"/>
    </row>
    <row r="1080" spans="1:34" x14ac:dyDescent="0.2">
      <c r="A1080"/>
      <c r="B1080"/>
      <c r="C1080"/>
      <c r="D1080"/>
      <c r="E1080"/>
      <c r="F1080" t="str">
        <f>LEFT(AllDaqbookOffsets[[#This Row],[traceability_no]],2)</f>
        <v>K5</v>
      </c>
      <c r="N1080" s="456"/>
      <c r="O1080"/>
      <c r="Z1080" s="460"/>
      <c r="AA1080" s="194"/>
      <c r="AB1080"/>
      <c r="AG1080" s="69"/>
      <c r="AH1080"/>
    </row>
    <row r="1081" spans="1:34" x14ac:dyDescent="0.2">
      <c r="A1081"/>
      <c r="B1081"/>
      <c r="C1081"/>
      <c r="D1081"/>
      <c r="E1081"/>
      <c r="F1081" t="str">
        <f>LEFT(AllDaqbookOffsets[[#This Row],[traceability_no]],2)</f>
        <v>K5</v>
      </c>
      <c r="N1081" s="456"/>
      <c r="O1081"/>
      <c r="Z1081" s="460"/>
      <c r="AA1081" s="194"/>
      <c r="AB1081"/>
      <c r="AG1081" s="69"/>
      <c r="AH1081"/>
    </row>
    <row r="1082" spans="1:34" x14ac:dyDescent="0.2">
      <c r="A1082"/>
      <c r="B1082"/>
      <c r="C1082"/>
      <c r="D1082"/>
      <c r="E1082"/>
      <c r="F1082" t="str">
        <f>LEFT(AllDaqbookOffsets[[#This Row],[traceability_no]],2)</f>
        <v>K5</v>
      </c>
      <c r="N1082" s="456"/>
      <c r="O1082"/>
      <c r="Z1082" s="460"/>
      <c r="AA1082" s="194"/>
      <c r="AB1082"/>
      <c r="AG1082" s="69"/>
      <c r="AH1082"/>
    </row>
    <row r="1083" spans="1:34" x14ac:dyDescent="0.2">
      <c r="A1083"/>
      <c r="B1083"/>
      <c r="C1083"/>
      <c r="D1083"/>
      <c r="E1083"/>
      <c r="F1083" t="str">
        <f>LEFT(AllDaqbookOffsets[[#This Row],[traceability_no]],2)</f>
        <v>K5</v>
      </c>
      <c r="N1083" s="456"/>
      <c r="O1083"/>
      <c r="Z1083" s="460"/>
      <c r="AA1083" s="194"/>
      <c r="AB1083"/>
      <c r="AG1083" s="69"/>
      <c r="AH1083"/>
    </row>
    <row r="1084" spans="1:34" x14ac:dyDescent="0.2">
      <c r="A1084"/>
      <c r="B1084"/>
      <c r="C1084"/>
      <c r="D1084"/>
      <c r="E1084"/>
      <c r="F1084" t="str">
        <f>LEFT(AllDaqbookOffsets[[#This Row],[traceability_no]],2)</f>
        <v>K5</v>
      </c>
      <c r="N1084" s="456"/>
      <c r="O1084"/>
      <c r="Z1084" s="460"/>
      <c r="AA1084" s="194"/>
      <c r="AB1084"/>
      <c r="AG1084" s="69"/>
      <c r="AH1084"/>
    </row>
    <row r="1085" spans="1:34" x14ac:dyDescent="0.2">
      <c r="A1085"/>
      <c r="B1085"/>
      <c r="C1085"/>
      <c r="D1085"/>
      <c r="E1085"/>
      <c r="F1085" t="str">
        <f>LEFT(AllDaqbookOffsets[[#This Row],[traceability_no]],2)</f>
        <v>K5</v>
      </c>
      <c r="N1085" s="456"/>
      <c r="O1085"/>
      <c r="Z1085" s="460"/>
      <c r="AA1085" s="194"/>
      <c r="AB1085"/>
      <c r="AG1085" s="69"/>
      <c r="AH1085"/>
    </row>
    <row r="1086" spans="1:34" x14ac:dyDescent="0.2">
      <c r="A1086"/>
      <c r="B1086"/>
      <c r="C1086"/>
      <c r="D1086"/>
      <c r="E1086"/>
      <c r="F1086" t="str">
        <f>LEFT(AllDaqbookOffsets[[#This Row],[traceability_no]],2)</f>
        <v>K5</v>
      </c>
      <c r="N1086" s="456"/>
      <c r="O1086"/>
      <c r="Z1086" s="460"/>
      <c r="AA1086" s="194"/>
      <c r="AB1086"/>
      <c r="AG1086" s="69"/>
      <c r="AH1086"/>
    </row>
    <row r="1087" spans="1:34" x14ac:dyDescent="0.2">
      <c r="A1087"/>
      <c r="B1087"/>
      <c r="C1087"/>
      <c r="D1087"/>
      <c r="E1087"/>
      <c r="F1087" t="str">
        <f>LEFT(AllDaqbookOffsets[[#This Row],[traceability_no]],2)</f>
        <v>K5</v>
      </c>
      <c r="N1087" s="456"/>
      <c r="O1087"/>
      <c r="Z1087" s="460"/>
      <c r="AA1087" s="194"/>
      <c r="AB1087"/>
      <c r="AG1087" s="69"/>
      <c r="AH1087"/>
    </row>
    <row r="1088" spans="1:34" x14ac:dyDescent="0.2">
      <c r="A1088"/>
      <c r="B1088"/>
      <c r="C1088"/>
      <c r="D1088"/>
      <c r="E1088"/>
      <c r="F1088" t="str">
        <f>LEFT(AllDaqbookOffsets[[#This Row],[traceability_no]],2)</f>
        <v>K5</v>
      </c>
      <c r="N1088" s="456"/>
      <c r="O1088"/>
      <c r="Z1088" s="460"/>
      <c r="AA1088" s="194"/>
      <c r="AB1088"/>
      <c r="AG1088" s="69"/>
      <c r="AH1088"/>
    </row>
    <row r="1089" spans="1:34" x14ac:dyDescent="0.2">
      <c r="A1089"/>
      <c r="B1089"/>
      <c r="C1089"/>
      <c r="D1089"/>
      <c r="E1089"/>
      <c r="F1089" t="str">
        <f>LEFT(AllDaqbookOffsets[[#This Row],[traceability_no]],2)</f>
        <v>K5</v>
      </c>
      <c r="N1089" s="456"/>
      <c r="O1089"/>
      <c r="Z1089" s="460"/>
      <c r="AA1089" s="194"/>
      <c r="AB1089"/>
      <c r="AG1089" s="69"/>
      <c r="AH1089"/>
    </row>
    <row r="1090" spans="1:34" x14ac:dyDescent="0.2">
      <c r="A1090"/>
      <c r="B1090"/>
      <c r="C1090"/>
      <c r="D1090"/>
      <c r="E1090"/>
      <c r="F1090" t="str">
        <f>LEFT(AllDaqbookOffsets[[#This Row],[traceability_no]],2)</f>
        <v>K5</v>
      </c>
      <c r="N1090" s="456"/>
      <c r="O1090"/>
      <c r="Z1090" s="460"/>
      <c r="AA1090" s="194"/>
      <c r="AB1090"/>
      <c r="AG1090" s="69"/>
      <c r="AH1090"/>
    </row>
    <row r="1091" spans="1:34" x14ac:dyDescent="0.2">
      <c r="A1091"/>
      <c r="B1091"/>
      <c r="C1091"/>
      <c r="D1091"/>
      <c r="E1091"/>
      <c r="F1091" t="str">
        <f>LEFT(AllDaqbookOffsets[[#This Row],[traceability_no]],2)</f>
        <v>K5</v>
      </c>
      <c r="N1091" s="456"/>
      <c r="O1091"/>
      <c r="Z1091" s="460"/>
      <c r="AA1091" s="194"/>
      <c r="AB1091"/>
      <c r="AG1091" s="69"/>
      <c r="AH1091"/>
    </row>
    <row r="1092" spans="1:34" x14ac:dyDescent="0.2">
      <c r="A1092"/>
      <c r="B1092"/>
      <c r="C1092"/>
      <c r="D1092"/>
      <c r="E1092"/>
      <c r="F1092" t="str">
        <f>LEFT(AllDaqbookOffsets[[#This Row],[traceability_no]],2)</f>
        <v>K5</v>
      </c>
      <c r="N1092" s="456"/>
      <c r="O1092"/>
      <c r="Z1092" s="460"/>
      <c r="AA1092" s="194"/>
      <c r="AB1092"/>
      <c r="AG1092" s="69"/>
      <c r="AH1092"/>
    </row>
    <row r="1093" spans="1:34" x14ac:dyDescent="0.2">
      <c r="A1093"/>
      <c r="B1093"/>
      <c r="C1093"/>
      <c r="D1093"/>
      <c r="E1093"/>
      <c r="F1093" t="str">
        <f>LEFT(AllDaqbookOffsets[[#This Row],[traceability_no]],2)</f>
        <v>K5</v>
      </c>
      <c r="N1093" s="456"/>
      <c r="O1093"/>
      <c r="Z1093" s="460"/>
      <c r="AA1093" s="194"/>
      <c r="AB1093"/>
      <c r="AG1093" s="69"/>
      <c r="AH1093"/>
    </row>
    <row r="1094" spans="1:34" x14ac:dyDescent="0.2">
      <c r="A1094"/>
      <c r="B1094"/>
      <c r="C1094"/>
      <c r="D1094"/>
      <c r="E1094"/>
      <c r="F1094" t="str">
        <f>LEFT(AllDaqbookOffsets[[#This Row],[traceability_no]],2)</f>
        <v>K5</v>
      </c>
      <c r="N1094" s="456"/>
      <c r="O1094"/>
      <c r="Z1094" s="460"/>
      <c r="AA1094" s="194"/>
      <c r="AB1094"/>
      <c r="AG1094" s="69"/>
      <c r="AH1094"/>
    </row>
    <row r="1095" spans="1:34" x14ac:dyDescent="0.2">
      <c r="A1095"/>
      <c r="B1095"/>
      <c r="C1095"/>
      <c r="D1095"/>
      <c r="E1095"/>
      <c r="F1095" t="str">
        <f>LEFT(AllDaqbookOffsets[[#This Row],[traceability_no]],2)</f>
        <v>K5</v>
      </c>
      <c r="N1095" s="456"/>
      <c r="O1095"/>
      <c r="Z1095" s="460"/>
      <c r="AA1095" s="194"/>
      <c r="AB1095"/>
      <c r="AG1095" s="69"/>
      <c r="AH1095"/>
    </row>
    <row r="1096" spans="1:34" x14ac:dyDescent="0.2">
      <c r="A1096"/>
      <c r="B1096"/>
      <c r="C1096"/>
      <c r="D1096"/>
      <c r="E1096"/>
      <c r="F1096" t="str">
        <f>LEFT(AllDaqbookOffsets[[#This Row],[traceability_no]],2)</f>
        <v>K5</v>
      </c>
      <c r="N1096" s="456"/>
      <c r="O1096"/>
      <c r="Z1096" s="460"/>
      <c r="AA1096" s="194"/>
      <c r="AB1096"/>
      <c r="AG1096" s="69"/>
      <c r="AH1096"/>
    </row>
    <row r="1097" spans="1:34" x14ac:dyDescent="0.2">
      <c r="A1097"/>
      <c r="B1097"/>
      <c r="C1097"/>
      <c r="D1097"/>
      <c r="E1097"/>
      <c r="F1097" t="str">
        <f>LEFT(AllDaqbookOffsets[[#This Row],[traceability_no]],2)</f>
        <v>K5</v>
      </c>
      <c r="N1097" s="456"/>
      <c r="O1097"/>
      <c r="Z1097" s="460"/>
      <c r="AA1097" s="194"/>
      <c r="AB1097"/>
      <c r="AG1097" s="69"/>
      <c r="AH1097"/>
    </row>
    <row r="1098" spans="1:34" x14ac:dyDescent="0.2">
      <c r="A1098"/>
      <c r="B1098"/>
      <c r="C1098"/>
      <c r="D1098"/>
      <c r="E1098"/>
      <c r="F1098" t="str">
        <f>LEFT(AllDaqbookOffsets[[#This Row],[traceability_no]],2)</f>
        <v>K5</v>
      </c>
      <c r="N1098" s="456"/>
      <c r="O1098"/>
      <c r="Z1098" s="460"/>
      <c r="AA1098" s="194"/>
      <c r="AB1098"/>
      <c r="AG1098" s="69"/>
      <c r="AH1098"/>
    </row>
    <row r="1099" spans="1:34" x14ac:dyDescent="0.2">
      <c r="A1099"/>
      <c r="B1099"/>
      <c r="C1099"/>
      <c r="D1099"/>
      <c r="E1099"/>
      <c r="F1099" t="str">
        <f>LEFT(AllDaqbookOffsets[[#This Row],[traceability_no]],2)</f>
        <v>K5</v>
      </c>
      <c r="N1099" s="456"/>
      <c r="O1099"/>
      <c r="Z1099" s="460"/>
      <c r="AA1099" s="194"/>
      <c r="AB1099"/>
      <c r="AG1099" s="69"/>
      <c r="AH1099"/>
    </row>
    <row r="1100" spans="1:34" x14ac:dyDescent="0.2">
      <c r="A1100"/>
      <c r="B1100"/>
      <c r="C1100"/>
      <c r="D1100"/>
      <c r="E1100"/>
      <c r="F1100" t="str">
        <f>LEFT(AllDaqbookOffsets[[#This Row],[traceability_no]],2)</f>
        <v>K5</v>
      </c>
      <c r="N1100" s="456"/>
      <c r="O1100"/>
      <c r="Z1100" s="460"/>
      <c r="AA1100" s="194"/>
      <c r="AB1100"/>
      <c r="AG1100" s="69"/>
      <c r="AH1100"/>
    </row>
    <row r="1101" spans="1:34" x14ac:dyDescent="0.2">
      <c r="A1101"/>
      <c r="B1101"/>
      <c r="C1101"/>
      <c r="D1101"/>
      <c r="E1101"/>
      <c r="F1101" t="str">
        <f>LEFT(AllDaqbookOffsets[[#This Row],[traceability_no]],2)</f>
        <v>K5</v>
      </c>
      <c r="N1101" s="456"/>
      <c r="O1101"/>
      <c r="Z1101" s="460"/>
      <c r="AA1101" s="194"/>
      <c r="AB1101"/>
      <c r="AG1101" s="69"/>
      <c r="AH1101"/>
    </row>
    <row r="1102" spans="1:34" x14ac:dyDescent="0.2">
      <c r="A1102"/>
      <c r="B1102"/>
      <c r="C1102"/>
      <c r="D1102"/>
      <c r="E1102"/>
      <c r="F1102" t="str">
        <f>LEFT(AllDaqbookOffsets[[#This Row],[traceability_no]],2)</f>
        <v>K5</v>
      </c>
      <c r="N1102" s="456"/>
      <c r="O1102"/>
      <c r="Z1102" s="460"/>
      <c r="AA1102" s="194"/>
      <c r="AB1102"/>
      <c r="AG1102" s="69"/>
      <c r="AH1102"/>
    </row>
    <row r="1103" spans="1:34" x14ac:dyDescent="0.2">
      <c r="A1103"/>
      <c r="B1103"/>
      <c r="C1103"/>
      <c r="D1103"/>
      <c r="E1103"/>
      <c r="F1103" t="str">
        <f>LEFT(AllDaqbookOffsets[[#This Row],[traceability_no]],2)</f>
        <v>K5</v>
      </c>
      <c r="N1103" s="456"/>
      <c r="O1103"/>
      <c r="Z1103" s="460"/>
      <c r="AA1103" s="194"/>
      <c r="AB1103"/>
      <c r="AG1103" s="69"/>
      <c r="AH1103"/>
    </row>
    <row r="1104" spans="1:34" x14ac:dyDescent="0.2">
      <c r="A1104"/>
      <c r="B1104"/>
      <c r="C1104"/>
      <c r="D1104"/>
      <c r="E1104"/>
      <c r="F1104" t="str">
        <f>LEFT(AllDaqbookOffsets[[#This Row],[traceability_no]],2)</f>
        <v>K5</v>
      </c>
      <c r="N1104" s="456"/>
      <c r="O1104"/>
      <c r="Z1104" s="460"/>
      <c r="AA1104" s="194"/>
      <c r="AB1104"/>
      <c r="AG1104" s="69"/>
      <c r="AH1104"/>
    </row>
    <row r="1105" spans="1:34" x14ac:dyDescent="0.2">
      <c r="A1105"/>
      <c r="B1105"/>
      <c r="C1105"/>
      <c r="D1105"/>
      <c r="E1105"/>
      <c r="F1105" t="str">
        <f>LEFT(AllDaqbookOffsets[[#This Row],[traceability_no]],2)</f>
        <v>K5</v>
      </c>
      <c r="N1105" s="456"/>
      <c r="O1105"/>
      <c r="Z1105" s="460"/>
      <c r="AA1105" s="194"/>
      <c r="AB1105"/>
      <c r="AG1105" s="69"/>
      <c r="AH1105"/>
    </row>
    <row r="1106" spans="1:34" x14ac:dyDescent="0.2">
      <c r="A1106"/>
      <c r="B1106"/>
      <c r="C1106"/>
      <c r="D1106"/>
      <c r="E1106"/>
      <c r="F1106" t="str">
        <f>LEFT(AllDaqbookOffsets[[#This Row],[traceability_no]],2)</f>
        <v>K5</v>
      </c>
      <c r="N1106" s="456"/>
      <c r="O1106"/>
      <c r="Z1106" s="460"/>
      <c r="AA1106" s="194"/>
      <c r="AB1106"/>
      <c r="AG1106" s="69"/>
      <c r="AH1106"/>
    </row>
    <row r="1107" spans="1:34" x14ac:dyDescent="0.2">
      <c r="A1107"/>
      <c r="B1107"/>
      <c r="C1107"/>
      <c r="D1107"/>
      <c r="E1107"/>
      <c r="F1107" t="str">
        <f>LEFT(AllDaqbookOffsets[[#This Row],[traceability_no]],2)</f>
        <v>K5</v>
      </c>
      <c r="N1107" s="456"/>
      <c r="O1107"/>
      <c r="Z1107" s="460"/>
      <c r="AA1107" s="194"/>
      <c r="AB1107"/>
      <c r="AG1107" s="69"/>
      <c r="AH1107"/>
    </row>
    <row r="1108" spans="1:34" x14ac:dyDescent="0.2">
      <c r="A1108"/>
      <c r="B1108"/>
      <c r="C1108"/>
      <c r="D1108"/>
      <c r="E1108"/>
      <c r="F1108" t="str">
        <f>LEFT(AllDaqbookOffsets[[#This Row],[traceability_no]],2)</f>
        <v>K5</v>
      </c>
      <c r="N1108" s="456"/>
      <c r="O1108"/>
      <c r="Z1108" s="460"/>
      <c r="AA1108" s="194"/>
      <c r="AB1108"/>
      <c r="AG1108" s="69"/>
      <c r="AH1108"/>
    </row>
    <row r="1109" spans="1:34" x14ac:dyDescent="0.2">
      <c r="A1109"/>
      <c r="B1109"/>
      <c r="C1109"/>
      <c r="D1109"/>
      <c r="E1109"/>
      <c r="F1109" t="str">
        <f>LEFT(AllDaqbookOffsets[[#This Row],[traceability_no]],2)</f>
        <v>K5</v>
      </c>
      <c r="N1109" s="456"/>
      <c r="O1109"/>
      <c r="Z1109" s="460"/>
      <c r="AA1109" s="194"/>
      <c r="AB1109"/>
      <c r="AG1109" s="69"/>
      <c r="AH1109"/>
    </row>
    <row r="1110" spans="1:34" x14ac:dyDescent="0.2">
      <c r="A1110"/>
      <c r="B1110"/>
      <c r="C1110"/>
      <c r="D1110"/>
      <c r="E1110"/>
      <c r="F1110" t="str">
        <f>LEFT(AllDaqbookOffsets[[#This Row],[traceability_no]],2)</f>
        <v>K5</v>
      </c>
      <c r="N1110" s="456"/>
      <c r="O1110"/>
      <c r="Z1110" s="460"/>
      <c r="AA1110" s="194"/>
      <c r="AB1110"/>
      <c r="AG1110" s="69"/>
      <c r="AH1110"/>
    </row>
    <row r="1111" spans="1:34" x14ac:dyDescent="0.2">
      <c r="A1111"/>
      <c r="B1111"/>
      <c r="C1111"/>
      <c r="D1111"/>
      <c r="E1111"/>
      <c r="F1111" t="str">
        <f>LEFT(AllDaqbookOffsets[[#This Row],[traceability_no]],2)</f>
        <v>K5</v>
      </c>
      <c r="N1111" s="456"/>
      <c r="O1111"/>
      <c r="Z1111" s="460"/>
      <c r="AA1111" s="194"/>
      <c r="AB1111"/>
      <c r="AG1111" s="69"/>
      <c r="AH1111"/>
    </row>
    <row r="1112" spans="1:34" x14ac:dyDescent="0.2">
      <c r="A1112"/>
      <c r="B1112"/>
      <c r="C1112"/>
      <c r="D1112"/>
      <c r="E1112"/>
      <c r="F1112" t="str">
        <f>LEFT(AllDaqbookOffsets[[#This Row],[traceability_no]],2)</f>
        <v>K5</v>
      </c>
      <c r="N1112" s="456"/>
      <c r="O1112"/>
      <c r="Z1112" s="460"/>
      <c r="AA1112" s="194"/>
      <c r="AB1112"/>
      <c r="AG1112" s="69"/>
      <c r="AH1112"/>
    </row>
    <row r="1113" spans="1:34" x14ac:dyDescent="0.2">
      <c r="A1113"/>
      <c r="B1113"/>
      <c r="C1113"/>
      <c r="D1113"/>
      <c r="E1113"/>
      <c r="F1113" t="str">
        <f>LEFT(AllDaqbookOffsets[[#This Row],[traceability_no]],2)</f>
        <v>K5</v>
      </c>
      <c r="N1113" s="456"/>
      <c r="O1113"/>
      <c r="Z1113" s="460"/>
      <c r="AA1113" s="194"/>
      <c r="AB1113"/>
      <c r="AG1113" s="69"/>
      <c r="AH1113"/>
    </row>
    <row r="1114" spans="1:34" x14ac:dyDescent="0.2">
      <c r="A1114"/>
      <c r="B1114"/>
      <c r="C1114"/>
      <c r="D1114"/>
      <c r="E1114"/>
      <c r="F1114" t="str">
        <f>LEFT(AllDaqbookOffsets[[#This Row],[traceability_no]],2)</f>
        <v>K5</v>
      </c>
      <c r="N1114" s="456"/>
      <c r="O1114"/>
      <c r="Z1114" s="460"/>
      <c r="AA1114" s="194"/>
      <c r="AB1114"/>
      <c r="AG1114" s="69"/>
      <c r="AH1114"/>
    </row>
    <row r="1115" spans="1:34" x14ac:dyDescent="0.2">
      <c r="A1115"/>
      <c r="B1115"/>
      <c r="C1115"/>
      <c r="D1115"/>
      <c r="E1115"/>
      <c r="F1115" t="str">
        <f>LEFT(AllDaqbookOffsets[[#This Row],[traceability_no]],2)</f>
        <v>K5</v>
      </c>
      <c r="N1115" s="456"/>
      <c r="O1115"/>
      <c r="Z1115" s="460"/>
      <c r="AA1115" s="194"/>
      <c r="AB1115"/>
      <c r="AG1115" s="69"/>
      <c r="AH1115"/>
    </row>
    <row r="1116" spans="1:34" x14ac:dyDescent="0.2">
      <c r="A1116"/>
      <c r="B1116"/>
      <c r="C1116"/>
      <c r="D1116"/>
      <c r="E1116"/>
      <c r="F1116" t="str">
        <f>LEFT(AllDaqbookOffsets[[#This Row],[traceability_no]],2)</f>
        <v>K5</v>
      </c>
      <c r="N1116" s="456"/>
      <c r="O1116"/>
      <c r="Z1116" s="460"/>
      <c r="AA1116" s="194"/>
      <c r="AB1116"/>
      <c r="AG1116" s="69"/>
      <c r="AH1116"/>
    </row>
    <row r="1117" spans="1:34" x14ac:dyDescent="0.2">
      <c r="A1117"/>
      <c r="B1117"/>
      <c r="C1117"/>
      <c r="D1117"/>
      <c r="E1117"/>
      <c r="F1117" t="str">
        <f>LEFT(AllDaqbookOffsets[[#This Row],[traceability_no]],2)</f>
        <v>K5</v>
      </c>
      <c r="N1117" s="456"/>
      <c r="O1117"/>
      <c r="Z1117" s="460"/>
      <c r="AA1117" s="194"/>
      <c r="AB1117"/>
      <c r="AG1117" s="69"/>
      <c r="AH1117"/>
    </row>
    <row r="1118" spans="1:34" x14ac:dyDescent="0.2">
      <c r="A1118"/>
      <c r="B1118"/>
      <c r="C1118"/>
      <c r="D1118"/>
      <c r="E1118"/>
      <c r="F1118" t="str">
        <f>LEFT(AllDaqbookOffsets[[#This Row],[traceability_no]],2)</f>
        <v>K5</v>
      </c>
      <c r="N1118" s="456"/>
      <c r="O1118"/>
      <c r="Z1118" s="460"/>
      <c r="AA1118" s="194"/>
      <c r="AB1118"/>
      <c r="AG1118" s="69"/>
      <c r="AH1118"/>
    </row>
    <row r="1119" spans="1:34" x14ac:dyDescent="0.2">
      <c r="A1119"/>
      <c r="B1119"/>
      <c r="C1119"/>
      <c r="D1119"/>
      <c r="E1119"/>
      <c r="F1119" t="str">
        <f>LEFT(AllDaqbookOffsets[[#This Row],[traceability_no]],2)</f>
        <v>K5</v>
      </c>
      <c r="N1119" s="456"/>
      <c r="O1119"/>
      <c r="Z1119" s="460"/>
      <c r="AA1119" s="194"/>
      <c r="AB1119"/>
      <c r="AG1119" s="69"/>
      <c r="AH1119"/>
    </row>
    <row r="1120" spans="1:34" x14ac:dyDescent="0.2">
      <c r="A1120"/>
      <c r="B1120"/>
      <c r="C1120"/>
      <c r="D1120"/>
      <c r="E1120"/>
      <c r="F1120" t="str">
        <f>LEFT(AllDaqbookOffsets[[#This Row],[traceability_no]],2)</f>
        <v>K5</v>
      </c>
      <c r="N1120" s="456"/>
      <c r="O1120"/>
      <c r="Z1120" s="460"/>
      <c r="AA1120" s="194"/>
      <c r="AB1120"/>
      <c r="AG1120" s="69"/>
      <c r="AH1120"/>
    </row>
    <row r="1121" spans="1:34" x14ac:dyDescent="0.2">
      <c r="A1121"/>
      <c r="B1121"/>
      <c r="C1121"/>
      <c r="D1121"/>
      <c r="E1121"/>
      <c r="F1121" t="str">
        <f>LEFT(AllDaqbookOffsets[[#This Row],[traceability_no]],2)</f>
        <v>K5</v>
      </c>
      <c r="N1121" s="456"/>
      <c r="O1121"/>
      <c r="Z1121" s="460"/>
      <c r="AA1121" s="194"/>
      <c r="AB1121"/>
      <c r="AG1121" s="69"/>
      <c r="AH1121"/>
    </row>
    <row r="1122" spans="1:34" x14ac:dyDescent="0.2">
      <c r="A1122"/>
      <c r="B1122"/>
      <c r="C1122"/>
      <c r="D1122"/>
      <c r="E1122"/>
      <c r="F1122" t="str">
        <f>LEFT(AllDaqbookOffsets[[#This Row],[traceability_no]],2)</f>
        <v>K5</v>
      </c>
      <c r="N1122" s="456"/>
      <c r="O1122"/>
      <c r="Z1122" s="460"/>
      <c r="AA1122" s="194"/>
      <c r="AB1122"/>
      <c r="AG1122" s="69"/>
      <c r="AH1122"/>
    </row>
    <row r="1123" spans="1:34" x14ac:dyDescent="0.2">
      <c r="A1123"/>
      <c r="B1123"/>
      <c r="C1123"/>
      <c r="D1123"/>
      <c r="E1123"/>
      <c r="F1123" t="str">
        <f>LEFT(AllDaqbookOffsets[[#This Row],[traceability_no]],2)</f>
        <v>K5</v>
      </c>
      <c r="N1123" s="456"/>
      <c r="O1123"/>
      <c r="Z1123" s="460"/>
      <c r="AA1123" s="194"/>
      <c r="AB1123"/>
      <c r="AG1123" s="69"/>
      <c r="AH1123"/>
    </row>
    <row r="1124" spans="1:34" x14ac:dyDescent="0.2">
      <c r="A1124"/>
      <c r="B1124"/>
      <c r="C1124"/>
      <c r="D1124"/>
      <c r="E1124"/>
      <c r="F1124" t="str">
        <f>LEFT(AllDaqbookOffsets[[#This Row],[traceability_no]],2)</f>
        <v>K5</v>
      </c>
      <c r="N1124" s="456"/>
      <c r="O1124"/>
      <c r="Z1124" s="460"/>
      <c r="AA1124" s="194"/>
      <c r="AB1124"/>
      <c r="AG1124" s="69"/>
      <c r="AH1124"/>
    </row>
    <row r="1125" spans="1:34" x14ac:dyDescent="0.2">
      <c r="A1125"/>
      <c r="B1125"/>
      <c r="C1125"/>
      <c r="D1125"/>
      <c r="E1125"/>
      <c r="F1125" t="str">
        <f>LEFT(AllDaqbookOffsets[[#This Row],[traceability_no]],2)</f>
        <v>K5</v>
      </c>
      <c r="N1125" s="456"/>
      <c r="O1125"/>
      <c r="Z1125" s="460"/>
      <c r="AA1125" s="194"/>
      <c r="AB1125"/>
      <c r="AG1125" s="69"/>
      <c r="AH1125"/>
    </row>
    <row r="1126" spans="1:34" x14ac:dyDescent="0.2">
      <c r="A1126"/>
      <c r="B1126"/>
      <c r="C1126"/>
      <c r="D1126"/>
      <c r="E1126"/>
      <c r="F1126" t="str">
        <f>LEFT(AllDaqbookOffsets[[#This Row],[traceability_no]],2)</f>
        <v>K5</v>
      </c>
      <c r="N1126" s="456"/>
      <c r="O1126"/>
      <c r="Z1126" s="460"/>
      <c r="AA1126" s="194"/>
      <c r="AB1126"/>
      <c r="AG1126" s="69"/>
      <c r="AH1126"/>
    </row>
    <row r="1127" spans="1:34" x14ac:dyDescent="0.2">
      <c r="A1127"/>
      <c r="B1127"/>
      <c r="C1127"/>
      <c r="D1127"/>
      <c r="E1127"/>
      <c r="F1127" t="str">
        <f>LEFT(AllDaqbookOffsets[[#This Row],[traceability_no]],2)</f>
        <v>K5</v>
      </c>
      <c r="N1127" s="456"/>
      <c r="O1127"/>
      <c r="Z1127" s="460"/>
      <c r="AA1127" s="194"/>
      <c r="AB1127"/>
      <c r="AG1127" s="69"/>
      <c r="AH1127"/>
    </row>
    <row r="1128" spans="1:34" x14ac:dyDescent="0.2">
      <c r="A1128"/>
      <c r="B1128"/>
      <c r="C1128"/>
      <c r="D1128"/>
      <c r="E1128"/>
      <c r="F1128" t="str">
        <f>LEFT(AllDaqbookOffsets[[#This Row],[traceability_no]],2)</f>
        <v>K5</v>
      </c>
      <c r="N1128" s="456"/>
      <c r="O1128"/>
      <c r="Z1128" s="460"/>
      <c r="AA1128" s="194"/>
      <c r="AB1128"/>
      <c r="AG1128" s="69"/>
      <c r="AH1128"/>
    </row>
    <row r="1129" spans="1:34" x14ac:dyDescent="0.2">
      <c r="A1129"/>
      <c r="B1129"/>
      <c r="C1129"/>
      <c r="D1129"/>
      <c r="E1129"/>
      <c r="F1129" t="str">
        <f>LEFT(AllDaqbookOffsets[[#This Row],[traceability_no]],2)</f>
        <v>K5</v>
      </c>
      <c r="N1129" s="456"/>
      <c r="O1129"/>
      <c r="Z1129" s="460"/>
      <c r="AA1129" s="194"/>
      <c r="AB1129"/>
      <c r="AG1129" s="69"/>
      <c r="AH1129"/>
    </row>
    <row r="1130" spans="1:34" x14ac:dyDescent="0.2">
      <c r="A1130"/>
      <c r="B1130"/>
      <c r="C1130"/>
      <c r="D1130"/>
      <c r="E1130"/>
      <c r="F1130" t="str">
        <f>LEFT(AllDaqbookOffsets[[#This Row],[traceability_no]],2)</f>
        <v>K6</v>
      </c>
      <c r="N1130" s="456"/>
      <c r="O1130"/>
      <c r="Z1130" s="460"/>
      <c r="AA1130" s="194"/>
      <c r="AB1130"/>
      <c r="AG1130" s="69"/>
      <c r="AH1130"/>
    </row>
    <row r="1131" spans="1:34" x14ac:dyDescent="0.2">
      <c r="A1131"/>
      <c r="B1131"/>
      <c r="C1131"/>
      <c r="D1131"/>
      <c r="E1131"/>
      <c r="F1131" t="str">
        <f>LEFT(AllDaqbookOffsets[[#This Row],[traceability_no]],2)</f>
        <v>K6</v>
      </c>
      <c r="N1131" s="456"/>
      <c r="O1131"/>
      <c r="Z1131" s="460"/>
      <c r="AA1131" s="194"/>
      <c r="AB1131"/>
      <c r="AG1131" s="69"/>
      <c r="AH1131"/>
    </row>
    <row r="1132" spans="1:34" x14ac:dyDescent="0.2">
      <c r="A1132"/>
      <c r="B1132"/>
      <c r="C1132"/>
      <c r="D1132"/>
      <c r="E1132"/>
      <c r="F1132" t="str">
        <f>LEFT(AllDaqbookOffsets[[#This Row],[traceability_no]],2)</f>
        <v>K6</v>
      </c>
      <c r="N1132" s="456"/>
      <c r="O1132"/>
      <c r="Z1132" s="460"/>
      <c r="AA1132" s="194"/>
      <c r="AB1132"/>
      <c r="AG1132" s="69"/>
      <c r="AH1132"/>
    </row>
    <row r="1133" spans="1:34" x14ac:dyDescent="0.2">
      <c r="A1133"/>
      <c r="B1133"/>
      <c r="C1133"/>
      <c r="D1133"/>
      <c r="E1133"/>
      <c r="F1133" t="str">
        <f>LEFT(AllDaqbookOffsets[[#This Row],[traceability_no]],2)</f>
        <v>K6</v>
      </c>
      <c r="N1133" s="456"/>
      <c r="O1133"/>
      <c r="Z1133" s="460"/>
      <c r="AA1133" s="194"/>
      <c r="AB1133"/>
      <c r="AG1133" s="69"/>
      <c r="AH1133"/>
    </row>
    <row r="1134" spans="1:34" x14ac:dyDescent="0.2">
      <c r="A1134"/>
      <c r="B1134"/>
      <c r="C1134"/>
      <c r="D1134"/>
      <c r="E1134"/>
      <c r="F1134" t="str">
        <f>LEFT(AllDaqbookOffsets[[#This Row],[traceability_no]],2)</f>
        <v>K6</v>
      </c>
      <c r="N1134" s="456"/>
      <c r="O1134"/>
      <c r="Z1134" s="460"/>
      <c r="AA1134" s="194"/>
      <c r="AB1134"/>
      <c r="AG1134" s="69"/>
      <c r="AH1134"/>
    </row>
    <row r="1135" spans="1:34" x14ac:dyDescent="0.2">
      <c r="A1135"/>
      <c r="B1135"/>
      <c r="C1135"/>
      <c r="D1135"/>
      <c r="E1135"/>
      <c r="F1135" t="str">
        <f>LEFT(AllDaqbookOffsets[[#This Row],[traceability_no]],2)</f>
        <v>K6</v>
      </c>
      <c r="N1135" s="456"/>
      <c r="O1135"/>
      <c r="Z1135" s="460"/>
      <c r="AA1135" s="194"/>
      <c r="AB1135"/>
      <c r="AG1135" s="69"/>
      <c r="AH1135"/>
    </row>
    <row r="1136" spans="1:34" x14ac:dyDescent="0.2">
      <c r="A1136"/>
      <c r="B1136"/>
      <c r="C1136"/>
      <c r="D1136"/>
      <c r="E1136"/>
      <c r="F1136" t="str">
        <f>LEFT(AllDaqbookOffsets[[#This Row],[traceability_no]],2)</f>
        <v>K6</v>
      </c>
      <c r="N1136" s="456"/>
      <c r="O1136"/>
      <c r="Z1136" s="460"/>
      <c r="AA1136" s="194"/>
      <c r="AB1136"/>
      <c r="AG1136" s="69"/>
      <c r="AH1136"/>
    </row>
    <row r="1137" spans="1:34" x14ac:dyDescent="0.2">
      <c r="A1137"/>
      <c r="B1137"/>
      <c r="C1137"/>
      <c r="D1137"/>
      <c r="E1137"/>
      <c r="F1137" t="str">
        <f>LEFT(AllDaqbookOffsets[[#This Row],[traceability_no]],2)</f>
        <v>K6</v>
      </c>
      <c r="N1137" s="456"/>
      <c r="O1137"/>
      <c r="Z1137" s="460"/>
      <c r="AA1137" s="194"/>
      <c r="AB1137"/>
      <c r="AG1137" s="69"/>
      <c r="AH1137"/>
    </row>
    <row r="1138" spans="1:34" x14ac:dyDescent="0.2">
      <c r="A1138"/>
      <c r="B1138"/>
      <c r="C1138"/>
      <c r="D1138"/>
      <c r="E1138"/>
      <c r="F1138" t="str">
        <f>LEFT(AllDaqbookOffsets[[#This Row],[traceability_no]],2)</f>
        <v>K6</v>
      </c>
      <c r="N1138" s="456"/>
      <c r="O1138"/>
      <c r="Z1138" s="460"/>
      <c r="AA1138" s="194"/>
      <c r="AB1138"/>
      <c r="AG1138" s="69"/>
      <c r="AH1138"/>
    </row>
    <row r="1139" spans="1:34" x14ac:dyDescent="0.2">
      <c r="A1139"/>
      <c r="B1139"/>
      <c r="C1139"/>
      <c r="D1139"/>
      <c r="E1139"/>
      <c r="F1139" t="str">
        <f>LEFT(AllDaqbookOffsets[[#This Row],[traceability_no]],2)</f>
        <v>K6</v>
      </c>
      <c r="N1139" s="456"/>
      <c r="O1139"/>
      <c r="Z1139" s="460"/>
      <c r="AA1139" s="194"/>
      <c r="AB1139"/>
      <c r="AG1139" s="69"/>
      <c r="AH1139"/>
    </row>
    <row r="1140" spans="1:34" x14ac:dyDescent="0.2">
      <c r="A1140"/>
      <c r="B1140"/>
      <c r="C1140"/>
      <c r="D1140"/>
      <c r="E1140"/>
      <c r="F1140" t="str">
        <f>LEFT(AllDaqbookOffsets[[#This Row],[traceability_no]],2)</f>
        <v>K6</v>
      </c>
      <c r="N1140" s="456"/>
      <c r="O1140"/>
      <c r="Z1140" s="460"/>
      <c r="AA1140" s="194"/>
      <c r="AB1140"/>
      <c r="AG1140" s="69"/>
      <c r="AH1140"/>
    </row>
    <row r="1141" spans="1:34" x14ac:dyDescent="0.2">
      <c r="A1141"/>
      <c r="B1141"/>
      <c r="C1141"/>
      <c r="D1141"/>
      <c r="E1141"/>
      <c r="F1141" t="str">
        <f>LEFT(AllDaqbookOffsets[[#This Row],[traceability_no]],2)</f>
        <v>K6</v>
      </c>
      <c r="N1141" s="456"/>
      <c r="O1141"/>
      <c r="Z1141" s="460"/>
      <c r="AA1141" s="194"/>
      <c r="AB1141"/>
      <c r="AG1141" s="69"/>
      <c r="AH1141"/>
    </row>
    <row r="1142" spans="1:34" x14ac:dyDescent="0.2">
      <c r="A1142"/>
      <c r="B1142"/>
      <c r="C1142"/>
      <c r="D1142"/>
      <c r="E1142"/>
      <c r="F1142" t="str">
        <f>LEFT(AllDaqbookOffsets[[#This Row],[traceability_no]],2)</f>
        <v>K6</v>
      </c>
      <c r="N1142" s="456"/>
      <c r="O1142"/>
      <c r="Z1142" s="460"/>
      <c r="AA1142" s="194"/>
      <c r="AB1142"/>
      <c r="AG1142" s="69"/>
      <c r="AH1142"/>
    </row>
    <row r="1143" spans="1:34" x14ac:dyDescent="0.2">
      <c r="A1143"/>
      <c r="B1143"/>
      <c r="C1143"/>
      <c r="D1143"/>
      <c r="E1143"/>
      <c r="F1143" t="str">
        <f>LEFT(AllDaqbookOffsets[[#This Row],[traceability_no]],2)</f>
        <v>K6</v>
      </c>
      <c r="N1143" s="456"/>
      <c r="O1143"/>
      <c r="Z1143" s="460"/>
      <c r="AA1143" s="194"/>
      <c r="AB1143"/>
      <c r="AG1143" s="69"/>
      <c r="AH1143"/>
    </row>
    <row r="1144" spans="1:34" x14ac:dyDescent="0.2">
      <c r="A1144"/>
      <c r="B1144"/>
      <c r="C1144"/>
      <c r="D1144"/>
      <c r="E1144"/>
      <c r="F1144" t="str">
        <f>LEFT(AllDaqbookOffsets[[#This Row],[traceability_no]],2)</f>
        <v>K6</v>
      </c>
      <c r="N1144" s="456"/>
      <c r="O1144"/>
      <c r="Z1144" s="460"/>
      <c r="AA1144" s="194"/>
      <c r="AB1144"/>
      <c r="AG1144" s="69"/>
      <c r="AH1144"/>
    </row>
    <row r="1145" spans="1:34" x14ac:dyDescent="0.2">
      <c r="A1145"/>
      <c r="B1145"/>
      <c r="C1145"/>
      <c r="D1145"/>
      <c r="E1145"/>
      <c r="F1145" t="str">
        <f>LEFT(AllDaqbookOffsets[[#This Row],[traceability_no]],2)</f>
        <v>K6</v>
      </c>
      <c r="N1145" s="456"/>
      <c r="O1145"/>
      <c r="Z1145" s="460"/>
      <c r="AA1145" s="194"/>
      <c r="AB1145"/>
      <c r="AG1145" s="69"/>
      <c r="AH1145"/>
    </row>
    <row r="1146" spans="1:34" x14ac:dyDescent="0.2">
      <c r="A1146"/>
      <c r="B1146"/>
      <c r="C1146"/>
      <c r="D1146"/>
      <c r="E1146"/>
      <c r="F1146" t="str">
        <f>LEFT(AllDaqbookOffsets[[#This Row],[traceability_no]],2)</f>
        <v>K6</v>
      </c>
      <c r="N1146" s="456"/>
      <c r="O1146"/>
      <c r="Z1146" s="460"/>
      <c r="AA1146" s="194"/>
      <c r="AB1146"/>
      <c r="AG1146" s="69"/>
      <c r="AH1146"/>
    </row>
    <row r="1147" spans="1:34" x14ac:dyDescent="0.2">
      <c r="A1147"/>
      <c r="B1147"/>
      <c r="C1147"/>
      <c r="D1147"/>
      <c r="E1147"/>
      <c r="F1147" t="str">
        <f>LEFT(AllDaqbookOffsets[[#This Row],[traceability_no]],2)</f>
        <v>K6</v>
      </c>
      <c r="N1147" s="456"/>
      <c r="O1147"/>
      <c r="Z1147" s="460"/>
      <c r="AA1147" s="194"/>
      <c r="AB1147"/>
      <c r="AG1147" s="69"/>
      <c r="AH1147"/>
    </row>
    <row r="1148" spans="1:34" x14ac:dyDescent="0.2">
      <c r="A1148"/>
      <c r="B1148"/>
      <c r="C1148"/>
      <c r="D1148"/>
      <c r="E1148"/>
      <c r="F1148" t="str">
        <f>LEFT(AllDaqbookOffsets[[#This Row],[traceability_no]],2)</f>
        <v>K6</v>
      </c>
      <c r="N1148" s="456"/>
      <c r="O1148"/>
      <c r="Z1148" s="460"/>
      <c r="AA1148" s="194"/>
      <c r="AB1148"/>
      <c r="AG1148" s="69"/>
      <c r="AH1148"/>
    </row>
    <row r="1149" spans="1:34" x14ac:dyDescent="0.2">
      <c r="A1149"/>
      <c r="B1149"/>
      <c r="C1149"/>
      <c r="D1149"/>
      <c r="E1149"/>
      <c r="F1149" t="str">
        <f>LEFT(AllDaqbookOffsets[[#This Row],[traceability_no]],2)</f>
        <v>K6</v>
      </c>
      <c r="N1149" s="456"/>
      <c r="O1149"/>
      <c r="Z1149" s="460"/>
      <c r="AA1149" s="194"/>
      <c r="AB1149"/>
      <c r="AG1149" s="69"/>
      <c r="AH1149"/>
    </row>
    <row r="1150" spans="1:34" x14ac:dyDescent="0.2">
      <c r="A1150"/>
      <c r="B1150"/>
      <c r="C1150"/>
      <c r="D1150"/>
      <c r="E1150"/>
      <c r="F1150" t="str">
        <f>LEFT(AllDaqbookOffsets[[#This Row],[traceability_no]],2)</f>
        <v>K6</v>
      </c>
      <c r="N1150" s="456"/>
      <c r="O1150"/>
      <c r="Z1150" s="460"/>
      <c r="AA1150" s="194"/>
      <c r="AB1150"/>
      <c r="AG1150" s="69"/>
      <c r="AH1150"/>
    </row>
    <row r="1151" spans="1:34" x14ac:dyDescent="0.2">
      <c r="A1151"/>
      <c r="B1151"/>
      <c r="C1151"/>
      <c r="D1151"/>
      <c r="E1151"/>
      <c r="F1151" t="str">
        <f>LEFT(AllDaqbookOffsets[[#This Row],[traceability_no]],2)</f>
        <v>K6</v>
      </c>
      <c r="N1151" s="456"/>
      <c r="O1151"/>
      <c r="Z1151" s="460"/>
      <c r="AA1151" s="194"/>
      <c r="AB1151"/>
      <c r="AG1151" s="69"/>
      <c r="AH1151"/>
    </row>
    <row r="1152" spans="1:34" x14ac:dyDescent="0.2">
      <c r="A1152"/>
      <c r="B1152"/>
      <c r="C1152"/>
      <c r="D1152"/>
      <c r="E1152"/>
      <c r="F1152" t="str">
        <f>LEFT(AllDaqbookOffsets[[#This Row],[traceability_no]],2)</f>
        <v>K6</v>
      </c>
      <c r="N1152" s="456"/>
      <c r="O1152"/>
      <c r="Z1152" s="460"/>
      <c r="AA1152" s="194"/>
      <c r="AB1152"/>
      <c r="AG1152" s="69"/>
      <c r="AH1152"/>
    </row>
    <row r="1153" spans="1:34" x14ac:dyDescent="0.2">
      <c r="A1153"/>
      <c r="B1153"/>
      <c r="C1153"/>
      <c r="D1153"/>
      <c r="E1153"/>
      <c r="F1153" t="str">
        <f>LEFT(AllDaqbookOffsets[[#This Row],[traceability_no]],2)</f>
        <v>K6</v>
      </c>
      <c r="N1153" s="456"/>
      <c r="O1153"/>
      <c r="Z1153" s="460"/>
      <c r="AA1153" s="194"/>
      <c r="AB1153"/>
      <c r="AG1153" s="69"/>
      <c r="AH1153"/>
    </row>
    <row r="1154" spans="1:34" x14ac:dyDescent="0.2">
      <c r="A1154"/>
      <c r="B1154"/>
      <c r="C1154"/>
      <c r="D1154"/>
      <c r="E1154"/>
      <c r="F1154" t="str">
        <f>LEFT(AllDaqbookOffsets[[#This Row],[traceability_no]],2)</f>
        <v>K6</v>
      </c>
      <c r="N1154" s="456"/>
      <c r="O1154"/>
      <c r="Z1154" s="460"/>
      <c r="AA1154" s="194"/>
      <c r="AB1154"/>
      <c r="AG1154" s="69"/>
      <c r="AH1154"/>
    </row>
    <row r="1155" spans="1:34" x14ac:dyDescent="0.2">
      <c r="A1155"/>
      <c r="B1155"/>
      <c r="C1155"/>
      <c r="D1155"/>
      <c r="E1155"/>
      <c r="F1155" t="str">
        <f>LEFT(AllDaqbookOffsets[[#This Row],[traceability_no]],2)</f>
        <v>K6</v>
      </c>
      <c r="N1155" s="456"/>
      <c r="O1155"/>
      <c r="Z1155" s="460"/>
      <c r="AA1155" s="194"/>
      <c r="AB1155"/>
      <c r="AG1155" s="69"/>
      <c r="AH1155"/>
    </row>
    <row r="1156" spans="1:34" x14ac:dyDescent="0.2">
      <c r="A1156"/>
      <c r="B1156"/>
      <c r="C1156"/>
      <c r="D1156"/>
      <c r="E1156"/>
      <c r="F1156" t="str">
        <f>LEFT(AllDaqbookOffsets[[#This Row],[traceability_no]],2)</f>
        <v>K6</v>
      </c>
      <c r="N1156" s="456"/>
      <c r="O1156"/>
      <c r="Z1156" s="460"/>
      <c r="AA1156" s="194"/>
      <c r="AB1156"/>
      <c r="AG1156" s="69"/>
      <c r="AH1156"/>
    </row>
    <row r="1157" spans="1:34" x14ac:dyDescent="0.2">
      <c r="A1157"/>
      <c r="B1157"/>
      <c r="C1157"/>
      <c r="D1157"/>
      <c r="E1157"/>
      <c r="F1157" t="str">
        <f>LEFT(AllDaqbookOffsets[[#This Row],[traceability_no]],2)</f>
        <v>K6</v>
      </c>
      <c r="N1157" s="456"/>
      <c r="O1157"/>
      <c r="Z1157" s="460"/>
      <c r="AA1157" s="194"/>
      <c r="AB1157"/>
      <c r="AG1157" s="69"/>
      <c r="AH1157"/>
    </row>
    <row r="1158" spans="1:34" x14ac:dyDescent="0.2">
      <c r="A1158"/>
      <c r="B1158"/>
      <c r="C1158"/>
      <c r="D1158"/>
      <c r="E1158"/>
      <c r="F1158" t="str">
        <f>LEFT(AllDaqbookOffsets[[#This Row],[traceability_no]],2)</f>
        <v>K6</v>
      </c>
      <c r="N1158" s="456"/>
      <c r="O1158"/>
      <c r="Z1158" s="460"/>
      <c r="AA1158" s="194"/>
      <c r="AB1158"/>
      <c r="AG1158" s="69"/>
      <c r="AH1158"/>
    </row>
    <row r="1159" spans="1:34" x14ac:dyDescent="0.2">
      <c r="A1159"/>
      <c r="B1159"/>
      <c r="C1159"/>
      <c r="D1159"/>
      <c r="E1159"/>
      <c r="F1159" t="str">
        <f>LEFT(AllDaqbookOffsets[[#This Row],[traceability_no]],2)</f>
        <v>K6</v>
      </c>
      <c r="N1159" s="456"/>
      <c r="O1159"/>
      <c r="Z1159" s="460"/>
      <c r="AA1159" s="194"/>
      <c r="AB1159"/>
      <c r="AG1159" s="69"/>
      <c r="AH1159"/>
    </row>
    <row r="1160" spans="1:34" x14ac:dyDescent="0.2">
      <c r="A1160"/>
      <c r="B1160"/>
      <c r="C1160"/>
      <c r="D1160"/>
      <c r="E1160"/>
      <c r="F1160" t="str">
        <f>LEFT(AllDaqbookOffsets[[#This Row],[traceability_no]],2)</f>
        <v>K6</v>
      </c>
      <c r="N1160" s="456"/>
      <c r="O1160"/>
      <c r="Z1160" s="460"/>
      <c r="AA1160" s="194"/>
      <c r="AB1160"/>
      <c r="AG1160" s="69"/>
      <c r="AH1160"/>
    </row>
    <row r="1161" spans="1:34" x14ac:dyDescent="0.2">
      <c r="A1161"/>
      <c r="B1161"/>
      <c r="C1161"/>
      <c r="D1161"/>
      <c r="E1161"/>
      <c r="F1161" t="str">
        <f>LEFT(AllDaqbookOffsets[[#This Row],[traceability_no]],2)</f>
        <v>K6</v>
      </c>
      <c r="N1161" s="456"/>
      <c r="O1161"/>
      <c r="Z1161" s="460"/>
      <c r="AA1161" s="194"/>
      <c r="AB1161"/>
      <c r="AG1161" s="69"/>
      <c r="AH1161"/>
    </row>
    <row r="1162" spans="1:34" x14ac:dyDescent="0.2">
      <c r="A1162"/>
      <c r="B1162"/>
      <c r="C1162"/>
      <c r="D1162"/>
      <c r="E1162"/>
      <c r="F1162" t="str">
        <f>LEFT(AllDaqbookOffsets[[#This Row],[traceability_no]],2)</f>
        <v>K6</v>
      </c>
      <c r="N1162" s="456"/>
      <c r="O1162"/>
      <c r="Z1162" s="460"/>
      <c r="AA1162" s="194"/>
      <c r="AB1162"/>
      <c r="AG1162" s="69"/>
      <c r="AH1162"/>
    </row>
    <row r="1163" spans="1:34" x14ac:dyDescent="0.2">
      <c r="A1163"/>
      <c r="B1163"/>
      <c r="C1163"/>
      <c r="D1163"/>
      <c r="E1163"/>
      <c r="F1163" t="str">
        <f>LEFT(AllDaqbookOffsets[[#This Row],[traceability_no]],2)</f>
        <v>K6</v>
      </c>
      <c r="N1163" s="456"/>
      <c r="O1163"/>
      <c r="Z1163" s="460"/>
      <c r="AA1163" s="194"/>
      <c r="AB1163"/>
      <c r="AG1163" s="69"/>
      <c r="AH1163"/>
    </row>
    <row r="1164" spans="1:34" x14ac:dyDescent="0.2">
      <c r="A1164"/>
      <c r="B1164"/>
      <c r="C1164"/>
      <c r="D1164"/>
      <c r="E1164"/>
      <c r="F1164" t="str">
        <f>LEFT(AllDaqbookOffsets[[#This Row],[traceability_no]],2)</f>
        <v>K6</v>
      </c>
      <c r="N1164" s="456"/>
      <c r="O1164"/>
      <c r="Z1164" s="460"/>
      <c r="AA1164" s="194"/>
      <c r="AB1164"/>
      <c r="AG1164" s="69"/>
      <c r="AH1164"/>
    </row>
    <row r="1165" spans="1:34" x14ac:dyDescent="0.2">
      <c r="A1165"/>
      <c r="B1165"/>
      <c r="C1165"/>
      <c r="D1165"/>
      <c r="E1165"/>
      <c r="F1165" t="str">
        <f>LEFT(AllDaqbookOffsets[[#This Row],[traceability_no]],2)</f>
        <v>K6</v>
      </c>
      <c r="N1165" s="456"/>
      <c r="O1165"/>
      <c r="Z1165" s="460"/>
      <c r="AA1165" s="194"/>
      <c r="AB1165"/>
      <c r="AG1165" s="69"/>
      <c r="AH1165"/>
    </row>
    <row r="1166" spans="1:34" x14ac:dyDescent="0.2">
      <c r="A1166"/>
      <c r="B1166"/>
      <c r="C1166"/>
      <c r="D1166"/>
      <c r="E1166"/>
      <c r="F1166" t="str">
        <f>LEFT(AllDaqbookOffsets[[#This Row],[traceability_no]],2)</f>
        <v>K6</v>
      </c>
      <c r="N1166" s="456"/>
      <c r="O1166"/>
      <c r="Z1166" s="460"/>
      <c r="AA1166" s="194"/>
      <c r="AB1166"/>
      <c r="AG1166" s="69"/>
      <c r="AH1166"/>
    </row>
    <row r="1167" spans="1:34" x14ac:dyDescent="0.2">
      <c r="A1167"/>
      <c r="B1167"/>
      <c r="C1167"/>
      <c r="D1167"/>
      <c r="E1167"/>
      <c r="F1167" t="str">
        <f>LEFT(AllDaqbookOffsets[[#This Row],[traceability_no]],2)</f>
        <v>K6</v>
      </c>
      <c r="N1167" s="456"/>
      <c r="O1167"/>
      <c r="Z1167" s="460"/>
      <c r="AA1167" s="194"/>
      <c r="AB1167"/>
      <c r="AG1167" s="69"/>
      <c r="AH1167"/>
    </row>
    <row r="1168" spans="1:34" x14ac:dyDescent="0.2">
      <c r="A1168"/>
      <c r="B1168"/>
      <c r="C1168"/>
      <c r="D1168"/>
      <c r="E1168"/>
      <c r="F1168" t="str">
        <f>LEFT(AllDaqbookOffsets[[#This Row],[traceability_no]],2)</f>
        <v>K6</v>
      </c>
      <c r="N1168" s="456"/>
      <c r="O1168"/>
      <c r="Z1168" s="460"/>
      <c r="AA1168" s="194"/>
      <c r="AB1168"/>
      <c r="AG1168" s="69"/>
      <c r="AH1168"/>
    </row>
    <row r="1169" spans="1:34" x14ac:dyDescent="0.2">
      <c r="A1169"/>
      <c r="B1169"/>
      <c r="C1169"/>
      <c r="D1169"/>
      <c r="E1169"/>
      <c r="F1169" t="str">
        <f>LEFT(AllDaqbookOffsets[[#This Row],[traceability_no]],2)</f>
        <v>K6</v>
      </c>
      <c r="N1169" s="456"/>
      <c r="O1169"/>
      <c r="Z1169" s="460"/>
      <c r="AA1169" s="194"/>
      <c r="AB1169"/>
      <c r="AG1169" s="69"/>
      <c r="AH1169"/>
    </row>
    <row r="1170" spans="1:34" x14ac:dyDescent="0.2">
      <c r="A1170"/>
      <c r="B1170"/>
      <c r="C1170"/>
      <c r="D1170"/>
      <c r="E1170"/>
      <c r="F1170" t="str">
        <f>LEFT(AllDaqbookOffsets[[#This Row],[traceability_no]],2)</f>
        <v>K6</v>
      </c>
      <c r="N1170" s="456"/>
      <c r="O1170"/>
      <c r="Z1170" s="460"/>
      <c r="AA1170" s="194"/>
      <c r="AB1170"/>
      <c r="AG1170" s="69"/>
      <c r="AH1170"/>
    </row>
    <row r="1171" spans="1:34" x14ac:dyDescent="0.2">
      <c r="A1171"/>
      <c r="B1171"/>
      <c r="C1171"/>
      <c r="D1171"/>
      <c r="E1171"/>
      <c r="F1171" t="str">
        <f>LEFT(AllDaqbookOffsets[[#This Row],[traceability_no]],2)</f>
        <v>K6</v>
      </c>
      <c r="N1171" s="456"/>
      <c r="O1171"/>
      <c r="Z1171" s="460"/>
      <c r="AA1171" s="194"/>
      <c r="AB1171"/>
      <c r="AG1171" s="69"/>
      <c r="AH1171"/>
    </row>
    <row r="1172" spans="1:34" x14ac:dyDescent="0.2">
      <c r="A1172"/>
      <c r="B1172"/>
      <c r="C1172"/>
      <c r="D1172"/>
      <c r="E1172"/>
      <c r="F1172" t="str">
        <f>LEFT(AllDaqbookOffsets[[#This Row],[traceability_no]],2)</f>
        <v>K6</v>
      </c>
      <c r="N1172" s="456"/>
      <c r="O1172"/>
      <c r="Z1172" s="460"/>
      <c r="AA1172" s="194"/>
      <c r="AB1172"/>
      <c r="AG1172" s="69"/>
      <c r="AH1172"/>
    </row>
    <row r="1173" spans="1:34" x14ac:dyDescent="0.2">
      <c r="A1173"/>
      <c r="B1173"/>
      <c r="C1173"/>
      <c r="D1173"/>
      <c r="E1173"/>
      <c r="F1173" t="str">
        <f>LEFT(AllDaqbookOffsets[[#This Row],[traceability_no]],2)</f>
        <v>K6</v>
      </c>
      <c r="N1173" s="456"/>
      <c r="O1173"/>
      <c r="Z1173" s="460"/>
      <c r="AA1173" s="194"/>
      <c r="AB1173"/>
      <c r="AG1173" s="69"/>
      <c r="AH1173"/>
    </row>
    <row r="1174" spans="1:34" x14ac:dyDescent="0.2">
      <c r="A1174"/>
      <c r="B1174"/>
      <c r="C1174"/>
      <c r="D1174"/>
      <c r="E1174"/>
      <c r="F1174" t="str">
        <f>LEFT(AllDaqbookOffsets[[#This Row],[traceability_no]],2)</f>
        <v>K6</v>
      </c>
      <c r="N1174" s="456"/>
      <c r="O1174"/>
      <c r="Z1174" s="460"/>
      <c r="AA1174" s="194"/>
      <c r="AB1174"/>
      <c r="AG1174" s="69"/>
      <c r="AH1174"/>
    </row>
    <row r="1175" spans="1:34" x14ac:dyDescent="0.2">
      <c r="A1175"/>
      <c r="B1175"/>
      <c r="C1175"/>
      <c r="D1175"/>
      <c r="E1175"/>
      <c r="F1175" t="str">
        <f>LEFT(AllDaqbookOffsets[[#This Row],[traceability_no]],2)</f>
        <v>K6</v>
      </c>
      <c r="N1175" s="456"/>
      <c r="O1175"/>
      <c r="Z1175" s="460"/>
      <c r="AA1175" s="194"/>
      <c r="AB1175"/>
      <c r="AG1175" s="69"/>
      <c r="AH1175"/>
    </row>
    <row r="1176" spans="1:34" x14ac:dyDescent="0.2">
      <c r="A1176"/>
      <c r="B1176"/>
      <c r="C1176"/>
      <c r="D1176"/>
      <c r="E1176"/>
      <c r="F1176" t="str">
        <f>LEFT(AllDaqbookOffsets[[#This Row],[traceability_no]],2)</f>
        <v>K6</v>
      </c>
      <c r="N1176" s="456"/>
      <c r="O1176"/>
      <c r="Z1176" s="460"/>
      <c r="AA1176" s="194"/>
      <c r="AB1176"/>
      <c r="AG1176" s="69"/>
      <c r="AH1176"/>
    </row>
    <row r="1177" spans="1:34" x14ac:dyDescent="0.2">
      <c r="A1177"/>
      <c r="B1177"/>
      <c r="C1177"/>
      <c r="D1177"/>
      <c r="E1177"/>
      <c r="F1177" t="str">
        <f>LEFT(AllDaqbookOffsets[[#This Row],[traceability_no]],2)</f>
        <v>K6</v>
      </c>
      <c r="N1177" s="456"/>
      <c r="O1177"/>
      <c r="Z1177" s="460"/>
      <c r="AA1177" s="194"/>
      <c r="AB1177"/>
      <c r="AG1177" s="69"/>
      <c r="AH1177"/>
    </row>
    <row r="1178" spans="1:34" x14ac:dyDescent="0.2">
      <c r="A1178"/>
      <c r="B1178"/>
      <c r="C1178"/>
      <c r="D1178"/>
      <c r="E1178"/>
      <c r="F1178" t="str">
        <f>LEFT(AllDaqbookOffsets[[#This Row],[traceability_no]],2)</f>
        <v>K6</v>
      </c>
      <c r="N1178" s="456"/>
      <c r="O1178"/>
      <c r="Z1178" s="460"/>
      <c r="AA1178" s="194"/>
      <c r="AB1178"/>
      <c r="AG1178" s="69"/>
      <c r="AH1178"/>
    </row>
    <row r="1179" spans="1:34" x14ac:dyDescent="0.2">
      <c r="A1179"/>
      <c r="B1179"/>
      <c r="C1179"/>
      <c r="D1179"/>
      <c r="E1179"/>
      <c r="F1179" t="str">
        <f>LEFT(AllDaqbookOffsets[[#This Row],[traceability_no]],2)</f>
        <v>K6</v>
      </c>
      <c r="N1179" s="456"/>
      <c r="O1179"/>
      <c r="Z1179" s="460"/>
      <c r="AA1179" s="194"/>
      <c r="AB1179"/>
      <c r="AG1179" s="69"/>
      <c r="AH1179"/>
    </row>
    <row r="1180" spans="1:34" x14ac:dyDescent="0.2">
      <c r="A1180"/>
      <c r="B1180"/>
      <c r="C1180"/>
      <c r="D1180"/>
      <c r="E1180"/>
      <c r="F1180" t="str">
        <f>LEFT(AllDaqbookOffsets[[#This Row],[traceability_no]],2)</f>
        <v>K6</v>
      </c>
      <c r="N1180" s="456"/>
      <c r="O1180"/>
      <c r="Z1180" s="460"/>
      <c r="AA1180" s="194"/>
      <c r="AB1180"/>
      <c r="AG1180" s="69"/>
      <c r="AH1180"/>
    </row>
    <row r="1181" spans="1:34" x14ac:dyDescent="0.2">
      <c r="A1181"/>
      <c r="B1181"/>
      <c r="C1181"/>
      <c r="D1181"/>
      <c r="E1181"/>
      <c r="F1181" t="str">
        <f>LEFT(AllDaqbookOffsets[[#This Row],[traceability_no]],2)</f>
        <v>K6</v>
      </c>
      <c r="N1181" s="456"/>
      <c r="O1181"/>
      <c r="Z1181" s="460"/>
      <c r="AA1181" s="194"/>
      <c r="AB1181"/>
      <c r="AG1181" s="69"/>
      <c r="AH1181"/>
    </row>
    <row r="1182" spans="1:34" x14ac:dyDescent="0.2">
      <c r="A1182"/>
      <c r="B1182"/>
      <c r="C1182"/>
      <c r="D1182"/>
      <c r="E1182"/>
      <c r="F1182" t="str">
        <f>LEFT(AllDaqbookOffsets[[#This Row],[traceability_no]],2)</f>
        <v>K6</v>
      </c>
      <c r="N1182" s="456"/>
      <c r="O1182"/>
      <c r="Z1182" s="460"/>
      <c r="AA1182" s="194"/>
      <c r="AB1182"/>
      <c r="AG1182" s="69"/>
      <c r="AH1182"/>
    </row>
    <row r="1183" spans="1:34" x14ac:dyDescent="0.2">
      <c r="A1183"/>
      <c r="B1183"/>
      <c r="C1183"/>
      <c r="D1183"/>
      <c r="E1183"/>
      <c r="F1183" t="str">
        <f>LEFT(AllDaqbookOffsets[[#This Row],[traceability_no]],2)</f>
        <v>K6</v>
      </c>
      <c r="N1183" s="456"/>
      <c r="O1183"/>
      <c r="Z1183" s="460"/>
      <c r="AA1183" s="194"/>
      <c r="AB1183"/>
      <c r="AG1183" s="69"/>
      <c r="AH1183"/>
    </row>
    <row r="1184" spans="1:34" x14ac:dyDescent="0.2">
      <c r="A1184"/>
      <c r="B1184"/>
      <c r="C1184"/>
      <c r="D1184"/>
      <c r="E1184"/>
      <c r="F1184" t="str">
        <f>LEFT(AllDaqbookOffsets[[#This Row],[traceability_no]],2)</f>
        <v>K6</v>
      </c>
      <c r="N1184" s="456"/>
      <c r="O1184"/>
      <c r="Z1184" s="460"/>
      <c r="AA1184" s="194"/>
      <c r="AB1184"/>
      <c r="AG1184" s="69"/>
      <c r="AH1184"/>
    </row>
    <row r="1185" spans="1:34" x14ac:dyDescent="0.2">
      <c r="A1185"/>
      <c r="B1185"/>
      <c r="C1185"/>
      <c r="D1185"/>
      <c r="E1185"/>
      <c r="F1185" t="str">
        <f>LEFT(AllDaqbookOffsets[[#This Row],[traceability_no]],2)</f>
        <v>K6</v>
      </c>
      <c r="N1185" s="456"/>
      <c r="O1185"/>
      <c r="Z1185" s="460"/>
      <c r="AA1185" s="194"/>
      <c r="AB1185"/>
      <c r="AG1185" s="69"/>
      <c r="AH1185"/>
    </row>
    <row r="1186" spans="1:34" x14ac:dyDescent="0.2">
      <c r="A1186"/>
      <c r="B1186"/>
      <c r="C1186"/>
      <c r="D1186"/>
      <c r="E1186"/>
      <c r="F1186" t="str">
        <f>LEFT(AllDaqbookOffsets[[#This Row],[traceability_no]],2)</f>
        <v>K6</v>
      </c>
      <c r="N1186" s="456"/>
      <c r="O1186"/>
      <c r="Z1186" s="460"/>
      <c r="AA1186" s="194"/>
      <c r="AB1186"/>
      <c r="AG1186" s="69"/>
      <c r="AH1186"/>
    </row>
    <row r="1187" spans="1:34" x14ac:dyDescent="0.2">
      <c r="A1187"/>
      <c r="B1187"/>
      <c r="C1187"/>
      <c r="D1187"/>
      <c r="E1187"/>
      <c r="F1187" t="str">
        <f>LEFT(AllDaqbookOffsets[[#This Row],[traceability_no]],2)</f>
        <v>K6</v>
      </c>
      <c r="N1187" s="456"/>
      <c r="O1187"/>
      <c r="Z1187" s="460"/>
      <c r="AA1187" s="194"/>
      <c r="AB1187"/>
      <c r="AG1187" s="69"/>
      <c r="AH1187"/>
    </row>
    <row r="1188" spans="1:34" x14ac:dyDescent="0.2">
      <c r="A1188"/>
      <c r="B1188"/>
      <c r="C1188"/>
      <c r="D1188"/>
      <c r="E1188"/>
      <c r="F1188" t="str">
        <f>LEFT(AllDaqbookOffsets[[#This Row],[traceability_no]],2)</f>
        <v>K6</v>
      </c>
      <c r="N1188" s="456"/>
      <c r="O1188"/>
      <c r="Z1188" s="460"/>
      <c r="AA1188" s="194"/>
      <c r="AB1188"/>
      <c r="AG1188" s="69"/>
      <c r="AH1188"/>
    </row>
    <row r="1189" spans="1:34" x14ac:dyDescent="0.2">
      <c r="A1189"/>
      <c r="B1189"/>
      <c r="C1189"/>
      <c r="D1189"/>
      <c r="E1189"/>
      <c r="F1189" t="str">
        <f>LEFT(AllDaqbookOffsets[[#This Row],[traceability_no]],2)</f>
        <v>K6</v>
      </c>
      <c r="N1189" s="456"/>
      <c r="O1189"/>
      <c r="Z1189" s="460"/>
      <c r="AA1189" s="194"/>
      <c r="AB1189"/>
      <c r="AG1189" s="69"/>
      <c r="AH1189"/>
    </row>
    <row r="1190" spans="1:34" x14ac:dyDescent="0.2">
      <c r="A1190"/>
      <c r="B1190"/>
      <c r="C1190"/>
      <c r="D1190"/>
      <c r="E1190"/>
      <c r="F1190" t="str">
        <f>LEFT(AllDaqbookOffsets[[#This Row],[traceability_no]],2)</f>
        <v>K6</v>
      </c>
      <c r="N1190" s="456"/>
      <c r="O1190"/>
      <c r="Z1190" s="460"/>
      <c r="AA1190" s="194"/>
      <c r="AB1190"/>
      <c r="AG1190" s="69"/>
      <c r="AH1190"/>
    </row>
    <row r="1191" spans="1:34" x14ac:dyDescent="0.2">
      <c r="A1191"/>
      <c r="B1191"/>
      <c r="C1191"/>
      <c r="D1191"/>
      <c r="E1191"/>
      <c r="F1191" t="str">
        <f>LEFT(AllDaqbookOffsets[[#This Row],[traceability_no]],2)</f>
        <v>K6</v>
      </c>
      <c r="N1191" s="456"/>
      <c r="O1191"/>
      <c r="Z1191" s="460"/>
      <c r="AA1191" s="194"/>
      <c r="AB1191"/>
      <c r="AG1191" s="69"/>
      <c r="AH1191"/>
    </row>
    <row r="1192" spans="1:34" x14ac:dyDescent="0.2">
      <c r="A1192"/>
      <c r="B1192"/>
      <c r="C1192"/>
      <c r="D1192"/>
      <c r="E1192"/>
      <c r="F1192" t="str">
        <f>LEFT(AllDaqbookOffsets[[#This Row],[traceability_no]],2)</f>
        <v>K6</v>
      </c>
      <c r="N1192" s="456"/>
      <c r="O1192"/>
      <c r="Z1192" s="460"/>
      <c r="AA1192" s="194"/>
      <c r="AB1192"/>
      <c r="AG1192" s="69"/>
      <c r="AH1192"/>
    </row>
    <row r="1193" spans="1:34" x14ac:dyDescent="0.2">
      <c r="A1193"/>
      <c r="B1193"/>
      <c r="C1193"/>
      <c r="D1193"/>
      <c r="E1193"/>
      <c r="F1193" t="str">
        <f>LEFT(AllDaqbookOffsets[[#This Row],[traceability_no]],2)</f>
        <v>K6</v>
      </c>
      <c r="N1193" s="456"/>
      <c r="O1193"/>
      <c r="Z1193" s="460"/>
      <c r="AA1193" s="194"/>
      <c r="AB1193"/>
      <c r="AG1193" s="69"/>
      <c r="AH1193"/>
    </row>
    <row r="1194" spans="1:34" x14ac:dyDescent="0.2">
      <c r="A1194"/>
      <c r="B1194"/>
      <c r="C1194"/>
      <c r="D1194"/>
      <c r="E1194"/>
      <c r="F1194" t="str">
        <f>LEFT(AllDaqbookOffsets[[#This Row],[traceability_no]],2)</f>
        <v>K6</v>
      </c>
      <c r="N1194" s="456"/>
      <c r="O1194"/>
      <c r="Z1194" s="460"/>
      <c r="AA1194" s="194"/>
      <c r="AB1194"/>
      <c r="AG1194" s="69"/>
      <c r="AH1194"/>
    </row>
    <row r="1195" spans="1:34" x14ac:dyDescent="0.2">
      <c r="A1195"/>
      <c r="B1195"/>
      <c r="C1195"/>
      <c r="D1195"/>
      <c r="E1195"/>
      <c r="F1195" t="str">
        <f>LEFT(AllDaqbookOffsets[[#This Row],[traceability_no]],2)</f>
        <v>K6</v>
      </c>
      <c r="N1195" s="456"/>
      <c r="O1195"/>
      <c r="Z1195" s="460"/>
      <c r="AA1195" s="194"/>
      <c r="AB1195"/>
      <c r="AG1195" s="69"/>
      <c r="AH1195"/>
    </row>
    <row r="1196" spans="1:34" x14ac:dyDescent="0.2">
      <c r="A1196"/>
      <c r="B1196"/>
      <c r="C1196"/>
      <c r="D1196"/>
      <c r="E1196"/>
      <c r="F1196" t="str">
        <f>LEFT(AllDaqbookOffsets[[#This Row],[traceability_no]],2)</f>
        <v>K6</v>
      </c>
      <c r="N1196" s="456"/>
      <c r="O1196"/>
      <c r="Z1196" s="460"/>
      <c r="AA1196" s="194"/>
      <c r="AB1196"/>
      <c r="AG1196" s="69"/>
      <c r="AH1196"/>
    </row>
    <row r="1197" spans="1:34" x14ac:dyDescent="0.2">
      <c r="A1197"/>
      <c r="B1197"/>
      <c r="C1197"/>
      <c r="D1197"/>
      <c r="E1197"/>
      <c r="F1197" t="str">
        <f>LEFT(AllDaqbookOffsets[[#This Row],[traceability_no]],2)</f>
        <v>K6</v>
      </c>
      <c r="N1197" s="456"/>
      <c r="O1197"/>
      <c r="Z1197" s="460"/>
      <c r="AA1197" s="194"/>
      <c r="AB1197"/>
      <c r="AG1197" s="69"/>
      <c r="AH1197"/>
    </row>
    <row r="1198" spans="1:34" x14ac:dyDescent="0.2">
      <c r="A1198"/>
      <c r="B1198"/>
      <c r="C1198"/>
      <c r="D1198"/>
      <c r="E1198"/>
      <c r="F1198" t="str">
        <f>LEFT(AllDaqbookOffsets[[#This Row],[traceability_no]],2)</f>
        <v>K6</v>
      </c>
      <c r="N1198" s="456"/>
      <c r="O1198"/>
      <c r="Z1198" s="460"/>
      <c r="AA1198" s="194"/>
      <c r="AB1198"/>
      <c r="AG1198" s="69"/>
      <c r="AH1198"/>
    </row>
    <row r="1199" spans="1:34" x14ac:dyDescent="0.2">
      <c r="A1199"/>
      <c r="B1199"/>
      <c r="C1199"/>
      <c r="D1199"/>
      <c r="E1199"/>
      <c r="F1199" t="str">
        <f>LEFT(AllDaqbookOffsets[[#This Row],[traceability_no]],2)</f>
        <v>K6</v>
      </c>
      <c r="N1199" s="456"/>
      <c r="O1199"/>
      <c r="Z1199" s="460"/>
      <c r="AA1199" s="194"/>
      <c r="AB1199"/>
      <c r="AG1199" s="69"/>
      <c r="AH1199"/>
    </row>
    <row r="1200" spans="1:34" x14ac:dyDescent="0.2">
      <c r="A1200"/>
      <c r="B1200"/>
      <c r="C1200"/>
      <c r="D1200"/>
      <c r="E1200"/>
      <c r="F1200" t="str">
        <f>LEFT(AllDaqbookOffsets[[#This Row],[traceability_no]],2)</f>
        <v>K6</v>
      </c>
      <c r="N1200" s="456"/>
      <c r="O1200"/>
      <c r="Z1200" s="460"/>
      <c r="AA1200" s="194"/>
      <c r="AB1200"/>
      <c r="AG1200" s="69"/>
      <c r="AH1200"/>
    </row>
    <row r="1201" spans="1:34" x14ac:dyDescent="0.2">
      <c r="A1201"/>
      <c r="B1201"/>
      <c r="C1201"/>
      <c r="D1201"/>
      <c r="E1201"/>
      <c r="F1201" t="str">
        <f>LEFT(AllDaqbookOffsets[[#This Row],[traceability_no]],2)</f>
        <v>K6</v>
      </c>
      <c r="N1201" s="456"/>
      <c r="O1201"/>
      <c r="Z1201" s="460"/>
      <c r="AA1201" s="194"/>
      <c r="AB1201"/>
      <c r="AG1201" s="69"/>
      <c r="AH1201"/>
    </row>
    <row r="1202" spans="1:34" x14ac:dyDescent="0.2">
      <c r="A1202"/>
      <c r="B1202"/>
      <c r="C1202"/>
      <c r="D1202"/>
      <c r="E1202"/>
      <c r="F1202" t="str">
        <f>LEFT(AllDaqbookOffsets[[#This Row],[traceability_no]],2)</f>
        <v>K6</v>
      </c>
      <c r="N1202" s="456"/>
      <c r="O1202"/>
      <c r="Z1202" s="460"/>
      <c r="AA1202" s="194"/>
      <c r="AB1202"/>
      <c r="AG1202" s="69"/>
      <c r="AH1202"/>
    </row>
    <row r="1203" spans="1:34" x14ac:dyDescent="0.2">
      <c r="A1203"/>
      <c r="B1203"/>
      <c r="C1203"/>
      <c r="D1203"/>
      <c r="E1203"/>
      <c r="F1203" t="str">
        <f>LEFT(AllDaqbookOffsets[[#This Row],[traceability_no]],2)</f>
        <v>K6</v>
      </c>
      <c r="N1203" s="456"/>
      <c r="O1203"/>
      <c r="Z1203" s="460"/>
      <c r="AA1203" s="194"/>
      <c r="AB1203"/>
      <c r="AG1203" s="69"/>
      <c r="AH1203"/>
    </row>
    <row r="1204" spans="1:34" x14ac:dyDescent="0.2">
      <c r="A1204"/>
      <c r="B1204"/>
      <c r="C1204"/>
      <c r="D1204"/>
      <c r="E1204"/>
      <c r="F1204" t="str">
        <f>LEFT(AllDaqbookOffsets[[#This Row],[traceability_no]],2)</f>
        <v>K6</v>
      </c>
      <c r="N1204" s="456"/>
      <c r="O1204"/>
      <c r="Z1204" s="460"/>
      <c r="AA1204" s="194"/>
      <c r="AB1204"/>
      <c r="AG1204" s="69"/>
      <c r="AH1204"/>
    </row>
    <row r="1205" spans="1:34" x14ac:dyDescent="0.2">
      <c r="A1205"/>
      <c r="B1205"/>
      <c r="C1205"/>
      <c r="D1205"/>
      <c r="E1205"/>
      <c r="F1205" t="str">
        <f>LEFT(AllDaqbookOffsets[[#This Row],[traceability_no]],2)</f>
        <v>K6</v>
      </c>
      <c r="N1205" s="456"/>
      <c r="O1205"/>
      <c r="Z1205" s="460"/>
      <c r="AA1205" s="194"/>
      <c r="AB1205"/>
      <c r="AG1205" s="69"/>
      <c r="AH1205"/>
    </row>
    <row r="1206" spans="1:34" x14ac:dyDescent="0.2">
      <c r="A1206"/>
      <c r="B1206"/>
      <c r="C1206"/>
      <c r="D1206"/>
      <c r="E1206"/>
      <c r="F1206" t="str">
        <f>LEFT(AllDaqbookOffsets[[#This Row],[traceability_no]],2)</f>
        <v>K6</v>
      </c>
      <c r="N1206" s="456"/>
      <c r="O1206"/>
      <c r="Z1206" s="460"/>
      <c r="AA1206" s="194"/>
      <c r="AB1206"/>
      <c r="AG1206" s="69"/>
      <c r="AH1206"/>
    </row>
    <row r="1207" spans="1:34" x14ac:dyDescent="0.2">
      <c r="A1207"/>
      <c r="B1207"/>
      <c r="C1207"/>
      <c r="D1207"/>
      <c r="E1207"/>
      <c r="F1207" t="str">
        <f>LEFT(AllDaqbookOffsets[[#This Row],[traceability_no]],2)</f>
        <v>K6</v>
      </c>
      <c r="N1207" s="456"/>
      <c r="O1207"/>
      <c r="Z1207" s="460"/>
      <c r="AA1207" s="194"/>
      <c r="AB1207"/>
      <c r="AG1207" s="69"/>
      <c r="AH1207"/>
    </row>
    <row r="1208" spans="1:34" x14ac:dyDescent="0.2">
      <c r="A1208"/>
      <c r="B1208"/>
      <c r="C1208"/>
      <c r="D1208"/>
      <c r="E1208"/>
      <c r="F1208" t="str">
        <f>LEFT(AllDaqbookOffsets[[#This Row],[traceability_no]],2)</f>
        <v>K6</v>
      </c>
      <c r="N1208" s="456"/>
      <c r="O1208"/>
      <c r="Z1208" s="460"/>
      <c r="AA1208" s="194"/>
      <c r="AB1208"/>
      <c r="AG1208" s="69"/>
      <c r="AH1208"/>
    </row>
    <row r="1209" spans="1:34" x14ac:dyDescent="0.2">
      <c r="A1209"/>
      <c r="B1209"/>
      <c r="C1209"/>
      <c r="D1209"/>
      <c r="E1209"/>
      <c r="F1209" t="str">
        <f>LEFT(AllDaqbookOffsets[[#This Row],[traceability_no]],2)</f>
        <v>K6</v>
      </c>
      <c r="N1209" s="456"/>
      <c r="O1209"/>
      <c r="Z1209" s="460"/>
      <c r="AA1209" s="194"/>
      <c r="AB1209"/>
      <c r="AG1209" s="69"/>
      <c r="AH1209"/>
    </row>
    <row r="1210" spans="1:34" x14ac:dyDescent="0.2">
      <c r="A1210"/>
      <c r="B1210"/>
      <c r="C1210"/>
      <c r="D1210"/>
      <c r="E1210"/>
      <c r="F1210" t="str">
        <f>LEFT(AllDaqbookOffsets[[#This Row],[traceability_no]],2)</f>
        <v>K6</v>
      </c>
      <c r="N1210" s="456"/>
      <c r="O1210"/>
      <c r="Z1210" s="460"/>
      <c r="AA1210" s="194"/>
      <c r="AB1210"/>
      <c r="AG1210" s="69"/>
      <c r="AH1210"/>
    </row>
    <row r="1211" spans="1:34" x14ac:dyDescent="0.2">
      <c r="A1211"/>
      <c r="B1211"/>
      <c r="C1211"/>
      <c r="D1211"/>
      <c r="E1211"/>
      <c r="F1211" t="str">
        <f>LEFT(AllDaqbookOffsets[[#This Row],[traceability_no]],2)</f>
        <v>K6</v>
      </c>
      <c r="N1211" s="456"/>
      <c r="O1211"/>
      <c r="Z1211" s="460"/>
      <c r="AA1211" s="194"/>
      <c r="AB1211"/>
      <c r="AG1211" s="69"/>
      <c r="AH1211"/>
    </row>
    <row r="1212" spans="1:34" x14ac:dyDescent="0.2">
      <c r="A1212"/>
      <c r="B1212"/>
      <c r="C1212"/>
      <c r="D1212"/>
      <c r="E1212"/>
      <c r="F1212" t="str">
        <f>LEFT(AllDaqbookOffsets[[#This Row],[traceability_no]],2)</f>
        <v>K6</v>
      </c>
      <c r="N1212" s="456"/>
      <c r="O1212"/>
      <c r="Z1212" s="460"/>
      <c r="AA1212" s="194"/>
      <c r="AB1212"/>
      <c r="AG1212" s="69"/>
      <c r="AH1212"/>
    </row>
    <row r="1213" spans="1:34" x14ac:dyDescent="0.2">
      <c r="A1213"/>
      <c r="B1213"/>
      <c r="C1213"/>
      <c r="D1213"/>
      <c r="E1213"/>
      <c r="F1213" t="str">
        <f>LEFT(AllDaqbookOffsets[[#This Row],[traceability_no]],2)</f>
        <v>K6</v>
      </c>
      <c r="N1213" s="456"/>
      <c r="O1213"/>
      <c r="Z1213" s="460"/>
      <c r="AA1213" s="194"/>
      <c r="AB1213"/>
      <c r="AG1213" s="69"/>
      <c r="AH1213"/>
    </row>
    <row r="1214" spans="1:34" x14ac:dyDescent="0.2">
      <c r="A1214"/>
      <c r="B1214"/>
      <c r="C1214"/>
      <c r="D1214"/>
      <c r="E1214"/>
      <c r="F1214" t="str">
        <f>LEFT(AllDaqbookOffsets[[#This Row],[traceability_no]],2)</f>
        <v>K6</v>
      </c>
      <c r="N1214" s="456"/>
      <c r="O1214"/>
      <c r="Z1214" s="460"/>
      <c r="AA1214" s="194"/>
      <c r="AB1214"/>
      <c r="AG1214" s="69"/>
      <c r="AH1214"/>
    </row>
    <row r="1215" spans="1:34" x14ac:dyDescent="0.2">
      <c r="A1215"/>
      <c r="B1215"/>
      <c r="C1215"/>
      <c r="D1215"/>
      <c r="E1215"/>
      <c r="F1215" t="str">
        <f>LEFT(AllDaqbookOffsets[[#This Row],[traceability_no]],2)</f>
        <v>K6</v>
      </c>
      <c r="N1215" s="456"/>
      <c r="O1215"/>
      <c r="Z1215" s="460"/>
      <c r="AA1215" s="194"/>
      <c r="AB1215"/>
      <c r="AG1215" s="69"/>
      <c r="AH1215"/>
    </row>
    <row r="1216" spans="1:34" x14ac:dyDescent="0.2">
      <c r="A1216"/>
      <c r="B1216"/>
      <c r="C1216"/>
      <c r="D1216"/>
      <c r="E1216"/>
      <c r="F1216" t="str">
        <f>LEFT(AllDaqbookOffsets[[#This Row],[traceability_no]],2)</f>
        <v>K6</v>
      </c>
      <c r="N1216" s="456"/>
      <c r="O1216"/>
      <c r="Z1216" s="460"/>
      <c r="AA1216" s="194"/>
      <c r="AB1216"/>
      <c r="AG1216" s="69"/>
      <c r="AH1216"/>
    </row>
    <row r="1217" spans="1:34" x14ac:dyDescent="0.2">
      <c r="A1217"/>
      <c r="B1217"/>
      <c r="C1217"/>
      <c r="D1217"/>
      <c r="E1217"/>
      <c r="F1217" t="str">
        <f>LEFT(AllDaqbookOffsets[[#This Row],[traceability_no]],2)</f>
        <v>K6</v>
      </c>
      <c r="N1217" s="456"/>
      <c r="O1217"/>
      <c r="Z1217" s="460"/>
      <c r="AA1217" s="194"/>
      <c r="AB1217"/>
      <c r="AG1217" s="69"/>
      <c r="AH1217"/>
    </row>
    <row r="1218" spans="1:34" x14ac:dyDescent="0.2">
      <c r="A1218"/>
      <c r="B1218"/>
      <c r="C1218"/>
      <c r="D1218"/>
      <c r="E1218"/>
      <c r="F1218" t="str">
        <f>LEFT(AllDaqbookOffsets[[#This Row],[traceability_no]],2)</f>
        <v>K6</v>
      </c>
      <c r="N1218" s="456"/>
      <c r="O1218"/>
      <c r="Z1218" s="460"/>
      <c r="AA1218" s="194"/>
      <c r="AB1218"/>
      <c r="AG1218" s="69"/>
      <c r="AH1218"/>
    </row>
    <row r="1219" spans="1:34" x14ac:dyDescent="0.2">
      <c r="A1219"/>
      <c r="B1219"/>
      <c r="C1219"/>
      <c r="D1219"/>
      <c r="E1219"/>
      <c r="F1219" t="str">
        <f>LEFT(AllDaqbookOffsets[[#This Row],[traceability_no]],2)</f>
        <v>K6</v>
      </c>
      <c r="N1219" s="456"/>
      <c r="O1219"/>
      <c r="Z1219" s="460"/>
      <c r="AA1219" s="194"/>
      <c r="AB1219"/>
      <c r="AG1219" s="69"/>
      <c r="AH1219"/>
    </row>
    <row r="1220" spans="1:34" x14ac:dyDescent="0.2">
      <c r="A1220"/>
      <c r="B1220"/>
      <c r="C1220"/>
      <c r="D1220"/>
      <c r="E1220"/>
      <c r="F1220" t="str">
        <f>LEFT(AllDaqbookOffsets[[#This Row],[traceability_no]],2)</f>
        <v>K6</v>
      </c>
      <c r="N1220" s="456"/>
      <c r="O1220"/>
      <c r="Z1220" s="460"/>
      <c r="AA1220" s="194"/>
      <c r="AB1220"/>
      <c r="AG1220" s="69"/>
      <c r="AH1220"/>
    </row>
    <row r="1221" spans="1:34" x14ac:dyDescent="0.2">
      <c r="A1221"/>
      <c r="B1221"/>
      <c r="C1221"/>
      <c r="D1221"/>
      <c r="E1221"/>
      <c r="F1221" t="str">
        <f>LEFT(AllDaqbookOffsets[[#This Row],[traceability_no]],2)</f>
        <v>K6</v>
      </c>
      <c r="N1221" s="456"/>
      <c r="O1221"/>
      <c r="Z1221" s="460"/>
      <c r="AA1221" s="194"/>
      <c r="AB1221"/>
      <c r="AG1221" s="69"/>
      <c r="AH1221"/>
    </row>
    <row r="1222" spans="1:34" x14ac:dyDescent="0.2">
      <c r="A1222"/>
      <c r="B1222"/>
      <c r="C1222"/>
      <c r="D1222"/>
      <c r="E1222"/>
      <c r="F1222" t="str">
        <f>LEFT(AllDaqbookOffsets[[#This Row],[traceability_no]],2)</f>
        <v>K6</v>
      </c>
      <c r="N1222" s="456"/>
      <c r="O1222"/>
      <c r="Z1222" s="460"/>
      <c r="AA1222" s="194"/>
      <c r="AB1222"/>
      <c r="AG1222" s="69"/>
      <c r="AH1222"/>
    </row>
    <row r="1223" spans="1:34" x14ac:dyDescent="0.2">
      <c r="A1223"/>
      <c r="B1223"/>
      <c r="C1223"/>
      <c r="D1223"/>
      <c r="E1223"/>
      <c r="F1223" t="str">
        <f>LEFT(AllDaqbookOffsets[[#This Row],[traceability_no]],2)</f>
        <v>K6</v>
      </c>
      <c r="N1223" s="456"/>
      <c r="O1223"/>
      <c r="Z1223" s="460"/>
      <c r="AA1223" s="194"/>
      <c r="AB1223"/>
      <c r="AG1223" s="69"/>
      <c r="AH1223"/>
    </row>
    <row r="1224" spans="1:34" x14ac:dyDescent="0.2">
      <c r="A1224"/>
      <c r="B1224"/>
      <c r="C1224"/>
      <c r="D1224"/>
      <c r="E1224"/>
      <c r="F1224" t="str">
        <f>LEFT(AllDaqbookOffsets[[#This Row],[traceability_no]],2)</f>
        <v>K6</v>
      </c>
      <c r="N1224" s="456"/>
      <c r="O1224"/>
      <c r="Z1224" s="460"/>
      <c r="AA1224" s="194"/>
      <c r="AB1224"/>
      <c r="AG1224" s="69"/>
      <c r="AH1224"/>
    </row>
    <row r="1225" spans="1:34" x14ac:dyDescent="0.2">
      <c r="A1225"/>
      <c r="B1225"/>
      <c r="C1225"/>
      <c r="D1225"/>
      <c r="E1225"/>
      <c r="F1225" t="str">
        <f>LEFT(AllDaqbookOffsets[[#This Row],[traceability_no]],2)</f>
        <v>K6</v>
      </c>
      <c r="N1225" s="456"/>
      <c r="O1225"/>
      <c r="Z1225" s="460"/>
      <c r="AA1225" s="194"/>
      <c r="AB1225"/>
      <c r="AG1225" s="69"/>
      <c r="AH1225"/>
    </row>
    <row r="1226" spans="1:34" x14ac:dyDescent="0.2">
      <c r="A1226"/>
      <c r="B1226"/>
      <c r="C1226"/>
      <c r="D1226"/>
      <c r="E1226"/>
      <c r="F1226" t="str">
        <f>LEFT(AllDaqbookOffsets[[#This Row],[traceability_no]],2)</f>
        <v>K6</v>
      </c>
      <c r="N1226" s="456"/>
      <c r="O1226"/>
      <c r="Z1226" s="460"/>
      <c r="AA1226" s="194"/>
      <c r="AB1226"/>
      <c r="AG1226" s="69"/>
      <c r="AH1226"/>
    </row>
    <row r="1227" spans="1:34" x14ac:dyDescent="0.2">
      <c r="A1227"/>
      <c r="B1227"/>
      <c r="C1227"/>
      <c r="D1227"/>
      <c r="E1227"/>
      <c r="F1227" t="str">
        <f>LEFT(AllDaqbookOffsets[[#This Row],[traceability_no]],2)</f>
        <v>K6</v>
      </c>
      <c r="N1227" s="456"/>
      <c r="O1227"/>
      <c r="Z1227" s="460"/>
      <c r="AA1227" s="194"/>
      <c r="AB1227"/>
      <c r="AG1227" s="69"/>
      <c r="AH1227"/>
    </row>
    <row r="1228" spans="1:34" x14ac:dyDescent="0.2">
      <c r="A1228"/>
      <c r="B1228"/>
      <c r="C1228"/>
      <c r="D1228"/>
      <c r="E1228"/>
      <c r="F1228" t="str">
        <f>LEFT(AllDaqbookOffsets[[#This Row],[traceability_no]],2)</f>
        <v>K6</v>
      </c>
      <c r="N1228" s="456"/>
      <c r="O1228"/>
      <c r="Z1228" s="460"/>
      <c r="AA1228" s="194"/>
      <c r="AB1228"/>
      <c r="AG1228" s="69"/>
      <c r="AH1228"/>
    </row>
    <row r="1229" spans="1:34" x14ac:dyDescent="0.2">
      <c r="A1229"/>
      <c r="B1229"/>
      <c r="C1229"/>
      <c r="D1229"/>
      <c r="E1229"/>
      <c r="F1229" t="str">
        <f>LEFT(AllDaqbookOffsets[[#This Row],[traceability_no]],2)</f>
        <v>K6</v>
      </c>
      <c r="N1229" s="456"/>
      <c r="O1229"/>
      <c r="Z1229" s="460"/>
      <c r="AA1229" s="194"/>
      <c r="AB1229"/>
      <c r="AG1229" s="69"/>
      <c r="AH1229"/>
    </row>
    <row r="1230" spans="1:34" x14ac:dyDescent="0.2">
      <c r="A1230"/>
      <c r="B1230"/>
      <c r="C1230"/>
      <c r="D1230"/>
      <c r="E1230"/>
      <c r="F1230" t="str">
        <f>LEFT(AllDaqbookOffsets[[#This Row],[traceability_no]],2)</f>
        <v>K6</v>
      </c>
      <c r="N1230" s="456"/>
      <c r="O1230"/>
      <c r="Z1230" s="460"/>
      <c r="AA1230" s="194"/>
      <c r="AB1230"/>
      <c r="AG1230" s="69"/>
      <c r="AH1230"/>
    </row>
    <row r="1231" spans="1:34" x14ac:dyDescent="0.2">
      <c r="A1231"/>
      <c r="B1231"/>
      <c r="C1231"/>
      <c r="D1231"/>
      <c r="E1231"/>
      <c r="F1231" t="str">
        <f>LEFT(AllDaqbookOffsets[[#This Row],[traceability_no]],2)</f>
        <v>K6</v>
      </c>
      <c r="N1231" s="456"/>
      <c r="O1231"/>
      <c r="Z1231" s="460"/>
      <c r="AA1231" s="194"/>
      <c r="AB1231"/>
      <c r="AG1231" s="69"/>
      <c r="AH1231"/>
    </row>
    <row r="1232" spans="1:34" x14ac:dyDescent="0.2">
      <c r="A1232"/>
      <c r="B1232"/>
      <c r="C1232"/>
      <c r="D1232"/>
      <c r="E1232"/>
      <c r="F1232" t="str">
        <f>LEFT(AllDaqbookOffsets[[#This Row],[traceability_no]],2)</f>
        <v>K6</v>
      </c>
      <c r="N1232" s="456"/>
      <c r="O1232"/>
      <c r="Z1232" s="460"/>
      <c r="AA1232" s="194"/>
      <c r="AB1232"/>
      <c r="AG1232" s="69"/>
      <c r="AH1232"/>
    </row>
    <row r="1233" spans="1:34" x14ac:dyDescent="0.2">
      <c r="A1233"/>
      <c r="B1233"/>
      <c r="C1233"/>
      <c r="D1233"/>
      <c r="E1233"/>
      <c r="F1233" t="str">
        <f>LEFT(AllDaqbookOffsets[[#This Row],[traceability_no]],2)</f>
        <v>K6</v>
      </c>
      <c r="N1233" s="456"/>
      <c r="O1233"/>
      <c r="Z1233" s="460"/>
      <c r="AA1233" s="194"/>
      <c r="AB1233"/>
      <c r="AG1233" s="69"/>
      <c r="AH1233"/>
    </row>
    <row r="1234" spans="1:34" x14ac:dyDescent="0.2">
      <c r="A1234"/>
      <c r="B1234"/>
      <c r="C1234"/>
      <c r="D1234"/>
      <c r="E1234"/>
      <c r="F1234" t="str">
        <f>LEFT(AllDaqbookOffsets[[#This Row],[traceability_no]],2)</f>
        <v>K6</v>
      </c>
      <c r="N1234" s="456"/>
      <c r="O1234"/>
      <c r="Z1234" s="460"/>
      <c r="AA1234" s="194"/>
      <c r="AB1234"/>
      <c r="AG1234" s="69"/>
      <c r="AH1234"/>
    </row>
    <row r="1235" spans="1:34" x14ac:dyDescent="0.2">
      <c r="A1235"/>
      <c r="B1235"/>
      <c r="C1235"/>
      <c r="D1235"/>
      <c r="E1235"/>
      <c r="F1235" t="str">
        <f>LEFT(AllDaqbookOffsets[[#This Row],[traceability_no]],2)</f>
        <v>K6</v>
      </c>
      <c r="N1235" s="456"/>
      <c r="O1235"/>
      <c r="Z1235" s="460"/>
      <c r="AA1235" s="194"/>
      <c r="AB1235"/>
      <c r="AG1235" s="69"/>
      <c r="AH1235"/>
    </row>
    <row r="1236" spans="1:34" x14ac:dyDescent="0.2">
      <c r="A1236"/>
      <c r="B1236"/>
      <c r="C1236"/>
      <c r="D1236"/>
      <c r="E1236"/>
      <c r="F1236" t="str">
        <f>LEFT(AllDaqbookOffsets[[#This Row],[traceability_no]],2)</f>
        <v>K6</v>
      </c>
      <c r="N1236" s="456"/>
      <c r="O1236"/>
      <c r="Z1236" s="460"/>
      <c r="AA1236" s="194"/>
      <c r="AB1236"/>
      <c r="AG1236" s="69"/>
      <c r="AH1236"/>
    </row>
    <row r="1237" spans="1:34" x14ac:dyDescent="0.2">
      <c r="A1237"/>
      <c r="B1237"/>
      <c r="C1237"/>
      <c r="D1237"/>
      <c r="E1237"/>
      <c r="F1237" t="str">
        <f>LEFT(AllDaqbookOffsets[[#This Row],[traceability_no]],2)</f>
        <v>K6</v>
      </c>
      <c r="N1237" s="456"/>
      <c r="O1237"/>
      <c r="Z1237" s="460"/>
      <c r="AA1237" s="194"/>
      <c r="AB1237"/>
      <c r="AG1237" s="69"/>
      <c r="AH1237"/>
    </row>
    <row r="1238" spans="1:34" x14ac:dyDescent="0.2">
      <c r="A1238"/>
      <c r="B1238"/>
      <c r="C1238"/>
      <c r="D1238"/>
      <c r="E1238"/>
      <c r="F1238" t="str">
        <f>LEFT(AllDaqbookOffsets[[#This Row],[traceability_no]],2)</f>
        <v>K6</v>
      </c>
      <c r="N1238" s="456"/>
      <c r="O1238"/>
      <c r="Z1238" s="460"/>
      <c r="AA1238" s="194"/>
      <c r="AB1238"/>
      <c r="AG1238" s="69"/>
      <c r="AH1238"/>
    </row>
    <row r="1239" spans="1:34" x14ac:dyDescent="0.2">
      <c r="A1239"/>
      <c r="B1239"/>
      <c r="C1239"/>
      <c r="D1239"/>
      <c r="E1239"/>
      <c r="F1239" t="str">
        <f>LEFT(AllDaqbookOffsets[[#This Row],[traceability_no]],2)</f>
        <v>K6</v>
      </c>
      <c r="N1239" s="456"/>
      <c r="O1239"/>
      <c r="Z1239" s="460"/>
      <c r="AA1239" s="194"/>
      <c r="AB1239"/>
      <c r="AG1239" s="69"/>
      <c r="AH1239"/>
    </row>
    <row r="1240" spans="1:34" x14ac:dyDescent="0.2">
      <c r="A1240"/>
      <c r="B1240"/>
      <c r="C1240"/>
      <c r="D1240"/>
      <c r="E1240"/>
      <c r="F1240" t="str">
        <f>LEFT(AllDaqbookOffsets[[#This Row],[traceability_no]],2)</f>
        <v>K6</v>
      </c>
      <c r="N1240" s="456"/>
      <c r="O1240"/>
      <c r="Z1240" s="460"/>
      <c r="AA1240" s="194"/>
      <c r="AB1240"/>
      <c r="AG1240" s="69"/>
      <c r="AH1240"/>
    </row>
    <row r="1241" spans="1:34" x14ac:dyDescent="0.2">
      <c r="A1241"/>
      <c r="B1241"/>
      <c r="C1241"/>
      <c r="D1241"/>
      <c r="E1241"/>
      <c r="F1241" t="str">
        <f>LEFT(AllDaqbookOffsets[[#This Row],[traceability_no]],2)</f>
        <v>K6</v>
      </c>
      <c r="N1241" s="456"/>
      <c r="O1241"/>
      <c r="Z1241" s="460"/>
      <c r="AA1241" s="194"/>
      <c r="AB1241"/>
      <c r="AG1241" s="69"/>
      <c r="AH1241"/>
    </row>
    <row r="1242" spans="1:34" x14ac:dyDescent="0.2">
      <c r="A1242"/>
      <c r="B1242"/>
      <c r="C1242"/>
      <c r="D1242"/>
      <c r="E1242"/>
      <c r="F1242" t="str">
        <f>LEFT(AllDaqbookOffsets[[#This Row],[traceability_no]],2)</f>
        <v>K6</v>
      </c>
      <c r="N1242" s="456"/>
      <c r="O1242"/>
      <c r="Z1242" s="460"/>
      <c r="AA1242" s="194"/>
      <c r="AB1242"/>
      <c r="AG1242" s="69"/>
      <c r="AH1242"/>
    </row>
    <row r="1243" spans="1:34" x14ac:dyDescent="0.2">
      <c r="A1243"/>
      <c r="B1243"/>
      <c r="C1243"/>
      <c r="D1243"/>
      <c r="E1243"/>
      <c r="F1243" t="str">
        <f>LEFT(AllDaqbookOffsets[[#This Row],[traceability_no]],2)</f>
        <v>K6</v>
      </c>
      <c r="N1243" s="456"/>
      <c r="O1243"/>
      <c r="Z1243" s="460"/>
      <c r="AA1243" s="194"/>
      <c r="AB1243"/>
      <c r="AG1243" s="69"/>
      <c r="AH1243"/>
    </row>
    <row r="1244" spans="1:34" x14ac:dyDescent="0.2">
      <c r="A1244"/>
      <c r="B1244"/>
      <c r="C1244"/>
      <c r="D1244"/>
      <c r="E1244"/>
      <c r="F1244" t="str">
        <f>LEFT(AllDaqbookOffsets[[#This Row],[traceability_no]],2)</f>
        <v>K6</v>
      </c>
      <c r="N1244" s="456"/>
      <c r="O1244"/>
      <c r="Z1244" s="460"/>
      <c r="AA1244" s="194"/>
      <c r="AB1244"/>
      <c r="AG1244" s="69"/>
      <c r="AH1244"/>
    </row>
    <row r="1245" spans="1:34" x14ac:dyDescent="0.2">
      <c r="A1245"/>
      <c r="B1245"/>
      <c r="C1245"/>
      <c r="D1245"/>
      <c r="E1245"/>
      <c r="F1245" t="str">
        <f>LEFT(AllDaqbookOffsets[[#This Row],[traceability_no]],2)</f>
        <v>K6</v>
      </c>
      <c r="N1245" s="456"/>
      <c r="O1245"/>
      <c r="Z1245" s="460"/>
      <c r="AA1245" s="194"/>
      <c r="AB1245"/>
      <c r="AG1245" s="69"/>
      <c r="AH1245"/>
    </row>
    <row r="1246" spans="1:34" x14ac:dyDescent="0.2">
      <c r="A1246"/>
      <c r="B1246"/>
      <c r="C1246"/>
      <c r="D1246"/>
      <c r="E1246"/>
      <c r="F1246" t="str">
        <f>LEFT(AllDaqbookOffsets[[#This Row],[traceability_no]],2)</f>
        <v>K6</v>
      </c>
      <c r="N1246" s="456"/>
      <c r="O1246"/>
      <c r="Z1246" s="460"/>
      <c r="AA1246" s="194"/>
      <c r="AB1246"/>
      <c r="AG1246" s="69"/>
      <c r="AH1246"/>
    </row>
    <row r="1247" spans="1:34" x14ac:dyDescent="0.2">
      <c r="A1247"/>
      <c r="B1247"/>
      <c r="C1247"/>
      <c r="D1247"/>
      <c r="E1247"/>
      <c r="F1247" t="str">
        <f>LEFT(AllDaqbookOffsets[[#This Row],[traceability_no]],2)</f>
        <v>K6</v>
      </c>
      <c r="N1247" s="456"/>
      <c r="O1247"/>
      <c r="Z1247" s="460"/>
      <c r="AA1247" s="194"/>
      <c r="AB1247"/>
      <c r="AG1247" s="69"/>
      <c r="AH1247"/>
    </row>
    <row r="1248" spans="1:34" x14ac:dyDescent="0.2">
      <c r="A1248"/>
      <c r="B1248"/>
      <c r="C1248"/>
      <c r="D1248"/>
      <c r="E1248"/>
      <c r="F1248" t="str">
        <f>LEFT(AllDaqbookOffsets[[#This Row],[traceability_no]],2)</f>
        <v>K6</v>
      </c>
      <c r="N1248" s="456"/>
      <c r="O1248"/>
      <c r="Z1248" s="460"/>
      <c r="AA1248" s="194"/>
      <c r="AB1248"/>
      <c r="AG1248" s="69"/>
      <c r="AH1248"/>
    </row>
    <row r="1249" spans="1:34" x14ac:dyDescent="0.2">
      <c r="A1249"/>
      <c r="B1249"/>
      <c r="C1249"/>
      <c r="D1249"/>
      <c r="E1249"/>
      <c r="F1249" t="str">
        <f>LEFT(AllDaqbookOffsets[[#This Row],[traceability_no]],2)</f>
        <v>K6</v>
      </c>
      <c r="N1249" s="456"/>
      <c r="O1249"/>
      <c r="Z1249" s="460"/>
      <c r="AA1249" s="194"/>
      <c r="AB1249"/>
      <c r="AG1249" s="69"/>
      <c r="AH1249"/>
    </row>
    <row r="1250" spans="1:34" x14ac:dyDescent="0.2">
      <c r="A1250"/>
      <c r="B1250"/>
      <c r="C1250"/>
      <c r="D1250"/>
      <c r="E1250"/>
      <c r="F1250" t="str">
        <f>LEFT(AllDaqbookOffsets[[#This Row],[traceability_no]],2)</f>
        <v>K6</v>
      </c>
      <c r="N1250" s="456"/>
      <c r="O1250"/>
      <c r="Z1250" s="460"/>
      <c r="AA1250" s="194"/>
      <c r="AB1250"/>
      <c r="AG1250" s="69"/>
      <c r="AH1250"/>
    </row>
    <row r="1251" spans="1:34" x14ac:dyDescent="0.2">
      <c r="A1251"/>
      <c r="B1251"/>
      <c r="C1251"/>
      <c r="D1251"/>
      <c r="E1251"/>
      <c r="F1251" t="str">
        <f>LEFT(AllDaqbookOffsets[[#This Row],[traceability_no]],2)</f>
        <v>K6</v>
      </c>
      <c r="N1251" s="456"/>
      <c r="O1251"/>
      <c r="Z1251" s="460"/>
      <c r="AA1251" s="194"/>
      <c r="AB1251"/>
      <c r="AG1251" s="69"/>
      <c r="AH1251"/>
    </row>
    <row r="1252" spans="1:34" x14ac:dyDescent="0.2">
      <c r="A1252"/>
      <c r="B1252"/>
      <c r="C1252"/>
      <c r="D1252"/>
      <c r="E1252"/>
      <c r="F1252" t="str">
        <f>LEFT(AllDaqbookOffsets[[#This Row],[traceability_no]],2)</f>
        <v>K6</v>
      </c>
      <c r="N1252" s="456"/>
      <c r="O1252"/>
      <c r="Z1252" s="460"/>
      <c r="AA1252" s="194"/>
      <c r="AB1252"/>
      <c r="AG1252" s="69"/>
      <c r="AH1252"/>
    </row>
    <row r="1253" spans="1:34" x14ac:dyDescent="0.2">
      <c r="A1253"/>
      <c r="B1253"/>
      <c r="C1253"/>
      <c r="D1253"/>
      <c r="E1253"/>
      <c r="F1253" t="str">
        <f>LEFT(AllDaqbookOffsets[[#This Row],[traceability_no]],2)</f>
        <v>K6</v>
      </c>
      <c r="N1253" s="456"/>
      <c r="O1253"/>
      <c r="Z1253" s="460"/>
      <c r="AA1253" s="194"/>
      <c r="AB1253"/>
      <c r="AG1253" s="69"/>
      <c r="AH1253"/>
    </row>
    <row r="1254" spans="1:34" x14ac:dyDescent="0.2">
      <c r="A1254"/>
      <c r="B1254"/>
      <c r="C1254"/>
      <c r="D1254"/>
      <c r="E1254"/>
      <c r="F1254" t="str">
        <f>LEFT(AllDaqbookOffsets[[#This Row],[traceability_no]],2)</f>
        <v>K6</v>
      </c>
      <c r="N1254" s="456"/>
      <c r="O1254"/>
      <c r="Z1254" s="460"/>
      <c r="AA1254" s="194"/>
      <c r="AB1254"/>
      <c r="AG1254" s="69"/>
      <c r="AH1254"/>
    </row>
    <row r="1255" spans="1:34" x14ac:dyDescent="0.2">
      <c r="A1255"/>
      <c r="B1255"/>
      <c r="C1255"/>
      <c r="D1255"/>
      <c r="E1255"/>
      <c r="F1255" t="str">
        <f>LEFT(AllDaqbookOffsets[[#This Row],[traceability_no]],2)</f>
        <v>K6</v>
      </c>
      <c r="N1255" s="456"/>
      <c r="O1255"/>
      <c r="Z1255" s="460"/>
      <c r="AA1255" s="194"/>
      <c r="AB1255"/>
      <c r="AG1255" s="69"/>
      <c r="AH1255"/>
    </row>
    <row r="1256" spans="1:34" x14ac:dyDescent="0.2">
      <c r="A1256"/>
      <c r="B1256"/>
      <c r="C1256"/>
      <c r="D1256"/>
      <c r="E1256"/>
      <c r="F1256" t="str">
        <f>LEFT(AllDaqbookOffsets[[#This Row],[traceability_no]],2)</f>
        <v>K6</v>
      </c>
      <c r="N1256" s="456"/>
      <c r="O1256"/>
      <c r="Z1256" s="460"/>
      <c r="AA1256" s="194"/>
      <c r="AB1256"/>
      <c r="AG1256" s="69"/>
      <c r="AH1256"/>
    </row>
    <row r="1257" spans="1:34" x14ac:dyDescent="0.2">
      <c r="A1257"/>
      <c r="B1257"/>
      <c r="C1257"/>
      <c r="D1257"/>
      <c r="E1257"/>
      <c r="F1257" t="str">
        <f>LEFT(AllDaqbookOffsets[[#This Row],[traceability_no]],2)</f>
        <v>K6</v>
      </c>
      <c r="N1257" s="456"/>
      <c r="O1257"/>
      <c r="Z1257" s="460"/>
      <c r="AA1257" s="194"/>
      <c r="AB1257"/>
      <c r="AG1257" s="69"/>
      <c r="AH1257"/>
    </row>
    <row r="1258" spans="1:34" x14ac:dyDescent="0.2">
      <c r="A1258"/>
      <c r="B1258"/>
      <c r="C1258"/>
      <c r="D1258"/>
      <c r="E1258"/>
      <c r="F1258" t="str">
        <f>LEFT(AllDaqbookOffsets[[#This Row],[traceability_no]],2)</f>
        <v>K6</v>
      </c>
      <c r="N1258" s="456"/>
      <c r="O1258"/>
      <c r="Z1258" s="460"/>
      <c r="AA1258" s="194"/>
      <c r="AB1258"/>
      <c r="AG1258" s="69"/>
      <c r="AH1258"/>
    </row>
    <row r="1259" spans="1:34" x14ac:dyDescent="0.2">
      <c r="A1259"/>
      <c r="B1259"/>
      <c r="C1259"/>
      <c r="D1259"/>
      <c r="E1259"/>
      <c r="F1259" t="str">
        <f>LEFT(AllDaqbookOffsets[[#This Row],[traceability_no]],2)</f>
        <v>K6</v>
      </c>
      <c r="N1259" s="456"/>
      <c r="O1259"/>
      <c r="Z1259" s="460"/>
      <c r="AA1259" s="194"/>
      <c r="AB1259"/>
      <c r="AG1259" s="69"/>
      <c r="AH1259"/>
    </row>
    <row r="1260" spans="1:34" x14ac:dyDescent="0.2">
      <c r="A1260"/>
      <c r="B1260"/>
      <c r="C1260"/>
      <c r="D1260"/>
      <c r="E1260"/>
      <c r="F1260" t="str">
        <f>LEFT(AllDaqbookOffsets[[#This Row],[traceability_no]],2)</f>
        <v>K6</v>
      </c>
      <c r="N1260" s="456"/>
      <c r="O1260"/>
      <c r="Z1260" s="460"/>
      <c r="AA1260" s="194"/>
      <c r="AB1260"/>
      <c r="AG1260" s="69"/>
      <c r="AH1260"/>
    </row>
    <row r="1261" spans="1:34" x14ac:dyDescent="0.2">
      <c r="A1261"/>
      <c r="B1261"/>
      <c r="C1261"/>
      <c r="D1261"/>
      <c r="E1261"/>
      <c r="F1261" t="str">
        <f>LEFT(AllDaqbookOffsets[[#This Row],[traceability_no]],2)</f>
        <v>K6</v>
      </c>
      <c r="N1261" s="456"/>
      <c r="O1261"/>
      <c r="Z1261" s="460"/>
      <c r="AA1261" s="194"/>
      <c r="AB1261"/>
      <c r="AG1261" s="69"/>
      <c r="AH1261"/>
    </row>
    <row r="1262" spans="1:34" x14ac:dyDescent="0.2">
      <c r="A1262"/>
      <c r="B1262"/>
      <c r="C1262"/>
      <c r="D1262"/>
      <c r="E1262"/>
      <c r="F1262" t="str">
        <f>LEFT(AllDaqbookOffsets[[#This Row],[traceability_no]],2)</f>
        <v>K6</v>
      </c>
      <c r="N1262" s="456"/>
      <c r="O1262"/>
      <c r="Z1262" s="460"/>
      <c r="AA1262" s="194"/>
      <c r="AB1262"/>
      <c r="AG1262" s="69"/>
      <c r="AH1262"/>
    </row>
    <row r="1263" spans="1:34" x14ac:dyDescent="0.2">
      <c r="A1263"/>
      <c r="B1263"/>
      <c r="C1263"/>
      <c r="D1263"/>
      <c r="E1263"/>
      <c r="F1263" t="str">
        <f>LEFT(AllDaqbookOffsets[[#This Row],[traceability_no]],2)</f>
        <v>K6</v>
      </c>
      <c r="N1263" s="456"/>
      <c r="O1263"/>
      <c r="Z1263" s="460"/>
      <c r="AA1263" s="194"/>
      <c r="AB1263"/>
      <c r="AG1263" s="69"/>
      <c r="AH1263"/>
    </row>
    <row r="1264" spans="1:34" x14ac:dyDescent="0.2">
      <c r="A1264"/>
      <c r="B1264"/>
      <c r="C1264"/>
      <c r="D1264"/>
      <c r="E1264"/>
      <c r="F1264" t="str">
        <f>LEFT(AllDaqbookOffsets[[#This Row],[traceability_no]],2)</f>
        <v>K6</v>
      </c>
      <c r="N1264" s="456"/>
      <c r="O1264"/>
      <c r="Z1264" s="460"/>
      <c r="AA1264" s="194"/>
      <c r="AB1264"/>
      <c r="AG1264" s="69"/>
      <c r="AH1264"/>
    </row>
    <row r="1265" spans="1:34" x14ac:dyDescent="0.2">
      <c r="A1265"/>
      <c r="B1265"/>
      <c r="C1265"/>
      <c r="D1265"/>
      <c r="E1265"/>
      <c r="F1265" t="str">
        <f>LEFT(AllDaqbookOffsets[[#This Row],[traceability_no]],2)</f>
        <v>K6</v>
      </c>
      <c r="N1265" s="456"/>
      <c r="O1265"/>
      <c r="Z1265" s="460"/>
      <c r="AA1265" s="194"/>
      <c r="AB1265"/>
      <c r="AG1265" s="69"/>
      <c r="AH1265"/>
    </row>
    <row r="1266" spans="1:34" x14ac:dyDescent="0.2">
      <c r="A1266"/>
      <c r="B1266"/>
      <c r="C1266"/>
      <c r="D1266"/>
      <c r="E1266"/>
      <c r="F1266" t="str">
        <f>LEFT(AllDaqbookOffsets[[#This Row],[traceability_no]],2)</f>
        <v>K6</v>
      </c>
      <c r="N1266" s="456"/>
      <c r="O1266"/>
      <c r="Z1266" s="460"/>
      <c r="AA1266" s="194"/>
      <c r="AB1266"/>
      <c r="AG1266" s="69"/>
      <c r="AH1266"/>
    </row>
    <row r="1267" spans="1:34" x14ac:dyDescent="0.2">
      <c r="A1267"/>
      <c r="B1267"/>
      <c r="C1267"/>
      <c r="D1267"/>
      <c r="E1267"/>
      <c r="F1267" t="str">
        <f>LEFT(AllDaqbookOffsets[[#This Row],[traceability_no]],2)</f>
        <v>K6</v>
      </c>
      <c r="N1267" s="456"/>
      <c r="O1267"/>
      <c r="Z1267" s="460"/>
      <c r="AA1267" s="194"/>
      <c r="AB1267"/>
      <c r="AG1267" s="69"/>
      <c r="AH1267"/>
    </row>
    <row r="1268" spans="1:34" x14ac:dyDescent="0.2">
      <c r="A1268"/>
      <c r="B1268"/>
      <c r="C1268"/>
      <c r="D1268"/>
      <c r="E1268"/>
      <c r="F1268" t="str">
        <f>LEFT(AllDaqbookOffsets[[#This Row],[traceability_no]],2)</f>
        <v>K6</v>
      </c>
      <c r="N1268" s="456"/>
      <c r="O1268"/>
      <c r="Z1268" s="460"/>
      <c r="AA1268" s="194"/>
      <c r="AB1268"/>
      <c r="AG1268" s="69"/>
      <c r="AH1268"/>
    </row>
    <row r="1269" spans="1:34" x14ac:dyDescent="0.2">
      <c r="A1269"/>
      <c r="B1269"/>
      <c r="C1269"/>
      <c r="D1269"/>
      <c r="E1269"/>
      <c r="F1269" t="str">
        <f>LEFT(AllDaqbookOffsets[[#This Row],[traceability_no]],2)</f>
        <v>K6</v>
      </c>
      <c r="N1269" s="456"/>
      <c r="O1269"/>
      <c r="Z1269" s="460"/>
      <c r="AA1269" s="194"/>
      <c r="AB1269"/>
      <c r="AG1269" s="69"/>
      <c r="AH1269"/>
    </row>
    <row r="1270" spans="1:34" x14ac:dyDescent="0.2">
      <c r="A1270"/>
      <c r="B1270"/>
      <c r="C1270"/>
      <c r="D1270"/>
      <c r="E1270"/>
      <c r="F1270" t="str">
        <f>LEFT(AllDaqbookOffsets[[#This Row],[traceability_no]],2)</f>
        <v>K6</v>
      </c>
      <c r="N1270" s="456"/>
      <c r="O1270"/>
      <c r="Z1270" s="460"/>
      <c r="AA1270" s="194"/>
      <c r="AB1270"/>
      <c r="AG1270" s="69"/>
      <c r="AH1270"/>
    </row>
    <row r="1271" spans="1:34" x14ac:dyDescent="0.2">
      <c r="A1271"/>
      <c r="B1271"/>
      <c r="C1271"/>
      <c r="D1271"/>
      <c r="E1271"/>
      <c r="F1271" t="str">
        <f>LEFT(AllDaqbookOffsets[[#This Row],[traceability_no]],2)</f>
        <v>K6</v>
      </c>
      <c r="N1271" s="456"/>
      <c r="O1271"/>
      <c r="Z1271" s="460"/>
      <c r="AA1271" s="194"/>
      <c r="AB1271"/>
      <c r="AG1271" s="69"/>
      <c r="AH1271"/>
    </row>
    <row r="1272" spans="1:34" x14ac:dyDescent="0.2">
      <c r="A1272"/>
      <c r="B1272"/>
      <c r="C1272"/>
      <c r="D1272"/>
      <c r="E1272"/>
      <c r="F1272" t="str">
        <f>LEFT(AllDaqbookOffsets[[#This Row],[traceability_no]],2)</f>
        <v>K6</v>
      </c>
      <c r="N1272" s="456"/>
      <c r="O1272"/>
      <c r="Z1272" s="460"/>
      <c r="AA1272" s="194"/>
      <c r="AB1272"/>
      <c r="AG1272" s="69"/>
      <c r="AH1272"/>
    </row>
    <row r="1273" spans="1:34" x14ac:dyDescent="0.2">
      <c r="A1273"/>
      <c r="B1273"/>
      <c r="C1273"/>
      <c r="D1273"/>
      <c r="E1273"/>
      <c r="F1273" t="str">
        <f>LEFT(AllDaqbookOffsets[[#This Row],[traceability_no]],2)</f>
        <v>K6</v>
      </c>
      <c r="N1273" s="456"/>
      <c r="O1273"/>
      <c r="Z1273" s="460"/>
      <c r="AA1273" s="194"/>
      <c r="AB1273"/>
      <c r="AG1273" s="69"/>
      <c r="AH1273"/>
    </row>
    <row r="1274" spans="1:34" x14ac:dyDescent="0.2">
      <c r="A1274"/>
      <c r="B1274"/>
      <c r="C1274"/>
      <c r="D1274"/>
      <c r="E1274"/>
      <c r="F1274" t="str">
        <f>LEFT(AllDaqbookOffsets[[#This Row],[traceability_no]],2)</f>
        <v>K6</v>
      </c>
      <c r="N1274" s="456"/>
      <c r="O1274"/>
      <c r="Z1274" s="460"/>
      <c r="AA1274" s="194"/>
      <c r="AB1274"/>
      <c r="AG1274" s="69"/>
      <c r="AH1274"/>
    </row>
    <row r="1275" spans="1:34" x14ac:dyDescent="0.2">
      <c r="A1275"/>
      <c r="B1275"/>
      <c r="C1275"/>
      <c r="D1275"/>
      <c r="E1275"/>
      <c r="F1275" t="str">
        <f>LEFT(AllDaqbookOffsets[[#This Row],[traceability_no]],2)</f>
        <v>K6</v>
      </c>
      <c r="N1275" s="456"/>
      <c r="O1275"/>
      <c r="Z1275" s="460"/>
      <c r="AA1275" s="194"/>
      <c r="AB1275"/>
      <c r="AG1275" s="69"/>
      <c r="AH1275"/>
    </row>
    <row r="1276" spans="1:34" x14ac:dyDescent="0.2">
      <c r="A1276"/>
      <c r="B1276"/>
      <c r="C1276"/>
      <c r="D1276"/>
      <c r="E1276"/>
      <c r="F1276" t="str">
        <f>LEFT(AllDaqbookOffsets[[#This Row],[traceability_no]],2)</f>
        <v>K6</v>
      </c>
      <c r="N1276" s="456"/>
      <c r="O1276"/>
      <c r="Z1276" s="460"/>
      <c r="AA1276" s="194"/>
      <c r="AB1276"/>
      <c r="AG1276" s="69"/>
      <c r="AH1276"/>
    </row>
    <row r="1277" spans="1:34" x14ac:dyDescent="0.2">
      <c r="A1277"/>
      <c r="B1277"/>
      <c r="C1277"/>
      <c r="D1277"/>
      <c r="E1277"/>
      <c r="F1277" t="str">
        <f>LEFT(AllDaqbookOffsets[[#This Row],[traceability_no]],2)</f>
        <v>K6</v>
      </c>
      <c r="N1277" s="456"/>
      <c r="O1277"/>
      <c r="Z1277" s="460"/>
      <c r="AA1277" s="194"/>
      <c r="AB1277"/>
      <c r="AG1277" s="69"/>
      <c r="AH1277"/>
    </row>
    <row r="1278" spans="1:34" x14ac:dyDescent="0.2">
      <c r="A1278"/>
      <c r="B1278"/>
      <c r="C1278"/>
      <c r="D1278"/>
      <c r="E1278"/>
      <c r="F1278" t="str">
        <f>LEFT(AllDaqbookOffsets[[#This Row],[traceability_no]],2)</f>
        <v>K6</v>
      </c>
      <c r="N1278" s="456"/>
      <c r="O1278"/>
      <c r="Z1278" s="460"/>
      <c r="AA1278" s="194"/>
      <c r="AB1278"/>
      <c r="AG1278" s="69"/>
      <c r="AH1278"/>
    </row>
    <row r="1279" spans="1:34" x14ac:dyDescent="0.2">
      <c r="A1279"/>
      <c r="B1279"/>
      <c r="C1279"/>
      <c r="D1279"/>
      <c r="E1279"/>
      <c r="F1279" t="str">
        <f>LEFT(AllDaqbookOffsets[[#This Row],[traceability_no]],2)</f>
        <v>K6</v>
      </c>
      <c r="N1279" s="456"/>
      <c r="O1279"/>
      <c r="Z1279" s="460"/>
      <c r="AA1279" s="194"/>
      <c r="AB1279"/>
      <c r="AG1279" s="69"/>
      <c r="AH1279"/>
    </row>
    <row r="1280" spans="1:34" x14ac:dyDescent="0.2">
      <c r="A1280"/>
      <c r="B1280"/>
      <c r="C1280"/>
      <c r="D1280"/>
      <c r="E1280"/>
      <c r="F1280" t="str">
        <f>LEFT(AllDaqbookOffsets[[#This Row],[traceability_no]],2)</f>
        <v>K6</v>
      </c>
      <c r="N1280" s="456"/>
      <c r="O1280"/>
      <c r="Z1280" s="460"/>
      <c r="AA1280" s="194"/>
      <c r="AB1280"/>
      <c r="AG1280" s="69"/>
      <c r="AH1280"/>
    </row>
    <row r="1281" spans="1:34" x14ac:dyDescent="0.2">
      <c r="A1281"/>
      <c r="B1281"/>
      <c r="C1281"/>
      <c r="D1281"/>
      <c r="E1281"/>
      <c r="F1281" t="str">
        <f>LEFT(AllDaqbookOffsets[[#This Row],[traceability_no]],2)</f>
        <v>K6</v>
      </c>
      <c r="N1281" s="456"/>
      <c r="O1281"/>
      <c r="Z1281" s="460"/>
      <c r="AA1281" s="194"/>
      <c r="AB1281"/>
      <c r="AG1281" s="69"/>
      <c r="AH1281"/>
    </row>
    <row r="1282" spans="1:34" x14ac:dyDescent="0.2">
      <c r="A1282"/>
      <c r="B1282"/>
      <c r="C1282"/>
      <c r="D1282"/>
      <c r="E1282"/>
      <c r="F1282" t="str">
        <f>LEFT(AllDaqbookOffsets[[#This Row],[traceability_no]],2)</f>
        <v>K6</v>
      </c>
      <c r="N1282" s="456"/>
      <c r="O1282"/>
      <c r="Z1282" s="460"/>
      <c r="AA1282" s="194"/>
      <c r="AB1282"/>
      <c r="AG1282" s="69"/>
      <c r="AH1282"/>
    </row>
    <row r="1283" spans="1:34" x14ac:dyDescent="0.2">
      <c r="A1283"/>
      <c r="B1283"/>
      <c r="C1283"/>
      <c r="D1283"/>
      <c r="E1283"/>
      <c r="F1283" t="str">
        <f>LEFT(AllDaqbookOffsets[[#This Row],[traceability_no]],2)</f>
        <v>K6</v>
      </c>
      <c r="N1283" s="456"/>
      <c r="O1283"/>
      <c r="Z1283" s="460"/>
      <c r="AA1283" s="194"/>
      <c r="AB1283"/>
      <c r="AG1283" s="69"/>
      <c r="AH1283"/>
    </row>
    <row r="1284" spans="1:34" x14ac:dyDescent="0.2">
      <c r="A1284"/>
      <c r="B1284"/>
      <c r="C1284"/>
      <c r="D1284"/>
      <c r="E1284"/>
      <c r="F1284" t="str">
        <f>LEFT(AllDaqbookOffsets[[#This Row],[traceability_no]],2)</f>
        <v>K6</v>
      </c>
      <c r="N1284" s="456"/>
      <c r="O1284"/>
      <c r="Z1284" s="460"/>
      <c r="AA1284" s="194"/>
      <c r="AB1284"/>
      <c r="AG1284" s="69"/>
      <c r="AH1284"/>
    </row>
    <row r="1285" spans="1:34" x14ac:dyDescent="0.2">
      <c r="A1285"/>
      <c r="B1285"/>
      <c r="C1285"/>
      <c r="D1285"/>
      <c r="E1285"/>
      <c r="F1285" t="str">
        <f>LEFT(AllDaqbookOffsets[[#This Row],[traceability_no]],2)</f>
        <v>K6</v>
      </c>
      <c r="N1285" s="456"/>
      <c r="O1285"/>
      <c r="Z1285" s="460"/>
      <c r="AA1285" s="194"/>
      <c r="AB1285"/>
      <c r="AG1285" s="69"/>
      <c r="AH1285"/>
    </row>
    <row r="1286" spans="1:34" x14ac:dyDescent="0.2">
      <c r="A1286"/>
      <c r="B1286"/>
      <c r="C1286"/>
      <c r="D1286"/>
      <c r="E1286"/>
      <c r="F1286" t="str">
        <f>LEFT(AllDaqbookOffsets[[#This Row],[traceability_no]],2)</f>
        <v>K6</v>
      </c>
      <c r="N1286" s="456"/>
      <c r="O1286"/>
      <c r="Z1286" s="460"/>
      <c r="AA1286" s="194"/>
      <c r="AB1286"/>
      <c r="AG1286" s="69"/>
      <c r="AH1286"/>
    </row>
    <row r="1287" spans="1:34" x14ac:dyDescent="0.2">
      <c r="A1287"/>
      <c r="B1287"/>
      <c r="C1287"/>
      <c r="D1287"/>
      <c r="E1287"/>
      <c r="F1287" t="str">
        <f>LEFT(AllDaqbookOffsets[[#This Row],[traceability_no]],2)</f>
        <v>K6</v>
      </c>
      <c r="N1287" s="456"/>
      <c r="O1287"/>
      <c r="Z1287" s="460"/>
      <c r="AA1287" s="194"/>
      <c r="AB1287"/>
      <c r="AG1287" s="69"/>
      <c r="AH1287"/>
    </row>
    <row r="1288" spans="1:34" x14ac:dyDescent="0.2">
      <c r="A1288"/>
      <c r="B1288"/>
      <c r="C1288"/>
      <c r="D1288"/>
      <c r="E1288"/>
      <c r="F1288" t="str">
        <f>LEFT(AllDaqbookOffsets[[#This Row],[traceability_no]],2)</f>
        <v>K6</v>
      </c>
      <c r="N1288" s="456"/>
      <c r="O1288"/>
      <c r="Z1288" s="460"/>
      <c r="AA1288" s="194"/>
      <c r="AB1288"/>
      <c r="AG1288" s="69"/>
      <c r="AH1288"/>
    </row>
    <row r="1289" spans="1:34" x14ac:dyDescent="0.2">
      <c r="A1289"/>
      <c r="B1289"/>
      <c r="C1289"/>
      <c r="D1289"/>
      <c r="E1289"/>
      <c r="F1289" t="str">
        <f>LEFT(AllDaqbookOffsets[[#This Row],[traceability_no]],2)</f>
        <v>K6</v>
      </c>
      <c r="N1289" s="456"/>
      <c r="O1289"/>
      <c r="Z1289" s="460"/>
      <c r="AA1289" s="194"/>
      <c r="AB1289"/>
      <c r="AG1289" s="69"/>
      <c r="AH1289"/>
    </row>
    <row r="1290" spans="1:34" x14ac:dyDescent="0.2">
      <c r="A1290"/>
      <c r="B1290"/>
      <c r="C1290"/>
      <c r="D1290"/>
      <c r="E1290"/>
      <c r="F1290" t="str">
        <f>LEFT(AllDaqbookOffsets[[#This Row],[traceability_no]],2)</f>
        <v>K6</v>
      </c>
      <c r="N1290" s="456"/>
      <c r="O1290"/>
      <c r="Z1290" s="460"/>
      <c r="AA1290" s="194"/>
      <c r="AB1290"/>
      <c r="AG1290" s="69"/>
      <c r="AH1290"/>
    </row>
    <row r="1291" spans="1:34" x14ac:dyDescent="0.2">
      <c r="A1291"/>
      <c r="B1291"/>
      <c r="C1291"/>
      <c r="D1291"/>
      <c r="E1291"/>
      <c r="F1291" t="str">
        <f>LEFT(AllDaqbookOffsets[[#This Row],[traceability_no]],2)</f>
        <v>K6</v>
      </c>
      <c r="N1291" s="456"/>
      <c r="O1291"/>
      <c r="Z1291" s="460"/>
      <c r="AA1291" s="194"/>
      <c r="AB1291"/>
      <c r="AG1291" s="69"/>
      <c r="AH1291"/>
    </row>
    <row r="1292" spans="1:34" x14ac:dyDescent="0.2">
      <c r="A1292"/>
      <c r="B1292"/>
      <c r="C1292"/>
      <c r="D1292"/>
      <c r="E1292"/>
      <c r="F1292" t="str">
        <f>LEFT(AllDaqbookOffsets[[#This Row],[traceability_no]],2)</f>
        <v>K6</v>
      </c>
      <c r="N1292" s="456"/>
      <c r="O1292"/>
      <c r="Z1292" s="460"/>
      <c r="AA1292" s="194"/>
      <c r="AB1292"/>
      <c r="AG1292" s="69"/>
      <c r="AH1292"/>
    </row>
    <row r="1293" spans="1:34" x14ac:dyDescent="0.2">
      <c r="A1293"/>
      <c r="B1293"/>
      <c r="C1293"/>
      <c r="D1293"/>
      <c r="E1293"/>
      <c r="F1293" t="str">
        <f>LEFT(AllDaqbookOffsets[[#This Row],[traceability_no]],2)</f>
        <v>K6</v>
      </c>
      <c r="N1293" s="456"/>
      <c r="O1293"/>
      <c r="Z1293" s="460"/>
      <c r="AA1293" s="194"/>
      <c r="AB1293"/>
      <c r="AG1293" s="69"/>
      <c r="AH1293"/>
    </row>
    <row r="1294" spans="1:34" x14ac:dyDescent="0.2">
      <c r="A1294"/>
      <c r="B1294"/>
      <c r="C1294"/>
      <c r="D1294"/>
      <c r="E1294"/>
      <c r="F1294" t="str">
        <f>LEFT(AllDaqbookOffsets[[#This Row],[traceability_no]],2)</f>
        <v>K6</v>
      </c>
      <c r="N1294" s="456"/>
      <c r="O1294"/>
      <c r="Z1294" s="460"/>
      <c r="AA1294" s="194"/>
      <c r="AB1294"/>
      <c r="AG1294" s="69"/>
      <c r="AH1294"/>
    </row>
    <row r="1295" spans="1:34" x14ac:dyDescent="0.2">
      <c r="A1295"/>
      <c r="B1295"/>
      <c r="C1295"/>
      <c r="D1295"/>
      <c r="E1295"/>
      <c r="F1295" t="str">
        <f>LEFT(AllDaqbookOffsets[[#This Row],[traceability_no]],2)</f>
        <v>K6</v>
      </c>
      <c r="N1295" s="456"/>
      <c r="O1295"/>
      <c r="Z1295" s="460"/>
      <c r="AA1295" s="194"/>
      <c r="AB1295"/>
      <c r="AG1295" s="69"/>
      <c r="AH1295"/>
    </row>
    <row r="1296" spans="1:34" x14ac:dyDescent="0.2">
      <c r="A1296"/>
      <c r="B1296"/>
      <c r="C1296"/>
      <c r="D1296"/>
      <c r="E1296"/>
      <c r="F1296" t="str">
        <f>LEFT(AllDaqbookOffsets[[#This Row],[traceability_no]],2)</f>
        <v>K6</v>
      </c>
      <c r="N1296" s="456"/>
      <c r="O1296"/>
      <c r="Z1296" s="460"/>
      <c r="AA1296" s="194"/>
      <c r="AB1296"/>
      <c r="AG1296" s="69"/>
      <c r="AH1296"/>
    </row>
    <row r="1297" spans="1:34" x14ac:dyDescent="0.2">
      <c r="A1297"/>
      <c r="B1297"/>
      <c r="C1297"/>
      <c r="D1297"/>
      <c r="E1297"/>
      <c r="F1297" t="str">
        <f>LEFT(AllDaqbookOffsets[[#This Row],[traceability_no]],2)</f>
        <v>K6</v>
      </c>
      <c r="N1297" s="456"/>
      <c r="O1297"/>
      <c r="Z1297" s="460"/>
      <c r="AA1297" s="194"/>
      <c r="AB1297"/>
      <c r="AG1297" s="69"/>
      <c r="AH1297"/>
    </row>
    <row r="1298" spans="1:34" x14ac:dyDescent="0.2">
      <c r="A1298"/>
      <c r="B1298"/>
      <c r="C1298"/>
      <c r="D1298"/>
      <c r="E1298"/>
      <c r="F1298" t="str">
        <f>LEFT(AllDaqbookOffsets[[#This Row],[traceability_no]],2)</f>
        <v>K6</v>
      </c>
      <c r="N1298" s="456"/>
      <c r="O1298"/>
      <c r="Z1298" s="460"/>
      <c r="AA1298" s="194"/>
      <c r="AB1298"/>
      <c r="AG1298" s="69"/>
      <c r="AH1298"/>
    </row>
    <row r="1299" spans="1:34" x14ac:dyDescent="0.2">
      <c r="A1299"/>
      <c r="B1299"/>
      <c r="C1299"/>
      <c r="D1299"/>
      <c r="E1299"/>
      <c r="F1299" t="str">
        <f>LEFT(AllDaqbookOffsets[[#This Row],[traceability_no]],2)</f>
        <v>K6</v>
      </c>
      <c r="N1299" s="456"/>
      <c r="O1299"/>
      <c r="Z1299" s="460"/>
      <c r="AA1299" s="194"/>
      <c r="AB1299"/>
      <c r="AG1299" s="69"/>
      <c r="AH1299"/>
    </row>
    <row r="1300" spans="1:34" x14ac:dyDescent="0.2">
      <c r="A1300"/>
      <c r="B1300"/>
      <c r="C1300"/>
      <c r="D1300"/>
      <c r="E1300"/>
      <c r="F1300" t="str">
        <f>LEFT(AllDaqbookOffsets[[#This Row],[traceability_no]],2)</f>
        <v>K6</v>
      </c>
      <c r="N1300" s="456"/>
      <c r="O1300"/>
      <c r="Z1300" s="460"/>
      <c r="AA1300" s="194"/>
      <c r="AB1300"/>
      <c r="AG1300" s="69"/>
      <c r="AH1300"/>
    </row>
    <row r="1301" spans="1:34" x14ac:dyDescent="0.2">
      <c r="A1301"/>
      <c r="B1301"/>
      <c r="C1301"/>
      <c r="D1301"/>
      <c r="E1301"/>
      <c r="F1301" t="str">
        <f>LEFT(AllDaqbookOffsets[[#This Row],[traceability_no]],2)</f>
        <v>K6</v>
      </c>
      <c r="N1301" s="456"/>
      <c r="O1301"/>
      <c r="Z1301" s="460"/>
      <c r="AA1301" s="194"/>
      <c r="AB1301"/>
      <c r="AG1301" s="69"/>
      <c r="AH1301"/>
    </row>
    <row r="1302" spans="1:34" x14ac:dyDescent="0.2">
      <c r="A1302"/>
      <c r="B1302"/>
      <c r="C1302"/>
      <c r="D1302"/>
      <c r="E1302"/>
      <c r="F1302" t="str">
        <f>LEFT(AllDaqbookOffsets[[#This Row],[traceability_no]],2)</f>
        <v>K6</v>
      </c>
      <c r="N1302" s="456"/>
      <c r="O1302"/>
      <c r="Z1302" s="460"/>
      <c r="AA1302" s="194"/>
      <c r="AB1302"/>
      <c r="AG1302" s="69"/>
      <c r="AH1302"/>
    </row>
    <row r="1303" spans="1:34" x14ac:dyDescent="0.2">
      <c r="A1303"/>
      <c r="B1303"/>
      <c r="C1303"/>
      <c r="D1303"/>
      <c r="E1303"/>
      <c r="F1303" t="str">
        <f>LEFT(AllDaqbookOffsets[[#This Row],[traceability_no]],2)</f>
        <v>K6</v>
      </c>
      <c r="N1303" s="456"/>
      <c r="O1303"/>
      <c r="Z1303" s="460"/>
      <c r="AA1303" s="194"/>
      <c r="AB1303"/>
      <c r="AG1303" s="69"/>
      <c r="AH1303"/>
    </row>
    <row r="1304" spans="1:34" x14ac:dyDescent="0.2">
      <c r="A1304"/>
      <c r="B1304"/>
      <c r="C1304"/>
      <c r="D1304"/>
      <c r="E1304"/>
      <c r="F1304" t="str">
        <f>LEFT(AllDaqbookOffsets[[#This Row],[traceability_no]],2)</f>
        <v>K6</v>
      </c>
      <c r="N1304" s="456"/>
      <c r="O1304"/>
      <c r="Z1304" s="460"/>
      <c r="AA1304" s="194"/>
      <c r="AB1304"/>
      <c r="AG1304" s="69"/>
      <c r="AH1304"/>
    </row>
    <row r="1305" spans="1:34" x14ac:dyDescent="0.2">
      <c r="A1305"/>
      <c r="B1305"/>
      <c r="C1305"/>
      <c r="D1305"/>
      <c r="E1305"/>
      <c r="F1305" t="str">
        <f>LEFT(AllDaqbookOffsets[[#This Row],[traceability_no]],2)</f>
        <v>K6</v>
      </c>
      <c r="N1305" s="456"/>
      <c r="O1305"/>
      <c r="Z1305" s="460"/>
      <c r="AA1305" s="194"/>
      <c r="AB1305"/>
      <c r="AG1305" s="69"/>
      <c r="AH1305"/>
    </row>
    <row r="1306" spans="1:34" x14ac:dyDescent="0.2">
      <c r="A1306"/>
      <c r="B1306"/>
      <c r="C1306"/>
      <c r="D1306"/>
      <c r="E1306"/>
      <c r="F1306" t="str">
        <f>LEFT(AllDaqbookOffsets[[#This Row],[traceability_no]],2)</f>
        <v>K6</v>
      </c>
      <c r="N1306" s="456"/>
      <c r="O1306"/>
      <c r="Z1306" s="460"/>
      <c r="AA1306" s="194"/>
      <c r="AB1306"/>
      <c r="AG1306" s="69"/>
      <c r="AH1306"/>
    </row>
    <row r="1307" spans="1:34" x14ac:dyDescent="0.2">
      <c r="A1307"/>
      <c r="B1307"/>
      <c r="C1307"/>
      <c r="D1307"/>
      <c r="E1307"/>
      <c r="F1307" t="str">
        <f>LEFT(AllDaqbookOffsets[[#This Row],[traceability_no]],2)</f>
        <v>K6</v>
      </c>
      <c r="N1307" s="456"/>
      <c r="O1307"/>
      <c r="Z1307" s="460"/>
      <c r="AA1307" s="194"/>
      <c r="AB1307"/>
      <c r="AG1307" s="69"/>
      <c r="AH1307"/>
    </row>
    <row r="1308" spans="1:34" x14ac:dyDescent="0.2">
      <c r="A1308"/>
      <c r="B1308"/>
      <c r="C1308"/>
      <c r="D1308"/>
      <c r="E1308"/>
      <c r="F1308" t="str">
        <f>LEFT(AllDaqbookOffsets[[#This Row],[traceability_no]],2)</f>
        <v>K6</v>
      </c>
      <c r="N1308" s="456"/>
      <c r="O1308"/>
      <c r="Z1308" s="460"/>
      <c r="AA1308" s="194"/>
      <c r="AB1308"/>
      <c r="AG1308" s="69"/>
      <c r="AH1308"/>
    </row>
    <row r="1309" spans="1:34" x14ac:dyDescent="0.2">
      <c r="A1309"/>
      <c r="B1309"/>
      <c r="C1309"/>
      <c r="D1309"/>
      <c r="E1309"/>
      <c r="F1309" t="str">
        <f>LEFT(AllDaqbookOffsets[[#This Row],[traceability_no]],2)</f>
        <v>K6</v>
      </c>
      <c r="N1309" s="456"/>
      <c r="O1309"/>
      <c r="Z1309" s="460"/>
      <c r="AA1309" s="194"/>
      <c r="AB1309"/>
      <c r="AG1309" s="69"/>
      <c r="AH1309"/>
    </row>
    <row r="1310" spans="1:34" x14ac:dyDescent="0.2">
      <c r="A1310"/>
      <c r="B1310"/>
      <c r="C1310"/>
      <c r="D1310"/>
      <c r="E1310"/>
      <c r="F1310" t="str">
        <f>LEFT(AllDaqbookOffsets[[#This Row],[traceability_no]],2)</f>
        <v>K6</v>
      </c>
      <c r="N1310" s="456"/>
      <c r="O1310"/>
      <c r="Z1310" s="460"/>
      <c r="AA1310" s="194"/>
      <c r="AB1310"/>
      <c r="AG1310" s="69"/>
      <c r="AH1310"/>
    </row>
    <row r="1311" spans="1:34" x14ac:dyDescent="0.2">
      <c r="A1311"/>
      <c r="B1311"/>
      <c r="C1311"/>
      <c r="D1311"/>
      <c r="E1311"/>
      <c r="F1311" t="str">
        <f>LEFT(AllDaqbookOffsets[[#This Row],[traceability_no]],2)</f>
        <v>K6</v>
      </c>
      <c r="N1311" s="456"/>
      <c r="O1311"/>
      <c r="Z1311" s="460"/>
      <c r="AA1311" s="194"/>
      <c r="AB1311"/>
      <c r="AG1311" s="69"/>
      <c r="AH1311"/>
    </row>
    <row r="1312" spans="1:34" x14ac:dyDescent="0.2">
      <c r="A1312"/>
      <c r="B1312"/>
      <c r="C1312"/>
      <c r="D1312"/>
      <c r="E1312"/>
      <c r="F1312" t="str">
        <f>LEFT(AllDaqbookOffsets[[#This Row],[traceability_no]],2)</f>
        <v>K6</v>
      </c>
      <c r="N1312" s="456"/>
      <c r="O1312"/>
      <c r="Z1312" s="460"/>
      <c r="AA1312" s="194"/>
      <c r="AB1312"/>
      <c r="AG1312" s="69"/>
      <c r="AH1312"/>
    </row>
    <row r="1313" spans="1:34" x14ac:dyDescent="0.2">
      <c r="A1313"/>
      <c r="B1313"/>
      <c r="C1313"/>
      <c r="D1313"/>
      <c r="E1313"/>
      <c r="F1313" t="str">
        <f>LEFT(AllDaqbookOffsets[[#This Row],[traceability_no]],2)</f>
        <v>K6</v>
      </c>
      <c r="N1313" s="456"/>
      <c r="O1313"/>
      <c r="Z1313" s="460"/>
      <c r="AA1313" s="194"/>
      <c r="AB1313"/>
      <c r="AG1313" s="69"/>
      <c r="AH1313"/>
    </row>
    <row r="1314" spans="1:34" x14ac:dyDescent="0.2">
      <c r="A1314"/>
      <c r="B1314"/>
      <c r="C1314"/>
      <c r="D1314"/>
      <c r="E1314"/>
      <c r="F1314" t="str">
        <f>LEFT(AllDaqbookOffsets[[#This Row],[traceability_no]],2)</f>
        <v>K6</v>
      </c>
      <c r="N1314" s="456"/>
      <c r="O1314"/>
      <c r="Z1314" s="460"/>
      <c r="AA1314" s="194"/>
      <c r="AB1314"/>
      <c r="AG1314" s="69"/>
      <c r="AH1314"/>
    </row>
    <row r="1315" spans="1:34" x14ac:dyDescent="0.2">
      <c r="A1315"/>
      <c r="B1315"/>
      <c r="C1315"/>
      <c r="D1315"/>
      <c r="E1315"/>
      <c r="F1315" t="str">
        <f>LEFT(AllDaqbookOffsets[[#This Row],[traceability_no]],2)</f>
        <v>K6</v>
      </c>
      <c r="N1315" s="456"/>
      <c r="O1315"/>
      <c r="Z1315" s="460"/>
      <c r="AA1315" s="194"/>
      <c r="AB1315"/>
      <c r="AG1315" s="69"/>
      <c r="AH1315"/>
    </row>
    <row r="1316" spans="1:34" x14ac:dyDescent="0.2">
      <c r="A1316"/>
      <c r="B1316"/>
      <c r="C1316"/>
      <c r="D1316"/>
      <c r="E1316"/>
      <c r="F1316" t="str">
        <f>LEFT(AllDaqbookOffsets[[#This Row],[traceability_no]],2)</f>
        <v>K6</v>
      </c>
      <c r="N1316" s="456"/>
      <c r="O1316"/>
      <c r="Z1316" s="460"/>
      <c r="AA1316" s="194"/>
      <c r="AB1316"/>
      <c r="AG1316" s="69"/>
      <c r="AH1316"/>
    </row>
    <row r="1317" spans="1:34" x14ac:dyDescent="0.2">
      <c r="A1317"/>
      <c r="B1317"/>
      <c r="C1317"/>
      <c r="D1317"/>
      <c r="E1317"/>
      <c r="F1317" t="str">
        <f>LEFT(AllDaqbookOffsets[[#This Row],[traceability_no]],2)</f>
        <v>K6</v>
      </c>
      <c r="N1317" s="456"/>
      <c r="O1317"/>
      <c r="Z1317" s="460"/>
      <c r="AA1317" s="194"/>
      <c r="AB1317"/>
      <c r="AG1317" s="69"/>
      <c r="AH1317"/>
    </row>
    <row r="1318" spans="1:34" x14ac:dyDescent="0.2">
      <c r="A1318"/>
      <c r="B1318"/>
      <c r="C1318"/>
      <c r="D1318"/>
      <c r="E1318"/>
      <c r="F1318" t="str">
        <f>LEFT(AllDaqbookOffsets[[#This Row],[traceability_no]],2)</f>
        <v>K6</v>
      </c>
      <c r="N1318" s="456"/>
      <c r="O1318"/>
      <c r="Z1318" s="460"/>
      <c r="AA1318" s="194"/>
      <c r="AB1318"/>
      <c r="AG1318" s="69"/>
      <c r="AH1318"/>
    </row>
    <row r="1319" spans="1:34" x14ac:dyDescent="0.2">
      <c r="A1319"/>
      <c r="B1319"/>
      <c r="C1319"/>
      <c r="D1319"/>
      <c r="E1319"/>
      <c r="F1319" t="str">
        <f>LEFT(AllDaqbookOffsets[[#This Row],[traceability_no]],2)</f>
        <v>K6</v>
      </c>
      <c r="N1319" s="456"/>
      <c r="O1319"/>
      <c r="Z1319" s="460"/>
      <c r="AA1319" s="194"/>
      <c r="AB1319"/>
      <c r="AG1319" s="69"/>
      <c r="AH1319"/>
    </row>
    <row r="1320" spans="1:34" x14ac:dyDescent="0.2">
      <c r="A1320"/>
      <c r="B1320"/>
      <c r="C1320"/>
      <c r="D1320"/>
      <c r="E1320"/>
      <c r="F1320" t="str">
        <f>LEFT(AllDaqbookOffsets[[#This Row],[traceability_no]],2)</f>
        <v>K6</v>
      </c>
      <c r="N1320" s="456"/>
      <c r="O1320"/>
      <c r="Z1320" s="460"/>
      <c r="AA1320" s="194"/>
      <c r="AB1320"/>
      <c r="AG1320" s="69"/>
      <c r="AH1320"/>
    </row>
    <row r="1321" spans="1:34" x14ac:dyDescent="0.2">
      <c r="A1321"/>
      <c r="B1321"/>
      <c r="C1321"/>
      <c r="D1321"/>
      <c r="E1321"/>
      <c r="F1321" t="str">
        <f>LEFT(AllDaqbookOffsets[[#This Row],[traceability_no]],2)</f>
        <v>K6</v>
      </c>
      <c r="N1321" s="456"/>
      <c r="O1321"/>
      <c r="Z1321" s="460"/>
      <c r="AA1321" s="194"/>
      <c r="AB1321"/>
      <c r="AG1321" s="69"/>
      <c r="AH1321"/>
    </row>
    <row r="1322" spans="1:34" x14ac:dyDescent="0.2">
      <c r="A1322"/>
      <c r="B1322"/>
      <c r="C1322"/>
      <c r="D1322"/>
      <c r="E1322"/>
      <c r="F1322" t="str">
        <f>LEFT(AllDaqbookOffsets[[#This Row],[traceability_no]],2)</f>
        <v>K6</v>
      </c>
      <c r="N1322" s="456"/>
      <c r="O1322"/>
      <c r="Z1322" s="460"/>
      <c r="AA1322" s="194"/>
      <c r="AB1322"/>
      <c r="AG1322" s="69"/>
      <c r="AH1322"/>
    </row>
    <row r="1323" spans="1:34" x14ac:dyDescent="0.2">
      <c r="A1323"/>
      <c r="B1323"/>
      <c r="C1323"/>
      <c r="D1323"/>
      <c r="E1323"/>
      <c r="F1323" t="str">
        <f>LEFT(AllDaqbookOffsets[[#This Row],[traceability_no]],2)</f>
        <v>K6</v>
      </c>
      <c r="N1323" s="456"/>
      <c r="O1323"/>
      <c r="Z1323" s="460"/>
      <c r="AA1323" s="194"/>
      <c r="AB1323"/>
      <c r="AG1323" s="69"/>
      <c r="AH1323"/>
    </row>
    <row r="1324" spans="1:34" x14ac:dyDescent="0.2">
      <c r="A1324"/>
      <c r="B1324"/>
      <c r="C1324"/>
      <c r="D1324"/>
      <c r="E1324"/>
      <c r="F1324" t="str">
        <f>LEFT(AllDaqbookOffsets[[#This Row],[traceability_no]],2)</f>
        <v>K6</v>
      </c>
      <c r="N1324" s="456"/>
      <c r="O1324"/>
      <c r="Z1324" s="460"/>
      <c r="AA1324" s="194"/>
      <c r="AB1324"/>
      <c r="AG1324" s="69"/>
      <c r="AH1324"/>
    </row>
    <row r="1325" spans="1:34" x14ac:dyDescent="0.2">
      <c r="A1325"/>
      <c r="B1325"/>
      <c r="C1325"/>
      <c r="D1325"/>
      <c r="E1325"/>
      <c r="F1325" t="str">
        <f>LEFT(AllDaqbookOffsets[[#This Row],[traceability_no]],2)</f>
        <v>K6</v>
      </c>
      <c r="N1325" s="456"/>
      <c r="O1325"/>
      <c r="Z1325" s="460"/>
      <c r="AA1325" s="194"/>
      <c r="AB1325"/>
      <c r="AG1325" s="69"/>
      <c r="AH1325"/>
    </row>
    <row r="1326" spans="1:34" x14ac:dyDescent="0.2">
      <c r="A1326"/>
      <c r="B1326"/>
      <c r="C1326"/>
      <c r="D1326"/>
      <c r="E1326"/>
      <c r="F1326" t="str">
        <f>LEFT(AllDaqbookOffsets[[#This Row],[traceability_no]],2)</f>
        <v>K6</v>
      </c>
      <c r="N1326" s="456"/>
      <c r="O1326"/>
      <c r="Z1326" s="460"/>
      <c r="AA1326" s="194"/>
      <c r="AB1326"/>
      <c r="AG1326" s="69"/>
      <c r="AH1326"/>
    </row>
    <row r="1327" spans="1:34" x14ac:dyDescent="0.2">
      <c r="A1327"/>
      <c r="B1327"/>
      <c r="C1327"/>
      <c r="D1327"/>
      <c r="E1327"/>
      <c r="F1327" t="str">
        <f>LEFT(AllDaqbookOffsets[[#This Row],[traceability_no]],2)</f>
        <v>K6</v>
      </c>
      <c r="N1327" s="456"/>
      <c r="O1327"/>
      <c r="Z1327" s="460"/>
      <c r="AA1327" s="194"/>
      <c r="AB1327"/>
      <c r="AG1327" s="69"/>
      <c r="AH1327"/>
    </row>
    <row r="1328" spans="1:34" x14ac:dyDescent="0.2">
      <c r="A1328"/>
      <c r="B1328"/>
      <c r="C1328"/>
      <c r="D1328"/>
      <c r="E1328"/>
      <c r="F1328" t="str">
        <f>LEFT(AllDaqbookOffsets[[#This Row],[traceability_no]],2)</f>
        <v>K6</v>
      </c>
      <c r="N1328" s="456"/>
      <c r="O1328"/>
      <c r="Z1328" s="460"/>
      <c r="AA1328" s="194"/>
      <c r="AB1328"/>
      <c r="AG1328" s="69"/>
      <c r="AH1328"/>
    </row>
    <row r="1329" spans="1:34" x14ac:dyDescent="0.2">
      <c r="A1329"/>
      <c r="B1329"/>
      <c r="C1329"/>
      <c r="D1329"/>
      <c r="E1329"/>
      <c r="F1329" t="str">
        <f>LEFT(AllDaqbookOffsets[[#This Row],[traceability_no]],2)</f>
        <v>K6</v>
      </c>
      <c r="N1329" s="456"/>
      <c r="O1329"/>
      <c r="Z1329" s="460"/>
      <c r="AA1329" s="194"/>
      <c r="AB1329"/>
      <c r="AG1329" s="69"/>
      <c r="AH1329"/>
    </row>
    <row r="1330" spans="1:34" x14ac:dyDescent="0.2">
      <c r="A1330"/>
      <c r="B1330"/>
      <c r="C1330"/>
      <c r="D1330"/>
      <c r="E1330"/>
      <c r="F1330" t="str">
        <f>LEFT(AllDaqbookOffsets[[#This Row],[traceability_no]],2)</f>
        <v>K6</v>
      </c>
      <c r="N1330" s="456"/>
      <c r="O1330"/>
      <c r="Z1330" s="460"/>
      <c r="AA1330" s="194"/>
      <c r="AB1330"/>
      <c r="AG1330" s="69"/>
      <c r="AH1330"/>
    </row>
    <row r="1331" spans="1:34" x14ac:dyDescent="0.2">
      <c r="A1331"/>
      <c r="B1331"/>
      <c r="C1331"/>
      <c r="D1331"/>
      <c r="E1331"/>
      <c r="F1331" t="str">
        <f>LEFT(AllDaqbookOffsets[[#This Row],[traceability_no]],2)</f>
        <v>K6</v>
      </c>
      <c r="N1331" s="456"/>
      <c r="O1331"/>
      <c r="Z1331" s="460"/>
      <c r="AA1331" s="194"/>
      <c r="AB1331"/>
      <c r="AG1331" s="69"/>
      <c r="AH1331"/>
    </row>
    <row r="1332" spans="1:34" x14ac:dyDescent="0.2">
      <c r="A1332"/>
      <c r="B1332"/>
      <c r="C1332"/>
      <c r="D1332"/>
      <c r="E1332"/>
      <c r="F1332" t="str">
        <f>LEFT(AllDaqbookOffsets[[#This Row],[traceability_no]],2)</f>
        <v>K6</v>
      </c>
      <c r="N1332" s="456"/>
      <c r="O1332"/>
      <c r="Z1332" s="460"/>
      <c r="AA1332" s="194"/>
      <c r="AB1332"/>
      <c r="AG1332" s="69"/>
      <c r="AH1332"/>
    </row>
    <row r="1333" spans="1:34" x14ac:dyDescent="0.2">
      <c r="A1333"/>
      <c r="B1333"/>
      <c r="C1333"/>
      <c r="D1333"/>
      <c r="E1333"/>
      <c r="F1333" t="str">
        <f>LEFT(AllDaqbookOffsets[[#This Row],[traceability_no]],2)</f>
        <v>K6</v>
      </c>
      <c r="N1333" s="456"/>
      <c r="O1333"/>
      <c r="Z1333" s="460"/>
      <c r="AA1333" s="194"/>
      <c r="AB1333"/>
      <c r="AG1333" s="69"/>
      <c r="AH1333"/>
    </row>
    <row r="1334" spans="1:34" x14ac:dyDescent="0.2">
      <c r="A1334"/>
      <c r="B1334"/>
      <c r="C1334"/>
      <c r="D1334"/>
      <c r="E1334"/>
      <c r="F1334" t="str">
        <f>LEFT(AllDaqbookOffsets[[#This Row],[traceability_no]],2)</f>
        <v>K6</v>
      </c>
      <c r="N1334" s="456"/>
      <c r="O1334"/>
      <c r="Z1334" s="460"/>
      <c r="AA1334" s="194"/>
      <c r="AB1334"/>
      <c r="AG1334" s="69"/>
      <c r="AH1334"/>
    </row>
    <row r="1335" spans="1:34" x14ac:dyDescent="0.2">
      <c r="A1335"/>
      <c r="B1335"/>
      <c r="C1335"/>
      <c r="D1335"/>
      <c r="E1335"/>
      <c r="F1335" t="str">
        <f>LEFT(AllDaqbookOffsets[[#This Row],[traceability_no]],2)</f>
        <v>K6</v>
      </c>
      <c r="N1335" s="456"/>
      <c r="O1335"/>
      <c r="Z1335" s="460"/>
      <c r="AA1335" s="194"/>
      <c r="AB1335"/>
      <c r="AG1335" s="69"/>
      <c r="AH1335"/>
    </row>
    <row r="1336" spans="1:34" x14ac:dyDescent="0.2">
      <c r="A1336"/>
      <c r="B1336"/>
      <c r="C1336"/>
      <c r="D1336"/>
      <c r="E1336"/>
      <c r="F1336" t="str">
        <f>LEFT(AllDaqbookOffsets[[#This Row],[traceability_no]],2)</f>
        <v>K6</v>
      </c>
      <c r="N1336" s="456"/>
      <c r="O1336"/>
      <c r="Z1336" s="460"/>
      <c r="AA1336" s="194"/>
      <c r="AB1336"/>
      <c r="AG1336" s="69"/>
      <c r="AH1336"/>
    </row>
    <row r="1337" spans="1:34" x14ac:dyDescent="0.2">
      <c r="A1337"/>
      <c r="B1337"/>
      <c r="C1337"/>
      <c r="D1337"/>
      <c r="E1337"/>
      <c r="F1337" t="str">
        <f>LEFT(AllDaqbookOffsets[[#This Row],[traceability_no]],2)</f>
        <v>K6</v>
      </c>
      <c r="N1337" s="456"/>
      <c r="O1337"/>
      <c r="Z1337" s="460"/>
      <c r="AA1337" s="194"/>
      <c r="AB1337"/>
      <c r="AG1337" s="69"/>
      <c r="AH1337"/>
    </row>
    <row r="1338" spans="1:34" x14ac:dyDescent="0.2">
      <c r="A1338"/>
      <c r="B1338"/>
      <c r="C1338"/>
      <c r="D1338"/>
      <c r="E1338"/>
      <c r="F1338" t="str">
        <f>LEFT(AllDaqbookOffsets[[#This Row],[traceability_no]],2)</f>
        <v>K6</v>
      </c>
      <c r="N1338" s="456"/>
      <c r="O1338"/>
      <c r="Z1338" s="460"/>
      <c r="AA1338" s="194"/>
      <c r="AB1338"/>
      <c r="AG1338" s="69"/>
      <c r="AH1338"/>
    </row>
    <row r="1339" spans="1:34" x14ac:dyDescent="0.2">
      <c r="A1339"/>
      <c r="B1339"/>
      <c r="C1339"/>
      <c r="D1339"/>
      <c r="E1339"/>
      <c r="F1339" t="str">
        <f>LEFT(AllDaqbookOffsets[[#This Row],[traceability_no]],2)</f>
        <v>K6</v>
      </c>
      <c r="N1339" s="456"/>
      <c r="O1339"/>
      <c r="Z1339" s="460"/>
      <c r="AA1339" s="194"/>
      <c r="AB1339"/>
      <c r="AG1339" s="69"/>
      <c r="AH1339"/>
    </row>
    <row r="1340" spans="1:34" x14ac:dyDescent="0.2">
      <c r="A1340"/>
      <c r="B1340"/>
      <c r="C1340"/>
      <c r="D1340"/>
      <c r="E1340"/>
      <c r="F1340" t="str">
        <f>LEFT(AllDaqbookOffsets[[#This Row],[traceability_no]],2)</f>
        <v>K6</v>
      </c>
      <c r="N1340" s="456"/>
      <c r="O1340"/>
      <c r="Z1340" s="460"/>
      <c r="AA1340" s="194"/>
      <c r="AB1340"/>
      <c r="AG1340" s="69"/>
      <c r="AH1340"/>
    </row>
    <row r="1341" spans="1:34" x14ac:dyDescent="0.2">
      <c r="A1341"/>
      <c r="B1341"/>
      <c r="C1341"/>
      <c r="D1341"/>
      <c r="E1341"/>
      <c r="F1341" t="str">
        <f>LEFT(AllDaqbookOffsets[[#This Row],[traceability_no]],2)</f>
        <v>K6</v>
      </c>
      <c r="N1341" s="456"/>
      <c r="O1341"/>
      <c r="Z1341" s="460"/>
      <c r="AA1341" s="194"/>
      <c r="AB1341"/>
      <c r="AG1341" s="69"/>
      <c r="AH1341"/>
    </row>
    <row r="1342" spans="1:34" x14ac:dyDescent="0.2">
      <c r="A1342"/>
      <c r="B1342"/>
      <c r="C1342"/>
      <c r="D1342"/>
      <c r="E1342"/>
      <c r="F1342" t="str">
        <f>LEFT(AllDaqbookOffsets[[#This Row],[traceability_no]],2)</f>
        <v>K6</v>
      </c>
      <c r="N1342" s="456"/>
      <c r="O1342"/>
      <c r="Z1342" s="460"/>
      <c r="AA1342" s="194"/>
      <c r="AB1342"/>
      <c r="AG1342" s="69"/>
      <c r="AH1342"/>
    </row>
    <row r="1343" spans="1:34" x14ac:dyDescent="0.2">
      <c r="A1343"/>
      <c r="B1343"/>
      <c r="C1343"/>
      <c r="D1343"/>
      <c r="E1343"/>
      <c r="F1343" t="str">
        <f>LEFT(AllDaqbookOffsets[[#This Row],[traceability_no]],2)</f>
        <v>K6</v>
      </c>
      <c r="N1343" s="456"/>
      <c r="O1343"/>
      <c r="Z1343" s="460"/>
      <c r="AA1343" s="194"/>
      <c r="AB1343"/>
      <c r="AG1343" s="69"/>
      <c r="AH1343"/>
    </row>
    <row r="1344" spans="1:34" x14ac:dyDescent="0.2">
      <c r="A1344"/>
      <c r="B1344"/>
      <c r="C1344"/>
      <c r="D1344"/>
      <c r="E1344"/>
      <c r="F1344" t="str">
        <f>LEFT(AllDaqbookOffsets[[#This Row],[traceability_no]],2)</f>
        <v>K6</v>
      </c>
      <c r="N1344" s="456"/>
      <c r="O1344"/>
      <c r="Z1344" s="460"/>
      <c r="AA1344" s="194"/>
      <c r="AB1344"/>
      <c r="AG1344" s="69"/>
      <c r="AH1344"/>
    </row>
    <row r="1345" spans="1:34" x14ac:dyDescent="0.2">
      <c r="A1345"/>
      <c r="B1345"/>
      <c r="C1345"/>
      <c r="D1345"/>
      <c r="E1345"/>
      <c r="F1345" t="str">
        <f>LEFT(AllDaqbookOffsets[[#This Row],[traceability_no]],2)</f>
        <v>K6</v>
      </c>
      <c r="N1345" s="456"/>
      <c r="O1345"/>
      <c r="Z1345" s="460"/>
      <c r="AA1345" s="194"/>
      <c r="AB1345"/>
      <c r="AG1345" s="69"/>
      <c r="AH1345"/>
    </row>
    <row r="1346" spans="1:34" x14ac:dyDescent="0.2">
      <c r="A1346"/>
      <c r="B1346"/>
      <c r="C1346"/>
      <c r="D1346"/>
      <c r="E1346"/>
      <c r="F1346" t="str">
        <f>LEFT(AllDaqbookOffsets[[#This Row],[traceability_no]],2)</f>
        <v>K6</v>
      </c>
      <c r="N1346" s="456"/>
      <c r="O1346"/>
      <c r="Z1346" s="460"/>
      <c r="AA1346" s="194"/>
      <c r="AB1346"/>
      <c r="AG1346" s="69"/>
      <c r="AH1346"/>
    </row>
    <row r="1347" spans="1:34" x14ac:dyDescent="0.2">
      <c r="A1347"/>
      <c r="B1347"/>
      <c r="C1347"/>
      <c r="D1347"/>
      <c r="E1347"/>
      <c r="F1347" t="str">
        <f>LEFT(AllDaqbookOffsets[[#This Row],[traceability_no]],2)</f>
        <v>K6</v>
      </c>
      <c r="N1347" s="456"/>
      <c r="O1347"/>
      <c r="Z1347" s="460"/>
      <c r="AA1347" s="194"/>
      <c r="AB1347"/>
      <c r="AG1347" s="69"/>
      <c r="AH1347"/>
    </row>
    <row r="1348" spans="1:34" x14ac:dyDescent="0.2">
      <c r="A1348"/>
      <c r="B1348"/>
      <c r="C1348"/>
      <c r="D1348"/>
      <c r="E1348"/>
      <c r="F1348" t="str">
        <f>LEFT(AllDaqbookOffsets[[#This Row],[traceability_no]],2)</f>
        <v>K6</v>
      </c>
      <c r="N1348" s="456"/>
      <c r="O1348"/>
      <c r="Z1348" s="460"/>
      <c r="AA1348" s="194"/>
      <c r="AB1348"/>
      <c r="AG1348" s="69"/>
      <c r="AH1348"/>
    </row>
    <row r="1349" spans="1:34" x14ac:dyDescent="0.2">
      <c r="A1349"/>
      <c r="B1349"/>
      <c r="C1349"/>
      <c r="D1349"/>
      <c r="E1349"/>
      <c r="F1349" t="str">
        <f>LEFT(AllDaqbookOffsets[[#This Row],[traceability_no]],2)</f>
        <v>K6</v>
      </c>
      <c r="N1349" s="456"/>
      <c r="O1349"/>
      <c r="Z1349" s="460"/>
      <c r="AA1349" s="194"/>
      <c r="AB1349"/>
      <c r="AG1349" s="69"/>
      <c r="AH1349"/>
    </row>
    <row r="1350" spans="1:34" x14ac:dyDescent="0.2">
      <c r="A1350"/>
      <c r="B1350"/>
      <c r="C1350"/>
      <c r="D1350"/>
      <c r="E1350"/>
      <c r="F1350" t="str">
        <f>LEFT(AllDaqbookOffsets[[#This Row],[traceability_no]],2)</f>
        <v>K6</v>
      </c>
      <c r="N1350" s="456"/>
      <c r="O1350"/>
      <c r="Z1350" s="460"/>
      <c r="AA1350" s="194"/>
      <c r="AB1350"/>
      <c r="AG1350" s="69"/>
      <c r="AH1350"/>
    </row>
    <row r="1351" spans="1:34" x14ac:dyDescent="0.2">
      <c r="A1351"/>
      <c r="B1351"/>
      <c r="C1351"/>
      <c r="D1351"/>
      <c r="E1351"/>
      <c r="F1351" t="str">
        <f>LEFT(AllDaqbookOffsets[[#This Row],[traceability_no]],2)</f>
        <v>K6</v>
      </c>
      <c r="N1351" s="456"/>
      <c r="O1351"/>
      <c r="Z1351" s="460"/>
      <c r="AA1351" s="194"/>
      <c r="AB1351"/>
      <c r="AG1351" s="69"/>
      <c r="AH1351"/>
    </row>
    <row r="1352" spans="1:34" x14ac:dyDescent="0.2">
      <c r="A1352"/>
      <c r="B1352"/>
      <c r="C1352"/>
      <c r="D1352"/>
      <c r="E1352"/>
      <c r="F1352" t="str">
        <f>LEFT(AllDaqbookOffsets[[#This Row],[traceability_no]],2)</f>
        <v>K6</v>
      </c>
      <c r="N1352" s="456"/>
      <c r="O1352"/>
      <c r="Z1352" s="460"/>
      <c r="AA1352" s="194"/>
      <c r="AB1352"/>
      <c r="AG1352" s="69"/>
      <c r="AH1352"/>
    </row>
    <row r="1353" spans="1:34" x14ac:dyDescent="0.2">
      <c r="A1353"/>
      <c r="B1353"/>
      <c r="C1353"/>
      <c r="D1353"/>
      <c r="E1353"/>
      <c r="F1353" t="str">
        <f>LEFT(AllDaqbookOffsets[[#This Row],[traceability_no]],2)</f>
        <v>K6</v>
      </c>
      <c r="N1353" s="456"/>
      <c r="O1353"/>
      <c r="Z1353" s="460"/>
      <c r="AA1353" s="194"/>
      <c r="AB1353"/>
      <c r="AG1353" s="69"/>
      <c r="AH1353"/>
    </row>
    <row r="1354" spans="1:34" x14ac:dyDescent="0.2">
      <c r="A1354"/>
      <c r="B1354"/>
      <c r="C1354"/>
      <c r="D1354"/>
      <c r="E1354"/>
      <c r="F1354" t="str">
        <f>LEFT(AllDaqbookOffsets[[#This Row],[traceability_no]],2)</f>
        <v>K6</v>
      </c>
      <c r="N1354" s="456"/>
      <c r="O1354"/>
      <c r="Z1354" s="460"/>
      <c r="AA1354" s="194"/>
      <c r="AB1354"/>
      <c r="AG1354" s="69"/>
      <c r="AH1354"/>
    </row>
    <row r="1355" spans="1:34" x14ac:dyDescent="0.2">
      <c r="A1355"/>
      <c r="B1355"/>
      <c r="C1355"/>
      <c r="D1355"/>
      <c r="E1355"/>
      <c r="F1355" t="str">
        <f>LEFT(AllDaqbookOffsets[[#This Row],[traceability_no]],2)</f>
        <v>K6</v>
      </c>
      <c r="N1355" s="456"/>
      <c r="O1355"/>
      <c r="Z1355" s="460"/>
      <c r="AA1355" s="194"/>
      <c r="AB1355"/>
      <c r="AG1355" s="69"/>
      <c r="AH1355"/>
    </row>
    <row r="1356" spans="1:34" x14ac:dyDescent="0.2">
      <c r="A1356"/>
      <c r="B1356"/>
      <c r="C1356"/>
      <c r="D1356"/>
      <c r="E1356"/>
      <c r="F1356" t="str">
        <f>LEFT(AllDaqbookOffsets[[#This Row],[traceability_no]],2)</f>
        <v>K6</v>
      </c>
      <c r="N1356" s="456"/>
      <c r="O1356"/>
      <c r="Z1356" s="460"/>
      <c r="AA1356" s="194"/>
      <c r="AB1356"/>
      <c r="AG1356" s="69"/>
      <c r="AH1356"/>
    </row>
    <row r="1357" spans="1:34" x14ac:dyDescent="0.2">
      <c r="A1357"/>
      <c r="B1357"/>
      <c r="C1357"/>
      <c r="D1357"/>
      <c r="E1357"/>
      <c r="F1357" t="str">
        <f>LEFT(AllDaqbookOffsets[[#This Row],[traceability_no]],2)</f>
        <v>K6</v>
      </c>
      <c r="N1357" s="456"/>
      <c r="O1357"/>
      <c r="Z1357" s="460"/>
      <c r="AA1357" s="194"/>
      <c r="AB1357"/>
      <c r="AG1357" s="69"/>
      <c r="AH1357"/>
    </row>
    <row r="1358" spans="1:34" x14ac:dyDescent="0.2">
      <c r="A1358"/>
      <c r="B1358"/>
      <c r="C1358"/>
      <c r="D1358"/>
      <c r="E1358"/>
      <c r="F1358" t="str">
        <f>LEFT(AllDaqbookOffsets[[#This Row],[traceability_no]],2)</f>
        <v>K6</v>
      </c>
      <c r="N1358" s="456"/>
      <c r="O1358"/>
      <c r="Z1358" s="460"/>
      <c r="AA1358" s="194"/>
      <c r="AB1358"/>
      <c r="AG1358" s="69"/>
      <c r="AH1358"/>
    </row>
    <row r="1359" spans="1:34" x14ac:dyDescent="0.2">
      <c r="A1359"/>
      <c r="B1359"/>
      <c r="C1359"/>
      <c r="D1359"/>
      <c r="E1359"/>
      <c r="F1359" t="str">
        <f>LEFT(AllDaqbookOffsets[[#This Row],[traceability_no]],2)</f>
        <v>K6</v>
      </c>
      <c r="N1359" s="456"/>
      <c r="O1359"/>
      <c r="Z1359" s="460"/>
      <c r="AA1359" s="194"/>
      <c r="AB1359"/>
      <c r="AG1359" s="69"/>
      <c r="AH1359"/>
    </row>
    <row r="1360" spans="1:34" x14ac:dyDescent="0.2">
      <c r="A1360"/>
      <c r="B1360"/>
      <c r="C1360"/>
      <c r="D1360"/>
      <c r="E1360"/>
      <c r="F1360" t="str">
        <f>LEFT(AllDaqbookOffsets[[#This Row],[traceability_no]],2)</f>
        <v>K6</v>
      </c>
      <c r="N1360" s="456"/>
      <c r="O1360"/>
      <c r="Z1360" s="460"/>
      <c r="AA1360" s="194"/>
      <c r="AB1360"/>
      <c r="AG1360" s="69"/>
      <c r="AH1360"/>
    </row>
    <row r="1361" spans="1:34" x14ac:dyDescent="0.2">
      <c r="A1361"/>
      <c r="B1361"/>
      <c r="C1361"/>
      <c r="D1361"/>
      <c r="E1361"/>
      <c r="F1361" t="str">
        <f>LEFT(AllDaqbookOffsets[[#This Row],[traceability_no]],2)</f>
        <v>K6</v>
      </c>
      <c r="N1361" s="456"/>
      <c r="O1361"/>
      <c r="Z1361" s="460"/>
      <c r="AA1361" s="194"/>
      <c r="AB1361"/>
      <c r="AG1361" s="69"/>
      <c r="AH1361"/>
    </row>
    <row r="1362" spans="1:34" x14ac:dyDescent="0.2">
      <c r="A1362"/>
      <c r="B1362"/>
      <c r="C1362"/>
      <c r="D1362"/>
      <c r="E1362"/>
      <c r="F1362" t="str">
        <f>LEFT(AllDaqbookOffsets[[#This Row],[traceability_no]],2)</f>
        <v>K6</v>
      </c>
      <c r="N1362" s="456"/>
      <c r="O1362"/>
      <c r="Z1362" s="460"/>
      <c r="AA1362" s="194"/>
      <c r="AB1362"/>
      <c r="AG1362" s="69"/>
      <c r="AH1362"/>
    </row>
    <row r="1363" spans="1:34" x14ac:dyDescent="0.2">
      <c r="A1363"/>
      <c r="B1363"/>
      <c r="C1363"/>
      <c r="D1363"/>
      <c r="E1363"/>
      <c r="F1363" t="str">
        <f>LEFT(AllDaqbookOffsets[[#This Row],[traceability_no]],2)</f>
        <v>K6</v>
      </c>
      <c r="N1363" s="456"/>
      <c r="O1363"/>
      <c r="Z1363" s="460"/>
      <c r="AA1363" s="194"/>
      <c r="AB1363"/>
      <c r="AG1363" s="69"/>
      <c r="AH1363"/>
    </row>
    <row r="1364" spans="1:34" x14ac:dyDescent="0.2">
      <c r="A1364"/>
      <c r="B1364"/>
      <c r="C1364"/>
      <c r="D1364"/>
      <c r="E1364"/>
      <c r="F1364" t="str">
        <f>LEFT(AllDaqbookOffsets[[#This Row],[traceability_no]],2)</f>
        <v>K6</v>
      </c>
      <c r="N1364" s="456"/>
      <c r="O1364"/>
      <c r="Z1364" s="460"/>
      <c r="AA1364" s="194"/>
      <c r="AB1364"/>
      <c r="AG1364" s="69"/>
      <c r="AH1364"/>
    </row>
    <row r="1365" spans="1:34" x14ac:dyDescent="0.2">
      <c r="A1365"/>
      <c r="B1365"/>
      <c r="C1365"/>
      <c r="D1365"/>
      <c r="E1365"/>
      <c r="F1365" t="str">
        <f>LEFT(AllDaqbookOffsets[[#This Row],[traceability_no]],2)</f>
        <v>K6</v>
      </c>
      <c r="N1365" s="456"/>
      <c r="O1365"/>
      <c r="Z1365" s="460"/>
      <c r="AA1365" s="194"/>
      <c r="AB1365"/>
      <c r="AG1365" s="69"/>
      <c r="AH1365"/>
    </row>
    <row r="1366" spans="1:34" x14ac:dyDescent="0.2">
      <c r="A1366"/>
      <c r="B1366"/>
      <c r="C1366"/>
      <c r="D1366"/>
      <c r="E1366"/>
      <c r="F1366" t="str">
        <f>LEFT(AllDaqbookOffsets[[#This Row],[traceability_no]],2)</f>
        <v>K6</v>
      </c>
      <c r="N1366" s="456"/>
      <c r="O1366"/>
      <c r="Z1366" s="460"/>
      <c r="AA1366" s="194"/>
      <c r="AB1366"/>
      <c r="AG1366" s="69"/>
      <c r="AH1366"/>
    </row>
    <row r="1367" spans="1:34" x14ac:dyDescent="0.2">
      <c r="A1367"/>
      <c r="B1367"/>
      <c r="C1367"/>
      <c r="D1367"/>
      <c r="E1367"/>
      <c r="F1367" t="str">
        <f>LEFT(AllDaqbookOffsets[[#This Row],[traceability_no]],2)</f>
        <v>K6</v>
      </c>
      <c r="N1367" s="456"/>
      <c r="O1367"/>
      <c r="Z1367" s="460"/>
      <c r="AA1367" s="194"/>
      <c r="AB1367"/>
      <c r="AG1367" s="69"/>
      <c r="AH1367"/>
    </row>
    <row r="1368" spans="1:34" x14ac:dyDescent="0.2">
      <c r="A1368"/>
      <c r="B1368"/>
      <c r="C1368"/>
      <c r="D1368"/>
      <c r="E1368"/>
      <c r="F1368" t="str">
        <f>LEFT(AllDaqbookOffsets[[#This Row],[traceability_no]],2)</f>
        <v>K6</v>
      </c>
      <c r="N1368" s="456"/>
      <c r="O1368"/>
      <c r="Z1368" s="460"/>
      <c r="AA1368" s="194"/>
      <c r="AB1368"/>
      <c r="AG1368" s="69"/>
      <c r="AH1368"/>
    </row>
    <row r="1369" spans="1:34" x14ac:dyDescent="0.2">
      <c r="A1369"/>
      <c r="B1369"/>
      <c r="C1369"/>
      <c r="D1369"/>
      <c r="E1369"/>
      <c r="F1369" t="str">
        <f>LEFT(AllDaqbookOffsets[[#This Row],[traceability_no]],2)</f>
        <v>K6</v>
      </c>
      <c r="N1369" s="456"/>
      <c r="O1369"/>
      <c r="Z1369" s="460"/>
      <c r="AA1369" s="194"/>
      <c r="AB1369"/>
      <c r="AG1369" s="69"/>
      <c r="AH1369"/>
    </row>
    <row r="1370" spans="1:34" x14ac:dyDescent="0.2">
      <c r="A1370"/>
      <c r="B1370"/>
      <c r="C1370"/>
      <c r="D1370"/>
      <c r="E1370"/>
      <c r="F1370" t="str">
        <f>LEFT(AllDaqbookOffsets[[#This Row],[traceability_no]],2)</f>
        <v>N2</v>
      </c>
      <c r="N1370" s="456"/>
      <c r="O1370"/>
      <c r="Z1370" s="460"/>
      <c r="AA1370" s="194"/>
      <c r="AB1370"/>
      <c r="AG1370" s="69"/>
      <c r="AH1370"/>
    </row>
    <row r="1371" spans="1:34" x14ac:dyDescent="0.2">
      <c r="A1371"/>
      <c r="B1371"/>
      <c r="C1371"/>
      <c r="D1371"/>
      <c r="E1371"/>
      <c r="F1371" t="str">
        <f>LEFT(AllDaqbookOffsets[[#This Row],[traceability_no]],2)</f>
        <v>N2</v>
      </c>
      <c r="N1371" s="456"/>
      <c r="O1371"/>
      <c r="Z1371" s="460"/>
      <c r="AA1371" s="194"/>
      <c r="AB1371"/>
      <c r="AG1371" s="69"/>
      <c r="AH1371"/>
    </row>
    <row r="1372" spans="1:34" x14ac:dyDescent="0.2">
      <c r="A1372"/>
      <c r="B1372"/>
      <c r="C1372"/>
      <c r="D1372"/>
      <c r="E1372"/>
      <c r="F1372" t="str">
        <f>LEFT(AllDaqbookOffsets[[#This Row],[traceability_no]],2)</f>
        <v>N2</v>
      </c>
      <c r="N1372" s="456"/>
      <c r="O1372"/>
      <c r="Z1372" s="460"/>
      <c r="AA1372" s="194"/>
      <c r="AB1372"/>
      <c r="AG1372" s="69"/>
      <c r="AH1372"/>
    </row>
    <row r="1373" spans="1:34" x14ac:dyDescent="0.2">
      <c r="A1373"/>
      <c r="B1373"/>
      <c r="C1373"/>
      <c r="D1373"/>
      <c r="E1373"/>
      <c r="F1373" t="str">
        <f>LEFT(AllDaqbookOffsets[[#This Row],[traceability_no]],2)</f>
        <v>N2</v>
      </c>
      <c r="N1373" s="456"/>
      <c r="O1373"/>
      <c r="Z1373" s="460"/>
      <c r="AA1373" s="194"/>
      <c r="AB1373"/>
      <c r="AG1373" s="69"/>
      <c r="AH1373"/>
    </row>
    <row r="1374" spans="1:34" x14ac:dyDescent="0.2">
      <c r="A1374"/>
      <c r="B1374"/>
      <c r="C1374"/>
      <c r="D1374"/>
      <c r="E1374"/>
      <c r="F1374" t="str">
        <f>LEFT(AllDaqbookOffsets[[#This Row],[traceability_no]],2)</f>
        <v>N2</v>
      </c>
      <c r="N1374" s="456"/>
      <c r="O1374"/>
      <c r="Z1374" s="460"/>
      <c r="AA1374" s="194"/>
      <c r="AB1374"/>
      <c r="AG1374" s="69"/>
      <c r="AH1374"/>
    </row>
    <row r="1375" spans="1:34" x14ac:dyDescent="0.2">
      <c r="A1375"/>
      <c r="B1375"/>
      <c r="C1375"/>
      <c r="D1375"/>
      <c r="E1375"/>
      <c r="F1375" t="str">
        <f>LEFT(AllDaqbookOffsets[[#This Row],[traceability_no]],2)</f>
        <v>N2</v>
      </c>
      <c r="N1375" s="456"/>
      <c r="O1375"/>
      <c r="Z1375" s="460"/>
      <c r="AA1375" s="194"/>
      <c r="AB1375"/>
      <c r="AG1375" s="69"/>
      <c r="AH1375"/>
    </row>
    <row r="1376" spans="1:34" x14ac:dyDescent="0.2">
      <c r="A1376"/>
      <c r="B1376"/>
      <c r="C1376"/>
      <c r="D1376"/>
      <c r="E1376"/>
      <c r="F1376" t="str">
        <f>LEFT(AllDaqbookOffsets[[#This Row],[traceability_no]],2)</f>
        <v>N2</v>
      </c>
      <c r="N1376" s="456"/>
      <c r="O1376"/>
      <c r="Z1376" s="460"/>
      <c r="AA1376" s="194"/>
      <c r="AB1376"/>
      <c r="AG1376" s="69"/>
      <c r="AH1376"/>
    </row>
    <row r="1377" spans="1:34" x14ac:dyDescent="0.2">
      <c r="A1377"/>
      <c r="B1377"/>
      <c r="C1377"/>
      <c r="D1377"/>
      <c r="E1377"/>
      <c r="F1377" t="str">
        <f>LEFT(AllDaqbookOffsets[[#This Row],[traceability_no]],2)</f>
        <v>N2</v>
      </c>
      <c r="N1377" s="456"/>
      <c r="O1377"/>
      <c r="Z1377" s="460"/>
      <c r="AA1377" s="194"/>
      <c r="AB1377"/>
      <c r="AG1377" s="69"/>
      <c r="AH1377"/>
    </row>
    <row r="1378" spans="1:34" x14ac:dyDescent="0.2">
      <c r="A1378"/>
      <c r="B1378"/>
      <c r="C1378"/>
      <c r="D1378"/>
      <c r="E1378"/>
      <c r="F1378" t="str">
        <f>LEFT(AllDaqbookOffsets[[#This Row],[traceability_no]],2)</f>
        <v>N2</v>
      </c>
      <c r="N1378" s="456"/>
      <c r="O1378"/>
      <c r="Z1378" s="460"/>
      <c r="AA1378" s="194"/>
      <c r="AB1378"/>
      <c r="AG1378" s="69"/>
      <c r="AH1378"/>
    </row>
    <row r="1379" spans="1:34" x14ac:dyDescent="0.2">
      <c r="A1379"/>
      <c r="B1379"/>
      <c r="C1379"/>
      <c r="D1379"/>
      <c r="E1379"/>
      <c r="F1379" t="str">
        <f>LEFT(AllDaqbookOffsets[[#This Row],[traceability_no]],2)</f>
        <v>N2</v>
      </c>
      <c r="N1379" s="456"/>
      <c r="O1379"/>
      <c r="Z1379" s="460"/>
      <c r="AA1379" s="194"/>
      <c r="AB1379"/>
      <c r="AG1379" s="69"/>
      <c r="AH1379"/>
    </row>
    <row r="1380" spans="1:34" x14ac:dyDescent="0.2">
      <c r="A1380"/>
      <c r="B1380"/>
      <c r="C1380"/>
      <c r="D1380"/>
      <c r="E1380"/>
      <c r="F1380" t="str">
        <f>LEFT(AllDaqbookOffsets[[#This Row],[traceability_no]],2)</f>
        <v>N2</v>
      </c>
      <c r="N1380" s="456"/>
      <c r="O1380"/>
      <c r="Z1380" s="460"/>
      <c r="AA1380" s="194"/>
      <c r="AB1380"/>
      <c r="AG1380" s="69"/>
      <c r="AH1380"/>
    </row>
    <row r="1381" spans="1:34" x14ac:dyDescent="0.2">
      <c r="A1381"/>
      <c r="B1381"/>
      <c r="C1381"/>
      <c r="D1381"/>
      <c r="E1381"/>
      <c r="F1381" t="str">
        <f>LEFT(AllDaqbookOffsets[[#This Row],[traceability_no]],2)</f>
        <v>N2</v>
      </c>
      <c r="N1381" s="456"/>
      <c r="O1381"/>
      <c r="Z1381" s="460"/>
      <c r="AA1381" s="194"/>
      <c r="AB1381"/>
      <c r="AG1381" s="69"/>
      <c r="AH1381"/>
    </row>
    <row r="1382" spans="1:34" x14ac:dyDescent="0.2">
      <c r="A1382"/>
      <c r="B1382"/>
      <c r="C1382"/>
      <c r="D1382"/>
      <c r="E1382"/>
      <c r="F1382" t="str">
        <f>LEFT(AllDaqbookOffsets[[#This Row],[traceability_no]],2)</f>
        <v>N2</v>
      </c>
      <c r="N1382" s="456"/>
      <c r="O1382"/>
      <c r="Z1382" s="460"/>
      <c r="AA1382" s="194"/>
      <c r="AB1382"/>
      <c r="AG1382" s="69"/>
      <c r="AH1382"/>
    </row>
    <row r="1383" spans="1:34" x14ac:dyDescent="0.2">
      <c r="A1383"/>
      <c r="B1383"/>
      <c r="C1383"/>
      <c r="D1383"/>
      <c r="E1383"/>
      <c r="F1383" t="str">
        <f>LEFT(AllDaqbookOffsets[[#This Row],[traceability_no]],2)</f>
        <v>N2</v>
      </c>
      <c r="N1383" s="456"/>
      <c r="O1383"/>
      <c r="Z1383" s="460"/>
      <c r="AA1383" s="194"/>
      <c r="AB1383"/>
      <c r="AG1383" s="69"/>
      <c r="AH1383"/>
    </row>
    <row r="1384" spans="1:34" x14ac:dyDescent="0.2">
      <c r="A1384"/>
      <c r="B1384"/>
      <c r="C1384"/>
      <c r="D1384"/>
      <c r="E1384"/>
      <c r="F1384" t="str">
        <f>LEFT(AllDaqbookOffsets[[#This Row],[traceability_no]],2)</f>
        <v>N2</v>
      </c>
      <c r="N1384" s="456"/>
      <c r="O1384"/>
      <c r="Z1384" s="460"/>
      <c r="AA1384" s="194"/>
      <c r="AB1384"/>
      <c r="AG1384" s="69"/>
      <c r="AH1384"/>
    </row>
    <row r="1385" spans="1:34" x14ac:dyDescent="0.2">
      <c r="A1385"/>
      <c r="B1385"/>
      <c r="C1385"/>
      <c r="D1385"/>
      <c r="E1385"/>
      <c r="F1385" t="str">
        <f>LEFT(AllDaqbookOffsets[[#This Row],[traceability_no]],2)</f>
        <v>N2</v>
      </c>
      <c r="N1385" s="456"/>
      <c r="O1385"/>
      <c r="Z1385" s="460"/>
      <c r="AA1385" s="194"/>
      <c r="AB1385"/>
      <c r="AG1385" s="69"/>
      <c r="AH1385"/>
    </row>
    <row r="1386" spans="1:34" x14ac:dyDescent="0.2">
      <c r="A1386"/>
      <c r="B1386"/>
      <c r="C1386"/>
      <c r="D1386"/>
      <c r="E1386"/>
      <c r="F1386" t="str">
        <f>LEFT(AllDaqbookOffsets[[#This Row],[traceability_no]],2)</f>
        <v>N2</v>
      </c>
      <c r="N1386" s="456"/>
      <c r="O1386"/>
      <c r="Z1386" s="460"/>
      <c r="AA1386" s="194"/>
      <c r="AB1386"/>
      <c r="AG1386" s="69"/>
      <c r="AH1386"/>
    </row>
    <row r="1387" spans="1:34" x14ac:dyDescent="0.2">
      <c r="A1387"/>
      <c r="B1387"/>
      <c r="C1387"/>
      <c r="D1387"/>
      <c r="E1387"/>
      <c r="F1387" t="str">
        <f>LEFT(AllDaqbookOffsets[[#This Row],[traceability_no]],2)</f>
        <v>N2</v>
      </c>
      <c r="N1387" s="456"/>
      <c r="O1387"/>
      <c r="Z1387" s="460"/>
      <c r="AA1387" s="194"/>
      <c r="AB1387"/>
      <c r="AG1387" s="69"/>
      <c r="AH1387"/>
    </row>
    <row r="1388" spans="1:34" x14ac:dyDescent="0.2">
      <c r="A1388"/>
      <c r="B1388"/>
      <c r="C1388"/>
      <c r="D1388"/>
      <c r="E1388"/>
      <c r="F1388" t="str">
        <f>LEFT(AllDaqbookOffsets[[#This Row],[traceability_no]],2)</f>
        <v>N2</v>
      </c>
      <c r="N1388" s="456"/>
      <c r="O1388"/>
      <c r="Z1388" s="460"/>
      <c r="AA1388" s="194"/>
      <c r="AB1388"/>
      <c r="AG1388" s="69"/>
      <c r="AH1388"/>
    </row>
    <row r="1389" spans="1:34" x14ac:dyDescent="0.2">
      <c r="A1389"/>
      <c r="B1389"/>
      <c r="C1389"/>
      <c r="D1389"/>
      <c r="E1389"/>
      <c r="F1389" t="str">
        <f>LEFT(AllDaqbookOffsets[[#This Row],[traceability_no]],2)</f>
        <v>N2</v>
      </c>
      <c r="N1389" s="456"/>
      <c r="O1389"/>
      <c r="Z1389" s="460"/>
      <c r="AA1389" s="194"/>
      <c r="AB1389"/>
      <c r="AG1389" s="69"/>
      <c r="AH1389"/>
    </row>
    <row r="1390" spans="1:34" x14ac:dyDescent="0.2">
      <c r="A1390"/>
      <c r="B1390"/>
      <c r="C1390"/>
      <c r="D1390"/>
      <c r="E1390"/>
      <c r="F1390" t="str">
        <f>LEFT(AllDaqbookOffsets[[#This Row],[traceability_no]],2)</f>
        <v>N2</v>
      </c>
      <c r="N1390" s="456"/>
      <c r="O1390"/>
      <c r="Z1390" s="460"/>
      <c r="AA1390" s="194"/>
      <c r="AB1390"/>
      <c r="AG1390" s="69"/>
      <c r="AH1390"/>
    </row>
    <row r="1391" spans="1:34" x14ac:dyDescent="0.2">
      <c r="A1391"/>
      <c r="B1391"/>
      <c r="C1391"/>
      <c r="D1391"/>
      <c r="E1391"/>
      <c r="F1391" t="str">
        <f>LEFT(AllDaqbookOffsets[[#This Row],[traceability_no]],2)</f>
        <v>N2</v>
      </c>
      <c r="N1391" s="456"/>
      <c r="O1391"/>
      <c r="Z1391" s="460"/>
      <c r="AA1391" s="194"/>
      <c r="AB1391"/>
      <c r="AG1391" s="69"/>
      <c r="AH1391"/>
    </row>
    <row r="1392" spans="1:34" x14ac:dyDescent="0.2">
      <c r="A1392"/>
      <c r="B1392"/>
      <c r="C1392"/>
      <c r="D1392"/>
      <c r="E1392"/>
      <c r="F1392" t="str">
        <f>LEFT(AllDaqbookOffsets[[#This Row],[traceability_no]],2)</f>
        <v>N2</v>
      </c>
      <c r="N1392" s="456"/>
      <c r="O1392"/>
      <c r="Z1392" s="460"/>
      <c r="AA1392" s="194"/>
      <c r="AB1392"/>
      <c r="AG1392" s="69"/>
      <c r="AH1392"/>
    </row>
    <row r="1393" spans="1:34" x14ac:dyDescent="0.2">
      <c r="A1393"/>
      <c r="B1393"/>
      <c r="C1393"/>
      <c r="D1393"/>
      <c r="E1393"/>
      <c r="F1393" t="str">
        <f>LEFT(AllDaqbookOffsets[[#This Row],[traceability_no]],2)</f>
        <v>N2</v>
      </c>
      <c r="N1393" s="456"/>
      <c r="O1393"/>
      <c r="Z1393" s="460"/>
      <c r="AA1393" s="194"/>
      <c r="AB1393"/>
      <c r="AG1393" s="69"/>
      <c r="AH1393"/>
    </row>
    <row r="1394" spans="1:34" x14ac:dyDescent="0.2">
      <c r="A1394"/>
      <c r="B1394"/>
      <c r="C1394"/>
      <c r="D1394"/>
      <c r="E1394"/>
      <c r="F1394" t="str">
        <f>LEFT(AllDaqbookOffsets[[#This Row],[traceability_no]],2)</f>
        <v>N2</v>
      </c>
      <c r="N1394" s="456"/>
      <c r="O1394"/>
      <c r="Z1394" s="460"/>
      <c r="AA1394" s="194"/>
      <c r="AB1394"/>
      <c r="AG1394" s="69"/>
      <c r="AH1394"/>
    </row>
    <row r="1395" spans="1:34" x14ac:dyDescent="0.2">
      <c r="A1395"/>
      <c r="B1395"/>
      <c r="C1395"/>
      <c r="D1395"/>
      <c r="E1395"/>
      <c r="F1395" t="str">
        <f>LEFT(AllDaqbookOffsets[[#This Row],[traceability_no]],2)</f>
        <v>N2</v>
      </c>
      <c r="N1395" s="456"/>
      <c r="O1395"/>
      <c r="Z1395" s="460"/>
      <c r="AA1395" s="194"/>
      <c r="AB1395"/>
      <c r="AG1395" s="69"/>
      <c r="AH1395"/>
    </row>
    <row r="1396" spans="1:34" x14ac:dyDescent="0.2">
      <c r="A1396"/>
      <c r="B1396"/>
      <c r="C1396"/>
      <c r="D1396"/>
      <c r="E1396"/>
      <c r="F1396" t="str">
        <f>LEFT(AllDaqbookOffsets[[#This Row],[traceability_no]],2)</f>
        <v>N2</v>
      </c>
      <c r="N1396" s="456"/>
      <c r="O1396"/>
      <c r="Z1396" s="460"/>
      <c r="AA1396" s="194"/>
      <c r="AB1396"/>
      <c r="AG1396" s="69"/>
      <c r="AH1396"/>
    </row>
    <row r="1397" spans="1:34" x14ac:dyDescent="0.2">
      <c r="A1397"/>
      <c r="B1397"/>
      <c r="C1397"/>
      <c r="D1397"/>
      <c r="E1397"/>
      <c r="F1397" t="str">
        <f>LEFT(AllDaqbookOffsets[[#This Row],[traceability_no]],2)</f>
        <v>N2</v>
      </c>
      <c r="N1397" s="456"/>
      <c r="O1397"/>
      <c r="Z1397" s="460"/>
      <c r="AA1397" s="194"/>
      <c r="AB1397"/>
      <c r="AG1397" s="69"/>
      <c r="AH1397"/>
    </row>
    <row r="1398" spans="1:34" x14ac:dyDescent="0.2">
      <c r="A1398"/>
      <c r="B1398"/>
      <c r="C1398"/>
      <c r="D1398"/>
      <c r="E1398"/>
      <c r="F1398" t="str">
        <f>LEFT(AllDaqbookOffsets[[#This Row],[traceability_no]],2)</f>
        <v>N2</v>
      </c>
      <c r="N1398" s="456"/>
      <c r="O1398"/>
      <c r="Z1398" s="460"/>
      <c r="AA1398" s="194"/>
      <c r="AB1398"/>
      <c r="AG1398" s="69"/>
      <c r="AH1398"/>
    </row>
    <row r="1399" spans="1:34" x14ac:dyDescent="0.2">
      <c r="A1399"/>
      <c r="B1399"/>
      <c r="C1399"/>
      <c r="D1399"/>
      <c r="E1399"/>
      <c r="F1399" t="str">
        <f>LEFT(AllDaqbookOffsets[[#This Row],[traceability_no]],2)</f>
        <v>N2</v>
      </c>
      <c r="N1399" s="456"/>
      <c r="O1399"/>
      <c r="Z1399" s="460"/>
      <c r="AA1399" s="194"/>
      <c r="AB1399"/>
      <c r="AG1399" s="69"/>
      <c r="AH1399"/>
    </row>
    <row r="1400" spans="1:34" x14ac:dyDescent="0.2">
      <c r="A1400"/>
      <c r="B1400"/>
      <c r="C1400"/>
      <c r="D1400"/>
      <c r="E1400"/>
      <c r="F1400" t="str">
        <f>LEFT(AllDaqbookOffsets[[#This Row],[traceability_no]],2)</f>
        <v>N2</v>
      </c>
      <c r="N1400" s="456"/>
      <c r="O1400"/>
      <c r="Z1400" s="460"/>
      <c r="AA1400" s="194"/>
      <c r="AB1400"/>
      <c r="AG1400" s="69"/>
      <c r="AH1400"/>
    </row>
    <row r="1401" spans="1:34" x14ac:dyDescent="0.2">
      <c r="A1401"/>
      <c r="B1401"/>
      <c r="C1401"/>
      <c r="D1401"/>
      <c r="E1401"/>
      <c r="F1401" t="str">
        <f>LEFT(AllDaqbookOffsets[[#This Row],[traceability_no]],2)</f>
        <v>N2</v>
      </c>
      <c r="N1401" s="456"/>
      <c r="O1401"/>
      <c r="Z1401" s="460"/>
      <c r="AA1401" s="194"/>
      <c r="AB1401"/>
      <c r="AG1401" s="69"/>
      <c r="AH1401"/>
    </row>
    <row r="1402" spans="1:34" x14ac:dyDescent="0.2">
      <c r="A1402"/>
      <c r="B1402"/>
      <c r="C1402"/>
      <c r="D1402"/>
      <c r="E1402"/>
      <c r="F1402" t="str">
        <f>LEFT(AllDaqbookOffsets[[#This Row],[traceability_no]],2)</f>
        <v>N2</v>
      </c>
      <c r="N1402" s="456"/>
      <c r="O1402"/>
      <c r="Z1402" s="460"/>
      <c r="AA1402" s="194"/>
      <c r="AB1402"/>
      <c r="AG1402" s="69"/>
      <c r="AH1402"/>
    </row>
    <row r="1403" spans="1:34" x14ac:dyDescent="0.2">
      <c r="A1403"/>
      <c r="B1403"/>
      <c r="C1403"/>
      <c r="D1403"/>
      <c r="E1403"/>
      <c r="F1403" t="str">
        <f>LEFT(AllDaqbookOffsets[[#This Row],[traceability_no]],2)</f>
        <v>N2</v>
      </c>
      <c r="N1403" s="456"/>
      <c r="O1403"/>
      <c r="Z1403" s="460"/>
      <c r="AA1403" s="194"/>
      <c r="AB1403"/>
      <c r="AG1403" s="69"/>
      <c r="AH1403"/>
    </row>
    <row r="1404" spans="1:34" x14ac:dyDescent="0.2">
      <c r="A1404"/>
      <c r="B1404"/>
      <c r="C1404"/>
      <c r="D1404"/>
      <c r="E1404"/>
      <c r="F1404" t="str">
        <f>LEFT(AllDaqbookOffsets[[#This Row],[traceability_no]],2)</f>
        <v>N2</v>
      </c>
      <c r="N1404" s="456"/>
      <c r="O1404"/>
      <c r="Z1404" s="460"/>
      <c r="AA1404" s="194"/>
      <c r="AB1404"/>
      <c r="AG1404" s="69"/>
      <c r="AH1404"/>
    </row>
    <row r="1405" spans="1:34" x14ac:dyDescent="0.2">
      <c r="A1405"/>
      <c r="B1405"/>
      <c r="C1405"/>
      <c r="D1405"/>
      <c r="E1405"/>
      <c r="F1405" t="str">
        <f>LEFT(AllDaqbookOffsets[[#This Row],[traceability_no]],2)</f>
        <v>N2</v>
      </c>
      <c r="N1405" s="456"/>
      <c r="O1405"/>
      <c r="Z1405" s="460"/>
      <c r="AA1405" s="194"/>
      <c r="AB1405"/>
      <c r="AG1405" s="69"/>
      <c r="AH1405"/>
    </row>
    <row r="1406" spans="1:34" x14ac:dyDescent="0.2">
      <c r="A1406"/>
      <c r="B1406"/>
      <c r="C1406"/>
      <c r="D1406"/>
      <c r="E1406"/>
      <c r="F1406" t="str">
        <f>LEFT(AllDaqbookOffsets[[#This Row],[traceability_no]],2)</f>
        <v>N2</v>
      </c>
      <c r="N1406" s="456"/>
      <c r="O1406"/>
      <c r="Z1406" s="460"/>
      <c r="AA1406" s="194"/>
      <c r="AB1406"/>
      <c r="AG1406" s="69"/>
      <c r="AH1406"/>
    </row>
    <row r="1407" spans="1:34" x14ac:dyDescent="0.2">
      <c r="A1407"/>
      <c r="B1407"/>
      <c r="C1407"/>
      <c r="D1407"/>
      <c r="E1407"/>
      <c r="F1407" t="str">
        <f>LEFT(AllDaqbookOffsets[[#This Row],[traceability_no]],2)</f>
        <v>N2</v>
      </c>
      <c r="N1407" s="456"/>
      <c r="O1407"/>
      <c r="Z1407" s="460"/>
      <c r="AA1407" s="194"/>
      <c r="AB1407"/>
      <c r="AG1407" s="69"/>
      <c r="AH1407"/>
    </row>
    <row r="1408" spans="1:34" x14ac:dyDescent="0.2">
      <c r="A1408"/>
      <c r="B1408"/>
      <c r="C1408"/>
      <c r="D1408"/>
      <c r="E1408"/>
      <c r="F1408" t="str">
        <f>LEFT(AllDaqbookOffsets[[#This Row],[traceability_no]],2)</f>
        <v>N2</v>
      </c>
      <c r="N1408" s="456"/>
      <c r="O1408"/>
      <c r="Z1408" s="460"/>
      <c r="AA1408" s="194"/>
      <c r="AB1408"/>
      <c r="AG1408" s="69"/>
      <c r="AH1408"/>
    </row>
    <row r="1409" spans="1:34" x14ac:dyDescent="0.2">
      <c r="A1409"/>
      <c r="B1409"/>
      <c r="C1409"/>
      <c r="D1409"/>
      <c r="E1409"/>
      <c r="F1409" t="str">
        <f>LEFT(AllDaqbookOffsets[[#This Row],[traceability_no]],2)</f>
        <v>N2</v>
      </c>
      <c r="N1409" s="456"/>
      <c r="O1409"/>
      <c r="Z1409" s="460"/>
      <c r="AA1409" s="194"/>
      <c r="AB1409"/>
      <c r="AG1409" s="69"/>
      <c r="AH1409"/>
    </row>
    <row r="1410" spans="1:34" x14ac:dyDescent="0.2">
      <c r="A1410"/>
      <c r="B1410"/>
      <c r="C1410"/>
      <c r="D1410"/>
      <c r="E1410"/>
      <c r="F1410" t="str">
        <f>LEFT(AllDaqbookOffsets[[#This Row],[traceability_no]],2)</f>
        <v>N2</v>
      </c>
      <c r="N1410" s="456"/>
      <c r="O1410"/>
      <c r="Z1410" s="460"/>
      <c r="AA1410" s="194"/>
      <c r="AB1410"/>
      <c r="AG1410" s="69"/>
      <c r="AH1410"/>
    </row>
    <row r="1411" spans="1:34" x14ac:dyDescent="0.2">
      <c r="A1411"/>
      <c r="B1411"/>
      <c r="C1411"/>
      <c r="D1411"/>
      <c r="E1411"/>
      <c r="F1411" t="str">
        <f>LEFT(AllDaqbookOffsets[[#This Row],[traceability_no]],2)</f>
        <v>N2</v>
      </c>
      <c r="N1411" s="456"/>
      <c r="O1411"/>
      <c r="Z1411" s="460"/>
      <c r="AA1411" s="194"/>
      <c r="AB1411"/>
      <c r="AG1411" s="69"/>
      <c r="AH1411"/>
    </row>
    <row r="1412" spans="1:34" x14ac:dyDescent="0.2">
      <c r="A1412"/>
      <c r="B1412"/>
      <c r="C1412"/>
      <c r="D1412"/>
      <c r="E1412"/>
      <c r="F1412" t="str">
        <f>LEFT(AllDaqbookOffsets[[#This Row],[traceability_no]],2)</f>
        <v>N2</v>
      </c>
      <c r="N1412" s="456"/>
      <c r="O1412"/>
      <c r="Z1412" s="460"/>
      <c r="AA1412" s="194"/>
      <c r="AB1412"/>
      <c r="AG1412" s="69"/>
      <c r="AH1412"/>
    </row>
    <row r="1413" spans="1:34" x14ac:dyDescent="0.2">
      <c r="A1413"/>
      <c r="B1413"/>
      <c r="C1413"/>
      <c r="D1413"/>
      <c r="E1413"/>
      <c r="F1413" t="str">
        <f>LEFT(AllDaqbookOffsets[[#This Row],[traceability_no]],2)</f>
        <v>N2</v>
      </c>
      <c r="N1413" s="456"/>
      <c r="O1413"/>
      <c r="Z1413" s="460"/>
      <c r="AA1413" s="194"/>
      <c r="AB1413"/>
      <c r="AG1413" s="69"/>
      <c r="AH1413"/>
    </row>
    <row r="1414" spans="1:34" x14ac:dyDescent="0.2">
      <c r="A1414"/>
      <c r="B1414"/>
      <c r="C1414"/>
      <c r="D1414"/>
      <c r="E1414"/>
      <c r="F1414" t="str">
        <f>LEFT(AllDaqbookOffsets[[#This Row],[traceability_no]],2)</f>
        <v>N2</v>
      </c>
      <c r="N1414" s="456"/>
      <c r="O1414"/>
      <c r="Z1414" s="460"/>
      <c r="AA1414" s="194"/>
      <c r="AB1414"/>
      <c r="AG1414" s="69"/>
      <c r="AH1414"/>
    </row>
    <row r="1415" spans="1:34" x14ac:dyDescent="0.2">
      <c r="A1415"/>
      <c r="B1415"/>
      <c r="C1415"/>
      <c r="D1415"/>
      <c r="E1415"/>
      <c r="F1415" t="str">
        <f>LEFT(AllDaqbookOffsets[[#This Row],[traceability_no]],2)</f>
        <v>N2</v>
      </c>
      <c r="N1415" s="456"/>
      <c r="O1415"/>
      <c r="Z1415" s="460"/>
      <c r="AA1415" s="194"/>
      <c r="AB1415"/>
      <c r="AG1415" s="69"/>
      <c r="AH1415"/>
    </row>
    <row r="1416" spans="1:34" x14ac:dyDescent="0.2">
      <c r="A1416"/>
      <c r="B1416"/>
      <c r="C1416"/>
      <c r="D1416"/>
      <c r="E1416"/>
      <c r="F1416" t="str">
        <f>LEFT(AllDaqbookOffsets[[#This Row],[traceability_no]],2)</f>
        <v>N2</v>
      </c>
      <c r="N1416" s="456"/>
      <c r="O1416"/>
      <c r="Z1416" s="460"/>
      <c r="AA1416" s="194"/>
      <c r="AB1416"/>
      <c r="AG1416" s="69"/>
      <c r="AH1416"/>
    </row>
    <row r="1417" spans="1:34" x14ac:dyDescent="0.2">
      <c r="A1417"/>
      <c r="B1417"/>
      <c r="C1417"/>
      <c r="D1417"/>
      <c r="E1417"/>
      <c r="F1417" t="str">
        <f>LEFT(AllDaqbookOffsets[[#This Row],[traceability_no]],2)</f>
        <v>N2</v>
      </c>
      <c r="N1417" s="456"/>
      <c r="O1417"/>
      <c r="Z1417" s="460"/>
      <c r="AA1417" s="194"/>
      <c r="AB1417"/>
      <c r="AG1417" s="69"/>
      <c r="AH1417"/>
    </row>
    <row r="1418" spans="1:34" x14ac:dyDescent="0.2">
      <c r="A1418"/>
      <c r="B1418"/>
      <c r="C1418"/>
      <c r="D1418"/>
      <c r="E1418"/>
      <c r="F1418" t="str">
        <f>LEFT(AllDaqbookOffsets[[#This Row],[traceability_no]],2)</f>
        <v>N2</v>
      </c>
      <c r="N1418" s="456"/>
      <c r="O1418"/>
      <c r="Z1418" s="460"/>
      <c r="AA1418" s="194"/>
      <c r="AB1418"/>
      <c r="AG1418" s="69"/>
      <c r="AH1418"/>
    </row>
    <row r="1419" spans="1:34" x14ac:dyDescent="0.2">
      <c r="A1419"/>
      <c r="B1419"/>
      <c r="C1419"/>
      <c r="D1419"/>
      <c r="E1419"/>
      <c r="F1419" t="str">
        <f>LEFT(AllDaqbookOffsets[[#This Row],[traceability_no]],2)</f>
        <v>N2</v>
      </c>
      <c r="N1419" s="456"/>
      <c r="O1419"/>
      <c r="Z1419" s="460"/>
      <c r="AA1419" s="194"/>
      <c r="AB1419"/>
      <c r="AG1419" s="69"/>
      <c r="AH1419"/>
    </row>
    <row r="1420" spans="1:34" x14ac:dyDescent="0.2">
      <c r="A1420"/>
      <c r="B1420"/>
      <c r="C1420"/>
      <c r="D1420"/>
      <c r="E1420"/>
      <c r="F1420" t="str">
        <f>LEFT(AllDaqbookOffsets[[#This Row],[traceability_no]],2)</f>
        <v>N2</v>
      </c>
      <c r="N1420" s="456"/>
      <c r="O1420"/>
      <c r="Z1420" s="460"/>
      <c r="AA1420" s="194"/>
      <c r="AB1420"/>
      <c r="AG1420" s="69"/>
      <c r="AH1420"/>
    </row>
    <row r="1421" spans="1:34" x14ac:dyDescent="0.2">
      <c r="A1421"/>
      <c r="B1421"/>
      <c r="C1421"/>
      <c r="D1421"/>
      <c r="E1421"/>
      <c r="F1421" t="str">
        <f>LEFT(AllDaqbookOffsets[[#This Row],[traceability_no]],2)</f>
        <v>N2</v>
      </c>
      <c r="N1421" s="456"/>
      <c r="O1421"/>
      <c r="Z1421" s="460"/>
      <c r="AA1421" s="194"/>
      <c r="AB1421"/>
      <c r="AG1421" s="69"/>
      <c r="AH1421"/>
    </row>
    <row r="1422" spans="1:34" x14ac:dyDescent="0.2">
      <c r="A1422"/>
      <c r="B1422"/>
      <c r="C1422"/>
      <c r="D1422"/>
      <c r="E1422"/>
      <c r="F1422" t="str">
        <f>LEFT(AllDaqbookOffsets[[#This Row],[traceability_no]],2)</f>
        <v>N2</v>
      </c>
      <c r="N1422" s="456"/>
      <c r="O1422"/>
      <c r="Z1422" s="460"/>
      <c r="AA1422" s="194"/>
      <c r="AB1422"/>
      <c r="AG1422" s="69"/>
      <c r="AH1422"/>
    </row>
    <row r="1423" spans="1:34" x14ac:dyDescent="0.2">
      <c r="A1423"/>
      <c r="B1423"/>
      <c r="C1423"/>
      <c r="D1423"/>
      <c r="E1423"/>
      <c r="F1423" t="str">
        <f>LEFT(AllDaqbookOffsets[[#This Row],[traceability_no]],2)</f>
        <v>N2</v>
      </c>
      <c r="N1423" s="456"/>
      <c r="O1423"/>
      <c r="Z1423" s="460"/>
      <c r="AA1423" s="194"/>
      <c r="AB1423"/>
      <c r="AG1423" s="69"/>
      <c r="AH1423"/>
    </row>
    <row r="1424" spans="1:34" x14ac:dyDescent="0.2">
      <c r="A1424"/>
      <c r="B1424"/>
      <c r="C1424"/>
      <c r="D1424"/>
      <c r="E1424"/>
      <c r="F1424" t="str">
        <f>LEFT(AllDaqbookOffsets[[#This Row],[traceability_no]],2)</f>
        <v>N2</v>
      </c>
      <c r="N1424" s="456"/>
      <c r="O1424"/>
      <c r="Z1424" s="460"/>
      <c r="AA1424" s="194"/>
      <c r="AB1424"/>
      <c r="AG1424" s="69"/>
      <c r="AH1424"/>
    </row>
    <row r="1425" spans="1:34" x14ac:dyDescent="0.2">
      <c r="A1425"/>
      <c r="B1425"/>
      <c r="C1425"/>
      <c r="D1425"/>
      <c r="E1425"/>
      <c r="F1425" t="str">
        <f>LEFT(AllDaqbookOffsets[[#This Row],[traceability_no]],2)</f>
        <v>N2</v>
      </c>
      <c r="N1425" s="456"/>
      <c r="O1425"/>
      <c r="Z1425" s="460"/>
      <c r="AA1425" s="194"/>
      <c r="AB1425"/>
      <c r="AG1425" s="69"/>
      <c r="AH1425"/>
    </row>
    <row r="1426" spans="1:34" x14ac:dyDescent="0.2">
      <c r="A1426"/>
      <c r="B1426"/>
      <c r="C1426"/>
      <c r="D1426"/>
      <c r="E1426"/>
      <c r="F1426" t="str">
        <f>LEFT(AllDaqbookOffsets[[#This Row],[traceability_no]],2)</f>
        <v>N2</v>
      </c>
      <c r="N1426" s="456"/>
      <c r="O1426"/>
      <c r="Z1426" s="460"/>
      <c r="AA1426" s="194"/>
      <c r="AB1426"/>
      <c r="AG1426" s="69"/>
      <c r="AH1426"/>
    </row>
    <row r="1427" spans="1:34" x14ac:dyDescent="0.2">
      <c r="A1427"/>
      <c r="B1427"/>
      <c r="C1427"/>
      <c r="D1427"/>
      <c r="E1427"/>
      <c r="F1427" t="str">
        <f>LEFT(AllDaqbookOffsets[[#This Row],[traceability_no]],2)</f>
        <v>N2</v>
      </c>
      <c r="N1427" s="456"/>
      <c r="O1427"/>
      <c r="Z1427" s="460"/>
      <c r="AA1427" s="194"/>
      <c r="AB1427"/>
      <c r="AG1427" s="69"/>
      <c r="AH1427"/>
    </row>
    <row r="1428" spans="1:34" x14ac:dyDescent="0.2">
      <c r="A1428"/>
      <c r="B1428"/>
      <c r="C1428"/>
      <c r="D1428"/>
      <c r="E1428"/>
      <c r="F1428" t="str">
        <f>LEFT(AllDaqbookOffsets[[#This Row],[traceability_no]],2)</f>
        <v>N2</v>
      </c>
      <c r="N1428" s="456"/>
      <c r="O1428"/>
      <c r="Z1428" s="460"/>
      <c r="AA1428" s="194"/>
      <c r="AB1428"/>
      <c r="AG1428" s="69"/>
      <c r="AH1428"/>
    </row>
    <row r="1429" spans="1:34" x14ac:dyDescent="0.2">
      <c r="A1429"/>
      <c r="B1429"/>
      <c r="C1429"/>
      <c r="D1429"/>
      <c r="E1429"/>
      <c r="F1429" t="str">
        <f>LEFT(AllDaqbookOffsets[[#This Row],[traceability_no]],2)</f>
        <v>N2</v>
      </c>
      <c r="N1429" s="456"/>
      <c r="O1429"/>
      <c r="Z1429" s="460"/>
      <c r="AA1429" s="194"/>
      <c r="AB1429"/>
      <c r="AG1429" s="69"/>
      <c r="AH1429"/>
    </row>
    <row r="1430" spans="1:34" x14ac:dyDescent="0.2">
      <c r="A1430"/>
      <c r="B1430"/>
      <c r="C1430"/>
      <c r="D1430"/>
      <c r="E1430"/>
      <c r="F1430" t="str">
        <f>LEFT(AllDaqbookOffsets[[#This Row],[traceability_no]],2)</f>
        <v>N2</v>
      </c>
      <c r="N1430" s="456"/>
      <c r="O1430"/>
      <c r="Z1430" s="460"/>
      <c r="AA1430" s="194"/>
      <c r="AB1430"/>
      <c r="AG1430" s="69"/>
      <c r="AH1430"/>
    </row>
    <row r="1431" spans="1:34" x14ac:dyDescent="0.2">
      <c r="A1431"/>
      <c r="B1431"/>
      <c r="C1431"/>
      <c r="D1431"/>
      <c r="E1431"/>
      <c r="F1431" t="str">
        <f>LEFT(AllDaqbookOffsets[[#This Row],[traceability_no]],2)</f>
        <v>N2</v>
      </c>
      <c r="N1431" s="456"/>
      <c r="O1431"/>
      <c r="Z1431" s="460"/>
      <c r="AA1431" s="194"/>
      <c r="AB1431"/>
      <c r="AG1431" s="69"/>
      <c r="AH1431"/>
    </row>
    <row r="1432" spans="1:34" x14ac:dyDescent="0.2">
      <c r="A1432"/>
      <c r="B1432"/>
      <c r="C1432"/>
      <c r="D1432"/>
      <c r="E1432"/>
      <c r="F1432" t="str">
        <f>LEFT(AllDaqbookOffsets[[#This Row],[traceability_no]],2)</f>
        <v>N2</v>
      </c>
      <c r="N1432" s="456"/>
      <c r="O1432"/>
      <c r="Z1432" s="460"/>
      <c r="AA1432" s="194"/>
      <c r="AB1432"/>
      <c r="AG1432" s="69"/>
      <c r="AH1432"/>
    </row>
    <row r="1433" spans="1:34" x14ac:dyDescent="0.2">
      <c r="A1433"/>
      <c r="B1433"/>
      <c r="C1433"/>
      <c r="D1433"/>
      <c r="E1433"/>
      <c r="F1433" t="str">
        <f>LEFT(AllDaqbookOffsets[[#This Row],[traceability_no]],2)</f>
        <v>N2</v>
      </c>
      <c r="N1433" s="456"/>
      <c r="O1433"/>
      <c r="Z1433" s="460"/>
      <c r="AA1433" s="194"/>
      <c r="AB1433"/>
      <c r="AG1433" s="69"/>
      <c r="AH1433"/>
    </row>
    <row r="1434" spans="1:34" x14ac:dyDescent="0.2">
      <c r="A1434"/>
      <c r="B1434"/>
      <c r="C1434"/>
      <c r="D1434"/>
      <c r="E1434"/>
      <c r="F1434" t="str">
        <f>LEFT(AllDaqbookOffsets[[#This Row],[traceability_no]],2)</f>
        <v>N2</v>
      </c>
      <c r="N1434" s="456"/>
      <c r="O1434"/>
      <c r="Z1434" s="460"/>
      <c r="AA1434" s="194"/>
      <c r="AB1434"/>
      <c r="AG1434" s="69"/>
      <c r="AH1434"/>
    </row>
    <row r="1435" spans="1:34" x14ac:dyDescent="0.2">
      <c r="A1435"/>
      <c r="B1435"/>
      <c r="C1435"/>
      <c r="D1435"/>
      <c r="E1435"/>
      <c r="F1435" t="str">
        <f>LEFT(AllDaqbookOffsets[[#This Row],[traceability_no]],2)</f>
        <v>N2</v>
      </c>
      <c r="N1435" s="456"/>
      <c r="O1435"/>
      <c r="Z1435" s="460"/>
      <c r="AA1435" s="194"/>
      <c r="AB1435"/>
      <c r="AG1435" s="69"/>
      <c r="AH1435"/>
    </row>
    <row r="1436" spans="1:34" x14ac:dyDescent="0.2">
      <c r="A1436"/>
      <c r="B1436"/>
      <c r="C1436"/>
      <c r="D1436"/>
      <c r="E1436"/>
      <c r="F1436" t="str">
        <f>LEFT(AllDaqbookOffsets[[#This Row],[traceability_no]],2)</f>
        <v>N2</v>
      </c>
      <c r="N1436" s="456"/>
      <c r="O1436"/>
      <c r="Z1436" s="460"/>
      <c r="AA1436" s="194"/>
      <c r="AB1436"/>
      <c r="AG1436" s="69"/>
      <c r="AH1436"/>
    </row>
    <row r="1437" spans="1:34" x14ac:dyDescent="0.2">
      <c r="A1437"/>
      <c r="B1437"/>
      <c r="C1437"/>
      <c r="D1437"/>
      <c r="E1437"/>
      <c r="F1437" t="str">
        <f>LEFT(AllDaqbookOffsets[[#This Row],[traceability_no]],2)</f>
        <v>N2</v>
      </c>
      <c r="N1437" s="456"/>
      <c r="O1437"/>
      <c r="Z1437" s="460"/>
      <c r="AA1437" s="194"/>
      <c r="AB1437"/>
      <c r="AG1437" s="69"/>
      <c r="AH1437"/>
    </row>
    <row r="1438" spans="1:34" x14ac:dyDescent="0.2">
      <c r="A1438"/>
      <c r="B1438"/>
      <c r="C1438"/>
      <c r="D1438"/>
      <c r="E1438"/>
      <c r="F1438" t="str">
        <f>LEFT(AllDaqbookOffsets[[#This Row],[traceability_no]],2)</f>
        <v>N2</v>
      </c>
      <c r="N1438" s="456"/>
      <c r="O1438"/>
      <c r="Z1438" s="460"/>
      <c r="AA1438" s="194"/>
      <c r="AB1438"/>
      <c r="AG1438" s="69"/>
      <c r="AH1438"/>
    </row>
    <row r="1439" spans="1:34" x14ac:dyDescent="0.2">
      <c r="A1439"/>
      <c r="B1439"/>
      <c r="C1439"/>
      <c r="D1439"/>
      <c r="E1439"/>
      <c r="F1439" t="str">
        <f>LEFT(AllDaqbookOffsets[[#This Row],[traceability_no]],2)</f>
        <v>N2</v>
      </c>
      <c r="N1439" s="456"/>
      <c r="O1439"/>
      <c r="Z1439" s="460"/>
      <c r="AA1439" s="194"/>
      <c r="AB1439"/>
      <c r="AG1439" s="69"/>
      <c r="AH1439"/>
    </row>
    <row r="1440" spans="1:34" x14ac:dyDescent="0.2">
      <c r="A1440"/>
      <c r="B1440"/>
      <c r="C1440"/>
      <c r="D1440"/>
      <c r="E1440"/>
      <c r="F1440" t="str">
        <f>LEFT(AllDaqbookOffsets[[#This Row],[traceability_no]],2)</f>
        <v>N2</v>
      </c>
      <c r="N1440" s="456"/>
      <c r="O1440"/>
      <c r="Z1440" s="460"/>
      <c r="AA1440" s="194"/>
      <c r="AB1440"/>
      <c r="AG1440" s="69"/>
      <c r="AH1440"/>
    </row>
    <row r="1441" spans="1:34" x14ac:dyDescent="0.2">
      <c r="A1441"/>
      <c r="B1441"/>
      <c r="C1441"/>
      <c r="D1441"/>
      <c r="E1441"/>
      <c r="F1441" t="str">
        <f>LEFT(AllDaqbookOffsets[[#This Row],[traceability_no]],2)</f>
        <v>N2</v>
      </c>
      <c r="N1441" s="456"/>
      <c r="O1441"/>
      <c r="Z1441" s="460"/>
      <c r="AA1441" s="194"/>
      <c r="AB1441"/>
      <c r="AG1441" s="69"/>
      <c r="AH1441"/>
    </row>
    <row r="1442" spans="1:34" x14ac:dyDescent="0.2">
      <c r="A1442"/>
      <c r="B1442"/>
      <c r="C1442"/>
      <c r="D1442"/>
      <c r="E1442"/>
      <c r="F1442" t="str">
        <f>LEFT(AllDaqbookOffsets[[#This Row],[traceability_no]],2)</f>
        <v>N2</v>
      </c>
      <c r="N1442" s="456"/>
      <c r="O1442"/>
      <c r="Z1442" s="460"/>
      <c r="AA1442" s="194"/>
      <c r="AB1442"/>
      <c r="AG1442" s="69"/>
      <c r="AH1442"/>
    </row>
    <row r="1443" spans="1:34" x14ac:dyDescent="0.2">
      <c r="A1443"/>
      <c r="B1443"/>
      <c r="C1443"/>
      <c r="D1443"/>
      <c r="E1443"/>
      <c r="F1443" t="str">
        <f>LEFT(AllDaqbookOffsets[[#This Row],[traceability_no]],2)</f>
        <v>N2</v>
      </c>
      <c r="N1443" s="456"/>
      <c r="O1443"/>
      <c r="Z1443" s="460"/>
      <c r="AA1443" s="194"/>
      <c r="AB1443"/>
      <c r="AG1443" s="69"/>
      <c r="AH1443"/>
    </row>
    <row r="1444" spans="1:34" x14ac:dyDescent="0.2">
      <c r="A1444"/>
      <c r="B1444"/>
      <c r="C1444"/>
      <c r="D1444"/>
      <c r="E1444"/>
      <c r="F1444" t="str">
        <f>LEFT(AllDaqbookOffsets[[#This Row],[traceability_no]],2)</f>
        <v>N2</v>
      </c>
      <c r="N1444" s="456"/>
      <c r="O1444"/>
      <c r="Z1444" s="460"/>
      <c r="AA1444" s="194"/>
      <c r="AB1444"/>
      <c r="AG1444" s="69"/>
      <c r="AH1444"/>
    </row>
    <row r="1445" spans="1:34" x14ac:dyDescent="0.2">
      <c r="A1445"/>
      <c r="B1445"/>
      <c r="C1445"/>
      <c r="D1445"/>
      <c r="E1445"/>
      <c r="F1445" t="str">
        <f>LEFT(AllDaqbookOffsets[[#This Row],[traceability_no]],2)</f>
        <v>N2</v>
      </c>
      <c r="N1445" s="456"/>
      <c r="O1445"/>
      <c r="Z1445" s="460"/>
      <c r="AA1445" s="194"/>
      <c r="AB1445"/>
      <c r="AG1445" s="69"/>
      <c r="AH1445"/>
    </row>
    <row r="1446" spans="1:34" x14ac:dyDescent="0.2">
      <c r="A1446"/>
      <c r="B1446"/>
      <c r="C1446"/>
      <c r="D1446"/>
      <c r="E1446"/>
      <c r="F1446" t="str">
        <f>LEFT(AllDaqbookOffsets[[#This Row],[traceability_no]],2)</f>
        <v>N2</v>
      </c>
      <c r="N1446" s="456"/>
      <c r="O1446"/>
      <c r="Z1446" s="460"/>
      <c r="AA1446" s="194"/>
      <c r="AB1446"/>
      <c r="AG1446" s="69"/>
      <c r="AH1446"/>
    </row>
    <row r="1447" spans="1:34" x14ac:dyDescent="0.2">
      <c r="A1447"/>
      <c r="B1447"/>
      <c r="C1447"/>
      <c r="D1447"/>
      <c r="E1447"/>
      <c r="F1447" t="str">
        <f>LEFT(AllDaqbookOffsets[[#This Row],[traceability_no]],2)</f>
        <v>N2</v>
      </c>
      <c r="N1447" s="456"/>
      <c r="O1447"/>
      <c r="Z1447" s="460"/>
      <c r="AA1447" s="194"/>
      <c r="AB1447"/>
      <c r="AG1447" s="69"/>
      <c r="AH1447"/>
    </row>
    <row r="1448" spans="1:34" x14ac:dyDescent="0.2">
      <c r="A1448"/>
      <c r="B1448"/>
      <c r="C1448"/>
      <c r="D1448"/>
      <c r="E1448"/>
      <c r="F1448" t="str">
        <f>LEFT(AllDaqbookOffsets[[#This Row],[traceability_no]],2)</f>
        <v>N2</v>
      </c>
      <c r="N1448" s="456"/>
      <c r="O1448"/>
      <c r="Z1448" s="460"/>
      <c r="AA1448" s="194"/>
      <c r="AB1448"/>
      <c r="AG1448" s="69"/>
      <c r="AH1448"/>
    </row>
    <row r="1449" spans="1:34" x14ac:dyDescent="0.2">
      <c r="A1449"/>
      <c r="B1449"/>
      <c r="C1449"/>
      <c r="D1449"/>
      <c r="E1449"/>
      <c r="F1449" t="str">
        <f>LEFT(AllDaqbookOffsets[[#This Row],[traceability_no]],2)</f>
        <v>N2</v>
      </c>
      <c r="N1449" s="456"/>
      <c r="O1449"/>
      <c r="Z1449" s="460"/>
      <c r="AA1449" s="194"/>
      <c r="AB1449"/>
      <c r="AG1449" s="69"/>
      <c r="AH1449"/>
    </row>
    <row r="1450" spans="1:34" x14ac:dyDescent="0.2">
      <c r="A1450"/>
      <c r="B1450"/>
      <c r="C1450"/>
      <c r="D1450"/>
      <c r="E1450"/>
      <c r="F1450" t="str">
        <f>LEFT(AllDaqbookOffsets[[#This Row],[traceability_no]],2)</f>
        <v>N2</v>
      </c>
      <c r="N1450" s="456"/>
      <c r="O1450"/>
      <c r="Z1450" s="460"/>
      <c r="AA1450" s="194"/>
      <c r="AB1450"/>
      <c r="AG1450" s="69"/>
      <c r="AH1450"/>
    </row>
    <row r="1451" spans="1:34" x14ac:dyDescent="0.2">
      <c r="A1451"/>
      <c r="B1451"/>
      <c r="C1451"/>
      <c r="D1451"/>
      <c r="E1451"/>
      <c r="F1451" t="str">
        <f>LEFT(AllDaqbookOffsets[[#This Row],[traceability_no]],2)</f>
        <v>N2</v>
      </c>
      <c r="N1451" s="456"/>
      <c r="O1451"/>
      <c r="Z1451" s="460"/>
      <c r="AA1451" s="194"/>
      <c r="AB1451"/>
      <c r="AG1451" s="69"/>
      <c r="AH1451"/>
    </row>
    <row r="1452" spans="1:34" x14ac:dyDescent="0.2">
      <c r="A1452"/>
      <c r="B1452"/>
      <c r="C1452"/>
      <c r="D1452"/>
      <c r="E1452"/>
      <c r="F1452" t="str">
        <f>LEFT(AllDaqbookOffsets[[#This Row],[traceability_no]],2)</f>
        <v>N2</v>
      </c>
      <c r="N1452" s="456"/>
      <c r="O1452"/>
      <c r="Z1452" s="460"/>
      <c r="AA1452" s="194"/>
      <c r="AB1452"/>
      <c r="AG1452" s="69"/>
      <c r="AH1452"/>
    </row>
    <row r="1453" spans="1:34" x14ac:dyDescent="0.2">
      <c r="A1453"/>
      <c r="B1453"/>
      <c r="C1453"/>
      <c r="D1453"/>
      <c r="E1453"/>
      <c r="F1453" t="str">
        <f>LEFT(AllDaqbookOffsets[[#This Row],[traceability_no]],2)</f>
        <v>N2</v>
      </c>
      <c r="N1453" s="456"/>
      <c r="O1453"/>
      <c r="Z1453" s="460"/>
      <c r="AA1453" s="194"/>
      <c r="AB1453"/>
      <c r="AG1453" s="69"/>
      <c r="AH1453"/>
    </row>
    <row r="1454" spans="1:34" x14ac:dyDescent="0.2">
      <c r="A1454"/>
      <c r="B1454"/>
      <c r="C1454"/>
      <c r="D1454"/>
      <c r="E1454"/>
      <c r="F1454" t="str">
        <f>LEFT(AllDaqbookOffsets[[#This Row],[traceability_no]],2)</f>
        <v>N2</v>
      </c>
      <c r="N1454" s="456"/>
      <c r="O1454"/>
      <c r="Z1454" s="460"/>
      <c r="AA1454" s="194"/>
      <c r="AB1454"/>
      <c r="AG1454" s="69"/>
      <c r="AH1454"/>
    </row>
    <row r="1455" spans="1:34" x14ac:dyDescent="0.2">
      <c r="A1455"/>
      <c r="B1455"/>
      <c r="C1455"/>
      <c r="D1455"/>
      <c r="E1455"/>
      <c r="F1455" t="str">
        <f>LEFT(AllDaqbookOffsets[[#This Row],[traceability_no]],2)</f>
        <v>N2</v>
      </c>
      <c r="N1455" s="456"/>
      <c r="O1455"/>
      <c r="Z1455" s="460"/>
      <c r="AA1455" s="194"/>
      <c r="AB1455"/>
      <c r="AG1455" s="69"/>
      <c r="AH1455"/>
    </row>
    <row r="1456" spans="1:34" x14ac:dyDescent="0.2">
      <c r="A1456"/>
      <c r="B1456"/>
      <c r="C1456"/>
      <c r="D1456"/>
      <c r="E1456"/>
      <c r="F1456" t="str">
        <f>LEFT(AllDaqbookOffsets[[#This Row],[traceability_no]],2)</f>
        <v>N2</v>
      </c>
      <c r="N1456" s="456"/>
      <c r="O1456"/>
      <c r="Z1456" s="460"/>
      <c r="AA1456" s="194"/>
      <c r="AB1456"/>
      <c r="AG1456" s="69"/>
      <c r="AH1456"/>
    </row>
    <row r="1457" spans="1:34" x14ac:dyDescent="0.2">
      <c r="A1457"/>
      <c r="B1457"/>
      <c r="C1457"/>
      <c r="D1457"/>
      <c r="E1457"/>
      <c r="F1457" t="str">
        <f>LEFT(AllDaqbookOffsets[[#This Row],[traceability_no]],2)</f>
        <v>N2</v>
      </c>
      <c r="N1457" s="456"/>
      <c r="O1457"/>
      <c r="Z1457" s="460"/>
      <c r="AA1457" s="194"/>
      <c r="AB1457"/>
      <c r="AG1457" s="69"/>
      <c r="AH1457"/>
    </row>
    <row r="1458" spans="1:34" x14ac:dyDescent="0.2">
      <c r="A1458"/>
      <c r="B1458"/>
      <c r="C1458"/>
      <c r="D1458"/>
      <c r="E1458"/>
      <c r="F1458" t="str">
        <f>LEFT(AllDaqbookOffsets[[#This Row],[traceability_no]],2)</f>
        <v>N2</v>
      </c>
      <c r="N1458" s="456"/>
      <c r="O1458"/>
      <c r="Z1458" s="460"/>
      <c r="AA1458" s="194"/>
      <c r="AB1458"/>
      <c r="AG1458" s="69"/>
      <c r="AH1458"/>
    </row>
    <row r="1459" spans="1:34" x14ac:dyDescent="0.2">
      <c r="A1459"/>
      <c r="B1459"/>
      <c r="C1459"/>
      <c r="D1459"/>
      <c r="E1459"/>
      <c r="F1459" t="str">
        <f>LEFT(AllDaqbookOffsets[[#This Row],[traceability_no]],2)</f>
        <v>N2</v>
      </c>
      <c r="N1459" s="456"/>
      <c r="O1459"/>
      <c r="Z1459" s="460"/>
      <c r="AA1459" s="194"/>
      <c r="AB1459"/>
      <c r="AG1459" s="69"/>
      <c r="AH1459"/>
    </row>
    <row r="1460" spans="1:34" x14ac:dyDescent="0.2">
      <c r="A1460"/>
      <c r="B1460"/>
      <c r="C1460"/>
      <c r="D1460"/>
      <c r="E1460"/>
      <c r="F1460" t="str">
        <f>LEFT(AllDaqbookOffsets[[#This Row],[traceability_no]],2)</f>
        <v>N2</v>
      </c>
      <c r="N1460" s="456"/>
      <c r="O1460"/>
      <c r="Z1460" s="460"/>
      <c r="AA1460" s="194"/>
      <c r="AB1460"/>
      <c r="AG1460" s="69"/>
      <c r="AH1460"/>
    </row>
    <row r="1461" spans="1:34" x14ac:dyDescent="0.2">
      <c r="A1461"/>
      <c r="B1461"/>
      <c r="C1461"/>
      <c r="D1461"/>
      <c r="E1461"/>
      <c r="F1461" t="str">
        <f>LEFT(AllDaqbookOffsets[[#This Row],[traceability_no]],2)</f>
        <v>N2</v>
      </c>
      <c r="N1461" s="456"/>
      <c r="O1461"/>
      <c r="Z1461" s="460"/>
      <c r="AA1461" s="194"/>
      <c r="AB1461"/>
      <c r="AG1461" s="69"/>
      <c r="AH1461"/>
    </row>
    <row r="1462" spans="1:34" x14ac:dyDescent="0.2">
      <c r="A1462"/>
      <c r="B1462"/>
      <c r="C1462"/>
      <c r="D1462"/>
      <c r="E1462"/>
      <c r="F1462" t="str">
        <f>LEFT(AllDaqbookOffsets[[#This Row],[traceability_no]],2)</f>
        <v>N2</v>
      </c>
      <c r="N1462" s="456"/>
      <c r="O1462"/>
      <c r="Z1462" s="460"/>
      <c r="AA1462" s="194"/>
      <c r="AB1462"/>
      <c r="AG1462" s="69"/>
      <c r="AH1462"/>
    </row>
    <row r="1463" spans="1:34" x14ac:dyDescent="0.2">
      <c r="A1463"/>
      <c r="B1463"/>
      <c r="C1463"/>
      <c r="D1463"/>
      <c r="E1463"/>
      <c r="F1463" t="str">
        <f>LEFT(AllDaqbookOffsets[[#This Row],[traceability_no]],2)</f>
        <v>N2</v>
      </c>
      <c r="N1463" s="456"/>
      <c r="O1463"/>
      <c r="Z1463" s="460"/>
      <c r="AA1463" s="194"/>
      <c r="AB1463"/>
      <c r="AG1463" s="69"/>
      <c r="AH1463"/>
    </row>
    <row r="1464" spans="1:34" x14ac:dyDescent="0.2">
      <c r="A1464"/>
      <c r="B1464"/>
      <c r="C1464"/>
      <c r="D1464"/>
      <c r="E1464"/>
      <c r="F1464" t="str">
        <f>LEFT(AllDaqbookOffsets[[#This Row],[traceability_no]],2)</f>
        <v>N2</v>
      </c>
      <c r="N1464" s="456"/>
      <c r="O1464"/>
      <c r="Z1464" s="460"/>
      <c r="AA1464" s="194"/>
      <c r="AB1464"/>
      <c r="AG1464" s="69"/>
      <c r="AH1464"/>
    </row>
    <row r="1465" spans="1:34" x14ac:dyDescent="0.2">
      <c r="A1465"/>
      <c r="B1465"/>
      <c r="C1465"/>
      <c r="D1465"/>
      <c r="E1465"/>
      <c r="F1465" t="str">
        <f>LEFT(AllDaqbookOffsets[[#This Row],[traceability_no]],2)</f>
        <v>N2</v>
      </c>
      <c r="N1465" s="456"/>
      <c r="O1465"/>
      <c r="Z1465" s="460"/>
      <c r="AA1465" s="194"/>
      <c r="AB1465"/>
      <c r="AG1465" s="69"/>
      <c r="AH1465"/>
    </row>
    <row r="1466" spans="1:34" x14ac:dyDescent="0.2">
      <c r="A1466"/>
      <c r="B1466"/>
      <c r="C1466"/>
      <c r="D1466"/>
      <c r="E1466"/>
      <c r="F1466" t="str">
        <f>LEFT(AllDaqbookOffsets[[#This Row],[traceability_no]],2)</f>
        <v>N2</v>
      </c>
      <c r="N1466" s="456"/>
      <c r="O1466"/>
      <c r="Z1466" s="460"/>
      <c r="AA1466" s="194"/>
      <c r="AB1466"/>
      <c r="AG1466" s="69"/>
      <c r="AH1466"/>
    </row>
    <row r="1467" spans="1:34" x14ac:dyDescent="0.2">
      <c r="A1467"/>
      <c r="B1467"/>
      <c r="C1467"/>
      <c r="D1467"/>
      <c r="E1467"/>
      <c r="F1467" t="str">
        <f>LEFT(AllDaqbookOffsets[[#This Row],[traceability_no]],2)</f>
        <v>N2</v>
      </c>
      <c r="N1467" s="456"/>
      <c r="O1467"/>
      <c r="Z1467" s="460"/>
      <c r="AA1467" s="194"/>
      <c r="AB1467"/>
      <c r="AG1467" s="69"/>
      <c r="AH1467"/>
    </row>
    <row r="1468" spans="1:34" x14ac:dyDescent="0.2">
      <c r="A1468"/>
      <c r="B1468"/>
      <c r="C1468"/>
      <c r="D1468"/>
      <c r="E1468"/>
      <c r="F1468" t="str">
        <f>LEFT(AllDaqbookOffsets[[#This Row],[traceability_no]],2)</f>
        <v>N2</v>
      </c>
      <c r="N1468" s="456"/>
      <c r="O1468"/>
      <c r="Z1468" s="460"/>
      <c r="AA1468" s="194"/>
      <c r="AB1468"/>
      <c r="AG1468" s="69"/>
      <c r="AH1468"/>
    </row>
    <row r="1469" spans="1:34" x14ac:dyDescent="0.2">
      <c r="A1469"/>
      <c r="B1469"/>
      <c r="C1469"/>
      <c r="D1469"/>
      <c r="E1469"/>
      <c r="F1469" t="str">
        <f>LEFT(AllDaqbookOffsets[[#This Row],[traceability_no]],2)</f>
        <v>N2</v>
      </c>
      <c r="N1469" s="456"/>
      <c r="O1469"/>
      <c r="Z1469" s="460"/>
      <c r="AA1469" s="194"/>
      <c r="AB1469"/>
      <c r="AG1469" s="69"/>
      <c r="AH1469"/>
    </row>
    <row r="1470" spans="1:34" x14ac:dyDescent="0.2">
      <c r="A1470"/>
      <c r="B1470"/>
      <c r="C1470"/>
      <c r="D1470"/>
      <c r="E1470"/>
      <c r="F1470" t="str">
        <f>LEFT(AllDaqbookOffsets[[#This Row],[traceability_no]],2)</f>
        <v>N2</v>
      </c>
      <c r="N1470" s="456"/>
      <c r="O1470"/>
      <c r="Z1470" s="460"/>
      <c r="AA1470" s="194"/>
      <c r="AB1470"/>
      <c r="AG1470" s="69"/>
      <c r="AH1470"/>
    </row>
    <row r="1471" spans="1:34" x14ac:dyDescent="0.2">
      <c r="A1471"/>
      <c r="B1471"/>
      <c r="C1471"/>
      <c r="D1471"/>
      <c r="E1471"/>
      <c r="F1471" t="str">
        <f>LEFT(AllDaqbookOffsets[[#This Row],[traceability_no]],2)</f>
        <v>N2</v>
      </c>
      <c r="N1471" s="456"/>
      <c r="O1471"/>
      <c r="Z1471" s="460"/>
      <c r="AA1471" s="194"/>
      <c r="AB1471"/>
      <c r="AG1471" s="69"/>
      <c r="AH1471"/>
    </row>
    <row r="1472" spans="1:34" x14ac:dyDescent="0.2">
      <c r="A1472"/>
      <c r="B1472"/>
      <c r="C1472"/>
      <c r="D1472"/>
      <c r="E1472"/>
      <c r="F1472" t="str">
        <f>LEFT(AllDaqbookOffsets[[#This Row],[traceability_no]],2)</f>
        <v>N2</v>
      </c>
      <c r="N1472" s="456"/>
      <c r="O1472"/>
      <c r="Z1472" s="460"/>
      <c r="AA1472" s="194"/>
      <c r="AB1472"/>
      <c r="AG1472" s="69"/>
      <c r="AH1472"/>
    </row>
    <row r="1473" spans="1:34" x14ac:dyDescent="0.2">
      <c r="A1473"/>
      <c r="B1473"/>
      <c r="C1473"/>
      <c r="D1473"/>
      <c r="E1473"/>
      <c r="F1473" t="str">
        <f>LEFT(AllDaqbookOffsets[[#This Row],[traceability_no]],2)</f>
        <v>N2</v>
      </c>
      <c r="N1473" s="456"/>
      <c r="O1473"/>
      <c r="Z1473" s="460"/>
      <c r="AA1473" s="194"/>
      <c r="AB1473"/>
      <c r="AG1473" s="69"/>
      <c r="AH1473"/>
    </row>
    <row r="1474" spans="1:34" x14ac:dyDescent="0.2">
      <c r="A1474"/>
      <c r="B1474"/>
      <c r="C1474"/>
      <c r="D1474"/>
      <c r="E1474"/>
      <c r="F1474" t="str">
        <f>LEFT(AllDaqbookOffsets[[#This Row],[traceability_no]],2)</f>
        <v>N2</v>
      </c>
      <c r="N1474" s="456"/>
      <c r="O1474"/>
      <c r="Z1474" s="460"/>
      <c r="AA1474" s="194"/>
      <c r="AB1474"/>
      <c r="AG1474" s="69"/>
      <c r="AH1474"/>
    </row>
    <row r="1475" spans="1:34" x14ac:dyDescent="0.2">
      <c r="A1475"/>
      <c r="B1475"/>
      <c r="C1475"/>
      <c r="D1475"/>
      <c r="E1475"/>
      <c r="F1475" t="str">
        <f>LEFT(AllDaqbookOffsets[[#This Row],[traceability_no]],2)</f>
        <v>N2</v>
      </c>
      <c r="N1475" s="456"/>
      <c r="O1475"/>
      <c r="Z1475" s="460"/>
      <c r="AA1475" s="194"/>
      <c r="AB1475"/>
      <c r="AG1475" s="69"/>
      <c r="AH1475"/>
    </row>
    <row r="1476" spans="1:34" x14ac:dyDescent="0.2">
      <c r="A1476"/>
      <c r="B1476"/>
      <c r="C1476"/>
      <c r="D1476"/>
      <c r="E1476"/>
      <c r="F1476" t="str">
        <f>LEFT(AllDaqbookOffsets[[#This Row],[traceability_no]],2)</f>
        <v>N2</v>
      </c>
      <c r="N1476" s="456"/>
      <c r="O1476"/>
      <c r="Z1476" s="460"/>
      <c r="AA1476" s="194"/>
      <c r="AB1476"/>
      <c r="AG1476" s="69"/>
      <c r="AH1476"/>
    </row>
    <row r="1477" spans="1:34" x14ac:dyDescent="0.2">
      <c r="A1477"/>
      <c r="B1477"/>
      <c r="C1477"/>
      <c r="D1477"/>
      <c r="E1477"/>
      <c r="F1477" t="str">
        <f>LEFT(AllDaqbookOffsets[[#This Row],[traceability_no]],2)</f>
        <v>N2</v>
      </c>
      <c r="N1477" s="456"/>
      <c r="O1477"/>
      <c r="Z1477" s="460"/>
      <c r="AA1477" s="194"/>
      <c r="AB1477"/>
      <c r="AG1477" s="69"/>
      <c r="AH1477"/>
    </row>
    <row r="1478" spans="1:34" x14ac:dyDescent="0.2">
      <c r="A1478"/>
      <c r="B1478"/>
      <c r="C1478"/>
      <c r="D1478"/>
      <c r="E1478"/>
      <c r="F1478" t="str">
        <f>LEFT(AllDaqbookOffsets[[#This Row],[traceability_no]],2)</f>
        <v>N2</v>
      </c>
      <c r="N1478" s="456"/>
      <c r="O1478"/>
      <c r="Z1478" s="460"/>
      <c r="AA1478" s="194"/>
      <c r="AB1478"/>
      <c r="AG1478" s="69"/>
      <c r="AH1478"/>
    </row>
    <row r="1479" spans="1:34" x14ac:dyDescent="0.2">
      <c r="A1479"/>
      <c r="B1479"/>
      <c r="C1479"/>
      <c r="D1479"/>
      <c r="E1479"/>
      <c r="F1479" t="str">
        <f>LEFT(AllDaqbookOffsets[[#This Row],[traceability_no]],2)</f>
        <v>N2</v>
      </c>
      <c r="N1479" s="456"/>
      <c r="O1479"/>
      <c r="Z1479" s="460"/>
      <c r="AA1479" s="194"/>
      <c r="AB1479"/>
      <c r="AG1479" s="69"/>
      <c r="AH1479"/>
    </row>
    <row r="1480" spans="1:34" x14ac:dyDescent="0.2">
      <c r="A1480"/>
      <c r="B1480"/>
      <c r="C1480"/>
      <c r="D1480"/>
      <c r="E1480"/>
      <c r="F1480" t="str">
        <f>LEFT(AllDaqbookOffsets[[#This Row],[traceability_no]],2)</f>
        <v>N2</v>
      </c>
      <c r="N1480" s="456"/>
      <c r="O1480"/>
      <c r="Z1480" s="460"/>
      <c r="AA1480" s="194"/>
      <c r="AB1480"/>
      <c r="AG1480" s="69"/>
      <c r="AH1480"/>
    </row>
    <row r="1481" spans="1:34" x14ac:dyDescent="0.2">
      <c r="A1481"/>
      <c r="B1481"/>
      <c r="C1481"/>
      <c r="D1481"/>
      <c r="E1481"/>
      <c r="F1481" t="str">
        <f>LEFT(AllDaqbookOffsets[[#This Row],[traceability_no]],2)</f>
        <v>N2</v>
      </c>
      <c r="N1481" s="456"/>
      <c r="O1481"/>
      <c r="Z1481" s="460"/>
      <c r="AA1481" s="194"/>
      <c r="AB1481"/>
      <c r="AG1481" s="69"/>
      <c r="AH1481"/>
    </row>
    <row r="1482" spans="1:34" x14ac:dyDescent="0.2">
      <c r="A1482"/>
      <c r="B1482"/>
      <c r="C1482"/>
      <c r="D1482"/>
      <c r="E1482"/>
      <c r="F1482" t="str">
        <f>LEFT(AllDaqbookOffsets[[#This Row],[traceability_no]],2)</f>
        <v>N2</v>
      </c>
      <c r="N1482" s="456"/>
      <c r="O1482"/>
      <c r="Z1482" s="460"/>
      <c r="AA1482" s="194"/>
      <c r="AB1482"/>
      <c r="AG1482" s="69"/>
      <c r="AH1482"/>
    </row>
    <row r="1483" spans="1:34" x14ac:dyDescent="0.2">
      <c r="A1483"/>
      <c r="B1483"/>
      <c r="C1483"/>
      <c r="D1483"/>
      <c r="E1483"/>
      <c r="F1483" t="str">
        <f>LEFT(AllDaqbookOffsets[[#This Row],[traceability_no]],2)</f>
        <v>N2</v>
      </c>
      <c r="N1483" s="456"/>
      <c r="O1483"/>
      <c r="Z1483" s="460"/>
      <c r="AA1483" s="194"/>
      <c r="AB1483"/>
      <c r="AG1483" s="69"/>
      <c r="AH1483"/>
    </row>
    <row r="1484" spans="1:34" x14ac:dyDescent="0.2">
      <c r="A1484"/>
      <c r="B1484"/>
      <c r="C1484"/>
      <c r="D1484"/>
      <c r="E1484"/>
      <c r="F1484" t="str">
        <f>LEFT(AllDaqbookOffsets[[#This Row],[traceability_no]],2)</f>
        <v>N2</v>
      </c>
      <c r="N1484" s="456"/>
      <c r="O1484"/>
      <c r="Z1484" s="460"/>
      <c r="AA1484" s="194"/>
      <c r="AB1484"/>
      <c r="AG1484" s="69"/>
      <c r="AH1484"/>
    </row>
    <row r="1485" spans="1:34" x14ac:dyDescent="0.2">
      <c r="A1485"/>
      <c r="B1485"/>
      <c r="C1485"/>
      <c r="D1485"/>
      <c r="E1485"/>
      <c r="F1485" t="str">
        <f>LEFT(AllDaqbookOffsets[[#This Row],[traceability_no]],2)</f>
        <v>N2</v>
      </c>
      <c r="N1485" s="456"/>
      <c r="O1485"/>
      <c r="Z1485" s="460"/>
      <c r="AA1485" s="194"/>
      <c r="AB1485"/>
      <c r="AG1485" s="69"/>
      <c r="AH1485"/>
    </row>
    <row r="1486" spans="1:34" x14ac:dyDescent="0.2">
      <c r="A1486"/>
      <c r="B1486"/>
      <c r="C1486"/>
      <c r="D1486"/>
      <c r="E1486"/>
      <c r="F1486" t="str">
        <f>LEFT(AllDaqbookOffsets[[#This Row],[traceability_no]],2)</f>
        <v>N2</v>
      </c>
      <c r="N1486" s="456"/>
      <c r="O1486"/>
      <c r="Z1486" s="460"/>
      <c r="AA1486" s="194"/>
      <c r="AB1486"/>
      <c r="AG1486" s="69"/>
      <c r="AH1486"/>
    </row>
    <row r="1487" spans="1:34" x14ac:dyDescent="0.2">
      <c r="A1487"/>
      <c r="B1487"/>
      <c r="C1487"/>
      <c r="D1487"/>
      <c r="E1487"/>
      <c r="F1487" t="str">
        <f>LEFT(AllDaqbookOffsets[[#This Row],[traceability_no]],2)</f>
        <v>N2</v>
      </c>
      <c r="N1487" s="456"/>
      <c r="O1487"/>
      <c r="Z1487" s="460"/>
      <c r="AA1487" s="194"/>
      <c r="AB1487"/>
      <c r="AG1487" s="69"/>
      <c r="AH1487"/>
    </row>
    <row r="1488" spans="1:34" x14ac:dyDescent="0.2">
      <c r="A1488"/>
      <c r="B1488"/>
      <c r="C1488"/>
      <c r="D1488"/>
      <c r="E1488"/>
      <c r="F1488" t="str">
        <f>LEFT(AllDaqbookOffsets[[#This Row],[traceability_no]],2)</f>
        <v>N2</v>
      </c>
      <c r="N1488" s="456"/>
      <c r="O1488"/>
      <c r="Z1488" s="460"/>
      <c r="AA1488" s="194"/>
      <c r="AB1488"/>
      <c r="AG1488" s="69"/>
      <c r="AH1488"/>
    </row>
    <row r="1489" spans="1:34" x14ac:dyDescent="0.2">
      <c r="A1489"/>
      <c r="B1489"/>
      <c r="C1489"/>
      <c r="D1489"/>
      <c r="E1489"/>
      <c r="F1489" t="str">
        <f>LEFT(AllDaqbookOffsets[[#This Row],[traceability_no]],2)</f>
        <v>N2</v>
      </c>
      <c r="N1489" s="456"/>
      <c r="O1489"/>
      <c r="Z1489" s="460"/>
      <c r="AA1489" s="194"/>
      <c r="AB1489"/>
      <c r="AG1489" s="69"/>
      <c r="AH1489"/>
    </row>
    <row r="1490" spans="1:34" x14ac:dyDescent="0.2">
      <c r="A1490"/>
      <c r="B1490"/>
      <c r="C1490"/>
      <c r="D1490"/>
      <c r="E1490"/>
      <c r="F1490" t="str">
        <f>LEFT(AllDaqbookOffsets[[#This Row],[traceability_no]],2)</f>
        <v>N2</v>
      </c>
      <c r="N1490" s="456"/>
      <c r="O1490"/>
      <c r="Z1490" s="460"/>
      <c r="AA1490" s="194"/>
      <c r="AB1490"/>
      <c r="AG1490" s="69"/>
      <c r="AH1490"/>
    </row>
    <row r="1491" spans="1:34" x14ac:dyDescent="0.2">
      <c r="A1491"/>
      <c r="B1491"/>
      <c r="C1491"/>
      <c r="D1491"/>
      <c r="E1491"/>
      <c r="F1491" t="str">
        <f>LEFT(AllDaqbookOffsets[[#This Row],[traceability_no]],2)</f>
        <v>N2</v>
      </c>
      <c r="N1491" s="456"/>
      <c r="O1491"/>
      <c r="Z1491" s="460"/>
      <c r="AA1491" s="194"/>
      <c r="AB1491"/>
      <c r="AG1491" s="69"/>
      <c r="AH1491"/>
    </row>
    <row r="1492" spans="1:34" x14ac:dyDescent="0.2">
      <c r="A1492"/>
      <c r="B1492"/>
      <c r="C1492"/>
      <c r="D1492"/>
      <c r="E1492"/>
      <c r="F1492" t="str">
        <f>LEFT(AllDaqbookOffsets[[#This Row],[traceability_no]],2)</f>
        <v>N2</v>
      </c>
      <c r="N1492" s="456"/>
      <c r="O1492"/>
      <c r="Z1492" s="460"/>
      <c r="AA1492" s="194"/>
      <c r="AB1492"/>
      <c r="AG1492" s="69"/>
      <c r="AH1492"/>
    </row>
    <row r="1493" spans="1:34" x14ac:dyDescent="0.2">
      <c r="A1493"/>
      <c r="B1493"/>
      <c r="C1493"/>
      <c r="D1493"/>
      <c r="E1493"/>
      <c r="F1493" t="str">
        <f>LEFT(AllDaqbookOffsets[[#This Row],[traceability_no]],2)</f>
        <v>N2</v>
      </c>
      <c r="N1493" s="456"/>
      <c r="O1493"/>
      <c r="Z1493" s="460"/>
      <c r="AA1493" s="194"/>
      <c r="AB1493"/>
      <c r="AG1493" s="69"/>
      <c r="AH1493"/>
    </row>
    <row r="1494" spans="1:34" x14ac:dyDescent="0.2">
      <c r="A1494"/>
      <c r="B1494"/>
      <c r="C1494"/>
      <c r="D1494"/>
      <c r="E1494"/>
      <c r="F1494" t="str">
        <f>LEFT(AllDaqbookOffsets[[#This Row],[traceability_no]],2)</f>
        <v>N2</v>
      </c>
      <c r="N1494" s="456"/>
      <c r="O1494"/>
      <c r="Z1494" s="460"/>
      <c r="AA1494" s="194"/>
      <c r="AB1494"/>
      <c r="AG1494" s="69"/>
      <c r="AH1494"/>
    </row>
    <row r="1495" spans="1:34" x14ac:dyDescent="0.2">
      <c r="A1495"/>
      <c r="B1495"/>
      <c r="C1495"/>
      <c r="D1495"/>
      <c r="E1495"/>
      <c r="F1495" t="str">
        <f>LEFT(AllDaqbookOffsets[[#This Row],[traceability_no]],2)</f>
        <v>N2</v>
      </c>
      <c r="N1495" s="456"/>
      <c r="O1495"/>
      <c r="Z1495" s="460"/>
      <c r="AA1495" s="194"/>
      <c r="AB1495"/>
      <c r="AG1495" s="69"/>
      <c r="AH1495"/>
    </row>
    <row r="1496" spans="1:34" x14ac:dyDescent="0.2">
      <c r="A1496"/>
      <c r="B1496"/>
      <c r="C1496"/>
      <c r="D1496"/>
      <c r="E1496"/>
      <c r="F1496" t="str">
        <f>LEFT(AllDaqbookOffsets[[#This Row],[traceability_no]],2)</f>
        <v>N2</v>
      </c>
      <c r="N1496" s="456"/>
      <c r="O1496"/>
      <c r="Z1496" s="460"/>
      <c r="AA1496" s="194"/>
      <c r="AB1496"/>
      <c r="AG1496" s="69"/>
      <c r="AH1496"/>
    </row>
    <row r="1497" spans="1:34" x14ac:dyDescent="0.2">
      <c r="A1497"/>
      <c r="B1497"/>
      <c r="C1497"/>
      <c r="D1497"/>
      <c r="E1497"/>
      <c r="F1497" t="str">
        <f>LEFT(AllDaqbookOffsets[[#This Row],[traceability_no]],2)</f>
        <v>N2</v>
      </c>
      <c r="N1497" s="456"/>
      <c r="O1497"/>
      <c r="Z1497" s="460"/>
      <c r="AA1497" s="194"/>
      <c r="AB1497"/>
      <c r="AG1497" s="69"/>
      <c r="AH1497"/>
    </row>
    <row r="1498" spans="1:34" x14ac:dyDescent="0.2">
      <c r="A1498"/>
      <c r="B1498"/>
      <c r="C1498"/>
      <c r="D1498"/>
      <c r="E1498"/>
      <c r="F1498" t="str">
        <f>LEFT(AllDaqbookOffsets[[#This Row],[traceability_no]],2)</f>
        <v>N2</v>
      </c>
      <c r="N1498" s="456"/>
      <c r="O1498"/>
      <c r="Z1498" s="460"/>
      <c r="AA1498" s="194"/>
      <c r="AB1498"/>
      <c r="AG1498" s="69"/>
      <c r="AH1498"/>
    </row>
    <row r="1499" spans="1:34" x14ac:dyDescent="0.2">
      <c r="A1499"/>
      <c r="B1499"/>
      <c r="C1499"/>
      <c r="D1499"/>
      <c r="E1499"/>
      <c r="F1499" t="str">
        <f>LEFT(AllDaqbookOffsets[[#This Row],[traceability_no]],2)</f>
        <v>N2</v>
      </c>
      <c r="N1499" s="456"/>
      <c r="O1499"/>
      <c r="Z1499" s="460"/>
      <c r="AA1499" s="194"/>
      <c r="AB1499"/>
      <c r="AG1499" s="69"/>
      <c r="AH1499"/>
    </row>
    <row r="1500" spans="1:34" x14ac:dyDescent="0.2">
      <c r="A1500"/>
      <c r="B1500"/>
      <c r="C1500"/>
      <c r="D1500"/>
      <c r="E1500"/>
      <c r="F1500" t="str">
        <f>LEFT(AllDaqbookOffsets[[#This Row],[traceability_no]],2)</f>
        <v>N2</v>
      </c>
      <c r="N1500" s="456"/>
      <c r="O1500"/>
      <c r="Z1500" s="460"/>
      <c r="AA1500" s="194"/>
      <c r="AB1500"/>
      <c r="AG1500" s="69"/>
      <c r="AH1500"/>
    </row>
    <row r="1501" spans="1:34" x14ac:dyDescent="0.2">
      <c r="A1501"/>
      <c r="B1501"/>
      <c r="C1501"/>
      <c r="D1501"/>
      <c r="E1501"/>
      <c r="F1501" t="str">
        <f>LEFT(AllDaqbookOffsets[[#This Row],[traceability_no]],2)</f>
        <v>N2</v>
      </c>
      <c r="N1501" s="456"/>
      <c r="O1501"/>
      <c r="Z1501" s="460"/>
      <c r="AA1501" s="194"/>
      <c r="AB1501"/>
      <c r="AG1501" s="69"/>
      <c r="AH1501"/>
    </row>
    <row r="1502" spans="1:34" x14ac:dyDescent="0.2">
      <c r="A1502"/>
      <c r="B1502"/>
      <c r="C1502"/>
      <c r="D1502"/>
      <c r="E1502"/>
      <c r="F1502" t="str">
        <f>LEFT(AllDaqbookOffsets[[#This Row],[traceability_no]],2)</f>
        <v>N2</v>
      </c>
      <c r="N1502" s="456"/>
      <c r="O1502"/>
      <c r="Z1502" s="460"/>
      <c r="AA1502" s="194"/>
      <c r="AB1502"/>
      <c r="AG1502" s="69"/>
      <c r="AH1502"/>
    </row>
    <row r="1503" spans="1:34" x14ac:dyDescent="0.2">
      <c r="A1503"/>
      <c r="B1503"/>
      <c r="C1503"/>
      <c r="D1503"/>
      <c r="E1503"/>
      <c r="F1503" t="str">
        <f>LEFT(AllDaqbookOffsets[[#This Row],[traceability_no]],2)</f>
        <v>N2</v>
      </c>
      <c r="N1503" s="456"/>
      <c r="O1503"/>
      <c r="Z1503" s="460"/>
      <c r="AA1503" s="194"/>
      <c r="AB1503"/>
      <c r="AG1503" s="69"/>
      <c r="AH1503"/>
    </row>
    <row r="1504" spans="1:34" x14ac:dyDescent="0.2">
      <c r="A1504"/>
      <c r="B1504"/>
      <c r="C1504"/>
      <c r="D1504"/>
      <c r="E1504"/>
      <c r="F1504" t="str">
        <f>LEFT(AllDaqbookOffsets[[#This Row],[traceability_no]],2)</f>
        <v>N2</v>
      </c>
      <c r="N1504" s="456"/>
      <c r="O1504"/>
      <c r="Z1504" s="460"/>
      <c r="AA1504" s="194"/>
      <c r="AB1504"/>
      <c r="AG1504" s="69"/>
      <c r="AH1504"/>
    </row>
    <row r="1505" spans="1:34" x14ac:dyDescent="0.2">
      <c r="A1505"/>
      <c r="B1505"/>
      <c r="C1505"/>
      <c r="D1505"/>
      <c r="E1505"/>
      <c r="F1505" t="str">
        <f>LEFT(AllDaqbookOffsets[[#This Row],[traceability_no]],2)</f>
        <v>N2</v>
      </c>
      <c r="N1505" s="456"/>
      <c r="O1505"/>
      <c r="Z1505" s="460"/>
      <c r="AA1505" s="194"/>
      <c r="AB1505"/>
      <c r="AG1505" s="69"/>
      <c r="AH1505"/>
    </row>
    <row r="1506" spans="1:34" x14ac:dyDescent="0.2">
      <c r="A1506"/>
      <c r="B1506"/>
      <c r="C1506"/>
      <c r="D1506"/>
      <c r="E1506"/>
      <c r="F1506" t="str">
        <f>LEFT(AllDaqbookOffsets[[#This Row],[traceability_no]],2)</f>
        <v>N2</v>
      </c>
      <c r="N1506" s="456"/>
      <c r="O1506"/>
      <c r="Z1506" s="460"/>
      <c r="AA1506" s="194"/>
      <c r="AB1506"/>
      <c r="AG1506" s="69"/>
      <c r="AH1506"/>
    </row>
    <row r="1507" spans="1:34" x14ac:dyDescent="0.2">
      <c r="A1507"/>
      <c r="B1507"/>
      <c r="C1507"/>
      <c r="D1507"/>
      <c r="E1507"/>
      <c r="F1507" t="str">
        <f>LEFT(AllDaqbookOffsets[[#This Row],[traceability_no]],2)</f>
        <v>N2</v>
      </c>
      <c r="N1507" s="456"/>
      <c r="O1507"/>
      <c r="Z1507" s="460"/>
      <c r="AA1507" s="194"/>
      <c r="AB1507"/>
      <c r="AG1507" s="69"/>
      <c r="AH1507"/>
    </row>
    <row r="1508" spans="1:34" x14ac:dyDescent="0.2">
      <c r="A1508"/>
      <c r="B1508"/>
      <c r="C1508"/>
      <c r="D1508"/>
      <c r="E1508"/>
      <c r="F1508" t="str">
        <f>LEFT(AllDaqbookOffsets[[#This Row],[traceability_no]],2)</f>
        <v>N2</v>
      </c>
      <c r="N1508" s="456"/>
      <c r="O1508"/>
      <c r="Z1508" s="460"/>
      <c r="AA1508" s="194"/>
      <c r="AB1508"/>
      <c r="AG1508" s="69"/>
      <c r="AH1508"/>
    </row>
    <row r="1509" spans="1:34" x14ac:dyDescent="0.2">
      <c r="A1509"/>
      <c r="B1509"/>
      <c r="C1509"/>
      <c r="D1509"/>
      <c r="E1509"/>
      <c r="F1509" t="str">
        <f>LEFT(AllDaqbookOffsets[[#This Row],[traceability_no]],2)</f>
        <v>N2</v>
      </c>
      <c r="N1509" s="456"/>
      <c r="O1509"/>
      <c r="Z1509" s="460"/>
      <c r="AA1509" s="194"/>
      <c r="AB1509"/>
      <c r="AG1509" s="69"/>
      <c r="AH1509"/>
    </row>
    <row r="1510" spans="1:34" x14ac:dyDescent="0.2">
      <c r="A1510"/>
      <c r="B1510"/>
      <c r="C1510"/>
      <c r="D1510"/>
      <c r="E1510"/>
      <c r="F1510" t="str">
        <f>LEFT(AllDaqbookOffsets[[#This Row],[traceability_no]],2)</f>
        <v>N2</v>
      </c>
      <c r="N1510" s="456"/>
      <c r="O1510"/>
      <c r="Z1510" s="460"/>
      <c r="AA1510" s="194"/>
      <c r="AB1510"/>
      <c r="AG1510" s="69"/>
      <c r="AH1510"/>
    </row>
    <row r="1511" spans="1:34" x14ac:dyDescent="0.2">
      <c r="A1511"/>
      <c r="B1511"/>
      <c r="C1511"/>
      <c r="D1511"/>
      <c r="E1511"/>
      <c r="F1511" t="str">
        <f>LEFT(AllDaqbookOffsets[[#This Row],[traceability_no]],2)</f>
        <v>N2</v>
      </c>
      <c r="N1511" s="456"/>
      <c r="O1511"/>
      <c r="Z1511" s="460"/>
      <c r="AA1511" s="194"/>
      <c r="AB1511"/>
      <c r="AG1511" s="69"/>
      <c r="AH1511"/>
    </row>
    <row r="1512" spans="1:34" x14ac:dyDescent="0.2">
      <c r="A1512"/>
      <c r="B1512"/>
      <c r="C1512"/>
      <c r="D1512"/>
      <c r="E1512"/>
      <c r="F1512" t="str">
        <f>LEFT(AllDaqbookOffsets[[#This Row],[traceability_no]],2)</f>
        <v>N2</v>
      </c>
      <c r="N1512" s="456"/>
      <c r="O1512"/>
      <c r="Z1512" s="460"/>
      <c r="AA1512" s="194"/>
      <c r="AB1512"/>
      <c r="AG1512" s="69"/>
      <c r="AH1512"/>
    </row>
    <row r="1513" spans="1:34" x14ac:dyDescent="0.2">
      <c r="A1513"/>
      <c r="B1513"/>
      <c r="C1513"/>
      <c r="D1513"/>
      <c r="E1513"/>
      <c r="F1513" t="str">
        <f>LEFT(AllDaqbookOffsets[[#This Row],[traceability_no]],2)</f>
        <v>N2</v>
      </c>
      <c r="N1513" s="456"/>
      <c r="O1513"/>
      <c r="Z1513" s="460"/>
      <c r="AA1513" s="194"/>
      <c r="AB1513"/>
      <c r="AG1513" s="69"/>
      <c r="AH1513"/>
    </row>
    <row r="1514" spans="1:34" x14ac:dyDescent="0.2">
      <c r="A1514"/>
      <c r="B1514"/>
      <c r="C1514"/>
      <c r="D1514"/>
      <c r="E1514"/>
      <c r="F1514" t="str">
        <f>LEFT(AllDaqbookOffsets[[#This Row],[traceability_no]],2)</f>
        <v>N2</v>
      </c>
      <c r="N1514" s="456"/>
      <c r="O1514"/>
      <c r="Z1514" s="460"/>
      <c r="AA1514" s="194"/>
      <c r="AB1514"/>
      <c r="AG1514" s="69"/>
      <c r="AH1514"/>
    </row>
    <row r="1515" spans="1:34" x14ac:dyDescent="0.2">
      <c r="A1515"/>
      <c r="B1515"/>
      <c r="C1515"/>
      <c r="D1515"/>
      <c r="E1515"/>
      <c r="F1515" t="str">
        <f>LEFT(AllDaqbookOffsets[[#This Row],[traceability_no]],2)</f>
        <v>N2</v>
      </c>
      <c r="N1515" s="456"/>
      <c r="O1515"/>
      <c r="Z1515" s="460"/>
      <c r="AA1515" s="194"/>
      <c r="AB1515"/>
      <c r="AG1515" s="69"/>
      <c r="AH1515"/>
    </row>
    <row r="1516" spans="1:34" x14ac:dyDescent="0.2">
      <c r="A1516"/>
      <c r="B1516"/>
      <c r="C1516"/>
      <c r="D1516"/>
      <c r="E1516"/>
      <c r="F1516" t="str">
        <f>LEFT(AllDaqbookOffsets[[#This Row],[traceability_no]],2)</f>
        <v>N2</v>
      </c>
      <c r="N1516" s="456"/>
      <c r="O1516"/>
      <c r="Z1516" s="460"/>
      <c r="AA1516" s="194"/>
      <c r="AB1516"/>
      <c r="AG1516" s="69"/>
      <c r="AH1516"/>
    </row>
    <row r="1517" spans="1:34" x14ac:dyDescent="0.2">
      <c r="A1517"/>
      <c r="B1517"/>
      <c r="C1517"/>
      <c r="D1517"/>
      <c r="E1517"/>
      <c r="F1517" t="str">
        <f>LEFT(AllDaqbookOffsets[[#This Row],[traceability_no]],2)</f>
        <v>N2</v>
      </c>
      <c r="N1517" s="456"/>
      <c r="O1517"/>
      <c r="Z1517" s="460"/>
      <c r="AA1517" s="194"/>
      <c r="AB1517"/>
      <c r="AG1517" s="69"/>
      <c r="AH1517"/>
    </row>
    <row r="1518" spans="1:34" x14ac:dyDescent="0.2">
      <c r="A1518"/>
      <c r="B1518"/>
      <c r="C1518"/>
      <c r="D1518"/>
      <c r="E1518"/>
      <c r="F1518" t="str">
        <f>LEFT(AllDaqbookOffsets[[#This Row],[traceability_no]],2)</f>
        <v>N2</v>
      </c>
      <c r="N1518" s="456"/>
      <c r="O1518"/>
      <c r="Z1518" s="460"/>
      <c r="AA1518" s="194"/>
      <c r="AB1518"/>
      <c r="AG1518" s="69"/>
      <c r="AH1518"/>
    </row>
    <row r="1519" spans="1:34" x14ac:dyDescent="0.2">
      <c r="A1519"/>
      <c r="B1519"/>
      <c r="C1519"/>
      <c r="D1519"/>
      <c r="E1519"/>
      <c r="F1519" t="str">
        <f>LEFT(AllDaqbookOffsets[[#This Row],[traceability_no]],2)</f>
        <v>N2</v>
      </c>
      <c r="N1519" s="456"/>
      <c r="O1519"/>
      <c r="Z1519" s="460"/>
      <c r="AA1519" s="194"/>
      <c r="AB1519"/>
      <c r="AG1519" s="69"/>
      <c r="AH1519"/>
    </row>
    <row r="1520" spans="1:34" x14ac:dyDescent="0.2">
      <c r="A1520"/>
      <c r="B1520"/>
      <c r="C1520"/>
      <c r="D1520"/>
      <c r="E1520"/>
      <c r="F1520" t="str">
        <f>LEFT(AllDaqbookOffsets[[#This Row],[traceability_no]],2)</f>
        <v>N2</v>
      </c>
      <c r="N1520" s="456"/>
      <c r="O1520"/>
      <c r="Z1520" s="460"/>
      <c r="AA1520" s="194"/>
      <c r="AB1520"/>
      <c r="AG1520" s="69"/>
      <c r="AH1520"/>
    </row>
    <row r="1521" spans="1:34" x14ac:dyDescent="0.2">
      <c r="A1521"/>
      <c r="B1521"/>
      <c r="C1521"/>
      <c r="D1521"/>
      <c r="E1521"/>
      <c r="F1521" t="str">
        <f>LEFT(AllDaqbookOffsets[[#This Row],[traceability_no]],2)</f>
        <v>N2</v>
      </c>
      <c r="N1521" s="456"/>
      <c r="O1521"/>
      <c r="Z1521" s="460"/>
      <c r="AA1521" s="194"/>
      <c r="AB1521"/>
      <c r="AG1521" s="69"/>
      <c r="AH1521"/>
    </row>
    <row r="1522" spans="1:34" x14ac:dyDescent="0.2">
      <c r="A1522"/>
      <c r="B1522"/>
      <c r="C1522"/>
      <c r="D1522"/>
      <c r="E1522"/>
      <c r="F1522" t="str">
        <f>LEFT(AllDaqbookOffsets[[#This Row],[traceability_no]],2)</f>
        <v>N2</v>
      </c>
      <c r="N1522" s="456"/>
      <c r="O1522"/>
      <c r="Z1522" s="460"/>
      <c r="AA1522" s="194"/>
      <c r="AB1522"/>
      <c r="AG1522" s="69"/>
      <c r="AH1522"/>
    </row>
    <row r="1523" spans="1:34" x14ac:dyDescent="0.2">
      <c r="A1523"/>
      <c r="B1523"/>
      <c r="C1523"/>
      <c r="D1523"/>
      <c r="E1523"/>
      <c r="F1523" t="str">
        <f>LEFT(AllDaqbookOffsets[[#This Row],[traceability_no]],2)</f>
        <v>N2</v>
      </c>
      <c r="N1523" s="456"/>
      <c r="O1523"/>
      <c r="Z1523" s="460"/>
      <c r="AA1523" s="194"/>
      <c r="AB1523"/>
      <c r="AG1523" s="69"/>
      <c r="AH1523"/>
    </row>
    <row r="1524" spans="1:34" x14ac:dyDescent="0.2">
      <c r="A1524"/>
      <c r="B1524"/>
      <c r="C1524"/>
      <c r="D1524"/>
      <c r="E1524"/>
      <c r="F1524" t="str">
        <f>LEFT(AllDaqbookOffsets[[#This Row],[traceability_no]],2)</f>
        <v>N2</v>
      </c>
      <c r="N1524" s="456"/>
      <c r="O1524"/>
      <c r="Z1524" s="460"/>
      <c r="AA1524" s="194"/>
      <c r="AB1524"/>
      <c r="AG1524" s="69"/>
      <c r="AH1524"/>
    </row>
    <row r="1525" spans="1:34" x14ac:dyDescent="0.2">
      <c r="A1525"/>
      <c r="B1525"/>
      <c r="C1525"/>
      <c r="D1525"/>
      <c r="E1525"/>
      <c r="F1525" t="str">
        <f>LEFT(AllDaqbookOffsets[[#This Row],[traceability_no]],2)</f>
        <v>N2</v>
      </c>
      <c r="N1525" s="456"/>
      <c r="O1525"/>
      <c r="Z1525" s="460"/>
      <c r="AA1525" s="194"/>
      <c r="AB1525"/>
      <c r="AG1525" s="69"/>
      <c r="AH1525"/>
    </row>
    <row r="1526" spans="1:34" x14ac:dyDescent="0.2">
      <c r="A1526"/>
      <c r="B1526"/>
      <c r="C1526"/>
      <c r="D1526"/>
      <c r="E1526"/>
      <c r="F1526" t="str">
        <f>LEFT(AllDaqbookOffsets[[#This Row],[traceability_no]],2)</f>
        <v>N2</v>
      </c>
      <c r="N1526" s="456"/>
      <c r="O1526"/>
      <c r="Z1526" s="460"/>
      <c r="AA1526" s="194"/>
      <c r="AB1526"/>
      <c r="AG1526" s="69"/>
      <c r="AH1526"/>
    </row>
    <row r="1527" spans="1:34" x14ac:dyDescent="0.2">
      <c r="A1527"/>
      <c r="B1527"/>
      <c r="C1527"/>
      <c r="D1527"/>
      <c r="E1527"/>
      <c r="F1527" t="str">
        <f>LEFT(AllDaqbookOffsets[[#This Row],[traceability_no]],2)</f>
        <v>N2</v>
      </c>
      <c r="N1527" s="456"/>
      <c r="O1527"/>
      <c r="Z1527" s="460"/>
      <c r="AA1527" s="194"/>
      <c r="AB1527"/>
      <c r="AG1527" s="69"/>
      <c r="AH1527"/>
    </row>
    <row r="1528" spans="1:34" x14ac:dyDescent="0.2">
      <c r="A1528"/>
      <c r="B1528"/>
      <c r="C1528"/>
      <c r="D1528"/>
      <c r="E1528"/>
      <c r="F1528" t="str">
        <f>LEFT(AllDaqbookOffsets[[#This Row],[traceability_no]],2)</f>
        <v>N2</v>
      </c>
      <c r="N1528" s="456"/>
      <c r="O1528"/>
      <c r="Z1528" s="460"/>
      <c r="AA1528" s="194"/>
      <c r="AB1528"/>
      <c r="AG1528" s="69"/>
      <c r="AH1528"/>
    </row>
    <row r="1529" spans="1:34" x14ac:dyDescent="0.2">
      <c r="A1529"/>
      <c r="B1529"/>
      <c r="C1529"/>
      <c r="D1529"/>
      <c r="E1529"/>
      <c r="F1529" t="str">
        <f>LEFT(AllDaqbookOffsets[[#This Row],[traceability_no]],2)</f>
        <v>N2</v>
      </c>
      <c r="N1529" s="456"/>
      <c r="O1529"/>
      <c r="Z1529" s="460"/>
      <c r="AA1529" s="194"/>
      <c r="AB1529"/>
      <c r="AG1529" s="69"/>
      <c r="AH1529"/>
    </row>
    <row r="1530" spans="1:34" x14ac:dyDescent="0.2">
      <c r="A1530"/>
      <c r="B1530"/>
      <c r="C1530"/>
      <c r="D1530"/>
      <c r="E1530"/>
      <c r="F1530" t="str">
        <f>LEFT(AllDaqbookOffsets[[#This Row],[traceability_no]],2)</f>
        <v>N2</v>
      </c>
      <c r="N1530" s="456"/>
      <c r="O1530"/>
      <c r="Z1530" s="460"/>
      <c r="AA1530" s="194"/>
      <c r="AB1530"/>
      <c r="AG1530" s="69"/>
      <c r="AH1530"/>
    </row>
    <row r="1531" spans="1:34" x14ac:dyDescent="0.2">
      <c r="A1531"/>
      <c r="B1531"/>
      <c r="C1531"/>
      <c r="D1531"/>
      <c r="E1531"/>
      <c r="F1531" t="str">
        <f>LEFT(AllDaqbookOffsets[[#This Row],[traceability_no]],2)</f>
        <v>N2</v>
      </c>
      <c r="N1531" s="456"/>
      <c r="O1531"/>
      <c r="Z1531" s="460"/>
      <c r="AA1531" s="194"/>
      <c r="AB1531"/>
      <c r="AG1531" s="69"/>
      <c r="AH1531"/>
    </row>
    <row r="1532" spans="1:34" x14ac:dyDescent="0.2">
      <c r="A1532"/>
      <c r="B1532"/>
      <c r="C1532"/>
      <c r="D1532"/>
      <c r="E1532"/>
      <c r="F1532" t="str">
        <f>LEFT(AllDaqbookOffsets[[#This Row],[traceability_no]],2)</f>
        <v>N2</v>
      </c>
      <c r="N1532" s="456"/>
      <c r="O1532"/>
      <c r="Z1532" s="460"/>
      <c r="AA1532" s="194"/>
      <c r="AB1532"/>
      <c r="AG1532" s="69"/>
      <c r="AH1532"/>
    </row>
    <row r="1533" spans="1:34" x14ac:dyDescent="0.2">
      <c r="A1533"/>
      <c r="B1533"/>
      <c r="C1533"/>
      <c r="D1533"/>
      <c r="E1533"/>
      <c r="F1533" t="str">
        <f>LEFT(AllDaqbookOffsets[[#This Row],[traceability_no]],2)</f>
        <v>N2</v>
      </c>
      <c r="N1533" s="456"/>
      <c r="O1533"/>
      <c r="Z1533" s="460"/>
      <c r="AA1533" s="194"/>
      <c r="AB1533"/>
      <c r="AG1533" s="69"/>
      <c r="AH1533"/>
    </row>
    <row r="1534" spans="1:34" x14ac:dyDescent="0.2">
      <c r="A1534"/>
      <c r="B1534"/>
      <c r="C1534"/>
      <c r="D1534"/>
      <c r="E1534"/>
      <c r="F1534" t="str">
        <f>LEFT(AllDaqbookOffsets[[#This Row],[traceability_no]],2)</f>
        <v>N2</v>
      </c>
      <c r="N1534" s="456"/>
      <c r="O1534"/>
      <c r="Z1534" s="460"/>
      <c r="AA1534" s="194"/>
      <c r="AB1534"/>
      <c r="AG1534" s="69"/>
      <c r="AH1534"/>
    </row>
    <row r="1535" spans="1:34" x14ac:dyDescent="0.2">
      <c r="A1535"/>
      <c r="B1535"/>
      <c r="C1535"/>
      <c r="D1535"/>
      <c r="E1535"/>
      <c r="F1535" t="str">
        <f>LEFT(AllDaqbookOffsets[[#This Row],[traceability_no]],2)</f>
        <v>N2</v>
      </c>
      <c r="N1535" s="456"/>
      <c r="O1535"/>
      <c r="Z1535" s="460"/>
      <c r="AA1535" s="194"/>
      <c r="AB1535"/>
      <c r="AG1535" s="69"/>
      <c r="AH1535"/>
    </row>
    <row r="1536" spans="1:34" x14ac:dyDescent="0.2">
      <c r="A1536"/>
      <c r="B1536"/>
      <c r="C1536"/>
      <c r="D1536"/>
      <c r="E1536"/>
      <c r="F1536" t="str">
        <f>LEFT(AllDaqbookOffsets[[#This Row],[traceability_no]],2)</f>
        <v>N2</v>
      </c>
      <c r="N1536" s="456"/>
      <c r="O1536"/>
      <c r="Z1536" s="460"/>
      <c r="AA1536" s="194"/>
      <c r="AB1536"/>
      <c r="AG1536" s="69"/>
      <c r="AH1536"/>
    </row>
    <row r="1537" spans="1:34" x14ac:dyDescent="0.2">
      <c r="A1537"/>
      <c r="B1537"/>
      <c r="C1537"/>
      <c r="D1537"/>
      <c r="E1537"/>
      <c r="F1537" t="str">
        <f>LEFT(AllDaqbookOffsets[[#This Row],[traceability_no]],2)</f>
        <v>N2</v>
      </c>
      <c r="N1537" s="456"/>
      <c r="O1537"/>
      <c r="Z1537" s="460"/>
      <c r="AA1537" s="194"/>
      <c r="AB1537"/>
      <c r="AG1537" s="69"/>
      <c r="AH1537"/>
    </row>
  </sheetData>
  <phoneticPr fontId="22" type="noConversion"/>
  <dataValidations count="1">
    <dataValidation type="list" showInputMessage="1" showErrorMessage="1" sqref="X2:X293"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3"/>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332</v>
      </c>
      <c r="B1" s="358" t="s">
        <v>333</v>
      </c>
    </row>
    <row r="3" spans="1:5" x14ac:dyDescent="0.2">
      <c r="A3" t="s">
        <v>327</v>
      </c>
      <c r="B3" t="s">
        <v>328</v>
      </c>
      <c r="C3" t="s">
        <v>334</v>
      </c>
      <c r="D3" t="s">
        <v>421</v>
      </c>
      <c r="E3" s="36" t="s">
        <v>740</v>
      </c>
    </row>
    <row r="4" spans="1:5" x14ac:dyDescent="0.2">
      <c r="A4">
        <v>-100</v>
      </c>
      <c r="B4">
        <v>392</v>
      </c>
      <c r="C4">
        <v>1.6</v>
      </c>
      <c r="D4" t="s">
        <v>737</v>
      </c>
      <c r="E4" t="b">
        <f>1=(NominalTemp&gt;=CMCs[[#This Row],[Min]])*(NominalTemp&lt;CMCs[[#This Row],[Max]])*(CMCs[[#This Row],[Unit]]=Unit)</f>
        <v>1</v>
      </c>
    </row>
    <row r="5" spans="1:5" x14ac:dyDescent="0.2">
      <c r="A5">
        <v>392</v>
      </c>
      <c r="B5">
        <v>752</v>
      </c>
      <c r="C5">
        <v>4</v>
      </c>
      <c r="D5" t="s">
        <v>737</v>
      </c>
      <c r="E5" t="b">
        <f>1=(NominalTemp&gt;=CMCs[[#This Row],[Min]])*(NominalTemp&lt;CMCs[[#This Row],[Max]])*(CMCs[[#This Row],[Unit]]=Unit)</f>
        <v>0</v>
      </c>
    </row>
    <row r="6" spans="1:5" x14ac:dyDescent="0.2">
      <c r="A6">
        <v>752</v>
      </c>
      <c r="B6">
        <v>1200</v>
      </c>
      <c r="C6">
        <v>3</v>
      </c>
      <c r="D6" t="s">
        <v>737</v>
      </c>
      <c r="E6" t="b">
        <f>1=(NominalTemp&gt;=CMCs[[#This Row],[Min]])*(NominalTemp&lt;CMCs[[#This Row],[Max]])*(CMCs[[#This Row],[Unit]]=Unit)</f>
        <v>0</v>
      </c>
    </row>
    <row r="7" spans="1:5" x14ac:dyDescent="0.2">
      <c r="A7">
        <v>1200</v>
      </c>
      <c r="B7">
        <v>2000</v>
      </c>
      <c r="C7">
        <v>4.0999999999999996</v>
      </c>
      <c r="D7" t="s">
        <v>737</v>
      </c>
      <c r="E7" t="b">
        <f>1=(NominalTemp&gt;=CMCs[[#This Row],[Min]])*(NominalTemp&lt;CMCs[[#This Row],[Max]])*(CMCs[[#This Row],[Unit]]=Unit)</f>
        <v>0</v>
      </c>
    </row>
    <row r="8" spans="1:5" x14ac:dyDescent="0.2">
      <c r="A8">
        <v>1800</v>
      </c>
      <c r="B8">
        <v>2200</v>
      </c>
      <c r="C8">
        <v>4.0999999999999996</v>
      </c>
      <c r="D8" t="s">
        <v>737</v>
      </c>
      <c r="E8" t="b">
        <f>1=(NominalTemp&gt;=CMCs[[#This Row],[Min]])*(NominalTemp&lt;CMCs[[#This Row],[Max]])*(CMCs[[#This Row],[Unit]]=Unit)</f>
        <v>0</v>
      </c>
    </row>
    <row r="9" spans="1:5" x14ac:dyDescent="0.2">
      <c r="A9">
        <v>-73.333333333333329</v>
      </c>
      <c r="B9">
        <v>200</v>
      </c>
      <c r="C9">
        <v>0.88888888888888884</v>
      </c>
      <c r="D9" t="s">
        <v>738</v>
      </c>
      <c r="E9" t="b">
        <f>1=(NominalTemp&gt;=CMCs[[#This Row],[Min]])*(NominalTemp&lt;CMCs[[#This Row],[Max]])*(CMCs[[#This Row],[Unit]]=Unit)</f>
        <v>0</v>
      </c>
    </row>
    <row r="10" spans="1:5" x14ac:dyDescent="0.2">
      <c r="A10">
        <v>200</v>
      </c>
      <c r="B10">
        <v>400</v>
      </c>
      <c r="C10">
        <v>2.2222222222222223</v>
      </c>
      <c r="D10" t="s">
        <v>738</v>
      </c>
      <c r="E10" t="b">
        <f>1=(NominalTemp&gt;=CMCs[[#This Row],[Min]])*(NominalTemp&lt;CMCs[[#This Row],[Max]])*(CMCs[[#This Row],[Unit]]=Unit)</f>
        <v>0</v>
      </c>
    </row>
    <row r="11" spans="1:5" x14ac:dyDescent="0.2">
      <c r="A11">
        <v>400</v>
      </c>
      <c r="B11">
        <v>648.88888888888891</v>
      </c>
      <c r="C11">
        <v>1.6666666666666667</v>
      </c>
      <c r="D11" t="s">
        <v>738</v>
      </c>
      <c r="E11" t="b">
        <f>1=(NominalTemp&gt;=CMCs[[#This Row],[Min]])*(NominalTemp&lt;CMCs[[#This Row],[Max]])*(CMCs[[#This Row],[Unit]]=Unit)</f>
        <v>0</v>
      </c>
    </row>
    <row r="12" spans="1:5" x14ac:dyDescent="0.2">
      <c r="A12">
        <v>648.88888888888891</v>
      </c>
      <c r="B12">
        <v>1093.3333333333333</v>
      </c>
      <c r="C12">
        <v>2.2777777777777777</v>
      </c>
      <c r="D12" t="s">
        <v>738</v>
      </c>
      <c r="E12" t="b">
        <f>1=(NominalTemp&gt;=CMCs[[#This Row],[Min]])*(NominalTemp&lt;CMCs[[#This Row],[Max]])*(CMCs[[#This Row],[Unit]]=Unit)</f>
        <v>0</v>
      </c>
    </row>
    <row r="13" spans="1:5" x14ac:dyDescent="0.2">
      <c r="A13">
        <v>982.22222222222217</v>
      </c>
      <c r="B13">
        <v>1204.4444444444443</v>
      </c>
      <c r="C13">
        <v>2.2777777777777777</v>
      </c>
      <c r="D13" t="s">
        <v>738</v>
      </c>
      <c r="E13" t="b">
        <f>1=(NominalTemp&gt;=CMCs[[#This Row],[Min]])*(NominalTemp&lt;CMCs[[#This Row],[Max]])*(CMCs[[#This Row],[Unit]]=Unit)</f>
        <v>0</v>
      </c>
    </row>
  </sheetData>
  <sheetProtection algorithmName="SHA-512" hashValue="hw9PyJvEbSsN4J8aeEYcHC4/sItUaewBFZkJmO0AFUn/2CyKOgS+IMMCRfKfuKMQncD4DCurBCE2SrK6Uo5kGg==" saltValue="TRw3vEWKDls0+h6DgHihLw=="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3"/>
  <sheetViews>
    <sheetView workbookViewId="0">
      <selection activeCell="E29" sqref="E29"/>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34.4257812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s="36" t="str">
        <v>Furnace</v>
      </c>
      <c r="AP1" s="34" t="str">
        <v>FormNumber</v>
      </c>
      <c r="AQ1" s="34" t="str">
        <v>CalibrationMethod</v>
      </c>
      <c r="AR1" s="34" t="str">
        <v>ToleranceSource</v>
      </c>
      <c r="AS1" s="34" t="str">
        <v>Item</v>
      </c>
      <c r="AT1" s="34" t="str">
        <v>ModelNumber</v>
      </c>
      <c r="AU1" s="34" t="str">
        <v>SerialNumber</v>
      </c>
      <c r="AV1" s="34" t="str">
        <v>UnitNumber</v>
      </c>
      <c r="AW1" s="34" t="str">
        <v>Class</v>
      </c>
      <c r="AX1" s="34" t="str">
        <v>HeatingMethod</v>
      </c>
      <c r="AY1" s="34" t="str">
        <v>WorkingZoneSize</v>
      </c>
      <c r="AZ1" s="34" t="str">
        <v>CubicFeet</v>
      </c>
      <c r="BA1" s="34" t="str">
        <v>CalInterval</v>
      </c>
      <c r="BB1" s="36" t="str">
        <v>ControllerId</v>
      </c>
      <c r="BC1" s="34" t="str">
        <v>Controller</v>
      </c>
      <c r="BD1" s="34" t="str">
        <v>ContSN</v>
      </c>
      <c r="BE1" s="34" t="str">
        <v>ContTol</v>
      </c>
      <c r="BF1" s="36" t="str">
        <v>RecorderId</v>
      </c>
      <c r="BG1" s="34" t="str">
        <v>Recorder</v>
      </c>
      <c r="BH1" s="34" t="str">
        <v>RecSN</v>
      </c>
      <c r="BI1" s="34" t="str">
        <v>RecTol</v>
      </c>
      <c r="BJ1" s="34" t="str">
        <v>FurnaceSpecificComments</v>
      </c>
      <c r="BK1" s="36" t="str">
        <v>TestLocation</v>
      </c>
      <c r="BL1" s="34" t="str">
        <v>OvenLocation</v>
      </c>
      <c r="BM1" s="34" t="str">
        <v>Condition</v>
      </c>
      <c r="BN1" s="34" t="str">
        <v>PB</v>
      </c>
      <c r="BO1" s="34" t="str">
        <v>Derivative</v>
      </c>
      <c r="BP1" s="34" t="str">
        <v>Integral</v>
      </c>
      <c r="BQ1" s="34" t="str">
        <v>Other1</v>
      </c>
      <c r="BR1" s="34" t="str">
        <v>Other2</v>
      </c>
      <c r="BS1" s="34" t="str">
        <v>CheckRec</v>
      </c>
      <c r="BT1" s="34" t="str">
        <v>Load</v>
      </c>
      <c r="BU1" s="34" t="str">
        <v>LagLimit</v>
      </c>
      <c r="BV1" s="34" t="str">
        <v>RecoveryLimit</v>
      </c>
      <c r="BW1" s="34"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Q49"/>
      <c r="R49"/>
      <c r="S49"/>
      <c r="U49"/>
      <c r="V49"/>
      <c r="W49"/>
      <c r="Y49"/>
      <c r="Z49"/>
      <c r="AA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G60"/>
      <c r="AH60"/>
      <c r="AI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D63"/>
      <c r="AE63"/>
      <c r="AF63"/>
      <c r="AG63"/>
      <c r="AH63"/>
      <c r="AI63"/>
      <c r="AJ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D78"/>
      <c r="AE78"/>
      <c r="AF78"/>
      <c r="AG78"/>
      <c r="AH78"/>
      <c r="AI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c r="AI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5"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Y99"/>
      <c r="Z99"/>
      <c r="AA99"/>
      <c r="AB99"/>
      <c r="AH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D104"/>
      <c r="AE104"/>
      <c r="AF104"/>
      <c r="AG104"/>
      <c r="AH104"/>
      <c r="AI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G173"/>
      <c r="AH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6"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row>
    <row r="178" spans="1:36"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6"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6"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6"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6"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row>
    <row r="183" spans="1:36" x14ac:dyDescent="0.2">
      <c r="A183"/>
      <c r="B183"/>
      <c r="C183"/>
      <c r="D183"/>
      <c r="E183"/>
      <c r="F183"/>
      <c r="G183"/>
      <c r="H183"/>
      <c r="I183"/>
      <c r="J183"/>
      <c r="K183"/>
      <c r="L183"/>
      <c r="M183"/>
      <c r="N183"/>
      <c r="O183"/>
      <c r="P183"/>
      <c r="Q183"/>
      <c r="R183"/>
      <c r="S183"/>
      <c r="T183"/>
      <c r="U183"/>
      <c r="V183"/>
      <c r="W183"/>
      <c r="X183"/>
      <c r="Y183"/>
      <c r="Z183"/>
      <c r="AA183"/>
      <c r="AC183"/>
      <c r="AE183"/>
      <c r="AF183"/>
      <c r="AG183"/>
      <c r="AH183"/>
    </row>
    <row r="184" spans="1:36"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6"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6"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6"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6"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6"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6"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6"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6"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Y276"/>
      <c r="Z276"/>
      <c r="AA276"/>
      <c r="AB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J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T305"/>
      <c r="U305"/>
      <c r="V305"/>
      <c r="W305"/>
      <c r="Y305"/>
      <c r="Z305"/>
      <c r="AA305"/>
      <c r="AB305"/>
      <c r="AC305"/>
      <c r="AD305"/>
      <c r="AE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Y317"/>
      <c r="Z317"/>
      <c r="AA317"/>
      <c r="AB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4"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4"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4"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4"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4"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4"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4"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4"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4"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4"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4"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4"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4"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4"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4"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4"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J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6" x14ac:dyDescent="0.2">
      <c r="A343"/>
      <c r="B343"/>
      <c r="C343"/>
      <c r="D343"/>
      <c r="E343"/>
      <c r="F343"/>
      <c r="G343"/>
      <c r="H343"/>
      <c r="I343"/>
      <c r="J343"/>
      <c r="K343"/>
      <c r="L343"/>
      <c r="M343"/>
      <c r="N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T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P351"/>
      <c r="T351"/>
      <c r="X351"/>
      <c r="Y351"/>
      <c r="Z351"/>
      <c r="AA351"/>
      <c r="AB351"/>
      <c r="AC351"/>
      <c r="AD351"/>
      <c r="AE351"/>
      <c r="AF351"/>
      <c r="AG351"/>
      <c r="AH351"/>
    </row>
    <row r="352" spans="1:36" x14ac:dyDescent="0.2">
      <c r="A352"/>
      <c r="B352"/>
      <c r="C352"/>
      <c r="D352"/>
      <c r="E352"/>
      <c r="F352"/>
      <c r="G352"/>
      <c r="H352"/>
      <c r="I352"/>
      <c r="J352"/>
      <c r="K352"/>
      <c r="L352"/>
      <c r="M352"/>
      <c r="N352"/>
      <c r="O352"/>
      <c r="Q352"/>
      <c r="R352"/>
      <c r="S352"/>
      <c r="U352"/>
      <c r="V352"/>
      <c r="W352"/>
      <c r="X352"/>
      <c r="Y352"/>
      <c r="Z352"/>
      <c r="AA352"/>
      <c r="AB352"/>
      <c r="AH352"/>
    </row>
    <row r="353" spans="1:34" x14ac:dyDescent="0.2">
      <c r="A353"/>
      <c r="B353"/>
      <c r="C353"/>
      <c r="D353"/>
      <c r="E353"/>
      <c r="F353"/>
      <c r="G353"/>
      <c r="H353"/>
      <c r="I353"/>
      <c r="J353"/>
      <c r="K353"/>
      <c r="L353"/>
      <c r="M353"/>
      <c r="N353"/>
      <c r="O353"/>
      <c r="Q353"/>
      <c r="R353"/>
      <c r="S353"/>
      <c r="U353"/>
      <c r="V353"/>
      <c r="W353"/>
      <c r="X353"/>
      <c r="Y353"/>
      <c r="Z353"/>
      <c r="AA353"/>
      <c r="AB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D384"/>
      <c r="AE384"/>
      <c r="AF384"/>
      <c r="AG384"/>
      <c r="AH384"/>
    </row>
    <row r="385" spans="1:34" x14ac:dyDescent="0.2">
      <c r="A385"/>
      <c r="B385"/>
      <c r="C385"/>
      <c r="D385"/>
      <c r="E385"/>
      <c r="F385"/>
      <c r="G385"/>
      <c r="H385"/>
      <c r="I385"/>
      <c r="J385"/>
      <c r="K385"/>
      <c r="L385"/>
      <c r="M385"/>
      <c r="N385"/>
      <c r="O385"/>
      <c r="P385"/>
      <c r="Q385"/>
      <c r="R385"/>
      <c r="S385"/>
      <c r="T385"/>
      <c r="U385"/>
      <c r="V385"/>
      <c r="W385"/>
      <c r="X385"/>
      <c r="Y385"/>
      <c r="Z385"/>
      <c r="AA385"/>
      <c r="AB385"/>
      <c r="AD385"/>
      <c r="AE385"/>
      <c r="AF385"/>
      <c r="AG385"/>
      <c r="AH385"/>
    </row>
    <row r="386" spans="1:34"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4"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4"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4"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4"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4"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4"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4"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4"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4"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4"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4"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4"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4"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4"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J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row r="409" spans="1:36" x14ac:dyDescent="0.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row>
    <row r="410" spans="1:36" x14ac:dyDescent="0.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row>
    <row r="411" spans="1:36" x14ac:dyDescent="0.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row>
    <row r="412" spans="1:36" x14ac:dyDescent="0.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row>
    <row r="413" spans="1:36" x14ac:dyDescent="0.2">
      <c r="A413"/>
      <c r="C413"/>
      <c r="D413"/>
      <c r="E413"/>
      <c r="F413"/>
      <c r="G413"/>
      <c r="H413"/>
      <c r="I413"/>
      <c r="J413"/>
      <c r="K413"/>
      <c r="L413"/>
      <c r="M413"/>
      <c r="N413"/>
      <c r="O413"/>
      <c r="P413"/>
      <c r="Q413"/>
      <c r="R413"/>
      <c r="S413"/>
      <c r="T413"/>
      <c r="U413"/>
      <c r="V413"/>
      <c r="W413"/>
    </row>
  </sheetData>
  <phoneticPr fontId="22"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5"/>
  <sheetViews>
    <sheetView workbookViewId="0">
      <selection activeCell="Q31" sqref="Q31"/>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3.2851562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422</v>
      </c>
      <c r="J1" t="s">
        <v>423</v>
      </c>
      <c r="K1" t="s">
        <v>424</v>
      </c>
      <c r="L1" t="s">
        <v>425</v>
      </c>
      <c r="M1" t="s">
        <v>426</v>
      </c>
      <c r="O1" s="34" t="s">
        <v>321</v>
      </c>
      <c r="P1" s="34" t="s">
        <v>417</v>
      </c>
      <c r="Q1" s="34" t="s">
        <v>418</v>
      </c>
      <c r="R1" s="34" t="s">
        <v>419</v>
      </c>
      <c r="S1" s="34" t="s">
        <v>420</v>
      </c>
      <c r="T1" s="34"/>
      <c r="U1" s="34" t="s">
        <v>421</v>
      </c>
      <c r="V1" s="34" t="s">
        <v>741</v>
      </c>
    </row>
    <row r="2" spans="1:22"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428</v>
      </c>
      <c r="Q5" s="36" t="s">
        <v>429</v>
      </c>
      <c r="S5" s="36" t="s">
        <v>430</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327</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328</v>
      </c>
      <c r="P7" s="431">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800°F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375°F/800°F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1" spans="1:13" x14ac:dyDescent="0.2">
      <c r="A421"/>
      <c r="B421"/>
      <c r="C421"/>
      <c r="D421"/>
      <c r="E421"/>
      <c r="F421"/>
      <c r="G421"/>
      <c r="I421" t="str">
        <f>TEXT(UUTRangeTol[[#This Row],[TolMin]],SUBSTITUTE(UUTRangeTol[[#This Row],[TolResolution]],"1","0"))&amp;UUTRangeTol[[#This Row],[Unit]]</f>
        <v>-15°F</v>
      </c>
      <c r="J421" t="str">
        <f>TEXT(UUTRangeTol[[#This Row],[TolMax]],SUBSTITUTE(UUTRangeTol[[#This Row],[TolResolution]],"1","0"))&amp;UUTRangeTol[[#This Row],[Unit]]</f>
        <v>15°F</v>
      </c>
      <c r="K4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21" t="str">
        <f>UUTRangeTol[[#This Row],[RangeMax]]&amp;UUTRangeTol[[#This Row],[Unit]]</f>
        <v>200°F</v>
      </c>
      <c r="M4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2" spans="1:13" x14ac:dyDescent="0.2">
      <c r="A422"/>
      <c r="B422"/>
      <c r="C422"/>
      <c r="D422"/>
      <c r="E422"/>
      <c r="F422"/>
      <c r="G422"/>
      <c r="I422" t="str">
        <f>TEXT(UUTRangeTol[[#This Row],[TolMin]],SUBSTITUTE(UUTRangeTol[[#This Row],[TolResolution]],"1","0"))&amp;UUTRangeTol[[#This Row],[Unit]]</f>
        <v>-2°F</v>
      </c>
      <c r="J422" t="str">
        <f>TEXT(UUTRangeTol[[#This Row],[TolMax]],SUBSTITUTE(UUTRangeTol[[#This Row],[TolResolution]],"1","0"))&amp;UUTRangeTol[[#This Row],[Unit]]</f>
        <v>2°F</v>
      </c>
      <c r="K4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±2°F</v>
      </c>
      <c r="L422" t="str">
        <f>UUTRangeTol[[#This Row],[RangeMax]]&amp;UUTRangeTol[[#This Row],[Unit]]</f>
        <v>400°F</v>
      </c>
      <c r="M4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3" spans="1:13" x14ac:dyDescent="0.2">
      <c r="A423"/>
      <c r="B423"/>
      <c r="C423"/>
      <c r="D423"/>
      <c r="E423"/>
      <c r="F423"/>
      <c r="G423"/>
      <c r="I423" t="str">
        <f>TEXT(UUTRangeTol[[#This Row],[TolMin]],SUBSTITUTE(UUTRangeTol[[#This Row],[TolResolution]],"1","0"))&amp;UUTRangeTol[[#This Row],[Unit]]</f>
        <v>-2.0°F</v>
      </c>
      <c r="J423" t="str">
        <f>TEXT(UUTRangeTol[[#This Row],[TolMax]],SUBSTITUTE(UUTRangeTol[[#This Row],[TolResolution]],"1","0"))&amp;UUTRangeTol[[#This Row],[Unit]]</f>
        <v>2.0°F</v>
      </c>
      <c r="K4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t="str">
        <f>UUTRangeTol[[#This Row],[RangeMax]]&amp;UUTRangeTol[[#This Row],[Unit]]</f>
        <v>400°F</v>
      </c>
      <c r="M4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4" spans="1:13" x14ac:dyDescent="0.2">
      <c r="A424"/>
      <c r="B424"/>
      <c r="C424"/>
      <c r="D424"/>
      <c r="E424"/>
      <c r="F424"/>
      <c r="G424"/>
      <c r="I424" t="str">
        <f>TEXT(UUTRangeTol[[#This Row],[TolMin]],SUBSTITUTE(UUTRangeTol[[#This Row],[TolResolution]],"1","0"))&amp;UUTRangeTol[[#This Row],[Unit]]</f>
        <v>-10°F</v>
      </c>
      <c r="J424" t="str">
        <f>TEXT(UUTRangeTol[[#This Row],[TolMax]],SUBSTITUTE(UUTRangeTol[[#This Row],[TolResolution]],"1","0"))&amp;UUTRangeTol[[#This Row],[Unit]]</f>
        <v>10°F</v>
      </c>
      <c r="K4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4" t="str">
        <f>UUTRangeTol[[#This Row],[RangeMax]]&amp;UUTRangeTol[[#This Row],[Unit]]</f>
        <v>140°F</v>
      </c>
      <c r="M4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5" spans="1:13" x14ac:dyDescent="0.2">
      <c r="A425"/>
      <c r="B425"/>
      <c r="C425"/>
      <c r="D425"/>
      <c r="E425"/>
      <c r="F425"/>
      <c r="G425"/>
      <c r="I425" t="str">
        <f>TEXT(UUTRangeTol[[#This Row],[TolMin]],SUBSTITUTE(UUTRangeTol[[#This Row],[TolResolution]],"1","0"))&amp;UUTRangeTol[[#This Row],[Unit]]</f>
        <v>-10°F</v>
      </c>
      <c r="J425" t="str">
        <f>TEXT(UUTRangeTol[[#This Row],[TolMax]],SUBSTITUTE(UUTRangeTol[[#This Row],[TolResolution]],"1","0"))&amp;UUTRangeTol[[#This Row],[Unit]]</f>
        <v>10°F</v>
      </c>
      <c r="K4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5" t="str">
        <f>UUTRangeTol[[#This Row],[RangeMax]]&amp;UUTRangeTol[[#This Row],[Unit]]</f>
        <v>140°F</v>
      </c>
      <c r="M4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sheetData>
  <phoneticPr fontId="2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726</v>
      </c>
      <c r="G1" s="34" t="s">
        <v>724</v>
      </c>
      <c r="H1" s="34" t="s">
        <v>725</v>
      </c>
      <c r="I1" s="34" t="s">
        <v>105</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299" customWidth="1"/>
    <col min="21" max="21" width="15.85546875" style="299" customWidth="1"/>
    <col min="22" max="22" width="13.5703125" style="299" customWidth="1"/>
    <col min="23" max="23" width="11.140625" style="299" customWidth="1"/>
    <col min="24" max="16384" width="9.140625" style="299"/>
  </cols>
  <sheetData>
    <row r="1" spans="1:19" ht="23.25" x14ac:dyDescent="0.35">
      <c r="A1" s="427" t="s">
        <v>773</v>
      </c>
      <c r="B1" s="316"/>
      <c r="C1" s="521" t="s">
        <v>49</v>
      </c>
      <c r="D1" s="522"/>
      <c r="E1" s="522"/>
      <c r="F1" s="522"/>
      <c r="G1" s="137" t="e" cm="1">
        <f t="array" ref="G1">GetFormattedWorkItemNumber(K14, D24)</f>
        <v>#VALUE!</v>
      </c>
      <c r="H1" s="137"/>
      <c r="I1" s="138"/>
      <c r="J1" s="299"/>
      <c r="K1" s="299"/>
      <c r="L1" s="299"/>
      <c r="M1" s="299"/>
      <c r="N1" s="299"/>
      <c r="O1" s="299"/>
      <c r="P1" s="299"/>
      <c r="Q1" s="299"/>
      <c r="R1" s="299"/>
      <c r="S1" s="299"/>
    </row>
    <row r="2" spans="1:19" ht="12.75" customHeight="1" x14ac:dyDescent="0.2">
      <c r="A2" s="317"/>
      <c r="B2" s="318"/>
      <c r="C2" s="299"/>
      <c r="D2" s="299"/>
      <c r="E2" s="319"/>
      <c r="F2" s="319"/>
      <c r="G2" s="481" t="e" cm="1">
        <f t="array" ref="G2">GetFormattedWorkItemNumber(K14)</f>
        <v>#VALUE!</v>
      </c>
      <c r="H2" s="299"/>
      <c r="I2" s="299"/>
      <c r="J2" s="299"/>
      <c r="K2" s="299"/>
      <c r="L2" s="300"/>
      <c r="M2" s="300"/>
      <c r="N2" s="300"/>
      <c r="O2" s="300"/>
      <c r="P2" s="300"/>
      <c r="Q2" s="300"/>
      <c r="R2" s="300"/>
      <c r="S2" s="300"/>
    </row>
    <row r="3" spans="1:19" s="277" customFormat="1" x14ac:dyDescent="0.2">
      <c r="A3" s="317"/>
      <c r="B3" s="140"/>
      <c r="C3" s="141" t="s">
        <v>69</v>
      </c>
      <c r="D3" s="279"/>
      <c r="E3" s="299"/>
      <c r="F3" s="299"/>
      <c r="G3" s="299"/>
      <c r="H3" s="299"/>
      <c r="I3" s="299"/>
      <c r="J3" s="523" t="s">
        <v>98</v>
      </c>
      <c r="K3" s="524"/>
      <c r="L3" s="525"/>
      <c r="M3" s="299"/>
      <c r="N3" s="539" t="s">
        <v>87</v>
      </c>
      <c r="O3" s="539"/>
      <c r="P3" s="539"/>
      <c r="Q3" s="539"/>
      <c r="R3" s="539"/>
      <c r="S3" s="539"/>
    </row>
    <row r="4" spans="1:19" s="277" customFormat="1" x14ac:dyDescent="0.2">
      <c r="A4" s="317"/>
      <c r="B4" s="140"/>
      <c r="C4" s="141" t="s">
        <v>187</v>
      </c>
      <c r="D4" s="284" t="str">
        <f>IF(Condition="","",Condition)</f>
        <v/>
      </c>
      <c r="F4" s="299"/>
      <c r="G4" s="299"/>
      <c r="H4" s="299"/>
      <c r="I4" s="479" t="s">
        <v>757</v>
      </c>
      <c r="J4" s="528" t="s">
        <v>1</v>
      </c>
      <c r="K4" s="529"/>
      <c r="L4" s="142">
        <f>MAX(Survey[Deviations])</f>
        <v>0</v>
      </c>
      <c r="M4" s="299"/>
      <c r="N4" s="143" t="s">
        <v>86</v>
      </c>
      <c r="O4" s="144" t="s">
        <v>85</v>
      </c>
      <c r="P4" s="526" t="s">
        <v>96</v>
      </c>
      <c r="Q4" s="527"/>
      <c r="R4" s="143" t="s">
        <v>128</v>
      </c>
      <c r="S4" s="143" t="s">
        <v>132</v>
      </c>
    </row>
    <row r="5" spans="1:19" s="277" customFormat="1" x14ac:dyDescent="0.2">
      <c r="A5" s="317"/>
      <c r="B5" s="140"/>
      <c r="C5" s="141" t="s">
        <v>41</v>
      </c>
      <c r="D5" s="543" t="e">
        <f>companyName</f>
        <v>#N/A</v>
      </c>
      <c r="E5" s="544"/>
      <c r="F5" s="544"/>
      <c r="G5" s="544"/>
      <c r="H5" s="545"/>
      <c r="I5" s="480" t="e">
        <f>clientCompanyId</f>
        <v>#N/A</v>
      </c>
      <c r="J5" s="528" t="s">
        <v>2</v>
      </c>
      <c r="K5" s="529"/>
      <c r="L5" s="142">
        <f>MIN(Survey[Deviations])</f>
        <v>0</v>
      </c>
      <c r="M5" s="299"/>
      <c r="N5" s="397">
        <v>1</v>
      </c>
      <c r="O5" s="145"/>
      <c r="P5" s="449" t="str" cm="1">
        <f t="array" ref="P5:P44">Alerts[Alert]</f>
        <v/>
      </c>
      <c r="Q5" s="450"/>
      <c r="R5" s="448" t="e" cm="1">
        <f t="array" ref="R5:R44">Alerts[Temp]</f>
        <v>#VALUE!</v>
      </c>
      <c r="S5" s="146" t="str" cm="1">
        <f t="array" ref="S5:S44">Alerts[Time]</f>
        <v/>
      </c>
    </row>
    <row r="6" spans="1:19" s="277" customFormat="1" x14ac:dyDescent="0.2">
      <c r="A6" s="317"/>
      <c r="B6" s="140"/>
      <c r="C6" s="141" t="s">
        <v>40</v>
      </c>
      <c r="D6" s="540" t="e">
        <f>_xlfn.XLOOKUP(D24,WorkItemsCache[OrderItemNumber],WorkItemsCache[AssetName])</f>
        <v>#N/A</v>
      </c>
      <c r="E6" s="541"/>
      <c r="F6" s="541"/>
      <c r="G6" s="541"/>
      <c r="H6" s="542"/>
      <c r="I6" s="480" t="e">
        <f>AssetId</f>
        <v>#N/A</v>
      </c>
      <c r="J6" s="528" t="s">
        <v>97</v>
      </c>
      <c r="K6" s="529"/>
      <c r="L6" s="142">
        <f>L4-L5</f>
        <v>0</v>
      </c>
      <c r="M6" s="299"/>
      <c r="N6" s="397">
        <v>2</v>
      </c>
      <c r="O6" s="145"/>
      <c r="P6" s="449" t="str">
        <v/>
      </c>
      <c r="Q6" s="450"/>
      <c r="R6" s="448" t="e">
        <v>#VALUE!</v>
      </c>
      <c r="S6" s="146" t="str">
        <v/>
      </c>
    </row>
    <row r="7" spans="1:19" s="277" customFormat="1" x14ac:dyDescent="0.2">
      <c r="A7" s="317"/>
      <c r="B7" s="147"/>
      <c r="C7" s="148" t="s">
        <v>27</v>
      </c>
      <c r="D7" s="359" t="str" cm="1">
        <f t="array" ref="D7">_xlfn.XLOOKUP(User[User],Employees[login_email],Employees[Name])</f>
        <v>Jeff Hall</v>
      </c>
      <c r="E7" s="299"/>
      <c r="F7" s="332" t="str">
        <f>IF(ROWS(_xlfn.ANCHORARRAY(Unit))&gt;1,"ERROR: Mixed tolerance units across ranges for this UUT","")</f>
        <v/>
      </c>
      <c r="G7" s="299"/>
      <c r="H7" s="299"/>
      <c r="I7" s="299"/>
      <c r="J7" s="320"/>
      <c r="K7" s="320"/>
      <c r="L7" s="320"/>
      <c r="M7" s="299"/>
      <c r="N7" s="397">
        <v>3</v>
      </c>
      <c r="O7" s="145"/>
      <c r="P7" s="449" t="str">
        <v/>
      </c>
      <c r="Q7" s="450"/>
      <c r="R7" s="448" t="e">
        <v>#VALUE!</v>
      </c>
      <c r="S7" s="146" t="str">
        <v/>
      </c>
    </row>
    <row r="8" spans="1:19" s="277" customFormat="1" x14ac:dyDescent="0.2">
      <c r="A8" s="317"/>
      <c r="B8" s="489" t="str">
        <f>IF(AND(DaqbookAssetTag&lt;&gt;"",ISNA(MATCH(DaqbookAssetTag,AllDaqbookOffsets[AssetTag2],0))),"WARNING: No offsets available for "&amp;DaqbookAssetTag&amp;"!","")</f>
        <v/>
      </c>
      <c r="C8" s="321"/>
      <c r="D8" s="322"/>
      <c r="E8" s="299"/>
      <c r="F8" s="323" t="str">
        <f>IF(N49="","CHECK TUNING CONSTANTS","")</f>
        <v>CHECK TUNING CONSTANTS</v>
      </c>
      <c r="G8" s="299"/>
      <c r="H8" s="299"/>
      <c r="I8" s="299"/>
      <c r="J8" s="299"/>
      <c r="K8" s="299"/>
      <c r="L8" s="299"/>
      <c r="M8" s="299"/>
      <c r="N8" s="397">
        <v>4</v>
      </c>
      <c r="O8" s="145"/>
      <c r="P8" s="449" t="str">
        <v/>
      </c>
      <c r="Q8" s="450"/>
      <c r="R8" s="448" t="e">
        <v>#VALUE!</v>
      </c>
      <c r="S8" s="146" t="str">
        <v/>
      </c>
    </row>
    <row r="9" spans="1:19" s="277" customFormat="1" ht="12.75" customHeight="1" x14ac:dyDescent="0.2">
      <c r="A9" s="317"/>
      <c r="B9" s="487" t="str" cm="1">
        <f t="array" ref="B9">IFERROR(
  _xlfn.XLOOKUP(
    Main!$D$9,
    _xlfn._xlws.FILTER(AssetPool[AssetTag], AssetPool[RootCategoryName]= "DAQ Modules"),
    _xlfn._xlws.FILTER(AssetPool[AssetId], AssetPool[RootCategoryName]= "DAQ Modules")
  ),
  ""
)</f>
        <v/>
      </c>
      <c r="C9" s="149" t="s">
        <v>63</v>
      </c>
      <c r="D9" s="281"/>
      <c r="E9" s="285"/>
      <c r="F9" s="476" t="str" cm="1">
        <f t="array" ref="F9">IF($S$48, "Class " &amp; RIGHT(_xlfn.REGEXEXTRACT(TRIM(Class), "(?&lt;=[0-9])[AC]"), 1) &amp; " Oven: Check Hot/Cold Sensor Analysis", "")</f>
        <v/>
      </c>
      <c r="G9" s="299"/>
      <c r="H9" s="299"/>
      <c r="I9" s="299"/>
      <c r="J9" s="299"/>
      <c r="K9" s="299"/>
      <c r="L9" s="299"/>
      <c r="M9" s="299"/>
      <c r="N9" s="397">
        <v>5</v>
      </c>
      <c r="O9" s="145"/>
      <c r="P9" s="449" t="str">
        <v/>
      </c>
      <c r="Q9" s="450"/>
      <c r="R9" s="448" t="e">
        <v>#VALUE!</v>
      </c>
      <c r="S9" s="146" t="str">
        <v/>
      </c>
    </row>
    <row r="10" spans="1:19" s="277" customFormat="1" x14ac:dyDescent="0.2">
      <c r="A10" s="317"/>
      <c r="B10" s="488" t="str">
        <f>_xlfn.XLOOKUP(DaqbookAssetTag,ServerAlerts[asset_tag],ServerAlerts[detail_hint],"")</f>
        <v/>
      </c>
      <c r="C10" s="315"/>
      <c r="D10" s="299"/>
      <c r="E10" s="299"/>
      <c r="F10" s="299"/>
      <c r="G10" s="300"/>
      <c r="H10" s="299"/>
      <c r="I10" s="299"/>
      <c r="J10" s="299"/>
      <c r="K10" s="299"/>
      <c r="L10" s="299"/>
      <c r="M10" s="299"/>
      <c r="N10" s="397">
        <v>6</v>
      </c>
      <c r="O10" s="145"/>
      <c r="P10" s="449" t="str">
        <v/>
      </c>
      <c r="Q10" s="450"/>
      <c r="R10" s="448" t="e">
        <v>#VALUE!</v>
      </c>
      <c r="S10" s="146" t="str">
        <v/>
      </c>
    </row>
    <row r="11" spans="1:19" s="277" customFormat="1" x14ac:dyDescent="0.2">
      <c r="A11" s="317"/>
      <c r="B11" s="140"/>
      <c r="C11" s="149" t="s">
        <v>52</v>
      </c>
      <c r="D11" s="469" t="str" cm="1">
        <f t="array" ref="D11">_xlfn.XLOOKUP(1,(DaqbookAssetTag=AssetPool[AssetTag])*(AssetPool[RootCategoryName]="DAQ Modules"),AssetPool[SerialNumber],"")</f>
        <v/>
      </c>
      <c r="E11" s="299"/>
      <c r="F11" s="299"/>
      <c r="G11" s="300" t="str">
        <f>IF(OR(ISBLANK(D3),ISBLANK(D13)),"",IF(D13&lt;D3,"!!!!! DAQBOOK IS OUT OF CERTIFICATION !!!!!",""))</f>
        <v/>
      </c>
      <c r="H11" s="299"/>
      <c r="I11" s="299"/>
      <c r="J11" s="299"/>
      <c r="K11" s="299"/>
      <c r="L11" s="299"/>
      <c r="M11" s="299"/>
      <c r="N11" s="397">
        <v>7</v>
      </c>
      <c r="O11" s="145"/>
      <c r="P11" s="449" t="str">
        <v/>
      </c>
      <c r="Q11" s="450"/>
      <c r="R11" s="448" t="e">
        <v>#VALUE!</v>
      </c>
      <c r="S11" s="146" t="str">
        <v/>
      </c>
    </row>
    <row r="12" spans="1:19" s="277" customFormat="1" x14ac:dyDescent="0.2">
      <c r="A12" s="317"/>
      <c r="B12" s="140"/>
      <c r="C12" s="149" t="s">
        <v>83</v>
      </c>
      <c r="D12" s="278" t="str">
        <f>_xlfn.XLOOKUP(DaqbookAssetTag,DaqbookServiceRecords[asset_tag],DaqbookServiceRecords[service_date],"")</f>
        <v/>
      </c>
      <c r="E12" s="299"/>
      <c r="F12" s="299"/>
      <c r="G12" s="300" t="str">
        <f>IF(IF(COUNTIFS(DataForChannels1to14[],"&gt;"&amp;B2,DataForChannels1to14[],"&lt;"&amp;(B2+200))&gt;0,1,0)=1,"!!!!! OVEN OVERSHOT IN POINTS 1-14 !!!!!","")</f>
        <v/>
      </c>
      <c r="H12" s="299"/>
      <c r="I12" s="299"/>
      <c r="J12" s="320"/>
      <c r="K12" s="303"/>
      <c r="L12" s="320"/>
      <c r="M12" s="303"/>
      <c r="N12" s="397">
        <v>8</v>
      </c>
      <c r="O12" s="145"/>
      <c r="P12" s="449" t="str">
        <v/>
      </c>
      <c r="Q12" s="450"/>
      <c r="R12" s="448" t="e">
        <v>#VALUE!</v>
      </c>
      <c r="S12" s="146" t="str">
        <v/>
      </c>
    </row>
    <row r="13" spans="1:19" s="277" customFormat="1" x14ac:dyDescent="0.2">
      <c r="A13" s="317"/>
      <c r="B13" s="150"/>
      <c r="C13" s="151" t="s">
        <v>82</v>
      </c>
      <c r="D13" s="278" t="str">
        <f>_xlfn.XLOOKUP(DaqbookAssetTag,DaqbookServiceRecords[asset_tag],DaqbookServiceRecords[due_date],"")</f>
        <v/>
      </c>
      <c r="E13" s="299"/>
      <c r="F13" s="324"/>
      <c r="G13" s="315" t="str">
        <f>IF(IF(COUNTIFS(DataForChannels15to28[],"&gt;"&amp;B2,DataForChannels15to28[],"&lt;"&amp;(B2+200))&gt;0,1,0)=1,"!!!!! OVEN OVERSHOT IN POINTS 15-28 !!!!!","")</f>
        <v/>
      </c>
      <c r="H13" s="299"/>
      <c r="I13" s="299"/>
      <c r="J13" s="239" t="s">
        <v>256</v>
      </c>
      <c r="K13" s="537"/>
      <c r="L13" s="538"/>
      <c r="M13" s="299"/>
      <c r="N13" s="397">
        <v>9</v>
      </c>
      <c r="O13" s="145"/>
      <c r="P13" s="449" t="str">
        <v/>
      </c>
      <c r="Q13" s="450"/>
      <c r="R13" s="448" t="e">
        <v>#VALUE!</v>
      </c>
      <c r="S13" s="146" t="str">
        <v/>
      </c>
    </row>
    <row r="14" spans="1:19" s="277" customFormat="1" x14ac:dyDescent="0.2">
      <c r="A14" s="317"/>
      <c r="B14" s="140"/>
      <c r="C14" s="149" t="s">
        <v>84</v>
      </c>
      <c r="D14" s="469" t="str">
        <f>_xlfn.XLOOKUP(DaqbookAssetTag,DaqbookServiceRecords[asset_tag],DaqbookServiceRecords[certificate_tn],"")</f>
        <v/>
      </c>
      <c r="E14" s="299"/>
      <c r="F14" s="299"/>
      <c r="G14" s="300" t="str">
        <f>IF(IF(COUNTIFS(DataForChannels29to40[],"&gt;"&amp;B2,DataForChannels29to40[],"&lt;"&amp;(B2+200))&gt;0,1,0)=1,"!!!!! OVEN OVERSHOT IN POINTS 29-40 !!!!!","")</f>
        <v/>
      </c>
      <c r="H14" s="299"/>
      <c r="I14" s="299"/>
      <c r="J14" s="152" t="s">
        <v>127</v>
      </c>
      <c r="K14" s="546"/>
      <c r="L14" s="547"/>
      <c r="M14" s="299"/>
      <c r="N14" s="397">
        <v>10</v>
      </c>
      <c r="O14" s="145"/>
      <c r="P14" s="449" t="str">
        <v/>
      </c>
      <c r="Q14" s="450"/>
      <c r="R14" s="448" t="e">
        <v>#VALUE!</v>
      </c>
      <c r="S14" s="146" t="str">
        <v/>
      </c>
    </row>
    <row r="15" spans="1:19" s="277" customFormat="1" x14ac:dyDescent="0.2">
      <c r="A15" s="317"/>
      <c r="B15" s="187"/>
      <c r="C15" s="185" t="s">
        <v>62</v>
      </c>
      <c r="D15" s="293"/>
      <c r="E15" s="299"/>
      <c r="F15" s="299"/>
      <c r="G15" s="299"/>
      <c r="I15" s="299"/>
      <c r="J15" s="153" t="s">
        <v>122</v>
      </c>
      <c r="K15" s="532"/>
      <c r="L15" s="533"/>
      <c r="M15" s="299"/>
      <c r="N15" s="397">
        <v>11</v>
      </c>
      <c r="O15" s="145"/>
      <c r="P15" s="449" t="str">
        <v/>
      </c>
      <c r="Q15" s="450"/>
      <c r="R15" s="448" t="e">
        <v>#VALUE!</v>
      </c>
      <c r="S15" s="146" t="str">
        <v/>
      </c>
    </row>
    <row r="16" spans="1:19" s="277" customFormat="1" x14ac:dyDescent="0.2">
      <c r="A16" s="317"/>
      <c r="B16" s="154"/>
      <c r="C16" s="186" t="s">
        <v>198</v>
      </c>
      <c r="D16" s="293"/>
      <c r="E16" s="299"/>
      <c r="F16" s="152" t="s">
        <v>74</v>
      </c>
      <c r="G16" s="385" t="s">
        <v>200</v>
      </c>
      <c r="H16" s="386"/>
      <c r="I16" s="299"/>
      <c r="J16" s="494" t="s">
        <v>150</v>
      </c>
      <c r="K16" s="495"/>
      <c r="L16" s="283"/>
      <c r="M16" s="299"/>
      <c r="N16" s="397">
        <v>12</v>
      </c>
      <c r="O16" s="145"/>
      <c r="P16" s="449" t="str">
        <v/>
      </c>
      <c r="Q16" s="450"/>
      <c r="R16" s="448" t="e">
        <v>#VALUE!</v>
      </c>
      <c r="S16" s="146" t="str">
        <v/>
      </c>
    </row>
    <row r="17" spans="2:22" s="277" customFormat="1" x14ac:dyDescent="0.2">
      <c r="B17" s="140"/>
      <c r="C17" s="141" t="s">
        <v>61</v>
      </c>
      <c r="D17" s="294"/>
      <c r="E17" s="299"/>
      <c r="F17" s="153" t="s">
        <v>92</v>
      </c>
      <c r="G17" s="360" t="str">
        <f>IF(ISBLANK(Load),"",Load)</f>
        <v/>
      </c>
      <c r="H17" s="412" t="b">
        <v>1</v>
      </c>
      <c r="I17" s="300"/>
      <c r="J17" s="494" t="s">
        <v>151</v>
      </c>
      <c r="K17" s="495"/>
      <c r="L17" s="156" t="str">
        <f>IF(K15="SIM Load Hot",TEXT(D26,"hh:mm"),"")</f>
        <v/>
      </c>
      <c r="M17" s="299"/>
      <c r="N17" s="397">
        <v>13</v>
      </c>
      <c r="O17" s="145"/>
      <c r="P17" s="449" t="str">
        <v/>
      </c>
      <c r="Q17" s="450"/>
      <c r="R17" s="448" t="e">
        <v>#VALUE!</v>
      </c>
      <c r="S17" s="146" t="str">
        <v/>
      </c>
      <c r="T17" s="423"/>
    </row>
    <row r="18" spans="2:22" s="277" customFormat="1" x14ac:dyDescent="0.2">
      <c r="B18" s="150"/>
      <c r="C18" s="157" t="s">
        <v>64</v>
      </c>
      <c r="D18" s="281"/>
      <c r="E18" s="299"/>
      <c r="F18" s="158" t="s">
        <v>75</v>
      </c>
      <c r="G18" s="548" t="s">
        <v>19</v>
      </c>
      <c r="H18" s="549"/>
      <c r="I18" s="300"/>
      <c r="J18" s="325"/>
      <c r="K18" s="299"/>
      <c r="L18" s="300"/>
      <c r="M18" s="299"/>
      <c r="N18" s="397">
        <v>14</v>
      </c>
      <c r="O18" s="145"/>
      <c r="P18" s="449" t="str">
        <v/>
      </c>
      <c r="Q18" s="450"/>
      <c r="R18" s="448" t="e">
        <v>#VALUE!</v>
      </c>
      <c r="S18" s="146" t="str">
        <v/>
      </c>
      <c r="T18" s="423"/>
    </row>
    <row r="19" spans="2:22" s="277" customFormat="1" x14ac:dyDescent="0.2">
      <c r="B19" s="140"/>
      <c r="C19" s="141" t="s">
        <v>10</v>
      </c>
      <c r="D19" s="430" t="e" cm="1">
        <f t="array" ref="D19">_xlfn.LET(
    _xlpm.lst,  _xlfn._xlws.FILTER(UUTRangeTol[TolText], UUTRangeTol[AssetId]=AssetId),
    _xlpm.norm, UPPER(TRIM(_xlpm.lst)),
    _xlpm.un,   _xlfn.UNIQUE(_xlpm.norm),
    IF(ROWS(_xlpm.un)=1,
       INDEX(_xlpm.lst, _xlfn.XMATCH(_xlpm.un, _xlpm.norm)),
       _xlfn.TEXTJOIN(" / ",, _xlpm.lst)
    )
  )</f>
        <v>#N/A</v>
      </c>
      <c r="E19" s="299"/>
      <c r="F19" s="153" t="s">
        <v>76</v>
      </c>
      <c r="G19" s="530" t="str">
        <f>IF(K15="Salt",0, IF(OR(K15="Hot",K15="SIM Load Hot"),IF(OR(D26="",D28=""),"N/A",IF(ISBLANK(D26),"N/A",D28-D26)),"N/A"))</f>
        <v>N/A</v>
      </c>
      <c r="H19" s="531"/>
      <c r="I19" s="326" t="str">
        <f>IF(G19="N/A","N/A",IF(G19=0,"&lt;2",ROUND(IF(LEN(G19)&gt;3,G19*1440,RIGHT(TEXT(G19,"hh:mm"),2)),0))&amp;" MINUTES")</f>
        <v>N/A</v>
      </c>
      <c r="J19" s="425">
        <f>V21</f>
        <v>40</v>
      </c>
      <c r="K19" s="299"/>
      <c r="L19" s="300"/>
      <c r="M19" s="299"/>
      <c r="N19" s="397">
        <v>15</v>
      </c>
      <c r="O19" s="145"/>
      <c r="P19" s="449" t="str">
        <v/>
      </c>
      <c r="Q19" s="450"/>
      <c r="R19" s="448" t="e">
        <v>#VALUE!</v>
      </c>
      <c r="S19" s="146" t="str">
        <v/>
      </c>
      <c r="T19" s="423"/>
      <c r="U19" s="285" t="s">
        <v>416</v>
      </c>
      <c r="V19" s="285">
        <f>L20</f>
        <v>1</v>
      </c>
    </row>
    <row r="20" spans="2:22" s="277" customFormat="1" ht="13.7" customHeight="1" x14ac:dyDescent="0.2">
      <c r="B20" s="534" t="s">
        <v>433</v>
      </c>
      <c r="C20" s="535"/>
      <c r="D20" s="473">
        <f>G82*MAX(NominalTemp/CONVERT(1000,"F",_unit),1)</f>
        <v>0</v>
      </c>
      <c r="E20" s="410"/>
      <c r="F20" s="332" t="str">
        <f>IF(AND(NOT(ISNA(AssetId)),ISNA(MATCH(AssetId,Header_Info[AssetId],0))),"WARNING: UUT not found in Header_Info!!!","")</f>
        <v/>
      </c>
      <c r="G20" s="299"/>
      <c r="H20" s="299"/>
      <c r="I20" s="300"/>
      <c r="J20" s="299"/>
      <c r="K20" s="299"/>
      <c r="L20" s="411">
        <v>1</v>
      </c>
      <c r="M20" s="299"/>
      <c r="N20" s="397">
        <v>16</v>
      </c>
      <c r="O20" s="145"/>
      <c r="P20" s="449" t="str">
        <v/>
      </c>
      <c r="Q20" s="450"/>
      <c r="R20" s="448" t="e">
        <v>#VALUE!</v>
      </c>
      <c r="S20" s="146" t="str">
        <v/>
      </c>
      <c r="T20" s="423"/>
      <c r="U20" s="285" t="s">
        <v>415</v>
      </c>
      <c r="V20" s="285">
        <f>(V19-1)*14</f>
        <v>0</v>
      </c>
    </row>
    <row r="21" spans="2:22" s="277" customFormat="1" x14ac:dyDescent="0.2">
      <c r="C21" s="327"/>
      <c r="D21" s="322"/>
      <c r="F21" s="489" t="str">
        <f>IF(AND(NOT(ISNA(AssetId)),ISNA(MATCH(AssetId,UUTRangeTol[AssetId],0))),"WARNING: UUT not found in RangeTol!!!","")</f>
        <v/>
      </c>
      <c r="G21" s="299"/>
      <c r="H21" s="299"/>
      <c r="I21" s="300"/>
      <c r="J21" s="299"/>
      <c r="K21" s="299"/>
      <c r="L21" s="300"/>
      <c r="M21" s="299"/>
      <c r="N21" s="397">
        <v>17</v>
      </c>
      <c r="O21" s="145"/>
      <c r="P21" s="449" t="str">
        <v/>
      </c>
      <c r="Q21" s="450"/>
      <c r="R21" s="448" t="e">
        <v>#VALUE!</v>
      </c>
      <c r="S21" s="146" t="str">
        <v/>
      </c>
      <c r="T21" s="423"/>
      <c r="U21" s="285" t="s">
        <v>414</v>
      </c>
      <c r="V21" s="426">
        <f>IF(D17=0,40,D17)</f>
        <v>40</v>
      </c>
    </row>
    <row r="22" spans="2:22" s="277" customFormat="1" x14ac:dyDescent="0.2">
      <c r="B22" s="154"/>
      <c r="C22" s="155" t="s">
        <v>42</v>
      </c>
      <c r="D22" s="280"/>
      <c r="E22" s="299"/>
      <c r="F22" s="490" t="str">
        <f>IF(AND(F21="",F20=""),"",HYPERLINK("https://jgiquality.sharepoint.com/:x:/s/JGI/IQD14wtn63e6Sa_dXoRkyRnqAeasTeZ0y64nSNfem0zwdLY?e=Kh6avu","Add "&amp;D6&amp;" ("&amp;AssetId&amp;") to ClientOvens.xlsx"))</f>
        <v/>
      </c>
      <c r="G22" s="299"/>
      <c r="H22" s="299"/>
      <c r="I22" s="300"/>
      <c r="J22" s="299"/>
      <c r="K22" s="299"/>
      <c r="L22" s="300"/>
      <c r="M22" s="299"/>
      <c r="N22" s="397">
        <v>18</v>
      </c>
      <c r="O22" s="145"/>
      <c r="P22" s="449" t="str">
        <v/>
      </c>
      <c r="Q22" s="450"/>
      <c r="R22" s="448" t="e">
        <v>#VALUE!</v>
      </c>
      <c r="S22" s="146" t="str">
        <v/>
      </c>
      <c r="T22" s="423"/>
      <c r="U22" s="285" t="s">
        <v>413</v>
      </c>
      <c r="V22" s="285">
        <f>V20+1</f>
        <v>1</v>
      </c>
    </row>
    <row r="23" spans="2:22" s="277" customFormat="1" x14ac:dyDescent="0.2">
      <c r="B23" s="140"/>
      <c r="C23" s="388" t="s">
        <v>384</v>
      </c>
      <c r="D23" s="281"/>
      <c r="E23" s="299"/>
      <c r="F23" s="159" t="s">
        <v>93</v>
      </c>
      <c r="G23" s="511" t="s">
        <v>296</v>
      </c>
      <c r="H23" s="512"/>
      <c r="I23" s="512"/>
      <c r="J23" s="512"/>
      <c r="K23" s="513"/>
      <c r="L23" s="300"/>
      <c r="M23" s="299"/>
      <c r="N23" s="397">
        <v>19</v>
      </c>
      <c r="O23" s="145"/>
      <c r="P23" s="449" t="str">
        <v/>
      </c>
      <c r="Q23" s="450"/>
      <c r="R23" s="448" t="e">
        <v>#VALUE!</v>
      </c>
      <c r="S23" s="146" t="str">
        <v/>
      </c>
      <c r="T23" s="423"/>
      <c r="U23" s="285" t="s">
        <v>412</v>
      </c>
      <c r="V23" s="285">
        <f>V20+V21</f>
        <v>40</v>
      </c>
    </row>
    <row r="24" spans="2:22" s="277" customFormat="1" x14ac:dyDescent="0.2">
      <c r="B24" s="534" t="s">
        <v>322</v>
      </c>
      <c r="C24" s="536"/>
      <c r="D24" s="281">
        <v>1</v>
      </c>
      <c r="E24" s="299"/>
      <c r="F24" s="159" t="s">
        <v>94</v>
      </c>
      <c r="G24" s="514"/>
      <c r="H24" s="515"/>
      <c r="I24" s="515"/>
      <c r="J24" s="515"/>
      <c r="K24" s="516"/>
      <c r="L24" s="300"/>
      <c r="M24" s="299"/>
      <c r="N24" s="397">
        <v>20</v>
      </c>
      <c r="O24" s="145"/>
      <c r="P24" s="449" t="str">
        <v/>
      </c>
      <c r="Q24" s="450"/>
      <c r="R24" s="448" t="e">
        <v>#VALUE!</v>
      </c>
      <c r="S24" s="146" t="str">
        <v/>
      </c>
      <c r="T24" s="423"/>
      <c r="U24" s="285" t="s">
        <v>411</v>
      </c>
      <c r="V24" s="285" t="str">
        <f>IF(V19=1,"","DaqBook points "&amp;V22&amp;"-"&amp;V23&amp;" used.")</f>
        <v/>
      </c>
    </row>
    <row r="25" spans="2:22" s="277" customFormat="1" x14ac:dyDescent="0.2">
      <c r="B25" s="314"/>
      <c r="C25" s="315"/>
      <c r="D25" s="322"/>
      <c r="E25" s="299"/>
      <c r="F25" s="159" t="s">
        <v>95</v>
      </c>
      <c r="G25" s="514"/>
      <c r="H25" s="515"/>
      <c r="I25" s="515"/>
      <c r="J25" s="515"/>
      <c r="K25" s="516"/>
      <c r="L25" s="300"/>
      <c r="M25" s="299"/>
      <c r="N25" s="397">
        <v>21</v>
      </c>
      <c r="O25" s="145"/>
      <c r="P25" s="449" t="str">
        <v/>
      </c>
      <c r="Q25" s="450"/>
      <c r="R25" s="448" t="e">
        <v>#VALUE!</v>
      </c>
      <c r="S25" s="146" t="str">
        <v/>
      </c>
      <c r="T25" s="423"/>
    </row>
    <row r="26" spans="2:22" s="277" customFormat="1" x14ac:dyDescent="0.2">
      <c r="B26" s="154"/>
      <c r="C26" s="155" t="s">
        <v>57</v>
      </c>
      <c r="D26" s="289"/>
      <c r="E26" s="301" t="str">
        <f>TEXT(D26,"hh:mm")</f>
        <v>00:00</v>
      </c>
      <c r="F26" s="300"/>
      <c r="G26" s="300"/>
      <c r="H26" s="300"/>
      <c r="I26" s="300"/>
      <c r="J26" s="300"/>
      <c r="K26" s="300"/>
      <c r="L26" s="300"/>
      <c r="M26" s="299"/>
      <c r="N26" s="397">
        <v>22</v>
      </c>
      <c r="O26" s="145"/>
      <c r="P26" s="449" t="str">
        <v/>
      </c>
      <c r="Q26" s="450"/>
      <c r="R26" s="448" t="e">
        <v>#VALUE!</v>
      </c>
      <c r="S26" s="146" t="str">
        <v/>
      </c>
      <c r="T26" s="423"/>
    </row>
    <row r="27" spans="2:22" s="277" customFormat="1" x14ac:dyDescent="0.2">
      <c r="B27" s="160">
        <v>10</v>
      </c>
      <c r="C27" s="141" t="s">
        <v>58</v>
      </c>
      <c r="D27" s="289"/>
      <c r="E27" s="301"/>
      <c r="F27" s="239" t="s">
        <v>203</v>
      </c>
      <c r="G27" s="238" t="str">
        <f>G28</f>
        <v/>
      </c>
      <c r="H27" s="509" t="str">
        <f>IF(ISBLANK(D6),"",IF(CheckRec="x","CHECK INSTRUMENT CAL DATES!!!!             CHECK INSTRUMENT CAL DATES!!!!",""))</f>
        <v/>
      </c>
      <c r="I27" s="510"/>
      <c r="J27" s="510"/>
      <c r="K27" s="510"/>
      <c r="L27" s="300"/>
      <c r="M27" s="299"/>
      <c r="N27" s="397">
        <v>23</v>
      </c>
      <c r="O27" s="145"/>
      <c r="P27" s="449" t="str">
        <v/>
      </c>
      <c r="Q27" s="450"/>
      <c r="R27" s="448" t="e">
        <v>#VALUE!</v>
      </c>
      <c r="S27" s="146" t="str">
        <v/>
      </c>
      <c r="T27" s="423"/>
    </row>
    <row r="28" spans="2:22" s="277" customFormat="1" x14ac:dyDescent="0.2">
      <c r="B28" s="161">
        <v>30</v>
      </c>
      <c r="C28" s="157" t="s">
        <v>59</v>
      </c>
      <c r="D28" s="289"/>
      <c r="E28" s="301"/>
      <c r="F28" s="239" t="s">
        <v>204</v>
      </c>
      <c r="G28" s="238" t="str">
        <f>IF(CheckRec="y","Cal by Customer",IF(D$3,D$3,""))</f>
        <v/>
      </c>
      <c r="H28" s="509"/>
      <c r="I28" s="510"/>
      <c r="J28" s="510"/>
      <c r="K28" s="510"/>
      <c r="L28" s="300"/>
      <c r="M28" s="299"/>
      <c r="N28" s="397">
        <v>24</v>
      </c>
      <c r="O28" s="145"/>
      <c r="P28" s="449" t="str">
        <v/>
      </c>
      <c r="Q28" s="450"/>
      <c r="R28" s="448" t="e">
        <v>#VALUE!</v>
      </c>
      <c r="S28" s="146" t="str">
        <v/>
      </c>
      <c r="T28" s="423"/>
    </row>
    <row r="29" spans="2:22" s="277" customFormat="1" x14ac:dyDescent="0.2">
      <c r="B29" s="160">
        <v>40</v>
      </c>
      <c r="C29" s="141" t="s">
        <v>70</v>
      </c>
      <c r="D29" s="162" t="str">
        <f>(IF(OR(D27="",D28=""),"",IF(ISBLANK(D27),"",D28-D27)))</f>
        <v/>
      </c>
      <c r="E29" s="328" t="str">
        <f>IFERROR(IF(D29=0,"&lt;2",ROUND(IF(LEN(D29)&gt;3,D29*1440,TEXT(D29,"hh:mm")),0)) &amp;" MINUTES","")</f>
        <v/>
      </c>
      <c r="F29" s="303" t="s">
        <v>205</v>
      </c>
      <c r="G29" s="300"/>
      <c r="H29" s="300"/>
      <c r="I29" s="300"/>
      <c r="J29" s="300"/>
      <c r="K29" s="300"/>
      <c r="L29" s="300"/>
      <c r="M29" s="299"/>
      <c r="N29" s="397">
        <v>25</v>
      </c>
      <c r="O29" s="145"/>
      <c r="P29" s="449" t="str">
        <v/>
      </c>
      <c r="Q29" s="450"/>
      <c r="R29" s="448" t="e">
        <v>#VALUE!</v>
      </c>
      <c r="S29" s="146" t="str">
        <v/>
      </c>
      <c r="T29" s="423"/>
    </row>
    <row r="30" spans="2:22" s="277" customFormat="1" x14ac:dyDescent="0.2">
      <c r="B30" s="246">
        <v>45</v>
      </c>
      <c r="C30" s="157" t="s">
        <v>60</v>
      </c>
      <c r="D30" s="357"/>
      <c r="E30" s="329" t="str">
        <f>IF(ISBLANK(D30), "", TEXT(D30, "H:mm"))</f>
        <v/>
      </c>
      <c r="F30" s="323" t="str">
        <f>IFERROR(IF(OR(Survey[OutOfTolerance]),"!!!!! OVEN IS OOT !!!!!",""),"")</f>
        <v/>
      </c>
      <c r="G30" s="302"/>
      <c r="H30" s="330">
        <f>D28-D26</f>
        <v>0</v>
      </c>
      <c r="I30" s="300"/>
      <c r="J30" s="300"/>
      <c r="K30" s="300"/>
      <c r="L30" s="331"/>
      <c r="M30" s="299"/>
      <c r="N30" s="397">
        <v>26</v>
      </c>
      <c r="O30" s="145"/>
      <c r="P30" s="449" t="str">
        <v/>
      </c>
      <c r="Q30" s="450"/>
      <c r="R30" s="448" t="e">
        <v>#VALUE!</v>
      </c>
      <c r="S30" s="146" t="str">
        <v/>
      </c>
      <c r="T30" s="423"/>
    </row>
    <row r="31" spans="2:22" s="277" customFormat="1" x14ac:dyDescent="0.2">
      <c r="B31" s="140"/>
      <c r="C31" s="141" t="s">
        <v>51</v>
      </c>
      <c r="D31" s="275">
        <f>D30+TIME(0,D32,0)</f>
        <v>0</v>
      </c>
      <c r="E31" s="299"/>
      <c r="F31" s="332" t="str">
        <f>IF(AND(LagLimit&gt;0,IF(D29="",0,D29)&gt;LagLimit),"LAG TIME TOO HIGH!!!","")</f>
        <v/>
      </c>
      <c r="G31" s="300"/>
      <c r="H31" s="333" t="str">
        <f>IF(AND(RecoveryLimit&gt;0,H30&gt;RecoveryLimit),"RECOVERY TIME TOO HIGH!!!!","")</f>
        <v/>
      </c>
      <c r="I31" s="300"/>
      <c r="J31" s="300"/>
      <c r="K31" s="300"/>
      <c r="L31" s="334"/>
      <c r="M31" s="334"/>
      <c r="N31" s="397">
        <v>27</v>
      </c>
      <c r="O31" s="145"/>
      <c r="P31" s="449" t="str">
        <v/>
      </c>
      <c r="Q31" s="450"/>
      <c r="R31" s="448" t="e">
        <v>#VALUE!</v>
      </c>
      <c r="S31" s="146" t="str">
        <v/>
      </c>
      <c r="T31" s="423"/>
    </row>
    <row r="32" spans="2:22" s="277" customFormat="1" x14ac:dyDescent="0.2">
      <c r="B32" s="163"/>
      <c r="C32" s="164" t="s">
        <v>78</v>
      </c>
      <c r="D32" s="282"/>
      <c r="E32" s="299"/>
      <c r="F32" s="300" t="str">
        <f>IF(COUNTIF(Comparison_Report!R1:R8, 1) &gt; 0, "CHECK COMPARISON REPORT!!!", "")</f>
        <v/>
      </c>
      <c r="G32" s="300"/>
      <c r="H32" s="300"/>
      <c r="I32" s="300"/>
      <c r="J32" s="300"/>
      <c r="K32" s="300"/>
      <c r="L32" s="300"/>
      <c r="M32" s="299"/>
      <c r="N32" s="397">
        <v>28</v>
      </c>
      <c r="O32" s="145"/>
      <c r="P32" s="449" t="str">
        <v/>
      </c>
      <c r="Q32" s="450"/>
      <c r="R32" s="448" t="e">
        <v>#VALUE!</v>
      </c>
      <c r="S32" s="146" t="str">
        <v/>
      </c>
      <c r="T32" s="423"/>
    </row>
    <row r="33" spans="1:24" s="277" customFormat="1" x14ac:dyDescent="0.2">
      <c r="A33" s="317"/>
      <c r="B33" s="314"/>
      <c r="C33" s="335"/>
      <c r="D33" s="139"/>
      <c r="E33" s="139"/>
      <c r="F33" s="139"/>
      <c r="G33" s="139"/>
      <c r="H33" s="139"/>
      <c r="I33" s="139"/>
      <c r="J33" s="139"/>
      <c r="K33" s="139"/>
      <c r="L33" s="139"/>
      <c r="M33" s="299"/>
      <c r="N33" s="397">
        <v>29</v>
      </c>
      <c r="O33" s="145"/>
      <c r="P33" s="449" t="str">
        <v/>
      </c>
      <c r="Q33" s="450"/>
      <c r="R33" s="448" t="e">
        <v>#VALUE!</v>
      </c>
      <c r="S33" s="146" t="str">
        <v/>
      </c>
      <c r="T33" s="423"/>
    </row>
    <row r="34" spans="1:24" s="277" customFormat="1" ht="12.75" customHeight="1" x14ac:dyDescent="0.2">
      <c r="A34" s="317"/>
      <c r="B34" s="523" t="s">
        <v>48</v>
      </c>
      <c r="C34" s="524"/>
      <c r="D34" s="524"/>
      <c r="E34" s="524"/>
      <c r="F34" s="524"/>
      <c r="G34" s="524"/>
      <c r="H34" s="524"/>
      <c r="I34" s="524"/>
      <c r="J34" s="524"/>
      <c r="K34" s="524"/>
      <c r="L34" s="525"/>
      <c r="M34" s="299"/>
      <c r="N34" s="397">
        <v>30</v>
      </c>
      <c r="O34" s="145"/>
      <c r="P34" s="449" t="str">
        <v/>
      </c>
      <c r="Q34" s="450"/>
      <c r="R34" s="448" t="e">
        <v>#VALUE!</v>
      </c>
      <c r="S34" s="146" t="str">
        <v/>
      </c>
      <c r="T34" s="424"/>
    </row>
    <row r="35" spans="1:24" s="277" customFormat="1" ht="12.75" customHeight="1" thickBot="1" x14ac:dyDescent="0.25">
      <c r="A35" s="428"/>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299"/>
      <c r="N35" s="397">
        <v>31</v>
      </c>
      <c r="O35" s="145"/>
      <c r="P35" s="449" t="str">
        <v/>
      </c>
      <c r="Q35" s="450"/>
      <c r="R35" s="448" t="e">
        <v>#VALUE!</v>
      </c>
      <c r="S35" s="146" t="str">
        <v/>
      </c>
      <c r="T35" s="424"/>
    </row>
    <row r="36" spans="1:24" s="277" customFormat="1" ht="13.5" thickBot="1" x14ac:dyDescent="0.25">
      <c r="A36" s="429" t="s">
        <v>392</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299"/>
      <c r="N36" s="397">
        <v>32</v>
      </c>
      <c r="O36" s="145"/>
      <c r="P36" s="449" t="str">
        <v/>
      </c>
      <c r="Q36" s="450"/>
      <c r="R36" s="448" t="e">
        <v>#VALUE!</v>
      </c>
      <c r="S36" s="146" t="str">
        <v/>
      </c>
      <c r="T36" s="424"/>
    </row>
    <row r="37" spans="1:24" s="277" customFormat="1" x14ac:dyDescent="0.2">
      <c r="A37" s="451" t="str">
        <f t="shared" ref="A37:A44" si="0">IF(B37,1,"")</f>
        <v/>
      </c>
      <c r="B37" s="452"/>
      <c r="C37" s="433"/>
      <c r="D37" s="434"/>
      <c r="E37" s="434"/>
      <c r="F37" s="434"/>
      <c r="G37" s="434"/>
      <c r="H37" s="434"/>
      <c r="I37" s="435"/>
      <c r="J37" s="435"/>
      <c r="K37" s="435"/>
      <c r="L37" s="435"/>
      <c r="M37" s="299"/>
      <c r="N37" s="397">
        <v>33</v>
      </c>
      <c r="O37" s="145"/>
      <c r="P37" s="449" t="str">
        <v/>
      </c>
      <c r="Q37" s="450"/>
      <c r="R37" s="448" t="e">
        <v>#VALUE!</v>
      </c>
      <c r="S37" s="146" t="str">
        <v/>
      </c>
      <c r="T37" s="424"/>
    </row>
    <row r="38" spans="1:24" s="277" customFormat="1" x14ac:dyDescent="0.2">
      <c r="A38" s="451" t="str">
        <f t="shared" si="0"/>
        <v/>
      </c>
      <c r="B38" s="453"/>
      <c r="C38" s="436"/>
      <c r="D38" s="434"/>
      <c r="E38" s="434"/>
      <c r="F38" s="434"/>
      <c r="G38" s="434"/>
      <c r="H38" s="434"/>
      <c r="I38" s="435"/>
      <c r="J38" s="435"/>
      <c r="K38" s="435"/>
      <c r="L38" s="435"/>
      <c r="M38" s="299"/>
      <c r="N38" s="397">
        <v>34</v>
      </c>
      <c r="O38" s="145"/>
      <c r="P38" s="449" t="str">
        <v/>
      </c>
      <c r="Q38" s="450"/>
      <c r="R38" s="448" t="e">
        <v>#VALUE!</v>
      </c>
      <c r="S38" s="146" t="str">
        <v/>
      </c>
      <c r="T38" s="424"/>
    </row>
    <row r="39" spans="1:24" s="277" customFormat="1" x14ac:dyDescent="0.2">
      <c r="A39" s="451" t="str">
        <f t="shared" si="0"/>
        <v/>
      </c>
      <c r="B39" s="453"/>
      <c r="C39" s="436"/>
      <c r="D39" s="434"/>
      <c r="E39" s="434"/>
      <c r="F39" s="434"/>
      <c r="G39" s="434"/>
      <c r="H39" s="435"/>
      <c r="I39" s="435"/>
      <c r="J39" s="435"/>
      <c r="K39" s="435"/>
      <c r="L39" s="435"/>
      <c r="M39" s="299"/>
      <c r="N39" s="397">
        <v>35</v>
      </c>
      <c r="O39" s="145"/>
      <c r="P39" s="449" t="str">
        <v/>
      </c>
      <c r="Q39" s="450"/>
      <c r="R39" s="448" t="e">
        <v>#VALUE!</v>
      </c>
      <c r="S39" s="146" t="str">
        <v/>
      </c>
      <c r="T39" s="424"/>
    </row>
    <row r="40" spans="1:24" s="277" customFormat="1" x14ac:dyDescent="0.2">
      <c r="A40" s="451" t="str">
        <f t="shared" si="0"/>
        <v/>
      </c>
      <c r="B40" s="453"/>
      <c r="C40" s="436"/>
      <c r="D40" s="434"/>
      <c r="E40" s="434"/>
      <c r="F40" s="434"/>
      <c r="G40" s="434"/>
      <c r="H40" s="435"/>
      <c r="I40" s="435"/>
      <c r="J40" s="435"/>
      <c r="K40" s="435"/>
      <c r="L40" s="435"/>
      <c r="M40" s="299"/>
      <c r="N40" s="397">
        <v>36</v>
      </c>
      <c r="O40" s="145"/>
      <c r="P40" s="449" t="str">
        <v/>
      </c>
      <c r="Q40" s="450"/>
      <c r="R40" s="448" t="e">
        <v>#VALUE!</v>
      </c>
      <c r="S40" s="146" t="str">
        <v/>
      </c>
      <c r="T40" s="424"/>
    </row>
    <row r="41" spans="1:24" s="277" customFormat="1" x14ac:dyDescent="0.2">
      <c r="A41" s="451" t="str">
        <f t="shared" si="0"/>
        <v/>
      </c>
      <c r="B41" s="454"/>
      <c r="C41" s="437"/>
      <c r="D41" s="438"/>
      <c r="E41" s="438"/>
      <c r="F41" s="438"/>
      <c r="G41" s="438"/>
      <c r="H41" s="438"/>
      <c r="I41" s="438"/>
      <c r="J41" s="438"/>
      <c r="K41" s="438"/>
      <c r="L41" s="438"/>
      <c r="M41" s="299"/>
      <c r="N41" s="397">
        <v>37</v>
      </c>
      <c r="O41" s="145"/>
      <c r="P41" s="449" t="str">
        <v/>
      </c>
      <c r="Q41" s="450"/>
      <c r="R41" s="448" t="e">
        <v>#VALUE!</v>
      </c>
      <c r="S41" s="146" t="str">
        <v/>
      </c>
      <c r="T41" s="424"/>
    </row>
    <row r="42" spans="1:24" s="277" customFormat="1" x14ac:dyDescent="0.2">
      <c r="A42" s="451" t="str">
        <f t="shared" si="0"/>
        <v/>
      </c>
      <c r="B42" s="454"/>
      <c r="C42" s="437"/>
      <c r="D42" s="438"/>
      <c r="E42" s="438"/>
      <c r="F42" s="438"/>
      <c r="G42" s="438"/>
      <c r="H42" s="438"/>
      <c r="I42" s="438"/>
      <c r="J42" s="438"/>
      <c r="K42" s="438"/>
      <c r="L42" s="438"/>
      <c r="M42" s="299"/>
      <c r="N42" s="397">
        <v>38</v>
      </c>
      <c r="O42" s="145"/>
      <c r="P42" s="449" t="str">
        <v/>
      </c>
      <c r="Q42" s="450"/>
      <c r="R42" s="448" t="e">
        <v>#VALUE!</v>
      </c>
      <c r="S42" s="146" t="str">
        <v/>
      </c>
      <c r="T42" s="424"/>
    </row>
    <row r="43" spans="1:24" s="277" customFormat="1" x14ac:dyDescent="0.2">
      <c r="A43" s="451" t="str">
        <f t="shared" si="0"/>
        <v/>
      </c>
      <c r="B43" s="454"/>
      <c r="C43" s="437"/>
      <c r="D43" s="438"/>
      <c r="E43" s="438"/>
      <c r="F43" s="438"/>
      <c r="G43" s="438"/>
      <c r="H43" s="438"/>
      <c r="I43" s="438"/>
      <c r="J43" s="438"/>
      <c r="K43" s="438"/>
      <c r="L43" s="438"/>
      <c r="M43" s="299"/>
      <c r="N43" s="397">
        <v>39</v>
      </c>
      <c r="O43" s="145"/>
      <c r="P43" s="449" t="str">
        <v/>
      </c>
      <c r="Q43" s="450"/>
      <c r="R43" s="448" t="e">
        <v>#VALUE!</v>
      </c>
      <c r="S43" s="146" t="str">
        <v/>
      </c>
      <c r="T43" s="424"/>
    </row>
    <row r="44" spans="1:24" s="277" customFormat="1" x14ac:dyDescent="0.2">
      <c r="A44" s="451" t="str">
        <f t="shared" si="0"/>
        <v/>
      </c>
      <c r="B44" s="454"/>
      <c r="C44" s="437"/>
      <c r="D44" s="438"/>
      <c r="E44" s="438"/>
      <c r="F44" s="438"/>
      <c r="G44" s="438"/>
      <c r="H44" s="438"/>
      <c r="I44" s="438"/>
      <c r="J44" s="438"/>
      <c r="K44" s="438"/>
      <c r="L44" s="438"/>
      <c r="M44" s="299"/>
      <c r="N44" s="397">
        <v>40</v>
      </c>
      <c r="O44" s="145"/>
      <c r="P44" s="449" t="str">
        <v/>
      </c>
      <c r="Q44" s="450"/>
      <c r="R44" s="448" t="e">
        <v>#VALUE!</v>
      </c>
      <c r="S44" s="146" t="str">
        <v/>
      </c>
      <c r="T44" s="424"/>
    </row>
    <row r="45" spans="1:24" s="303" customFormat="1" x14ac:dyDescent="0.2">
      <c r="A45" s="317"/>
      <c r="B45" s="337"/>
      <c r="C45" s="338"/>
      <c r="D45" s="299"/>
      <c r="E45" s="299"/>
      <c r="F45" s="299"/>
      <c r="G45" s="299"/>
      <c r="H45" s="299"/>
      <c r="I45" s="299"/>
      <c r="J45" s="299"/>
      <c r="K45" s="339"/>
      <c r="L45" s="299"/>
      <c r="M45" s="299"/>
      <c r="N45" s="301"/>
      <c r="P45" s="301"/>
      <c r="Q45" s="301"/>
      <c r="R45" s="301"/>
      <c r="S45" s="443"/>
      <c r="T45" s="301"/>
      <c r="X45" s="443"/>
    </row>
    <row r="46" spans="1:24" x14ac:dyDescent="0.2">
      <c r="A46" s="321"/>
      <c r="B46" s="340"/>
      <c r="C46" s="341"/>
      <c r="D46" s="491" t="s">
        <v>33</v>
      </c>
      <c r="E46" s="492"/>
      <c r="F46" s="492"/>
      <c r="G46" s="492"/>
      <c r="H46" s="492"/>
      <c r="I46" s="493"/>
      <c r="J46" s="342"/>
      <c r="K46" s="342"/>
      <c r="L46" s="342"/>
      <c r="M46" s="517" t="s">
        <v>258</v>
      </c>
      <c r="N46" s="518"/>
      <c r="O46" s="519"/>
      <c r="P46" s="520"/>
      <c r="Q46" s="303"/>
      <c r="S46" s="303"/>
      <c r="T46" s="303"/>
      <c r="U46" s="303"/>
    </row>
    <row r="47" spans="1:24" x14ac:dyDescent="0.2">
      <c r="A47" s="321"/>
      <c r="B47" s="340"/>
      <c r="C47" s="374" t="s">
        <v>56</v>
      </c>
      <c r="D47" s="465" t="str">
        <f>IF(D$48="","",_xlfn.XLOOKUP(D$48,WireSets[serial_number],WireSets[type],"",0))</f>
        <v/>
      </c>
      <c r="E47" s="465" t="str">
        <f>IF(E$48="","",_xlfn.XLOOKUP(E$48,WireSets[serial_number],WireSets[type],"",0))</f>
        <v/>
      </c>
      <c r="F47" s="465" t="str">
        <f>IF(F$48="","",_xlfn.XLOOKUP(F$48,WireSets[serial_number],WireSets[type],"",0))</f>
        <v/>
      </c>
      <c r="G47" s="465" t="str">
        <f>IF(G$48="","",_xlfn.XLOOKUP(G$48,WireSets[serial_number],WireSets[type],"",0))</f>
        <v/>
      </c>
      <c r="H47" s="465" t="str">
        <f>IF(H$48="","",_xlfn.XLOOKUP(H$48,WireSets[serial_number],WireSets[type],"",0))</f>
        <v/>
      </c>
      <c r="I47" s="465" t="str">
        <f>IF(I$48="","",_xlfn.XLOOKUP(I$48,WireSets[serial_number],WireSets[type],"",0))</f>
        <v/>
      </c>
      <c r="J47" s="342"/>
      <c r="K47" s="471">
        <v>1</v>
      </c>
      <c r="L47" s="299"/>
      <c r="M47" s="239" t="s">
        <v>259</v>
      </c>
      <c r="N47" s="297" t="s">
        <v>260</v>
      </c>
      <c r="O47" s="343"/>
      <c r="P47" s="498" t="s">
        <v>261</v>
      </c>
      <c r="Q47" s="498"/>
      <c r="R47" s="377" t="s">
        <v>262</v>
      </c>
      <c r="T47" s="303"/>
      <c r="U47" s="303"/>
    </row>
    <row r="48" spans="1:24" x14ac:dyDescent="0.2">
      <c r="A48" s="317"/>
      <c r="B48" s="340"/>
      <c r="C48" s="375" t="s">
        <v>34</v>
      </c>
      <c r="D48" s="287"/>
      <c r="E48" s="287"/>
      <c r="F48" s="287"/>
      <c r="G48" s="287"/>
      <c r="H48" s="287"/>
      <c r="I48" s="287"/>
      <c r="J48" s="342"/>
      <c r="K48" s="342"/>
      <c r="L48" s="342"/>
      <c r="M48" s="499" t="s">
        <v>263</v>
      </c>
      <c r="N48" s="499"/>
      <c r="O48" s="344"/>
      <c r="P48" s="500" t="s">
        <v>304</v>
      </c>
      <c r="Q48" s="501"/>
      <c r="R48" s="502"/>
      <c r="S48" s="459" t="b">
        <f>_xlfn.REGEXTEST(TRIM(Class),"^[0-9][AC]",1)</f>
        <v>0</v>
      </c>
      <c r="T48" s="304"/>
      <c r="U48" s="500" t="s">
        <v>307</v>
      </c>
      <c r="V48" s="501"/>
      <c r="W48" s="502"/>
      <c r="X48" s="442"/>
    </row>
    <row r="49" spans="3:24" x14ac:dyDescent="0.2">
      <c r="C49" s="374" t="s">
        <v>35</v>
      </c>
      <c r="D49" s="468" t="str">
        <f>_xlfn.XLOOKUP(D$48,WireSets[serial_number],WireSets[service_date],"",0)</f>
        <v/>
      </c>
      <c r="E49" s="468" t="str">
        <f>_xlfn.XLOOKUP(E$48,WireSets[serial_number],WireSets[service_date],"",0)</f>
        <v/>
      </c>
      <c r="F49" s="468" t="str">
        <f>_xlfn.XLOOKUP(F$48,WireSets[serial_number],WireSets[service_date],"",0)</f>
        <v/>
      </c>
      <c r="G49" s="468" t="str">
        <f>_xlfn.XLOOKUP(G$48,WireSets[serial_number],WireSets[service_date],"",0)</f>
        <v/>
      </c>
      <c r="H49" s="468" t="str">
        <f>_xlfn.XLOOKUP(H$48,WireSets[serial_number],WireSets[service_date],"",0)</f>
        <v/>
      </c>
      <c r="I49" s="468" t="str">
        <f>_xlfn.XLOOKUP(I$48,WireSets[serial_number],WireSets[service_date],"",0)</f>
        <v/>
      </c>
      <c r="J49" s="342"/>
      <c r="K49" s="342" t="s">
        <v>331</v>
      </c>
      <c r="L49" s="342"/>
      <c r="M49" s="239" t="s">
        <v>264</v>
      </c>
      <c r="N49" s="296" t="str">
        <f>IF(PB="","",PB)</f>
        <v/>
      </c>
      <c r="O49" s="313"/>
      <c r="P49" s="503" t="s">
        <v>309</v>
      </c>
      <c r="Q49" s="504"/>
      <c r="R49" s="505"/>
      <c r="S49" s="378" t="str">
        <f>IF($S$48, IF(MAX(Survey[RawTemp])&lt;=HalfTolMax,"Yes","No"), "")</f>
        <v/>
      </c>
      <c r="T49" s="305"/>
      <c r="U49" s="503" t="s">
        <v>308</v>
      </c>
      <c r="V49" s="504"/>
      <c r="W49" s="505"/>
      <c r="X49" s="378" t="str">
        <f>IF($S$48, IF(MIN(Survey[RawTemp])&gt;=HalfTolMin,"Yes","No"), "")</f>
        <v/>
      </c>
    </row>
    <row r="50" spans="3:24" x14ac:dyDescent="0.2">
      <c r="C50" s="374" t="s">
        <v>36</v>
      </c>
      <c r="D50" s="468" t="str">
        <f>IF(D49="","",IF(D48="ENV101",EDATE(D49,6),EDATE(D49,3)))</f>
        <v/>
      </c>
      <c r="E50" s="468" t="str">
        <f t="shared" ref="E50:I50" si="1">IF(E49="","",IF(E48="ENV101",EDATE(E49,6),EDATE(E49,3)))</f>
        <v/>
      </c>
      <c r="F50" s="468" t="str">
        <f t="shared" si="1"/>
        <v/>
      </c>
      <c r="G50" s="468" t="str">
        <f t="shared" si="1"/>
        <v/>
      </c>
      <c r="H50" s="468" t="str">
        <f t="shared" si="1"/>
        <v/>
      </c>
      <c r="I50" s="468" t="str">
        <f t="shared" si="1"/>
        <v/>
      </c>
      <c r="J50" s="342"/>
      <c r="K50" s="342"/>
      <c r="L50" s="342"/>
      <c r="M50" s="239" t="s">
        <v>265</v>
      </c>
      <c r="N50" s="296" t="str">
        <f>IF(Integral="","",Integral)</f>
        <v/>
      </c>
      <c r="O50" s="313"/>
      <c r="P50" s="506" t="s">
        <v>266</v>
      </c>
      <c r="Q50" s="507"/>
      <c r="R50" s="508"/>
      <c r="S50" s="345"/>
      <c r="T50" s="306"/>
      <c r="U50" s="506" t="s">
        <v>266</v>
      </c>
      <c r="V50" s="507"/>
      <c r="W50" s="508"/>
      <c r="X50" s="303"/>
    </row>
    <row r="51" spans="3:24" x14ac:dyDescent="0.2">
      <c r="C51" s="374" t="s">
        <v>54</v>
      </c>
      <c r="D51" s="287"/>
      <c r="E51" s="287"/>
      <c r="F51" s="287"/>
      <c r="G51" s="287"/>
      <c r="H51" s="287"/>
      <c r="I51" s="287"/>
      <c r="J51" s="342"/>
      <c r="K51" s="346"/>
      <c r="L51" s="342"/>
      <c r="M51" s="361" t="s">
        <v>267</v>
      </c>
      <c r="N51" s="296" t="str">
        <f>IF(Derivative="","",Derivative)</f>
        <v/>
      </c>
      <c r="O51" s="299"/>
      <c r="P51" s="503" t="s">
        <v>305</v>
      </c>
      <c r="Q51" s="504"/>
      <c r="R51" s="505"/>
      <c r="S51" s="378"/>
      <c r="T51" s="307"/>
      <c r="U51" s="503" t="s">
        <v>310</v>
      </c>
      <c r="V51" s="504"/>
      <c r="W51" s="505"/>
      <c r="X51" s="378"/>
    </row>
    <row r="52" spans="3:24" x14ac:dyDescent="0.2">
      <c r="C52" s="374" t="str">
        <f>"Uses Above " &amp; IF(Unit="°C","260°C","500°F") &amp; ":"</f>
        <v>Uses Above 500°F:</v>
      </c>
      <c r="D52" s="287"/>
      <c r="E52" s="287"/>
      <c r="F52" s="287"/>
      <c r="G52" s="287"/>
      <c r="H52" s="287"/>
      <c r="I52" s="287"/>
      <c r="J52" s="342"/>
      <c r="K52" s="346"/>
      <c r="L52" s="342"/>
      <c r="M52" s="361" t="s">
        <v>268</v>
      </c>
      <c r="N52" s="296" t="str">
        <f>IF(Other1="","",Other1)</f>
        <v/>
      </c>
      <c r="O52" s="313"/>
      <c r="P52" s="506" t="s">
        <v>266</v>
      </c>
      <c r="Q52" s="507"/>
      <c r="R52" s="508"/>
      <c r="S52" s="345"/>
      <c r="T52" s="308"/>
      <c r="U52" s="506" t="s">
        <v>266</v>
      </c>
      <c r="V52" s="507"/>
      <c r="W52" s="508"/>
      <c r="X52" s="303"/>
    </row>
    <row r="53" spans="3:24" ht="12.75" customHeight="1" x14ac:dyDescent="0.2">
      <c r="C53" s="374" t="s">
        <v>55</v>
      </c>
      <c r="D53" s="292"/>
      <c r="E53" s="292"/>
      <c r="F53" s="292"/>
      <c r="G53" s="292"/>
      <c r="H53" s="292"/>
      <c r="I53" s="292"/>
      <c r="J53" s="342"/>
      <c r="K53" s="347"/>
      <c r="L53" s="347"/>
      <c r="M53" s="362" t="s">
        <v>268</v>
      </c>
      <c r="N53" s="296" t="str">
        <f>IF(Other2="","",Other2)</f>
        <v/>
      </c>
      <c r="O53" s="313"/>
      <c r="P53" s="550" t="s">
        <v>306</v>
      </c>
      <c r="Q53" s="551"/>
      <c r="R53" s="552"/>
      <c r="S53" s="378"/>
      <c r="T53" s="309"/>
      <c r="U53" s="550" t="s">
        <v>311</v>
      </c>
      <c r="V53" s="551"/>
      <c r="W53" s="552"/>
      <c r="X53" s="378"/>
    </row>
    <row r="54" spans="3:24" x14ac:dyDescent="0.2">
      <c r="C54" s="376" t="s">
        <v>742</v>
      </c>
      <c r="D54" s="417" t="str">
        <f>_xlfn.XLOOKUP(D$48,WireSets[serial_number],WireSets[traceability_number],"",0)</f>
        <v/>
      </c>
      <c r="E54" s="417" t="str">
        <f>_xlfn.XLOOKUP(E$48,WireSets[serial_number],WireSets[traceability_number],"",0)</f>
        <v/>
      </c>
      <c r="F54" s="417" t="str">
        <f>_xlfn.XLOOKUP(F$48,WireSets[serial_number],WireSets[traceability_number],"",0)</f>
        <v/>
      </c>
      <c r="G54" s="417" t="str">
        <f>_xlfn.XLOOKUP(G$48,WireSets[serial_number],WireSets[traceability_number],"",0)</f>
        <v/>
      </c>
      <c r="H54" s="417" t="str">
        <f>_xlfn.XLOOKUP(H$48,WireSets[serial_number],WireSets[traceability_number],"",0)</f>
        <v/>
      </c>
      <c r="I54" s="417" t="str">
        <f>_xlfn.XLOOKUP(I$48,WireSets[serial_number],WireSets[traceability_number],"",0)</f>
        <v/>
      </c>
      <c r="J54" s="348"/>
      <c r="K54" s="363"/>
      <c r="L54" s="364"/>
      <c r="M54" s="365" t="s">
        <v>291</v>
      </c>
      <c r="N54" s="477"/>
      <c r="O54" s="301"/>
      <c r="P54" s="553"/>
      <c r="Q54" s="554"/>
      <c r="R54" s="555"/>
      <c r="S54" s="349"/>
      <c r="T54" s="310"/>
      <c r="U54" s="553"/>
      <c r="V54" s="554"/>
      <c r="W54" s="555"/>
    </row>
    <row r="55" spans="3:24" x14ac:dyDescent="0.2">
      <c r="C55" s="376" t="s">
        <v>140</v>
      </c>
      <c r="D55" s="418" t="str">
        <f>_xlfn.XLOOKUP(D$48,WireSets[serial_number],WireSets[wire_roll_cert_number],"",0)</f>
        <v/>
      </c>
      <c r="E55" s="418" t="str">
        <f>_xlfn.XLOOKUP(E$48,WireSets[serial_number],WireSets[wire_roll_cert_number],"",0)</f>
        <v/>
      </c>
      <c r="F55" s="418" t="str">
        <f>_xlfn.XLOOKUP(F$48,WireSets[serial_number],WireSets[wire_roll_cert_number],"",0)</f>
        <v/>
      </c>
      <c r="G55" s="418" t="str">
        <f>_xlfn.XLOOKUP(G$48,WireSets[serial_number],WireSets[wire_roll_cert_number],"",0)</f>
        <v/>
      </c>
      <c r="H55" s="418" t="str">
        <f>_xlfn.XLOOKUP(H$48,WireSets[serial_number],WireSets[wire_roll_cert_number],"",0)</f>
        <v/>
      </c>
      <c r="I55" s="418" t="str">
        <f>_xlfn.XLOOKUP(I$48,WireSets[serial_number],WireSets[wire_roll_cert_number],"",0)</f>
        <v/>
      </c>
      <c r="J55" s="350"/>
      <c r="K55" s="366"/>
      <c r="L55" s="367"/>
      <c r="M55" s="368" t="s">
        <v>292</v>
      </c>
      <c r="N55" s="477"/>
      <c r="O55" s="301"/>
      <c r="P55" s="242" t="s">
        <v>269</v>
      </c>
      <c r="Q55" s="242" t="s">
        <v>14</v>
      </c>
      <c r="R55" s="250" t="s">
        <v>270</v>
      </c>
      <c r="S55" s="351"/>
      <c r="T55" s="311"/>
      <c r="U55" s="298" t="s">
        <v>271</v>
      </c>
      <c r="V55" s="242" t="s">
        <v>14</v>
      </c>
      <c r="W55" s="242" t="s">
        <v>272</v>
      </c>
    </row>
    <row r="56" spans="3:24" x14ac:dyDescent="0.2">
      <c r="C56" s="376" t="s">
        <v>141</v>
      </c>
      <c r="D56" s="287"/>
      <c r="E56" s="287"/>
      <c r="F56" s="287"/>
      <c r="G56" s="287"/>
      <c r="H56" s="287"/>
      <c r="I56" s="287"/>
      <c r="J56" s="352"/>
      <c r="K56" s="369"/>
      <c r="L56" s="370"/>
      <c r="M56" s="368" t="s">
        <v>293</v>
      </c>
      <c r="N56" s="477"/>
      <c r="O56" s="301"/>
      <c r="P56" s="379" t="str">
        <f>IF($S$56, MAX(Survey[RawTemp]), "")</f>
        <v/>
      </c>
      <c r="Q56" s="380" t="str" cm="1">
        <f t="array" ref="Q56">IF($S$56, _xlfn.TEXTJOIN(", ",TRUE, _xlfn.UNIQUE(TEXT(Alerts[High],"h:mm am/pm"))), "")</f>
        <v/>
      </c>
      <c r="R56" s="381"/>
      <c r="S56" s="464" t="b">
        <f>AND(S49="No",S51="No",S53="No")</f>
        <v>0</v>
      </c>
      <c r="T56" s="312"/>
      <c r="U56" s="382" t="str">
        <f>IF($X$56, MIN(Survey[RawTemp]), "")</f>
        <v/>
      </c>
      <c r="V56" s="380" t="str" cm="1">
        <f t="array" ref="V56">IF($X$56, _xlfn.TEXTJOIN(", ",TRUE, _xlfn.UNIQUE(TEXT(Alerts[Low],"h:mm am/pm"))), "")</f>
        <v/>
      </c>
      <c r="W56" s="379"/>
      <c r="X56" s="464" t="b">
        <f>AND(X49="No",X51="No",X53="No")</f>
        <v>0</v>
      </c>
    </row>
    <row r="57" spans="3:24" x14ac:dyDescent="0.2">
      <c r="C57" s="239" t="str">
        <f>"Max Wire Depth (K only, over  "&amp; IF(Unit="°C","260°C","500°F") &amp; "):"</f>
        <v>Max Wire Depth (K only, over  500°F):</v>
      </c>
      <c r="D57" s="288"/>
      <c r="E57" s="288"/>
      <c r="F57" s="288"/>
      <c r="G57" s="288"/>
      <c r="H57" s="288"/>
      <c r="I57" s="288"/>
      <c r="J57" s="299"/>
      <c r="K57" s="371"/>
      <c r="L57" s="372"/>
      <c r="M57" s="373" t="s">
        <v>294</v>
      </c>
      <c r="N57" s="477"/>
      <c r="O57" s="301"/>
      <c r="P57" s="299"/>
      <c r="Q57" s="444"/>
      <c r="S57" s="299"/>
      <c r="V57" s="444"/>
    </row>
    <row r="58" spans="3:24" x14ac:dyDescent="0.2">
      <c r="C58" s="491" t="s">
        <v>145</v>
      </c>
      <c r="D58" s="492"/>
      <c r="E58" s="492"/>
      <c r="F58" s="492"/>
      <c r="G58" s="492"/>
      <c r="H58" s="492"/>
      <c r="I58" s="492"/>
      <c r="J58" s="492"/>
      <c r="K58" s="496"/>
      <c r="L58" s="497"/>
      <c r="M58" s="303"/>
      <c r="N58" s="303"/>
      <c r="O58" s="303"/>
      <c r="P58" s="299"/>
      <c r="Q58" s="446"/>
      <c r="S58" s="303"/>
      <c r="T58" s="303"/>
      <c r="U58" s="303"/>
      <c r="V58" s="444"/>
    </row>
    <row r="59" spans="3:24" x14ac:dyDescent="0.2">
      <c r="C59" s="491" t="s">
        <v>148</v>
      </c>
      <c r="D59" s="492"/>
      <c r="E59" s="492"/>
      <c r="F59" s="492"/>
      <c r="G59" s="492"/>
      <c r="H59" s="492"/>
      <c r="I59" s="492"/>
      <c r="J59" s="492"/>
      <c r="K59" s="492"/>
      <c r="L59" s="493"/>
      <c r="M59" s="303"/>
      <c r="N59" s="313" t="str">
        <f>"DOORS OPENED FOR " &amp;L16&amp; " SECONDS TO SIMULATE LOAD ENTRY AT " &amp;L17&amp; "."</f>
        <v>DOORS OPENED FOR  SECONDS TO SIMULATE LOAD ENTRY AT .</v>
      </c>
      <c r="O59" s="313"/>
      <c r="P59" s="313"/>
      <c r="Q59" s="445"/>
      <c r="R59" s="313"/>
      <c r="S59" s="313"/>
      <c r="T59" s="313"/>
      <c r="U59" s="313"/>
      <c r="V59" s="445"/>
    </row>
    <row r="60" spans="3:24" x14ac:dyDescent="0.2">
      <c r="C60" s="172"/>
      <c r="D60" s="173" t="s">
        <v>146</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2"/>
      <c r="N60" s="353" t="str">
        <f>"AFTER TUS, HIGH LIMIT SET AT " &amp;E60&amp;Unit&amp; " AND OVEN SETPOINT RAISED UNTIL HIGH LIMIT SYSTEM ACTIVATED AT " &amp;K60&amp;Unit&amp; "."</f>
        <v>AFTER TUS, HIGH LIMIT SET AT °F AND OVEN SETPOINT RAISED UNTIL HIGH LIMIT SYSTEM ACTIVATED AT °F.</v>
      </c>
      <c r="O60" s="353"/>
      <c r="P60" s="313"/>
      <c r="Q60" s="445"/>
      <c r="R60" s="313"/>
      <c r="S60" s="313"/>
      <c r="T60" s="313"/>
      <c r="U60" s="313"/>
      <c r="V60" s="445"/>
    </row>
    <row r="61" spans="3:24" x14ac:dyDescent="0.2">
      <c r="C61" s="173"/>
      <c r="D61" s="173" t="s">
        <v>147</v>
      </c>
      <c r="E61" s="295"/>
      <c r="F61" s="179" t="s">
        <v>149</v>
      </c>
      <c r="G61" s="180"/>
      <c r="H61" s="180"/>
      <c r="I61" s="181"/>
      <c r="J61" s="295"/>
      <c r="K61" s="182" t="str">
        <f>Unit&amp;"."</f>
        <v>°F.</v>
      </c>
      <c r="L61" s="299"/>
      <c r="M61" s="303"/>
      <c r="N61" s="353" t="str">
        <f>"AFTER TUS, HIGH LIMIT READING " &amp;E61&amp;Unit&amp; " AND HIGH LIMIT SETPOINT LOWERED UNTIL ACTIVATION AT " &amp;J61&amp;Unit&amp; "."</f>
        <v>AFTER TUS, HIGH LIMIT READING °F AND HIGH LIMIT SETPOINT LOWERED UNTIL ACTIVATION AT °F.</v>
      </c>
      <c r="O61" s="354"/>
      <c r="P61" s="313"/>
      <c r="Q61" s="445"/>
      <c r="R61" s="313"/>
      <c r="S61" s="313"/>
      <c r="T61" s="313"/>
      <c r="U61" s="313"/>
      <c r="V61" s="445"/>
    </row>
    <row r="62" spans="3:24" x14ac:dyDescent="0.2">
      <c r="C62" s="315"/>
      <c r="D62" s="299"/>
      <c r="E62" s="299"/>
      <c r="F62" s="303" t="s">
        <v>289</v>
      </c>
      <c r="G62" s="336"/>
      <c r="H62" s="336"/>
      <c r="I62" s="336"/>
      <c r="J62" s="299"/>
      <c r="K62" s="299"/>
      <c r="L62" s="299"/>
      <c r="M62" s="355"/>
      <c r="N62" s="354"/>
      <c r="O62" s="354"/>
      <c r="P62" s="313"/>
      <c r="Q62" s="445"/>
      <c r="R62" s="313"/>
      <c r="S62" s="313"/>
      <c r="T62" s="313"/>
      <c r="U62" s="313"/>
      <c r="V62" s="445"/>
    </row>
    <row r="65" spans="5:10" x14ac:dyDescent="0.2">
      <c r="E65" t="s">
        <v>377</v>
      </c>
      <c r="F65" t="s">
        <v>139</v>
      </c>
      <c r="G65" s="36" t="s">
        <v>739</v>
      </c>
      <c r="H65" t="s">
        <v>421</v>
      </c>
    </row>
    <row r="66" spans="5:10" x14ac:dyDescent="0.2">
      <c r="E66">
        <v>1</v>
      </c>
      <c r="F66">
        <v>5</v>
      </c>
      <c r="G66">
        <v>2</v>
      </c>
      <c r="H66" t="s">
        <v>737</v>
      </c>
      <c r="J66" s="475" cm="1">
        <f t="array" ref="J66:J71">_xlfn._xlws.FILTER(SAT_Tolerance_Lookup[SAT Tol],SAT_Tolerance_Lookup[Unit]=Unit)</f>
        <v>2</v>
      </c>
    </row>
    <row r="67" spans="5:10" x14ac:dyDescent="0.2">
      <c r="E67">
        <v>2</v>
      </c>
      <c r="F67">
        <v>10</v>
      </c>
      <c r="G67">
        <v>3</v>
      </c>
      <c r="H67" t="s">
        <v>737</v>
      </c>
      <c r="J67" s="475">
        <v>3</v>
      </c>
    </row>
    <row r="68" spans="5:10" x14ac:dyDescent="0.2">
      <c r="E68">
        <v>3</v>
      </c>
      <c r="F68">
        <v>15</v>
      </c>
      <c r="G68">
        <v>4</v>
      </c>
      <c r="H68" t="s">
        <v>737</v>
      </c>
      <c r="J68" s="475">
        <v>4</v>
      </c>
    </row>
    <row r="69" spans="5:10" x14ac:dyDescent="0.2">
      <c r="E69">
        <v>4</v>
      </c>
      <c r="F69">
        <v>20</v>
      </c>
      <c r="G69">
        <v>4</v>
      </c>
      <c r="H69" t="s">
        <v>737</v>
      </c>
      <c r="J69" s="475">
        <v>4</v>
      </c>
    </row>
    <row r="70" spans="5:10" x14ac:dyDescent="0.2">
      <c r="E70">
        <v>5</v>
      </c>
      <c r="F70">
        <v>25</v>
      </c>
      <c r="G70">
        <v>5</v>
      </c>
      <c r="H70" t="s">
        <v>737</v>
      </c>
      <c r="J70" s="475">
        <v>5</v>
      </c>
    </row>
    <row r="71" spans="5:10" x14ac:dyDescent="0.2">
      <c r="E71">
        <v>6</v>
      </c>
      <c r="F71">
        <v>50</v>
      </c>
      <c r="G71">
        <v>10</v>
      </c>
      <c r="H71" t="s">
        <v>737</v>
      </c>
      <c r="J71" s="475">
        <v>10</v>
      </c>
    </row>
    <row r="72" spans="5:10" x14ac:dyDescent="0.2">
      <c r="E72">
        <v>1</v>
      </c>
      <c r="F72">
        <v>3</v>
      </c>
      <c r="G72">
        <v>1.1000000000000001</v>
      </c>
      <c r="H72" t="s">
        <v>738</v>
      </c>
    </row>
    <row r="73" spans="5:10" x14ac:dyDescent="0.2">
      <c r="E73">
        <v>2</v>
      </c>
      <c r="F73">
        <v>6</v>
      </c>
      <c r="G73">
        <v>1.7</v>
      </c>
      <c r="H73" t="s">
        <v>738</v>
      </c>
    </row>
    <row r="74" spans="5:10" x14ac:dyDescent="0.2">
      <c r="E74">
        <v>3</v>
      </c>
      <c r="F74">
        <v>8</v>
      </c>
      <c r="G74">
        <v>2.2000000000000002</v>
      </c>
      <c r="H74" t="s">
        <v>738</v>
      </c>
    </row>
    <row r="75" spans="5:10" x14ac:dyDescent="0.2">
      <c r="E75">
        <v>4</v>
      </c>
      <c r="F75">
        <v>10</v>
      </c>
      <c r="G75">
        <v>2.2000000000000002</v>
      </c>
      <c r="H75" t="s">
        <v>738</v>
      </c>
    </row>
    <row r="76" spans="5:10" x14ac:dyDescent="0.2">
      <c r="E76">
        <v>5</v>
      </c>
      <c r="F76">
        <v>14</v>
      </c>
      <c r="G76">
        <v>2.8</v>
      </c>
      <c r="H76" t="s">
        <v>738</v>
      </c>
    </row>
    <row r="77" spans="5:10" x14ac:dyDescent="0.2">
      <c r="E77">
        <v>6</v>
      </c>
      <c r="F77">
        <v>28</v>
      </c>
      <c r="G77">
        <v>5.6</v>
      </c>
      <c r="H77" t="s">
        <v>738</v>
      </c>
    </row>
    <row r="78" spans="5:10" x14ac:dyDescent="0.2">
      <c r="F78" s="356"/>
    </row>
    <row r="79" spans="5:10" x14ac:dyDescent="0.2">
      <c r="F79" s="356"/>
    </row>
    <row r="80" spans="5:10" x14ac:dyDescent="0.2">
      <c r="F80" s="356"/>
    </row>
    <row r="81" spans="6:8" x14ac:dyDescent="0.2">
      <c r="F81" s="374" t="s">
        <v>434</v>
      </c>
      <c r="G81" s="432" t="b">
        <f>AND(UUTRangeTol!R2+UUTRangeTol!S2=0,UUTRangeTol!S2&gt;0)</f>
        <v>0</v>
      </c>
    </row>
    <row r="82" spans="6:8" x14ac:dyDescent="0.2">
      <c r="F82" s="374" t="s">
        <v>435</v>
      </c>
      <c r="G82" s="472" cm="1">
        <f t="array" ref="G82">IF(
  Symmetric_Tol,
  _xlfn.XLOOKUP(
    1,
    (UUTRangeTol!$S$2 = SAT_Tolerance_Lookup[TUS Tol])*(SAT_Tolerance_Lookup[Unit]=Unit),
    SAT_Tolerance_Lookup[SAT Tol]
  ),
  SAT_Tol
)</f>
        <v>0</v>
      </c>
      <c r="H82" s="139" t="str">
        <f>Unit</f>
        <v>°F</v>
      </c>
    </row>
  </sheetData>
  <sheetProtection algorithmName="SHA-512" hashValue="qkE6cO1zhBzpmYyJPA07pN6z9Jc5X9U6hH5rRgPL1ON1JQQ4061e/9RuuGKn1TEr/tfyAC3kJOnLd50qw+oTGg==" saltValue="Dl5DkSHoMSs6ZlHWYtqJhA==" spinCount="100000" sheet="1" scenarios="1" autoFilter="0"/>
  <protectedRanges>
    <protectedRange sqref="G82"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2" type="noConversion"/>
  <dataValidations count="17">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s>
  <hyperlinks>
    <hyperlink ref="C48" location="'Wire Sets'!A1" display="Wire Set S/Ns:" xr:uid="{F0777E1D-400B-4687-AD96-8173F567CD93}"/>
  </hyperlinks>
  <printOptions headings="1" gridLines="1"/>
  <pageMargins left="0.75" right="0.75" top="1" bottom="1" header="0.5" footer="0.5"/>
  <pageSetup scale="36" fitToHeight="4" orientation="landscape" horizontalDpi="4294967295" verticalDpi="4294967295" r:id="rId1"/>
  <headerFooter alignWithMargins="0"/>
  <customProperties>
    <customPr name="%locator_row%" r:id="rId2"/>
    <customPr name="%startcell%" r:id="rId3"/>
  </customProperties>
  <ignoredErrors>
    <ignoredError sqref="D19" evalError="1"/>
    <ignoredError sqref="G27:G28 D55:I55 D49:I49 D47:I47 F48:I48 D54:I54 A37:A44 P56:V56 T49:W49 D50:I50"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4103" r:id="rId6" name="Button 7">
              <controlPr defaultSize="0" print="0" autoFill="0" autoPict="0" macro="[0]!Printselection">
                <anchor moveWithCells="1" sizeWithCells="1">
                  <from>
                    <xdr:col>13</xdr:col>
                    <xdr:colOff>38100</xdr:colOff>
                    <xdr:row>0</xdr:row>
                    <xdr:rowOff>38100</xdr:rowOff>
                  </from>
                  <to>
                    <xdr:col>16</xdr:col>
                    <xdr:colOff>219075</xdr:colOff>
                    <xdr:row>0</xdr:row>
                    <xdr:rowOff>276225</xdr:rowOff>
                  </to>
                </anchor>
              </controlPr>
            </control>
          </mc:Choice>
        </mc:AlternateContent>
        <mc:AlternateContent xmlns:mc="http://schemas.openxmlformats.org/markup-compatibility/2006">
          <mc:Choice Requires="x14">
            <control shapeId="4106" r:id="rId7"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8"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9"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0"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1" name="Button 47">
              <controlPr defaultSize="0" print="0" autoFill="0" autoPict="0" macro="[0]!ThisWorkbook.RunDataSyncAndRefresh">
                <anchor moveWithCells="1" sizeWithCells="1">
                  <from>
                    <xdr:col>16</xdr:col>
                    <xdr:colOff>914400</xdr:colOff>
                    <xdr:row>0</xdr:row>
                    <xdr:rowOff>28575</xdr:rowOff>
                  </from>
                  <to>
                    <xdr:col>18</xdr:col>
                    <xdr:colOff>752475</xdr:colOff>
                    <xdr:row>0</xdr:row>
                    <xdr:rowOff>257175</xdr:rowOff>
                  </to>
                </anchor>
              </controlPr>
            </control>
          </mc:Choice>
        </mc:AlternateContent>
        <mc:AlternateContent xmlns:mc="http://schemas.openxmlformats.org/markup-compatibility/2006">
          <mc:Choice Requires="x14">
            <control shapeId="4146" r:id="rId12"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3"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4"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5"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6"/>
  </tableParts>
  <extLst>
    <ext xmlns:x14="http://schemas.microsoft.com/office/spreadsheetml/2009/9/main" uri="{CCE6A557-97BC-4b89-ADB6-D9C93CAAB3DF}">
      <x14:dataValidations xmlns:xm="http://schemas.microsoft.com/office/excel/2006/main" count="8">
        <x14:dataValidation type="list" showInputMessage="1" showErrorMessage="1" errorTitle="Invalid Item Number Format" error="Enter a 1–2 digit item number, optionally followed by a revision like R1 or R12. Examples: 1, 01, 1R1, 01R1,...,99R99. Do not include dashes or extra spaces." xr:uid="{924A112F-BF65-4A6D-831F-1D35F3A999EB}">
          <x14:formula1>
            <xm:f>_xlfn.ANCHORARRAY(WorkItemDetails!$C$2)</xm:f>
          </x14:formula1>
          <xm:sqref>D24</xm:sqref>
        </x14:dataValidation>
        <x14:dataValidation type="list" allowBlank="1" showInputMessage="1" showErrorMessage="1" xr:uid="{00000000-0002-0000-0000-000008000000}">
          <x14:formula1>
            <xm:f>_xlfn.ANCHORARRAY(WireSets!$N$5)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WireSets!$O:$O</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409</v>
      </c>
      <c r="B1" s="1" t="s">
        <v>408</v>
      </c>
    </row>
    <row r="2" spans="1:2" x14ac:dyDescent="0.2">
      <c r="A2" t="s">
        <v>410</v>
      </c>
      <c r="B2" t="b">
        <v>1</v>
      </c>
    </row>
  </sheetData>
  <sheetProtection algorithmName="SHA-512" hashValue="EG1GKPlkW18WJXAf8SSF2Ki/Ks2QZ+a4Ofy6Rb8yWn2ICTMYhP1rULHhQ6zlgeB5MhwTiAA87Z8D3ZEFJSrVPQ==" saltValue="lWy/J/AtudknGV9H0K2vKw=="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J32" sqref="J32"/>
    </sheetView>
  </sheetViews>
  <sheetFormatPr defaultColWidth="9.140625" defaultRowHeight="12.75" x14ac:dyDescent="0.2"/>
  <cols>
    <col min="1" max="1" width="9" style="419" bestFit="1" customWidth="1"/>
    <col min="2" max="15" width="6" style="49" customWidth="1"/>
    <col min="16" max="16" width="2.140625" style="49" customWidth="1"/>
    <col min="17" max="17" width="9" style="387" bestFit="1" customWidth="1"/>
    <col min="18" max="31" width="6" style="49" customWidth="1"/>
    <col min="32" max="32" width="2.140625" style="49" customWidth="1"/>
    <col min="33" max="33" width="9" style="387" bestFit="1" customWidth="1"/>
    <col min="34" max="45" width="6" style="49" customWidth="1"/>
    <col min="46" max="16384" width="9.140625" style="49"/>
  </cols>
  <sheetData>
    <row r="1" spans="1:45" s="389" customFormat="1" ht="24.75" customHeight="1" x14ac:dyDescent="0.25"/>
    <row r="2" spans="1:45" s="390" customFormat="1" x14ac:dyDescent="0.2">
      <c r="A2" s="387" t="s">
        <v>14</v>
      </c>
      <c r="B2" s="45" t="s">
        <v>362</v>
      </c>
      <c r="C2" s="45" t="s">
        <v>363</v>
      </c>
      <c r="D2" s="45" t="s">
        <v>364</v>
      </c>
      <c r="E2" s="45" t="s">
        <v>319</v>
      </c>
      <c r="F2" s="45" t="s">
        <v>365</v>
      </c>
      <c r="G2" s="45" t="s">
        <v>366</v>
      </c>
      <c r="H2" s="45" t="s">
        <v>367</v>
      </c>
      <c r="I2" s="45" t="s">
        <v>368</v>
      </c>
      <c r="J2" s="45" t="s">
        <v>369</v>
      </c>
      <c r="K2" s="45" t="s">
        <v>320</v>
      </c>
      <c r="L2" s="45" t="s">
        <v>370</v>
      </c>
      <c r="M2" s="45" t="s">
        <v>371</v>
      </c>
      <c r="N2" s="45" t="s">
        <v>372</v>
      </c>
      <c r="O2" s="45" t="s">
        <v>373</v>
      </c>
      <c r="P2" s="49"/>
      <c r="Q2" s="387" t="s">
        <v>14</v>
      </c>
      <c r="R2" s="45" t="s">
        <v>348</v>
      </c>
      <c r="S2" s="45" t="s">
        <v>349</v>
      </c>
      <c r="T2" s="45" t="s">
        <v>350</v>
      </c>
      <c r="U2" s="45" t="s">
        <v>351</v>
      </c>
      <c r="V2" s="45" t="s">
        <v>352</v>
      </c>
      <c r="W2" s="45" t="s">
        <v>353</v>
      </c>
      <c r="X2" s="45" t="s">
        <v>354</v>
      </c>
      <c r="Y2" s="45" t="s">
        <v>355</v>
      </c>
      <c r="Z2" s="45" t="s">
        <v>356</v>
      </c>
      <c r="AA2" s="45" t="s">
        <v>357</v>
      </c>
      <c r="AB2" s="45" t="s">
        <v>358</v>
      </c>
      <c r="AC2" s="45" t="s">
        <v>359</v>
      </c>
      <c r="AD2" s="45" t="s">
        <v>360</v>
      </c>
      <c r="AE2" s="45" t="s">
        <v>361</v>
      </c>
      <c r="AF2" s="49"/>
      <c r="AG2" s="387" t="s">
        <v>14</v>
      </c>
      <c r="AH2" s="83" t="s">
        <v>336</v>
      </c>
      <c r="AI2" s="83" t="s">
        <v>337</v>
      </c>
      <c r="AJ2" s="83" t="s">
        <v>338</v>
      </c>
      <c r="AK2" s="83" t="s">
        <v>339</v>
      </c>
      <c r="AL2" s="83" t="s">
        <v>340</v>
      </c>
      <c r="AM2" s="83" t="s">
        <v>341</v>
      </c>
      <c r="AN2" s="83" t="s">
        <v>342</v>
      </c>
      <c r="AO2" s="83" t="s">
        <v>343</v>
      </c>
      <c r="AP2" s="83" t="s">
        <v>344</v>
      </c>
      <c r="AQ2" s="83" t="s">
        <v>345</v>
      </c>
      <c r="AR2" s="83" t="s">
        <v>346</v>
      </c>
      <c r="AS2" s="83" t="s">
        <v>347</v>
      </c>
    </row>
    <row r="3" spans="1:45" x14ac:dyDescent="0.2">
      <c r="B3" s="420"/>
      <c r="C3" s="420"/>
      <c r="D3" s="420"/>
      <c r="E3" s="420"/>
      <c r="F3" s="420"/>
      <c r="G3" s="420"/>
      <c r="H3" s="420"/>
      <c r="I3" s="420"/>
      <c r="J3" s="420"/>
      <c r="K3" s="420"/>
      <c r="L3" s="421"/>
      <c r="M3" s="421"/>
      <c r="N3" s="421"/>
      <c r="O3" s="416"/>
      <c r="Q3" s="419"/>
      <c r="R3" s="420"/>
      <c r="S3" s="420"/>
      <c r="T3" s="420"/>
      <c r="U3" s="420"/>
      <c r="V3" s="420"/>
      <c r="W3" s="420"/>
      <c r="X3" s="420"/>
      <c r="Y3" s="420"/>
      <c r="Z3" s="420"/>
      <c r="AA3" s="420"/>
      <c r="AD3" s="422"/>
      <c r="AE3" s="416"/>
      <c r="AG3" s="419"/>
      <c r="AH3" s="420"/>
      <c r="AI3" s="420"/>
      <c r="AJ3" s="420"/>
      <c r="AK3" s="420"/>
      <c r="AL3" s="420"/>
      <c r="AM3" s="420"/>
      <c r="AN3" s="420"/>
      <c r="AO3" s="420"/>
      <c r="AP3" s="420"/>
      <c r="AQ3" s="420"/>
    </row>
    <row r="4" spans="1:45" x14ac:dyDescent="0.2">
      <c r="Q4" s="419"/>
      <c r="AG4" s="419"/>
    </row>
    <row r="5" spans="1:45" x14ac:dyDescent="0.2">
      <c r="Q5" s="419"/>
      <c r="AG5" s="419"/>
    </row>
    <row r="6" spans="1:45" x14ac:dyDescent="0.2">
      <c r="Q6" s="419"/>
      <c r="AG6" s="419"/>
    </row>
    <row r="7" spans="1:45" x14ac:dyDescent="0.2">
      <c r="Q7" s="419"/>
      <c r="AG7" s="419"/>
    </row>
    <row r="8" spans="1:45" x14ac:dyDescent="0.2">
      <c r="Q8" s="419"/>
      <c r="AG8" s="419"/>
    </row>
    <row r="9" spans="1:45" x14ac:dyDescent="0.2">
      <c r="Q9" s="419"/>
      <c r="AG9" s="419"/>
    </row>
    <row r="10" spans="1:45" x14ac:dyDescent="0.2">
      <c r="Q10" s="419"/>
      <c r="AG10" s="419"/>
    </row>
    <row r="11" spans="1:45" x14ac:dyDescent="0.2">
      <c r="Q11" s="419"/>
      <c r="AG11" s="419"/>
    </row>
    <row r="12" spans="1:45" x14ac:dyDescent="0.2">
      <c r="Q12" s="419"/>
      <c r="AG12" s="419"/>
    </row>
    <row r="13" spans="1:45" x14ac:dyDescent="0.2">
      <c r="Q13" s="419"/>
      <c r="AG13" s="419"/>
    </row>
    <row r="14" spans="1:45" x14ac:dyDescent="0.2">
      <c r="Q14" s="419"/>
      <c r="AG14" s="419"/>
    </row>
    <row r="15" spans="1:45" x14ac:dyDescent="0.2">
      <c r="Q15" s="419"/>
      <c r="AG15" s="419"/>
    </row>
    <row r="16" spans="1:45" x14ac:dyDescent="0.2">
      <c r="Q16" s="419"/>
      <c r="AG16" s="419"/>
    </row>
    <row r="17" spans="17:33" x14ac:dyDescent="0.2">
      <c r="Q17" s="419"/>
      <c r="AG17" s="419"/>
    </row>
    <row r="18" spans="17:33" x14ac:dyDescent="0.2">
      <c r="Q18" s="419"/>
      <c r="AG18" s="419"/>
    </row>
    <row r="19" spans="17:33" x14ac:dyDescent="0.2">
      <c r="Q19" s="419"/>
      <c r="AG19" s="419"/>
    </row>
    <row r="20" spans="17:33" x14ac:dyDescent="0.2">
      <c r="Q20" s="419"/>
      <c r="AG20" s="419"/>
    </row>
    <row r="21" spans="17:33" x14ac:dyDescent="0.2">
      <c r="Q21" s="419"/>
      <c r="AG21" s="419"/>
    </row>
    <row r="22" spans="17:33" x14ac:dyDescent="0.2">
      <c r="Q22" s="419"/>
      <c r="AG22" s="419"/>
    </row>
    <row r="23" spans="17:33" x14ac:dyDescent="0.2">
      <c r="Q23" s="419"/>
      <c r="AG23" s="419"/>
    </row>
    <row r="24" spans="17:33" x14ac:dyDescent="0.2">
      <c r="Q24" s="419"/>
      <c r="AG24" s="419"/>
    </row>
    <row r="25" spans="17:33" x14ac:dyDescent="0.2">
      <c r="Q25" s="419"/>
      <c r="AG25" s="419"/>
    </row>
    <row r="26" spans="17:33" x14ac:dyDescent="0.2">
      <c r="Q26" s="419"/>
      <c r="AG26" s="419"/>
    </row>
    <row r="27" spans="17:33" x14ac:dyDescent="0.2">
      <c r="Q27" s="419"/>
      <c r="AG27" s="419"/>
    </row>
    <row r="28" spans="17:33" x14ac:dyDescent="0.2">
      <c r="Q28" s="419"/>
      <c r="AG28" s="419"/>
    </row>
    <row r="29" spans="17:33" x14ac:dyDescent="0.2">
      <c r="Q29" s="419"/>
      <c r="AG29" s="419"/>
    </row>
    <row r="30" spans="17:33" x14ac:dyDescent="0.2">
      <c r="Q30" s="419"/>
      <c r="AG30" s="419"/>
    </row>
    <row r="31" spans="17:33" x14ac:dyDescent="0.2">
      <c r="Q31" s="419"/>
      <c r="AG31" s="419"/>
    </row>
    <row r="32" spans="17:33" x14ac:dyDescent="0.2">
      <c r="Q32" s="419"/>
      <c r="AG32" s="419"/>
    </row>
    <row r="33" spans="17:33" x14ac:dyDescent="0.2">
      <c r="Q33" s="419"/>
      <c r="AG33" s="419"/>
    </row>
    <row r="34" spans="17:33" x14ac:dyDescent="0.2">
      <c r="Q34" s="419"/>
      <c r="AG34" s="419"/>
    </row>
    <row r="35" spans="17:33" x14ac:dyDescent="0.2">
      <c r="Q35" s="419"/>
      <c r="AG35" s="419"/>
    </row>
    <row r="36" spans="17:33" x14ac:dyDescent="0.2">
      <c r="Q36" s="419"/>
      <c r="AG36" s="419"/>
    </row>
    <row r="37" spans="17:33" x14ac:dyDescent="0.2">
      <c r="Q37" s="419"/>
      <c r="AG37" s="419"/>
    </row>
    <row r="38" spans="17:33" x14ac:dyDescent="0.2">
      <c r="Q38" s="419"/>
      <c r="AG38" s="419"/>
    </row>
    <row r="39" spans="17:33" x14ac:dyDescent="0.2">
      <c r="Q39" s="419"/>
      <c r="AG39" s="419"/>
    </row>
    <row r="40" spans="17:33" x14ac:dyDescent="0.2">
      <c r="Q40" s="419"/>
      <c r="AG40" s="419"/>
    </row>
    <row r="41" spans="17:33" x14ac:dyDescent="0.2">
      <c r="Q41" s="419"/>
      <c r="AG41" s="419"/>
    </row>
    <row r="42" spans="17:33" x14ac:dyDescent="0.2">
      <c r="Q42" s="419"/>
      <c r="AG42" s="419"/>
    </row>
    <row r="43" spans="17:33" x14ac:dyDescent="0.2">
      <c r="Q43" s="419"/>
      <c r="AG43" s="419"/>
    </row>
    <row r="44" spans="17:33" x14ac:dyDescent="0.2">
      <c r="Q44" s="419"/>
      <c r="AG44" s="419"/>
    </row>
    <row r="45" spans="17:33" x14ac:dyDescent="0.2">
      <c r="Q45" s="419"/>
      <c r="AG45" s="419"/>
    </row>
    <row r="46" spans="17:33" x14ac:dyDescent="0.2">
      <c r="Q46" s="419"/>
      <c r="AG46" s="419"/>
    </row>
    <row r="47" spans="17:33" x14ac:dyDescent="0.2">
      <c r="Q47" s="419"/>
      <c r="AG47" s="419"/>
    </row>
    <row r="48" spans="17:33" x14ac:dyDescent="0.2">
      <c r="Q48" s="419"/>
      <c r="AG48" s="419"/>
    </row>
    <row r="49" spans="17:33" x14ac:dyDescent="0.2">
      <c r="Q49" s="419"/>
      <c r="AG49" s="419"/>
    </row>
    <row r="50" spans="17:33" x14ac:dyDescent="0.2">
      <c r="Q50" s="419"/>
      <c r="AG50" s="419"/>
    </row>
    <row r="51" spans="17:33" x14ac:dyDescent="0.2">
      <c r="Q51" s="419"/>
      <c r="AG51" s="419"/>
    </row>
    <row r="52" spans="17:33" x14ac:dyDescent="0.2">
      <c r="Q52" s="419"/>
      <c r="AG52" s="419"/>
    </row>
    <row r="53" spans="17:33" x14ac:dyDescent="0.2">
      <c r="Q53" s="419"/>
      <c r="AG53" s="419"/>
    </row>
    <row r="54" spans="17:33" x14ac:dyDescent="0.2">
      <c r="Q54" s="419"/>
      <c r="AG54" s="419"/>
    </row>
    <row r="55" spans="17:33" x14ac:dyDescent="0.2">
      <c r="Q55" s="419"/>
      <c r="AG55" s="419"/>
    </row>
    <row r="56" spans="17:33" x14ac:dyDescent="0.2">
      <c r="Q56" s="419"/>
      <c r="AG56" s="419"/>
    </row>
    <row r="57" spans="17:33" x14ac:dyDescent="0.2">
      <c r="Q57" s="419"/>
      <c r="AG57" s="419"/>
    </row>
    <row r="58" spans="17:33" x14ac:dyDescent="0.2">
      <c r="Q58" s="419"/>
      <c r="AG58" s="419"/>
    </row>
    <row r="59" spans="17:33" x14ac:dyDescent="0.2">
      <c r="Q59" s="419"/>
      <c r="AG59" s="419"/>
    </row>
    <row r="60" spans="17:33" x14ac:dyDescent="0.2">
      <c r="Q60" s="419"/>
      <c r="AG60" s="419"/>
    </row>
    <row r="61" spans="17:33" x14ac:dyDescent="0.2">
      <c r="Q61" s="419"/>
      <c r="AG61" s="419"/>
    </row>
    <row r="62" spans="17:33" x14ac:dyDescent="0.2">
      <c r="Q62" s="419"/>
      <c r="AG62" s="419"/>
    </row>
    <row r="63" spans="17:33" x14ac:dyDescent="0.2">
      <c r="Q63" s="419"/>
      <c r="AG63" s="419"/>
    </row>
    <row r="64" spans="17:33" x14ac:dyDescent="0.2">
      <c r="Q64" s="419"/>
      <c r="AG64" s="419"/>
    </row>
    <row r="65" spans="17:33" x14ac:dyDescent="0.2">
      <c r="Q65" s="419"/>
      <c r="AG65" s="419"/>
    </row>
    <row r="66" spans="17:33" x14ac:dyDescent="0.2">
      <c r="Q66" s="419"/>
      <c r="AG66" s="419"/>
    </row>
    <row r="67" spans="17:33" x14ac:dyDescent="0.2">
      <c r="Q67" s="419"/>
      <c r="AG67" s="419"/>
    </row>
    <row r="68" spans="17:33" x14ac:dyDescent="0.2">
      <c r="Q68" s="419"/>
      <c r="AG68" s="419"/>
    </row>
    <row r="69" spans="17:33" x14ac:dyDescent="0.2">
      <c r="Q69" s="419"/>
      <c r="AG69" s="419"/>
    </row>
    <row r="70" spans="17:33" x14ac:dyDescent="0.2">
      <c r="Q70" s="419"/>
      <c r="AG70" s="419"/>
    </row>
    <row r="71" spans="17:33" x14ac:dyDescent="0.2">
      <c r="Q71" s="419"/>
      <c r="AG71" s="419"/>
    </row>
    <row r="72" spans="17:33" x14ac:dyDescent="0.2">
      <c r="Q72" s="419"/>
      <c r="AG72" s="419"/>
    </row>
    <row r="73" spans="17:33" x14ac:dyDescent="0.2">
      <c r="Q73" s="419"/>
      <c r="AG73" s="419"/>
    </row>
    <row r="74" spans="17:33" x14ac:dyDescent="0.2">
      <c r="Q74" s="419"/>
      <c r="AG74" s="419"/>
    </row>
    <row r="75" spans="17:33" x14ac:dyDescent="0.2">
      <c r="Q75" s="419"/>
      <c r="AG75" s="419"/>
    </row>
    <row r="76" spans="17:33" x14ac:dyDescent="0.2">
      <c r="Q76" s="419"/>
      <c r="AG76" s="419"/>
    </row>
    <row r="77" spans="17:33" x14ac:dyDescent="0.2">
      <c r="Q77" s="419"/>
      <c r="AG77" s="419"/>
    </row>
    <row r="78" spans="17:33" x14ac:dyDescent="0.2">
      <c r="Q78" s="419"/>
      <c r="AG78" s="419"/>
    </row>
    <row r="79" spans="17:33" x14ac:dyDescent="0.2">
      <c r="Q79" s="419"/>
      <c r="AG79" s="419"/>
    </row>
    <row r="80" spans="17:33" x14ac:dyDescent="0.2">
      <c r="Q80" s="419"/>
      <c r="AG80" s="419"/>
    </row>
    <row r="81" spans="17:33" x14ac:dyDescent="0.2">
      <c r="Q81" s="419"/>
      <c r="AG81" s="419"/>
    </row>
    <row r="82" spans="17:33" x14ac:dyDescent="0.2">
      <c r="Q82" s="419"/>
      <c r="AG82" s="419"/>
    </row>
    <row r="83" spans="17:33" x14ac:dyDescent="0.2">
      <c r="Q83" s="419"/>
      <c r="AG83" s="419"/>
    </row>
    <row r="84" spans="17:33" x14ac:dyDescent="0.2">
      <c r="Q84" s="419"/>
      <c r="AG84" s="419"/>
    </row>
    <row r="85" spans="17:33" x14ac:dyDescent="0.2">
      <c r="Q85" s="419"/>
      <c r="AG85" s="419"/>
    </row>
    <row r="86" spans="17:33" x14ac:dyDescent="0.2">
      <c r="Q86" s="419"/>
      <c r="AG86" s="419"/>
    </row>
    <row r="87" spans="17:33" x14ac:dyDescent="0.2">
      <c r="Q87" s="419"/>
      <c r="AG87" s="419"/>
    </row>
    <row r="88" spans="17:33" x14ac:dyDescent="0.2">
      <c r="Q88" s="419"/>
      <c r="AG88" s="419"/>
    </row>
    <row r="89" spans="17:33" x14ac:dyDescent="0.2">
      <c r="Q89" s="419"/>
      <c r="AG89" s="419"/>
    </row>
    <row r="90" spans="17:33" x14ac:dyDescent="0.2">
      <c r="Q90" s="419"/>
      <c r="AG90" s="419"/>
    </row>
    <row r="91" spans="17:33" x14ac:dyDescent="0.2">
      <c r="Q91" s="419"/>
      <c r="AG91" s="419"/>
    </row>
    <row r="92" spans="17:33" x14ac:dyDescent="0.2">
      <c r="Q92" s="419"/>
      <c r="AG92" s="419"/>
    </row>
    <row r="93" spans="17:33" x14ac:dyDescent="0.2">
      <c r="Q93" s="419"/>
      <c r="AG93" s="419"/>
    </row>
    <row r="94" spans="17:33" x14ac:dyDescent="0.2">
      <c r="Q94" s="419"/>
      <c r="AG94" s="419"/>
    </row>
    <row r="95" spans="17:33" x14ac:dyDescent="0.2">
      <c r="Q95" s="419"/>
      <c r="AG95" s="419"/>
    </row>
    <row r="96" spans="17:33" x14ac:dyDescent="0.2">
      <c r="Q96" s="419"/>
      <c r="AG96" s="419"/>
    </row>
    <row r="97" spans="17:33" x14ac:dyDescent="0.2">
      <c r="Q97" s="419"/>
      <c r="AG97" s="419"/>
    </row>
    <row r="98" spans="17:33" x14ac:dyDescent="0.2">
      <c r="Q98" s="419"/>
      <c r="AG98" s="419"/>
    </row>
    <row r="99" spans="17:33" x14ac:dyDescent="0.2">
      <c r="Q99" s="419"/>
      <c r="AG99" s="419"/>
    </row>
    <row r="100" spans="17:33" x14ac:dyDescent="0.2">
      <c r="Q100" s="419"/>
      <c r="AG100" s="419"/>
    </row>
    <row r="101" spans="17:33" x14ac:dyDescent="0.2">
      <c r="Q101" s="419"/>
      <c r="AG101" s="419"/>
    </row>
    <row r="102" spans="17:33" x14ac:dyDescent="0.2">
      <c r="Q102" s="419"/>
      <c r="AG102" s="419"/>
    </row>
    <row r="103" spans="17:33" x14ac:dyDescent="0.2">
      <c r="Q103" s="419"/>
      <c r="AG103" s="419"/>
    </row>
    <row r="104" spans="17:33" x14ac:dyDescent="0.2">
      <c r="Q104" s="419"/>
      <c r="AG104" s="419"/>
    </row>
    <row r="105" spans="17:33" x14ac:dyDescent="0.2">
      <c r="Q105" s="419"/>
      <c r="AG105" s="419"/>
    </row>
    <row r="106" spans="17:33" x14ac:dyDescent="0.2">
      <c r="Q106" s="419"/>
      <c r="AG106" s="419"/>
    </row>
    <row r="107" spans="17:33" x14ac:dyDescent="0.2">
      <c r="Q107" s="419"/>
      <c r="AG107" s="419"/>
    </row>
    <row r="108" spans="17:33" x14ac:dyDescent="0.2">
      <c r="Q108" s="419"/>
      <c r="AG108" s="419"/>
    </row>
    <row r="109" spans="17:33" x14ac:dyDescent="0.2">
      <c r="Q109" s="419"/>
      <c r="AG109" s="419"/>
    </row>
    <row r="110" spans="17:33" x14ac:dyDescent="0.2">
      <c r="Q110" s="419"/>
      <c r="AG110" s="419"/>
    </row>
    <row r="111" spans="17:33" x14ac:dyDescent="0.2">
      <c r="Q111" s="419"/>
      <c r="AG111" s="419"/>
    </row>
    <row r="112" spans="17:33" x14ac:dyDescent="0.2">
      <c r="Q112" s="419"/>
      <c r="AG112" s="419"/>
    </row>
    <row r="113" spans="17:33" x14ac:dyDescent="0.2">
      <c r="Q113" s="419"/>
      <c r="AG113" s="419"/>
    </row>
    <row r="114" spans="17:33" x14ac:dyDescent="0.2">
      <c r="Q114" s="419"/>
      <c r="AG114" s="419"/>
    </row>
    <row r="115" spans="17:33" x14ac:dyDescent="0.2">
      <c r="Q115" s="419"/>
      <c r="AG115" s="419"/>
    </row>
    <row r="116" spans="17:33" x14ac:dyDescent="0.2">
      <c r="Q116" s="419"/>
      <c r="AG116" s="419"/>
    </row>
    <row r="117" spans="17:33" x14ac:dyDescent="0.2">
      <c r="Q117" s="419"/>
      <c r="AG117" s="419"/>
    </row>
    <row r="118" spans="17:33" x14ac:dyDescent="0.2">
      <c r="Q118" s="419"/>
      <c r="AG118" s="419"/>
    </row>
    <row r="119" spans="17:33" x14ac:dyDescent="0.2">
      <c r="Q119" s="419"/>
      <c r="AG119" s="419"/>
    </row>
    <row r="120" spans="17:33" x14ac:dyDescent="0.2">
      <c r="Q120" s="419"/>
      <c r="AG120" s="419"/>
    </row>
    <row r="121" spans="17:33" x14ac:dyDescent="0.2">
      <c r="Q121" s="419"/>
      <c r="AG121" s="419"/>
    </row>
    <row r="122" spans="17:33" x14ac:dyDescent="0.2">
      <c r="Q122" s="419"/>
      <c r="AG122" s="419"/>
    </row>
    <row r="123" spans="17:33" x14ac:dyDescent="0.2">
      <c r="Q123" s="419"/>
      <c r="AG123" s="419"/>
    </row>
    <row r="124" spans="17:33" x14ac:dyDescent="0.2">
      <c r="Q124" s="419"/>
      <c r="AG124" s="419"/>
    </row>
    <row r="125" spans="17:33" x14ac:dyDescent="0.2">
      <c r="Q125" s="419"/>
      <c r="AG125" s="419"/>
    </row>
    <row r="126" spans="17:33" x14ac:dyDescent="0.2">
      <c r="Q126" s="419"/>
      <c r="AG126" s="419"/>
    </row>
    <row r="127" spans="17:33" x14ac:dyDescent="0.2">
      <c r="Q127" s="419"/>
      <c r="AG127" s="419"/>
    </row>
    <row r="128" spans="17:33" x14ac:dyDescent="0.2">
      <c r="Q128" s="419"/>
      <c r="AG128" s="419"/>
    </row>
    <row r="129" spans="17:33" x14ac:dyDescent="0.2">
      <c r="Q129" s="419"/>
      <c r="AG129" s="419"/>
    </row>
    <row r="130" spans="17:33" x14ac:dyDescent="0.2">
      <c r="Q130" s="419"/>
      <c r="AG130" s="419"/>
    </row>
    <row r="131" spans="17:33" x14ac:dyDescent="0.2">
      <c r="Q131" s="419"/>
      <c r="AG131" s="419"/>
    </row>
    <row r="132" spans="17:33" x14ac:dyDescent="0.2">
      <c r="Q132" s="419"/>
      <c r="AG132" s="419"/>
    </row>
    <row r="133" spans="17:33" x14ac:dyDescent="0.2">
      <c r="Q133" s="419"/>
      <c r="AG133" s="419"/>
    </row>
    <row r="134" spans="17:33" x14ac:dyDescent="0.2">
      <c r="Q134" s="419"/>
      <c r="AG134" s="419"/>
    </row>
    <row r="135" spans="17:33" x14ac:dyDescent="0.2">
      <c r="Q135" s="419"/>
      <c r="AG135" s="419"/>
    </row>
    <row r="136" spans="17:33" x14ac:dyDescent="0.2">
      <c r="Q136" s="419"/>
      <c r="AG136" s="419"/>
    </row>
    <row r="137" spans="17:33" x14ac:dyDescent="0.2">
      <c r="Q137" s="419"/>
      <c r="AG137" s="419"/>
    </row>
    <row r="138" spans="17:33" x14ac:dyDescent="0.2">
      <c r="Q138" s="419"/>
      <c r="AG138" s="419"/>
    </row>
    <row r="139" spans="17:33" x14ac:dyDescent="0.2">
      <c r="Q139" s="419"/>
      <c r="AG139" s="419"/>
    </row>
    <row r="140" spans="17:33" x14ac:dyDescent="0.2">
      <c r="Q140" s="419"/>
      <c r="AG140" s="419"/>
    </row>
    <row r="141" spans="17:33" x14ac:dyDescent="0.2">
      <c r="Q141" s="419"/>
      <c r="AG141" s="419"/>
    </row>
    <row r="142" spans="17:33" x14ac:dyDescent="0.2">
      <c r="Q142" s="419"/>
      <c r="AG142" s="419"/>
    </row>
    <row r="143" spans="17:33" x14ac:dyDescent="0.2">
      <c r="Q143" s="419"/>
      <c r="AG143" s="419"/>
    </row>
    <row r="144" spans="17:33" x14ac:dyDescent="0.2">
      <c r="Q144" s="419"/>
      <c r="AG144" s="419"/>
    </row>
    <row r="145" spans="17:33" x14ac:dyDescent="0.2">
      <c r="Q145" s="419"/>
      <c r="AG145" s="419"/>
    </row>
    <row r="146" spans="17:33" x14ac:dyDescent="0.2">
      <c r="Q146" s="419"/>
      <c r="AG146" s="419"/>
    </row>
    <row r="147" spans="17:33" x14ac:dyDescent="0.2">
      <c r="Q147" s="419"/>
      <c r="AG147" s="419"/>
    </row>
    <row r="148" spans="17:33" x14ac:dyDescent="0.2">
      <c r="Q148" s="419"/>
      <c r="AG148" s="419"/>
    </row>
    <row r="149" spans="17:33" x14ac:dyDescent="0.2">
      <c r="Q149" s="419"/>
      <c r="AG149" s="419"/>
    </row>
    <row r="150" spans="17:33" x14ac:dyDescent="0.2">
      <c r="Q150" s="419"/>
      <c r="AG150" s="419"/>
    </row>
    <row r="151" spans="17:33" x14ac:dyDescent="0.2">
      <c r="Q151" s="419"/>
      <c r="AG151" s="419"/>
    </row>
    <row r="152" spans="17:33" x14ac:dyDescent="0.2">
      <c r="Q152" s="419"/>
      <c r="AG152" s="419"/>
    </row>
    <row r="153" spans="17:33" x14ac:dyDescent="0.2">
      <c r="Q153" s="419"/>
      <c r="AG153" s="419"/>
    </row>
    <row r="154" spans="17:33" x14ac:dyDescent="0.2">
      <c r="Q154" s="419"/>
      <c r="AG154" s="419"/>
    </row>
    <row r="155" spans="17:33" x14ac:dyDescent="0.2">
      <c r="Q155" s="419"/>
      <c r="AG155" s="419"/>
    </row>
    <row r="156" spans="17:33" x14ac:dyDescent="0.2">
      <c r="Q156" s="419"/>
      <c r="AG156" s="419"/>
    </row>
    <row r="157" spans="17:33" x14ac:dyDescent="0.2">
      <c r="Q157" s="419"/>
      <c r="AG157" s="419"/>
    </row>
    <row r="158" spans="17:33" x14ac:dyDescent="0.2">
      <c r="Q158" s="419"/>
      <c r="AG158" s="419"/>
    </row>
    <row r="159" spans="17:33" x14ac:dyDescent="0.2">
      <c r="Q159" s="419"/>
      <c r="AG159" s="419"/>
    </row>
    <row r="160" spans="17:33" x14ac:dyDescent="0.2">
      <c r="Q160" s="419"/>
      <c r="AG160" s="419"/>
    </row>
    <row r="161" spans="17:33" x14ac:dyDescent="0.2">
      <c r="Q161" s="419"/>
      <c r="AG161" s="419"/>
    </row>
    <row r="162" spans="17:33" x14ac:dyDescent="0.2">
      <c r="Q162" s="419"/>
      <c r="AG162" s="419"/>
    </row>
    <row r="163" spans="17:33" x14ac:dyDescent="0.2">
      <c r="Q163" s="419"/>
      <c r="AG163" s="419"/>
    </row>
    <row r="164" spans="17:33" x14ac:dyDescent="0.2">
      <c r="Q164" s="419"/>
      <c r="AG164" s="419"/>
    </row>
    <row r="165" spans="17:33" x14ac:dyDescent="0.2">
      <c r="Q165" s="419"/>
      <c r="AG165" s="419"/>
    </row>
    <row r="166" spans="17:33" x14ac:dyDescent="0.2">
      <c r="Q166" s="419"/>
      <c r="AG166" s="419"/>
    </row>
    <row r="167" spans="17:33" x14ac:dyDescent="0.2">
      <c r="Q167" s="419"/>
      <c r="AG167" s="419"/>
    </row>
    <row r="168" spans="17:33" x14ac:dyDescent="0.2">
      <c r="Q168" s="419"/>
      <c r="AG168" s="419"/>
    </row>
    <row r="169" spans="17:33" x14ac:dyDescent="0.2">
      <c r="Q169" s="419"/>
      <c r="AG169" s="419"/>
    </row>
    <row r="170" spans="17:33" x14ac:dyDescent="0.2">
      <c r="Q170" s="419"/>
      <c r="AG170" s="419"/>
    </row>
    <row r="171" spans="17:33" x14ac:dyDescent="0.2">
      <c r="Q171" s="419"/>
      <c r="AG171" s="419"/>
    </row>
    <row r="172" spans="17:33" x14ac:dyDescent="0.2">
      <c r="Q172" s="419"/>
      <c r="AG172" s="419"/>
    </row>
    <row r="173" spans="17:33" x14ac:dyDescent="0.2">
      <c r="Q173" s="419"/>
      <c r="AG173" s="419"/>
    </row>
    <row r="174" spans="17:33" x14ac:dyDescent="0.2">
      <c r="Q174" s="419"/>
      <c r="AG174" s="419"/>
    </row>
    <row r="175" spans="17:33" x14ac:dyDescent="0.2">
      <c r="Q175" s="419"/>
      <c r="AG175" s="419"/>
    </row>
    <row r="176" spans="17:33" x14ac:dyDescent="0.2">
      <c r="Q176" s="419"/>
      <c r="AG176" s="419"/>
    </row>
    <row r="177" spans="17:33" x14ac:dyDescent="0.2">
      <c r="Q177" s="419"/>
      <c r="AG177" s="419"/>
    </row>
    <row r="178" spans="17:33" x14ac:dyDescent="0.2">
      <c r="Q178" s="419"/>
      <c r="AG178" s="419"/>
    </row>
    <row r="179" spans="17:33" x14ac:dyDescent="0.2">
      <c r="Q179" s="419"/>
      <c r="AG179" s="419"/>
    </row>
    <row r="180" spans="17:33" x14ac:dyDescent="0.2">
      <c r="Q180" s="419"/>
      <c r="AG180" s="419"/>
    </row>
    <row r="181" spans="17:33" x14ac:dyDescent="0.2">
      <c r="Q181" s="419"/>
      <c r="AG181" s="419"/>
    </row>
    <row r="182" spans="17:33" x14ac:dyDescent="0.2">
      <c r="Q182" s="419"/>
      <c r="AG182" s="419"/>
    </row>
    <row r="183" spans="17:33" x14ac:dyDescent="0.2">
      <c r="Q183" s="419"/>
      <c r="AG183" s="419"/>
    </row>
    <row r="184" spans="17:33" x14ac:dyDescent="0.2">
      <c r="Q184" s="419"/>
      <c r="AG184" s="419"/>
    </row>
    <row r="185" spans="17:33" x14ac:dyDescent="0.2">
      <c r="Q185" s="419"/>
      <c r="AG185" s="419"/>
    </row>
    <row r="186" spans="17:33" x14ac:dyDescent="0.2">
      <c r="Q186" s="419"/>
      <c r="AG186" s="419"/>
    </row>
    <row r="187" spans="17:33" x14ac:dyDescent="0.2">
      <c r="Q187" s="419"/>
      <c r="AG187" s="419"/>
    </row>
    <row r="188" spans="17:33" x14ac:dyDescent="0.2">
      <c r="Q188" s="419"/>
      <c r="AG188" s="419"/>
    </row>
    <row r="189" spans="17:33" x14ac:dyDescent="0.2">
      <c r="Q189" s="419"/>
      <c r="AG189" s="419"/>
    </row>
    <row r="190" spans="17:33" x14ac:dyDescent="0.2">
      <c r="Q190" s="419"/>
      <c r="AG190" s="419"/>
    </row>
    <row r="191" spans="17:33" x14ac:dyDescent="0.2">
      <c r="Q191" s="419"/>
      <c r="AG191" s="419"/>
    </row>
    <row r="192" spans="17:33" x14ac:dyDescent="0.2">
      <c r="Q192" s="419"/>
      <c r="AG192" s="419"/>
    </row>
    <row r="193" spans="17:33" x14ac:dyDescent="0.2">
      <c r="Q193" s="419"/>
      <c r="AG193" s="419"/>
    </row>
    <row r="194" spans="17:33" x14ac:dyDescent="0.2">
      <c r="Q194" s="419"/>
      <c r="AG194" s="419"/>
    </row>
    <row r="195" spans="17:33" x14ac:dyDescent="0.2">
      <c r="Q195" s="419"/>
      <c r="AG195" s="419"/>
    </row>
    <row r="196" spans="17:33" x14ac:dyDescent="0.2">
      <c r="Q196" s="419"/>
      <c r="AG196" s="419"/>
    </row>
    <row r="197" spans="17:33" x14ac:dyDescent="0.2">
      <c r="Q197" s="419"/>
      <c r="AG197" s="419"/>
    </row>
    <row r="198" spans="17:33" x14ac:dyDescent="0.2">
      <c r="Q198" s="419"/>
      <c r="AG198" s="419"/>
    </row>
    <row r="199" spans="17:33" x14ac:dyDescent="0.2">
      <c r="Q199" s="419"/>
      <c r="AG199" s="419"/>
    </row>
    <row r="200" spans="17:33" x14ac:dyDescent="0.2">
      <c r="Q200" s="419"/>
      <c r="AG200" s="419"/>
    </row>
    <row r="201" spans="17:33" x14ac:dyDescent="0.2">
      <c r="Q201" s="419"/>
      <c r="AG201" s="419"/>
    </row>
    <row r="202" spans="17:33" x14ac:dyDescent="0.2">
      <c r="Q202" s="419"/>
      <c r="AG202" s="419"/>
    </row>
    <row r="203" spans="17:33" x14ac:dyDescent="0.2">
      <c r="Q203" s="419"/>
      <c r="AG203" s="419"/>
    </row>
    <row r="204" spans="17:33" x14ac:dyDescent="0.2">
      <c r="Q204" s="419"/>
      <c r="AG204" s="419"/>
    </row>
    <row r="205" spans="17:33" x14ac:dyDescent="0.2">
      <c r="Q205" s="419"/>
      <c r="AG205" s="419"/>
    </row>
    <row r="206" spans="17:33" x14ac:dyDescent="0.2">
      <c r="Q206" s="419"/>
      <c r="AG206" s="419"/>
    </row>
    <row r="207" spans="17:33" x14ac:dyDescent="0.2">
      <c r="Q207" s="419"/>
      <c r="AG207" s="419"/>
    </row>
    <row r="208" spans="17:33" x14ac:dyDescent="0.2">
      <c r="Q208" s="419"/>
      <c r="AG208" s="419"/>
    </row>
    <row r="209" spans="17:33" x14ac:dyDescent="0.2">
      <c r="Q209" s="419"/>
      <c r="AG209" s="419"/>
    </row>
    <row r="210" spans="17:33" x14ac:dyDescent="0.2">
      <c r="Q210" s="419"/>
      <c r="AG210" s="419"/>
    </row>
    <row r="211" spans="17:33" x14ac:dyDescent="0.2">
      <c r="Q211" s="419"/>
      <c r="AG211" s="419"/>
    </row>
    <row r="212" spans="17:33" x14ac:dyDescent="0.2">
      <c r="Q212" s="419"/>
      <c r="AG212" s="419"/>
    </row>
    <row r="213" spans="17:33" x14ac:dyDescent="0.2">
      <c r="Q213" s="419"/>
      <c r="AG213" s="419"/>
    </row>
    <row r="214" spans="17:33" x14ac:dyDescent="0.2">
      <c r="Q214" s="419"/>
      <c r="AG214" s="419"/>
    </row>
    <row r="215" spans="17:33" x14ac:dyDescent="0.2">
      <c r="Q215" s="419"/>
      <c r="AG215" s="419"/>
    </row>
    <row r="216" spans="17:33" x14ac:dyDescent="0.2">
      <c r="Q216" s="419"/>
      <c r="AG216" s="419"/>
    </row>
    <row r="217" spans="17:33" x14ac:dyDescent="0.2">
      <c r="Q217" s="419"/>
      <c r="AG217" s="419"/>
    </row>
    <row r="218" spans="17:33" x14ac:dyDescent="0.2">
      <c r="Q218" s="419"/>
      <c r="AG218" s="419"/>
    </row>
    <row r="219" spans="17:33" x14ac:dyDescent="0.2">
      <c r="Q219" s="419"/>
      <c r="AG219" s="419"/>
    </row>
    <row r="220" spans="17:33" x14ac:dyDescent="0.2">
      <c r="Q220" s="419"/>
      <c r="AG220" s="419"/>
    </row>
    <row r="221" spans="17:33" x14ac:dyDescent="0.2">
      <c r="Q221" s="419"/>
      <c r="AG221" s="419"/>
    </row>
    <row r="222" spans="17:33" x14ac:dyDescent="0.2">
      <c r="Q222" s="419"/>
      <c r="AG222" s="419"/>
    </row>
    <row r="223" spans="17:33" x14ac:dyDescent="0.2">
      <c r="Q223" s="419"/>
      <c r="AG223" s="419"/>
    </row>
    <row r="224" spans="17:33" x14ac:dyDescent="0.2">
      <c r="Q224" s="419"/>
      <c r="AG224" s="419"/>
    </row>
    <row r="225" spans="17:33" x14ac:dyDescent="0.2">
      <c r="Q225" s="419"/>
      <c r="AG225" s="419"/>
    </row>
    <row r="226" spans="17:33" x14ac:dyDescent="0.2">
      <c r="Q226" s="419"/>
      <c r="AG226" s="419"/>
    </row>
    <row r="227" spans="17:33" x14ac:dyDescent="0.2">
      <c r="Q227" s="419"/>
      <c r="AG227" s="419"/>
    </row>
    <row r="228" spans="17:33" x14ac:dyDescent="0.2">
      <c r="Q228" s="419"/>
      <c r="AG228" s="419"/>
    </row>
    <row r="229" spans="17:33" x14ac:dyDescent="0.2">
      <c r="Q229" s="419"/>
      <c r="AG229" s="419"/>
    </row>
    <row r="230" spans="17:33" x14ac:dyDescent="0.2">
      <c r="Q230" s="419"/>
      <c r="AG230" s="419"/>
    </row>
    <row r="231" spans="17:33" x14ac:dyDescent="0.2">
      <c r="Q231" s="419"/>
      <c r="AG231" s="419"/>
    </row>
    <row r="232" spans="17:33" x14ac:dyDescent="0.2">
      <c r="Q232" s="419"/>
      <c r="AG232" s="419"/>
    </row>
    <row r="233" spans="17:33" x14ac:dyDescent="0.2">
      <c r="Q233" s="419"/>
      <c r="AG233" s="419"/>
    </row>
    <row r="234" spans="17:33" x14ac:dyDescent="0.2">
      <c r="Q234" s="419"/>
      <c r="AG234" s="419"/>
    </row>
    <row r="235" spans="17:33" x14ac:dyDescent="0.2">
      <c r="Q235" s="419"/>
      <c r="AG235" s="419"/>
    </row>
    <row r="236" spans="17:33" x14ac:dyDescent="0.2">
      <c r="Q236" s="419"/>
      <c r="AG236" s="419"/>
    </row>
    <row r="237" spans="17:33" x14ac:dyDescent="0.2">
      <c r="Q237" s="419"/>
      <c r="AG237" s="419"/>
    </row>
    <row r="238" spans="17:33" x14ac:dyDescent="0.2">
      <c r="Q238" s="419"/>
      <c r="AG238" s="419"/>
    </row>
    <row r="239" spans="17:33" x14ac:dyDescent="0.2">
      <c r="Q239" s="419"/>
      <c r="AG239" s="419"/>
    </row>
    <row r="240" spans="17:33" x14ac:dyDescent="0.2">
      <c r="Q240" s="419"/>
      <c r="AG240" s="419"/>
    </row>
    <row r="241" spans="17:33" x14ac:dyDescent="0.2">
      <c r="Q241" s="419"/>
      <c r="AG241" s="419"/>
    </row>
    <row r="242" spans="17:33" x14ac:dyDescent="0.2">
      <c r="Q242" s="419"/>
      <c r="AG242" s="419"/>
    </row>
    <row r="243" spans="17:33" x14ac:dyDescent="0.2">
      <c r="Q243" s="419"/>
      <c r="AG243" s="419"/>
    </row>
    <row r="244" spans="17:33" x14ac:dyDescent="0.2">
      <c r="Q244" s="419"/>
      <c r="AG244" s="419"/>
    </row>
    <row r="245" spans="17:33" x14ac:dyDescent="0.2">
      <c r="Q245" s="419"/>
      <c r="AG245" s="419"/>
    </row>
    <row r="246" spans="17:33" x14ac:dyDescent="0.2">
      <c r="Q246" s="419"/>
      <c r="AG246" s="419"/>
    </row>
    <row r="247" spans="17:33" x14ac:dyDescent="0.2">
      <c r="Q247" s="419"/>
      <c r="AG247" s="419"/>
    </row>
    <row r="248" spans="17:33" x14ac:dyDescent="0.2">
      <c r="Q248" s="419"/>
      <c r="AG248" s="419"/>
    </row>
    <row r="249" spans="17:33" x14ac:dyDescent="0.2">
      <c r="Q249" s="419"/>
      <c r="AG249" s="419"/>
    </row>
    <row r="250" spans="17:33" x14ac:dyDescent="0.2">
      <c r="Q250" s="419"/>
      <c r="AG250" s="419"/>
    </row>
    <row r="251" spans="17:33" x14ac:dyDescent="0.2">
      <c r="Q251" s="419"/>
      <c r="AG251" s="419"/>
    </row>
    <row r="252" spans="17:33" x14ac:dyDescent="0.2">
      <c r="Q252" s="419"/>
      <c r="AG252" s="419"/>
    </row>
    <row r="253" spans="17:33" x14ac:dyDescent="0.2">
      <c r="Q253" s="419"/>
      <c r="AG253" s="419"/>
    </row>
    <row r="254" spans="17:33" x14ac:dyDescent="0.2">
      <c r="Q254" s="419"/>
      <c r="AG254" s="419"/>
    </row>
    <row r="255" spans="17:33" x14ac:dyDescent="0.2">
      <c r="Q255" s="419"/>
      <c r="AG255" s="419"/>
    </row>
    <row r="256" spans="17:33" x14ac:dyDescent="0.2">
      <c r="Q256" s="419"/>
      <c r="AG256" s="419"/>
    </row>
    <row r="257" spans="17:33" x14ac:dyDescent="0.2">
      <c r="Q257" s="419"/>
      <c r="AG257" s="419"/>
    </row>
    <row r="258" spans="17:33" x14ac:dyDescent="0.2">
      <c r="Q258" s="419"/>
      <c r="AG258" s="419"/>
    </row>
    <row r="259" spans="17:33" x14ac:dyDescent="0.2">
      <c r="Q259" s="419"/>
      <c r="AG259" s="419"/>
    </row>
    <row r="260" spans="17:33" x14ac:dyDescent="0.2">
      <c r="Q260" s="419"/>
      <c r="AG260" s="419"/>
    </row>
    <row r="261" spans="17:33" x14ac:dyDescent="0.2">
      <c r="Q261" s="419"/>
      <c r="AG261" s="419"/>
    </row>
    <row r="262" spans="17:33" x14ac:dyDescent="0.2">
      <c r="Q262" s="419"/>
      <c r="AG262" s="419"/>
    </row>
    <row r="263" spans="17:33" x14ac:dyDescent="0.2">
      <c r="Q263" s="419"/>
      <c r="AG263" s="419"/>
    </row>
    <row r="264" spans="17:33" x14ac:dyDescent="0.2">
      <c r="Q264" s="419"/>
      <c r="AG264" s="419"/>
    </row>
    <row r="265" spans="17:33" x14ac:dyDescent="0.2">
      <c r="Q265" s="419"/>
      <c r="AG265" s="419"/>
    </row>
    <row r="266" spans="17:33" x14ac:dyDescent="0.2">
      <c r="Q266" s="419"/>
      <c r="AG266" s="419"/>
    </row>
    <row r="267" spans="17:33" x14ac:dyDescent="0.2">
      <c r="Q267" s="419"/>
      <c r="AG267" s="419"/>
    </row>
    <row r="268" spans="17:33" x14ac:dyDescent="0.2">
      <c r="Q268" s="419"/>
      <c r="AG268" s="419"/>
    </row>
    <row r="269" spans="17:33" x14ac:dyDescent="0.2">
      <c r="Q269" s="419"/>
      <c r="AG269" s="419"/>
    </row>
    <row r="270" spans="17:33" x14ac:dyDescent="0.2">
      <c r="Q270" s="419"/>
      <c r="AG270" s="419"/>
    </row>
    <row r="271" spans="17:33" x14ac:dyDescent="0.2">
      <c r="Q271" s="419"/>
      <c r="AG271" s="419"/>
    </row>
    <row r="272" spans="17:33" x14ac:dyDescent="0.2">
      <c r="Q272" s="419"/>
      <c r="AG272" s="419"/>
    </row>
    <row r="273" spans="17:33" x14ac:dyDescent="0.2">
      <c r="Q273" s="419"/>
      <c r="AG273" s="419"/>
    </row>
    <row r="274" spans="17:33" x14ac:dyDescent="0.2">
      <c r="Q274" s="419"/>
      <c r="AG274" s="419"/>
    </row>
    <row r="275" spans="17:33" x14ac:dyDescent="0.2">
      <c r="Q275" s="419"/>
      <c r="AG275" s="419"/>
    </row>
    <row r="276" spans="17:33" x14ac:dyDescent="0.2">
      <c r="Q276" s="419"/>
      <c r="AG276" s="419"/>
    </row>
    <row r="277" spans="17:33" x14ac:dyDescent="0.2">
      <c r="Q277" s="419"/>
      <c r="AG277" s="419"/>
    </row>
    <row r="278" spans="17:33" x14ac:dyDescent="0.2">
      <c r="Q278" s="419"/>
      <c r="AG278" s="419"/>
    </row>
    <row r="279" spans="17:33" x14ac:dyDescent="0.2">
      <c r="Q279" s="419"/>
      <c r="AG279" s="419"/>
    </row>
    <row r="280" spans="17:33" x14ac:dyDescent="0.2">
      <c r="Q280" s="419"/>
      <c r="AG280" s="419"/>
    </row>
    <row r="281" spans="17:33" x14ac:dyDescent="0.2">
      <c r="Q281" s="419"/>
      <c r="AG281" s="419"/>
    </row>
    <row r="282" spans="17:33" x14ac:dyDescent="0.2">
      <c r="Q282" s="419"/>
      <c r="AG282" s="419"/>
    </row>
    <row r="283" spans="17:33" x14ac:dyDescent="0.2">
      <c r="Q283" s="419"/>
      <c r="AG283" s="419"/>
    </row>
    <row r="284" spans="17:33" x14ac:dyDescent="0.2">
      <c r="Q284" s="419"/>
      <c r="AG284" s="419"/>
    </row>
    <row r="285" spans="17:33" x14ac:dyDescent="0.2">
      <c r="Q285" s="419"/>
      <c r="AG285" s="419"/>
    </row>
    <row r="286" spans="17:33" x14ac:dyDescent="0.2">
      <c r="Q286" s="419"/>
      <c r="AG286" s="419"/>
    </row>
    <row r="287" spans="17:33" x14ac:dyDescent="0.2">
      <c r="Q287" s="419"/>
      <c r="AG287" s="419"/>
    </row>
    <row r="288" spans="17:33" x14ac:dyDescent="0.2">
      <c r="Q288" s="419"/>
      <c r="AG288" s="419"/>
    </row>
    <row r="289" spans="17:33" x14ac:dyDescent="0.2">
      <c r="Q289" s="419"/>
      <c r="AG289" s="419"/>
    </row>
    <row r="290" spans="17:33" x14ac:dyDescent="0.2">
      <c r="Q290" s="419"/>
      <c r="AG290" s="419"/>
    </row>
    <row r="291" spans="17:33" x14ac:dyDescent="0.2">
      <c r="Q291" s="419"/>
      <c r="AG291" s="419"/>
    </row>
    <row r="292" spans="17:33" x14ac:dyDescent="0.2">
      <c r="Q292" s="419"/>
      <c r="AG292" s="419"/>
    </row>
    <row r="293" spans="17:33" x14ac:dyDescent="0.2">
      <c r="Q293" s="419"/>
      <c r="AG293" s="419"/>
    </row>
    <row r="294" spans="17:33" x14ac:dyDescent="0.2">
      <c r="Q294" s="419"/>
      <c r="AG294" s="419"/>
    </row>
    <row r="295" spans="17:33" x14ac:dyDescent="0.2">
      <c r="Q295" s="419"/>
      <c r="AG295" s="419"/>
    </row>
    <row r="296" spans="17:33" x14ac:dyDescent="0.2">
      <c r="Q296" s="419"/>
      <c r="AG296" s="419"/>
    </row>
    <row r="297" spans="17:33" x14ac:dyDescent="0.2">
      <c r="Q297" s="419"/>
      <c r="AG297" s="419"/>
    </row>
    <row r="298" spans="17:33" x14ac:dyDescent="0.2">
      <c r="Q298" s="419"/>
      <c r="AG298" s="419"/>
    </row>
    <row r="299" spans="17:33" x14ac:dyDescent="0.2">
      <c r="Q299" s="419"/>
      <c r="AG299" s="419"/>
    </row>
    <row r="300" spans="17:33" x14ac:dyDescent="0.2">
      <c r="Q300" s="419"/>
      <c r="AG300" s="419"/>
    </row>
    <row r="301" spans="17:33" x14ac:dyDescent="0.2">
      <c r="Q301" s="419"/>
      <c r="AG301" s="419"/>
    </row>
    <row r="302" spans="17:33" x14ac:dyDescent="0.2">
      <c r="Q302" s="419"/>
      <c r="AG302" s="419"/>
    </row>
    <row r="303" spans="17:33" x14ac:dyDescent="0.2">
      <c r="Q303" s="419"/>
      <c r="AG303" s="419"/>
    </row>
    <row r="304" spans="17:33" x14ac:dyDescent="0.2">
      <c r="Q304" s="419"/>
      <c r="AG304" s="419"/>
    </row>
    <row r="305" spans="17:33" x14ac:dyDescent="0.2">
      <c r="Q305" s="419"/>
      <c r="AG305" s="419"/>
    </row>
    <row r="306" spans="17:33" x14ac:dyDescent="0.2">
      <c r="Q306" s="419"/>
      <c r="AG306" s="419"/>
    </row>
    <row r="307" spans="17:33" x14ac:dyDescent="0.2">
      <c r="Q307" s="419"/>
      <c r="AG307" s="419"/>
    </row>
    <row r="308" spans="17:33" x14ac:dyDescent="0.2">
      <c r="Q308" s="419"/>
      <c r="AG308" s="419"/>
    </row>
    <row r="309" spans="17:33" x14ac:dyDescent="0.2">
      <c r="Q309" s="419"/>
      <c r="AG309" s="419"/>
    </row>
    <row r="310" spans="17:33" x14ac:dyDescent="0.2">
      <c r="Q310" s="419"/>
      <c r="AG310" s="419"/>
    </row>
    <row r="311" spans="17:33" x14ac:dyDescent="0.2">
      <c r="Q311" s="419"/>
      <c r="AG311" s="419"/>
    </row>
    <row r="312" spans="17:33" x14ac:dyDescent="0.2">
      <c r="Q312" s="419"/>
      <c r="AG312" s="419"/>
    </row>
    <row r="313" spans="17:33" x14ac:dyDescent="0.2">
      <c r="Q313" s="419"/>
      <c r="AG313" s="419"/>
    </row>
    <row r="314" spans="17:33" x14ac:dyDescent="0.2">
      <c r="Q314" s="419"/>
      <c r="AG314" s="419"/>
    </row>
    <row r="315" spans="17:33" x14ac:dyDescent="0.2">
      <c r="Q315" s="419"/>
      <c r="AG315" s="419"/>
    </row>
    <row r="316" spans="17:33" x14ac:dyDescent="0.2">
      <c r="Q316" s="419"/>
      <c r="AG316" s="419"/>
    </row>
    <row r="317" spans="17:33" x14ac:dyDescent="0.2">
      <c r="Q317" s="419"/>
      <c r="AG317" s="419"/>
    </row>
    <row r="318" spans="17:33" x14ac:dyDescent="0.2">
      <c r="Q318" s="419"/>
      <c r="AG318" s="419"/>
    </row>
    <row r="319" spans="17:33" x14ac:dyDescent="0.2">
      <c r="Q319" s="419"/>
      <c r="AG319" s="419"/>
    </row>
    <row r="320" spans="17:33" x14ac:dyDescent="0.2">
      <c r="Q320" s="419"/>
      <c r="AG320" s="419"/>
    </row>
    <row r="321" spans="17:33" x14ac:dyDescent="0.2">
      <c r="Q321" s="419"/>
      <c r="AG321" s="419"/>
    </row>
    <row r="322" spans="17:33" x14ac:dyDescent="0.2">
      <c r="Q322" s="419"/>
      <c r="AG322" s="419"/>
    </row>
    <row r="323" spans="17:33" x14ac:dyDescent="0.2">
      <c r="Q323" s="419"/>
      <c r="AG323" s="419"/>
    </row>
    <row r="324" spans="17:33" x14ac:dyDescent="0.2">
      <c r="Q324" s="419"/>
      <c r="AG324" s="419"/>
    </row>
    <row r="325" spans="17:33" x14ac:dyDescent="0.2">
      <c r="Q325" s="419"/>
      <c r="AG325" s="419"/>
    </row>
    <row r="326" spans="17:33" x14ac:dyDescent="0.2">
      <c r="Q326" s="419"/>
      <c r="AG326" s="419"/>
    </row>
    <row r="327" spans="17:33" x14ac:dyDescent="0.2">
      <c r="Q327" s="419"/>
      <c r="AG327" s="419"/>
    </row>
    <row r="328" spans="17:33" x14ac:dyDescent="0.2">
      <c r="Q328" s="419"/>
      <c r="AG328" s="419"/>
    </row>
    <row r="329" spans="17:33" x14ac:dyDescent="0.2">
      <c r="Q329" s="419"/>
      <c r="AG329" s="419"/>
    </row>
    <row r="330" spans="17:33" x14ac:dyDescent="0.2">
      <c r="Q330" s="419"/>
      <c r="AG330" s="419"/>
    </row>
    <row r="331" spans="17:33" x14ac:dyDescent="0.2">
      <c r="Q331" s="419"/>
      <c r="AG331" s="419"/>
    </row>
    <row r="332" spans="17:33" x14ac:dyDescent="0.2">
      <c r="Q332" s="419"/>
      <c r="AG332" s="419"/>
    </row>
    <row r="333" spans="17:33" x14ac:dyDescent="0.2">
      <c r="Q333" s="419"/>
      <c r="AG333" s="419"/>
    </row>
    <row r="334" spans="17:33" x14ac:dyDescent="0.2">
      <c r="Q334" s="419"/>
      <c r="AG334" s="419"/>
    </row>
    <row r="335" spans="17:33" x14ac:dyDescent="0.2">
      <c r="Q335" s="419"/>
      <c r="AG335" s="419"/>
    </row>
    <row r="336" spans="17:33" x14ac:dyDescent="0.2">
      <c r="Q336" s="419"/>
      <c r="AG336" s="419"/>
    </row>
    <row r="337" spans="17:33" x14ac:dyDescent="0.2">
      <c r="Q337" s="419"/>
      <c r="AG337" s="419"/>
    </row>
    <row r="338" spans="17:33" x14ac:dyDescent="0.2">
      <c r="Q338" s="419"/>
      <c r="AG338" s="419"/>
    </row>
    <row r="339" spans="17:33" x14ac:dyDescent="0.2">
      <c r="Q339" s="419"/>
      <c r="AG339" s="419"/>
    </row>
    <row r="340" spans="17:33" x14ac:dyDescent="0.2">
      <c r="Q340" s="419"/>
      <c r="AG340" s="419"/>
    </row>
    <row r="341" spans="17:33" x14ac:dyDescent="0.2">
      <c r="Q341" s="419"/>
      <c r="AG341" s="419"/>
    </row>
    <row r="342" spans="17:33" x14ac:dyDescent="0.2">
      <c r="Q342" s="419"/>
      <c r="AG342" s="419"/>
    </row>
    <row r="343" spans="17:33" x14ac:dyDescent="0.2">
      <c r="Q343" s="419"/>
      <c r="AG343" s="419"/>
    </row>
    <row r="344" spans="17:33" x14ac:dyDescent="0.2">
      <c r="Q344" s="419"/>
      <c r="AG344" s="419"/>
    </row>
    <row r="345" spans="17:33" x14ac:dyDescent="0.2">
      <c r="Q345" s="419"/>
      <c r="AG345" s="419"/>
    </row>
    <row r="346" spans="17:33" x14ac:dyDescent="0.2">
      <c r="Q346" s="419"/>
      <c r="AG346" s="419"/>
    </row>
    <row r="347" spans="17:33" x14ac:dyDescent="0.2">
      <c r="Q347" s="419"/>
      <c r="AG347" s="419"/>
    </row>
    <row r="348" spans="17:33" x14ac:dyDescent="0.2">
      <c r="Q348" s="419"/>
      <c r="AG348" s="419"/>
    </row>
    <row r="349" spans="17:33" x14ac:dyDescent="0.2">
      <c r="Q349" s="419"/>
      <c r="AG349" s="419"/>
    </row>
    <row r="350" spans="17:33" x14ac:dyDescent="0.2">
      <c r="Q350" s="419"/>
      <c r="AG350" s="419"/>
    </row>
    <row r="351" spans="17:33" x14ac:dyDescent="0.2">
      <c r="Q351" s="419"/>
      <c r="AG351" s="419"/>
    </row>
    <row r="352" spans="17:33" x14ac:dyDescent="0.2">
      <c r="Q352" s="419"/>
      <c r="AG352" s="419"/>
    </row>
    <row r="353" spans="17:33" x14ac:dyDescent="0.2">
      <c r="Q353" s="419"/>
      <c r="AG353" s="419"/>
    </row>
    <row r="354" spans="17:33" x14ac:dyDescent="0.2">
      <c r="Q354" s="419"/>
      <c r="AG354" s="419"/>
    </row>
    <row r="355" spans="17:33" x14ac:dyDescent="0.2">
      <c r="Q355" s="419"/>
      <c r="AG355" s="419"/>
    </row>
    <row r="356" spans="17:33" x14ac:dyDescent="0.2">
      <c r="Q356" s="419"/>
      <c r="AG356" s="419"/>
    </row>
    <row r="357" spans="17:33" x14ac:dyDescent="0.2">
      <c r="Q357" s="419"/>
      <c r="AG357" s="419"/>
    </row>
    <row r="358" spans="17:33" x14ac:dyDescent="0.2">
      <c r="Q358" s="419"/>
      <c r="AG358" s="419"/>
    </row>
    <row r="359" spans="17:33" x14ac:dyDescent="0.2">
      <c r="Q359" s="419"/>
      <c r="AG359" s="419"/>
    </row>
    <row r="360" spans="17:33" x14ac:dyDescent="0.2">
      <c r="Q360" s="419"/>
      <c r="AG360" s="419"/>
    </row>
    <row r="361" spans="17:33" x14ac:dyDescent="0.2">
      <c r="Q361" s="419"/>
      <c r="AG361" s="419"/>
    </row>
    <row r="362" spans="17:33" x14ac:dyDescent="0.2">
      <c r="Q362" s="419"/>
      <c r="AG362" s="419"/>
    </row>
    <row r="363" spans="17:33" x14ac:dyDescent="0.2">
      <c r="Q363" s="419"/>
      <c r="AG363" s="419"/>
    </row>
    <row r="364" spans="17:33" x14ac:dyDescent="0.2">
      <c r="Q364" s="419"/>
      <c r="AG364" s="419"/>
    </row>
    <row r="365" spans="17:33" x14ac:dyDescent="0.2">
      <c r="Q365" s="419"/>
      <c r="AG365" s="419"/>
    </row>
    <row r="366" spans="17:33" x14ac:dyDescent="0.2">
      <c r="Q366" s="419"/>
      <c r="AG366" s="419"/>
    </row>
    <row r="367" spans="17:33" x14ac:dyDescent="0.2">
      <c r="Q367" s="419"/>
      <c r="AG367" s="419"/>
    </row>
    <row r="368" spans="17:33" x14ac:dyDescent="0.2">
      <c r="Q368" s="419"/>
      <c r="AG368" s="419"/>
    </row>
    <row r="369" spans="17:33" x14ac:dyDescent="0.2">
      <c r="Q369" s="419"/>
      <c r="AG369" s="419"/>
    </row>
    <row r="370" spans="17:33" x14ac:dyDescent="0.2">
      <c r="Q370" s="419"/>
      <c r="AG370" s="419"/>
    </row>
    <row r="371" spans="17:33" x14ac:dyDescent="0.2">
      <c r="Q371" s="419"/>
      <c r="AG371" s="419"/>
    </row>
    <row r="372" spans="17:33" x14ac:dyDescent="0.2">
      <c r="Q372" s="419"/>
      <c r="AG372" s="419"/>
    </row>
    <row r="373" spans="17:33" x14ac:dyDescent="0.2">
      <c r="Q373" s="419"/>
      <c r="AG373" s="419"/>
    </row>
    <row r="374" spans="17:33" x14ac:dyDescent="0.2">
      <c r="Q374" s="419"/>
      <c r="AG374" s="419"/>
    </row>
    <row r="375" spans="17:33" x14ac:dyDescent="0.2">
      <c r="Q375" s="419"/>
      <c r="AG375" s="419"/>
    </row>
    <row r="376" spans="17:33" x14ac:dyDescent="0.2">
      <c r="Q376" s="419"/>
      <c r="AG376" s="419"/>
    </row>
    <row r="377" spans="17:33" x14ac:dyDescent="0.2">
      <c r="Q377" s="419"/>
      <c r="AG377" s="419"/>
    </row>
    <row r="378" spans="17:33" x14ac:dyDescent="0.2">
      <c r="Q378" s="419"/>
      <c r="AG378" s="419"/>
    </row>
    <row r="379" spans="17:33" x14ac:dyDescent="0.2">
      <c r="Q379" s="419"/>
      <c r="AG379" s="419"/>
    </row>
    <row r="380" spans="17:33" x14ac:dyDescent="0.2">
      <c r="Q380" s="419"/>
      <c r="AG380" s="419"/>
    </row>
    <row r="381" spans="17:33" x14ac:dyDescent="0.2">
      <c r="Q381" s="419"/>
      <c r="AG381" s="419"/>
    </row>
    <row r="382" spans="17:33" x14ac:dyDescent="0.2">
      <c r="Q382" s="419"/>
      <c r="AG382" s="419"/>
    </row>
    <row r="383" spans="17:33" x14ac:dyDescent="0.2">
      <c r="Q383" s="419"/>
      <c r="AG383" s="419"/>
    </row>
    <row r="384" spans="17:33" x14ac:dyDescent="0.2">
      <c r="Q384" s="419"/>
      <c r="AG384" s="419"/>
    </row>
    <row r="385" spans="17:33" x14ac:dyDescent="0.2">
      <c r="Q385" s="419"/>
      <c r="AG385" s="419"/>
    </row>
    <row r="386" spans="17:33" x14ac:dyDescent="0.2">
      <c r="Q386" s="419"/>
      <c r="AG386" s="419"/>
    </row>
    <row r="387" spans="17:33" x14ac:dyDescent="0.2">
      <c r="Q387" s="419"/>
      <c r="AG387" s="419"/>
    </row>
    <row r="388" spans="17:33" x14ac:dyDescent="0.2">
      <c r="Q388" s="419"/>
      <c r="AG388" s="419"/>
    </row>
    <row r="389" spans="17:33" x14ac:dyDescent="0.2">
      <c r="Q389" s="419"/>
      <c r="AG389" s="419"/>
    </row>
    <row r="390" spans="17:33" x14ac:dyDescent="0.2">
      <c r="Q390" s="419"/>
      <c r="AG390" s="419"/>
    </row>
    <row r="391" spans="17:33" x14ac:dyDescent="0.2">
      <c r="Q391" s="419"/>
      <c r="AG391" s="419"/>
    </row>
    <row r="392" spans="17:33" x14ac:dyDescent="0.2">
      <c r="Q392" s="419"/>
      <c r="AG392" s="419"/>
    </row>
    <row r="393" spans="17:33" x14ac:dyDescent="0.2">
      <c r="Q393" s="419"/>
      <c r="AG393" s="419"/>
    </row>
    <row r="394" spans="17:33" x14ac:dyDescent="0.2">
      <c r="Q394" s="419"/>
      <c r="AG394" s="419"/>
    </row>
    <row r="395" spans="17:33" x14ac:dyDescent="0.2">
      <c r="Q395" s="419"/>
      <c r="AG395" s="419"/>
    </row>
    <row r="396" spans="17:33" x14ac:dyDescent="0.2">
      <c r="Q396" s="419"/>
      <c r="AG396" s="419"/>
    </row>
    <row r="397" spans="17:33" x14ac:dyDescent="0.2">
      <c r="Q397" s="419"/>
      <c r="AG397" s="419"/>
    </row>
    <row r="398" spans="17:33" x14ac:dyDescent="0.2">
      <c r="Q398" s="419"/>
      <c r="AG398" s="419"/>
    </row>
    <row r="399" spans="17:33" x14ac:dyDescent="0.2">
      <c r="Q399" s="419"/>
      <c r="AG399" s="419"/>
    </row>
    <row r="400" spans="17:33" x14ac:dyDescent="0.2">
      <c r="Q400" s="419"/>
      <c r="AG400" s="419"/>
    </row>
    <row r="401" spans="17:33" x14ac:dyDescent="0.2">
      <c r="Q401" s="419"/>
      <c r="AG401" s="419"/>
    </row>
    <row r="402" spans="17:33" x14ac:dyDescent="0.2">
      <c r="Q402" s="419"/>
      <c r="AG402" s="419"/>
    </row>
    <row r="403" spans="17:33" x14ac:dyDescent="0.2">
      <c r="Q403" s="419"/>
      <c r="AG403" s="419"/>
    </row>
    <row r="404" spans="17:33" x14ac:dyDescent="0.2">
      <c r="Q404" s="419"/>
      <c r="AG404" s="419"/>
    </row>
    <row r="405" spans="17:33" x14ac:dyDescent="0.2">
      <c r="Q405" s="419"/>
      <c r="AG405" s="419"/>
    </row>
    <row r="406" spans="17:33" x14ac:dyDescent="0.2">
      <c r="Q406" s="419"/>
      <c r="AG406" s="419"/>
    </row>
    <row r="407" spans="17:33" x14ac:dyDescent="0.2">
      <c r="Q407" s="419"/>
      <c r="AG407" s="419"/>
    </row>
    <row r="408" spans="17:33" x14ac:dyDescent="0.2">
      <c r="Q408" s="419"/>
      <c r="AG408" s="419"/>
    </row>
    <row r="409" spans="17:33" x14ac:dyDescent="0.2">
      <c r="Q409" s="419"/>
      <c r="AG409" s="419"/>
    </row>
    <row r="410" spans="17:33" x14ac:dyDescent="0.2">
      <c r="Q410" s="419"/>
      <c r="AG410" s="419"/>
    </row>
    <row r="411" spans="17:33" x14ac:dyDescent="0.2">
      <c r="Q411" s="419"/>
      <c r="AG411" s="419"/>
    </row>
    <row r="412" spans="17:33" x14ac:dyDescent="0.2">
      <c r="Q412" s="419"/>
      <c r="AG412" s="419"/>
    </row>
    <row r="413" spans="17:33" x14ac:dyDescent="0.2">
      <c r="Q413" s="419"/>
      <c r="AG413" s="419"/>
    </row>
    <row r="414" spans="17:33" x14ac:dyDescent="0.2">
      <c r="Q414" s="419"/>
      <c r="AG414" s="419"/>
    </row>
    <row r="415" spans="17:33" x14ac:dyDescent="0.2">
      <c r="Q415" s="419"/>
      <c r="AG415" s="419"/>
    </row>
    <row r="416" spans="17:33" x14ac:dyDescent="0.2">
      <c r="Q416" s="419"/>
      <c r="AG416" s="419"/>
    </row>
    <row r="417" spans="17:33" x14ac:dyDescent="0.2">
      <c r="Q417" s="419"/>
      <c r="AG417" s="419"/>
    </row>
    <row r="418" spans="17:33" x14ac:dyDescent="0.2">
      <c r="Q418" s="419"/>
      <c r="AG418" s="419"/>
    </row>
    <row r="419" spans="17:33" x14ac:dyDescent="0.2">
      <c r="Q419" s="419"/>
      <c r="AG419" s="419"/>
    </row>
    <row r="420" spans="17:33" x14ac:dyDescent="0.2">
      <c r="Q420" s="419"/>
      <c r="AG420" s="419"/>
    </row>
    <row r="421" spans="17:33" x14ac:dyDescent="0.2">
      <c r="Q421" s="419"/>
      <c r="AG421" s="419"/>
    </row>
    <row r="422" spans="17:33" x14ac:dyDescent="0.2">
      <c r="Q422" s="419"/>
      <c r="AG422" s="419"/>
    </row>
    <row r="423" spans="17:33" x14ac:dyDescent="0.2">
      <c r="Q423" s="419"/>
      <c r="AG423" s="419"/>
    </row>
    <row r="424" spans="17:33" x14ac:dyDescent="0.2">
      <c r="Q424" s="419"/>
      <c r="AG424" s="419"/>
    </row>
    <row r="425" spans="17:33" x14ac:dyDescent="0.2">
      <c r="Q425" s="419"/>
      <c r="AG425" s="419"/>
    </row>
    <row r="426" spans="17:33" x14ac:dyDescent="0.2">
      <c r="Q426" s="419"/>
      <c r="AG426" s="419"/>
    </row>
    <row r="427" spans="17:33" x14ac:dyDescent="0.2">
      <c r="Q427" s="419"/>
      <c r="AG427" s="419"/>
    </row>
    <row r="428" spans="17:33" x14ac:dyDescent="0.2">
      <c r="Q428" s="419"/>
      <c r="AG428" s="419"/>
    </row>
    <row r="429" spans="17:33" x14ac:dyDescent="0.2">
      <c r="Q429" s="419"/>
      <c r="AG429" s="419"/>
    </row>
    <row r="430" spans="17:33" x14ac:dyDescent="0.2">
      <c r="Q430" s="419"/>
      <c r="AG430" s="419"/>
    </row>
    <row r="431" spans="17:33" x14ac:dyDescent="0.2">
      <c r="Q431" s="419"/>
      <c r="AG431" s="419"/>
    </row>
    <row r="432" spans="17:33" x14ac:dyDescent="0.2">
      <c r="Q432" s="419"/>
      <c r="AG432" s="419"/>
    </row>
    <row r="433" spans="17:33" x14ac:dyDescent="0.2">
      <c r="Q433" s="419"/>
      <c r="AG433" s="419"/>
    </row>
    <row r="434" spans="17:33" x14ac:dyDescent="0.2">
      <c r="Q434" s="419"/>
      <c r="AG434" s="419"/>
    </row>
    <row r="435" spans="17:33" x14ac:dyDescent="0.2">
      <c r="Q435" s="419"/>
      <c r="AG435" s="419"/>
    </row>
    <row r="436" spans="17:33" x14ac:dyDescent="0.2">
      <c r="Q436" s="419"/>
      <c r="AG436" s="419"/>
    </row>
    <row r="437" spans="17:33" x14ac:dyDescent="0.2">
      <c r="Q437" s="419"/>
      <c r="AG437" s="419"/>
    </row>
    <row r="438" spans="17:33" x14ac:dyDescent="0.2">
      <c r="Q438" s="419"/>
      <c r="AG438" s="419"/>
    </row>
    <row r="439" spans="17:33" x14ac:dyDescent="0.2">
      <c r="Q439" s="419"/>
      <c r="AG439" s="419"/>
    </row>
    <row r="440" spans="17:33" x14ac:dyDescent="0.2">
      <c r="Q440" s="419"/>
      <c r="AG440" s="419"/>
    </row>
    <row r="441" spans="17:33" x14ac:dyDescent="0.2">
      <c r="Q441" s="419"/>
      <c r="AG441" s="419"/>
    </row>
    <row r="442" spans="17:33" x14ac:dyDescent="0.2">
      <c r="Q442" s="419"/>
      <c r="AG442" s="419"/>
    </row>
    <row r="443" spans="17:33" x14ac:dyDescent="0.2">
      <c r="Q443" s="419"/>
      <c r="AG443" s="419"/>
    </row>
    <row r="444" spans="17:33" x14ac:dyDescent="0.2">
      <c r="Q444" s="419"/>
      <c r="AG444" s="419"/>
    </row>
    <row r="445" spans="17:33" x14ac:dyDescent="0.2">
      <c r="Q445" s="419"/>
      <c r="AG445" s="419"/>
    </row>
    <row r="446" spans="17:33" x14ac:dyDescent="0.2">
      <c r="Q446" s="419"/>
      <c r="AG446" s="419"/>
    </row>
    <row r="447" spans="17:33" x14ac:dyDescent="0.2">
      <c r="Q447" s="419"/>
      <c r="AG447" s="419"/>
    </row>
    <row r="448" spans="17:33" x14ac:dyDescent="0.2">
      <c r="Q448" s="419"/>
      <c r="AG448" s="419"/>
    </row>
    <row r="449" spans="17:33" x14ac:dyDescent="0.2">
      <c r="Q449" s="419"/>
      <c r="AG449" s="419"/>
    </row>
    <row r="450" spans="17:33" x14ac:dyDescent="0.2">
      <c r="Q450" s="419"/>
      <c r="AG450" s="419"/>
    </row>
    <row r="451" spans="17:33" x14ac:dyDescent="0.2">
      <c r="Q451" s="419"/>
      <c r="AG451" s="419"/>
    </row>
    <row r="452" spans="17:33" x14ac:dyDescent="0.2">
      <c r="Q452" s="419"/>
      <c r="AG452" s="419"/>
    </row>
    <row r="453" spans="17:33" x14ac:dyDescent="0.2">
      <c r="Q453" s="419"/>
      <c r="AG453" s="419"/>
    </row>
    <row r="454" spans="17:33" x14ac:dyDescent="0.2">
      <c r="Q454" s="419"/>
      <c r="AG454" s="419"/>
    </row>
    <row r="455" spans="17:33" x14ac:dyDescent="0.2">
      <c r="Q455" s="419"/>
      <c r="AG455" s="419"/>
    </row>
    <row r="456" spans="17:33" x14ac:dyDescent="0.2">
      <c r="Q456" s="419"/>
      <c r="AG456" s="419"/>
    </row>
    <row r="457" spans="17:33" x14ac:dyDescent="0.2">
      <c r="Q457" s="419"/>
      <c r="AG457" s="419"/>
    </row>
    <row r="458" spans="17:33" x14ac:dyDescent="0.2">
      <c r="Q458" s="419"/>
      <c r="AG458" s="419"/>
    </row>
    <row r="459" spans="17:33" x14ac:dyDescent="0.2">
      <c r="Q459" s="419"/>
      <c r="AG459" s="419"/>
    </row>
    <row r="460" spans="17:33" x14ac:dyDescent="0.2">
      <c r="Q460" s="419"/>
      <c r="AG460" s="419"/>
    </row>
    <row r="461" spans="17:33" x14ac:dyDescent="0.2">
      <c r="Q461" s="419"/>
      <c r="AG461" s="419"/>
    </row>
    <row r="462" spans="17:33" x14ac:dyDescent="0.2">
      <c r="Q462" s="419"/>
      <c r="AG462" s="419"/>
    </row>
    <row r="463" spans="17:33" x14ac:dyDescent="0.2">
      <c r="Q463" s="419"/>
      <c r="AG463" s="419"/>
    </row>
    <row r="464" spans="17:33" x14ac:dyDescent="0.2">
      <c r="Q464" s="419"/>
      <c r="AG464" s="419"/>
    </row>
    <row r="465" spans="17:33" x14ac:dyDescent="0.2">
      <c r="Q465" s="419"/>
      <c r="AG465" s="419"/>
    </row>
    <row r="466" spans="17:33" x14ac:dyDescent="0.2">
      <c r="Q466" s="419"/>
      <c r="AG466" s="419"/>
    </row>
    <row r="467" spans="17:33" x14ac:dyDescent="0.2">
      <c r="Q467" s="419"/>
      <c r="AG467" s="419"/>
    </row>
    <row r="468" spans="17:33" x14ac:dyDescent="0.2">
      <c r="Q468" s="419"/>
      <c r="AG468" s="419"/>
    </row>
    <row r="469" spans="17:33" x14ac:dyDescent="0.2">
      <c r="Q469" s="419"/>
      <c r="AG469" s="419"/>
    </row>
    <row r="470" spans="17:33" x14ac:dyDescent="0.2">
      <c r="Q470" s="419"/>
      <c r="AG470" s="419"/>
    </row>
    <row r="471" spans="17:33" x14ac:dyDescent="0.2">
      <c r="Q471" s="419"/>
      <c r="AG471" s="419"/>
    </row>
    <row r="472" spans="17:33" x14ac:dyDescent="0.2">
      <c r="Q472" s="419"/>
      <c r="AG472" s="419"/>
    </row>
    <row r="473" spans="17:33" x14ac:dyDescent="0.2">
      <c r="Q473" s="419"/>
      <c r="AG473" s="419"/>
    </row>
    <row r="474" spans="17:33" x14ac:dyDescent="0.2">
      <c r="Q474" s="419"/>
      <c r="AG474" s="419"/>
    </row>
    <row r="475" spans="17:33" x14ac:dyDescent="0.2">
      <c r="Q475" s="419"/>
      <c r="AG475" s="419"/>
    </row>
    <row r="476" spans="17:33" x14ac:dyDescent="0.2">
      <c r="Q476" s="419"/>
      <c r="AG476" s="419"/>
    </row>
    <row r="477" spans="17:33" x14ac:dyDescent="0.2">
      <c r="Q477" s="419"/>
      <c r="AG477" s="419"/>
    </row>
    <row r="478" spans="17:33" x14ac:dyDescent="0.2">
      <c r="Q478" s="419"/>
      <c r="AG478" s="419"/>
    </row>
    <row r="479" spans="17:33" x14ac:dyDescent="0.2">
      <c r="Q479" s="419"/>
      <c r="AG479" s="419"/>
    </row>
    <row r="480" spans="17:33" x14ac:dyDescent="0.2">
      <c r="Q480" s="419"/>
      <c r="AG480" s="419"/>
    </row>
    <row r="481" spans="17:33" x14ac:dyDescent="0.2">
      <c r="Q481" s="419"/>
      <c r="AG481" s="419"/>
    </row>
    <row r="482" spans="17:33" x14ac:dyDescent="0.2">
      <c r="Q482" s="419"/>
      <c r="AG482" s="419"/>
    </row>
    <row r="483" spans="17:33" x14ac:dyDescent="0.2">
      <c r="Q483" s="419"/>
      <c r="AG483" s="419"/>
    </row>
    <row r="484" spans="17:33" x14ac:dyDescent="0.2">
      <c r="Q484" s="419"/>
      <c r="AG484" s="419"/>
    </row>
    <row r="485" spans="17:33" x14ac:dyDescent="0.2">
      <c r="Q485" s="419"/>
      <c r="AG485" s="419"/>
    </row>
    <row r="486" spans="17:33" x14ac:dyDescent="0.2">
      <c r="Q486" s="419"/>
      <c r="AG486" s="419"/>
    </row>
    <row r="487" spans="17:33" x14ac:dyDescent="0.2">
      <c r="Q487" s="419"/>
      <c r="AG487" s="419"/>
    </row>
    <row r="488" spans="17:33" x14ac:dyDescent="0.2">
      <c r="Q488" s="419"/>
      <c r="AG488" s="419"/>
    </row>
    <row r="489" spans="17:33" x14ac:dyDescent="0.2">
      <c r="Q489" s="419"/>
      <c r="AG489" s="419"/>
    </row>
    <row r="490" spans="17:33" x14ac:dyDescent="0.2">
      <c r="Q490" s="419"/>
      <c r="AG490" s="419"/>
    </row>
    <row r="491" spans="17:33" x14ac:dyDescent="0.2">
      <c r="Q491" s="419"/>
      <c r="AG491" s="419"/>
    </row>
    <row r="492" spans="17:33" x14ac:dyDescent="0.2">
      <c r="Q492" s="419"/>
      <c r="AG492" s="419"/>
    </row>
    <row r="493" spans="17:33" x14ac:dyDescent="0.2">
      <c r="Q493" s="419"/>
      <c r="AG493" s="419"/>
    </row>
    <row r="494" spans="17:33" x14ac:dyDescent="0.2">
      <c r="Q494" s="419"/>
      <c r="AG494" s="419"/>
    </row>
    <row r="495" spans="17:33" x14ac:dyDescent="0.2">
      <c r="Q495" s="419"/>
      <c r="AG495" s="419"/>
    </row>
    <row r="496" spans="17:33" x14ac:dyDescent="0.2">
      <c r="Q496" s="419"/>
      <c r="AG496" s="419"/>
    </row>
    <row r="497" spans="17:33" x14ac:dyDescent="0.2">
      <c r="Q497" s="419"/>
      <c r="AG497" s="419"/>
    </row>
    <row r="498" spans="17:33" x14ac:dyDescent="0.2">
      <c r="Q498" s="419"/>
      <c r="AG498" s="419"/>
    </row>
    <row r="499" spans="17:33" x14ac:dyDescent="0.2">
      <c r="Q499" s="419"/>
      <c r="AG499" s="419"/>
    </row>
    <row r="500" spans="17:33" x14ac:dyDescent="0.2">
      <c r="Q500" s="419"/>
      <c r="AG500" s="419"/>
    </row>
    <row r="501" spans="17:33" x14ac:dyDescent="0.2">
      <c r="Q501" s="419"/>
      <c r="AG501" s="419"/>
    </row>
    <row r="502" spans="17:33" x14ac:dyDescent="0.2">
      <c r="Q502" s="419"/>
      <c r="AG502" s="419"/>
    </row>
    <row r="503" spans="17:33" x14ac:dyDescent="0.2">
      <c r="Q503" s="419"/>
      <c r="AG503" s="419"/>
    </row>
    <row r="504" spans="17:33" x14ac:dyDescent="0.2">
      <c r="Q504" s="419"/>
      <c r="AG504" s="419"/>
    </row>
    <row r="505" spans="17:33" x14ac:dyDescent="0.2">
      <c r="Q505" s="419"/>
      <c r="AG505" s="419"/>
    </row>
    <row r="506" spans="17:33" x14ac:dyDescent="0.2">
      <c r="Q506" s="419"/>
      <c r="AG506" s="419"/>
    </row>
    <row r="507" spans="17:33" x14ac:dyDescent="0.2">
      <c r="Q507" s="419"/>
      <c r="AG507" s="419"/>
    </row>
    <row r="508" spans="17:33" x14ac:dyDescent="0.2">
      <c r="Q508" s="419"/>
      <c r="AG508" s="419"/>
    </row>
    <row r="509" spans="17:33" x14ac:dyDescent="0.2">
      <c r="Q509" s="419"/>
      <c r="AG509" s="419"/>
    </row>
    <row r="510" spans="17:33" x14ac:dyDescent="0.2">
      <c r="Q510" s="419"/>
      <c r="AG510" s="419"/>
    </row>
    <row r="511" spans="17:33" x14ac:dyDescent="0.2">
      <c r="Q511" s="419"/>
      <c r="AG511" s="419"/>
    </row>
    <row r="512" spans="17:33" x14ac:dyDescent="0.2">
      <c r="Q512" s="419"/>
      <c r="AG512" s="419"/>
    </row>
    <row r="513" spans="17:33" x14ac:dyDescent="0.2">
      <c r="Q513" s="419"/>
      <c r="AG513" s="419"/>
    </row>
    <row r="514" spans="17:33" x14ac:dyDescent="0.2">
      <c r="Q514" s="419"/>
      <c r="AG514" s="419"/>
    </row>
    <row r="515" spans="17:33" x14ac:dyDescent="0.2">
      <c r="Q515" s="419"/>
      <c r="AG515" s="419"/>
    </row>
    <row r="516" spans="17:33" x14ac:dyDescent="0.2">
      <c r="Q516" s="419"/>
      <c r="AG516" s="419"/>
    </row>
    <row r="517" spans="17:33" x14ac:dyDescent="0.2">
      <c r="Q517" s="419"/>
      <c r="AG517" s="419"/>
    </row>
    <row r="518" spans="17:33" x14ac:dyDescent="0.2">
      <c r="Q518" s="419"/>
      <c r="AG518" s="419"/>
    </row>
    <row r="519" spans="17:33" x14ac:dyDescent="0.2">
      <c r="Q519" s="419"/>
      <c r="AG519" s="419"/>
    </row>
    <row r="520" spans="17:33" x14ac:dyDescent="0.2">
      <c r="Q520" s="419"/>
      <c r="AG520" s="419"/>
    </row>
    <row r="521" spans="17:33" x14ac:dyDescent="0.2">
      <c r="Q521" s="419"/>
      <c r="AG521" s="419"/>
    </row>
    <row r="522" spans="17:33" x14ac:dyDescent="0.2">
      <c r="Q522" s="419"/>
      <c r="AG522" s="419"/>
    </row>
    <row r="523" spans="17:33" x14ac:dyDescent="0.2">
      <c r="Q523" s="419"/>
      <c r="AG523" s="419"/>
    </row>
    <row r="524" spans="17:33" x14ac:dyDescent="0.2">
      <c r="Q524" s="419"/>
      <c r="AG524" s="419"/>
    </row>
    <row r="525" spans="17:33" x14ac:dyDescent="0.2">
      <c r="Q525" s="419"/>
      <c r="AG525" s="419"/>
    </row>
    <row r="526" spans="17:33" x14ac:dyDescent="0.2">
      <c r="Q526" s="419"/>
      <c r="AG526" s="419"/>
    </row>
    <row r="527" spans="17:33" x14ac:dyDescent="0.2">
      <c r="Q527" s="419"/>
      <c r="AG527" s="419"/>
    </row>
    <row r="528" spans="17:33" x14ac:dyDescent="0.2">
      <c r="Q528" s="419"/>
      <c r="AG528" s="419"/>
    </row>
    <row r="529" spans="17:33" x14ac:dyDescent="0.2">
      <c r="Q529" s="419"/>
      <c r="AG529" s="419"/>
    </row>
    <row r="530" spans="17:33" x14ac:dyDescent="0.2">
      <c r="Q530" s="419"/>
      <c r="AG530" s="419"/>
    </row>
    <row r="531" spans="17:33" x14ac:dyDescent="0.2">
      <c r="Q531" s="419"/>
      <c r="AG531" s="419"/>
    </row>
    <row r="532" spans="17:33" x14ac:dyDescent="0.2">
      <c r="Q532" s="419"/>
      <c r="AG532" s="419"/>
    </row>
    <row r="533" spans="17:33" x14ac:dyDescent="0.2">
      <c r="Q533" s="419"/>
      <c r="AG533" s="419"/>
    </row>
    <row r="534" spans="17:33" x14ac:dyDescent="0.2">
      <c r="Q534" s="419"/>
      <c r="AG534" s="419"/>
    </row>
    <row r="535" spans="17:33" x14ac:dyDescent="0.2">
      <c r="AG535" s="419"/>
    </row>
    <row r="536" spans="17:33" x14ac:dyDescent="0.2">
      <c r="AG536" s="419"/>
    </row>
    <row r="537" spans="17:33" x14ac:dyDescent="0.2">
      <c r="AG537" s="419"/>
    </row>
    <row r="538" spans="17:33" x14ac:dyDescent="0.2">
      <c r="AG538" s="419"/>
    </row>
    <row r="539" spans="17:33" x14ac:dyDescent="0.2">
      <c r="AG539" s="419"/>
    </row>
    <row r="540" spans="17:33" x14ac:dyDescent="0.2">
      <c r="AG540" s="419"/>
    </row>
    <row r="541" spans="17:33" x14ac:dyDescent="0.2">
      <c r="AG541" s="419"/>
    </row>
    <row r="542" spans="17:33" x14ac:dyDescent="0.2">
      <c r="AG542" s="419"/>
    </row>
    <row r="543" spans="17:33" x14ac:dyDescent="0.2">
      <c r="AG543" s="419"/>
    </row>
    <row r="544" spans="17:33" x14ac:dyDescent="0.2">
      <c r="AG544" s="419"/>
    </row>
    <row r="545" spans="33:33" x14ac:dyDescent="0.2">
      <c r="AG545" s="419"/>
    </row>
    <row r="546" spans="33:33" x14ac:dyDescent="0.2">
      <c r="AG546" s="419"/>
    </row>
    <row r="547" spans="33:33" x14ac:dyDescent="0.2">
      <c r="AG547" s="419"/>
    </row>
    <row r="548" spans="33:33" x14ac:dyDescent="0.2">
      <c r="AG548" s="419"/>
    </row>
    <row r="549" spans="33:33" x14ac:dyDescent="0.2">
      <c r="AG549" s="419"/>
    </row>
    <row r="550" spans="33:33" x14ac:dyDescent="0.2">
      <c r="AG550" s="419"/>
    </row>
    <row r="551" spans="33:33" x14ac:dyDescent="0.2">
      <c r="AG551" s="419"/>
    </row>
    <row r="552" spans="33:33" x14ac:dyDescent="0.2">
      <c r="AG552" s="419"/>
    </row>
    <row r="553" spans="33:33" x14ac:dyDescent="0.2">
      <c r="AG553" s="419"/>
    </row>
    <row r="554" spans="33:33" x14ac:dyDescent="0.2">
      <c r="AG554" s="419"/>
    </row>
    <row r="555" spans="33:33" x14ac:dyDescent="0.2">
      <c r="AG555" s="419"/>
    </row>
    <row r="556" spans="33:33" x14ac:dyDescent="0.2">
      <c r="AG556" s="419"/>
    </row>
    <row r="557" spans="33:33" x14ac:dyDescent="0.2">
      <c r="AG557" s="419"/>
    </row>
    <row r="558" spans="33:33" x14ac:dyDescent="0.2">
      <c r="AG558" s="419"/>
    </row>
    <row r="559" spans="33:33" x14ac:dyDescent="0.2">
      <c r="AG559" s="419"/>
    </row>
    <row r="560" spans="33:33" x14ac:dyDescent="0.2">
      <c r="AG560" s="419"/>
    </row>
    <row r="561" spans="33:33" x14ac:dyDescent="0.2">
      <c r="AG561" s="419"/>
    </row>
    <row r="562" spans="33:33" x14ac:dyDescent="0.2">
      <c r="AG562" s="419"/>
    </row>
    <row r="563" spans="33:33" x14ac:dyDescent="0.2">
      <c r="AG563" s="419"/>
    </row>
    <row r="564" spans="33:33" x14ac:dyDescent="0.2">
      <c r="AG564" s="419"/>
    </row>
    <row r="565" spans="33:33" x14ac:dyDescent="0.2">
      <c r="AG565" s="419"/>
    </row>
    <row r="566" spans="33:33" x14ac:dyDescent="0.2">
      <c r="AG566" s="419"/>
    </row>
    <row r="567" spans="33:33" x14ac:dyDescent="0.2">
      <c r="AG567" s="419"/>
    </row>
    <row r="568" spans="33:33" x14ac:dyDescent="0.2">
      <c r="AG568" s="419"/>
    </row>
    <row r="569" spans="33:33" x14ac:dyDescent="0.2">
      <c r="AG569" s="419"/>
    </row>
    <row r="570" spans="33:33" x14ac:dyDescent="0.2">
      <c r="AG570" s="419"/>
    </row>
    <row r="571" spans="33:33" x14ac:dyDescent="0.2">
      <c r="AG571" s="419"/>
    </row>
    <row r="572" spans="33:33" x14ac:dyDescent="0.2">
      <c r="AG572" s="419"/>
    </row>
    <row r="573" spans="33:33" x14ac:dyDescent="0.2">
      <c r="AG573" s="419"/>
    </row>
    <row r="574" spans="33:33" x14ac:dyDescent="0.2">
      <c r="AG574" s="419"/>
    </row>
    <row r="575" spans="33:33" x14ac:dyDescent="0.2">
      <c r="AG575" s="419"/>
    </row>
    <row r="576" spans="33:33" x14ac:dyDescent="0.2">
      <c r="AG576" s="419"/>
    </row>
    <row r="577" spans="33:33" x14ac:dyDescent="0.2">
      <c r="AG577" s="419"/>
    </row>
    <row r="578" spans="33:33" x14ac:dyDescent="0.2">
      <c r="AG578" s="419"/>
    </row>
    <row r="579" spans="33:33" x14ac:dyDescent="0.2">
      <c r="AG579" s="419"/>
    </row>
    <row r="580" spans="33:33" x14ac:dyDescent="0.2">
      <c r="AG580" s="419"/>
    </row>
    <row r="581" spans="33:33" x14ac:dyDescent="0.2">
      <c r="AG581" s="419"/>
    </row>
    <row r="582" spans="33:33" x14ac:dyDescent="0.2">
      <c r="AG582" s="419"/>
    </row>
    <row r="583" spans="33:33" x14ac:dyDescent="0.2">
      <c r="AG583" s="419"/>
    </row>
    <row r="584" spans="33:33" x14ac:dyDescent="0.2">
      <c r="AG584" s="419"/>
    </row>
    <row r="585" spans="33:33" x14ac:dyDescent="0.2">
      <c r="AG585" s="419"/>
    </row>
    <row r="586" spans="33:33" x14ac:dyDescent="0.2">
      <c r="AG586" s="419"/>
    </row>
    <row r="587" spans="33:33" x14ac:dyDescent="0.2">
      <c r="AG587" s="419"/>
    </row>
    <row r="588" spans="33:33" x14ac:dyDescent="0.2">
      <c r="AG588" s="419"/>
    </row>
    <row r="589" spans="33:33" x14ac:dyDescent="0.2">
      <c r="AG589" s="419"/>
    </row>
    <row r="590" spans="33:33" x14ac:dyDescent="0.2">
      <c r="AG590" s="419"/>
    </row>
    <row r="591" spans="33:33" x14ac:dyDescent="0.2">
      <c r="AG591" s="419"/>
    </row>
    <row r="592" spans="33:33" x14ac:dyDescent="0.2">
      <c r="AG592" s="419"/>
    </row>
    <row r="593" spans="33:33" x14ac:dyDescent="0.2">
      <c r="AG593" s="419"/>
    </row>
    <row r="594" spans="33:33" x14ac:dyDescent="0.2">
      <c r="AG594" s="419"/>
    </row>
    <row r="595" spans="33:33" x14ac:dyDescent="0.2">
      <c r="AG595" s="419"/>
    </row>
    <row r="596" spans="33:33" x14ac:dyDescent="0.2">
      <c r="AG596" s="419"/>
    </row>
    <row r="597" spans="33:33" x14ac:dyDescent="0.2">
      <c r="AG597" s="419"/>
    </row>
    <row r="598" spans="33:33" x14ac:dyDescent="0.2">
      <c r="AG598" s="419"/>
    </row>
    <row r="599" spans="33:33" x14ac:dyDescent="0.2">
      <c r="AG599" s="419"/>
    </row>
    <row r="600" spans="33:33" x14ac:dyDescent="0.2">
      <c r="AG600" s="419"/>
    </row>
    <row r="601" spans="33:33" x14ac:dyDescent="0.2">
      <c r="AG601" s="419"/>
    </row>
    <row r="602" spans="33:33" x14ac:dyDescent="0.2">
      <c r="AG602" s="419"/>
    </row>
    <row r="603" spans="33:33" x14ac:dyDescent="0.2">
      <c r="AG603" s="419"/>
    </row>
    <row r="604" spans="33:33" x14ac:dyDescent="0.2">
      <c r="AG604" s="419"/>
    </row>
    <row r="605" spans="33:33" x14ac:dyDescent="0.2">
      <c r="AG605" s="419"/>
    </row>
    <row r="606" spans="33:33" x14ac:dyDescent="0.2">
      <c r="AG606" s="419"/>
    </row>
    <row r="607" spans="33:33" x14ac:dyDescent="0.2">
      <c r="AG607" s="419"/>
    </row>
    <row r="608" spans="33:33" x14ac:dyDescent="0.2">
      <c r="AG608" s="419"/>
    </row>
    <row r="609" spans="33:33" x14ac:dyDescent="0.2">
      <c r="AG609" s="419"/>
    </row>
    <row r="610" spans="33:33" x14ac:dyDescent="0.2">
      <c r="AG610" s="419"/>
    </row>
    <row r="611" spans="33:33" x14ac:dyDescent="0.2">
      <c r="AG611" s="419"/>
    </row>
    <row r="612" spans="33:33" x14ac:dyDescent="0.2">
      <c r="AG612" s="419"/>
    </row>
    <row r="613" spans="33:33" x14ac:dyDescent="0.2">
      <c r="AG613" s="419"/>
    </row>
    <row r="614" spans="33:33" x14ac:dyDescent="0.2">
      <c r="AG614" s="419"/>
    </row>
    <row r="615" spans="33:33" x14ac:dyDescent="0.2">
      <c r="AG615" s="419"/>
    </row>
    <row r="616" spans="33:33" x14ac:dyDescent="0.2">
      <c r="AG616" s="419"/>
    </row>
    <row r="617" spans="33:33" x14ac:dyDescent="0.2">
      <c r="AG617" s="419"/>
    </row>
    <row r="618" spans="33:33" x14ac:dyDescent="0.2">
      <c r="AG618" s="419"/>
    </row>
    <row r="619" spans="33:33" x14ac:dyDescent="0.2">
      <c r="AG619" s="419"/>
    </row>
    <row r="620" spans="33:33" x14ac:dyDescent="0.2">
      <c r="AG620" s="419"/>
    </row>
    <row r="621" spans="33:33" x14ac:dyDescent="0.2">
      <c r="AG621" s="419"/>
    </row>
    <row r="622" spans="33:33" x14ac:dyDescent="0.2">
      <c r="AG622" s="419"/>
    </row>
    <row r="623" spans="33:33" x14ac:dyDescent="0.2">
      <c r="AG623" s="419"/>
    </row>
    <row r="624" spans="33:33" x14ac:dyDescent="0.2">
      <c r="AG624" s="419"/>
    </row>
    <row r="625" spans="33:33" x14ac:dyDescent="0.2">
      <c r="AG625" s="419"/>
    </row>
    <row r="626" spans="33:33" x14ac:dyDescent="0.2">
      <c r="AG626" s="419"/>
    </row>
    <row r="627" spans="33:33" x14ac:dyDescent="0.2">
      <c r="AG627" s="419"/>
    </row>
    <row r="628" spans="33:33" x14ac:dyDescent="0.2">
      <c r="AG628" s="419"/>
    </row>
    <row r="629" spans="33:33" x14ac:dyDescent="0.2">
      <c r="AG629" s="419"/>
    </row>
    <row r="630" spans="33:33" x14ac:dyDescent="0.2">
      <c r="AG630" s="419"/>
    </row>
    <row r="631" spans="33:33" x14ac:dyDescent="0.2">
      <c r="AG631" s="419"/>
    </row>
    <row r="632" spans="33:33" x14ac:dyDescent="0.2">
      <c r="AG632" s="419"/>
    </row>
    <row r="633" spans="33:33" x14ac:dyDescent="0.2">
      <c r="AG633" s="419"/>
    </row>
    <row r="634" spans="33:33" x14ac:dyDescent="0.2">
      <c r="AG634" s="419"/>
    </row>
    <row r="635" spans="33:33" x14ac:dyDescent="0.2">
      <c r="AG635" s="419"/>
    </row>
    <row r="636" spans="33:33" x14ac:dyDescent="0.2">
      <c r="AG636" s="419"/>
    </row>
    <row r="637" spans="33:33" x14ac:dyDescent="0.2">
      <c r="AG637" s="419"/>
    </row>
    <row r="638" spans="33:33" x14ac:dyDescent="0.2">
      <c r="AG638" s="419"/>
    </row>
    <row r="639" spans="33:33" x14ac:dyDescent="0.2">
      <c r="AG639" s="419"/>
    </row>
    <row r="640" spans="33:33" x14ac:dyDescent="0.2">
      <c r="AG640" s="419"/>
    </row>
    <row r="641" spans="33:33" x14ac:dyDescent="0.2">
      <c r="AG641" s="419"/>
    </row>
    <row r="642" spans="33:33" x14ac:dyDescent="0.2">
      <c r="AG642" s="419"/>
    </row>
    <row r="643" spans="33:33" x14ac:dyDescent="0.2">
      <c r="AG643" s="419"/>
    </row>
    <row r="644" spans="33:33" x14ac:dyDescent="0.2">
      <c r="AG644" s="419"/>
    </row>
    <row r="645" spans="33:33" x14ac:dyDescent="0.2">
      <c r="AG645" s="419"/>
    </row>
    <row r="646" spans="33:33" x14ac:dyDescent="0.2">
      <c r="AG646" s="419"/>
    </row>
    <row r="647" spans="33:33" x14ac:dyDescent="0.2">
      <c r="AG647" s="419"/>
    </row>
    <row r="648" spans="33:33" x14ac:dyDescent="0.2">
      <c r="AG648" s="419"/>
    </row>
    <row r="649" spans="33:33" x14ac:dyDescent="0.2">
      <c r="AG649" s="419"/>
    </row>
    <row r="650" spans="33:33" x14ac:dyDescent="0.2">
      <c r="AG650" s="419"/>
    </row>
    <row r="651" spans="33:33" x14ac:dyDescent="0.2">
      <c r="AG651" s="419"/>
    </row>
    <row r="652" spans="33:33" x14ac:dyDescent="0.2">
      <c r="AG652" s="419"/>
    </row>
    <row r="653" spans="33:33" x14ac:dyDescent="0.2">
      <c r="AG653" s="419"/>
    </row>
    <row r="654" spans="33:33" x14ac:dyDescent="0.2">
      <c r="AG654" s="419"/>
    </row>
    <row r="655" spans="33:33" x14ac:dyDescent="0.2">
      <c r="AG655" s="419"/>
    </row>
    <row r="656" spans="33:33" x14ac:dyDescent="0.2">
      <c r="AG656" s="419"/>
    </row>
    <row r="657" spans="33:33" x14ac:dyDescent="0.2">
      <c r="AG657" s="419"/>
    </row>
    <row r="658" spans="33:33" x14ac:dyDescent="0.2">
      <c r="AG658" s="419"/>
    </row>
    <row r="659" spans="33:33" x14ac:dyDescent="0.2">
      <c r="AG659" s="419"/>
    </row>
    <row r="660" spans="33:33" x14ac:dyDescent="0.2">
      <c r="AG660" s="419"/>
    </row>
    <row r="661" spans="33:33" x14ac:dyDescent="0.2">
      <c r="AG661" s="419"/>
    </row>
    <row r="662" spans="33:33" x14ac:dyDescent="0.2">
      <c r="AG662" s="419"/>
    </row>
    <row r="663" spans="33:33" x14ac:dyDescent="0.2">
      <c r="AG663" s="419"/>
    </row>
    <row r="664" spans="33:33" x14ac:dyDescent="0.2">
      <c r="AG664" s="419"/>
    </row>
    <row r="665" spans="33:33" x14ac:dyDescent="0.2">
      <c r="AG665" s="419"/>
    </row>
    <row r="666" spans="33:33" x14ac:dyDescent="0.2">
      <c r="AG666" s="419"/>
    </row>
    <row r="667" spans="33:33" x14ac:dyDescent="0.2">
      <c r="AG667" s="419"/>
    </row>
    <row r="668" spans="33:33" x14ac:dyDescent="0.2">
      <c r="AG668" s="419"/>
    </row>
    <row r="669" spans="33:33" x14ac:dyDescent="0.2">
      <c r="AG669" s="419"/>
    </row>
    <row r="670" spans="33:33" x14ac:dyDescent="0.2">
      <c r="AG670" s="419"/>
    </row>
    <row r="671" spans="33:33" x14ac:dyDescent="0.2">
      <c r="AG671" s="419"/>
    </row>
    <row r="672" spans="33:33" x14ac:dyDescent="0.2">
      <c r="AG672" s="419"/>
    </row>
    <row r="673" spans="33:33" x14ac:dyDescent="0.2">
      <c r="AG673" s="419"/>
    </row>
    <row r="674" spans="33:33" x14ac:dyDescent="0.2">
      <c r="AG674" s="419"/>
    </row>
    <row r="675" spans="33:33" x14ac:dyDescent="0.2">
      <c r="AG675" s="419"/>
    </row>
    <row r="676" spans="33:33" x14ac:dyDescent="0.2">
      <c r="AG676" s="419"/>
    </row>
    <row r="677" spans="33:33" x14ac:dyDescent="0.2">
      <c r="AG677" s="419"/>
    </row>
    <row r="678" spans="33:33" x14ac:dyDescent="0.2">
      <c r="AG678" s="419"/>
    </row>
    <row r="679" spans="33:33" x14ac:dyDescent="0.2">
      <c r="AG679" s="419"/>
    </row>
    <row r="680" spans="33:33" x14ac:dyDescent="0.2">
      <c r="AG680" s="419"/>
    </row>
    <row r="681" spans="33:33" x14ac:dyDescent="0.2">
      <c r="AG681" s="419"/>
    </row>
    <row r="682" spans="33:33" x14ac:dyDescent="0.2">
      <c r="AG682" s="419"/>
    </row>
    <row r="683" spans="33:33" x14ac:dyDescent="0.2">
      <c r="AG683" s="419"/>
    </row>
    <row r="684" spans="33:33" x14ac:dyDescent="0.2">
      <c r="AG684" s="419"/>
    </row>
    <row r="685" spans="33:33" x14ac:dyDescent="0.2">
      <c r="AG685" s="419"/>
    </row>
    <row r="686" spans="33:33" x14ac:dyDescent="0.2">
      <c r="AG686" s="419"/>
    </row>
    <row r="687" spans="33:33" x14ac:dyDescent="0.2">
      <c r="AG687" s="419"/>
    </row>
    <row r="688" spans="33:33" x14ac:dyDescent="0.2">
      <c r="AG688" s="419"/>
    </row>
    <row r="689" spans="33:33" x14ac:dyDescent="0.2">
      <c r="AG689" s="419"/>
    </row>
    <row r="690" spans="33:33" x14ac:dyDescent="0.2">
      <c r="AG690" s="419"/>
    </row>
    <row r="691" spans="33:33" x14ac:dyDescent="0.2">
      <c r="AG691" s="419"/>
    </row>
    <row r="692" spans="33:33" x14ac:dyDescent="0.2">
      <c r="AG692" s="419"/>
    </row>
    <row r="693" spans="33:33" x14ac:dyDescent="0.2">
      <c r="AG693" s="419"/>
    </row>
    <row r="694" spans="33:33" x14ac:dyDescent="0.2">
      <c r="AG694" s="419"/>
    </row>
    <row r="695" spans="33:33" x14ac:dyDescent="0.2">
      <c r="AG695" s="419"/>
    </row>
    <row r="696" spans="33:33" x14ac:dyDescent="0.2">
      <c r="AG696" s="419"/>
    </row>
    <row r="697" spans="33:33" x14ac:dyDescent="0.2">
      <c r="AG697" s="419"/>
    </row>
    <row r="698" spans="33:33" x14ac:dyDescent="0.2">
      <c r="AG698" s="419"/>
    </row>
    <row r="699" spans="33:33" x14ac:dyDescent="0.2">
      <c r="AG699" s="419"/>
    </row>
    <row r="700" spans="33:33" x14ac:dyDescent="0.2">
      <c r="AG700" s="419"/>
    </row>
    <row r="701" spans="33:33" x14ac:dyDescent="0.2">
      <c r="AG701" s="419"/>
    </row>
    <row r="702" spans="33:33" x14ac:dyDescent="0.2">
      <c r="AG702" s="419"/>
    </row>
    <row r="703" spans="33:33" x14ac:dyDescent="0.2">
      <c r="AG703" s="419"/>
    </row>
    <row r="704" spans="33:33" x14ac:dyDescent="0.2">
      <c r="AG704" s="419"/>
    </row>
    <row r="705" spans="33:33" x14ac:dyDescent="0.2">
      <c r="AG705" s="419"/>
    </row>
    <row r="706" spans="33:33" x14ac:dyDescent="0.2">
      <c r="AG706" s="419"/>
    </row>
    <row r="707" spans="33:33" x14ac:dyDescent="0.2">
      <c r="AG707" s="419"/>
    </row>
    <row r="708" spans="33:33" x14ac:dyDescent="0.2">
      <c r="AG708" s="419"/>
    </row>
    <row r="709" spans="33:33" x14ac:dyDescent="0.2">
      <c r="AG709" s="419"/>
    </row>
    <row r="710" spans="33:33" x14ac:dyDescent="0.2">
      <c r="AG710" s="419"/>
    </row>
    <row r="711" spans="33:33" x14ac:dyDescent="0.2">
      <c r="AG711" s="419"/>
    </row>
    <row r="712" spans="33:33" x14ac:dyDescent="0.2">
      <c r="AG712" s="419"/>
    </row>
    <row r="713" spans="33:33" x14ac:dyDescent="0.2">
      <c r="AG713" s="419"/>
    </row>
    <row r="714" spans="33:33" x14ac:dyDescent="0.2">
      <c r="AG714" s="419"/>
    </row>
    <row r="715" spans="33:33" x14ac:dyDescent="0.2">
      <c r="AG715" s="419"/>
    </row>
    <row r="716" spans="33:33" x14ac:dyDescent="0.2">
      <c r="AG716" s="419"/>
    </row>
    <row r="717" spans="33:33" x14ac:dyDescent="0.2">
      <c r="AG717" s="419"/>
    </row>
    <row r="718" spans="33:33" x14ac:dyDescent="0.2">
      <c r="AG718" s="419"/>
    </row>
    <row r="719" spans="33:33" x14ac:dyDescent="0.2">
      <c r="AG719" s="419"/>
    </row>
    <row r="720" spans="33:33" x14ac:dyDescent="0.2">
      <c r="AG720" s="419"/>
    </row>
    <row r="721" spans="33:33" x14ac:dyDescent="0.2">
      <c r="AG721" s="419"/>
    </row>
    <row r="722" spans="33:33" x14ac:dyDescent="0.2">
      <c r="AG722" s="419"/>
    </row>
    <row r="723" spans="33:33" x14ac:dyDescent="0.2">
      <c r="AG723" s="419"/>
    </row>
    <row r="724" spans="33:33" x14ac:dyDescent="0.2">
      <c r="AG724" s="419"/>
    </row>
    <row r="725" spans="33:33" x14ac:dyDescent="0.2">
      <c r="AG725" s="419"/>
    </row>
    <row r="726" spans="33:33" x14ac:dyDescent="0.2">
      <c r="AG726" s="419"/>
    </row>
    <row r="727" spans="33:33" x14ac:dyDescent="0.2">
      <c r="AG727" s="419"/>
    </row>
    <row r="728" spans="33:33" x14ac:dyDescent="0.2">
      <c r="AG728" s="419"/>
    </row>
    <row r="729" spans="33:33" x14ac:dyDescent="0.2">
      <c r="AG729" s="419"/>
    </row>
    <row r="730" spans="33:33" x14ac:dyDescent="0.2">
      <c r="AG730" s="419"/>
    </row>
    <row r="731" spans="33:33" x14ac:dyDescent="0.2">
      <c r="AG731" s="419"/>
    </row>
    <row r="732" spans="33:33" x14ac:dyDescent="0.2">
      <c r="AG732" s="419"/>
    </row>
    <row r="733" spans="33:33" x14ac:dyDescent="0.2">
      <c r="AG733" s="419"/>
    </row>
    <row r="734" spans="33:33" x14ac:dyDescent="0.2">
      <c r="AG734" s="419"/>
    </row>
    <row r="735" spans="33:33" x14ac:dyDescent="0.2">
      <c r="AG735" s="419"/>
    </row>
    <row r="736" spans="33:33" x14ac:dyDescent="0.2">
      <c r="AG736" s="419"/>
    </row>
    <row r="737" spans="33:33" x14ac:dyDescent="0.2">
      <c r="AG737" s="419"/>
    </row>
    <row r="738" spans="33:33" x14ac:dyDescent="0.2">
      <c r="AG738" s="419"/>
    </row>
    <row r="739" spans="33:33" x14ac:dyDescent="0.2">
      <c r="AG739" s="419"/>
    </row>
    <row r="740" spans="33:33" x14ac:dyDescent="0.2">
      <c r="AG740" s="419"/>
    </row>
    <row r="741" spans="33:33" x14ac:dyDescent="0.2">
      <c r="AG741" s="419"/>
    </row>
    <row r="742" spans="33:33" x14ac:dyDescent="0.2">
      <c r="AG742" s="419"/>
    </row>
    <row r="743" spans="33:33" x14ac:dyDescent="0.2">
      <c r="AG743" s="419"/>
    </row>
    <row r="744" spans="33:33" x14ac:dyDescent="0.2">
      <c r="AG744" s="419"/>
    </row>
    <row r="745" spans="33:33" x14ac:dyDescent="0.2">
      <c r="AG745" s="419"/>
    </row>
    <row r="746" spans="33:33" x14ac:dyDescent="0.2">
      <c r="AG746" s="419"/>
    </row>
    <row r="747" spans="33:33" x14ac:dyDescent="0.2">
      <c r="AG747" s="419"/>
    </row>
    <row r="748" spans="33:33" x14ac:dyDescent="0.2">
      <c r="AG748" s="419"/>
    </row>
    <row r="749" spans="33:33" x14ac:dyDescent="0.2">
      <c r="AG749" s="419"/>
    </row>
    <row r="750" spans="33:33" x14ac:dyDescent="0.2">
      <c r="AG750" s="419"/>
    </row>
    <row r="751" spans="33:33" x14ac:dyDescent="0.2">
      <c r="AG751" s="419"/>
    </row>
    <row r="752" spans="33:33" x14ac:dyDescent="0.2">
      <c r="AG752" s="419"/>
    </row>
    <row r="753" spans="33:33" x14ac:dyDescent="0.2">
      <c r="AG753" s="419"/>
    </row>
    <row r="754" spans="33:33" x14ac:dyDescent="0.2">
      <c r="AG754" s="419"/>
    </row>
    <row r="755" spans="33:33" x14ac:dyDescent="0.2">
      <c r="AG755" s="419"/>
    </row>
    <row r="756" spans="33:33" x14ac:dyDescent="0.2">
      <c r="AG756" s="419"/>
    </row>
    <row r="757" spans="33:33" x14ac:dyDescent="0.2">
      <c r="AG757" s="419"/>
    </row>
    <row r="758" spans="33:33" x14ac:dyDescent="0.2">
      <c r="AG758" s="419"/>
    </row>
    <row r="759" spans="33:33" x14ac:dyDescent="0.2">
      <c r="AG759" s="419"/>
    </row>
    <row r="760" spans="33:33" x14ac:dyDescent="0.2">
      <c r="AG760" s="419"/>
    </row>
    <row r="761" spans="33:33" x14ac:dyDescent="0.2">
      <c r="AG761" s="419"/>
    </row>
    <row r="762" spans="33:33" x14ac:dyDescent="0.2">
      <c r="AG762" s="419"/>
    </row>
    <row r="763" spans="33:33" x14ac:dyDescent="0.2">
      <c r="AG763" s="419"/>
    </row>
    <row r="764" spans="33:33" x14ac:dyDescent="0.2">
      <c r="AG764" s="419"/>
    </row>
    <row r="765" spans="33:33" x14ac:dyDescent="0.2">
      <c r="AG765" s="419"/>
    </row>
    <row r="766" spans="33:33" x14ac:dyDescent="0.2">
      <c r="AG766" s="419"/>
    </row>
    <row r="767" spans="33:33" x14ac:dyDescent="0.2">
      <c r="AG767" s="419"/>
    </row>
    <row r="768" spans="33:33" x14ac:dyDescent="0.2">
      <c r="AG768" s="419"/>
    </row>
    <row r="769" spans="33:33" x14ac:dyDescent="0.2">
      <c r="AG769" s="419"/>
    </row>
    <row r="770" spans="33:33" x14ac:dyDescent="0.2">
      <c r="AG770" s="419"/>
    </row>
    <row r="771" spans="33:33" x14ac:dyDescent="0.2">
      <c r="AG771" s="419"/>
    </row>
    <row r="772" spans="33:33" x14ac:dyDescent="0.2">
      <c r="AG772" s="419"/>
    </row>
    <row r="773" spans="33:33" x14ac:dyDescent="0.2">
      <c r="AG773" s="419"/>
    </row>
    <row r="774" spans="33:33" x14ac:dyDescent="0.2">
      <c r="AG774" s="419"/>
    </row>
    <row r="775" spans="33:33" x14ac:dyDescent="0.2">
      <c r="AG775" s="419"/>
    </row>
    <row r="776" spans="33:33" x14ac:dyDescent="0.2">
      <c r="AG776" s="419"/>
    </row>
    <row r="777" spans="33:33" x14ac:dyDescent="0.2">
      <c r="AG777" s="419"/>
    </row>
    <row r="778" spans="33:33" x14ac:dyDescent="0.2">
      <c r="AG778" s="419"/>
    </row>
    <row r="779" spans="33:33" x14ac:dyDescent="0.2">
      <c r="AG779" s="419"/>
    </row>
    <row r="780" spans="33:33" x14ac:dyDescent="0.2">
      <c r="AG780" s="419"/>
    </row>
    <row r="781" spans="33:33" x14ac:dyDescent="0.2">
      <c r="AG781" s="419"/>
    </row>
    <row r="782" spans="33:33" x14ac:dyDescent="0.2">
      <c r="AG782" s="419"/>
    </row>
    <row r="783" spans="33:33" x14ac:dyDescent="0.2">
      <c r="AG783" s="419"/>
    </row>
    <row r="784" spans="33:33" x14ac:dyDescent="0.2">
      <c r="AG784" s="419"/>
    </row>
    <row r="785" spans="33:33" x14ac:dyDescent="0.2">
      <c r="AG785" s="419"/>
    </row>
    <row r="786" spans="33:33" x14ac:dyDescent="0.2">
      <c r="AG786" s="419"/>
    </row>
    <row r="787" spans="33:33" x14ac:dyDescent="0.2">
      <c r="AG787" s="419"/>
    </row>
    <row r="788" spans="33:33" x14ac:dyDescent="0.2">
      <c r="AG788" s="419"/>
    </row>
    <row r="789" spans="33:33" x14ac:dyDescent="0.2">
      <c r="AG789" s="419"/>
    </row>
    <row r="790" spans="33:33" x14ac:dyDescent="0.2">
      <c r="AG790" s="419"/>
    </row>
    <row r="791" spans="33:33" x14ac:dyDescent="0.2">
      <c r="AG791" s="419"/>
    </row>
    <row r="792" spans="33:33" x14ac:dyDescent="0.2">
      <c r="AG792" s="419"/>
    </row>
    <row r="793" spans="33:33" x14ac:dyDescent="0.2">
      <c r="AG793" s="419"/>
    </row>
    <row r="794" spans="33:33" x14ac:dyDescent="0.2">
      <c r="AG794" s="419"/>
    </row>
    <row r="795" spans="33:33" x14ac:dyDescent="0.2">
      <c r="AG795" s="419"/>
    </row>
    <row r="796" spans="33:33" x14ac:dyDescent="0.2">
      <c r="AG796" s="419"/>
    </row>
    <row r="797" spans="33:33" x14ac:dyDescent="0.2">
      <c r="AG797" s="419"/>
    </row>
    <row r="798" spans="33:33" x14ac:dyDescent="0.2">
      <c r="AG798" s="419"/>
    </row>
    <row r="799" spans="33:33" x14ac:dyDescent="0.2">
      <c r="AG799" s="419"/>
    </row>
    <row r="800" spans="33:33" x14ac:dyDescent="0.2">
      <c r="AG800" s="419"/>
    </row>
    <row r="801" spans="33:33" x14ac:dyDescent="0.2">
      <c r="AG801" s="419"/>
    </row>
    <row r="802" spans="33:33" x14ac:dyDescent="0.2">
      <c r="AG802" s="419"/>
    </row>
    <row r="803" spans="33:33" x14ac:dyDescent="0.2">
      <c r="AG803" s="419"/>
    </row>
    <row r="804" spans="33:33" x14ac:dyDescent="0.2">
      <c r="AG804" s="419"/>
    </row>
    <row r="805" spans="33:33" x14ac:dyDescent="0.2">
      <c r="AG805" s="419"/>
    </row>
    <row r="806" spans="33:33" x14ac:dyDescent="0.2">
      <c r="AG806" s="419"/>
    </row>
    <row r="807" spans="33:33" x14ac:dyDescent="0.2">
      <c r="AG807" s="419"/>
    </row>
    <row r="808" spans="33:33" x14ac:dyDescent="0.2">
      <c r="AG808" s="419"/>
    </row>
    <row r="809" spans="33:33" x14ac:dyDescent="0.2">
      <c r="AG809" s="419"/>
    </row>
    <row r="810" spans="33:33" x14ac:dyDescent="0.2">
      <c r="AG810" s="419"/>
    </row>
    <row r="811" spans="33:33" x14ac:dyDescent="0.2">
      <c r="AG811" s="419"/>
    </row>
    <row r="812" spans="33:33" x14ac:dyDescent="0.2">
      <c r="AG812" s="419"/>
    </row>
    <row r="813" spans="33:33" x14ac:dyDescent="0.2">
      <c r="AG813" s="419"/>
    </row>
    <row r="814" spans="33:33" x14ac:dyDescent="0.2">
      <c r="AG814" s="419"/>
    </row>
    <row r="815" spans="33:33" x14ac:dyDescent="0.2">
      <c r="AG815" s="419"/>
    </row>
    <row r="816" spans="33:33" x14ac:dyDescent="0.2">
      <c r="AG816" s="419"/>
    </row>
    <row r="817" spans="33:33" x14ac:dyDescent="0.2">
      <c r="AG817" s="419"/>
    </row>
    <row r="818" spans="33:33" x14ac:dyDescent="0.2">
      <c r="AG818" s="419"/>
    </row>
    <row r="819" spans="33:33" x14ac:dyDescent="0.2">
      <c r="AG819" s="419"/>
    </row>
    <row r="820" spans="33:33" x14ac:dyDescent="0.2">
      <c r="AG820" s="419"/>
    </row>
    <row r="821" spans="33:33" x14ac:dyDescent="0.2">
      <c r="AG821" s="419"/>
    </row>
    <row r="822" spans="33:33" x14ac:dyDescent="0.2">
      <c r="AG822" s="419"/>
    </row>
    <row r="823" spans="33:33" x14ac:dyDescent="0.2">
      <c r="AG823" s="419"/>
    </row>
    <row r="824" spans="33:33" x14ac:dyDescent="0.2">
      <c r="AG824" s="419"/>
    </row>
    <row r="825" spans="33:33" x14ac:dyDescent="0.2">
      <c r="AG825" s="419"/>
    </row>
    <row r="826" spans="33:33" x14ac:dyDescent="0.2">
      <c r="AG826" s="419"/>
    </row>
    <row r="827" spans="33:33" x14ac:dyDescent="0.2">
      <c r="AG827" s="419"/>
    </row>
    <row r="828" spans="33:33" x14ac:dyDescent="0.2">
      <c r="AG828" s="419"/>
    </row>
    <row r="829" spans="33:33" x14ac:dyDescent="0.2">
      <c r="AG829" s="419"/>
    </row>
    <row r="830" spans="33:33" x14ac:dyDescent="0.2">
      <c r="AG830" s="419"/>
    </row>
    <row r="831" spans="33:33" x14ac:dyDescent="0.2">
      <c r="AG831" s="419"/>
    </row>
    <row r="832" spans="33:33" x14ac:dyDescent="0.2">
      <c r="AG832" s="419"/>
    </row>
    <row r="833" spans="33:33" x14ac:dyDescent="0.2">
      <c r="AG833" s="419"/>
    </row>
    <row r="834" spans="33:33" x14ac:dyDescent="0.2">
      <c r="AG834" s="419"/>
    </row>
    <row r="835" spans="33:33" x14ac:dyDescent="0.2">
      <c r="AG835" s="419"/>
    </row>
    <row r="836" spans="33:33" x14ac:dyDescent="0.2">
      <c r="AG836" s="419"/>
    </row>
    <row r="837" spans="33:33" x14ac:dyDescent="0.2">
      <c r="AG837" s="419"/>
    </row>
    <row r="838" spans="33:33" x14ac:dyDescent="0.2">
      <c r="AG838" s="419"/>
    </row>
    <row r="839" spans="33:33" x14ac:dyDescent="0.2">
      <c r="AG839" s="419"/>
    </row>
    <row r="840" spans="33:33" x14ac:dyDescent="0.2">
      <c r="AG840" s="419"/>
    </row>
    <row r="841" spans="33:33" x14ac:dyDescent="0.2">
      <c r="AG841" s="419"/>
    </row>
    <row r="842" spans="33:33" x14ac:dyDescent="0.2">
      <c r="AG842" s="419"/>
    </row>
    <row r="843" spans="33:33" x14ac:dyDescent="0.2">
      <c r="AG843" s="419"/>
    </row>
    <row r="844" spans="33:33" x14ac:dyDescent="0.2">
      <c r="AG844" s="419"/>
    </row>
    <row r="845" spans="33:33" x14ac:dyDescent="0.2">
      <c r="AG845" s="419"/>
    </row>
    <row r="846" spans="33:33" x14ac:dyDescent="0.2">
      <c r="AG846" s="419"/>
    </row>
    <row r="847" spans="33:33" x14ac:dyDescent="0.2">
      <c r="AG847" s="419"/>
    </row>
    <row r="848" spans="33:33" x14ac:dyDescent="0.2">
      <c r="AG848" s="419"/>
    </row>
    <row r="849" spans="33:33" x14ac:dyDescent="0.2">
      <c r="AG849" s="419"/>
    </row>
    <row r="850" spans="33:33" x14ac:dyDescent="0.2">
      <c r="AG850" s="419"/>
    </row>
    <row r="851" spans="33:33" x14ac:dyDescent="0.2">
      <c r="AG851" s="419"/>
    </row>
    <row r="852" spans="33:33" x14ac:dyDescent="0.2">
      <c r="AG852" s="419"/>
    </row>
    <row r="853" spans="33:33" x14ac:dyDescent="0.2">
      <c r="AG853" s="419"/>
    </row>
    <row r="854" spans="33:33" x14ac:dyDescent="0.2">
      <c r="AG854" s="419"/>
    </row>
    <row r="855" spans="33:33" x14ac:dyDescent="0.2">
      <c r="AG855" s="419"/>
    </row>
    <row r="856" spans="33:33" x14ac:dyDescent="0.2">
      <c r="AG856" s="419"/>
    </row>
    <row r="857" spans="33:33" x14ac:dyDescent="0.2">
      <c r="AG857" s="419"/>
    </row>
    <row r="858" spans="33:33" x14ac:dyDescent="0.2">
      <c r="AG858" s="419"/>
    </row>
    <row r="859" spans="33:33" x14ac:dyDescent="0.2">
      <c r="AG859" s="419"/>
    </row>
    <row r="860" spans="33:33" x14ac:dyDescent="0.2">
      <c r="AG860" s="419"/>
    </row>
    <row r="861" spans="33:33" x14ac:dyDescent="0.2">
      <c r="AG861" s="419"/>
    </row>
    <row r="862" spans="33:33" x14ac:dyDescent="0.2">
      <c r="AG862" s="419"/>
    </row>
    <row r="863" spans="33:33" x14ac:dyDescent="0.2">
      <c r="AG863" s="419"/>
    </row>
    <row r="864" spans="33:33" x14ac:dyDescent="0.2">
      <c r="AG864" s="419"/>
    </row>
    <row r="865" spans="33:33" x14ac:dyDescent="0.2">
      <c r="AG865" s="419"/>
    </row>
    <row r="866" spans="33:33" x14ac:dyDescent="0.2">
      <c r="AG866" s="419"/>
    </row>
    <row r="867" spans="33:33" x14ac:dyDescent="0.2">
      <c r="AG867" s="419"/>
    </row>
    <row r="868" spans="33:33" x14ac:dyDescent="0.2">
      <c r="AG868" s="419"/>
    </row>
    <row r="869" spans="33:33" x14ac:dyDescent="0.2">
      <c r="AG869" s="419"/>
    </row>
    <row r="870" spans="33:33" x14ac:dyDescent="0.2">
      <c r="AG870" s="419"/>
    </row>
    <row r="871" spans="33:33" x14ac:dyDescent="0.2">
      <c r="AG871" s="419"/>
    </row>
    <row r="872" spans="33:33" x14ac:dyDescent="0.2">
      <c r="AG872" s="419"/>
    </row>
    <row r="873" spans="33:33" x14ac:dyDescent="0.2">
      <c r="AG873" s="419"/>
    </row>
    <row r="874" spans="33:33" x14ac:dyDescent="0.2">
      <c r="AG874" s="419"/>
    </row>
    <row r="875" spans="33:33" x14ac:dyDescent="0.2">
      <c r="AG875" s="419"/>
    </row>
    <row r="876" spans="33:33" x14ac:dyDescent="0.2">
      <c r="AG876" s="419"/>
    </row>
    <row r="877" spans="33:33" x14ac:dyDescent="0.2">
      <c r="AG877" s="419"/>
    </row>
    <row r="878" spans="33:33" x14ac:dyDescent="0.2">
      <c r="AG878" s="419"/>
    </row>
    <row r="879" spans="33:33" x14ac:dyDescent="0.2">
      <c r="AG879" s="419"/>
    </row>
    <row r="880" spans="33:33" x14ac:dyDescent="0.2">
      <c r="AG880" s="419"/>
    </row>
    <row r="881" spans="33:33" x14ac:dyDescent="0.2">
      <c r="AG881" s="419"/>
    </row>
    <row r="882" spans="33:33" x14ac:dyDescent="0.2">
      <c r="AG882" s="419"/>
    </row>
    <row r="883" spans="33:33" x14ac:dyDescent="0.2">
      <c r="AG883" s="419"/>
    </row>
    <row r="884" spans="33:33" x14ac:dyDescent="0.2">
      <c r="AG884" s="419"/>
    </row>
    <row r="885" spans="33:33" x14ac:dyDescent="0.2">
      <c r="AG885" s="419"/>
    </row>
    <row r="886" spans="33:33" x14ac:dyDescent="0.2">
      <c r="AG886" s="419"/>
    </row>
    <row r="887" spans="33:33" x14ac:dyDescent="0.2">
      <c r="AG887" s="419"/>
    </row>
    <row r="888" spans="33:33" x14ac:dyDescent="0.2">
      <c r="AG888" s="419"/>
    </row>
    <row r="889" spans="33:33" x14ac:dyDescent="0.2">
      <c r="AG889" s="419"/>
    </row>
    <row r="890" spans="33:33" x14ac:dyDescent="0.2">
      <c r="AG890" s="419"/>
    </row>
    <row r="891" spans="33:33" x14ac:dyDescent="0.2">
      <c r="AG891" s="419"/>
    </row>
    <row r="892" spans="33:33" x14ac:dyDescent="0.2">
      <c r="AG892" s="419"/>
    </row>
    <row r="893" spans="33:33" x14ac:dyDescent="0.2">
      <c r="AG893" s="419"/>
    </row>
    <row r="894" spans="33:33" x14ac:dyDescent="0.2">
      <c r="AG894" s="419"/>
    </row>
    <row r="895" spans="33:33" x14ac:dyDescent="0.2">
      <c r="AG895" s="419"/>
    </row>
    <row r="896" spans="33:33" x14ac:dyDescent="0.2">
      <c r="AG896" s="419"/>
    </row>
    <row r="897" spans="33:33" x14ac:dyDescent="0.2">
      <c r="AG897" s="419"/>
    </row>
    <row r="898" spans="33:33" x14ac:dyDescent="0.2">
      <c r="AG898" s="419"/>
    </row>
    <row r="899" spans="33:33" x14ac:dyDescent="0.2">
      <c r="AG899" s="419"/>
    </row>
    <row r="900" spans="33:33" x14ac:dyDescent="0.2">
      <c r="AG900" s="419"/>
    </row>
    <row r="901" spans="33:33" x14ac:dyDescent="0.2">
      <c r="AG901" s="419"/>
    </row>
    <row r="902" spans="33:33" x14ac:dyDescent="0.2">
      <c r="AG902" s="419"/>
    </row>
    <row r="903" spans="33:33" x14ac:dyDescent="0.2">
      <c r="AG903" s="419"/>
    </row>
    <row r="904" spans="33:33" x14ac:dyDescent="0.2">
      <c r="AG904" s="419"/>
    </row>
    <row r="905" spans="33:33" x14ac:dyDescent="0.2">
      <c r="AG905" s="419"/>
    </row>
    <row r="906" spans="33:33" x14ac:dyDescent="0.2">
      <c r="AG906" s="419"/>
    </row>
    <row r="907" spans="33:33" x14ac:dyDescent="0.2">
      <c r="AG907" s="419"/>
    </row>
    <row r="908" spans="33:33" x14ac:dyDescent="0.2">
      <c r="AG908" s="419"/>
    </row>
    <row r="909" spans="33:33" x14ac:dyDescent="0.2">
      <c r="AG909" s="419"/>
    </row>
    <row r="910" spans="33:33" x14ac:dyDescent="0.2">
      <c r="AG910" s="419"/>
    </row>
    <row r="911" spans="33:33" x14ac:dyDescent="0.2">
      <c r="AG911" s="419"/>
    </row>
    <row r="912" spans="33:33" x14ac:dyDescent="0.2">
      <c r="AG912" s="419"/>
    </row>
    <row r="913" spans="33:33" x14ac:dyDescent="0.2">
      <c r="AG913" s="419"/>
    </row>
    <row r="914" spans="33:33" x14ac:dyDescent="0.2">
      <c r="AG914" s="419"/>
    </row>
    <row r="915" spans="33:33" x14ac:dyDescent="0.2">
      <c r="AG915" s="419"/>
    </row>
    <row r="916" spans="33:33" x14ac:dyDescent="0.2">
      <c r="AG916" s="419"/>
    </row>
    <row r="917" spans="33:33" x14ac:dyDescent="0.2">
      <c r="AG917" s="419"/>
    </row>
    <row r="918" spans="33:33" x14ac:dyDescent="0.2">
      <c r="AG918" s="419"/>
    </row>
    <row r="919" spans="33:33" x14ac:dyDescent="0.2">
      <c r="AG919" s="419"/>
    </row>
    <row r="920" spans="33:33" x14ac:dyDescent="0.2">
      <c r="AG920" s="419"/>
    </row>
    <row r="921" spans="33:33" x14ac:dyDescent="0.2">
      <c r="AG921" s="419"/>
    </row>
    <row r="922" spans="33:33" x14ac:dyDescent="0.2">
      <c r="AG922" s="419"/>
    </row>
    <row r="923" spans="33:33" x14ac:dyDescent="0.2">
      <c r="AG923" s="419"/>
    </row>
    <row r="924" spans="33:33" x14ac:dyDescent="0.2">
      <c r="AG924" s="419"/>
    </row>
    <row r="925" spans="33:33" x14ac:dyDescent="0.2">
      <c r="AG925" s="419"/>
    </row>
    <row r="926" spans="33:33" x14ac:dyDescent="0.2">
      <c r="AG926" s="419"/>
    </row>
    <row r="927" spans="33:33" x14ac:dyDescent="0.2">
      <c r="AG927" s="419"/>
    </row>
  </sheetData>
  <sheetProtection algorithmName="SHA-512" hashValue="3gORE7NL2/tZMILccL4fCrBEp7oHswINx+SJiUvT7CAkco410e5Wx6hlb8kDQClVWdjSm8ttY+MkyjJRlx9gKw==" saltValue="qd94M9tVrcd1LFNOMAvj/w==" spinCount="100000" sheet="1" scenarios="1" selectLockedCells="1" autoFilter="0"/>
  <protectedRanges>
    <protectedRange sqref="A2:AS1048576" name="RawDataInput"/>
  </protectedRanges>
  <phoneticPr fontId="22"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107</v>
      </c>
    </row>
    <row r="2" spans="3:8" x14ac:dyDescent="0.2">
      <c r="E2" s="71" t="s">
        <v>108</v>
      </c>
    </row>
    <row r="3" spans="3:8" x14ac:dyDescent="0.2">
      <c r="E3" s="71" t="s">
        <v>109</v>
      </c>
    </row>
    <row r="6" spans="3:8" ht="26.25" x14ac:dyDescent="0.4">
      <c r="E6" s="77" t="s">
        <v>110</v>
      </c>
    </row>
    <row r="8" spans="3:8" ht="20.25" x14ac:dyDescent="0.3">
      <c r="C8" s="82"/>
      <c r="D8" s="74"/>
      <c r="E8" s="74"/>
    </row>
    <row r="9" spans="3:8" ht="15.75" x14ac:dyDescent="0.25">
      <c r="C9" s="75" t="s">
        <v>41</v>
      </c>
      <c r="D9" s="76" t="e">
        <f>Main!D5</f>
        <v>#N/A</v>
      </c>
    </row>
    <row r="10" spans="3:8" ht="15.75" x14ac:dyDescent="0.25">
      <c r="C10" s="75" t="s">
        <v>111</v>
      </c>
      <c r="D10" s="560">
        <f>Main!D3</f>
        <v>0</v>
      </c>
      <c r="E10" s="560"/>
      <c r="F10" s="560"/>
    </row>
    <row r="11" spans="3:8" ht="15.75" x14ac:dyDescent="0.25">
      <c r="C11" s="75" t="s">
        <v>188</v>
      </c>
      <c r="D11" s="78" t="e">
        <f>Main!D6</f>
        <v>#N/A</v>
      </c>
    </row>
    <row r="14" spans="3:8" ht="15.75" x14ac:dyDescent="0.25">
      <c r="C14" s="80" t="s">
        <v>112</v>
      </c>
      <c r="E14" s="78"/>
      <c r="F14" s="79" t="s">
        <v>113</v>
      </c>
      <c r="G14" s="78"/>
      <c r="H14" s="78"/>
    </row>
    <row r="15" spans="3:8" ht="15.75" customHeight="1" x14ac:dyDescent="0.2">
      <c r="C15" s="129"/>
      <c r="D15" s="73"/>
      <c r="E15" s="559" t="s">
        <v>298</v>
      </c>
      <c r="F15" s="559"/>
      <c r="G15" s="559"/>
      <c r="H15" s="559"/>
    </row>
    <row r="16" spans="3:8" ht="15" x14ac:dyDescent="0.2">
      <c r="C16" s="129"/>
      <c r="D16" s="72"/>
      <c r="E16" s="286" t="s">
        <v>115</v>
      </c>
      <c r="F16" s="286"/>
      <c r="G16" s="286"/>
      <c r="H16" s="286"/>
    </row>
    <row r="17" spans="3:8" ht="15" x14ac:dyDescent="0.2">
      <c r="C17" s="129"/>
      <c r="D17" s="72"/>
      <c r="E17" s="558" t="s">
        <v>116</v>
      </c>
      <c r="F17" s="558"/>
      <c r="G17" s="558"/>
      <c r="H17" s="558"/>
    </row>
    <row r="18" spans="3:8" ht="15" x14ac:dyDescent="0.2">
      <c r="C18" s="129"/>
      <c r="D18" s="72"/>
      <c r="E18" s="558" t="s">
        <v>6</v>
      </c>
      <c r="F18" s="558"/>
      <c r="G18" s="558"/>
      <c r="H18" s="558"/>
    </row>
    <row r="19" spans="3:8" ht="15" x14ac:dyDescent="0.2">
      <c r="C19" s="129"/>
      <c r="D19" s="72"/>
      <c r="E19" s="558" t="s">
        <v>121</v>
      </c>
      <c r="F19" s="558"/>
      <c r="G19" s="558"/>
      <c r="H19" s="558"/>
    </row>
    <row r="20" spans="3:8" ht="15" x14ac:dyDescent="0.2">
      <c r="C20" s="129"/>
      <c r="D20" s="72"/>
      <c r="E20" s="558" t="s">
        <v>118</v>
      </c>
      <c r="F20" s="558"/>
      <c r="G20" s="558"/>
      <c r="H20" s="558"/>
    </row>
    <row r="21" spans="3:8" ht="15" x14ac:dyDescent="0.2">
      <c r="C21" s="129"/>
      <c r="D21" s="72"/>
      <c r="E21" s="558" t="s">
        <v>119</v>
      </c>
      <c r="F21" s="558"/>
      <c r="G21" s="558"/>
      <c r="H21" s="558"/>
    </row>
    <row r="22" spans="3:8" ht="15" x14ac:dyDescent="0.2">
      <c r="C22" s="129"/>
      <c r="D22" s="72"/>
      <c r="E22" s="558" t="s">
        <v>102</v>
      </c>
      <c r="F22" s="558"/>
      <c r="G22" s="558"/>
      <c r="H22" s="558"/>
    </row>
    <row r="23" spans="3:8" ht="15" x14ac:dyDescent="0.2">
      <c r="C23" s="129"/>
      <c r="D23" s="72"/>
      <c r="E23" s="558" t="s">
        <v>120</v>
      </c>
      <c r="F23" s="558"/>
      <c r="G23" s="558"/>
      <c r="H23" s="558"/>
    </row>
    <row r="24" spans="3:8" ht="15" x14ac:dyDescent="0.2">
      <c r="C24" s="81"/>
      <c r="D24" s="72"/>
      <c r="E24" s="558" t="s">
        <v>138</v>
      </c>
      <c r="F24" s="558"/>
      <c r="G24" s="558"/>
      <c r="H24" s="558"/>
    </row>
    <row r="25" spans="3:8" ht="15" x14ac:dyDescent="0.2">
      <c r="C25" s="81"/>
      <c r="D25" s="72"/>
      <c r="E25" s="558"/>
      <c r="F25" s="558"/>
      <c r="G25" s="558"/>
      <c r="H25" s="558"/>
    </row>
    <row r="26" spans="3:8" ht="15" x14ac:dyDescent="0.2">
      <c r="C26" s="81"/>
      <c r="D26" s="72"/>
      <c r="E26" s="558"/>
      <c r="F26" s="558"/>
      <c r="G26" s="558"/>
      <c r="H26" s="558"/>
    </row>
    <row r="27" spans="3:8" ht="15" x14ac:dyDescent="0.2">
      <c r="C27" s="81"/>
      <c r="D27" s="72"/>
      <c r="E27" s="558"/>
      <c r="F27" s="558"/>
      <c r="G27" s="558"/>
      <c r="H27" s="558"/>
    </row>
    <row r="28" spans="3:8" ht="15" x14ac:dyDescent="0.2">
      <c r="C28" s="81"/>
      <c r="D28" s="72"/>
      <c r="E28" s="558"/>
      <c r="F28" s="558"/>
      <c r="G28" s="558"/>
      <c r="H28" s="558"/>
    </row>
    <row r="29" spans="3:8" ht="15" x14ac:dyDescent="0.2">
      <c r="C29" s="81"/>
      <c r="D29" s="72"/>
      <c r="E29" s="558"/>
      <c r="F29" s="558"/>
      <c r="G29" s="558"/>
      <c r="H29" s="558"/>
    </row>
    <row r="30" spans="3:8" ht="15" x14ac:dyDescent="0.2">
      <c r="C30" s="81"/>
      <c r="D30" s="72"/>
      <c r="E30" s="558"/>
      <c r="F30" s="558"/>
      <c r="G30" s="558"/>
      <c r="H30" s="558"/>
    </row>
    <row r="31" spans="3:8" ht="15" x14ac:dyDescent="0.2">
      <c r="C31" s="247" t="s">
        <v>299</v>
      </c>
      <c r="E31" s="558"/>
      <c r="F31" s="558"/>
      <c r="G31" s="558"/>
      <c r="H31" s="558"/>
    </row>
    <row r="32" spans="3:8" ht="15" x14ac:dyDescent="0.2">
      <c r="C32" s="81"/>
      <c r="D32" s="72"/>
      <c r="E32" s="558"/>
      <c r="F32" s="558"/>
      <c r="G32" s="558"/>
      <c r="H32" s="558"/>
    </row>
    <row r="33" spans="3:8" ht="15" x14ac:dyDescent="0.2">
      <c r="C33" s="81"/>
      <c r="D33" s="72"/>
      <c r="E33" s="558"/>
      <c r="F33" s="558"/>
      <c r="G33" s="558"/>
      <c r="H33" s="558"/>
    </row>
    <row r="34" spans="3:8" ht="15" x14ac:dyDescent="0.2">
      <c r="C34" s="81"/>
      <c r="D34" s="72"/>
      <c r="E34" s="558"/>
      <c r="F34" s="558"/>
      <c r="G34" s="558"/>
      <c r="H34" s="558"/>
    </row>
    <row r="35" spans="3:8" ht="15" x14ac:dyDescent="0.2">
      <c r="C35" s="81"/>
      <c r="D35" s="72"/>
      <c r="E35" s="558"/>
      <c r="F35" s="558"/>
      <c r="G35" s="558"/>
      <c r="H35" s="558"/>
    </row>
    <row r="36" spans="3:8" ht="15" x14ac:dyDescent="0.2">
      <c r="C36" s="72"/>
      <c r="D36" s="72"/>
      <c r="E36" s="558"/>
      <c r="F36" s="558"/>
      <c r="G36" s="558"/>
      <c r="H36" s="558"/>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iWsRYIvp2zEufbaorBco8DJz0/d09ysxq3hM/DheZfjjeRCCO+kAbq5UW8/v4/tncLIepSzRSkW/ikM4ogh8Zw==" saltValue="OxQMalY1BmOZr+6j+pE7KA==" spinCount="100000" sheet="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2"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H30" sqref="H30:K30"/>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80" t="s">
        <v>107</v>
      </c>
      <c r="E1" s="580"/>
      <c r="F1" s="580"/>
      <c r="G1" s="580"/>
      <c r="H1" s="580"/>
      <c r="I1" s="580"/>
      <c r="J1" s="580"/>
      <c r="K1" s="580"/>
      <c r="L1" s="580"/>
      <c r="M1" s="580"/>
    </row>
    <row r="2" spans="1:18" ht="23.25" customHeight="1" x14ac:dyDescent="0.3">
      <c r="C2" s="229"/>
      <c r="D2" s="229" t="s">
        <v>254</v>
      </c>
      <c r="E2" s="229"/>
      <c r="F2" s="229"/>
      <c r="G2" s="229"/>
      <c r="H2" s="229"/>
      <c r="I2" s="229"/>
      <c r="J2" s="229"/>
      <c r="K2" s="229"/>
      <c r="L2" s="229"/>
      <c r="M2" s="229"/>
    </row>
    <row r="3" spans="1:18" ht="23.25" x14ac:dyDescent="0.35">
      <c r="C3" s="581"/>
      <c r="D3" s="581"/>
      <c r="E3" s="581"/>
      <c r="F3" s="581"/>
      <c r="G3" s="581"/>
      <c r="H3" s="581"/>
      <c r="I3" s="581"/>
      <c r="J3" s="581"/>
      <c r="K3" s="581"/>
      <c r="L3" s="581"/>
      <c r="M3" s="581"/>
    </row>
    <row r="4" spans="1:18" ht="23.25" x14ac:dyDescent="0.35">
      <c r="C4" s="213"/>
      <c r="D4" s="213"/>
      <c r="E4" s="213"/>
      <c r="F4" s="213"/>
      <c r="G4" s="213"/>
      <c r="H4" s="213"/>
      <c r="I4" s="213"/>
      <c r="J4" s="213"/>
      <c r="K4" s="213"/>
      <c r="L4" s="213"/>
      <c r="M4" s="213"/>
    </row>
    <row r="5" spans="1:18" ht="23.25" x14ac:dyDescent="0.35">
      <c r="C5" s="577" t="s">
        <v>6</v>
      </c>
      <c r="D5" s="577"/>
      <c r="E5" s="577"/>
      <c r="F5" s="577"/>
      <c r="G5" s="577"/>
      <c r="H5" s="577"/>
      <c r="I5" s="577"/>
      <c r="J5" s="577"/>
      <c r="K5" s="577"/>
      <c r="L5" s="577"/>
      <c r="M5" s="577"/>
    </row>
    <row r="6" spans="1:18" ht="23.25" x14ac:dyDescent="0.35">
      <c r="C6" s="214"/>
      <c r="D6" s="214"/>
      <c r="E6" s="597" t="str">
        <f>IFERROR(CONCATENATE("Report Number: ", WorkItemNumber),"")</f>
        <v/>
      </c>
      <c r="F6" s="597"/>
      <c r="G6" s="597"/>
      <c r="H6" s="597"/>
      <c r="I6" s="597"/>
      <c r="J6" s="597"/>
      <c r="K6" s="597"/>
      <c r="L6" s="214"/>
      <c r="M6" s="214"/>
    </row>
    <row r="7" spans="1:18" ht="18.75" customHeight="1" x14ac:dyDescent="0.3">
      <c r="G7" s="578"/>
      <c r="H7" s="578"/>
      <c r="I7" s="191"/>
      <c r="R7" t="str">
        <f>CONCATENATE("Page ",Main!L9," of ",Main!L10)</f>
        <v xml:space="preserve">Page  of </v>
      </c>
    </row>
    <row r="8" spans="1:18" ht="18" customHeight="1" x14ac:dyDescent="0.25">
      <c r="G8" s="590"/>
      <c r="H8" s="590"/>
      <c r="J8" s="78"/>
      <c r="K8" s="215" t="s">
        <v>251</v>
      </c>
      <c r="L8" s="601">
        <f>FormNumber</f>
        <v>0</v>
      </c>
      <c r="M8" s="601"/>
      <c r="N8" s="601"/>
      <c r="O8" s="601"/>
    </row>
    <row r="9" spans="1:18" ht="18" customHeight="1" x14ac:dyDescent="0.25">
      <c r="A9" s="215" t="s">
        <v>208</v>
      </c>
      <c r="B9" s="32" t="e">
        <f>Main!D5</f>
        <v>#N/A</v>
      </c>
      <c r="J9" s="78"/>
      <c r="K9" s="215" t="s">
        <v>252</v>
      </c>
      <c r="L9" s="592" t="str">
        <f>"JGI WP4100, "&amp;CalMethod</f>
        <v xml:space="preserve">JGI WP4100, </v>
      </c>
      <c r="M9" s="592"/>
      <c r="N9" s="592"/>
      <c r="O9" s="592"/>
    </row>
    <row r="10" spans="1:18" ht="18" customHeight="1" x14ac:dyDescent="0.25">
      <c r="A10" s="86"/>
      <c r="B10" s="210" t="str" cm="1">
        <f t="array" ref="B10">IFZERO('Customer Table'!R2,"")</f>
        <v/>
      </c>
      <c r="J10" s="78"/>
      <c r="K10" s="215"/>
      <c r="L10" s="592"/>
      <c r="M10" s="592"/>
      <c r="N10" s="592"/>
      <c r="O10" s="592"/>
    </row>
    <row r="11" spans="1:18" ht="18" customHeight="1" x14ac:dyDescent="0.25">
      <c r="A11" s="86"/>
      <c r="B11" s="210" t="str" cm="1">
        <f t="array" ref="B11">IFZERO('Customer Table'!S2,"")</f>
        <v/>
      </c>
      <c r="J11" s="78"/>
      <c r="K11" s="215" t="s">
        <v>253</v>
      </c>
      <c r="L11" s="601">
        <f>TolSource</f>
        <v>0</v>
      </c>
      <c r="M11" s="601"/>
      <c r="N11" s="601"/>
      <c r="O11" s="601"/>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209</v>
      </c>
      <c r="B14" s="217">
        <f>Item</f>
        <v>0</v>
      </c>
      <c r="C14" s="218"/>
      <c r="D14" s="218"/>
      <c r="E14" s="218"/>
      <c r="F14" s="192"/>
      <c r="G14" s="206" t="s">
        <v>214</v>
      </c>
      <c r="H14" s="217" t="e" cm="1">
        <f t="array" ref="H14">_xlfn.TEXTJOIN(", ",, _xlfn._xlws.FILTER(UUTRangeTol[RangeText], UUTRangeTol[AssetId]=AssetId))</f>
        <v>#N/A</v>
      </c>
      <c r="I14" s="192"/>
      <c r="J14" s="192"/>
      <c r="K14" s="192"/>
      <c r="L14" s="192"/>
      <c r="M14" s="206" t="s">
        <v>219</v>
      </c>
      <c r="N14" s="217" t="str">
        <f>Main!D7</f>
        <v>Jeff Hall</v>
      </c>
      <c r="O14" s="193"/>
    </row>
    <row r="15" spans="1:18" ht="18" customHeight="1" x14ac:dyDescent="0.25">
      <c r="A15" s="221" t="s">
        <v>210</v>
      </c>
      <c r="B15" s="219">
        <f>ModelNumber</f>
        <v>0</v>
      </c>
      <c r="C15" s="210"/>
      <c r="D15" s="210"/>
      <c r="E15" s="210"/>
      <c r="G15" s="215" t="s">
        <v>215</v>
      </c>
      <c r="H15" s="219" t="e">
        <f>Main!D19</f>
        <v>#N/A</v>
      </c>
      <c r="M15" s="215" t="s">
        <v>220</v>
      </c>
      <c r="N15" s="223">
        <f>Main!D3</f>
        <v>0</v>
      </c>
      <c r="O15" s="194"/>
    </row>
    <row r="16" spans="1:18" ht="18" customHeight="1" x14ac:dyDescent="0.25">
      <c r="A16" s="221" t="s">
        <v>211</v>
      </c>
      <c r="B16" s="593">
        <f>SerialNumber</f>
        <v>0</v>
      </c>
      <c r="C16" s="593"/>
      <c r="D16" s="593"/>
      <c r="E16" s="593"/>
      <c r="G16" s="215" t="s">
        <v>216</v>
      </c>
      <c r="H16" s="219">
        <f>HeatingMethod</f>
        <v>0</v>
      </c>
      <c r="M16" s="215" t="s">
        <v>221</v>
      </c>
      <c r="N16" s="223" t="e">
        <f>IF(CalInterval="N/A", "N/A", EDATE(N15, CHOOSE(MATCH(CalInterval, {"M","2 Mo","Q","4 Mo","6 Mo","A","2Yr","3Yr"}, 0), 1, 2, 3, 4, 6, 12, 24, 36)))</f>
        <v>#N/A</v>
      </c>
      <c r="O16" s="194"/>
    </row>
    <row r="17" spans="1:19" ht="18" customHeight="1" x14ac:dyDescent="0.25">
      <c r="A17" s="221" t="s">
        <v>212</v>
      </c>
      <c r="B17" s="244">
        <f>UnitNumber</f>
        <v>0</v>
      </c>
      <c r="C17" s="210"/>
      <c r="D17" s="210"/>
      <c r="E17" s="210"/>
      <c r="G17" s="215" t="s">
        <v>217</v>
      </c>
      <c r="H17" s="219">
        <f>WorkingZoneSize</f>
        <v>0</v>
      </c>
      <c r="M17" s="215" t="str">
        <f>IF(Main!K13="","","PO:")</f>
        <v/>
      </c>
      <c r="N17" s="219" t="str">
        <f>IF(Main!K13="","",Main!K13)</f>
        <v/>
      </c>
      <c r="O17" s="194"/>
    </row>
    <row r="18" spans="1:19" ht="18" customHeight="1" x14ac:dyDescent="0.25">
      <c r="A18" s="221" t="s">
        <v>213</v>
      </c>
      <c r="B18" s="584">
        <f>Class</f>
        <v>0</v>
      </c>
      <c r="C18" s="584"/>
      <c r="D18" s="584"/>
      <c r="E18" s="584"/>
      <c r="G18" s="215" t="s">
        <v>218</v>
      </c>
      <c r="H18" s="219">
        <f>CubicFeet</f>
        <v>0</v>
      </c>
      <c r="M18" s="215" t="s">
        <v>222</v>
      </c>
      <c r="N18" s="219" t="str">
        <f>Main!G18</f>
        <v>ACCEPTED</v>
      </c>
      <c r="O18" s="194"/>
    </row>
    <row r="19" spans="1:19" ht="18" customHeight="1" x14ac:dyDescent="0.25">
      <c r="A19" s="205"/>
      <c r="B19" s="585"/>
      <c r="C19" s="585"/>
      <c r="D19" s="585"/>
      <c r="E19" s="585"/>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223</v>
      </c>
      <c r="B21" s="594">
        <f>Controller</f>
        <v>0</v>
      </c>
      <c r="C21" s="594"/>
      <c r="D21" s="594"/>
      <c r="E21" s="594"/>
      <c r="F21" s="206" t="s">
        <v>225</v>
      </c>
      <c r="G21" s="594">
        <f>ContSN</f>
        <v>0</v>
      </c>
      <c r="H21" s="594"/>
      <c r="I21" s="594"/>
      <c r="J21" s="206" t="s">
        <v>226</v>
      </c>
      <c r="K21" s="218">
        <f>ContTol</f>
        <v>0</v>
      </c>
      <c r="L21" s="192"/>
      <c r="M21" s="206" t="s">
        <v>227</v>
      </c>
      <c r="N21" s="231" t="str">
        <f>Main!G27</f>
        <v/>
      </c>
      <c r="O21" s="193"/>
    </row>
    <row r="22" spans="1:19" ht="18" customHeight="1" x14ac:dyDescent="0.25">
      <c r="A22" s="224" t="s">
        <v>224</v>
      </c>
      <c r="B22" s="595">
        <f>_xlnm.Recorder</f>
        <v>0</v>
      </c>
      <c r="C22" s="595"/>
      <c r="D22" s="595"/>
      <c r="E22" s="595"/>
      <c r="F22" s="207" t="s">
        <v>225</v>
      </c>
      <c r="G22" s="595">
        <f>RecSN</f>
        <v>0</v>
      </c>
      <c r="H22" s="595"/>
      <c r="I22" s="595"/>
      <c r="J22" s="207" t="s">
        <v>226</v>
      </c>
      <c r="K22" s="230">
        <f>RecTol</f>
        <v>0</v>
      </c>
      <c r="L22" s="195"/>
      <c r="M22" s="207" t="s">
        <v>227</v>
      </c>
      <c r="N22" s="232" t="str">
        <f>Main!G28</f>
        <v/>
      </c>
      <c r="O22" s="196"/>
    </row>
    <row r="23" spans="1:19" ht="8.1" customHeight="1" x14ac:dyDescent="0.25">
      <c r="A23" s="78"/>
      <c r="B23" s="210"/>
      <c r="C23" s="210"/>
      <c r="D23" s="210"/>
      <c r="E23" s="199"/>
    </row>
    <row r="24" spans="1:19" ht="18" customHeight="1" x14ac:dyDescent="0.25">
      <c r="A24" s="220" t="s">
        <v>228</v>
      </c>
      <c r="B24" s="226">
        <f>NominalTemp</f>
        <v>0</v>
      </c>
      <c r="C24" s="218"/>
      <c r="D24" s="218"/>
      <c r="E24" s="200"/>
      <c r="F24" s="192"/>
      <c r="G24" s="206" t="s">
        <v>231</v>
      </c>
      <c r="H24" s="208">
        <f>Main!D26</f>
        <v>0</v>
      </c>
      <c r="I24" s="192"/>
      <c r="J24" s="192"/>
      <c r="K24" s="192"/>
      <c r="L24" s="204"/>
      <c r="M24" s="206" t="s">
        <v>234</v>
      </c>
      <c r="N24" s="218" t="str">
        <f>TEXT(Main!L4,"0.0") &amp; Unit &amp; " / " &amp; TEXT(Main!L5,"0.0") &amp; Unit</f>
        <v>0.0°F / 0.0°F</v>
      </c>
      <c r="O24" s="193"/>
    </row>
    <row r="25" spans="1:19" ht="18" customHeight="1" x14ac:dyDescent="0.25">
      <c r="A25" s="221" t="s">
        <v>229</v>
      </c>
      <c r="B25" s="227">
        <f>Main!D15</f>
        <v>0</v>
      </c>
      <c r="C25" s="210"/>
      <c r="D25" s="210"/>
      <c r="E25" s="199"/>
      <c r="G25" s="215" t="s">
        <v>232</v>
      </c>
      <c r="H25" s="209" t="str">
        <f>Main!E29</f>
        <v/>
      </c>
      <c r="L25" s="78"/>
      <c r="M25" s="215" t="s">
        <v>235</v>
      </c>
      <c r="N25" s="210" t="str">
        <f>IF(Main!H17=TRUE,Main!G17,"VERIFY LOAD!!!")</f>
        <v/>
      </c>
      <c r="O25" s="194"/>
      <c r="R25" s="136"/>
      <c r="S25" s="72"/>
    </row>
    <row r="26" spans="1:19" ht="18" customHeight="1" x14ac:dyDescent="0.25">
      <c r="A26" s="221" t="s">
        <v>230</v>
      </c>
      <c r="B26" s="210" t="s">
        <v>200</v>
      </c>
      <c r="C26" s="210"/>
      <c r="D26" s="210"/>
      <c r="E26" s="199"/>
      <c r="G26" s="215" t="s">
        <v>233</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91" t="s">
        <v>236</v>
      </c>
      <c r="D27" s="591"/>
      <c r="E27" s="591"/>
      <c r="F27" s="591"/>
      <c r="G27" s="591"/>
      <c r="H27" s="591"/>
      <c r="I27" s="591"/>
      <c r="J27" s="591"/>
      <c r="K27" s="591"/>
      <c r="L27" s="591"/>
      <c r="M27" s="591"/>
      <c r="N27" s="195"/>
      <c r="O27" s="196"/>
    </row>
    <row r="28" spans="1:19" ht="8.1" customHeight="1" x14ac:dyDescent="0.2"/>
    <row r="29" spans="1:19" ht="18" customHeight="1" x14ac:dyDescent="0.2">
      <c r="A29" s="587" t="s">
        <v>206</v>
      </c>
      <c r="B29" s="588"/>
      <c r="C29" s="589"/>
      <c r="D29" s="587" t="s">
        <v>237</v>
      </c>
      <c r="E29" s="588"/>
      <c r="F29" s="588"/>
      <c r="G29" s="589"/>
      <c r="H29" s="587" t="s">
        <v>207</v>
      </c>
      <c r="I29" s="588"/>
      <c r="J29" s="588"/>
      <c r="K29" s="589"/>
      <c r="L29" s="587" t="s">
        <v>193</v>
      </c>
      <c r="M29" s="588"/>
      <c r="N29" s="588"/>
      <c r="O29" s="589"/>
    </row>
    <row r="30" spans="1:19" ht="18" customHeight="1" x14ac:dyDescent="0.2">
      <c r="A30" s="211"/>
      <c r="B30" s="201" t="s">
        <v>427</v>
      </c>
      <c r="C30" s="212"/>
      <c r="D30" s="570" t="str">
        <f>CONCATENATE(Main!D22,Unit," / ",Main!D23,"% RH")</f>
        <v>°F / % RH</v>
      </c>
      <c r="E30" s="571"/>
      <c r="F30" s="571"/>
      <c r="G30" s="572"/>
      <c r="H30" s="570">
        <f>OvenLocation</f>
        <v>0</v>
      </c>
      <c r="I30" s="571"/>
      <c r="J30" s="571"/>
      <c r="K30" s="572"/>
      <c r="L30" s="570" t="str">
        <f>Main!D4</f>
        <v/>
      </c>
      <c r="M30" s="571"/>
      <c r="N30" s="571"/>
      <c r="O30" s="572"/>
    </row>
    <row r="31" spans="1:19" ht="18" customHeight="1" x14ac:dyDescent="0.2"/>
    <row r="32" spans="1:19" ht="18" customHeight="1" x14ac:dyDescent="0.25">
      <c r="A32" s="234" t="s">
        <v>238</v>
      </c>
      <c r="B32" s="579" t="s">
        <v>239</v>
      </c>
      <c r="C32" s="579"/>
      <c r="D32" s="234" t="s">
        <v>202</v>
      </c>
      <c r="E32" s="234" t="s">
        <v>201</v>
      </c>
      <c r="F32" s="234" t="s">
        <v>240</v>
      </c>
      <c r="G32" s="78"/>
      <c r="H32" s="78"/>
      <c r="I32" s="234" t="s">
        <v>238</v>
      </c>
      <c r="J32" s="579" t="s">
        <v>239</v>
      </c>
      <c r="K32" s="579"/>
      <c r="L32" s="234" t="s">
        <v>202</v>
      </c>
      <c r="M32" s="234" t="s">
        <v>201</v>
      </c>
      <c r="N32" s="234" t="s">
        <v>240</v>
      </c>
    </row>
    <row r="33" spans="1:14" ht="18" customHeight="1" x14ac:dyDescent="0.2">
      <c r="A33" s="235" t="str">
        <f>IF(B33="","",1)</f>
        <v/>
      </c>
      <c r="B33" s="578" t="str">
        <f>IF(Main!O5="","",Main!O5)</f>
        <v/>
      </c>
      <c r="C33" s="578"/>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78" t="str">
        <f>IF(Main!O25="","",Main!O25)</f>
        <v/>
      </c>
      <c r="K33" s="578"/>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78" t="str">
        <f>IF(Main!O6="","",Main!O6)</f>
        <v/>
      </c>
      <c r="C34" s="578"/>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78" t="str">
        <f>IF(Main!O26="","",Main!O26)</f>
        <v/>
      </c>
      <c r="K34" s="578"/>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78" t="str">
        <f>IF(Main!O7="","",Main!O7)</f>
        <v/>
      </c>
      <c r="C35" s="578"/>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78" t="str">
        <f>IF(Main!O27="","",Main!O27)</f>
        <v/>
      </c>
      <c r="K35" s="578"/>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78" t="str">
        <f>IF(Main!O8="","",Main!O8)</f>
        <v/>
      </c>
      <c r="C36" s="578"/>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78" t="str">
        <f>IF(Main!O28="","",Main!O28)</f>
        <v/>
      </c>
      <c r="K36" s="578"/>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78" t="str">
        <f>IF(Main!O9="","",Main!O9)</f>
        <v/>
      </c>
      <c r="C37" s="578"/>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78" t="str">
        <f>IF(Main!O29="","",Main!O29)</f>
        <v/>
      </c>
      <c r="K37" s="578"/>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78" t="str">
        <f>IF(Main!O10="","",Main!O10)</f>
        <v/>
      </c>
      <c r="C38" s="578"/>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78" t="str">
        <f>IF(Main!O30="","",Main!O30)</f>
        <v/>
      </c>
      <c r="K38" s="578"/>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78" t="str">
        <f>IF(Main!O11="","",Main!O11)</f>
        <v/>
      </c>
      <c r="C39" s="578"/>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78" t="str">
        <f>IF(Main!O31="","",Main!O31)</f>
        <v/>
      </c>
      <c r="K39" s="578"/>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78" t="str">
        <f>IF(Main!O12="","",Main!O12)</f>
        <v/>
      </c>
      <c r="C40" s="578"/>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78" t="str">
        <f>IF(Main!O32="","",Main!O32)</f>
        <v/>
      </c>
      <c r="K40" s="578"/>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78" t="str">
        <f>IF(Main!O13="","",Main!O13)</f>
        <v/>
      </c>
      <c r="C41" s="578"/>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78" t="str">
        <f>IF(Main!O33="","",Main!O33)</f>
        <v/>
      </c>
      <c r="K41" s="578"/>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78" t="str">
        <f>IF(Main!O14="","",Main!O14)</f>
        <v/>
      </c>
      <c r="C42" s="578"/>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78" t="str">
        <f>IF(Main!O34="","",Main!O34)</f>
        <v/>
      </c>
      <c r="K42" s="578"/>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78" t="str">
        <f>IF(Main!O15="","",Main!O15)</f>
        <v/>
      </c>
      <c r="C43" s="578"/>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78" t="str">
        <f>IF(Main!O35="","",Main!O35)</f>
        <v/>
      </c>
      <c r="K43" s="578"/>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78" t="str">
        <f>IF(Main!O16="","",Main!O16)</f>
        <v/>
      </c>
      <c r="C44" s="578"/>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78" t="str">
        <f>IF(Main!O36="","",Main!O36)</f>
        <v/>
      </c>
      <c r="K44" s="578"/>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78" t="str">
        <f>IF(Main!O17="","",Main!O17)</f>
        <v/>
      </c>
      <c r="C45" s="578"/>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78" t="str">
        <f>IF(Main!O37="","",Main!O37)</f>
        <v/>
      </c>
      <c r="K45" s="578"/>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78" t="str">
        <f>IF(Main!O18="","",Main!O18)</f>
        <v/>
      </c>
      <c r="C46" s="578"/>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78" t="str">
        <f>IF(Main!O38="","",Main!O38)</f>
        <v/>
      </c>
      <c r="K46" s="578"/>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78" t="str">
        <f>IF(Main!O19="","",Main!O19)</f>
        <v/>
      </c>
      <c r="C47" s="578"/>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78" t="str">
        <f>IF(Main!O39="","",Main!O39)</f>
        <v/>
      </c>
      <c r="K47" s="578"/>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78" t="str">
        <f>IF(Main!O20="","",Main!O20)</f>
        <v/>
      </c>
      <c r="C48" s="578"/>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78" t="str">
        <f>IF(Main!O40="","",Main!O40)</f>
        <v/>
      </c>
      <c r="K48" s="578"/>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78" t="str">
        <f>IF(Main!O21="","",Main!O21)</f>
        <v/>
      </c>
      <c r="C49" s="578"/>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78" t="str">
        <f>IF(Main!O41="","",Main!O41)</f>
        <v/>
      </c>
      <c r="K49" s="578"/>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78" t="str">
        <f>IF(Main!O22="","",Main!O22)</f>
        <v/>
      </c>
      <c r="C50" s="578"/>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78" t="str">
        <f>IF(Main!O42="","",Main!O42)</f>
        <v/>
      </c>
      <c r="K50" s="578"/>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78" t="str">
        <f>IF(Main!O23="","",Main!O23)</f>
        <v/>
      </c>
      <c r="C51" s="578"/>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78" t="str">
        <f>IF(Main!O43="","",Main!O43)</f>
        <v/>
      </c>
      <c r="K51" s="578"/>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78" t="str">
        <f>IF(Main!O24="","",Main!O24)</f>
        <v/>
      </c>
      <c r="C52" s="578"/>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78" t="str">
        <f>IF(Main!O44="","",Main!O44)</f>
        <v/>
      </c>
      <c r="K52" s="578"/>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83" t="s">
        <v>241</v>
      </c>
      <c r="C53" s="583"/>
      <c r="D53" s="583"/>
      <c r="E53" s="583"/>
      <c r="F53" s="583"/>
      <c r="G53" s="583"/>
      <c r="H53" s="583"/>
      <c r="I53" s="583"/>
      <c r="J53" s="583"/>
      <c r="K53" s="583"/>
      <c r="L53" s="583"/>
      <c r="M53" s="583"/>
      <c r="N53" s="583"/>
    </row>
    <row r="54" spans="1:21" ht="18" customHeight="1" x14ac:dyDescent="0.25">
      <c r="A54" s="237" t="s">
        <v>242</v>
      </c>
      <c r="B54" s="592" t="str">
        <f>CONCATENATE(Main!G23,"  ",FurnaceSpecificComments,Main!V24)</f>
        <v xml:space="preserve">Found in tolerance.  No adjustment required.  </v>
      </c>
      <c r="C54" s="592"/>
      <c r="D54" s="592"/>
      <c r="E54" s="592"/>
      <c r="F54" s="592"/>
      <c r="G54" s="592"/>
      <c r="H54" s="592"/>
      <c r="I54" s="592"/>
      <c r="J54" s="592"/>
      <c r="K54" s="592"/>
      <c r="L54" s="592"/>
      <c r="M54" s="592"/>
      <c r="N54" s="592"/>
      <c r="O54" s="592"/>
    </row>
    <row r="55" spans="1:21" ht="18" customHeight="1" x14ac:dyDescent="0.25">
      <c r="A55" s="75"/>
      <c r="B55" s="592"/>
      <c r="C55" s="592"/>
      <c r="D55" s="592"/>
      <c r="E55" s="592"/>
      <c r="F55" s="592"/>
      <c r="G55" s="592"/>
      <c r="H55" s="592"/>
      <c r="I55" s="592"/>
      <c r="J55" s="592"/>
      <c r="K55" s="592"/>
      <c r="L55" s="592"/>
      <c r="M55" s="592"/>
      <c r="N55" s="592"/>
      <c r="O55" s="592"/>
    </row>
    <row r="56" spans="1:21" ht="18" customHeight="1" x14ac:dyDescent="0.25">
      <c r="A56" s="75"/>
      <c r="B56" s="592"/>
      <c r="C56" s="592"/>
      <c r="D56" s="592"/>
      <c r="E56" s="592"/>
      <c r="F56" s="592"/>
      <c r="G56" s="592"/>
      <c r="H56" s="592"/>
      <c r="I56" s="592"/>
      <c r="J56" s="592"/>
      <c r="K56" s="592"/>
      <c r="L56" s="592"/>
      <c r="M56" s="592"/>
      <c r="N56" s="592"/>
      <c r="O56" s="592"/>
    </row>
    <row r="57" spans="1:21" ht="18" customHeight="1" x14ac:dyDescent="0.25">
      <c r="A57" s="75"/>
      <c r="B57" s="592"/>
      <c r="C57" s="592"/>
      <c r="D57" s="592"/>
      <c r="E57" s="592"/>
      <c r="F57" s="592"/>
      <c r="G57" s="592"/>
      <c r="H57" s="592"/>
      <c r="I57" s="592"/>
      <c r="J57" s="592"/>
      <c r="K57" s="592"/>
      <c r="L57" s="592"/>
      <c r="M57" s="592"/>
      <c r="N57" s="592"/>
      <c r="O57" s="592"/>
    </row>
    <row r="58" spans="1:21" ht="18" customHeight="1" x14ac:dyDescent="0.25">
      <c r="A58" s="75"/>
      <c r="B58" s="592"/>
      <c r="C58" s="592"/>
      <c r="D58" s="592"/>
      <c r="E58" s="592"/>
      <c r="F58" s="592"/>
      <c r="G58" s="592"/>
      <c r="H58" s="592"/>
      <c r="I58" s="592"/>
      <c r="J58" s="592"/>
      <c r="K58" s="592"/>
      <c r="L58" s="592"/>
      <c r="M58" s="592"/>
      <c r="N58" s="592"/>
      <c r="O58" s="592"/>
    </row>
    <row r="59" spans="1:21" ht="18" customHeight="1" x14ac:dyDescent="0.25">
      <c r="A59" s="75"/>
      <c r="B59" s="592"/>
      <c r="C59" s="592"/>
      <c r="D59" s="592"/>
      <c r="E59" s="592"/>
      <c r="F59" s="592"/>
      <c r="G59" s="592"/>
      <c r="H59" s="592"/>
      <c r="I59" s="592"/>
      <c r="J59" s="592"/>
      <c r="K59" s="592"/>
      <c r="L59" s="592"/>
      <c r="M59" s="592"/>
      <c r="N59" s="592"/>
      <c r="O59" s="592"/>
    </row>
    <row r="60" spans="1:21" ht="18" customHeight="1" x14ac:dyDescent="0.2">
      <c r="A60" s="582" t="s">
        <v>250</v>
      </c>
      <c r="B60" s="582"/>
      <c r="C60" s="582"/>
      <c r="D60" s="582"/>
      <c r="E60" s="582"/>
      <c r="F60" s="582"/>
      <c r="G60" s="582"/>
      <c r="H60" s="582"/>
      <c r="I60" s="582"/>
      <c r="J60" s="582"/>
      <c r="K60" s="582"/>
      <c r="L60" s="582"/>
      <c r="M60" s="582"/>
      <c r="N60" s="582"/>
      <c r="O60" s="582"/>
    </row>
    <row r="61" spans="1:21" ht="18" customHeight="1" x14ac:dyDescent="0.2">
      <c r="A61" s="586" t="s">
        <v>243</v>
      </c>
      <c r="B61" s="586"/>
      <c r="C61" s="586"/>
      <c r="D61" s="586"/>
      <c r="E61" s="586"/>
      <c r="F61" s="600" t="s">
        <v>244</v>
      </c>
      <c r="G61" s="600"/>
      <c r="H61" s="600"/>
      <c r="I61" s="600" t="s">
        <v>245</v>
      </c>
      <c r="J61" s="600"/>
      <c r="K61" s="600" t="s">
        <v>246</v>
      </c>
      <c r="L61" s="600"/>
      <c r="M61" s="600" t="s">
        <v>247</v>
      </c>
      <c r="N61" s="600"/>
      <c r="O61" s="600"/>
      <c r="R61" s="36" t="s">
        <v>329</v>
      </c>
      <c r="T61" s="36" t="s">
        <v>330</v>
      </c>
      <c r="U61" s="36" t="s">
        <v>65</v>
      </c>
    </row>
    <row r="62" spans="1:21" ht="18" customHeight="1" x14ac:dyDescent="0.2">
      <c r="A62" s="567" t="str">
        <f>IF(F62="","",CONCATENATE(T62," - ",R62))</f>
        <v/>
      </c>
      <c r="B62" s="568"/>
      <c r="C62" s="568"/>
      <c r="D62" s="568"/>
      <c r="E62" s="569"/>
      <c r="F62" s="567" t="str" cm="1">
        <f t="array" ref="F62">IFERROR(
  _xlfn.XLOOKUP(
    Main!D9,
    _xlfn._xlws.FILTER(AssetPool[AssetTag], AssetPool[RootCategoryName]= "DAQ Modules"),
    _xlfn._xlws.FILTER(AssetPool[SerialNumber], AssetPool[RootCategoryName]= "DAQ Modules")
  ),
  ""
)</f>
        <v/>
      </c>
      <c r="G62" s="568"/>
      <c r="H62" s="569"/>
      <c r="I62" s="598" t="str">
        <f>IF(F62="","",Main!D12)</f>
        <v/>
      </c>
      <c r="J62" s="599"/>
      <c r="K62" s="598" t="str">
        <f>IF(F62="","",Main!D13)</f>
        <v/>
      </c>
      <c r="L62" s="599"/>
      <c r="M62" s="564" t="str">
        <f>IF(F62="","",Main!D14)</f>
        <v/>
      </c>
      <c r="N62" s="565"/>
      <c r="O62" s="566"/>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61" t="str">
        <f>IF(Q63="","",CONCATENATE("Type """,U63,""" Thermocouple"))</f>
        <v/>
      </c>
      <c r="B63" s="562"/>
      <c r="C63" s="562"/>
      <c r="D63" s="562"/>
      <c r="E63" s="563"/>
      <c r="F63" s="561" t="str">
        <f>IF(Main!D48="","",Main!D48)</f>
        <v/>
      </c>
      <c r="G63" s="562"/>
      <c r="H63" s="563"/>
      <c r="I63" s="575" t="str">
        <f>IF(Q63="","",Main!D49)</f>
        <v/>
      </c>
      <c r="J63" s="576"/>
      <c r="K63" s="575" t="str">
        <f>IF(Q63="","",Main!D50)</f>
        <v/>
      </c>
      <c r="L63" s="576"/>
      <c r="M63" s="561" t="str">
        <f>IF(Q63="","",Main!D54)</f>
        <v/>
      </c>
      <c r="N63" s="562"/>
      <c r="O63" s="563"/>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61" t="str">
        <f t="shared" ref="A64:A69" si="0">IF(Q64="","",CONCATENATE("Type """,U64,""" Thermocouple"))</f>
        <v/>
      </c>
      <c r="B64" s="562"/>
      <c r="C64" s="562"/>
      <c r="D64" s="562"/>
      <c r="E64" s="563"/>
      <c r="F64" s="561" t="str">
        <f>IF(Main!E48="","",Main!E48)</f>
        <v/>
      </c>
      <c r="G64" s="562"/>
      <c r="H64" s="563"/>
      <c r="I64" s="575" t="str">
        <f>IF(Q64="","",Main!E49)</f>
        <v/>
      </c>
      <c r="J64" s="576"/>
      <c r="K64" s="575" t="str">
        <f>IF(Q64="","",Main!E50)</f>
        <v/>
      </c>
      <c r="L64" s="576"/>
      <c r="M64" s="561" t="str">
        <f>IF(Q64="","",Main!E54)</f>
        <v/>
      </c>
      <c r="N64" s="562"/>
      <c r="O64" s="563"/>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61" t="str">
        <f t="shared" si="0"/>
        <v/>
      </c>
      <c r="B65" s="562"/>
      <c r="C65" s="562"/>
      <c r="D65" s="562"/>
      <c r="E65" s="563"/>
      <c r="F65" s="561" t="str">
        <f>IF(Main!F48="","",Main!F48)</f>
        <v/>
      </c>
      <c r="G65" s="562"/>
      <c r="H65" s="563"/>
      <c r="I65" s="575" t="str">
        <f>IF(Q65="","",Main!F49)</f>
        <v/>
      </c>
      <c r="J65" s="576"/>
      <c r="K65" s="575" t="str">
        <f>IF(Q65="","",Main!F50)</f>
        <v/>
      </c>
      <c r="L65" s="576"/>
      <c r="M65" s="561" t="str">
        <f>IF(Q65="","",Main!F54)</f>
        <v/>
      </c>
      <c r="N65" s="562"/>
      <c r="O65" s="563"/>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61" t="str">
        <f t="shared" si="0"/>
        <v/>
      </c>
      <c r="B66" s="562"/>
      <c r="C66" s="562"/>
      <c r="D66" s="562"/>
      <c r="E66" s="563"/>
      <c r="F66" s="561" t="str">
        <f>IF(Main!G48="","",Main!G48)</f>
        <v/>
      </c>
      <c r="G66" s="562"/>
      <c r="H66" s="563"/>
      <c r="I66" s="575" t="str">
        <f>IF(Q66="","",Main!G49)</f>
        <v/>
      </c>
      <c r="J66" s="576"/>
      <c r="K66" s="575" t="str">
        <f>IF(Q66="","",Main!G50)</f>
        <v/>
      </c>
      <c r="L66" s="576"/>
      <c r="M66" s="561" t="str">
        <f>IF(Q66="","",Main!G54)</f>
        <v/>
      </c>
      <c r="N66" s="562"/>
      <c r="O66" s="563"/>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61" t="str">
        <f t="shared" si="0"/>
        <v/>
      </c>
      <c r="B67" s="562"/>
      <c r="C67" s="562"/>
      <c r="D67" s="562"/>
      <c r="E67" s="563"/>
      <c r="F67" s="561" t="str">
        <f>IF(Main!H48="","",Main!H48)</f>
        <v/>
      </c>
      <c r="G67" s="562"/>
      <c r="H67" s="563"/>
      <c r="I67" s="575" t="str">
        <f>IF(Q67="","",Main!H49)</f>
        <v/>
      </c>
      <c r="J67" s="576"/>
      <c r="K67" s="575" t="str">
        <f>IF(Q67="","",Main!H50)</f>
        <v/>
      </c>
      <c r="L67" s="576"/>
      <c r="M67" s="561" t="str">
        <f>IF(Q67="","",Main!H54)</f>
        <v/>
      </c>
      <c r="N67" s="562"/>
      <c r="O67" s="563"/>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61" t="str">
        <f t="shared" si="0"/>
        <v/>
      </c>
      <c r="B68" s="562"/>
      <c r="C68" s="562"/>
      <c r="D68" s="562"/>
      <c r="E68" s="563"/>
      <c r="F68" s="561" t="str">
        <f>IF(Main!I48="","",Main!I48)</f>
        <v/>
      </c>
      <c r="G68" s="562"/>
      <c r="H68" s="563"/>
      <c r="I68" s="575" t="str">
        <f>IF(Q68="","",Main!I49)</f>
        <v/>
      </c>
      <c r="J68" s="576"/>
      <c r="K68" s="575" t="str">
        <f>IF(Q68="","",Main!I50)</f>
        <v/>
      </c>
      <c r="L68" s="576"/>
      <c r="M68" s="561" t="str">
        <f>IF(Q68="","",Main!I54)</f>
        <v/>
      </c>
      <c r="N68" s="562"/>
      <c r="O68" s="563"/>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61" t="str">
        <f t="shared" si="0"/>
        <v/>
      </c>
      <c r="B69" s="562"/>
      <c r="C69" s="562"/>
      <c r="D69" s="562"/>
      <c r="E69" s="563"/>
      <c r="F69" s="570" t="str">
        <f>IF(Main!J48="","",Main!J48)</f>
        <v/>
      </c>
      <c r="G69" s="571"/>
      <c r="H69" s="572"/>
      <c r="I69" s="573" t="str">
        <f>IF(Q69="","",Main!J49)</f>
        <v/>
      </c>
      <c r="J69" s="574"/>
      <c r="K69" s="573" t="str">
        <f>IF(Q69="","",Main!J50)</f>
        <v/>
      </c>
      <c r="L69" s="574"/>
      <c r="M69" s="570" t="str">
        <f>IF(Q69="","",Main!J54)</f>
        <v/>
      </c>
      <c r="N69" s="571"/>
      <c r="O69" s="572"/>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96" t="s">
        <v>431</v>
      </c>
      <c r="B71" s="596"/>
      <c r="C71" s="596"/>
      <c r="D71" s="596"/>
      <c r="E71" s="596"/>
      <c r="F71" s="596"/>
      <c r="G71" s="596"/>
      <c r="H71" s="596"/>
      <c r="I71" s="596"/>
      <c r="J71" s="596"/>
      <c r="K71" s="596"/>
      <c r="L71" s="596"/>
      <c r="M71" s="596"/>
      <c r="N71" s="596"/>
      <c r="O71" s="596"/>
    </row>
    <row r="72" spans="1:21" ht="18" customHeight="1" x14ac:dyDescent="0.2">
      <c r="A72" s="596"/>
      <c r="B72" s="596"/>
      <c r="C72" s="596"/>
      <c r="D72" s="596"/>
      <c r="E72" s="596"/>
      <c r="F72" s="596"/>
      <c r="G72" s="596"/>
      <c r="H72" s="596"/>
      <c r="I72" s="596"/>
      <c r="J72" s="596"/>
      <c r="K72" s="596"/>
      <c r="L72" s="596"/>
      <c r="M72" s="596"/>
      <c r="N72" s="596"/>
      <c r="O72" s="596"/>
    </row>
    <row r="73" spans="1:21" ht="18" customHeight="1" x14ac:dyDescent="0.2">
      <c r="A73" s="596"/>
      <c r="B73" s="596"/>
      <c r="C73" s="596"/>
      <c r="D73" s="596"/>
      <c r="E73" s="596"/>
      <c r="F73" s="596"/>
      <c r="G73" s="596"/>
      <c r="H73" s="596"/>
      <c r="I73" s="596"/>
      <c r="J73" s="596"/>
      <c r="K73" s="596"/>
      <c r="L73" s="596"/>
      <c r="M73" s="596"/>
      <c r="N73" s="596"/>
      <c r="O73" s="596"/>
    </row>
    <row r="74" spans="1:21" ht="18" customHeight="1" x14ac:dyDescent="0.2">
      <c r="A74" s="596"/>
      <c r="B74" s="596"/>
      <c r="C74" s="596"/>
      <c r="D74" s="596"/>
      <c r="E74" s="596"/>
      <c r="F74" s="596"/>
      <c r="G74" s="596"/>
      <c r="H74" s="596"/>
      <c r="I74" s="596"/>
      <c r="J74" s="596"/>
      <c r="K74" s="596"/>
      <c r="L74" s="596"/>
      <c r="M74" s="596"/>
      <c r="N74" s="596"/>
      <c r="O74" s="596"/>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248</v>
      </c>
      <c r="N80" s="233" t="s">
        <v>249</v>
      </c>
    </row>
    <row r="81" ht="15" customHeight="1" x14ac:dyDescent="0.2"/>
    <row r="82" ht="15" customHeight="1" x14ac:dyDescent="0.2"/>
  </sheetData>
  <sheetProtection algorithmName="SHA-512" hashValue="p1SCXnRwD8z4nnrPVAtRvhVFYSznF5godnjtUOF/YJ8g+1TC5Ttt+XoEQz8HMp2t6rPD1xfZnyftUrwHofr7MA==" saltValue="QWzp8KZnpLSeVukWaOP3fg==" spinCount="100000" sheet="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11"/>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393</v>
      </c>
      <c r="R1" t="s">
        <v>394</v>
      </c>
      <c r="S1" t="s">
        <v>395</v>
      </c>
      <c r="T1" t="s">
        <v>396</v>
      </c>
      <c r="U1" t="s">
        <v>397</v>
      </c>
      <c r="V1" t="s">
        <v>398</v>
      </c>
      <c r="W1" t="s">
        <v>399</v>
      </c>
      <c r="X1" t="s">
        <v>400</v>
      </c>
      <c r="Y1" t="s">
        <v>401</v>
      </c>
      <c r="Z1" t="s">
        <v>402</v>
      </c>
      <c r="AA1" t="s">
        <v>403</v>
      </c>
      <c r="AB1" t="s">
        <v>404</v>
      </c>
      <c r="AC1" t="s">
        <v>405</v>
      </c>
      <c r="AD1" t="s">
        <v>406</v>
      </c>
      <c r="AE1" t="s">
        <v>407</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row>
    <row r="8" spans="1:31" x14ac:dyDescent="0.2">
      <c r="A8"/>
      <c r="B8"/>
      <c r="C8"/>
      <c r="F8"/>
      <c r="G8"/>
      <c r="H8"/>
      <c r="J8"/>
      <c r="K8"/>
      <c r="L8"/>
      <c r="M8"/>
      <c r="N8"/>
      <c r="O8"/>
    </row>
    <row r="9" spans="1:31" x14ac:dyDescent="0.2">
      <c r="A9"/>
      <c r="B9"/>
      <c r="C9"/>
      <c r="F9"/>
      <c r="G9"/>
      <c r="L9"/>
      <c r="M9"/>
      <c r="N9"/>
      <c r="O9"/>
    </row>
    <row r="10" spans="1:31" x14ac:dyDescent="0.2">
      <c r="A10"/>
      <c r="B10"/>
      <c r="C10"/>
      <c r="F10"/>
      <c r="G10"/>
      <c r="I10"/>
      <c r="L10"/>
      <c r="M10"/>
      <c r="N10"/>
      <c r="O10"/>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L257"/>
      <c r="M257"/>
      <c r="N257"/>
      <c r="O257"/>
    </row>
    <row r="258" spans="1:15" x14ac:dyDescent="0.2">
      <c r="A258"/>
      <c r="B258"/>
      <c r="C258"/>
      <c r="F258"/>
      <c r="G258"/>
      <c r="H258"/>
      <c r="J258"/>
      <c r="K258"/>
      <c r="L258"/>
      <c r="M258"/>
      <c r="N258"/>
      <c r="O258"/>
    </row>
    <row r="259" spans="1:15" x14ac:dyDescent="0.2">
      <c r="A259"/>
      <c r="B259"/>
      <c r="C259"/>
      <c r="F259"/>
      <c r="G259"/>
      <c r="L259"/>
      <c r="M259"/>
      <c r="N259"/>
      <c r="O259"/>
    </row>
    <row r="260" spans="1:15" x14ac:dyDescent="0.2">
      <c r="A260"/>
      <c r="B260"/>
      <c r="C260"/>
      <c r="F260"/>
      <c r="G260"/>
      <c r="I260"/>
      <c r="L260"/>
      <c r="M260"/>
      <c r="N260"/>
      <c r="O260"/>
    </row>
    <row r="261" spans="1:15" x14ac:dyDescent="0.2">
      <c r="A261"/>
      <c r="B261"/>
      <c r="C261"/>
      <c r="F261"/>
      <c r="G261"/>
      <c r="H261"/>
      <c r="J261"/>
      <c r="K261"/>
      <c r="L261"/>
      <c r="M261"/>
      <c r="N261"/>
      <c r="O261"/>
    </row>
    <row r="262" spans="1:15" x14ac:dyDescent="0.2">
      <c r="A262"/>
      <c r="B262"/>
      <c r="C262"/>
      <c r="F262"/>
      <c r="G262"/>
      <c r="H262"/>
      <c r="I262"/>
      <c r="L262"/>
      <c r="N262"/>
      <c r="O262"/>
    </row>
    <row r="263" spans="1:15" x14ac:dyDescent="0.2">
      <c r="A263"/>
      <c r="B263"/>
      <c r="C263"/>
      <c r="F263"/>
      <c r="G263"/>
      <c r="H263"/>
      <c r="J263"/>
      <c r="K263"/>
      <c r="L263"/>
      <c r="M263"/>
      <c r="N263"/>
      <c r="O263"/>
    </row>
    <row r="264" spans="1:15" x14ac:dyDescent="0.2">
      <c r="A264"/>
      <c r="B264"/>
      <c r="C264"/>
      <c r="F264"/>
      <c r="G264"/>
      <c r="L264"/>
      <c r="M264"/>
      <c r="N264"/>
      <c r="O264"/>
    </row>
    <row r="265" spans="1:15" x14ac:dyDescent="0.2">
      <c r="A265"/>
      <c r="B265"/>
      <c r="C265"/>
      <c r="F265"/>
      <c r="G265"/>
      <c r="H265"/>
      <c r="I265"/>
      <c r="L265"/>
      <c r="M265"/>
      <c r="N265"/>
      <c r="O265"/>
    </row>
    <row r="266" spans="1:15" x14ac:dyDescent="0.2">
      <c r="A266"/>
      <c r="B266"/>
      <c r="C266"/>
      <c r="F266"/>
      <c r="G266"/>
      <c r="I266"/>
      <c r="L266"/>
      <c r="M266"/>
      <c r="N266"/>
      <c r="O266"/>
    </row>
    <row r="267" spans="1:15" x14ac:dyDescent="0.2">
      <c r="A267"/>
      <c r="B267"/>
      <c r="C267"/>
      <c r="F267"/>
      <c r="G267"/>
      <c r="H267"/>
      <c r="J267"/>
      <c r="K267"/>
      <c r="L267"/>
      <c r="M267"/>
      <c r="N267"/>
      <c r="O267"/>
    </row>
    <row r="268" spans="1:15" x14ac:dyDescent="0.2">
      <c r="A268"/>
      <c r="B268"/>
      <c r="C268"/>
      <c r="F268"/>
      <c r="G268"/>
      <c r="J268"/>
      <c r="L268"/>
      <c r="M268"/>
      <c r="N268"/>
      <c r="O268"/>
    </row>
    <row r="269" spans="1:15" x14ac:dyDescent="0.2">
      <c r="A269"/>
      <c r="B269"/>
      <c r="C269"/>
      <c r="F269"/>
      <c r="G269"/>
      <c r="I269"/>
      <c r="L269"/>
      <c r="M269"/>
      <c r="N269"/>
      <c r="O269"/>
    </row>
    <row r="270" spans="1:15" x14ac:dyDescent="0.2">
      <c r="A270"/>
      <c r="B270"/>
      <c r="C270"/>
      <c r="F270"/>
      <c r="G270"/>
      <c r="I270"/>
      <c r="L270"/>
      <c r="M270"/>
      <c r="N270"/>
      <c r="O270"/>
    </row>
    <row r="271" spans="1:15" x14ac:dyDescent="0.2">
      <c r="A271"/>
      <c r="B271"/>
      <c r="C271"/>
      <c r="F271"/>
      <c r="G271"/>
      <c r="L271"/>
      <c r="M271"/>
      <c r="N271"/>
      <c r="O271"/>
    </row>
    <row r="272" spans="1:15" x14ac:dyDescent="0.2">
      <c r="A272"/>
      <c r="B272"/>
      <c r="C272"/>
      <c r="F272"/>
      <c r="G272"/>
      <c r="H272"/>
      <c r="I272"/>
      <c r="L272"/>
      <c r="M272"/>
      <c r="N272"/>
      <c r="O272"/>
    </row>
    <row r="273" spans="1:15" x14ac:dyDescent="0.2">
      <c r="A273"/>
      <c r="B273"/>
      <c r="C273"/>
      <c r="F273"/>
      <c r="G273"/>
      <c r="I273"/>
      <c r="L273"/>
      <c r="M273"/>
      <c r="N273"/>
      <c r="O273"/>
    </row>
    <row r="274" spans="1:15" x14ac:dyDescent="0.2">
      <c r="A274"/>
      <c r="B274"/>
      <c r="C274"/>
      <c r="F274"/>
      <c r="G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I277"/>
      <c r="L277"/>
      <c r="M277"/>
      <c r="N277"/>
      <c r="O277"/>
    </row>
    <row r="278" spans="1:15" x14ac:dyDescent="0.2">
      <c r="A278"/>
      <c r="B278"/>
      <c r="C278"/>
      <c r="F278"/>
      <c r="G278"/>
      <c r="I278"/>
      <c r="L278"/>
      <c r="M278"/>
      <c r="N278"/>
      <c r="O278"/>
    </row>
    <row r="279" spans="1:15" x14ac:dyDescent="0.2">
      <c r="A279"/>
      <c r="B279"/>
      <c r="C279"/>
      <c r="F279"/>
      <c r="G279"/>
      <c r="H279"/>
      <c r="I279"/>
      <c r="L279"/>
      <c r="M279"/>
      <c r="N279"/>
      <c r="O279"/>
    </row>
    <row r="280" spans="1:15" x14ac:dyDescent="0.2">
      <c r="A280"/>
      <c r="B280"/>
      <c r="C280"/>
      <c r="F280"/>
      <c r="G280"/>
      <c r="H280"/>
      <c r="I280"/>
      <c r="L280"/>
      <c r="M280"/>
      <c r="N280"/>
      <c r="O280"/>
    </row>
    <row r="281" spans="1:15" x14ac:dyDescent="0.2">
      <c r="A281"/>
      <c r="B281"/>
      <c r="C281"/>
      <c r="F281"/>
      <c r="G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N285"/>
      <c r="O285"/>
    </row>
    <row r="286" spans="1:15" x14ac:dyDescent="0.2">
      <c r="A286"/>
      <c r="B286"/>
      <c r="C286"/>
      <c r="F286"/>
      <c r="G286"/>
      <c r="I286"/>
      <c r="L286"/>
      <c r="M286"/>
      <c r="N286"/>
      <c r="O286"/>
    </row>
    <row r="287" spans="1:15" x14ac:dyDescent="0.2">
      <c r="A287"/>
      <c r="B287"/>
      <c r="C287"/>
      <c r="F287"/>
      <c r="G287"/>
      <c r="H287"/>
      <c r="I287"/>
      <c r="L287"/>
      <c r="M287"/>
      <c r="N287"/>
      <c r="O287"/>
    </row>
    <row r="288" spans="1:15" x14ac:dyDescent="0.2">
      <c r="A288"/>
      <c r="B288"/>
      <c r="C288"/>
      <c r="F288"/>
      <c r="G288"/>
      <c r="H288"/>
      <c r="I288"/>
      <c r="L288"/>
      <c r="M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H292"/>
      <c r="I292"/>
      <c r="L292"/>
      <c r="M292"/>
      <c r="N292"/>
      <c r="O292"/>
    </row>
    <row r="293" spans="1:15" x14ac:dyDescent="0.2">
      <c r="A293"/>
      <c r="B293"/>
      <c r="C293"/>
      <c r="F293"/>
      <c r="G293"/>
      <c r="I293"/>
      <c r="L293"/>
      <c r="M293"/>
      <c r="N293"/>
      <c r="O293"/>
    </row>
    <row r="294" spans="1:15" x14ac:dyDescent="0.2">
      <c r="A294"/>
      <c r="B294"/>
      <c r="C294"/>
      <c r="F294"/>
      <c r="G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I300"/>
      <c r="L300"/>
      <c r="M300"/>
      <c r="N300"/>
      <c r="O300"/>
    </row>
    <row r="301" spans="1:15" x14ac:dyDescent="0.2">
      <c r="A301"/>
      <c r="B301"/>
      <c r="C301"/>
      <c r="F301"/>
      <c r="G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N320"/>
      <c r="O320"/>
    </row>
    <row r="321" spans="1:15" x14ac:dyDescent="0.2">
      <c r="A321"/>
      <c r="B321"/>
      <c r="C321"/>
      <c r="F321"/>
      <c r="G321"/>
      <c r="H321"/>
      <c r="I321"/>
      <c r="L321"/>
      <c r="M321"/>
      <c r="N321"/>
      <c r="O321"/>
    </row>
    <row r="322" spans="1:15" x14ac:dyDescent="0.2">
      <c r="A322"/>
      <c r="B322"/>
      <c r="C322"/>
      <c r="F322"/>
      <c r="G322"/>
      <c r="H322"/>
      <c r="I322"/>
      <c r="L322"/>
      <c r="N322"/>
      <c r="O322"/>
    </row>
    <row r="323" spans="1:15" x14ac:dyDescent="0.2">
      <c r="A323"/>
      <c r="B323"/>
      <c r="C323"/>
      <c r="F323"/>
      <c r="G323"/>
      <c r="H323"/>
      <c r="I323"/>
      <c r="L323"/>
      <c r="M323"/>
      <c r="N323"/>
      <c r="O323"/>
    </row>
    <row r="324" spans="1:15" x14ac:dyDescent="0.2">
      <c r="A324"/>
      <c r="B324"/>
      <c r="C324"/>
      <c r="F324"/>
      <c r="G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M334"/>
      <c r="N334"/>
      <c r="O334"/>
    </row>
    <row r="335" spans="1:15" x14ac:dyDescent="0.2">
      <c r="A335"/>
      <c r="B335"/>
      <c r="C335"/>
      <c r="F335"/>
      <c r="G335"/>
      <c r="H335"/>
      <c r="I335"/>
      <c r="L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L338"/>
      <c r="M338"/>
      <c r="N338"/>
      <c r="O338"/>
    </row>
    <row r="339" spans="1:15" x14ac:dyDescent="0.2">
      <c r="A339"/>
      <c r="B339"/>
      <c r="C339"/>
      <c r="F339"/>
      <c r="G339"/>
      <c r="H339"/>
      <c r="I339"/>
      <c r="L339"/>
      <c r="M339"/>
      <c r="N339"/>
      <c r="O339"/>
    </row>
    <row r="340" spans="1:15" x14ac:dyDescent="0.2">
      <c r="A340"/>
      <c r="B340"/>
      <c r="C340"/>
      <c r="F340"/>
      <c r="G340"/>
      <c r="H340"/>
      <c r="I340"/>
      <c r="L340"/>
      <c r="M340"/>
      <c r="N340"/>
      <c r="O340"/>
    </row>
    <row r="341" spans="1:15" x14ac:dyDescent="0.2">
      <c r="A341"/>
      <c r="B341"/>
      <c r="C341"/>
      <c r="F341"/>
      <c r="G341"/>
      <c r="I341"/>
      <c r="L341"/>
      <c r="M341"/>
      <c r="N341"/>
      <c r="O341"/>
    </row>
    <row r="342" spans="1:15" x14ac:dyDescent="0.2">
      <c r="A342"/>
      <c r="B342"/>
      <c r="C342"/>
      <c r="F342"/>
      <c r="G342"/>
      <c r="I342"/>
      <c r="L342"/>
      <c r="M342"/>
      <c r="N342"/>
      <c r="O342"/>
    </row>
    <row r="343" spans="1:15" x14ac:dyDescent="0.2">
      <c r="A343"/>
      <c r="B343"/>
      <c r="C343"/>
      <c r="F343"/>
      <c r="G343"/>
      <c r="H343"/>
      <c r="I343"/>
      <c r="L343"/>
      <c r="M343"/>
      <c r="N343"/>
      <c r="O343"/>
    </row>
    <row r="344" spans="1:15" x14ac:dyDescent="0.2">
      <c r="A344"/>
      <c r="B344"/>
      <c r="C344"/>
      <c r="F344"/>
      <c r="G344"/>
      <c r="H344"/>
      <c r="I344"/>
      <c r="L344"/>
      <c r="M344"/>
      <c r="N344"/>
      <c r="O344"/>
    </row>
    <row r="345" spans="1:15" x14ac:dyDescent="0.2">
      <c r="A345"/>
      <c r="B345"/>
      <c r="C345"/>
      <c r="F345"/>
      <c r="G345"/>
      <c r="H345"/>
      <c r="I345"/>
      <c r="L345"/>
      <c r="M345"/>
      <c r="N345"/>
      <c r="O345"/>
    </row>
    <row r="346" spans="1:15" x14ac:dyDescent="0.2">
      <c r="A346"/>
      <c r="B346"/>
      <c r="C346"/>
      <c r="F346"/>
      <c r="G346"/>
      <c r="H346"/>
      <c r="I346"/>
      <c r="L346"/>
      <c r="N346"/>
      <c r="O346"/>
    </row>
    <row r="347" spans="1:15" x14ac:dyDescent="0.2">
      <c r="A347"/>
      <c r="B347"/>
      <c r="C347"/>
      <c r="F347"/>
      <c r="G347"/>
      <c r="H347"/>
      <c r="I347"/>
      <c r="L347"/>
      <c r="M347"/>
      <c r="N347"/>
      <c r="O347"/>
    </row>
    <row r="348" spans="1:15" x14ac:dyDescent="0.2">
      <c r="A348"/>
      <c r="B348"/>
      <c r="C348"/>
      <c r="F348"/>
      <c r="G348"/>
      <c r="J348"/>
      <c r="K348"/>
      <c r="L348"/>
      <c r="M348"/>
      <c r="N348"/>
      <c r="O348"/>
    </row>
    <row r="349" spans="1:15" x14ac:dyDescent="0.2">
      <c r="A349"/>
      <c r="B349"/>
      <c r="C349"/>
      <c r="F349"/>
      <c r="G349"/>
      <c r="H349"/>
      <c r="J349"/>
      <c r="K349"/>
      <c r="L349"/>
      <c r="M349"/>
      <c r="N349"/>
      <c r="O349"/>
    </row>
    <row r="350" spans="1:15" x14ac:dyDescent="0.2">
      <c r="A350"/>
      <c r="B350"/>
      <c r="C350"/>
      <c r="F350"/>
      <c r="G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H353"/>
      <c r="I353"/>
      <c r="L353"/>
      <c r="M353"/>
      <c r="N353"/>
      <c r="O353"/>
    </row>
    <row r="354" spans="1:15" x14ac:dyDescent="0.2">
      <c r="A354"/>
      <c r="B354"/>
      <c r="C354"/>
      <c r="F354"/>
      <c r="G354"/>
      <c r="H354"/>
      <c r="J354"/>
      <c r="K354"/>
      <c r="L354"/>
      <c r="M354"/>
      <c r="N354"/>
      <c r="O354"/>
    </row>
    <row r="355" spans="1:15" x14ac:dyDescent="0.2">
      <c r="A355"/>
      <c r="B355"/>
      <c r="C355"/>
      <c r="F355"/>
      <c r="G355"/>
      <c r="M355"/>
      <c r="N355"/>
      <c r="O355"/>
    </row>
    <row r="356" spans="1:15" x14ac:dyDescent="0.2">
      <c r="A356"/>
      <c r="B356"/>
      <c r="C356"/>
      <c r="F356"/>
      <c r="G356"/>
      <c r="L356"/>
      <c r="M356"/>
      <c r="N356"/>
      <c r="O356"/>
    </row>
    <row r="357" spans="1:15" x14ac:dyDescent="0.2">
      <c r="A357"/>
      <c r="B357"/>
      <c r="C357"/>
      <c r="F357"/>
      <c r="G357"/>
      <c r="H357"/>
      <c r="I357"/>
      <c r="J357"/>
      <c r="K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I361"/>
      <c r="L361"/>
      <c r="M361"/>
      <c r="N361"/>
      <c r="O361"/>
    </row>
    <row r="362" spans="1:15" x14ac:dyDescent="0.2">
      <c r="A362"/>
      <c r="B362"/>
      <c r="C362"/>
      <c r="F362"/>
      <c r="G362"/>
      <c r="I362"/>
      <c r="L362"/>
      <c r="M362"/>
      <c r="N362"/>
      <c r="O362"/>
    </row>
    <row r="363" spans="1:15" x14ac:dyDescent="0.2">
      <c r="A363"/>
      <c r="B363"/>
      <c r="C363"/>
      <c r="F363"/>
      <c r="G363"/>
      <c r="J363"/>
      <c r="L363"/>
      <c r="M363"/>
      <c r="N363"/>
      <c r="O363"/>
    </row>
    <row r="364" spans="1:15" x14ac:dyDescent="0.2">
      <c r="A364"/>
      <c r="B364"/>
      <c r="C364"/>
      <c r="F364"/>
      <c r="G364"/>
      <c r="H364"/>
      <c r="I364"/>
      <c r="L364"/>
      <c r="M364"/>
      <c r="N364"/>
      <c r="O364"/>
    </row>
    <row r="365" spans="1:15" x14ac:dyDescent="0.2">
      <c r="A365"/>
      <c r="B365"/>
      <c r="C365"/>
      <c r="F365"/>
      <c r="G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M370"/>
      <c r="N370"/>
      <c r="O370"/>
    </row>
    <row r="371" spans="1:15" x14ac:dyDescent="0.2">
      <c r="A371"/>
      <c r="B371"/>
      <c r="C371"/>
      <c r="F371"/>
      <c r="G371"/>
      <c r="H371"/>
      <c r="I371"/>
      <c r="L371"/>
      <c r="M371"/>
      <c r="N371"/>
      <c r="O371"/>
    </row>
    <row r="372" spans="1:15" x14ac:dyDescent="0.2">
      <c r="A372"/>
      <c r="B372"/>
      <c r="C372"/>
      <c r="F372"/>
      <c r="G372"/>
      <c r="H372"/>
      <c r="I372"/>
      <c r="L372"/>
      <c r="M372"/>
      <c r="N372"/>
      <c r="O372"/>
    </row>
    <row r="373" spans="1:15" x14ac:dyDescent="0.2">
      <c r="A373"/>
      <c r="B373"/>
      <c r="C373"/>
      <c r="F373"/>
      <c r="G373"/>
      <c r="H373"/>
      <c r="I373"/>
      <c r="L373"/>
      <c r="N373"/>
      <c r="O373"/>
    </row>
    <row r="374" spans="1:15" x14ac:dyDescent="0.2">
      <c r="A374"/>
      <c r="B374"/>
      <c r="C374"/>
      <c r="F374"/>
      <c r="G374"/>
      <c r="H374"/>
      <c r="I374"/>
      <c r="L374"/>
      <c r="M374"/>
      <c r="N374"/>
      <c r="O374"/>
    </row>
    <row r="375" spans="1:15" x14ac:dyDescent="0.2">
      <c r="A375"/>
      <c r="B375"/>
      <c r="C375"/>
      <c r="F375"/>
      <c r="G375"/>
      <c r="L375"/>
      <c r="M375"/>
      <c r="N375"/>
      <c r="O375"/>
    </row>
    <row r="376" spans="1:15" x14ac:dyDescent="0.2">
      <c r="A376"/>
      <c r="B376"/>
      <c r="C376"/>
      <c r="F376"/>
      <c r="G376"/>
      <c r="I376"/>
      <c r="L376"/>
      <c r="M376"/>
      <c r="N376"/>
      <c r="O376"/>
    </row>
    <row r="377" spans="1:15" x14ac:dyDescent="0.2">
      <c r="A377"/>
      <c r="B377"/>
      <c r="C377"/>
      <c r="F377"/>
      <c r="G377"/>
      <c r="H377"/>
      <c r="I377"/>
      <c r="L377"/>
      <c r="N377"/>
      <c r="O377"/>
    </row>
    <row r="378" spans="1:15" x14ac:dyDescent="0.2">
      <c r="A378"/>
      <c r="B378"/>
      <c r="C378"/>
      <c r="F378"/>
      <c r="G378"/>
      <c r="I378"/>
      <c r="L378"/>
      <c r="M378"/>
      <c r="N378"/>
      <c r="O378"/>
    </row>
    <row r="379" spans="1:15" x14ac:dyDescent="0.2">
      <c r="A379"/>
      <c r="B379"/>
      <c r="C379"/>
      <c r="F379"/>
      <c r="G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H383"/>
      <c r="J383"/>
      <c r="K383"/>
      <c r="M383"/>
      <c r="N383"/>
      <c r="O383"/>
    </row>
    <row r="384" spans="1:15" x14ac:dyDescent="0.2">
      <c r="A384"/>
      <c r="B384"/>
      <c r="C384"/>
      <c r="F384"/>
      <c r="G384"/>
      <c r="I384"/>
      <c r="L384"/>
      <c r="M384"/>
      <c r="N384"/>
      <c r="O384"/>
    </row>
    <row r="385" spans="1:15" x14ac:dyDescent="0.2">
      <c r="A385"/>
      <c r="B385"/>
      <c r="C385"/>
      <c r="F385"/>
      <c r="G385"/>
      <c r="I385"/>
      <c r="L385"/>
      <c r="M385"/>
      <c r="N385"/>
      <c r="O385"/>
    </row>
    <row r="386" spans="1:15" x14ac:dyDescent="0.2">
      <c r="A386"/>
      <c r="B386"/>
      <c r="C386"/>
      <c r="F386"/>
      <c r="G386"/>
      <c r="H386"/>
      <c r="I386"/>
      <c r="J386"/>
      <c r="K386"/>
      <c r="L386"/>
      <c r="M386"/>
      <c r="N386"/>
      <c r="O386"/>
    </row>
    <row r="387" spans="1:15" x14ac:dyDescent="0.2">
      <c r="A387"/>
      <c r="B387"/>
      <c r="C387"/>
      <c r="F387"/>
      <c r="G387"/>
      <c r="L387"/>
      <c r="N387"/>
      <c r="O387"/>
    </row>
    <row r="388" spans="1:15" x14ac:dyDescent="0.2">
      <c r="A388"/>
      <c r="B388"/>
      <c r="C388"/>
      <c r="F388"/>
      <c r="G388"/>
      <c r="H388"/>
      <c r="I388"/>
      <c r="L388"/>
      <c r="M388"/>
      <c r="N388"/>
      <c r="O388"/>
    </row>
    <row r="389" spans="1:15" x14ac:dyDescent="0.2">
      <c r="A389"/>
      <c r="B389"/>
      <c r="C389"/>
      <c r="F389"/>
      <c r="G389"/>
      <c r="H389"/>
      <c r="I389"/>
      <c r="L389"/>
      <c r="M389"/>
      <c r="N389"/>
      <c r="O389"/>
    </row>
    <row r="390" spans="1:15" x14ac:dyDescent="0.2">
      <c r="A390"/>
      <c r="B390"/>
      <c r="C390"/>
      <c r="F390"/>
      <c r="G390"/>
      <c r="H390"/>
      <c r="I390"/>
      <c r="L390"/>
      <c r="M390"/>
      <c r="N390"/>
      <c r="O390"/>
    </row>
    <row r="391" spans="1:15" x14ac:dyDescent="0.2">
      <c r="A391"/>
      <c r="B391"/>
      <c r="C391"/>
      <c r="F391"/>
      <c r="G391"/>
      <c r="L391"/>
      <c r="M391"/>
      <c r="N391"/>
      <c r="O391"/>
    </row>
    <row r="392" spans="1:15" x14ac:dyDescent="0.2">
      <c r="A392"/>
      <c r="B392"/>
      <c r="C392"/>
      <c r="F392"/>
      <c r="G392"/>
      <c r="J392"/>
      <c r="K392"/>
      <c r="L392"/>
      <c r="M392"/>
      <c r="N392"/>
      <c r="O392"/>
    </row>
    <row r="393" spans="1:15" x14ac:dyDescent="0.2">
      <c r="A393"/>
      <c r="B393"/>
      <c r="C393"/>
      <c r="F393"/>
      <c r="G393"/>
      <c r="H393"/>
      <c r="I393"/>
      <c r="L393"/>
      <c r="M393"/>
      <c r="N393"/>
      <c r="O393"/>
    </row>
    <row r="394" spans="1:15" x14ac:dyDescent="0.2">
      <c r="A394"/>
      <c r="B394"/>
      <c r="C394"/>
      <c r="F394"/>
      <c r="G394"/>
      <c r="I394"/>
      <c r="L394"/>
      <c r="M394"/>
      <c r="N394"/>
      <c r="O394"/>
    </row>
    <row r="395" spans="1:15" x14ac:dyDescent="0.2">
      <c r="A395"/>
      <c r="B395"/>
      <c r="C395"/>
      <c r="F395"/>
      <c r="G395"/>
      <c r="H395"/>
      <c r="I395"/>
      <c r="L395"/>
      <c r="M395"/>
      <c r="N395"/>
      <c r="O395"/>
    </row>
    <row r="396" spans="1:15" x14ac:dyDescent="0.2">
      <c r="A396"/>
      <c r="B396"/>
      <c r="C396"/>
      <c r="F396"/>
      <c r="G396"/>
      <c r="H396"/>
      <c r="I396"/>
      <c r="L396"/>
      <c r="M396"/>
      <c r="N396"/>
      <c r="O396"/>
    </row>
    <row r="397" spans="1:15" x14ac:dyDescent="0.2">
      <c r="A397"/>
      <c r="B397"/>
      <c r="C397"/>
      <c r="F397"/>
      <c r="G397"/>
      <c r="H397"/>
      <c r="I397"/>
      <c r="L397"/>
      <c r="M397"/>
      <c r="N397"/>
      <c r="O397"/>
    </row>
    <row r="398" spans="1:15" x14ac:dyDescent="0.2">
      <c r="A398"/>
      <c r="B398"/>
      <c r="C398"/>
      <c r="F398"/>
      <c r="G398"/>
      <c r="M398"/>
      <c r="N398"/>
      <c r="O398"/>
    </row>
    <row r="399" spans="1:15" x14ac:dyDescent="0.2">
      <c r="A399"/>
      <c r="B399"/>
      <c r="C399"/>
      <c r="F399"/>
      <c r="G399"/>
      <c r="J399"/>
      <c r="K399"/>
      <c r="L399"/>
      <c r="M399"/>
      <c r="N399"/>
      <c r="O399"/>
    </row>
    <row r="400" spans="1:15" x14ac:dyDescent="0.2">
      <c r="A400"/>
      <c r="B400"/>
      <c r="C400"/>
      <c r="F400"/>
      <c r="G400"/>
      <c r="H400"/>
      <c r="I400"/>
      <c r="L400"/>
      <c r="M400"/>
      <c r="N400"/>
      <c r="O400"/>
    </row>
    <row r="401" spans="1:15" x14ac:dyDescent="0.2">
      <c r="A401"/>
      <c r="B401"/>
      <c r="C401"/>
      <c r="F401"/>
      <c r="G401"/>
      <c r="I401"/>
      <c r="L401"/>
      <c r="M401"/>
      <c r="N401"/>
      <c r="O401"/>
    </row>
    <row r="402" spans="1:15" x14ac:dyDescent="0.2">
      <c r="A402"/>
      <c r="B402"/>
      <c r="C402"/>
      <c r="F402"/>
      <c r="G402"/>
      <c r="H402"/>
      <c r="I402"/>
      <c r="L402"/>
      <c r="M402"/>
      <c r="N402"/>
      <c r="O402"/>
    </row>
    <row r="403" spans="1:15" x14ac:dyDescent="0.2">
      <c r="A403"/>
      <c r="B403"/>
      <c r="C403"/>
      <c r="F403"/>
      <c r="G403"/>
      <c r="I403"/>
      <c r="L403"/>
      <c r="M403"/>
      <c r="N403"/>
      <c r="O403"/>
    </row>
    <row r="404" spans="1:15" x14ac:dyDescent="0.2">
      <c r="A404"/>
      <c r="B404"/>
      <c r="C404"/>
      <c r="F404"/>
      <c r="G404"/>
      <c r="J404"/>
      <c r="K404"/>
      <c r="L404"/>
      <c r="M404"/>
      <c r="N404"/>
      <c r="O404"/>
    </row>
    <row r="405" spans="1:15" x14ac:dyDescent="0.2">
      <c r="A405"/>
      <c r="B405"/>
      <c r="C405"/>
      <c r="F405"/>
      <c r="G405"/>
      <c r="I405"/>
      <c r="L405"/>
      <c r="M405"/>
      <c r="N405"/>
      <c r="O405"/>
    </row>
    <row r="406" spans="1:15" x14ac:dyDescent="0.2">
      <c r="A406"/>
      <c r="B406"/>
      <c r="C406"/>
      <c r="F406"/>
      <c r="G406"/>
      <c r="H406"/>
      <c r="I406"/>
      <c r="L406"/>
      <c r="N406"/>
      <c r="O406"/>
    </row>
    <row r="407" spans="1:15" x14ac:dyDescent="0.2">
      <c r="A407"/>
      <c r="B407"/>
      <c r="C407"/>
      <c r="F407"/>
      <c r="G407"/>
      <c r="H407"/>
      <c r="I407"/>
      <c r="L407"/>
      <c r="M407"/>
      <c r="N407"/>
      <c r="O407"/>
    </row>
    <row r="408" spans="1:15" x14ac:dyDescent="0.2">
      <c r="A408"/>
      <c r="B408"/>
      <c r="C408"/>
      <c r="F408"/>
      <c r="G408"/>
      <c r="H408"/>
      <c r="I408"/>
      <c r="L408"/>
      <c r="M408"/>
      <c r="N408"/>
      <c r="O408"/>
    </row>
    <row r="409" spans="1:15" x14ac:dyDescent="0.2">
      <c r="A409"/>
      <c r="B409"/>
      <c r="C409"/>
      <c r="F409"/>
      <c r="G409"/>
      <c r="L409"/>
      <c r="M409"/>
      <c r="N409"/>
      <c r="O409"/>
    </row>
    <row r="410" spans="1:15" x14ac:dyDescent="0.2">
      <c r="A410"/>
      <c r="B410"/>
      <c r="C410"/>
      <c r="F410"/>
      <c r="G410"/>
      <c r="I410"/>
      <c r="L410"/>
      <c r="M410"/>
      <c r="N410"/>
      <c r="O410"/>
    </row>
    <row r="411" spans="1:15" x14ac:dyDescent="0.2">
      <c r="A411"/>
      <c r="B411"/>
      <c r="C411"/>
      <c r="F411"/>
      <c r="G411"/>
      <c r="H411"/>
      <c r="I411"/>
      <c r="L411"/>
      <c r="M411"/>
      <c r="N411"/>
      <c r="O411"/>
    </row>
    <row r="412" spans="1:15" x14ac:dyDescent="0.2">
      <c r="A412"/>
      <c r="B412"/>
      <c r="C412"/>
      <c r="F412"/>
      <c r="G412"/>
      <c r="M412"/>
      <c r="N412"/>
      <c r="O412"/>
    </row>
    <row r="413" spans="1:15" x14ac:dyDescent="0.2">
      <c r="A413"/>
      <c r="B413"/>
      <c r="C413"/>
      <c r="F413"/>
      <c r="G413"/>
      <c r="H413"/>
      <c r="J413"/>
      <c r="K413"/>
      <c r="L413"/>
      <c r="M413"/>
      <c r="N413"/>
      <c r="O413"/>
    </row>
    <row r="414" spans="1:15" x14ac:dyDescent="0.2">
      <c r="A414"/>
      <c r="B414"/>
      <c r="C414"/>
      <c r="F414"/>
      <c r="G414"/>
      <c r="H414"/>
      <c r="L414"/>
      <c r="M414"/>
      <c r="N414"/>
      <c r="O414"/>
    </row>
    <row r="415" spans="1:15" x14ac:dyDescent="0.2">
      <c r="A415"/>
      <c r="B415"/>
      <c r="C415"/>
      <c r="F415"/>
      <c r="G415"/>
      <c r="H415"/>
      <c r="J415"/>
      <c r="K415"/>
      <c r="L415"/>
      <c r="M415"/>
      <c r="N415"/>
      <c r="O415"/>
    </row>
    <row r="416" spans="1:15" x14ac:dyDescent="0.2">
      <c r="A416"/>
      <c r="B416"/>
      <c r="C416"/>
      <c r="F416"/>
      <c r="G416"/>
      <c r="H416"/>
      <c r="J416"/>
      <c r="K416"/>
      <c r="L416"/>
      <c r="M416"/>
      <c r="N416"/>
      <c r="O416"/>
    </row>
    <row r="417" spans="1:15" x14ac:dyDescent="0.2">
      <c r="A417"/>
      <c r="B417"/>
      <c r="C417"/>
      <c r="F417"/>
      <c r="G417"/>
      <c r="J417"/>
      <c r="K417"/>
      <c r="L417"/>
      <c r="M417"/>
      <c r="N417"/>
      <c r="O417"/>
    </row>
    <row r="418" spans="1:15" x14ac:dyDescent="0.2">
      <c r="A418"/>
      <c r="B418"/>
      <c r="C418"/>
      <c r="G418"/>
      <c r="M418"/>
      <c r="N418"/>
      <c r="O418"/>
    </row>
    <row r="419" spans="1:15" x14ac:dyDescent="0.2">
      <c r="A419"/>
      <c r="B419"/>
      <c r="C419"/>
      <c r="F419"/>
      <c r="G419"/>
      <c r="H419"/>
      <c r="J419"/>
      <c r="K419"/>
      <c r="L419"/>
      <c r="M419"/>
      <c r="N419"/>
      <c r="O419"/>
    </row>
    <row r="420" spans="1:15" x14ac:dyDescent="0.2">
      <c r="A420"/>
      <c r="B420"/>
      <c r="C420"/>
      <c r="F420"/>
      <c r="G420"/>
      <c r="H420"/>
      <c r="K420"/>
      <c r="L420"/>
      <c r="M420"/>
      <c r="N420"/>
      <c r="O420"/>
    </row>
    <row r="421" spans="1:15" x14ac:dyDescent="0.2">
      <c r="A421"/>
      <c r="B421"/>
      <c r="C421"/>
      <c r="F421"/>
      <c r="G421"/>
      <c r="H421"/>
      <c r="I421"/>
      <c r="L421"/>
      <c r="N421"/>
      <c r="O421"/>
    </row>
    <row r="422" spans="1:15" x14ac:dyDescent="0.2">
      <c r="A422"/>
      <c r="B422"/>
      <c r="C422"/>
      <c r="F422"/>
      <c r="G422"/>
      <c r="J422"/>
      <c r="K422"/>
      <c r="L422"/>
      <c r="M422"/>
      <c r="N422"/>
      <c r="O422"/>
    </row>
    <row r="423" spans="1:15" x14ac:dyDescent="0.2">
      <c r="A423"/>
      <c r="B423"/>
      <c r="C423"/>
      <c r="F423"/>
      <c r="G423"/>
      <c r="H423"/>
      <c r="J423"/>
      <c r="K423"/>
      <c r="L423"/>
      <c r="M423"/>
      <c r="N423"/>
      <c r="O423"/>
    </row>
    <row r="424" spans="1:15" x14ac:dyDescent="0.2">
      <c r="A424"/>
      <c r="B424"/>
      <c r="C424"/>
      <c r="F424"/>
      <c r="G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J427"/>
      <c r="K427"/>
      <c r="L427"/>
      <c r="M427"/>
      <c r="N427"/>
      <c r="O427"/>
    </row>
    <row r="428" spans="1:15" x14ac:dyDescent="0.2">
      <c r="A428"/>
      <c r="B428"/>
      <c r="C428"/>
      <c r="F428"/>
      <c r="G428"/>
      <c r="H428"/>
      <c r="J428"/>
      <c r="K428"/>
      <c r="L428"/>
      <c r="M428"/>
      <c r="N428"/>
      <c r="O428"/>
    </row>
    <row r="429" spans="1:15" x14ac:dyDescent="0.2">
      <c r="A429"/>
      <c r="B429"/>
      <c r="C429"/>
      <c r="F429"/>
      <c r="G429"/>
      <c r="H429"/>
      <c r="J429"/>
      <c r="K429"/>
      <c r="L429"/>
      <c r="M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L432"/>
      <c r="M432"/>
      <c r="N432"/>
      <c r="O432"/>
    </row>
    <row r="433" spans="1:15" x14ac:dyDescent="0.2">
      <c r="A433"/>
      <c r="B433"/>
      <c r="C433"/>
      <c r="F433"/>
      <c r="G433"/>
      <c r="I433"/>
      <c r="L433"/>
      <c r="M433"/>
      <c r="N433"/>
      <c r="O433"/>
    </row>
    <row r="434" spans="1:15" x14ac:dyDescent="0.2">
      <c r="A434"/>
      <c r="B434"/>
      <c r="C434"/>
      <c r="F434"/>
      <c r="G434"/>
      <c r="H434"/>
      <c r="I434"/>
      <c r="L434"/>
      <c r="N434"/>
      <c r="O434"/>
    </row>
    <row r="435" spans="1:15" x14ac:dyDescent="0.2">
      <c r="A435"/>
      <c r="B435"/>
      <c r="C435"/>
      <c r="F435"/>
      <c r="G435"/>
      <c r="H435"/>
      <c r="I435"/>
      <c r="L435"/>
      <c r="M435"/>
      <c r="N435"/>
      <c r="O435"/>
    </row>
    <row r="436" spans="1:15" x14ac:dyDescent="0.2">
      <c r="A436"/>
      <c r="B436"/>
      <c r="C436"/>
      <c r="F436"/>
      <c r="G436"/>
      <c r="I436"/>
      <c r="L436"/>
      <c r="M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N439"/>
      <c r="O439"/>
    </row>
    <row r="440" spans="1:15" x14ac:dyDescent="0.2">
      <c r="A440"/>
      <c r="B440"/>
      <c r="C440"/>
      <c r="F440"/>
      <c r="G440"/>
      <c r="H440"/>
      <c r="I440"/>
      <c r="L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H447"/>
      <c r="I447"/>
      <c r="L447"/>
      <c r="N447"/>
      <c r="O447"/>
    </row>
    <row r="448" spans="1:15" x14ac:dyDescent="0.2">
      <c r="A448"/>
      <c r="B448"/>
      <c r="C448"/>
      <c r="F448"/>
      <c r="G448"/>
      <c r="H448"/>
      <c r="I448"/>
      <c r="L448"/>
      <c r="N448"/>
      <c r="O448"/>
    </row>
    <row r="449" spans="1:15" x14ac:dyDescent="0.2">
      <c r="A449"/>
      <c r="B449"/>
      <c r="C449"/>
      <c r="F449"/>
      <c r="G449"/>
      <c r="I449"/>
      <c r="L449"/>
      <c r="M449"/>
      <c r="N449"/>
      <c r="O449"/>
    </row>
    <row r="450" spans="1:15" x14ac:dyDescent="0.2">
      <c r="A450"/>
      <c r="B450"/>
      <c r="C450"/>
      <c r="F450"/>
      <c r="G450"/>
      <c r="L450"/>
      <c r="M450"/>
      <c r="N450"/>
      <c r="O450"/>
    </row>
    <row r="451" spans="1:15" x14ac:dyDescent="0.2">
      <c r="A451"/>
      <c r="B451"/>
      <c r="C451"/>
      <c r="F451"/>
      <c r="G451"/>
      <c r="H451"/>
      <c r="I451"/>
      <c r="L451"/>
      <c r="M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H457"/>
      <c r="I457"/>
      <c r="L457"/>
      <c r="N457"/>
      <c r="O457"/>
    </row>
    <row r="458" spans="1:15" x14ac:dyDescent="0.2">
      <c r="A458"/>
      <c r="B458"/>
      <c r="C458"/>
      <c r="F458"/>
      <c r="G458"/>
      <c r="H458"/>
      <c r="I458"/>
      <c r="L458"/>
      <c r="M458"/>
      <c r="N458"/>
      <c r="O458"/>
    </row>
    <row r="459" spans="1:15" x14ac:dyDescent="0.2">
      <c r="A459"/>
      <c r="B459"/>
      <c r="C459"/>
      <c r="F459"/>
      <c r="G459"/>
      <c r="H459"/>
      <c r="I459"/>
      <c r="L459"/>
      <c r="M459"/>
      <c r="N459"/>
      <c r="O459"/>
    </row>
    <row r="460" spans="1:15" x14ac:dyDescent="0.2">
      <c r="A460"/>
      <c r="B460"/>
      <c r="C460"/>
      <c r="F460"/>
      <c r="G460"/>
      <c r="I460"/>
      <c r="L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I466"/>
      <c r="L466"/>
      <c r="M466"/>
      <c r="N466"/>
      <c r="O466"/>
    </row>
    <row r="467" spans="1:15" x14ac:dyDescent="0.2">
      <c r="A467"/>
      <c r="B467"/>
      <c r="C467"/>
      <c r="F467"/>
      <c r="G467"/>
      <c r="H467"/>
      <c r="I467"/>
      <c r="L467"/>
      <c r="M467"/>
      <c r="N467"/>
      <c r="O467"/>
    </row>
    <row r="468" spans="1:15" x14ac:dyDescent="0.2">
      <c r="A468"/>
      <c r="B468"/>
      <c r="C468"/>
      <c r="F468"/>
      <c r="G468"/>
      <c r="I468"/>
      <c r="L468"/>
      <c r="M468"/>
      <c r="N468"/>
      <c r="O468"/>
    </row>
    <row r="469" spans="1:15" x14ac:dyDescent="0.2">
      <c r="A469"/>
      <c r="B469"/>
      <c r="C469"/>
      <c r="F469"/>
      <c r="G469"/>
      <c r="I469"/>
      <c r="L469"/>
      <c r="M469"/>
      <c r="N469"/>
      <c r="O469"/>
    </row>
    <row r="470" spans="1:15" x14ac:dyDescent="0.2">
      <c r="A470"/>
      <c r="B470"/>
      <c r="C470"/>
      <c r="F470"/>
      <c r="G470"/>
      <c r="M470"/>
      <c r="N470"/>
      <c r="O470"/>
    </row>
    <row r="471" spans="1:15" x14ac:dyDescent="0.2">
      <c r="A471"/>
      <c r="B471"/>
      <c r="C471"/>
      <c r="F471"/>
      <c r="G471"/>
      <c r="H471"/>
      <c r="I471"/>
      <c r="L471"/>
      <c r="M471"/>
      <c r="N471"/>
      <c r="O471"/>
    </row>
    <row r="472" spans="1:15" x14ac:dyDescent="0.2">
      <c r="A472"/>
      <c r="B472"/>
      <c r="C472"/>
      <c r="F472"/>
      <c r="G472"/>
      <c r="M472"/>
      <c r="N472"/>
      <c r="O472"/>
    </row>
    <row r="473" spans="1:15" x14ac:dyDescent="0.2">
      <c r="A473"/>
      <c r="B473"/>
      <c r="C473"/>
      <c r="F473"/>
      <c r="G473"/>
      <c r="I473"/>
      <c r="L473"/>
      <c r="M473"/>
      <c r="N473"/>
      <c r="O473"/>
    </row>
    <row r="474" spans="1:15" x14ac:dyDescent="0.2">
      <c r="A474"/>
      <c r="B474"/>
      <c r="C474"/>
      <c r="F474"/>
      <c r="G474"/>
      <c r="H474"/>
      <c r="I474"/>
      <c r="J474"/>
      <c r="K474"/>
      <c r="L474"/>
      <c r="M474"/>
      <c r="N474"/>
      <c r="O474"/>
    </row>
    <row r="475" spans="1:15" x14ac:dyDescent="0.2">
      <c r="A475"/>
      <c r="B475"/>
      <c r="C475"/>
      <c r="F475"/>
      <c r="G475"/>
      <c r="I475"/>
      <c r="L475"/>
      <c r="M475"/>
      <c r="N475"/>
      <c r="O475"/>
    </row>
    <row r="476" spans="1:15" x14ac:dyDescent="0.2">
      <c r="A476"/>
      <c r="B476"/>
      <c r="C476"/>
      <c r="F476"/>
      <c r="G476"/>
      <c r="L476"/>
      <c r="M476"/>
      <c r="N476"/>
      <c r="O476"/>
    </row>
    <row r="477" spans="1:15" x14ac:dyDescent="0.2">
      <c r="A477"/>
      <c r="B477"/>
      <c r="C477"/>
      <c r="F477"/>
      <c r="G477"/>
      <c r="H477"/>
      <c r="I477"/>
      <c r="L477"/>
      <c r="M477"/>
      <c r="N477"/>
      <c r="O477"/>
    </row>
    <row r="478" spans="1:15" x14ac:dyDescent="0.2">
      <c r="A478"/>
      <c r="B478"/>
      <c r="C478"/>
      <c r="F478"/>
      <c r="G478"/>
      <c r="I478"/>
      <c r="L478"/>
      <c r="M478"/>
      <c r="N478"/>
      <c r="O478"/>
    </row>
    <row r="479" spans="1:15" x14ac:dyDescent="0.2">
      <c r="A479"/>
      <c r="B479"/>
      <c r="C479"/>
      <c r="F479"/>
      <c r="G479"/>
      <c r="H479"/>
      <c r="I479"/>
      <c r="L479"/>
      <c r="M479"/>
      <c r="N479"/>
      <c r="O479"/>
    </row>
    <row r="480" spans="1:15" x14ac:dyDescent="0.2">
      <c r="A480"/>
      <c r="B480"/>
      <c r="C480"/>
      <c r="F480"/>
      <c r="G480"/>
      <c r="H480"/>
      <c r="I480"/>
      <c r="L480"/>
      <c r="M480"/>
      <c r="N480"/>
      <c r="O480"/>
    </row>
    <row r="481" spans="1:15" x14ac:dyDescent="0.2">
      <c r="A481"/>
      <c r="B481"/>
      <c r="C481"/>
      <c r="F481"/>
      <c r="G481"/>
      <c r="H481"/>
      <c r="L481"/>
      <c r="M481"/>
      <c r="N481"/>
      <c r="O481"/>
    </row>
    <row r="482" spans="1:15" x14ac:dyDescent="0.2">
      <c r="A482"/>
      <c r="B482"/>
      <c r="C482"/>
      <c r="F482"/>
      <c r="G482"/>
      <c r="H482"/>
      <c r="I482"/>
      <c r="L482"/>
      <c r="M482"/>
      <c r="N482"/>
      <c r="O482"/>
    </row>
    <row r="483" spans="1:15" x14ac:dyDescent="0.2">
      <c r="A483"/>
      <c r="B483"/>
      <c r="C483"/>
      <c r="F483"/>
      <c r="G483"/>
      <c r="H483"/>
      <c r="J483"/>
      <c r="K483"/>
      <c r="L483"/>
      <c r="M483"/>
      <c r="N483"/>
      <c r="O483"/>
    </row>
    <row r="484" spans="1:15" x14ac:dyDescent="0.2">
      <c r="A484"/>
      <c r="B484"/>
      <c r="C484"/>
      <c r="F484"/>
      <c r="G484"/>
      <c r="H484"/>
      <c r="J484"/>
      <c r="K484"/>
      <c r="L484"/>
      <c r="M484"/>
      <c r="N484"/>
      <c r="O484"/>
    </row>
    <row r="485" spans="1:15" x14ac:dyDescent="0.2">
      <c r="A485"/>
      <c r="B485"/>
      <c r="C485"/>
      <c r="F485"/>
      <c r="G485"/>
      <c r="J485"/>
      <c r="K485"/>
      <c r="L485"/>
      <c r="M485"/>
      <c r="N485"/>
      <c r="O485"/>
    </row>
    <row r="486" spans="1:15" x14ac:dyDescent="0.2">
      <c r="A486"/>
      <c r="B486"/>
      <c r="C486"/>
      <c r="F486"/>
      <c r="G486"/>
      <c r="J486"/>
      <c r="K486"/>
      <c r="L486"/>
      <c r="M486"/>
      <c r="N486"/>
      <c r="O486"/>
    </row>
    <row r="487" spans="1:15" x14ac:dyDescent="0.2">
      <c r="A487"/>
      <c r="B487"/>
      <c r="C487"/>
      <c r="F487"/>
      <c r="G487"/>
      <c r="J487"/>
      <c r="K487"/>
      <c r="L487"/>
      <c r="M487"/>
      <c r="N487"/>
      <c r="O487"/>
    </row>
    <row r="488" spans="1:15" x14ac:dyDescent="0.2">
      <c r="A488"/>
      <c r="B488"/>
      <c r="C488"/>
      <c r="F488"/>
      <c r="G488"/>
      <c r="H488"/>
      <c r="I488"/>
      <c r="L488"/>
      <c r="N488"/>
      <c r="O488"/>
    </row>
    <row r="489" spans="1:15" x14ac:dyDescent="0.2">
      <c r="A489"/>
      <c r="B489"/>
      <c r="C489"/>
      <c r="F489"/>
      <c r="G489"/>
      <c r="J489"/>
      <c r="K489"/>
      <c r="L489"/>
      <c r="M489"/>
      <c r="N489"/>
      <c r="O489"/>
    </row>
    <row r="490" spans="1:15" x14ac:dyDescent="0.2">
      <c r="A490"/>
      <c r="B490"/>
      <c r="C490"/>
      <c r="F490"/>
      <c r="G490"/>
      <c r="I490"/>
      <c r="L490"/>
      <c r="M490"/>
      <c r="N490"/>
      <c r="O490"/>
    </row>
    <row r="491" spans="1:15" x14ac:dyDescent="0.2">
      <c r="A491"/>
      <c r="B491"/>
      <c r="C491"/>
      <c r="F491"/>
      <c r="G491"/>
      <c r="H491"/>
      <c r="I491"/>
      <c r="L491"/>
      <c r="M491"/>
      <c r="N491"/>
      <c r="O491"/>
    </row>
    <row r="492" spans="1:15" x14ac:dyDescent="0.2">
      <c r="A492"/>
      <c r="B492"/>
      <c r="C492"/>
      <c r="F492"/>
      <c r="G492"/>
      <c r="L492"/>
      <c r="M492"/>
      <c r="N492"/>
      <c r="O492"/>
    </row>
    <row r="493" spans="1:15" x14ac:dyDescent="0.2">
      <c r="A493"/>
      <c r="B493"/>
      <c r="C493"/>
      <c r="F493"/>
      <c r="G493"/>
      <c r="L493"/>
      <c r="M493"/>
      <c r="N493"/>
      <c r="O493"/>
    </row>
    <row r="494" spans="1:15" x14ac:dyDescent="0.2">
      <c r="A494"/>
      <c r="B494"/>
      <c r="C494"/>
      <c r="F494"/>
      <c r="G494"/>
      <c r="L494"/>
      <c r="M494"/>
      <c r="N494"/>
      <c r="O494"/>
    </row>
    <row r="495" spans="1:15" x14ac:dyDescent="0.2">
      <c r="A495"/>
      <c r="B495"/>
      <c r="C495"/>
      <c r="F495"/>
      <c r="G495"/>
      <c r="L495"/>
      <c r="M495"/>
      <c r="N495"/>
      <c r="O495"/>
    </row>
    <row r="496" spans="1:15" x14ac:dyDescent="0.2">
      <c r="A496"/>
      <c r="B496"/>
      <c r="C496"/>
      <c r="F496"/>
      <c r="G496"/>
      <c r="H496"/>
      <c r="I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I499"/>
      <c r="L499"/>
      <c r="M499"/>
      <c r="N499"/>
      <c r="O499"/>
    </row>
    <row r="500" spans="1:15" x14ac:dyDescent="0.2">
      <c r="A500"/>
      <c r="B500"/>
      <c r="C500"/>
      <c r="F500"/>
      <c r="G500"/>
      <c r="I500"/>
      <c r="L500"/>
      <c r="M500"/>
      <c r="N500"/>
      <c r="O500"/>
    </row>
    <row r="501" spans="1:15" x14ac:dyDescent="0.2">
      <c r="A501"/>
      <c r="B501"/>
      <c r="C501"/>
      <c r="F501"/>
      <c r="G501"/>
      <c r="H501"/>
      <c r="I501"/>
      <c r="L501"/>
      <c r="M501"/>
      <c r="N501"/>
      <c r="O501"/>
    </row>
    <row r="502" spans="1:15" x14ac:dyDescent="0.2">
      <c r="A502"/>
      <c r="B502"/>
      <c r="C502"/>
      <c r="F502"/>
      <c r="G502"/>
      <c r="H502"/>
      <c r="I502"/>
      <c r="L502"/>
      <c r="M502"/>
      <c r="N502"/>
      <c r="O502"/>
    </row>
    <row r="503" spans="1:15" x14ac:dyDescent="0.2">
      <c r="A503"/>
      <c r="B503"/>
      <c r="C503"/>
      <c r="F503"/>
      <c r="G503"/>
      <c r="H503"/>
      <c r="I503"/>
      <c r="L503"/>
      <c r="M503"/>
      <c r="N503"/>
      <c r="O503"/>
    </row>
    <row r="504" spans="1:15" x14ac:dyDescent="0.2">
      <c r="A504"/>
      <c r="B504"/>
      <c r="C504"/>
      <c r="F504"/>
      <c r="G504"/>
      <c r="J504"/>
      <c r="L504"/>
      <c r="M504"/>
      <c r="N504"/>
      <c r="O504"/>
    </row>
    <row r="505" spans="1:15" x14ac:dyDescent="0.2">
      <c r="A505"/>
      <c r="B505"/>
      <c r="C505"/>
      <c r="F505"/>
      <c r="G505"/>
      <c r="H505"/>
      <c r="I505"/>
      <c r="L505"/>
      <c r="M505"/>
      <c r="N505"/>
      <c r="O505"/>
    </row>
    <row r="506" spans="1:15" x14ac:dyDescent="0.2">
      <c r="A506"/>
      <c r="B506"/>
      <c r="C506"/>
      <c r="F506"/>
      <c r="G506"/>
      <c r="I506"/>
      <c r="L506"/>
      <c r="M506"/>
      <c r="N506"/>
      <c r="O506"/>
    </row>
    <row r="507" spans="1:15" x14ac:dyDescent="0.2">
      <c r="A507"/>
      <c r="B507"/>
      <c r="C507"/>
      <c r="F507"/>
      <c r="G507"/>
      <c r="I507"/>
      <c r="L507"/>
      <c r="M507"/>
      <c r="N507"/>
      <c r="O507"/>
    </row>
    <row r="508" spans="1:15" x14ac:dyDescent="0.2">
      <c r="A508"/>
      <c r="B508"/>
      <c r="C508"/>
      <c r="F508"/>
      <c r="G508"/>
      <c r="I508"/>
      <c r="L508"/>
      <c r="M508"/>
      <c r="N508"/>
      <c r="O508"/>
    </row>
    <row r="509" spans="1:15" x14ac:dyDescent="0.2">
      <c r="A509"/>
      <c r="B509"/>
      <c r="C509"/>
      <c r="F509"/>
      <c r="G509"/>
      <c r="H509"/>
      <c r="I509"/>
      <c r="L509"/>
      <c r="M509"/>
      <c r="N509"/>
      <c r="O509"/>
    </row>
    <row r="510" spans="1:15" x14ac:dyDescent="0.2">
      <c r="A510"/>
      <c r="B510"/>
      <c r="C510"/>
      <c r="F510"/>
      <c r="G510"/>
      <c r="I510"/>
      <c r="L510"/>
      <c r="M510"/>
      <c r="N510"/>
      <c r="O510"/>
    </row>
    <row r="511" spans="1:15" x14ac:dyDescent="0.2">
      <c r="A511"/>
      <c r="B511"/>
      <c r="C511"/>
      <c r="F511"/>
      <c r="G511"/>
      <c r="L511"/>
      <c r="M511"/>
      <c r="N511"/>
      <c r="O511"/>
    </row>
    <row r="512" spans="1:15" x14ac:dyDescent="0.2">
      <c r="A512"/>
      <c r="B512"/>
      <c r="C512"/>
      <c r="F512"/>
      <c r="G512"/>
      <c r="H512"/>
      <c r="I512"/>
      <c r="J512"/>
      <c r="K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J515"/>
      <c r="K515"/>
      <c r="L515"/>
      <c r="M515"/>
      <c r="N515"/>
      <c r="O515"/>
    </row>
    <row r="516" spans="1:15" x14ac:dyDescent="0.2">
      <c r="A516"/>
      <c r="B516"/>
      <c r="C516"/>
      <c r="F516"/>
      <c r="G516"/>
      <c r="H516"/>
      <c r="I516"/>
      <c r="L516"/>
      <c r="M516"/>
      <c r="N516"/>
      <c r="O516"/>
    </row>
    <row r="517" spans="1:15" x14ac:dyDescent="0.2">
      <c r="A517"/>
      <c r="B517"/>
      <c r="C517"/>
      <c r="F517"/>
      <c r="G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J521"/>
      <c r="K521"/>
      <c r="L521"/>
      <c r="M521"/>
      <c r="N521"/>
      <c r="O521"/>
    </row>
    <row r="522" spans="1:15" x14ac:dyDescent="0.2">
      <c r="A522"/>
      <c r="B522"/>
      <c r="C522"/>
      <c r="F522"/>
      <c r="G522"/>
      <c r="M522"/>
      <c r="N522"/>
      <c r="O522"/>
    </row>
    <row r="523" spans="1:15" x14ac:dyDescent="0.2">
      <c r="A523"/>
      <c r="B523"/>
      <c r="C523"/>
      <c r="F523"/>
      <c r="G523"/>
      <c r="H523"/>
      <c r="I523"/>
      <c r="L523"/>
      <c r="M523"/>
      <c r="N523"/>
      <c r="O523"/>
    </row>
    <row r="524" spans="1:15" x14ac:dyDescent="0.2">
      <c r="A524"/>
      <c r="B524"/>
      <c r="C524"/>
      <c r="F524"/>
      <c r="G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J527"/>
      <c r="K527"/>
      <c r="L527"/>
      <c r="M527"/>
      <c r="N527"/>
      <c r="O527"/>
    </row>
    <row r="528" spans="1:15" x14ac:dyDescent="0.2">
      <c r="A528"/>
      <c r="B528"/>
      <c r="C528"/>
      <c r="F528"/>
      <c r="G528"/>
      <c r="H528"/>
      <c r="I528"/>
      <c r="L528"/>
      <c r="M528"/>
      <c r="N528"/>
      <c r="O528"/>
    </row>
    <row r="529" spans="1:15" x14ac:dyDescent="0.2">
      <c r="A529"/>
      <c r="B529"/>
      <c r="C529"/>
      <c r="F529"/>
      <c r="G529"/>
      <c r="H529"/>
      <c r="J529"/>
      <c r="K529"/>
      <c r="L529"/>
      <c r="M529"/>
      <c r="N529"/>
      <c r="O529"/>
    </row>
    <row r="530" spans="1:15" x14ac:dyDescent="0.2">
      <c r="A530"/>
      <c r="B530"/>
      <c r="C530"/>
      <c r="F530"/>
      <c r="G530"/>
      <c r="H530"/>
      <c r="I530"/>
      <c r="L530"/>
      <c r="M530"/>
      <c r="N530"/>
      <c r="O530"/>
    </row>
    <row r="531" spans="1:15" x14ac:dyDescent="0.2">
      <c r="A531"/>
      <c r="B531"/>
      <c r="C531"/>
      <c r="F531"/>
      <c r="G531"/>
      <c r="I531"/>
      <c r="L531"/>
      <c r="M531"/>
      <c r="N531"/>
      <c r="O531"/>
    </row>
    <row r="532" spans="1:15" x14ac:dyDescent="0.2">
      <c r="A532"/>
      <c r="B532"/>
      <c r="C532"/>
      <c r="F532"/>
      <c r="G532"/>
      <c r="I532"/>
      <c r="L532"/>
      <c r="M532"/>
      <c r="N532"/>
      <c r="O532"/>
    </row>
    <row r="533" spans="1:15" x14ac:dyDescent="0.2">
      <c r="A533"/>
      <c r="B533"/>
      <c r="C533"/>
      <c r="F533"/>
      <c r="G533"/>
      <c r="H533"/>
      <c r="I533"/>
      <c r="L533"/>
      <c r="M533"/>
      <c r="N533"/>
      <c r="O533"/>
    </row>
    <row r="534" spans="1:15" x14ac:dyDescent="0.2">
      <c r="A534"/>
      <c r="B534"/>
      <c r="C534"/>
      <c r="F534"/>
      <c r="G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H537"/>
      <c r="I537"/>
      <c r="L537"/>
      <c r="M537"/>
      <c r="N537"/>
      <c r="O537"/>
    </row>
    <row r="538" spans="1:15" x14ac:dyDescent="0.2">
      <c r="A538"/>
      <c r="B538"/>
      <c r="C538"/>
      <c r="F538"/>
      <c r="G538"/>
      <c r="H538"/>
      <c r="I538"/>
      <c r="L538"/>
      <c r="M538"/>
      <c r="N538"/>
      <c r="O538"/>
    </row>
    <row r="539" spans="1:15" x14ac:dyDescent="0.2">
      <c r="A539"/>
      <c r="B539"/>
      <c r="C539"/>
      <c r="F539"/>
      <c r="G539"/>
      <c r="H539"/>
      <c r="I539"/>
      <c r="L539"/>
      <c r="M539"/>
      <c r="N539"/>
      <c r="O539"/>
    </row>
    <row r="540" spans="1:15" x14ac:dyDescent="0.2">
      <c r="A540"/>
      <c r="B540"/>
      <c r="C540"/>
      <c r="F540"/>
      <c r="G540"/>
      <c r="J540"/>
      <c r="L540"/>
      <c r="M540"/>
      <c r="N540"/>
      <c r="O540"/>
    </row>
    <row r="541" spans="1:15" x14ac:dyDescent="0.2">
      <c r="A541"/>
      <c r="B541"/>
      <c r="C541"/>
      <c r="F541"/>
      <c r="G541"/>
      <c r="H541"/>
      <c r="L541"/>
      <c r="M541"/>
      <c r="N541"/>
      <c r="O541"/>
    </row>
    <row r="542" spans="1:15" x14ac:dyDescent="0.2">
      <c r="A542"/>
      <c r="B542"/>
      <c r="C542"/>
      <c r="F542"/>
      <c r="G542"/>
      <c r="J542"/>
      <c r="K542"/>
      <c r="L542"/>
      <c r="M542"/>
      <c r="N542"/>
      <c r="O542"/>
    </row>
    <row r="543" spans="1:15" x14ac:dyDescent="0.2">
      <c r="A543"/>
      <c r="B543"/>
      <c r="C543"/>
      <c r="F543"/>
      <c r="G543"/>
      <c r="L543"/>
      <c r="M543"/>
      <c r="N543"/>
      <c r="O543"/>
    </row>
    <row r="544" spans="1:15" x14ac:dyDescent="0.2">
      <c r="A544"/>
      <c r="B544"/>
      <c r="C544"/>
      <c r="F544"/>
      <c r="G544"/>
      <c r="H544"/>
      <c r="J544"/>
      <c r="K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L549"/>
      <c r="M549"/>
      <c r="N549"/>
      <c r="O549"/>
    </row>
    <row r="550" spans="1:15" x14ac:dyDescent="0.2">
      <c r="A550"/>
      <c r="B550"/>
      <c r="C550"/>
      <c r="F550"/>
      <c r="G550"/>
      <c r="L550"/>
      <c r="M550"/>
      <c r="N550"/>
      <c r="O550"/>
    </row>
    <row r="551" spans="1:15" x14ac:dyDescent="0.2">
      <c r="A551"/>
      <c r="B551"/>
      <c r="C551"/>
      <c r="F551"/>
      <c r="G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I554"/>
      <c r="L554"/>
      <c r="M554"/>
      <c r="N554"/>
      <c r="O554"/>
    </row>
    <row r="555" spans="1:15" x14ac:dyDescent="0.2">
      <c r="A555"/>
      <c r="B555"/>
      <c r="C555"/>
      <c r="F555"/>
      <c r="G555"/>
      <c r="H555"/>
      <c r="I555"/>
      <c r="L555"/>
      <c r="M555"/>
      <c r="N555"/>
      <c r="O555"/>
    </row>
    <row r="556" spans="1:15" x14ac:dyDescent="0.2">
      <c r="A556"/>
      <c r="B556"/>
      <c r="C556"/>
      <c r="F556"/>
      <c r="G556"/>
      <c r="L556"/>
      <c r="M556"/>
      <c r="N556"/>
      <c r="O556"/>
    </row>
    <row r="557" spans="1:15" x14ac:dyDescent="0.2">
      <c r="A557"/>
      <c r="B557"/>
      <c r="C557"/>
      <c r="F557"/>
      <c r="G557"/>
      <c r="L557"/>
      <c r="M557"/>
      <c r="N557"/>
      <c r="O557"/>
    </row>
    <row r="558" spans="1:15" x14ac:dyDescent="0.2">
      <c r="A558"/>
      <c r="B558"/>
      <c r="C558"/>
      <c r="F558"/>
      <c r="G558"/>
      <c r="H558"/>
      <c r="I558"/>
      <c r="L558"/>
      <c r="M558"/>
      <c r="N558"/>
      <c r="O558"/>
    </row>
    <row r="559" spans="1:15" x14ac:dyDescent="0.2">
      <c r="A559"/>
      <c r="B559"/>
      <c r="C559"/>
      <c r="F559"/>
      <c r="G559"/>
      <c r="I559"/>
      <c r="L559"/>
      <c r="M559"/>
      <c r="N559"/>
      <c r="O559"/>
    </row>
    <row r="560" spans="1:15" x14ac:dyDescent="0.2">
      <c r="A560"/>
      <c r="B560"/>
      <c r="C560"/>
      <c r="F560"/>
      <c r="G560"/>
      <c r="H560"/>
      <c r="I560"/>
      <c r="L560"/>
      <c r="M560"/>
      <c r="N560"/>
      <c r="O560"/>
    </row>
    <row r="561" spans="1:15" x14ac:dyDescent="0.2">
      <c r="A561"/>
      <c r="B561"/>
      <c r="C561"/>
      <c r="F561"/>
      <c r="G561"/>
      <c r="H561"/>
      <c r="I561"/>
      <c r="L561"/>
      <c r="M561"/>
      <c r="N561"/>
      <c r="O561"/>
    </row>
    <row r="562" spans="1:15" x14ac:dyDescent="0.2">
      <c r="A562"/>
      <c r="B562"/>
      <c r="C562"/>
      <c r="F562"/>
      <c r="G562"/>
      <c r="M562"/>
      <c r="N562"/>
      <c r="O562"/>
    </row>
    <row r="563" spans="1:15" x14ac:dyDescent="0.2">
      <c r="A563"/>
      <c r="B563"/>
      <c r="C563"/>
      <c r="F563"/>
      <c r="G563"/>
      <c r="H563"/>
      <c r="I563"/>
      <c r="L563"/>
      <c r="M563"/>
      <c r="N563"/>
      <c r="O563"/>
    </row>
    <row r="564" spans="1:15" x14ac:dyDescent="0.2">
      <c r="A564"/>
      <c r="B564"/>
      <c r="C564"/>
      <c r="F564"/>
      <c r="G564"/>
      <c r="H564"/>
      <c r="L564"/>
      <c r="M564"/>
      <c r="N564"/>
      <c r="O564"/>
    </row>
    <row r="565" spans="1:15" x14ac:dyDescent="0.2">
      <c r="A565"/>
      <c r="B565"/>
      <c r="C565"/>
      <c r="F565"/>
      <c r="G565"/>
      <c r="I565"/>
      <c r="L565"/>
      <c r="M565"/>
      <c r="N565"/>
      <c r="O565"/>
    </row>
    <row r="566" spans="1:15" x14ac:dyDescent="0.2">
      <c r="A566"/>
      <c r="B566"/>
      <c r="C566"/>
      <c r="F566"/>
      <c r="G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M569"/>
      <c r="N569"/>
      <c r="O569"/>
    </row>
    <row r="570" spans="1:15" x14ac:dyDescent="0.2">
      <c r="A570"/>
      <c r="B570"/>
      <c r="C570"/>
      <c r="F570"/>
      <c r="G570"/>
      <c r="L570"/>
      <c r="M570"/>
      <c r="N570"/>
      <c r="O570"/>
    </row>
    <row r="571" spans="1:15" x14ac:dyDescent="0.2">
      <c r="A571"/>
      <c r="B571"/>
      <c r="C571"/>
      <c r="F571"/>
      <c r="G571"/>
      <c r="H571"/>
      <c r="I571"/>
      <c r="L571"/>
      <c r="M571"/>
      <c r="N571"/>
      <c r="O571"/>
    </row>
    <row r="572" spans="1:15" x14ac:dyDescent="0.2">
      <c r="A572"/>
      <c r="B572"/>
      <c r="C572"/>
      <c r="F572"/>
      <c r="G572"/>
      <c r="I572"/>
      <c r="L572"/>
      <c r="M572"/>
      <c r="N572"/>
      <c r="O572"/>
    </row>
    <row r="573" spans="1:15" x14ac:dyDescent="0.2">
      <c r="A573"/>
      <c r="B573"/>
      <c r="C573"/>
      <c r="F573"/>
      <c r="G573"/>
      <c r="L573"/>
      <c r="M573"/>
      <c r="N573"/>
      <c r="O573"/>
    </row>
    <row r="574" spans="1:15" x14ac:dyDescent="0.2">
      <c r="A574"/>
      <c r="B574"/>
      <c r="C574"/>
      <c r="F574"/>
      <c r="G574"/>
      <c r="I574"/>
      <c r="L574"/>
      <c r="M574"/>
      <c r="N574"/>
      <c r="O574"/>
    </row>
    <row r="575" spans="1:15" x14ac:dyDescent="0.2">
      <c r="A575"/>
      <c r="B575"/>
      <c r="C575"/>
      <c r="F575"/>
      <c r="G575"/>
      <c r="H575"/>
      <c r="I575"/>
      <c r="L575"/>
      <c r="N575"/>
      <c r="O575"/>
    </row>
    <row r="576" spans="1:15" x14ac:dyDescent="0.2">
      <c r="A576"/>
      <c r="B576"/>
      <c r="C576"/>
      <c r="F576"/>
      <c r="G576"/>
      <c r="H576"/>
      <c r="I576"/>
      <c r="L576"/>
      <c r="N576"/>
      <c r="O576"/>
    </row>
    <row r="577" spans="1:15" x14ac:dyDescent="0.2">
      <c r="A577"/>
      <c r="B577"/>
      <c r="C577"/>
      <c r="F577"/>
      <c r="G577"/>
      <c r="M577"/>
      <c r="N577"/>
      <c r="O577"/>
    </row>
    <row r="578" spans="1:15" x14ac:dyDescent="0.2">
      <c r="A578"/>
      <c r="B578"/>
      <c r="C578"/>
      <c r="F578"/>
      <c r="G578"/>
      <c r="I578"/>
      <c r="L578"/>
      <c r="M578"/>
      <c r="N578"/>
      <c r="O578"/>
    </row>
    <row r="579" spans="1:15" x14ac:dyDescent="0.2">
      <c r="A579"/>
      <c r="B579"/>
      <c r="C579"/>
      <c r="F579"/>
      <c r="G579"/>
      <c r="H579"/>
      <c r="I579"/>
      <c r="L579"/>
      <c r="M579"/>
      <c r="N579"/>
      <c r="O579"/>
    </row>
    <row r="580" spans="1:15" x14ac:dyDescent="0.2">
      <c r="A580"/>
      <c r="B580"/>
      <c r="C580"/>
      <c r="F580"/>
      <c r="G580"/>
      <c r="L580"/>
      <c r="M580"/>
      <c r="N580"/>
      <c r="O580"/>
    </row>
    <row r="581" spans="1:15" x14ac:dyDescent="0.2">
      <c r="A581"/>
      <c r="B581"/>
      <c r="C581"/>
      <c r="F581"/>
      <c r="G581"/>
      <c r="H581"/>
      <c r="I581"/>
      <c r="L581"/>
      <c r="M581"/>
      <c r="N581"/>
      <c r="O581"/>
    </row>
    <row r="582" spans="1:15" x14ac:dyDescent="0.2">
      <c r="A582"/>
      <c r="B582"/>
      <c r="C582"/>
      <c r="F582"/>
      <c r="G582"/>
      <c r="J582"/>
      <c r="K582"/>
      <c r="L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J586"/>
      <c r="M586"/>
      <c r="N586"/>
      <c r="O586"/>
    </row>
    <row r="587" spans="1:15" x14ac:dyDescent="0.2">
      <c r="A587"/>
      <c r="B587"/>
      <c r="C587"/>
      <c r="F587"/>
      <c r="G587"/>
      <c r="H587"/>
      <c r="I587"/>
      <c r="L587"/>
      <c r="M587"/>
      <c r="N587"/>
      <c r="O587"/>
    </row>
    <row r="588" spans="1:15" x14ac:dyDescent="0.2">
      <c r="A588"/>
      <c r="B588"/>
      <c r="C588"/>
      <c r="F588"/>
      <c r="G588"/>
      <c r="H588"/>
      <c r="I588"/>
      <c r="L588"/>
      <c r="M588"/>
      <c r="N588"/>
      <c r="O588"/>
    </row>
    <row r="589" spans="1:15" x14ac:dyDescent="0.2">
      <c r="A589"/>
      <c r="B589"/>
      <c r="C589"/>
      <c r="F589"/>
      <c r="G589"/>
      <c r="H589"/>
      <c r="I589"/>
      <c r="L589"/>
      <c r="M589"/>
      <c r="N589"/>
      <c r="O589"/>
    </row>
    <row r="590" spans="1:15" x14ac:dyDescent="0.2">
      <c r="A590"/>
      <c r="B590"/>
      <c r="C590"/>
      <c r="F590"/>
      <c r="G590"/>
      <c r="H590"/>
      <c r="I590"/>
      <c r="L590"/>
      <c r="N590"/>
      <c r="O590"/>
    </row>
    <row r="591" spans="1:15" x14ac:dyDescent="0.2">
      <c r="A591"/>
      <c r="B591"/>
      <c r="C591"/>
      <c r="F591"/>
      <c r="G591"/>
      <c r="H591"/>
      <c r="L591"/>
      <c r="M591"/>
      <c r="N591"/>
      <c r="O591"/>
    </row>
    <row r="592" spans="1:15" x14ac:dyDescent="0.2">
      <c r="A592"/>
      <c r="B592"/>
      <c r="C592"/>
      <c r="F592"/>
      <c r="G592"/>
      <c r="H592"/>
      <c r="I592"/>
      <c r="L592"/>
      <c r="M592"/>
      <c r="N592"/>
      <c r="O592"/>
    </row>
    <row r="593" spans="1:15" x14ac:dyDescent="0.2">
      <c r="A593"/>
      <c r="B593"/>
      <c r="C593"/>
      <c r="F593"/>
      <c r="G593"/>
      <c r="H593"/>
      <c r="I593"/>
      <c r="L593"/>
      <c r="M593"/>
      <c r="N593"/>
      <c r="O593"/>
    </row>
    <row r="594" spans="1:15" x14ac:dyDescent="0.2">
      <c r="A594"/>
      <c r="B594"/>
      <c r="C594"/>
      <c r="F594"/>
      <c r="G594"/>
      <c r="I594"/>
      <c r="L594"/>
      <c r="M594"/>
      <c r="N594"/>
      <c r="O594"/>
    </row>
    <row r="595" spans="1:15" x14ac:dyDescent="0.2">
      <c r="A595"/>
      <c r="B595"/>
      <c r="C595"/>
      <c r="F595"/>
      <c r="G595"/>
      <c r="H595"/>
      <c r="I595"/>
      <c r="L595"/>
      <c r="M595"/>
      <c r="N595"/>
      <c r="O595"/>
    </row>
    <row r="596" spans="1:15" x14ac:dyDescent="0.2">
      <c r="A596"/>
      <c r="B596"/>
      <c r="C596"/>
      <c r="F596"/>
      <c r="G596"/>
      <c r="I596"/>
      <c r="L596"/>
      <c r="M596"/>
      <c r="N596"/>
      <c r="O596"/>
    </row>
    <row r="597" spans="1:15" x14ac:dyDescent="0.2">
      <c r="A597"/>
      <c r="B597"/>
      <c r="C597"/>
      <c r="F597"/>
      <c r="G597"/>
      <c r="H597"/>
      <c r="I597"/>
      <c r="L597"/>
      <c r="M597"/>
      <c r="N597"/>
      <c r="O597"/>
    </row>
    <row r="598" spans="1:15" x14ac:dyDescent="0.2">
      <c r="A598"/>
      <c r="B598"/>
      <c r="C598"/>
      <c r="F598"/>
      <c r="G598"/>
      <c r="H598"/>
      <c r="I598"/>
      <c r="L598"/>
      <c r="M598"/>
      <c r="N598"/>
      <c r="O598"/>
    </row>
    <row r="599" spans="1:15" x14ac:dyDescent="0.2">
      <c r="A599"/>
      <c r="B599"/>
      <c r="C599"/>
      <c r="F599"/>
      <c r="G599"/>
      <c r="H599"/>
      <c r="J599"/>
      <c r="K599"/>
      <c r="L599"/>
      <c r="M599"/>
      <c r="N599"/>
      <c r="O599"/>
    </row>
    <row r="600" spans="1:15" x14ac:dyDescent="0.2">
      <c r="A600"/>
      <c r="B600"/>
      <c r="C600"/>
      <c r="F600"/>
      <c r="G600"/>
      <c r="H600"/>
      <c r="J600"/>
      <c r="K600"/>
      <c r="L600"/>
      <c r="M600"/>
      <c r="N600"/>
      <c r="O600"/>
    </row>
    <row r="601" spans="1:15" x14ac:dyDescent="0.2">
      <c r="A601"/>
      <c r="B601"/>
      <c r="C601"/>
      <c r="F601"/>
      <c r="G601"/>
      <c r="L601"/>
      <c r="M601"/>
      <c r="N601"/>
      <c r="O601"/>
    </row>
    <row r="602" spans="1:15" x14ac:dyDescent="0.2">
      <c r="A602"/>
      <c r="B602"/>
      <c r="C602"/>
      <c r="F602"/>
      <c r="G602"/>
      <c r="J602"/>
      <c r="K602"/>
      <c r="L602"/>
      <c r="M602"/>
      <c r="N602"/>
      <c r="O602"/>
    </row>
    <row r="603" spans="1:15" x14ac:dyDescent="0.2">
      <c r="A603"/>
      <c r="B603"/>
      <c r="C603"/>
      <c r="F603"/>
      <c r="G603"/>
      <c r="H603"/>
      <c r="I603"/>
      <c r="L603"/>
      <c r="M603"/>
      <c r="N603"/>
      <c r="O603"/>
    </row>
    <row r="604" spans="1:15" x14ac:dyDescent="0.2">
      <c r="A604"/>
      <c r="B604"/>
      <c r="C604"/>
      <c r="F604"/>
      <c r="G604"/>
      <c r="I604"/>
      <c r="L604"/>
      <c r="M604"/>
      <c r="N604"/>
      <c r="O604"/>
    </row>
    <row r="605" spans="1:15" x14ac:dyDescent="0.2">
      <c r="A605"/>
      <c r="B605"/>
      <c r="C605"/>
      <c r="F605"/>
      <c r="G605"/>
      <c r="L605"/>
      <c r="M605"/>
      <c r="N605"/>
      <c r="O605"/>
    </row>
    <row r="606" spans="1:15" x14ac:dyDescent="0.2">
      <c r="A606"/>
      <c r="B606"/>
      <c r="C606"/>
      <c r="F606"/>
      <c r="G606"/>
      <c r="J606"/>
      <c r="K606"/>
      <c r="L606"/>
      <c r="M606"/>
      <c r="N606"/>
      <c r="O606"/>
    </row>
    <row r="607" spans="1:15" x14ac:dyDescent="0.2">
      <c r="A607"/>
      <c r="B607"/>
      <c r="C607"/>
      <c r="F607"/>
      <c r="G607"/>
      <c r="H607"/>
      <c r="J607"/>
      <c r="K607"/>
      <c r="L607"/>
      <c r="M607"/>
      <c r="N607"/>
      <c r="O607"/>
    </row>
    <row r="608" spans="1:15" x14ac:dyDescent="0.2">
      <c r="A608"/>
      <c r="B608"/>
      <c r="C608"/>
      <c r="F608"/>
      <c r="G608"/>
      <c r="M608"/>
      <c r="N608"/>
      <c r="O608"/>
    </row>
    <row r="609" spans="1:15" x14ac:dyDescent="0.2">
      <c r="A609"/>
      <c r="B609"/>
      <c r="C609"/>
      <c r="F609"/>
      <c r="G609"/>
      <c r="L609"/>
      <c r="M609"/>
      <c r="N609"/>
      <c r="O609"/>
    </row>
    <row r="610" spans="1:15" x14ac:dyDescent="0.2">
      <c r="A610"/>
      <c r="B610"/>
      <c r="C610"/>
      <c r="F610"/>
      <c r="G610"/>
      <c r="H610"/>
      <c r="I610"/>
      <c r="L610"/>
      <c r="N610"/>
      <c r="O610"/>
    </row>
    <row r="611" spans="1:15" x14ac:dyDescent="0.2">
      <c r="A611"/>
      <c r="B611"/>
      <c r="C611"/>
      <c r="F611"/>
      <c r="G611"/>
      <c r="H611"/>
      <c r="I611"/>
      <c r="L611"/>
      <c r="M611"/>
      <c r="N611"/>
      <c r="O611"/>
    </row>
    <row r="612" spans="1:15" x14ac:dyDescent="0.2">
      <c r="A612"/>
      <c r="B612"/>
      <c r="C612"/>
      <c r="F612"/>
      <c r="G612"/>
      <c r="L612"/>
      <c r="M612"/>
      <c r="N612"/>
      <c r="O612"/>
    </row>
    <row r="613" spans="1:15" x14ac:dyDescent="0.2">
      <c r="A613"/>
      <c r="B613"/>
      <c r="C613"/>
      <c r="F613"/>
      <c r="G613"/>
      <c r="H613"/>
      <c r="I613"/>
      <c r="L613"/>
      <c r="M613"/>
      <c r="N613"/>
      <c r="O613"/>
    </row>
    <row r="614" spans="1:15" x14ac:dyDescent="0.2">
      <c r="A614"/>
      <c r="B614"/>
      <c r="C614"/>
      <c r="F614"/>
      <c r="G614"/>
      <c r="I614"/>
      <c r="L614"/>
      <c r="M614"/>
      <c r="N614"/>
      <c r="O614"/>
    </row>
    <row r="615" spans="1:15" x14ac:dyDescent="0.2">
      <c r="A615"/>
      <c r="B615"/>
      <c r="C615"/>
      <c r="F615"/>
      <c r="G615"/>
      <c r="I615"/>
      <c r="L615"/>
      <c r="M615"/>
      <c r="N615"/>
      <c r="O615"/>
    </row>
    <row r="616" spans="1:15" x14ac:dyDescent="0.2">
      <c r="A616"/>
      <c r="B616"/>
      <c r="C616"/>
      <c r="F616"/>
      <c r="G616"/>
      <c r="H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H620"/>
      <c r="I620"/>
      <c r="L620"/>
      <c r="M620"/>
      <c r="N620"/>
      <c r="O620"/>
    </row>
    <row r="621" spans="1:15" x14ac:dyDescent="0.2">
      <c r="A621"/>
      <c r="B621"/>
      <c r="C621"/>
      <c r="F621"/>
      <c r="G621"/>
      <c r="H621"/>
      <c r="I621"/>
      <c r="L621"/>
      <c r="M621"/>
      <c r="N621"/>
      <c r="O621"/>
    </row>
    <row r="622" spans="1:15" x14ac:dyDescent="0.2">
      <c r="A622"/>
      <c r="B622"/>
      <c r="C622"/>
      <c r="F622"/>
      <c r="G622"/>
      <c r="H622"/>
      <c r="I622"/>
      <c r="L622"/>
      <c r="M622"/>
      <c r="N622"/>
      <c r="O622"/>
    </row>
    <row r="623" spans="1:15" x14ac:dyDescent="0.2">
      <c r="A623"/>
      <c r="B623"/>
      <c r="C623"/>
      <c r="F623"/>
      <c r="G623"/>
      <c r="M623"/>
      <c r="N623"/>
      <c r="O623"/>
    </row>
    <row r="624" spans="1:15" x14ac:dyDescent="0.2">
      <c r="A624"/>
      <c r="B624"/>
      <c r="C624"/>
      <c r="F624"/>
      <c r="G624"/>
      <c r="I624"/>
      <c r="L624"/>
      <c r="M624"/>
      <c r="N624"/>
      <c r="O624"/>
    </row>
    <row r="625" spans="1:15" x14ac:dyDescent="0.2">
      <c r="A625"/>
      <c r="B625"/>
      <c r="C625"/>
      <c r="F625"/>
      <c r="G625"/>
      <c r="H625"/>
      <c r="I625"/>
      <c r="L625"/>
      <c r="M625"/>
      <c r="N625"/>
      <c r="O625"/>
    </row>
    <row r="626" spans="1:15" x14ac:dyDescent="0.2">
      <c r="A626"/>
      <c r="B626"/>
      <c r="C626"/>
      <c r="F626"/>
      <c r="G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I629"/>
      <c r="L629"/>
      <c r="M629"/>
      <c r="N629"/>
      <c r="O629"/>
    </row>
    <row r="630" spans="1:15" x14ac:dyDescent="0.2">
      <c r="A630"/>
      <c r="B630"/>
      <c r="C630"/>
      <c r="F630"/>
      <c r="G630"/>
      <c r="L630"/>
      <c r="M630"/>
      <c r="N630"/>
      <c r="O630"/>
    </row>
    <row r="631" spans="1:15" x14ac:dyDescent="0.2">
      <c r="A631"/>
      <c r="B631"/>
      <c r="C631"/>
      <c r="F631"/>
      <c r="G631"/>
      <c r="I631"/>
      <c r="L631"/>
      <c r="M631"/>
      <c r="N631"/>
      <c r="O631"/>
    </row>
    <row r="632" spans="1:15" x14ac:dyDescent="0.2">
      <c r="A632"/>
      <c r="B632"/>
      <c r="C632"/>
      <c r="F632"/>
      <c r="G632"/>
      <c r="H632"/>
      <c r="I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H635"/>
      <c r="J635"/>
      <c r="L635"/>
      <c r="M635"/>
      <c r="N635"/>
      <c r="O635"/>
    </row>
    <row r="636" spans="1:15" x14ac:dyDescent="0.2">
      <c r="A636"/>
      <c r="B636"/>
      <c r="C636"/>
      <c r="F636"/>
      <c r="G636"/>
      <c r="I636"/>
      <c r="L636"/>
      <c r="M636"/>
      <c r="N636"/>
      <c r="O636"/>
    </row>
    <row r="637" spans="1:15" x14ac:dyDescent="0.2">
      <c r="A637"/>
      <c r="B637"/>
      <c r="C637"/>
      <c r="F637"/>
      <c r="G637"/>
      <c r="I637"/>
      <c r="L637"/>
      <c r="M637"/>
      <c r="N637"/>
      <c r="O637"/>
    </row>
    <row r="638" spans="1:15" x14ac:dyDescent="0.2">
      <c r="A638"/>
      <c r="B638"/>
      <c r="C638"/>
      <c r="F638"/>
      <c r="G638"/>
      <c r="I638"/>
      <c r="L638"/>
      <c r="M638"/>
      <c r="N638"/>
      <c r="O638"/>
    </row>
    <row r="639" spans="1:15" x14ac:dyDescent="0.2">
      <c r="A639"/>
      <c r="B639"/>
      <c r="C639"/>
      <c r="F639"/>
      <c r="G639"/>
      <c r="I639"/>
      <c r="L639"/>
      <c r="M639"/>
      <c r="N639"/>
      <c r="O639"/>
    </row>
    <row r="640" spans="1:15" x14ac:dyDescent="0.2">
      <c r="A640"/>
      <c r="B640"/>
      <c r="C640"/>
      <c r="F640"/>
      <c r="G640"/>
      <c r="L640"/>
      <c r="M640"/>
      <c r="N640"/>
      <c r="O640"/>
    </row>
    <row r="641" spans="1:15" x14ac:dyDescent="0.2">
      <c r="A641"/>
      <c r="B641"/>
      <c r="C641"/>
      <c r="F641"/>
      <c r="G641"/>
      <c r="J641"/>
      <c r="K641"/>
      <c r="L641"/>
      <c r="M641"/>
      <c r="N641"/>
      <c r="O641"/>
    </row>
    <row r="642" spans="1:15" x14ac:dyDescent="0.2">
      <c r="A642"/>
      <c r="B642"/>
      <c r="C642"/>
      <c r="F642"/>
      <c r="G642"/>
      <c r="L642"/>
      <c r="M642"/>
      <c r="N642"/>
      <c r="O642"/>
    </row>
    <row r="643" spans="1:15" x14ac:dyDescent="0.2">
      <c r="A643"/>
      <c r="B643"/>
      <c r="C643"/>
      <c r="F643"/>
      <c r="G643"/>
      <c r="H643"/>
      <c r="I643"/>
      <c r="L643"/>
      <c r="M643"/>
      <c r="N643"/>
      <c r="O643"/>
    </row>
    <row r="644" spans="1:15" x14ac:dyDescent="0.2">
      <c r="A644"/>
      <c r="B644"/>
      <c r="C644"/>
      <c r="F644"/>
      <c r="G644"/>
      <c r="M644"/>
      <c r="N644"/>
      <c r="O644"/>
    </row>
    <row r="645" spans="1:15" x14ac:dyDescent="0.2">
      <c r="A645"/>
      <c r="B645"/>
      <c r="C645"/>
      <c r="F645"/>
      <c r="G645"/>
      <c r="I645"/>
      <c r="L645"/>
      <c r="M645"/>
      <c r="N645"/>
      <c r="O645"/>
    </row>
    <row r="646" spans="1:15" x14ac:dyDescent="0.2">
      <c r="A646"/>
      <c r="B646"/>
      <c r="C646"/>
      <c r="F646"/>
      <c r="G646"/>
      <c r="H646"/>
      <c r="I646"/>
      <c r="L646"/>
      <c r="M646"/>
      <c r="N646"/>
      <c r="O646"/>
    </row>
    <row r="647" spans="1:15" x14ac:dyDescent="0.2">
      <c r="A647"/>
      <c r="B647"/>
      <c r="C647"/>
      <c r="F647"/>
      <c r="G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H653"/>
      <c r="J653"/>
      <c r="K653"/>
      <c r="L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I656"/>
      <c r="L656"/>
      <c r="M656"/>
      <c r="N656"/>
      <c r="O656"/>
    </row>
    <row r="657" spans="1:15" x14ac:dyDescent="0.2">
      <c r="A657"/>
      <c r="B657"/>
      <c r="C657"/>
      <c r="F657"/>
      <c r="G657"/>
      <c r="I657"/>
      <c r="L657"/>
      <c r="M657"/>
      <c r="N657"/>
      <c r="O657"/>
    </row>
    <row r="658" spans="1:15" x14ac:dyDescent="0.2">
      <c r="A658"/>
      <c r="B658"/>
      <c r="C658"/>
      <c r="F658"/>
      <c r="G658"/>
      <c r="I658"/>
      <c r="L658"/>
      <c r="M658"/>
      <c r="N658"/>
      <c r="O658"/>
    </row>
    <row r="659" spans="1:15" x14ac:dyDescent="0.2">
      <c r="A659"/>
      <c r="B659"/>
      <c r="C659"/>
      <c r="F659"/>
      <c r="G659"/>
      <c r="H659"/>
      <c r="I659"/>
      <c r="L659"/>
      <c r="N659"/>
      <c r="O659"/>
    </row>
    <row r="660" spans="1:15" x14ac:dyDescent="0.2">
      <c r="A660"/>
      <c r="B660"/>
      <c r="C660"/>
      <c r="F660"/>
      <c r="G660"/>
      <c r="H660"/>
      <c r="I660"/>
      <c r="L660"/>
      <c r="N660"/>
      <c r="O660"/>
    </row>
    <row r="661" spans="1:15" x14ac:dyDescent="0.2">
      <c r="A661"/>
      <c r="B661"/>
      <c r="C661"/>
      <c r="F661"/>
      <c r="G661"/>
      <c r="H661"/>
      <c r="I661"/>
      <c r="L661"/>
      <c r="M661"/>
      <c r="N661"/>
      <c r="O661"/>
    </row>
    <row r="662" spans="1:15" x14ac:dyDescent="0.2">
      <c r="A662"/>
      <c r="B662"/>
      <c r="C662"/>
      <c r="F662"/>
      <c r="G662"/>
      <c r="H662"/>
      <c r="I662"/>
      <c r="L662"/>
      <c r="M662"/>
      <c r="N662"/>
      <c r="O662"/>
    </row>
    <row r="663" spans="1:15" x14ac:dyDescent="0.2">
      <c r="A663"/>
      <c r="B663"/>
      <c r="C663"/>
      <c r="F663"/>
      <c r="G663"/>
      <c r="I663"/>
      <c r="L663"/>
      <c r="M663"/>
      <c r="N663"/>
      <c r="O663"/>
    </row>
    <row r="664" spans="1:15" x14ac:dyDescent="0.2">
      <c r="A664"/>
      <c r="B664"/>
      <c r="C664"/>
      <c r="F664"/>
      <c r="G664"/>
      <c r="H664"/>
      <c r="I664"/>
      <c r="L664"/>
      <c r="M664"/>
      <c r="N664"/>
      <c r="O664"/>
    </row>
    <row r="665" spans="1:15" x14ac:dyDescent="0.2">
      <c r="A665"/>
      <c r="B665"/>
      <c r="C665"/>
      <c r="F665"/>
      <c r="G665"/>
      <c r="I665"/>
      <c r="L665"/>
      <c r="M665"/>
      <c r="N665"/>
      <c r="O665"/>
    </row>
    <row r="666" spans="1:15" x14ac:dyDescent="0.2">
      <c r="A666"/>
      <c r="B666"/>
      <c r="C666"/>
      <c r="F666"/>
      <c r="G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L671"/>
      <c r="M671"/>
      <c r="N671"/>
      <c r="O671"/>
    </row>
    <row r="672" spans="1:15" x14ac:dyDescent="0.2">
      <c r="A672"/>
      <c r="B672"/>
      <c r="C672"/>
      <c r="F672"/>
      <c r="G672"/>
      <c r="H672"/>
      <c r="I672"/>
      <c r="L672"/>
      <c r="M672"/>
      <c r="N672"/>
      <c r="O672"/>
    </row>
    <row r="673" spans="1:15" x14ac:dyDescent="0.2">
      <c r="A673"/>
      <c r="B673"/>
      <c r="C673"/>
      <c r="F673"/>
      <c r="G673"/>
      <c r="H673"/>
      <c r="I673"/>
      <c r="L673"/>
      <c r="M673"/>
      <c r="N673"/>
      <c r="O673"/>
    </row>
    <row r="674" spans="1:15" x14ac:dyDescent="0.2">
      <c r="A674"/>
      <c r="B674"/>
      <c r="C674"/>
      <c r="F674"/>
      <c r="G674"/>
      <c r="H674"/>
      <c r="I674"/>
      <c r="L674"/>
      <c r="N674"/>
      <c r="O674"/>
    </row>
    <row r="675" spans="1:15" x14ac:dyDescent="0.2">
      <c r="A675"/>
      <c r="B675"/>
      <c r="C675"/>
      <c r="F675"/>
      <c r="G675"/>
      <c r="H675"/>
      <c r="I675"/>
      <c r="L675"/>
      <c r="M675"/>
      <c r="N675"/>
      <c r="O675"/>
    </row>
    <row r="676" spans="1:15" x14ac:dyDescent="0.2">
      <c r="A676"/>
      <c r="B676"/>
      <c r="C676"/>
      <c r="F676"/>
      <c r="G676"/>
      <c r="J676"/>
      <c r="K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I683"/>
      <c r="L683"/>
      <c r="M683"/>
      <c r="N683"/>
      <c r="O683"/>
    </row>
    <row r="684" spans="1:15" x14ac:dyDescent="0.2">
      <c r="A684"/>
      <c r="B684"/>
      <c r="C684"/>
      <c r="F684"/>
      <c r="G684"/>
      <c r="H684"/>
      <c r="I684"/>
      <c r="L684"/>
      <c r="M684"/>
      <c r="N684"/>
      <c r="O684"/>
    </row>
    <row r="685" spans="1:15" x14ac:dyDescent="0.2">
      <c r="A685"/>
      <c r="B685"/>
      <c r="C685"/>
      <c r="F685"/>
      <c r="G685"/>
      <c r="L685"/>
      <c r="M685"/>
      <c r="N685"/>
      <c r="O685"/>
    </row>
    <row r="686" spans="1:15" x14ac:dyDescent="0.2">
      <c r="A686"/>
      <c r="B686"/>
      <c r="C686"/>
      <c r="F686"/>
      <c r="G686"/>
      <c r="I686"/>
      <c r="L686"/>
      <c r="M686"/>
      <c r="N686"/>
      <c r="O686"/>
    </row>
    <row r="687" spans="1:15" x14ac:dyDescent="0.2">
      <c r="A687"/>
      <c r="B687"/>
      <c r="C687"/>
      <c r="F687"/>
      <c r="G687"/>
      <c r="H687"/>
      <c r="I687"/>
      <c r="L687"/>
      <c r="M687"/>
      <c r="N687"/>
      <c r="O687"/>
    </row>
    <row r="688" spans="1:15" x14ac:dyDescent="0.2">
      <c r="A688"/>
      <c r="B688"/>
      <c r="C688"/>
      <c r="F688"/>
      <c r="G688"/>
      <c r="H688"/>
      <c r="I688"/>
      <c r="L688"/>
      <c r="N688"/>
      <c r="O688"/>
    </row>
    <row r="689" spans="1:15" x14ac:dyDescent="0.2">
      <c r="A689"/>
      <c r="B689"/>
      <c r="C689"/>
      <c r="F689"/>
      <c r="G689"/>
      <c r="H689"/>
      <c r="I689"/>
      <c r="L689"/>
      <c r="M689"/>
      <c r="N689"/>
      <c r="O689"/>
    </row>
    <row r="690" spans="1:15" x14ac:dyDescent="0.2">
      <c r="A690"/>
      <c r="B690"/>
      <c r="C690"/>
      <c r="F690"/>
      <c r="G690"/>
      <c r="H690"/>
      <c r="J690"/>
      <c r="L690"/>
      <c r="M690"/>
      <c r="N690"/>
      <c r="O690"/>
    </row>
    <row r="691" spans="1:15" x14ac:dyDescent="0.2">
      <c r="A691"/>
      <c r="B691"/>
      <c r="C691"/>
      <c r="F691"/>
      <c r="G691"/>
      <c r="H691"/>
      <c r="I691"/>
      <c r="L691"/>
      <c r="M691"/>
      <c r="N691"/>
      <c r="O691"/>
    </row>
    <row r="692" spans="1:15" x14ac:dyDescent="0.2">
      <c r="A692"/>
      <c r="B692"/>
      <c r="C692"/>
      <c r="F692"/>
      <c r="G692"/>
      <c r="I692"/>
      <c r="L692"/>
      <c r="M692"/>
      <c r="N692"/>
      <c r="O692"/>
    </row>
    <row r="693" spans="1:15" x14ac:dyDescent="0.2">
      <c r="A693"/>
      <c r="B693"/>
      <c r="C693"/>
      <c r="F693"/>
      <c r="G693"/>
      <c r="M693"/>
      <c r="N693"/>
      <c r="O693"/>
    </row>
    <row r="694" spans="1:15" x14ac:dyDescent="0.2">
      <c r="A694"/>
      <c r="B694"/>
      <c r="C694"/>
      <c r="F694"/>
      <c r="G694"/>
      <c r="H694"/>
      <c r="M694"/>
      <c r="N694"/>
      <c r="O694"/>
    </row>
    <row r="695" spans="1:15" x14ac:dyDescent="0.2">
      <c r="A695"/>
      <c r="B695"/>
      <c r="C695"/>
      <c r="F695"/>
      <c r="G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M698"/>
      <c r="N698"/>
      <c r="O698"/>
    </row>
    <row r="699" spans="1:15" x14ac:dyDescent="0.2">
      <c r="A699"/>
      <c r="B699"/>
      <c r="C699"/>
      <c r="F699"/>
      <c r="G699"/>
      <c r="H699"/>
      <c r="I699"/>
      <c r="L699"/>
      <c r="M699"/>
      <c r="N699"/>
      <c r="O699"/>
    </row>
    <row r="700" spans="1:15" x14ac:dyDescent="0.2">
      <c r="A700"/>
      <c r="B700"/>
      <c r="C700"/>
      <c r="F700"/>
      <c r="G700"/>
      <c r="L700"/>
      <c r="M700"/>
      <c r="N700"/>
      <c r="O700"/>
    </row>
    <row r="701" spans="1:15" x14ac:dyDescent="0.2">
      <c r="A701"/>
      <c r="B701"/>
      <c r="C701"/>
      <c r="F701"/>
      <c r="G701"/>
      <c r="H701"/>
      <c r="I701"/>
      <c r="L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H704"/>
      <c r="I704"/>
      <c r="L704"/>
      <c r="M704"/>
      <c r="N704"/>
      <c r="O704"/>
    </row>
    <row r="705" spans="1:15" x14ac:dyDescent="0.2">
      <c r="A705"/>
      <c r="B705"/>
      <c r="C705"/>
      <c r="F705"/>
      <c r="G705"/>
      <c r="M705"/>
      <c r="N705"/>
      <c r="O705"/>
    </row>
    <row r="706" spans="1:15" x14ac:dyDescent="0.2">
      <c r="A706"/>
      <c r="B706"/>
      <c r="C706"/>
      <c r="F706"/>
      <c r="G706"/>
      <c r="L706"/>
      <c r="M706"/>
      <c r="N706"/>
      <c r="O706"/>
    </row>
    <row r="707" spans="1:15" x14ac:dyDescent="0.2">
      <c r="A707"/>
      <c r="B707"/>
      <c r="C707"/>
      <c r="F707"/>
      <c r="G707"/>
      <c r="I707"/>
      <c r="L707"/>
      <c r="M707"/>
      <c r="N707"/>
      <c r="O707"/>
    </row>
    <row r="708" spans="1:15" x14ac:dyDescent="0.2">
      <c r="A708"/>
      <c r="B708"/>
      <c r="C708"/>
      <c r="F708"/>
      <c r="G708"/>
      <c r="H708"/>
      <c r="I708"/>
      <c r="L708"/>
      <c r="M708"/>
      <c r="N708"/>
      <c r="O708"/>
    </row>
    <row r="709" spans="1:15" x14ac:dyDescent="0.2">
      <c r="A709"/>
      <c r="B709"/>
      <c r="C709"/>
      <c r="F709"/>
      <c r="G709"/>
      <c r="H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N712"/>
      <c r="O712"/>
    </row>
    <row r="713" spans="1:15" x14ac:dyDescent="0.2">
      <c r="A713"/>
      <c r="B713"/>
      <c r="C713"/>
      <c r="F713"/>
      <c r="G713"/>
      <c r="M713"/>
      <c r="N713"/>
      <c r="O713"/>
    </row>
    <row r="714" spans="1:15" x14ac:dyDescent="0.2">
      <c r="A714"/>
      <c r="B714"/>
      <c r="C714"/>
      <c r="F714"/>
      <c r="G714"/>
      <c r="H714"/>
      <c r="I714"/>
      <c r="L714"/>
      <c r="M714"/>
      <c r="N714"/>
      <c r="O714"/>
    </row>
    <row r="715" spans="1:15" x14ac:dyDescent="0.2">
      <c r="A715"/>
      <c r="B715"/>
      <c r="C715"/>
      <c r="F715"/>
      <c r="G715"/>
      <c r="H715"/>
      <c r="I715"/>
      <c r="L715"/>
      <c r="M715"/>
      <c r="N715"/>
      <c r="O715"/>
    </row>
    <row r="716" spans="1:15" x14ac:dyDescent="0.2">
      <c r="A716"/>
      <c r="B716"/>
      <c r="C716"/>
      <c r="F716"/>
      <c r="G716"/>
      <c r="M716"/>
      <c r="N716"/>
      <c r="O716"/>
    </row>
    <row r="717" spans="1:15" x14ac:dyDescent="0.2">
      <c r="A717"/>
      <c r="B717"/>
      <c r="C717"/>
      <c r="F717"/>
      <c r="G717"/>
      <c r="I717"/>
      <c r="L717"/>
      <c r="M717"/>
      <c r="N717"/>
      <c r="O717"/>
    </row>
    <row r="718" spans="1:15" x14ac:dyDescent="0.2">
      <c r="A718"/>
      <c r="B718"/>
      <c r="C718"/>
      <c r="F718"/>
      <c r="G718"/>
      <c r="J718"/>
      <c r="K718"/>
      <c r="L718"/>
      <c r="M718"/>
      <c r="N718"/>
      <c r="O718"/>
    </row>
    <row r="719" spans="1:15" x14ac:dyDescent="0.2">
      <c r="A719"/>
      <c r="B719"/>
      <c r="C719"/>
      <c r="F719"/>
      <c r="G719"/>
      <c r="H719"/>
      <c r="I719"/>
      <c r="L719"/>
      <c r="M719"/>
      <c r="N719"/>
      <c r="O719"/>
    </row>
    <row r="720" spans="1:15" x14ac:dyDescent="0.2">
      <c r="A720"/>
      <c r="B720"/>
      <c r="C720"/>
      <c r="F720"/>
      <c r="G720"/>
      <c r="I720"/>
      <c r="L720"/>
      <c r="M720"/>
      <c r="N720"/>
      <c r="O720"/>
    </row>
    <row r="721" spans="1:15" x14ac:dyDescent="0.2">
      <c r="A721"/>
      <c r="B721"/>
      <c r="C721"/>
      <c r="F721"/>
      <c r="G721"/>
      <c r="L721"/>
      <c r="M721"/>
      <c r="N721"/>
      <c r="O721"/>
    </row>
    <row r="722" spans="1:15" x14ac:dyDescent="0.2">
      <c r="A722"/>
      <c r="B722"/>
      <c r="C722"/>
      <c r="F722"/>
      <c r="G722"/>
      <c r="H722"/>
      <c r="J722"/>
      <c r="K722"/>
      <c r="L722"/>
      <c r="M722"/>
      <c r="N722"/>
      <c r="O722"/>
    </row>
    <row r="723" spans="1:15" x14ac:dyDescent="0.2">
      <c r="A723"/>
      <c r="B723"/>
      <c r="C723"/>
      <c r="F723"/>
      <c r="G723"/>
      <c r="H723"/>
      <c r="J723"/>
      <c r="K723"/>
      <c r="L723"/>
      <c r="M723"/>
      <c r="N723"/>
      <c r="O723"/>
    </row>
    <row r="724" spans="1:15" x14ac:dyDescent="0.2">
      <c r="A724"/>
      <c r="B724"/>
      <c r="C724"/>
      <c r="F724"/>
      <c r="G724"/>
      <c r="H724"/>
      <c r="J724"/>
      <c r="K724"/>
      <c r="L724"/>
      <c r="M724"/>
      <c r="N724"/>
      <c r="O724"/>
    </row>
    <row r="725" spans="1:15" x14ac:dyDescent="0.2">
      <c r="A725"/>
      <c r="B725"/>
      <c r="C725"/>
      <c r="F725"/>
      <c r="G725"/>
      <c r="I725"/>
      <c r="L725"/>
      <c r="M725"/>
      <c r="N725"/>
      <c r="O725"/>
    </row>
    <row r="726" spans="1:15" x14ac:dyDescent="0.2">
      <c r="A726"/>
      <c r="B726"/>
      <c r="C726"/>
      <c r="F726"/>
      <c r="G726"/>
      <c r="I726"/>
      <c r="L726"/>
      <c r="M726"/>
      <c r="N726"/>
      <c r="O726"/>
    </row>
    <row r="727" spans="1:15" x14ac:dyDescent="0.2">
      <c r="A727"/>
      <c r="B727"/>
      <c r="C727"/>
      <c r="F727"/>
      <c r="G727"/>
      <c r="J727"/>
      <c r="K727"/>
      <c r="L727"/>
      <c r="M727"/>
      <c r="N727"/>
      <c r="O727"/>
    </row>
    <row r="728" spans="1:15" x14ac:dyDescent="0.2">
      <c r="A728"/>
      <c r="B728"/>
      <c r="C728"/>
      <c r="F728"/>
      <c r="G728"/>
      <c r="H728"/>
      <c r="I728"/>
      <c r="J728"/>
      <c r="K728"/>
      <c r="L728"/>
      <c r="M728"/>
      <c r="N728"/>
      <c r="O728"/>
    </row>
    <row r="729" spans="1:15" x14ac:dyDescent="0.2">
      <c r="A729"/>
      <c r="B729"/>
      <c r="C729"/>
      <c r="F729"/>
      <c r="G729"/>
      <c r="H729"/>
      <c r="I729"/>
      <c r="L729"/>
      <c r="M729"/>
      <c r="N729"/>
      <c r="O729"/>
    </row>
    <row r="730" spans="1:15" x14ac:dyDescent="0.2">
      <c r="A730"/>
      <c r="B730"/>
      <c r="C730"/>
      <c r="F730"/>
      <c r="G730"/>
      <c r="H730"/>
      <c r="I730"/>
      <c r="J730"/>
      <c r="K730"/>
      <c r="L730"/>
      <c r="M730"/>
      <c r="N730"/>
      <c r="O730"/>
    </row>
    <row r="731" spans="1:15" x14ac:dyDescent="0.2">
      <c r="A731"/>
      <c r="B731"/>
      <c r="C731"/>
      <c r="F731"/>
      <c r="G731"/>
      <c r="I731"/>
      <c r="L731"/>
      <c r="M731"/>
      <c r="N731"/>
      <c r="O731"/>
    </row>
    <row r="732" spans="1:15" x14ac:dyDescent="0.2">
      <c r="A732"/>
      <c r="B732"/>
      <c r="C732"/>
      <c r="F732"/>
      <c r="G732"/>
      <c r="H732"/>
      <c r="I732"/>
      <c r="L732"/>
      <c r="M732"/>
      <c r="N732"/>
      <c r="O732"/>
    </row>
    <row r="733" spans="1:15" x14ac:dyDescent="0.2">
      <c r="A733"/>
      <c r="B733"/>
      <c r="C733"/>
      <c r="F733"/>
      <c r="G733"/>
      <c r="H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I736"/>
      <c r="L736"/>
      <c r="M736"/>
      <c r="N736"/>
      <c r="O736"/>
    </row>
    <row r="737" spans="1:15" x14ac:dyDescent="0.2">
      <c r="A737"/>
      <c r="B737"/>
      <c r="C737"/>
      <c r="F737"/>
      <c r="G737"/>
      <c r="H737"/>
      <c r="I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L740"/>
      <c r="M740"/>
      <c r="N740"/>
      <c r="O740"/>
    </row>
    <row r="741" spans="1:15" x14ac:dyDescent="0.2">
      <c r="A741"/>
      <c r="B741"/>
      <c r="C741"/>
      <c r="F741"/>
      <c r="G741"/>
      <c r="H741"/>
      <c r="I741"/>
      <c r="L741"/>
      <c r="M741"/>
      <c r="N741"/>
      <c r="O741"/>
    </row>
    <row r="742" spans="1:15" x14ac:dyDescent="0.2">
      <c r="A742"/>
      <c r="B742"/>
      <c r="C742"/>
      <c r="F742"/>
      <c r="G742"/>
      <c r="H742"/>
      <c r="I742"/>
      <c r="L742"/>
      <c r="M742"/>
      <c r="N742"/>
      <c r="O742"/>
    </row>
    <row r="743" spans="1:15" x14ac:dyDescent="0.2">
      <c r="A743"/>
      <c r="B743"/>
      <c r="C743"/>
      <c r="F743"/>
      <c r="G743"/>
      <c r="I743"/>
      <c r="L743"/>
      <c r="M743"/>
      <c r="N743"/>
      <c r="O743"/>
    </row>
    <row r="744" spans="1:15" x14ac:dyDescent="0.2">
      <c r="A744"/>
      <c r="B744"/>
      <c r="C744"/>
      <c r="F744"/>
      <c r="G744"/>
      <c r="H744"/>
      <c r="L744"/>
      <c r="M744"/>
      <c r="N744"/>
      <c r="O744"/>
    </row>
    <row r="745" spans="1:15" x14ac:dyDescent="0.2">
      <c r="A745"/>
      <c r="B745"/>
      <c r="C745"/>
      <c r="F745"/>
      <c r="G745"/>
      <c r="H745"/>
      <c r="J745"/>
      <c r="K745"/>
      <c r="L745"/>
      <c r="M745"/>
      <c r="N745"/>
      <c r="O745"/>
    </row>
    <row r="746" spans="1:15" x14ac:dyDescent="0.2">
      <c r="A746"/>
      <c r="B746"/>
      <c r="C746"/>
      <c r="F746"/>
      <c r="G746"/>
      <c r="H746"/>
      <c r="I746"/>
      <c r="L746"/>
      <c r="M746"/>
      <c r="N746"/>
      <c r="O746"/>
    </row>
    <row r="747" spans="1:15" x14ac:dyDescent="0.2">
      <c r="A747"/>
      <c r="B747"/>
      <c r="C747"/>
      <c r="F747"/>
      <c r="G747"/>
      <c r="J747"/>
      <c r="K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K750"/>
      <c r="L750"/>
      <c r="M750"/>
      <c r="N750"/>
      <c r="O750"/>
    </row>
    <row r="751" spans="1:15" x14ac:dyDescent="0.2">
      <c r="A751"/>
      <c r="B751"/>
      <c r="C751"/>
      <c r="F751"/>
      <c r="G751"/>
      <c r="L751"/>
      <c r="M751"/>
      <c r="N751"/>
      <c r="O751"/>
    </row>
    <row r="752" spans="1:15" x14ac:dyDescent="0.2">
      <c r="A752"/>
      <c r="B752"/>
      <c r="C752"/>
      <c r="F752"/>
      <c r="G752"/>
      <c r="H752"/>
      <c r="I752"/>
      <c r="L752"/>
      <c r="M752"/>
      <c r="N752"/>
      <c r="O752"/>
    </row>
    <row r="753" spans="1:15" x14ac:dyDescent="0.2">
      <c r="A753"/>
      <c r="B753"/>
      <c r="C753"/>
      <c r="F753"/>
      <c r="G753"/>
      <c r="J753"/>
      <c r="L753"/>
      <c r="M753"/>
      <c r="N753"/>
      <c r="O753"/>
    </row>
    <row r="754" spans="1:15" x14ac:dyDescent="0.2">
      <c r="A754"/>
      <c r="B754"/>
      <c r="C754"/>
      <c r="F754"/>
      <c r="G754"/>
      <c r="H754"/>
      <c r="L754"/>
      <c r="M754"/>
      <c r="N754"/>
      <c r="O754"/>
    </row>
    <row r="755" spans="1:15" x14ac:dyDescent="0.2">
      <c r="A755"/>
      <c r="B755"/>
      <c r="C755"/>
      <c r="F755"/>
      <c r="G755"/>
      <c r="H755"/>
      <c r="J755"/>
      <c r="K755"/>
      <c r="L755"/>
      <c r="M755"/>
      <c r="N755"/>
      <c r="O755"/>
    </row>
    <row r="756" spans="1:15" x14ac:dyDescent="0.2">
      <c r="A756"/>
      <c r="B756"/>
      <c r="C756"/>
      <c r="F756"/>
      <c r="G756"/>
      <c r="H756"/>
      <c r="I756"/>
      <c r="L756"/>
      <c r="M756"/>
      <c r="N756"/>
      <c r="O756"/>
    </row>
    <row r="757" spans="1:15" x14ac:dyDescent="0.2">
      <c r="A757"/>
      <c r="B757"/>
      <c r="C757"/>
      <c r="F757"/>
      <c r="G757"/>
      <c r="L757"/>
      <c r="M757"/>
      <c r="N757"/>
      <c r="O757"/>
    </row>
    <row r="758" spans="1:15" x14ac:dyDescent="0.2">
      <c r="A758"/>
      <c r="B758"/>
      <c r="C758"/>
      <c r="F758"/>
      <c r="G758"/>
      <c r="J758"/>
      <c r="K758"/>
      <c r="L758"/>
      <c r="M758"/>
      <c r="N758"/>
      <c r="O758"/>
    </row>
    <row r="759" spans="1:15" x14ac:dyDescent="0.2">
      <c r="A759"/>
      <c r="B759"/>
      <c r="C759"/>
      <c r="F759"/>
      <c r="G759"/>
      <c r="H759"/>
      <c r="I759"/>
      <c r="L759"/>
      <c r="M759"/>
      <c r="N759"/>
      <c r="O759"/>
    </row>
    <row r="760" spans="1:15" x14ac:dyDescent="0.2">
      <c r="A760"/>
      <c r="B760"/>
      <c r="C760"/>
      <c r="F760"/>
      <c r="G760"/>
      <c r="M760"/>
      <c r="N760"/>
      <c r="O760"/>
    </row>
    <row r="761" spans="1:15" x14ac:dyDescent="0.2">
      <c r="A761"/>
      <c r="B761"/>
      <c r="C761"/>
      <c r="F761"/>
      <c r="G761"/>
      <c r="H761"/>
      <c r="I761"/>
      <c r="L761"/>
      <c r="M761"/>
      <c r="N761"/>
      <c r="O761"/>
    </row>
    <row r="762" spans="1:15" x14ac:dyDescent="0.2">
      <c r="A762"/>
      <c r="B762"/>
      <c r="C762"/>
      <c r="F762"/>
      <c r="G762"/>
      <c r="I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N765"/>
      <c r="O765"/>
    </row>
    <row r="766" spans="1:15" x14ac:dyDescent="0.2">
      <c r="A766"/>
      <c r="B766"/>
      <c r="C766"/>
      <c r="F766"/>
      <c r="G766"/>
      <c r="H766"/>
      <c r="I766"/>
      <c r="L766"/>
      <c r="M766"/>
      <c r="N766"/>
      <c r="O766"/>
    </row>
    <row r="767" spans="1:15" x14ac:dyDescent="0.2">
      <c r="A767"/>
      <c r="B767"/>
      <c r="C767"/>
      <c r="F767"/>
      <c r="G767"/>
      <c r="H767"/>
      <c r="I767"/>
      <c r="L767"/>
      <c r="M767"/>
      <c r="N767"/>
      <c r="O767"/>
    </row>
    <row r="768" spans="1:15" x14ac:dyDescent="0.2">
      <c r="A768"/>
      <c r="B768"/>
      <c r="C768"/>
      <c r="F768"/>
      <c r="G768"/>
      <c r="L768"/>
      <c r="M768"/>
      <c r="N768"/>
      <c r="O768"/>
    </row>
    <row r="769" spans="1:15" x14ac:dyDescent="0.2">
      <c r="A769"/>
      <c r="B769"/>
      <c r="C769"/>
      <c r="F769"/>
      <c r="G769"/>
      <c r="H769"/>
      <c r="I769"/>
      <c r="L769"/>
      <c r="M769"/>
      <c r="N769"/>
      <c r="O769"/>
    </row>
    <row r="770" spans="1:15" x14ac:dyDescent="0.2">
      <c r="A770"/>
      <c r="B770"/>
      <c r="C770"/>
      <c r="F770"/>
      <c r="G770"/>
      <c r="H770"/>
      <c r="J770"/>
      <c r="K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M776"/>
      <c r="N776"/>
      <c r="O776"/>
    </row>
    <row r="777" spans="1:15" x14ac:dyDescent="0.2">
      <c r="A777"/>
      <c r="B777"/>
      <c r="C777"/>
      <c r="F777"/>
      <c r="G777"/>
      <c r="H777"/>
      <c r="I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H780"/>
      <c r="J780"/>
      <c r="K780"/>
      <c r="L780"/>
      <c r="M780"/>
      <c r="N780"/>
      <c r="O780"/>
    </row>
    <row r="781" spans="1:15" x14ac:dyDescent="0.2">
      <c r="A781"/>
      <c r="B781"/>
      <c r="C781"/>
      <c r="F781"/>
      <c r="G781"/>
      <c r="H781"/>
      <c r="L781"/>
      <c r="M781"/>
      <c r="N781"/>
      <c r="O781"/>
    </row>
    <row r="782" spans="1:15" x14ac:dyDescent="0.2">
      <c r="A782"/>
      <c r="B782"/>
      <c r="C782"/>
      <c r="F782"/>
      <c r="G782"/>
      <c r="H782"/>
      <c r="I782"/>
      <c r="L782"/>
      <c r="M782"/>
      <c r="N782"/>
      <c r="O782"/>
    </row>
    <row r="783" spans="1:15" x14ac:dyDescent="0.2">
      <c r="A783"/>
      <c r="B783"/>
      <c r="C783"/>
      <c r="F783"/>
      <c r="G783"/>
      <c r="I783"/>
      <c r="L783"/>
      <c r="M783"/>
      <c r="N783"/>
      <c r="O783"/>
    </row>
    <row r="784" spans="1:15" x14ac:dyDescent="0.2">
      <c r="A784"/>
      <c r="B784"/>
      <c r="C784"/>
      <c r="F784"/>
      <c r="G784"/>
      <c r="H784"/>
      <c r="J784"/>
      <c r="K784"/>
      <c r="L784"/>
      <c r="M784"/>
      <c r="N784"/>
      <c r="O784"/>
    </row>
    <row r="785" spans="1:15" x14ac:dyDescent="0.2">
      <c r="A785"/>
      <c r="B785"/>
      <c r="C785"/>
      <c r="F785"/>
      <c r="G785"/>
      <c r="H785"/>
      <c r="I785"/>
      <c r="L785"/>
      <c r="M785"/>
      <c r="N785"/>
      <c r="O785"/>
    </row>
    <row r="786" spans="1:15" x14ac:dyDescent="0.2">
      <c r="A786"/>
      <c r="B786"/>
      <c r="C786"/>
      <c r="F786"/>
      <c r="G786"/>
      <c r="H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M789"/>
      <c r="N789"/>
      <c r="O789"/>
    </row>
    <row r="790" spans="1:15" x14ac:dyDescent="0.2">
      <c r="A790"/>
      <c r="B790"/>
      <c r="C790"/>
      <c r="F790"/>
      <c r="G790"/>
      <c r="I790"/>
      <c r="L790"/>
      <c r="M790"/>
      <c r="N790"/>
      <c r="O790"/>
    </row>
    <row r="791" spans="1:15" x14ac:dyDescent="0.2">
      <c r="A791"/>
      <c r="B791"/>
      <c r="C791"/>
      <c r="F791"/>
      <c r="G791"/>
      <c r="H791"/>
      <c r="I791"/>
      <c r="L791"/>
      <c r="M791"/>
      <c r="N791"/>
      <c r="O791"/>
    </row>
    <row r="792" spans="1:15" x14ac:dyDescent="0.2">
      <c r="A792"/>
      <c r="B792"/>
      <c r="C792"/>
      <c r="F792"/>
      <c r="G792"/>
      <c r="H792"/>
      <c r="I792"/>
      <c r="L792"/>
      <c r="M792"/>
      <c r="N792"/>
      <c r="O792"/>
    </row>
    <row r="793" spans="1:15" x14ac:dyDescent="0.2">
      <c r="A793"/>
      <c r="B793"/>
      <c r="C793"/>
      <c r="F793"/>
      <c r="G793"/>
      <c r="H793"/>
      <c r="I793"/>
      <c r="L793"/>
      <c r="M793"/>
      <c r="N793"/>
      <c r="O793"/>
    </row>
    <row r="794" spans="1:15" x14ac:dyDescent="0.2">
      <c r="A794"/>
      <c r="B794"/>
      <c r="C794"/>
      <c r="F794"/>
      <c r="G794"/>
      <c r="L794"/>
      <c r="M794"/>
      <c r="N794"/>
      <c r="O794"/>
    </row>
    <row r="795" spans="1:15" x14ac:dyDescent="0.2">
      <c r="A795"/>
      <c r="B795"/>
      <c r="C795"/>
      <c r="F795"/>
      <c r="G795"/>
      <c r="L795"/>
      <c r="M795"/>
      <c r="N795"/>
      <c r="O795"/>
    </row>
    <row r="796" spans="1:15" x14ac:dyDescent="0.2">
      <c r="A796"/>
      <c r="B796"/>
      <c r="C796"/>
      <c r="F796"/>
      <c r="G796"/>
      <c r="H796"/>
      <c r="J796"/>
      <c r="K796"/>
      <c r="L796"/>
      <c r="M796"/>
      <c r="N796"/>
      <c r="O796"/>
    </row>
    <row r="797" spans="1:15" x14ac:dyDescent="0.2">
      <c r="A797"/>
      <c r="B797"/>
      <c r="C797"/>
      <c r="F797"/>
      <c r="G797"/>
      <c r="H797"/>
      <c r="I797"/>
      <c r="L797"/>
      <c r="M797"/>
      <c r="N797"/>
      <c r="O797"/>
    </row>
    <row r="798" spans="1:15" x14ac:dyDescent="0.2">
      <c r="A798"/>
      <c r="B798"/>
      <c r="C798"/>
      <c r="F798"/>
      <c r="G798"/>
      <c r="L798"/>
      <c r="M798"/>
      <c r="N798"/>
      <c r="O798"/>
    </row>
    <row r="799" spans="1:15" x14ac:dyDescent="0.2">
      <c r="A799"/>
      <c r="B799"/>
      <c r="C799"/>
      <c r="F799"/>
      <c r="G799"/>
      <c r="M799"/>
      <c r="N799"/>
      <c r="O799"/>
    </row>
    <row r="800" spans="1:15" x14ac:dyDescent="0.2">
      <c r="A800"/>
      <c r="B800"/>
      <c r="C800"/>
      <c r="F800"/>
      <c r="G800"/>
      <c r="H800"/>
      <c r="I800"/>
      <c r="L800"/>
      <c r="N800"/>
      <c r="O800"/>
    </row>
    <row r="801" spans="1:15" x14ac:dyDescent="0.2">
      <c r="A801"/>
      <c r="B801"/>
      <c r="C801"/>
      <c r="F801"/>
      <c r="G801"/>
      <c r="H801"/>
      <c r="J801"/>
      <c r="K801"/>
      <c r="L801"/>
      <c r="M801"/>
      <c r="N801"/>
      <c r="O801"/>
    </row>
    <row r="802" spans="1:15" x14ac:dyDescent="0.2">
      <c r="A802"/>
      <c r="B802"/>
      <c r="C802"/>
      <c r="F802"/>
      <c r="G802"/>
      <c r="H802"/>
      <c r="J802"/>
      <c r="K802"/>
      <c r="L802"/>
      <c r="M802"/>
      <c r="N802"/>
      <c r="O802"/>
    </row>
    <row r="803" spans="1:15" x14ac:dyDescent="0.2">
      <c r="A803"/>
      <c r="B803"/>
      <c r="C803"/>
      <c r="F803"/>
      <c r="G803"/>
      <c r="H803"/>
      <c r="J803"/>
      <c r="K803"/>
      <c r="L803"/>
      <c r="M803"/>
      <c r="N803"/>
      <c r="O803"/>
    </row>
    <row r="804" spans="1:15" x14ac:dyDescent="0.2">
      <c r="A804"/>
      <c r="B804"/>
      <c r="C804"/>
      <c r="F804"/>
      <c r="G804"/>
      <c r="J804"/>
      <c r="K804"/>
      <c r="L804"/>
      <c r="M804"/>
      <c r="N804"/>
      <c r="O804"/>
    </row>
    <row r="805" spans="1:15" x14ac:dyDescent="0.2">
      <c r="A805"/>
      <c r="B805"/>
      <c r="C805"/>
      <c r="F805"/>
      <c r="G805"/>
      <c r="H805"/>
      <c r="J805"/>
      <c r="K805"/>
      <c r="L805"/>
      <c r="M805"/>
      <c r="N805"/>
      <c r="O805"/>
    </row>
    <row r="806" spans="1:15" x14ac:dyDescent="0.2">
      <c r="A806"/>
      <c r="B806"/>
      <c r="C806"/>
      <c r="F806"/>
      <c r="G806"/>
      <c r="H806"/>
      <c r="I806"/>
      <c r="L806"/>
      <c r="M806"/>
      <c r="N806"/>
      <c r="O806"/>
    </row>
    <row r="807" spans="1:15" x14ac:dyDescent="0.2">
      <c r="A807"/>
      <c r="B807"/>
      <c r="C807"/>
      <c r="F807"/>
      <c r="G807"/>
      <c r="H807"/>
      <c r="J807"/>
      <c r="K807"/>
      <c r="L807"/>
      <c r="M807"/>
      <c r="N807"/>
      <c r="O807"/>
    </row>
    <row r="808" spans="1:15" x14ac:dyDescent="0.2">
      <c r="A808"/>
      <c r="B808"/>
      <c r="C808"/>
      <c r="F808"/>
      <c r="G808"/>
      <c r="H808"/>
      <c r="I808"/>
      <c r="L808"/>
      <c r="M808"/>
      <c r="N808"/>
      <c r="O808"/>
    </row>
    <row r="809" spans="1:15" x14ac:dyDescent="0.2">
      <c r="A809"/>
      <c r="B809"/>
      <c r="C809"/>
      <c r="F809"/>
      <c r="G809"/>
      <c r="L809"/>
      <c r="M809"/>
      <c r="N809"/>
      <c r="O809"/>
    </row>
    <row r="810" spans="1:15" x14ac:dyDescent="0.2">
      <c r="A810"/>
      <c r="B810"/>
      <c r="C810"/>
      <c r="F810"/>
      <c r="G810"/>
      <c r="L810"/>
      <c r="M810"/>
      <c r="N810"/>
      <c r="O810"/>
    </row>
    <row r="811" spans="1:15" x14ac:dyDescent="0.2">
      <c r="A811"/>
      <c r="B811"/>
      <c r="C811"/>
      <c r="F811"/>
      <c r="G811"/>
      <c r="I811"/>
      <c r="L811"/>
      <c r="M811"/>
      <c r="N811"/>
      <c r="O811"/>
    </row>
    <row r="812" spans="1:15" x14ac:dyDescent="0.2">
      <c r="A812"/>
      <c r="B812"/>
      <c r="C812"/>
      <c r="F812"/>
      <c r="G812"/>
      <c r="H812"/>
      <c r="I812"/>
      <c r="L812"/>
      <c r="M812"/>
      <c r="N812"/>
      <c r="O812"/>
    </row>
    <row r="813" spans="1:15" x14ac:dyDescent="0.2">
      <c r="A813"/>
      <c r="B813"/>
      <c r="C813"/>
      <c r="F813"/>
      <c r="G813"/>
      <c r="H813"/>
      <c r="I813"/>
      <c r="L813"/>
      <c r="N813"/>
      <c r="O813"/>
    </row>
    <row r="814" spans="1:15" x14ac:dyDescent="0.2">
      <c r="A814"/>
      <c r="B814"/>
      <c r="C814"/>
      <c r="F814"/>
      <c r="G814"/>
      <c r="H814"/>
      <c r="L814"/>
      <c r="M814"/>
      <c r="N814"/>
      <c r="O814"/>
    </row>
    <row r="815" spans="1:15" x14ac:dyDescent="0.2">
      <c r="A815"/>
      <c r="B815"/>
      <c r="C815"/>
      <c r="F815"/>
      <c r="G815"/>
      <c r="L815"/>
      <c r="M815"/>
      <c r="N815"/>
      <c r="O815"/>
    </row>
    <row r="816" spans="1:15" x14ac:dyDescent="0.2">
      <c r="A816"/>
      <c r="B816"/>
      <c r="C816"/>
      <c r="F816"/>
      <c r="G816"/>
      <c r="I816"/>
      <c r="L816"/>
      <c r="M816"/>
      <c r="N816"/>
      <c r="O816"/>
    </row>
    <row r="817" spans="1:15" x14ac:dyDescent="0.2">
      <c r="A817"/>
      <c r="B817"/>
      <c r="C817"/>
      <c r="F817"/>
      <c r="G817"/>
      <c r="L817"/>
      <c r="M817"/>
      <c r="N817"/>
      <c r="O817"/>
    </row>
    <row r="818" spans="1:15" x14ac:dyDescent="0.2">
      <c r="A818"/>
      <c r="B818"/>
      <c r="C818"/>
      <c r="F818"/>
      <c r="G818"/>
      <c r="H818"/>
      <c r="I818"/>
      <c r="J818"/>
      <c r="K818"/>
      <c r="L818"/>
      <c r="M818"/>
      <c r="N818"/>
      <c r="O818"/>
    </row>
    <row r="819" spans="1:15" x14ac:dyDescent="0.2">
      <c r="A819"/>
      <c r="B819"/>
      <c r="C819"/>
      <c r="F819"/>
      <c r="G819"/>
      <c r="J819"/>
      <c r="M819"/>
      <c r="N819"/>
      <c r="O819"/>
    </row>
    <row r="820" spans="1:15" x14ac:dyDescent="0.2">
      <c r="A820"/>
      <c r="B820"/>
      <c r="C820"/>
      <c r="F820"/>
      <c r="G820"/>
      <c r="I820"/>
      <c r="L820"/>
      <c r="M820"/>
      <c r="N820"/>
      <c r="O820"/>
    </row>
    <row r="821" spans="1:15" x14ac:dyDescent="0.2">
      <c r="A821"/>
      <c r="B821"/>
      <c r="C821"/>
      <c r="F821"/>
      <c r="G821"/>
      <c r="H821"/>
      <c r="J821"/>
      <c r="K821"/>
      <c r="L821"/>
      <c r="M821"/>
      <c r="N821"/>
      <c r="O821"/>
    </row>
    <row r="822" spans="1:15" x14ac:dyDescent="0.2">
      <c r="A822"/>
      <c r="B822"/>
      <c r="C822"/>
      <c r="F822"/>
      <c r="G822"/>
      <c r="L822"/>
      <c r="M822"/>
      <c r="N822"/>
      <c r="O822"/>
    </row>
    <row r="823" spans="1:15" x14ac:dyDescent="0.2">
      <c r="A823"/>
      <c r="B823"/>
      <c r="C823"/>
      <c r="F823"/>
      <c r="G823"/>
      <c r="L823"/>
      <c r="M823"/>
      <c r="N823"/>
      <c r="O823"/>
    </row>
    <row r="824" spans="1:15" x14ac:dyDescent="0.2">
      <c r="A824"/>
      <c r="B824"/>
      <c r="C824"/>
      <c r="F824"/>
      <c r="G824"/>
      <c r="J824"/>
      <c r="K824"/>
      <c r="L824"/>
      <c r="M824"/>
      <c r="N824"/>
      <c r="O824"/>
    </row>
    <row r="825" spans="1:15" x14ac:dyDescent="0.2">
      <c r="A825"/>
      <c r="B825"/>
      <c r="C825"/>
      <c r="F825"/>
      <c r="G825"/>
      <c r="H825"/>
      <c r="I825"/>
      <c r="L825"/>
      <c r="M825"/>
      <c r="N825"/>
      <c r="O825"/>
    </row>
    <row r="826" spans="1:15" x14ac:dyDescent="0.2">
      <c r="A826"/>
      <c r="B826"/>
      <c r="C826"/>
      <c r="F826"/>
      <c r="G826"/>
      <c r="H826"/>
      <c r="I826"/>
      <c r="L826"/>
      <c r="M826"/>
      <c r="N826"/>
      <c r="O826"/>
    </row>
    <row r="827" spans="1:15" x14ac:dyDescent="0.2">
      <c r="A827"/>
      <c r="B827"/>
      <c r="C827"/>
      <c r="F827"/>
      <c r="G827"/>
      <c r="L827"/>
      <c r="M827"/>
      <c r="N827"/>
      <c r="O827"/>
    </row>
    <row r="828" spans="1:15" x14ac:dyDescent="0.2">
      <c r="A828"/>
      <c r="B828"/>
      <c r="C828"/>
      <c r="F828"/>
      <c r="G828"/>
      <c r="L828"/>
      <c r="M828"/>
      <c r="N828"/>
      <c r="O828"/>
    </row>
    <row r="829" spans="1:15" x14ac:dyDescent="0.2">
      <c r="A829"/>
      <c r="B829"/>
      <c r="C829"/>
      <c r="F829"/>
      <c r="G829"/>
      <c r="H829"/>
      <c r="I829"/>
      <c r="L829"/>
      <c r="M829"/>
      <c r="N829"/>
      <c r="O829"/>
    </row>
    <row r="830" spans="1:15" x14ac:dyDescent="0.2">
      <c r="A830"/>
      <c r="B830"/>
      <c r="C830"/>
      <c r="F830"/>
      <c r="G830"/>
      <c r="L830"/>
      <c r="M830"/>
      <c r="N830"/>
      <c r="O830"/>
    </row>
    <row r="831" spans="1:15" x14ac:dyDescent="0.2">
      <c r="A831"/>
      <c r="B831"/>
      <c r="C831"/>
      <c r="F831"/>
      <c r="G831"/>
      <c r="H831"/>
      <c r="J831"/>
      <c r="K831"/>
      <c r="L831"/>
      <c r="M831"/>
      <c r="N831"/>
      <c r="O831"/>
    </row>
    <row r="832" spans="1:15" x14ac:dyDescent="0.2">
      <c r="A832"/>
      <c r="B832"/>
      <c r="C832"/>
      <c r="F832"/>
      <c r="G832"/>
      <c r="H832"/>
      <c r="I832"/>
      <c r="L832"/>
      <c r="M832"/>
      <c r="N832"/>
      <c r="O832"/>
    </row>
    <row r="833" spans="1:15" x14ac:dyDescent="0.2">
      <c r="A833"/>
      <c r="B833"/>
      <c r="C833"/>
      <c r="F833"/>
      <c r="G833"/>
      <c r="I833"/>
      <c r="L833"/>
      <c r="M833"/>
      <c r="N833"/>
      <c r="O833"/>
    </row>
    <row r="834" spans="1:15" x14ac:dyDescent="0.2">
      <c r="A834"/>
      <c r="B834"/>
      <c r="C834"/>
      <c r="F834"/>
      <c r="G834"/>
      <c r="H834"/>
      <c r="I834"/>
      <c r="L834"/>
      <c r="M834"/>
      <c r="N834"/>
      <c r="O834"/>
    </row>
    <row r="835" spans="1:15" x14ac:dyDescent="0.2">
      <c r="A835"/>
      <c r="B835"/>
      <c r="C835"/>
      <c r="F835"/>
      <c r="G835"/>
      <c r="M835"/>
      <c r="N835"/>
      <c r="O835"/>
    </row>
    <row r="836" spans="1:15" x14ac:dyDescent="0.2">
      <c r="A836"/>
      <c r="B836"/>
      <c r="C836"/>
      <c r="F836"/>
      <c r="G836"/>
      <c r="H836"/>
      <c r="I836"/>
      <c r="L836"/>
      <c r="M836"/>
      <c r="N836"/>
      <c r="O836"/>
    </row>
    <row r="837" spans="1:15" x14ac:dyDescent="0.2">
      <c r="A837"/>
      <c r="B837"/>
      <c r="C837"/>
      <c r="F837"/>
      <c r="G837"/>
      <c r="L837"/>
      <c r="M837"/>
      <c r="N837"/>
      <c r="O837"/>
    </row>
    <row r="838" spans="1:15" x14ac:dyDescent="0.2">
      <c r="A838"/>
      <c r="B838"/>
      <c r="C838"/>
      <c r="F838"/>
      <c r="G838"/>
      <c r="H838"/>
      <c r="I838"/>
      <c r="L838"/>
      <c r="M838"/>
      <c r="N838"/>
      <c r="O838"/>
    </row>
    <row r="839" spans="1:15" x14ac:dyDescent="0.2">
      <c r="A839"/>
      <c r="B839"/>
      <c r="C839"/>
      <c r="F839"/>
      <c r="G839"/>
      <c r="J839"/>
      <c r="K839"/>
      <c r="L839"/>
      <c r="M839"/>
      <c r="N839"/>
      <c r="O839"/>
    </row>
    <row r="840" spans="1:15" x14ac:dyDescent="0.2">
      <c r="A840"/>
      <c r="B840"/>
      <c r="C840"/>
      <c r="F840"/>
      <c r="G840"/>
      <c r="L840"/>
      <c r="M840"/>
      <c r="N840"/>
      <c r="O840"/>
    </row>
    <row r="841" spans="1:15" x14ac:dyDescent="0.2">
      <c r="A841"/>
      <c r="B841"/>
      <c r="C841"/>
      <c r="F841"/>
      <c r="G841"/>
      <c r="M841"/>
      <c r="N841"/>
      <c r="O841"/>
    </row>
    <row r="842" spans="1:15" x14ac:dyDescent="0.2">
      <c r="A842"/>
      <c r="B842"/>
      <c r="C842"/>
      <c r="F842"/>
      <c r="G842"/>
      <c r="H842"/>
      <c r="I842"/>
      <c r="L842"/>
      <c r="M842"/>
      <c r="N842"/>
      <c r="O842"/>
    </row>
    <row r="843" spans="1:15" x14ac:dyDescent="0.2">
      <c r="A843"/>
      <c r="B843"/>
      <c r="C843"/>
      <c r="F843"/>
      <c r="G843"/>
      <c r="H843"/>
      <c r="L843"/>
      <c r="M843"/>
      <c r="N843"/>
      <c r="O843"/>
    </row>
    <row r="844" spans="1:15" x14ac:dyDescent="0.2">
      <c r="A844"/>
      <c r="B844"/>
      <c r="C844"/>
      <c r="F844"/>
      <c r="G844"/>
      <c r="H844"/>
      <c r="I844"/>
      <c r="L844"/>
      <c r="M844"/>
      <c r="N844"/>
      <c r="O844"/>
    </row>
    <row r="845" spans="1:15" x14ac:dyDescent="0.2">
      <c r="A845"/>
      <c r="B845"/>
      <c r="C845"/>
      <c r="F845"/>
      <c r="G845"/>
      <c r="H845"/>
      <c r="I845"/>
      <c r="L845"/>
      <c r="M845"/>
      <c r="N845"/>
      <c r="O845"/>
    </row>
    <row r="846" spans="1:15" x14ac:dyDescent="0.2">
      <c r="A846"/>
      <c r="B846"/>
      <c r="C846"/>
      <c r="F846"/>
      <c r="G846"/>
      <c r="L846"/>
      <c r="M846"/>
      <c r="N846"/>
      <c r="O846"/>
    </row>
    <row r="847" spans="1:15" x14ac:dyDescent="0.2">
      <c r="A847"/>
      <c r="B847"/>
      <c r="C847"/>
      <c r="F847"/>
      <c r="G847"/>
      <c r="I847"/>
      <c r="L847"/>
      <c r="M847"/>
      <c r="N847"/>
      <c r="O847"/>
    </row>
    <row r="848" spans="1:15" x14ac:dyDescent="0.2">
      <c r="A848"/>
      <c r="B848"/>
      <c r="C848"/>
      <c r="F848"/>
      <c r="G848"/>
      <c r="L848"/>
      <c r="M848"/>
      <c r="N848"/>
      <c r="O848"/>
    </row>
    <row r="849" spans="1:15" x14ac:dyDescent="0.2">
      <c r="A849"/>
      <c r="B849"/>
      <c r="C849"/>
      <c r="F849"/>
      <c r="G849"/>
      <c r="H849"/>
      <c r="I849"/>
      <c r="L849"/>
      <c r="N849"/>
      <c r="O849"/>
    </row>
    <row r="850" spans="1:15" x14ac:dyDescent="0.2">
      <c r="A850"/>
      <c r="B850"/>
      <c r="C850"/>
      <c r="F850"/>
      <c r="G850"/>
      <c r="I850"/>
      <c r="L850"/>
      <c r="M850"/>
      <c r="N850"/>
      <c r="O850"/>
    </row>
    <row r="851" spans="1:15" x14ac:dyDescent="0.2">
      <c r="A851"/>
      <c r="B851"/>
      <c r="C851"/>
      <c r="F851"/>
      <c r="G851"/>
      <c r="H851"/>
      <c r="L851"/>
      <c r="M851"/>
      <c r="N851"/>
      <c r="O851"/>
    </row>
    <row r="852" spans="1:15" x14ac:dyDescent="0.2">
      <c r="A852"/>
      <c r="B852"/>
      <c r="C852"/>
      <c r="F852"/>
      <c r="G852"/>
      <c r="H852"/>
      <c r="I852"/>
      <c r="L852"/>
      <c r="M852"/>
      <c r="N852"/>
      <c r="O852"/>
    </row>
    <row r="853" spans="1:15" x14ac:dyDescent="0.2">
      <c r="A853"/>
      <c r="B853"/>
      <c r="C853"/>
      <c r="F853"/>
      <c r="G853"/>
      <c r="H853"/>
      <c r="I853"/>
      <c r="L853"/>
      <c r="M853"/>
      <c r="N853"/>
      <c r="O853"/>
    </row>
    <row r="854" spans="1:15" x14ac:dyDescent="0.2">
      <c r="A854"/>
      <c r="B854"/>
      <c r="C854"/>
      <c r="F854"/>
      <c r="G854"/>
      <c r="H854"/>
      <c r="I854"/>
      <c r="L854"/>
      <c r="M854"/>
      <c r="N854"/>
      <c r="O854"/>
    </row>
    <row r="855" spans="1:15" x14ac:dyDescent="0.2">
      <c r="A855"/>
      <c r="B855"/>
      <c r="C855"/>
      <c r="F855"/>
      <c r="G855"/>
      <c r="M855"/>
      <c r="N855"/>
      <c r="O855"/>
    </row>
    <row r="856" spans="1:15" x14ac:dyDescent="0.2">
      <c r="A856"/>
      <c r="B856"/>
      <c r="C856"/>
      <c r="F856"/>
      <c r="G856"/>
      <c r="H856"/>
      <c r="M856"/>
      <c r="N856"/>
      <c r="O856"/>
    </row>
    <row r="857" spans="1:15" x14ac:dyDescent="0.2">
      <c r="A857"/>
      <c r="B857"/>
      <c r="C857"/>
      <c r="F857"/>
      <c r="G857"/>
      <c r="I857"/>
      <c r="L857"/>
      <c r="M857"/>
      <c r="N857"/>
      <c r="O857"/>
    </row>
    <row r="858" spans="1:15" x14ac:dyDescent="0.2">
      <c r="A858"/>
      <c r="B858"/>
      <c r="C858"/>
      <c r="F858"/>
      <c r="G858"/>
      <c r="M858"/>
      <c r="N858"/>
      <c r="O858"/>
    </row>
    <row r="859" spans="1:15" x14ac:dyDescent="0.2">
      <c r="A859"/>
      <c r="B859"/>
      <c r="C859"/>
      <c r="F859"/>
      <c r="G859"/>
      <c r="H859"/>
      <c r="I859"/>
      <c r="L859"/>
      <c r="M859"/>
      <c r="N859"/>
      <c r="O859"/>
    </row>
    <row r="860" spans="1:15" x14ac:dyDescent="0.2">
      <c r="A860"/>
      <c r="B860"/>
      <c r="C860"/>
      <c r="F860"/>
      <c r="G860"/>
      <c r="H860"/>
      <c r="I860"/>
      <c r="L860"/>
      <c r="M860"/>
      <c r="N860"/>
      <c r="O860"/>
    </row>
    <row r="861" spans="1:15" x14ac:dyDescent="0.2">
      <c r="A861"/>
      <c r="B861"/>
      <c r="C861"/>
      <c r="F861"/>
      <c r="G861"/>
      <c r="M861"/>
      <c r="N861"/>
      <c r="O861"/>
    </row>
    <row r="862" spans="1:15" x14ac:dyDescent="0.2">
      <c r="A862"/>
      <c r="B862"/>
      <c r="C862"/>
      <c r="F862"/>
      <c r="G862"/>
      <c r="L862"/>
      <c r="M862"/>
      <c r="N862"/>
      <c r="O862"/>
    </row>
    <row r="863" spans="1:15" x14ac:dyDescent="0.2">
      <c r="A863"/>
      <c r="B863"/>
      <c r="C863"/>
      <c r="F863"/>
      <c r="G863"/>
      <c r="H863"/>
      <c r="I863"/>
      <c r="L863"/>
      <c r="M863"/>
      <c r="N863"/>
      <c r="O863"/>
    </row>
    <row r="864" spans="1:15" x14ac:dyDescent="0.2">
      <c r="A864"/>
      <c r="B864"/>
      <c r="C864"/>
      <c r="F864"/>
      <c r="G864"/>
      <c r="L864"/>
      <c r="M864"/>
      <c r="N864"/>
      <c r="O864"/>
    </row>
    <row r="865" spans="1:15" x14ac:dyDescent="0.2">
      <c r="A865"/>
      <c r="B865"/>
      <c r="C865"/>
      <c r="F865"/>
      <c r="G865"/>
      <c r="L865"/>
      <c r="M865"/>
      <c r="N865"/>
      <c r="O865"/>
    </row>
    <row r="866" spans="1:15" x14ac:dyDescent="0.2">
      <c r="A866"/>
      <c r="B866"/>
      <c r="C866"/>
      <c r="F866"/>
      <c r="G866"/>
      <c r="H866"/>
      <c r="I866"/>
      <c r="J866"/>
      <c r="K866"/>
      <c r="L866"/>
      <c r="M866"/>
      <c r="N866"/>
      <c r="O866"/>
    </row>
    <row r="867" spans="1:15" x14ac:dyDescent="0.2">
      <c r="A867"/>
      <c r="B867"/>
      <c r="C867"/>
      <c r="F867"/>
      <c r="G867"/>
      <c r="I867"/>
      <c r="L867"/>
      <c r="M867"/>
      <c r="N867"/>
      <c r="O867"/>
    </row>
    <row r="868" spans="1:15" x14ac:dyDescent="0.2">
      <c r="A868"/>
      <c r="B868"/>
      <c r="C868"/>
      <c r="F868"/>
      <c r="G868"/>
      <c r="H868"/>
      <c r="I868"/>
      <c r="L868"/>
      <c r="M868"/>
      <c r="N868"/>
      <c r="O868"/>
    </row>
    <row r="869" spans="1:15" x14ac:dyDescent="0.2">
      <c r="A869"/>
      <c r="B869"/>
      <c r="C869"/>
      <c r="F869"/>
      <c r="G869"/>
      <c r="I869"/>
      <c r="L869"/>
      <c r="M869"/>
      <c r="N869"/>
      <c r="O869"/>
    </row>
    <row r="870" spans="1:15" x14ac:dyDescent="0.2">
      <c r="A870"/>
      <c r="B870"/>
      <c r="C870"/>
      <c r="F870"/>
      <c r="G870"/>
      <c r="H870"/>
      <c r="I870"/>
      <c r="L870"/>
      <c r="M870"/>
      <c r="N870"/>
      <c r="O870"/>
    </row>
    <row r="871" spans="1:15" x14ac:dyDescent="0.2">
      <c r="A871"/>
      <c r="B871"/>
      <c r="C871"/>
      <c r="F871"/>
      <c r="G871"/>
      <c r="L871"/>
      <c r="M871"/>
      <c r="N871"/>
      <c r="O871"/>
    </row>
    <row r="872" spans="1:15" x14ac:dyDescent="0.2">
      <c r="A872"/>
      <c r="B872"/>
      <c r="C872"/>
      <c r="F872"/>
      <c r="G872"/>
      <c r="J872"/>
      <c r="K872"/>
      <c r="L872"/>
      <c r="M872"/>
      <c r="N872"/>
      <c r="O872"/>
    </row>
    <row r="873" spans="1:15" x14ac:dyDescent="0.2">
      <c r="A873"/>
      <c r="B873"/>
      <c r="C873"/>
      <c r="F873"/>
      <c r="G873"/>
      <c r="I873"/>
      <c r="L873"/>
      <c r="M873"/>
      <c r="N873"/>
      <c r="O873"/>
    </row>
    <row r="874" spans="1:15" x14ac:dyDescent="0.2">
      <c r="A874"/>
      <c r="B874"/>
      <c r="C874"/>
      <c r="F874"/>
      <c r="G874"/>
      <c r="H874"/>
      <c r="I874"/>
      <c r="L874"/>
      <c r="N874"/>
      <c r="O874"/>
    </row>
    <row r="875" spans="1:15" x14ac:dyDescent="0.2">
      <c r="A875"/>
      <c r="B875"/>
      <c r="C875"/>
      <c r="F875"/>
      <c r="G875"/>
      <c r="H875"/>
      <c r="I875"/>
      <c r="L875"/>
      <c r="M875"/>
      <c r="N875"/>
      <c r="O875"/>
    </row>
    <row r="876" spans="1:15" x14ac:dyDescent="0.2">
      <c r="A876"/>
      <c r="B876"/>
      <c r="C876"/>
      <c r="F876"/>
      <c r="G876"/>
      <c r="J876"/>
      <c r="K876"/>
      <c r="L876"/>
      <c r="M876"/>
      <c r="N876"/>
      <c r="O876"/>
    </row>
    <row r="877" spans="1:15" x14ac:dyDescent="0.2">
      <c r="A877"/>
      <c r="B877"/>
      <c r="C877"/>
      <c r="F877"/>
      <c r="G877"/>
      <c r="H877"/>
      <c r="I877"/>
      <c r="L877"/>
      <c r="M877"/>
      <c r="N877"/>
      <c r="O877"/>
    </row>
    <row r="878" spans="1:15" x14ac:dyDescent="0.2">
      <c r="A878"/>
      <c r="B878"/>
      <c r="C878"/>
      <c r="F878"/>
      <c r="G878"/>
      <c r="H878"/>
      <c r="I878"/>
      <c r="L878"/>
      <c r="M878"/>
      <c r="N878"/>
      <c r="O878"/>
    </row>
    <row r="879" spans="1:15" x14ac:dyDescent="0.2">
      <c r="A879"/>
      <c r="B879"/>
      <c r="C879"/>
      <c r="F879"/>
      <c r="G879"/>
      <c r="L879"/>
      <c r="M879"/>
      <c r="N879"/>
      <c r="O879"/>
    </row>
    <row r="880" spans="1:15" x14ac:dyDescent="0.2">
      <c r="A880"/>
      <c r="B880"/>
      <c r="C880"/>
      <c r="F880"/>
      <c r="G880"/>
      <c r="L880"/>
      <c r="M880"/>
      <c r="N880"/>
      <c r="O880"/>
    </row>
    <row r="881" spans="1:15" x14ac:dyDescent="0.2">
      <c r="A881"/>
      <c r="B881"/>
      <c r="C881"/>
      <c r="F881"/>
      <c r="G881"/>
      <c r="H881"/>
      <c r="L881"/>
      <c r="M881"/>
      <c r="N881"/>
      <c r="O881"/>
    </row>
    <row r="882" spans="1:15" x14ac:dyDescent="0.2">
      <c r="A882"/>
      <c r="B882"/>
      <c r="C882"/>
      <c r="F882"/>
      <c r="G882"/>
      <c r="H882"/>
      <c r="J882"/>
      <c r="K882"/>
      <c r="L882"/>
      <c r="M882"/>
      <c r="N882"/>
      <c r="O882"/>
    </row>
    <row r="883" spans="1:15" x14ac:dyDescent="0.2">
      <c r="A883"/>
      <c r="B883"/>
      <c r="C883"/>
      <c r="F883"/>
      <c r="G883"/>
      <c r="J883"/>
      <c r="K883"/>
      <c r="L883"/>
      <c r="M883"/>
      <c r="N883"/>
      <c r="O883"/>
    </row>
    <row r="884" spans="1:15" x14ac:dyDescent="0.2">
      <c r="A884"/>
      <c r="B884"/>
      <c r="C884"/>
      <c r="F884"/>
      <c r="G884"/>
      <c r="H884"/>
      <c r="J884"/>
      <c r="K884"/>
      <c r="L884"/>
      <c r="M884"/>
      <c r="N884"/>
      <c r="O884"/>
    </row>
    <row r="885" spans="1:15" x14ac:dyDescent="0.2">
      <c r="A885"/>
      <c r="B885"/>
      <c r="C885"/>
      <c r="F885"/>
      <c r="G885"/>
      <c r="H885"/>
      <c r="J885"/>
      <c r="K885"/>
      <c r="L885"/>
      <c r="M885"/>
      <c r="N885"/>
      <c r="O885"/>
    </row>
    <row r="886" spans="1:15" x14ac:dyDescent="0.2">
      <c r="A886"/>
      <c r="B886"/>
      <c r="C886"/>
      <c r="F886"/>
      <c r="G886"/>
      <c r="J886"/>
      <c r="K886"/>
      <c r="L886"/>
      <c r="M886"/>
      <c r="N886"/>
      <c r="O886"/>
    </row>
    <row r="887" spans="1:15" x14ac:dyDescent="0.2">
      <c r="A887"/>
      <c r="B887"/>
      <c r="C887"/>
      <c r="F887"/>
      <c r="G887"/>
      <c r="H887"/>
      <c r="J887"/>
      <c r="K887"/>
      <c r="L887"/>
      <c r="M887"/>
      <c r="N887"/>
      <c r="O887"/>
    </row>
    <row r="888" spans="1:15" x14ac:dyDescent="0.2">
      <c r="A888"/>
      <c r="B888"/>
      <c r="C888"/>
      <c r="F888"/>
      <c r="G888"/>
      <c r="H888"/>
      <c r="I888"/>
      <c r="L888"/>
      <c r="N888"/>
      <c r="O888"/>
    </row>
    <row r="889" spans="1:15" x14ac:dyDescent="0.2">
      <c r="A889"/>
      <c r="B889"/>
      <c r="C889"/>
      <c r="F889"/>
      <c r="G889"/>
      <c r="I889"/>
      <c r="L889"/>
      <c r="M889"/>
      <c r="N889"/>
      <c r="O889"/>
    </row>
    <row r="890" spans="1:15" x14ac:dyDescent="0.2">
      <c r="A890"/>
      <c r="B890"/>
      <c r="C890"/>
      <c r="F890"/>
      <c r="G890"/>
      <c r="L890"/>
      <c r="M890"/>
      <c r="N890"/>
      <c r="O890"/>
    </row>
    <row r="891" spans="1:15" x14ac:dyDescent="0.2">
      <c r="A891"/>
      <c r="B891"/>
      <c r="C891"/>
      <c r="F891"/>
      <c r="G891"/>
      <c r="H891"/>
      <c r="J891"/>
      <c r="K891"/>
      <c r="L891"/>
      <c r="M891"/>
      <c r="N891"/>
      <c r="O891"/>
    </row>
    <row r="892" spans="1:15" x14ac:dyDescent="0.2">
      <c r="A892"/>
      <c r="B892"/>
      <c r="C892"/>
      <c r="F892"/>
      <c r="G892"/>
      <c r="H892"/>
      <c r="I892"/>
      <c r="L892"/>
      <c r="M892"/>
      <c r="N892"/>
      <c r="O892"/>
    </row>
    <row r="893" spans="1:15" x14ac:dyDescent="0.2">
      <c r="A893"/>
      <c r="B893"/>
      <c r="C893"/>
      <c r="F893"/>
      <c r="G893"/>
      <c r="H893"/>
      <c r="I893"/>
      <c r="L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H897"/>
      <c r="I897"/>
      <c r="L897"/>
      <c r="M897"/>
      <c r="N897"/>
      <c r="O897"/>
    </row>
    <row r="898" spans="1:15" x14ac:dyDescent="0.2">
      <c r="A898"/>
      <c r="B898"/>
      <c r="C898"/>
      <c r="F898"/>
      <c r="G898"/>
      <c r="I898"/>
      <c r="L898"/>
      <c r="M898"/>
      <c r="N898"/>
      <c r="O898"/>
    </row>
    <row r="899" spans="1:15" x14ac:dyDescent="0.2">
      <c r="A899"/>
      <c r="B899"/>
      <c r="C899"/>
      <c r="F899"/>
      <c r="G899"/>
      <c r="L899"/>
      <c r="M899"/>
      <c r="N899"/>
      <c r="O899"/>
    </row>
    <row r="900" spans="1:15" x14ac:dyDescent="0.2">
      <c r="A900"/>
      <c r="B900"/>
      <c r="C900"/>
      <c r="F900"/>
      <c r="G900"/>
      <c r="H900"/>
      <c r="J900"/>
      <c r="K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M903"/>
      <c r="N903"/>
      <c r="O903"/>
    </row>
    <row r="904" spans="1:15" x14ac:dyDescent="0.2">
      <c r="A904"/>
      <c r="B904"/>
      <c r="C904"/>
      <c r="F904"/>
      <c r="G904"/>
      <c r="I904"/>
      <c r="L904"/>
      <c r="M904"/>
      <c r="N904"/>
      <c r="O904"/>
    </row>
    <row r="905" spans="1:15" x14ac:dyDescent="0.2">
      <c r="A905"/>
      <c r="B905"/>
      <c r="C905"/>
      <c r="F905"/>
      <c r="G905"/>
      <c r="I905"/>
      <c r="L905"/>
      <c r="M905"/>
      <c r="N905"/>
      <c r="O905"/>
    </row>
    <row r="906" spans="1:15" x14ac:dyDescent="0.2">
      <c r="A906"/>
      <c r="B906"/>
      <c r="C906"/>
      <c r="F906"/>
      <c r="G906"/>
      <c r="I906"/>
      <c r="L906"/>
      <c r="M906"/>
      <c r="N906"/>
      <c r="O906"/>
    </row>
    <row r="907" spans="1:15" x14ac:dyDescent="0.2">
      <c r="A907"/>
      <c r="B907"/>
      <c r="C907"/>
      <c r="F907"/>
      <c r="G907"/>
      <c r="I907"/>
      <c r="L907"/>
      <c r="M907"/>
      <c r="N907"/>
      <c r="O907"/>
    </row>
    <row r="908" spans="1:15" x14ac:dyDescent="0.2">
      <c r="A908"/>
      <c r="B908"/>
      <c r="C908"/>
      <c r="F908"/>
      <c r="G908"/>
      <c r="H908"/>
      <c r="I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L914"/>
      <c r="M914"/>
      <c r="N914"/>
      <c r="O914"/>
    </row>
    <row r="915" spans="1:15" x14ac:dyDescent="0.2">
      <c r="A915"/>
      <c r="B915"/>
      <c r="C915"/>
      <c r="F915"/>
      <c r="G915"/>
      <c r="H915"/>
      <c r="I915"/>
      <c r="L915"/>
      <c r="M915"/>
      <c r="N915"/>
      <c r="O915"/>
    </row>
    <row r="916" spans="1:15" x14ac:dyDescent="0.2">
      <c r="A916"/>
      <c r="B916"/>
      <c r="C916"/>
      <c r="F916"/>
      <c r="G916"/>
      <c r="H916"/>
      <c r="I916"/>
      <c r="L916"/>
      <c r="M916"/>
      <c r="N916"/>
      <c r="O916"/>
    </row>
    <row r="917" spans="1:15" x14ac:dyDescent="0.2">
      <c r="A917"/>
      <c r="B917"/>
      <c r="C917"/>
      <c r="F917"/>
      <c r="G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L920"/>
      <c r="M920"/>
      <c r="N920"/>
      <c r="O920"/>
    </row>
    <row r="921" spans="1:15" x14ac:dyDescent="0.2">
      <c r="A921"/>
      <c r="B921"/>
      <c r="C921"/>
      <c r="F921"/>
      <c r="G921"/>
      <c r="I921"/>
      <c r="J921"/>
      <c r="K921"/>
      <c r="L921"/>
      <c r="M921"/>
      <c r="N921"/>
      <c r="O921"/>
    </row>
    <row r="922" spans="1:15" x14ac:dyDescent="0.2">
      <c r="A922"/>
      <c r="B922"/>
      <c r="C922"/>
      <c r="F922"/>
      <c r="G922"/>
      <c r="I922"/>
      <c r="L922"/>
      <c r="M922"/>
      <c r="N922"/>
      <c r="O922"/>
    </row>
    <row r="923" spans="1:15" x14ac:dyDescent="0.2">
      <c r="A923"/>
      <c r="B923"/>
      <c r="C923"/>
      <c r="F923"/>
      <c r="G923"/>
      <c r="I923"/>
      <c r="L923"/>
      <c r="M923"/>
      <c r="N923"/>
      <c r="O923"/>
    </row>
    <row r="924" spans="1:15" x14ac:dyDescent="0.2">
      <c r="A924"/>
      <c r="B924"/>
      <c r="C924"/>
      <c r="F924"/>
      <c r="G924"/>
      <c r="I924"/>
      <c r="L924"/>
      <c r="M924"/>
      <c r="N924"/>
      <c r="O924"/>
    </row>
    <row r="925" spans="1:15" x14ac:dyDescent="0.2">
      <c r="A925"/>
      <c r="B925"/>
      <c r="C925"/>
      <c r="F925"/>
      <c r="G925"/>
      <c r="H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H928"/>
      <c r="I928"/>
      <c r="L928"/>
      <c r="M928"/>
      <c r="N928"/>
      <c r="O928"/>
    </row>
    <row r="929" spans="1:15" x14ac:dyDescent="0.2">
      <c r="A929"/>
      <c r="B929"/>
      <c r="C929"/>
      <c r="F929"/>
      <c r="G929"/>
      <c r="I929"/>
      <c r="L929"/>
      <c r="M929"/>
      <c r="N929"/>
      <c r="O929"/>
    </row>
    <row r="930" spans="1:15" x14ac:dyDescent="0.2">
      <c r="A930"/>
      <c r="B930"/>
      <c r="C930"/>
      <c r="F930"/>
      <c r="G930"/>
      <c r="I930"/>
      <c r="L930"/>
      <c r="M930"/>
      <c r="N930"/>
      <c r="O930"/>
    </row>
    <row r="931" spans="1:15" x14ac:dyDescent="0.2">
      <c r="A931"/>
      <c r="B931"/>
      <c r="C931"/>
      <c r="F931"/>
      <c r="G931"/>
      <c r="H931"/>
      <c r="I931"/>
      <c r="L931"/>
      <c r="M931"/>
      <c r="N931"/>
      <c r="O931"/>
    </row>
    <row r="932" spans="1:15" x14ac:dyDescent="0.2">
      <c r="A932"/>
      <c r="B932"/>
      <c r="C932"/>
      <c r="F932"/>
      <c r="G932"/>
      <c r="H932"/>
      <c r="I932"/>
      <c r="L932"/>
      <c r="M932"/>
      <c r="N932"/>
      <c r="O932"/>
    </row>
    <row r="933" spans="1:15" x14ac:dyDescent="0.2">
      <c r="A933"/>
      <c r="B933"/>
      <c r="C933"/>
      <c r="F933"/>
      <c r="G933"/>
      <c r="I933"/>
      <c r="L933"/>
      <c r="M933"/>
      <c r="N933"/>
      <c r="O933"/>
    </row>
    <row r="934" spans="1:15" x14ac:dyDescent="0.2">
      <c r="A934"/>
      <c r="B934"/>
      <c r="C934"/>
      <c r="F934"/>
      <c r="G934"/>
      <c r="J934"/>
      <c r="K934"/>
      <c r="L934"/>
      <c r="M934"/>
      <c r="N934"/>
      <c r="O934"/>
    </row>
    <row r="935" spans="1:15" x14ac:dyDescent="0.2">
      <c r="A935"/>
      <c r="B935"/>
      <c r="C935"/>
      <c r="F935"/>
      <c r="G935"/>
      <c r="H935"/>
      <c r="I935"/>
      <c r="L935"/>
      <c r="M935"/>
      <c r="N935"/>
      <c r="O935"/>
    </row>
    <row r="936" spans="1:15" x14ac:dyDescent="0.2">
      <c r="A936"/>
      <c r="B936"/>
      <c r="C936"/>
      <c r="F936"/>
      <c r="G936"/>
      <c r="H936"/>
      <c r="I936"/>
      <c r="L936"/>
      <c r="M936"/>
      <c r="N936"/>
      <c r="O936"/>
    </row>
    <row r="937" spans="1:15" x14ac:dyDescent="0.2">
      <c r="A937"/>
      <c r="B937"/>
      <c r="C937"/>
      <c r="F937"/>
      <c r="G937"/>
      <c r="H937"/>
      <c r="I937"/>
      <c r="J937"/>
      <c r="K937"/>
      <c r="L937"/>
      <c r="M937"/>
      <c r="N937"/>
      <c r="O937"/>
    </row>
    <row r="938" spans="1:15" x14ac:dyDescent="0.2">
      <c r="A938"/>
      <c r="B938"/>
      <c r="C938"/>
      <c r="F938"/>
      <c r="G938"/>
      <c r="H938"/>
      <c r="I938"/>
      <c r="L938"/>
      <c r="M938"/>
      <c r="N938"/>
      <c r="O938"/>
    </row>
    <row r="939" spans="1:15" x14ac:dyDescent="0.2">
      <c r="A939"/>
      <c r="B939"/>
      <c r="C939"/>
      <c r="F939"/>
      <c r="G939"/>
      <c r="I939"/>
      <c r="L939"/>
      <c r="M939"/>
      <c r="N939"/>
      <c r="O939"/>
    </row>
    <row r="940" spans="1:15" x14ac:dyDescent="0.2">
      <c r="A940"/>
      <c r="B940"/>
      <c r="C940"/>
      <c r="F940"/>
      <c r="G940"/>
      <c r="H940"/>
      <c r="I940"/>
      <c r="L940"/>
      <c r="M940"/>
      <c r="N940"/>
      <c r="O940"/>
    </row>
    <row r="941" spans="1:15" x14ac:dyDescent="0.2">
      <c r="A941"/>
      <c r="B941"/>
      <c r="C941"/>
      <c r="F941"/>
      <c r="G941"/>
      <c r="H941"/>
      <c r="I941"/>
      <c r="L941"/>
      <c r="M941"/>
      <c r="N941"/>
      <c r="O941"/>
    </row>
    <row r="942" spans="1:15" x14ac:dyDescent="0.2">
      <c r="A942"/>
      <c r="B942"/>
      <c r="C942"/>
      <c r="F942"/>
      <c r="G942"/>
      <c r="J942"/>
      <c r="K942"/>
      <c r="L942"/>
      <c r="M942"/>
      <c r="N942"/>
      <c r="O942"/>
    </row>
    <row r="943" spans="1:15" x14ac:dyDescent="0.2">
      <c r="A943"/>
      <c r="B943"/>
      <c r="C943"/>
      <c r="F943"/>
      <c r="G943"/>
      <c r="H943"/>
      <c r="J943"/>
      <c r="K943"/>
      <c r="L943"/>
      <c r="M943"/>
      <c r="N943"/>
      <c r="O943"/>
    </row>
    <row r="944" spans="1:15" x14ac:dyDescent="0.2">
      <c r="A944"/>
      <c r="B944"/>
      <c r="C944"/>
      <c r="F944"/>
      <c r="G944"/>
      <c r="J944"/>
      <c r="K944"/>
      <c r="L944"/>
      <c r="M944"/>
      <c r="N944"/>
      <c r="O944"/>
    </row>
    <row r="945" spans="1:15" x14ac:dyDescent="0.2">
      <c r="A945"/>
      <c r="B945"/>
      <c r="C945"/>
      <c r="F945"/>
      <c r="G945"/>
      <c r="H945"/>
      <c r="J945"/>
      <c r="K945"/>
      <c r="L945"/>
      <c r="M945"/>
      <c r="N945"/>
      <c r="O945"/>
    </row>
    <row r="946" spans="1:15" x14ac:dyDescent="0.2">
      <c r="A946"/>
      <c r="B946"/>
      <c r="C946"/>
      <c r="F946"/>
      <c r="G946"/>
      <c r="L946"/>
      <c r="M946"/>
      <c r="N946"/>
      <c r="O946"/>
    </row>
    <row r="947" spans="1:15" x14ac:dyDescent="0.2">
      <c r="A947"/>
      <c r="B947"/>
      <c r="C947"/>
      <c r="F947"/>
      <c r="G947"/>
      <c r="H947"/>
      <c r="J947"/>
      <c r="K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H951"/>
      <c r="I951"/>
      <c r="L951"/>
      <c r="M951"/>
      <c r="N951"/>
      <c r="O951"/>
    </row>
    <row r="952" spans="1:15" x14ac:dyDescent="0.2">
      <c r="A952"/>
      <c r="B952"/>
      <c r="C952"/>
      <c r="F952"/>
      <c r="G952"/>
      <c r="H952"/>
      <c r="J952"/>
      <c r="K952"/>
      <c r="L952"/>
      <c r="M952"/>
      <c r="N952"/>
      <c r="O952"/>
    </row>
    <row r="953" spans="1:15" x14ac:dyDescent="0.2">
      <c r="A953"/>
      <c r="B953"/>
      <c r="C953"/>
      <c r="F953"/>
      <c r="G953"/>
      <c r="H953"/>
      <c r="I953"/>
      <c r="L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L956"/>
      <c r="M956"/>
      <c r="N956"/>
      <c r="O956"/>
    </row>
    <row r="957" spans="1:15" x14ac:dyDescent="0.2">
      <c r="A957"/>
      <c r="B957"/>
      <c r="C957"/>
      <c r="F957"/>
      <c r="G957"/>
      <c r="I957"/>
      <c r="L957"/>
      <c r="M957"/>
      <c r="N957"/>
      <c r="O957"/>
    </row>
    <row r="958" spans="1:15" x14ac:dyDescent="0.2">
      <c r="A958"/>
      <c r="B958"/>
      <c r="C958"/>
      <c r="F958"/>
      <c r="G958"/>
      <c r="H958"/>
      <c r="I958"/>
      <c r="L958"/>
      <c r="M958"/>
      <c r="N958"/>
      <c r="O958"/>
    </row>
    <row r="959" spans="1:15" x14ac:dyDescent="0.2">
      <c r="A959"/>
      <c r="B959"/>
      <c r="C959"/>
      <c r="F959"/>
      <c r="G959"/>
      <c r="L959"/>
      <c r="M959"/>
      <c r="N959"/>
      <c r="O959"/>
    </row>
    <row r="960" spans="1:15" x14ac:dyDescent="0.2">
      <c r="A960"/>
      <c r="B960"/>
      <c r="C960"/>
      <c r="F960"/>
      <c r="G960"/>
      <c r="I960"/>
      <c r="L960"/>
      <c r="M960"/>
      <c r="N960"/>
      <c r="O960"/>
    </row>
    <row r="961" spans="1:15" x14ac:dyDescent="0.2">
      <c r="A961"/>
      <c r="B961"/>
      <c r="C961"/>
      <c r="F961"/>
      <c r="G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I966"/>
      <c r="L966"/>
      <c r="M966"/>
      <c r="N966"/>
      <c r="O966"/>
    </row>
    <row r="967" spans="1:15" x14ac:dyDescent="0.2">
      <c r="A967"/>
      <c r="B967"/>
      <c r="C967"/>
      <c r="F967"/>
      <c r="G967"/>
      <c r="H967"/>
      <c r="I967"/>
      <c r="L967"/>
      <c r="M967"/>
      <c r="N967"/>
      <c r="O967"/>
    </row>
    <row r="968" spans="1:15" x14ac:dyDescent="0.2">
      <c r="A968"/>
      <c r="B968"/>
      <c r="C968"/>
      <c r="F968"/>
      <c r="G968"/>
      <c r="H968"/>
      <c r="I968"/>
      <c r="L968"/>
      <c r="M968"/>
      <c r="N968"/>
      <c r="O968"/>
    </row>
    <row r="969" spans="1:15" x14ac:dyDescent="0.2">
      <c r="A969"/>
      <c r="B969"/>
      <c r="C969"/>
      <c r="F969"/>
      <c r="G969"/>
      <c r="H969"/>
      <c r="I969"/>
      <c r="L969"/>
      <c r="M969"/>
      <c r="N969"/>
      <c r="O969"/>
    </row>
    <row r="970" spans="1:15" x14ac:dyDescent="0.2">
      <c r="A970"/>
      <c r="B970"/>
      <c r="C970"/>
      <c r="F970"/>
      <c r="G970"/>
      <c r="I970"/>
      <c r="L970"/>
      <c r="M970"/>
      <c r="N970"/>
      <c r="O970"/>
    </row>
    <row r="971" spans="1:15" x14ac:dyDescent="0.2">
      <c r="A971"/>
      <c r="B971"/>
      <c r="C971"/>
      <c r="F971"/>
      <c r="G971"/>
      <c r="H971"/>
      <c r="I971"/>
      <c r="L971"/>
      <c r="M971"/>
      <c r="N971"/>
      <c r="O971"/>
    </row>
    <row r="972" spans="1:15" x14ac:dyDescent="0.2">
      <c r="A972"/>
      <c r="B972"/>
      <c r="C972"/>
      <c r="F972"/>
      <c r="G972"/>
      <c r="H972"/>
      <c r="I972"/>
      <c r="L972"/>
      <c r="M972"/>
      <c r="N972"/>
      <c r="O972"/>
    </row>
    <row r="973" spans="1:15" x14ac:dyDescent="0.2">
      <c r="A973"/>
      <c r="B973"/>
      <c r="C973"/>
      <c r="F973"/>
      <c r="G973"/>
      <c r="L973"/>
      <c r="M973"/>
      <c r="N973"/>
      <c r="O973"/>
    </row>
    <row r="974" spans="1:15" x14ac:dyDescent="0.2">
      <c r="A974"/>
      <c r="B974"/>
      <c r="C974"/>
      <c r="F974"/>
      <c r="G974"/>
      <c r="H974"/>
      <c r="I974"/>
      <c r="L974"/>
      <c r="M974"/>
      <c r="N974"/>
      <c r="O974"/>
    </row>
    <row r="975" spans="1:15" x14ac:dyDescent="0.2">
      <c r="A975"/>
      <c r="B975"/>
      <c r="C975"/>
      <c r="F975"/>
      <c r="G975"/>
      <c r="H975"/>
      <c r="I975"/>
      <c r="L975"/>
      <c r="M975"/>
      <c r="N975"/>
      <c r="O975"/>
    </row>
    <row r="976" spans="1:15" x14ac:dyDescent="0.2">
      <c r="A976"/>
      <c r="B976"/>
      <c r="C976"/>
      <c r="F976"/>
      <c r="G976"/>
      <c r="H976"/>
      <c r="I976"/>
      <c r="J976"/>
      <c r="K976"/>
      <c r="L976"/>
      <c r="M976"/>
      <c r="N976"/>
      <c r="O976"/>
    </row>
    <row r="977" spans="1:15" x14ac:dyDescent="0.2">
      <c r="A977"/>
      <c r="B977"/>
      <c r="C977"/>
      <c r="F977"/>
      <c r="G977"/>
      <c r="H977"/>
      <c r="I977"/>
      <c r="L977"/>
      <c r="M977"/>
      <c r="N977"/>
      <c r="O977"/>
    </row>
    <row r="978" spans="1:15" x14ac:dyDescent="0.2">
      <c r="A978"/>
      <c r="B978"/>
      <c r="C978"/>
      <c r="F978"/>
      <c r="G978"/>
      <c r="H978"/>
      <c r="I978"/>
      <c r="L978"/>
      <c r="M978"/>
      <c r="N978"/>
      <c r="O978"/>
    </row>
    <row r="979" spans="1:15" x14ac:dyDescent="0.2">
      <c r="A979"/>
      <c r="B979"/>
      <c r="C979"/>
      <c r="F979"/>
      <c r="G979"/>
      <c r="H979"/>
      <c r="I979"/>
      <c r="L979"/>
      <c r="M979"/>
      <c r="N979"/>
      <c r="O979"/>
    </row>
    <row r="980" spans="1:15" x14ac:dyDescent="0.2">
      <c r="A980"/>
      <c r="B980"/>
      <c r="C980"/>
      <c r="F980"/>
      <c r="G980"/>
      <c r="I980"/>
      <c r="L980"/>
      <c r="M980"/>
      <c r="N980"/>
      <c r="O980"/>
    </row>
    <row r="981" spans="1:15" x14ac:dyDescent="0.2">
      <c r="A981"/>
      <c r="B981"/>
      <c r="C981"/>
      <c r="F981"/>
      <c r="G981"/>
      <c r="H981"/>
      <c r="I981"/>
      <c r="L981"/>
      <c r="M981"/>
      <c r="N981"/>
      <c r="O981"/>
    </row>
    <row r="982" spans="1:15" x14ac:dyDescent="0.2">
      <c r="A982"/>
      <c r="B982"/>
      <c r="C982"/>
      <c r="F982"/>
      <c r="G982"/>
      <c r="H982"/>
      <c r="J982"/>
      <c r="K982"/>
      <c r="L982"/>
      <c r="M982"/>
      <c r="N982"/>
      <c r="O982"/>
    </row>
    <row r="983" spans="1:15" x14ac:dyDescent="0.2">
      <c r="A983"/>
      <c r="B983"/>
      <c r="C983"/>
      <c r="F983"/>
      <c r="G983"/>
      <c r="L983"/>
      <c r="M983"/>
      <c r="N983"/>
      <c r="O983"/>
    </row>
    <row r="984" spans="1:15" x14ac:dyDescent="0.2">
      <c r="A984"/>
      <c r="B984"/>
      <c r="C984"/>
      <c r="F984"/>
      <c r="G984"/>
      <c r="H984"/>
      <c r="I984"/>
      <c r="L984"/>
      <c r="M984"/>
      <c r="N984"/>
      <c r="O984"/>
    </row>
    <row r="985" spans="1:15" x14ac:dyDescent="0.2">
      <c r="A985"/>
      <c r="B985"/>
      <c r="C985"/>
      <c r="F985"/>
      <c r="G985"/>
      <c r="I985"/>
      <c r="L985"/>
      <c r="M985"/>
      <c r="N985"/>
      <c r="O985"/>
    </row>
    <row r="986" spans="1:15" x14ac:dyDescent="0.2">
      <c r="A986"/>
      <c r="B986"/>
      <c r="C986"/>
      <c r="F986"/>
      <c r="G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J991"/>
      <c r="K991"/>
      <c r="L991"/>
      <c r="M991"/>
      <c r="N991"/>
      <c r="O991"/>
    </row>
    <row r="992" spans="1:15" x14ac:dyDescent="0.2">
      <c r="A992"/>
      <c r="B992"/>
      <c r="C992"/>
      <c r="F992"/>
      <c r="G992"/>
      <c r="H992"/>
      <c r="J992"/>
      <c r="K992"/>
      <c r="L992"/>
      <c r="M992"/>
      <c r="N992"/>
      <c r="O992"/>
    </row>
    <row r="993" spans="1:15" x14ac:dyDescent="0.2">
      <c r="A993"/>
      <c r="B993"/>
      <c r="C993"/>
      <c r="F993"/>
      <c r="G993"/>
      <c r="H993"/>
      <c r="I993"/>
      <c r="L993"/>
      <c r="M993"/>
      <c r="N993"/>
      <c r="O993"/>
    </row>
    <row r="994" spans="1:15" x14ac:dyDescent="0.2">
      <c r="A994"/>
      <c r="B994"/>
      <c r="C994"/>
      <c r="F994"/>
      <c r="G994"/>
      <c r="H994"/>
      <c r="I994"/>
      <c r="L994"/>
      <c r="M994"/>
      <c r="N994"/>
      <c r="O994"/>
    </row>
    <row r="995" spans="1:15" x14ac:dyDescent="0.2">
      <c r="A995"/>
      <c r="B995"/>
      <c r="C995"/>
      <c r="F995"/>
      <c r="G995"/>
      <c r="H995"/>
      <c r="I995"/>
      <c r="L995"/>
      <c r="M995"/>
      <c r="N995"/>
      <c r="O995"/>
    </row>
    <row r="996" spans="1:15" x14ac:dyDescent="0.2">
      <c r="A996"/>
      <c r="B996"/>
      <c r="C996"/>
      <c r="F996"/>
      <c r="G996"/>
      <c r="L996"/>
      <c r="M996"/>
      <c r="N996"/>
      <c r="O996"/>
    </row>
    <row r="997" spans="1:15" x14ac:dyDescent="0.2">
      <c r="A997"/>
      <c r="B997"/>
      <c r="C997"/>
      <c r="F997"/>
      <c r="G997"/>
      <c r="L997"/>
      <c r="M997"/>
      <c r="N997"/>
      <c r="O997"/>
    </row>
    <row r="998" spans="1:15" x14ac:dyDescent="0.2">
      <c r="A998"/>
      <c r="B998"/>
      <c r="C998"/>
      <c r="F998"/>
      <c r="G998"/>
      <c r="H998"/>
      <c r="I998"/>
      <c r="L998"/>
      <c r="M998"/>
      <c r="N998"/>
      <c r="O998"/>
    </row>
    <row r="999" spans="1:15" x14ac:dyDescent="0.2">
      <c r="A999"/>
      <c r="B999"/>
      <c r="C999"/>
      <c r="F999"/>
      <c r="G999"/>
      <c r="I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I1002"/>
      <c r="L1002"/>
      <c r="M1002"/>
      <c r="N1002"/>
      <c r="O1002"/>
    </row>
    <row r="1003" spans="1:15" x14ac:dyDescent="0.2">
      <c r="A1003"/>
      <c r="B1003"/>
      <c r="C1003"/>
      <c r="F1003"/>
      <c r="G1003"/>
      <c r="I1003"/>
      <c r="L1003"/>
      <c r="M1003"/>
      <c r="N1003"/>
      <c r="O1003"/>
    </row>
    <row r="1004" spans="1:15" x14ac:dyDescent="0.2">
      <c r="A1004"/>
      <c r="B1004"/>
      <c r="C1004"/>
      <c r="F1004"/>
      <c r="G1004"/>
      <c r="L1004"/>
      <c r="M1004"/>
      <c r="N1004"/>
      <c r="O1004"/>
    </row>
    <row r="1005" spans="1:15" x14ac:dyDescent="0.2">
      <c r="A1005"/>
      <c r="B1005"/>
      <c r="C1005"/>
      <c r="F1005"/>
      <c r="G1005"/>
      <c r="H1005"/>
      <c r="I1005"/>
      <c r="L1005"/>
      <c r="M1005"/>
      <c r="N1005"/>
      <c r="O1005"/>
    </row>
    <row r="1006" spans="1:15" x14ac:dyDescent="0.2">
      <c r="A1006"/>
      <c r="B1006"/>
      <c r="C1006"/>
      <c r="F1006"/>
      <c r="G1006"/>
      <c r="I1006"/>
      <c r="L1006"/>
      <c r="M1006"/>
      <c r="N1006"/>
      <c r="O1006"/>
    </row>
    <row r="1007" spans="1:15" x14ac:dyDescent="0.2">
      <c r="A1007"/>
      <c r="B1007"/>
      <c r="C1007"/>
      <c r="F1007"/>
      <c r="G1007"/>
      <c r="M1007"/>
      <c r="N1007"/>
      <c r="O1007"/>
    </row>
    <row r="1008" spans="1:15" x14ac:dyDescent="0.2">
      <c r="A1008"/>
      <c r="B1008"/>
      <c r="C1008"/>
      <c r="F1008"/>
      <c r="G1008"/>
      <c r="M1008"/>
      <c r="N1008"/>
      <c r="O1008"/>
    </row>
    <row r="1009" spans="1:15" x14ac:dyDescent="0.2">
      <c r="A1009"/>
      <c r="B1009"/>
      <c r="C1009"/>
      <c r="F1009"/>
      <c r="G1009"/>
      <c r="H1009"/>
      <c r="I1009"/>
      <c r="L1009"/>
      <c r="M1009"/>
      <c r="N1009"/>
      <c r="O1009"/>
    </row>
    <row r="1010" spans="1:15" x14ac:dyDescent="0.2">
      <c r="A1010"/>
      <c r="B1010"/>
      <c r="C1010"/>
      <c r="F1010"/>
      <c r="G1010"/>
      <c r="H1010"/>
      <c r="I1010"/>
      <c r="L1010"/>
      <c r="M1010"/>
      <c r="N1010"/>
      <c r="O1010"/>
    </row>
    <row r="1011" spans="1:15" x14ac:dyDescent="0.2">
      <c r="A1011"/>
      <c r="B1011"/>
      <c r="C1011"/>
      <c r="F1011"/>
      <c r="G1011"/>
      <c r="H1011"/>
      <c r="I1011"/>
      <c r="L1011"/>
      <c r="M1011"/>
      <c r="N1011"/>
      <c r="O1011"/>
    </row>
    <row r="1012" spans="1:15" x14ac:dyDescent="0.2">
      <c r="A1012"/>
      <c r="B1012"/>
      <c r="C1012"/>
      <c r="F1012"/>
      <c r="G1012"/>
      <c r="I1012"/>
      <c r="L1012"/>
      <c r="M1012"/>
      <c r="N1012"/>
      <c r="O1012"/>
    </row>
    <row r="1013" spans="1:15" x14ac:dyDescent="0.2">
      <c r="A1013"/>
      <c r="B1013"/>
      <c r="C1013"/>
      <c r="F1013"/>
      <c r="G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J1016"/>
      <c r="K1016"/>
      <c r="L1016"/>
      <c r="M1016"/>
      <c r="N1016"/>
      <c r="O1016"/>
    </row>
    <row r="1017" spans="1:15" x14ac:dyDescent="0.2">
      <c r="A1017"/>
      <c r="B1017"/>
      <c r="C1017"/>
      <c r="F1017"/>
      <c r="G1017"/>
      <c r="H1017"/>
      <c r="I1017"/>
      <c r="L1017"/>
      <c r="M1017"/>
      <c r="N1017"/>
      <c r="O1017"/>
    </row>
    <row r="1018" spans="1:15" x14ac:dyDescent="0.2">
      <c r="A1018"/>
      <c r="B1018"/>
      <c r="C1018"/>
      <c r="F1018"/>
      <c r="G1018"/>
      <c r="I1018"/>
      <c r="L1018"/>
      <c r="M1018"/>
      <c r="N1018"/>
      <c r="O1018"/>
    </row>
    <row r="1019" spans="1:15" x14ac:dyDescent="0.2">
      <c r="A1019"/>
      <c r="B1019"/>
      <c r="C1019"/>
      <c r="F1019"/>
      <c r="G1019"/>
      <c r="I1019"/>
      <c r="L1019"/>
      <c r="M1019"/>
      <c r="N1019"/>
      <c r="O1019"/>
    </row>
    <row r="1020" spans="1:15" x14ac:dyDescent="0.2">
      <c r="A1020"/>
      <c r="B1020"/>
      <c r="C1020"/>
      <c r="F1020"/>
      <c r="G1020"/>
      <c r="H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L1024"/>
      <c r="M1024"/>
      <c r="N1024"/>
      <c r="O1024"/>
    </row>
    <row r="1025" spans="1:15" x14ac:dyDescent="0.2">
      <c r="A1025"/>
      <c r="B1025"/>
      <c r="C1025"/>
      <c r="F1025"/>
      <c r="G1025"/>
      <c r="H1025"/>
      <c r="I1025"/>
      <c r="L1025"/>
      <c r="M1025"/>
      <c r="N1025"/>
      <c r="O1025"/>
    </row>
    <row r="1026" spans="1:15" x14ac:dyDescent="0.2">
      <c r="A1026"/>
      <c r="B1026"/>
      <c r="C1026"/>
      <c r="F1026"/>
      <c r="G1026"/>
      <c r="L1026"/>
      <c r="M1026"/>
      <c r="N1026"/>
      <c r="O1026"/>
    </row>
    <row r="1027" spans="1:15" x14ac:dyDescent="0.2">
      <c r="A1027"/>
      <c r="B1027"/>
      <c r="C1027"/>
      <c r="F1027"/>
      <c r="G1027"/>
      <c r="H1027"/>
      <c r="I1027"/>
      <c r="L1027"/>
      <c r="M1027"/>
      <c r="N1027"/>
      <c r="O1027"/>
    </row>
    <row r="1028" spans="1:15" x14ac:dyDescent="0.2">
      <c r="A1028"/>
      <c r="B1028"/>
      <c r="C1028"/>
      <c r="F1028"/>
      <c r="G1028"/>
      <c r="I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I1035"/>
      <c r="L1035"/>
      <c r="M1035"/>
      <c r="N1035"/>
      <c r="O1035"/>
    </row>
    <row r="1036" spans="1:15" x14ac:dyDescent="0.2">
      <c r="A1036"/>
      <c r="B1036"/>
      <c r="C1036"/>
      <c r="F1036"/>
      <c r="G1036"/>
      <c r="I1036"/>
      <c r="L1036"/>
      <c r="M1036"/>
      <c r="N1036"/>
      <c r="O1036"/>
    </row>
    <row r="1037" spans="1:15" x14ac:dyDescent="0.2">
      <c r="A1037"/>
      <c r="B1037"/>
      <c r="C1037"/>
      <c r="F1037"/>
      <c r="G1037"/>
      <c r="I1037"/>
      <c r="J1037"/>
      <c r="K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L1040"/>
      <c r="M1040"/>
      <c r="N1040"/>
      <c r="O1040"/>
    </row>
    <row r="1041" spans="1:15" x14ac:dyDescent="0.2">
      <c r="A1041"/>
      <c r="B1041"/>
      <c r="C1041"/>
      <c r="F1041"/>
      <c r="G1041"/>
      <c r="I1041"/>
      <c r="L1041"/>
      <c r="M1041"/>
      <c r="N1041"/>
      <c r="O1041"/>
    </row>
    <row r="1042" spans="1:15" x14ac:dyDescent="0.2">
      <c r="A1042"/>
      <c r="B1042"/>
      <c r="C1042"/>
      <c r="F1042"/>
      <c r="G1042"/>
      <c r="H1042"/>
      <c r="I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L1046"/>
      <c r="M1046"/>
      <c r="N1046"/>
      <c r="O1046"/>
    </row>
    <row r="1047" spans="1:15" x14ac:dyDescent="0.2">
      <c r="A1047"/>
      <c r="B1047"/>
      <c r="C1047"/>
      <c r="F1047"/>
      <c r="G1047"/>
      <c r="H1047"/>
      <c r="I1047"/>
      <c r="L1047"/>
      <c r="M1047"/>
      <c r="N1047"/>
      <c r="O1047"/>
    </row>
    <row r="1048" spans="1:15" x14ac:dyDescent="0.2">
      <c r="A1048"/>
      <c r="B1048"/>
      <c r="C1048"/>
      <c r="F1048"/>
      <c r="G1048"/>
      <c r="J1048"/>
      <c r="K1048"/>
      <c r="M1048"/>
      <c r="N1048"/>
      <c r="O1048"/>
    </row>
    <row r="1049" spans="1:15" x14ac:dyDescent="0.2">
      <c r="A1049"/>
      <c r="B1049"/>
      <c r="C1049"/>
      <c r="F1049"/>
      <c r="G1049"/>
      <c r="H1049"/>
      <c r="I1049"/>
      <c r="L1049"/>
      <c r="M1049"/>
      <c r="N1049"/>
      <c r="O1049"/>
    </row>
    <row r="1050" spans="1:15" x14ac:dyDescent="0.2">
      <c r="A1050"/>
      <c r="B1050"/>
      <c r="C1050"/>
      <c r="F1050"/>
      <c r="G1050"/>
      <c r="H1050"/>
      <c r="I1050"/>
      <c r="L1050"/>
      <c r="M1050"/>
      <c r="N1050"/>
      <c r="O1050"/>
    </row>
    <row r="1051" spans="1:15" x14ac:dyDescent="0.2">
      <c r="A1051"/>
      <c r="B1051"/>
      <c r="C1051"/>
      <c r="F1051"/>
      <c r="G1051"/>
      <c r="I1051"/>
      <c r="L1051"/>
      <c r="M1051"/>
      <c r="N1051"/>
      <c r="O1051"/>
    </row>
    <row r="1052" spans="1:15" x14ac:dyDescent="0.2">
      <c r="A1052"/>
      <c r="B1052"/>
      <c r="C1052"/>
      <c r="F1052"/>
      <c r="G1052"/>
      <c r="H1052"/>
      <c r="I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I1055"/>
      <c r="L1055"/>
      <c r="M1055"/>
      <c r="N1055"/>
      <c r="O1055"/>
    </row>
    <row r="1056" spans="1:15" x14ac:dyDescent="0.2">
      <c r="A1056"/>
      <c r="B1056"/>
      <c r="C1056"/>
      <c r="F1056"/>
      <c r="G1056"/>
      <c r="H1056"/>
      <c r="I1056"/>
      <c r="L1056"/>
      <c r="M1056"/>
      <c r="N1056"/>
      <c r="O1056"/>
    </row>
    <row r="1057" spans="1:15" x14ac:dyDescent="0.2">
      <c r="A1057"/>
      <c r="B1057"/>
      <c r="C1057"/>
      <c r="F1057"/>
      <c r="G1057"/>
      <c r="I1057"/>
      <c r="L1057"/>
      <c r="M1057"/>
      <c r="N1057"/>
      <c r="O1057"/>
    </row>
    <row r="1058" spans="1:15" x14ac:dyDescent="0.2">
      <c r="A1058"/>
      <c r="B1058"/>
      <c r="C1058"/>
      <c r="F1058"/>
      <c r="G1058"/>
      <c r="I1058"/>
      <c r="L1058"/>
      <c r="M1058"/>
      <c r="N1058"/>
      <c r="O1058"/>
    </row>
    <row r="1059" spans="1:15" x14ac:dyDescent="0.2">
      <c r="A1059"/>
      <c r="B1059"/>
      <c r="C1059"/>
      <c r="F1059"/>
      <c r="G1059"/>
      <c r="L1059"/>
      <c r="M1059"/>
      <c r="N1059"/>
      <c r="O1059"/>
    </row>
    <row r="1060" spans="1:15" x14ac:dyDescent="0.2">
      <c r="A1060"/>
      <c r="B1060"/>
      <c r="C1060"/>
      <c r="F1060"/>
      <c r="G1060"/>
      <c r="H1060"/>
      <c r="I1060"/>
      <c r="L1060"/>
      <c r="M1060"/>
      <c r="N1060"/>
      <c r="O1060"/>
    </row>
    <row r="1061" spans="1:15" x14ac:dyDescent="0.2">
      <c r="A1061"/>
      <c r="B1061"/>
      <c r="C1061"/>
      <c r="F1061"/>
      <c r="G1061"/>
      <c r="H1061"/>
      <c r="I1061"/>
      <c r="L1061"/>
      <c r="M1061"/>
      <c r="N1061"/>
      <c r="O1061"/>
    </row>
    <row r="1062" spans="1:15" x14ac:dyDescent="0.2">
      <c r="A1062"/>
      <c r="B1062"/>
      <c r="C1062"/>
      <c r="F1062"/>
      <c r="G1062"/>
      <c r="H1062"/>
      <c r="I1062"/>
      <c r="L1062"/>
      <c r="M1062"/>
      <c r="N1062"/>
      <c r="O1062"/>
    </row>
    <row r="1063" spans="1:15" x14ac:dyDescent="0.2">
      <c r="A1063"/>
      <c r="B1063"/>
      <c r="C1063"/>
      <c r="F1063"/>
      <c r="G1063"/>
      <c r="H1063"/>
      <c r="J1063"/>
      <c r="K1063"/>
      <c r="L1063"/>
      <c r="M1063"/>
      <c r="N1063"/>
      <c r="O1063"/>
    </row>
    <row r="1064" spans="1:15" x14ac:dyDescent="0.2">
      <c r="A1064"/>
      <c r="B1064"/>
      <c r="C1064"/>
      <c r="F1064"/>
      <c r="G1064"/>
      <c r="H1064"/>
      <c r="I1064"/>
      <c r="J1064"/>
      <c r="K1064"/>
      <c r="L1064"/>
      <c r="M1064"/>
      <c r="N1064"/>
      <c r="O1064"/>
    </row>
    <row r="1065" spans="1:15" x14ac:dyDescent="0.2">
      <c r="A1065"/>
      <c r="B1065"/>
      <c r="C1065"/>
      <c r="F1065"/>
      <c r="G1065"/>
      <c r="I1065"/>
      <c r="L1065"/>
      <c r="M1065"/>
      <c r="N1065"/>
      <c r="O1065"/>
    </row>
    <row r="1066" spans="1:15" x14ac:dyDescent="0.2">
      <c r="A1066"/>
      <c r="B1066"/>
      <c r="C1066"/>
      <c r="F1066"/>
      <c r="G1066"/>
      <c r="H1066"/>
      <c r="I1066"/>
      <c r="L1066"/>
      <c r="M1066"/>
      <c r="N1066"/>
      <c r="O1066"/>
    </row>
    <row r="1067" spans="1:15" x14ac:dyDescent="0.2">
      <c r="A1067"/>
      <c r="B1067"/>
      <c r="C1067"/>
      <c r="F1067"/>
      <c r="G1067"/>
      <c r="J1067"/>
      <c r="K1067"/>
      <c r="L1067"/>
      <c r="M1067"/>
      <c r="N1067"/>
      <c r="O1067"/>
    </row>
    <row r="1068" spans="1:15" x14ac:dyDescent="0.2">
      <c r="A1068"/>
      <c r="B1068"/>
      <c r="C1068"/>
      <c r="F1068"/>
      <c r="G1068"/>
      <c r="H1068"/>
      <c r="I1068"/>
      <c r="L1068"/>
      <c r="M1068"/>
      <c r="N1068"/>
      <c r="O1068"/>
    </row>
    <row r="1069" spans="1:15" x14ac:dyDescent="0.2">
      <c r="A1069"/>
      <c r="B1069"/>
      <c r="C1069"/>
      <c r="F1069"/>
      <c r="G1069"/>
      <c r="J1069"/>
      <c r="K1069"/>
      <c r="L1069"/>
      <c r="M1069"/>
      <c r="N1069"/>
      <c r="O1069"/>
    </row>
    <row r="1070" spans="1:15" x14ac:dyDescent="0.2">
      <c r="A1070"/>
      <c r="B1070"/>
      <c r="C1070"/>
      <c r="F1070"/>
      <c r="G1070"/>
      <c r="H1070"/>
      <c r="I1070"/>
      <c r="L1070"/>
      <c r="M1070"/>
      <c r="N1070"/>
      <c r="O1070"/>
    </row>
    <row r="1071" spans="1:15" x14ac:dyDescent="0.2">
      <c r="A1071"/>
      <c r="B1071"/>
      <c r="C1071"/>
      <c r="F1071"/>
      <c r="G1071"/>
      <c r="H1071"/>
      <c r="I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I1074"/>
      <c r="L1074"/>
      <c r="N1074"/>
      <c r="O1074"/>
    </row>
    <row r="1075" spans="1:15" x14ac:dyDescent="0.2">
      <c r="A1075"/>
      <c r="B1075"/>
      <c r="C1075"/>
      <c r="F1075"/>
      <c r="G1075"/>
      <c r="H1075"/>
      <c r="J1075"/>
      <c r="K1075"/>
      <c r="L1075"/>
      <c r="M1075"/>
      <c r="N1075"/>
      <c r="O1075"/>
    </row>
    <row r="1076" spans="1:15" x14ac:dyDescent="0.2">
      <c r="A1076"/>
      <c r="B1076"/>
      <c r="C1076"/>
      <c r="F1076"/>
      <c r="G1076"/>
      <c r="H1076"/>
      <c r="L1076"/>
      <c r="M1076"/>
      <c r="N1076"/>
      <c r="O1076"/>
    </row>
    <row r="1077" spans="1:15" x14ac:dyDescent="0.2">
      <c r="A1077"/>
      <c r="B1077"/>
      <c r="C1077"/>
      <c r="F1077"/>
      <c r="G1077"/>
      <c r="H1077"/>
      <c r="J1077"/>
      <c r="K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I1079"/>
      <c r="L1079"/>
      <c r="M1079"/>
      <c r="N1079"/>
      <c r="O1079"/>
    </row>
    <row r="1080" spans="1:15" x14ac:dyDescent="0.2">
      <c r="A1080"/>
      <c r="B1080"/>
      <c r="C1080"/>
      <c r="F1080"/>
      <c r="G1080"/>
      <c r="H1080"/>
      <c r="J1080"/>
      <c r="K1080"/>
      <c r="L1080"/>
      <c r="M1080"/>
      <c r="N1080"/>
      <c r="O1080"/>
    </row>
    <row r="1081" spans="1:15" x14ac:dyDescent="0.2">
      <c r="A1081"/>
      <c r="B1081"/>
      <c r="C1081"/>
      <c r="G1081"/>
      <c r="J1081"/>
      <c r="K1081"/>
      <c r="L1081"/>
      <c r="M1081"/>
      <c r="N1081"/>
      <c r="O1081"/>
    </row>
    <row r="1082" spans="1:15" x14ac:dyDescent="0.2">
      <c r="A1082"/>
      <c r="B1082"/>
      <c r="C1082"/>
      <c r="F1082"/>
      <c r="G1082"/>
      <c r="H1082"/>
      <c r="I1082"/>
      <c r="L1082"/>
      <c r="N1082"/>
      <c r="O1082"/>
    </row>
    <row r="1083" spans="1:15" x14ac:dyDescent="0.2">
      <c r="A1083"/>
      <c r="B1083"/>
      <c r="C1083"/>
      <c r="F1083"/>
      <c r="G1083"/>
      <c r="L1083"/>
      <c r="M1083"/>
      <c r="N1083"/>
      <c r="O1083"/>
    </row>
    <row r="1084" spans="1:15" x14ac:dyDescent="0.2">
      <c r="A1084"/>
      <c r="B1084"/>
      <c r="C1084"/>
      <c r="F1084"/>
      <c r="G1084"/>
      <c r="J1084"/>
      <c r="K1084"/>
      <c r="L1084"/>
      <c r="M1084"/>
      <c r="N1084"/>
      <c r="O1084"/>
    </row>
    <row r="1085" spans="1:15" x14ac:dyDescent="0.2">
      <c r="A1085"/>
      <c r="B1085"/>
      <c r="C1085"/>
      <c r="F1085"/>
      <c r="G1085"/>
      <c r="H1085"/>
      <c r="I1085"/>
      <c r="L1085"/>
      <c r="M1085"/>
      <c r="N1085"/>
      <c r="O1085"/>
    </row>
    <row r="1086" spans="1:15" x14ac:dyDescent="0.2">
      <c r="A1086"/>
      <c r="B1086"/>
      <c r="C1086"/>
      <c r="F1086"/>
      <c r="G1086"/>
      <c r="H1086"/>
      <c r="I1086"/>
      <c r="L1086"/>
      <c r="M1086"/>
      <c r="N1086"/>
      <c r="O1086"/>
    </row>
    <row r="1087" spans="1:15" x14ac:dyDescent="0.2">
      <c r="A1087"/>
      <c r="B1087"/>
      <c r="C1087"/>
      <c r="F1087"/>
      <c r="G1087"/>
      <c r="L1087"/>
      <c r="M1087"/>
      <c r="N1087"/>
      <c r="O1087"/>
    </row>
    <row r="1088" spans="1:15" x14ac:dyDescent="0.2">
      <c r="A1088"/>
      <c r="B1088"/>
      <c r="C1088"/>
      <c r="F1088"/>
      <c r="G1088"/>
      <c r="I1088"/>
      <c r="L1088"/>
      <c r="M1088"/>
      <c r="N1088"/>
      <c r="O1088"/>
    </row>
    <row r="1089" spans="1:15" x14ac:dyDescent="0.2">
      <c r="A1089"/>
      <c r="B1089"/>
      <c r="C1089"/>
      <c r="F1089"/>
      <c r="G1089"/>
      <c r="H1089"/>
      <c r="I1089"/>
      <c r="L1089"/>
      <c r="M1089"/>
      <c r="N1089"/>
      <c r="O1089"/>
    </row>
    <row r="1090" spans="1:15" x14ac:dyDescent="0.2">
      <c r="A1090"/>
      <c r="B1090"/>
      <c r="C1090"/>
      <c r="F1090"/>
      <c r="G1090"/>
      <c r="H1090"/>
      <c r="I1090"/>
      <c r="L1090"/>
      <c r="M1090"/>
      <c r="N1090"/>
      <c r="O1090"/>
    </row>
    <row r="1091" spans="1:15" x14ac:dyDescent="0.2">
      <c r="A1091"/>
      <c r="B1091"/>
      <c r="C1091"/>
      <c r="F1091"/>
      <c r="G1091"/>
      <c r="M1091"/>
      <c r="N1091"/>
      <c r="O1091"/>
    </row>
    <row r="1092" spans="1:15" x14ac:dyDescent="0.2">
      <c r="A1092"/>
      <c r="B1092"/>
      <c r="C1092"/>
      <c r="F1092"/>
      <c r="G1092"/>
      <c r="M1092"/>
      <c r="N1092"/>
      <c r="O1092"/>
    </row>
    <row r="1093" spans="1:15" x14ac:dyDescent="0.2">
      <c r="A1093"/>
      <c r="B1093"/>
      <c r="C1093"/>
      <c r="F1093"/>
      <c r="G1093"/>
      <c r="N1093"/>
      <c r="O1093"/>
    </row>
    <row r="1094" spans="1:15" x14ac:dyDescent="0.2">
      <c r="A1094"/>
      <c r="B1094"/>
      <c r="C1094"/>
      <c r="F1094"/>
      <c r="G1094"/>
      <c r="H1094"/>
      <c r="I1094"/>
      <c r="L1094"/>
      <c r="M1094"/>
      <c r="N1094"/>
      <c r="O1094"/>
    </row>
    <row r="1095" spans="1:15" x14ac:dyDescent="0.2">
      <c r="A1095"/>
      <c r="B1095"/>
      <c r="C1095"/>
      <c r="F1095"/>
      <c r="G1095"/>
      <c r="L1095"/>
      <c r="M1095"/>
      <c r="N1095"/>
      <c r="O1095"/>
    </row>
    <row r="1096" spans="1:15" x14ac:dyDescent="0.2">
      <c r="A1096"/>
      <c r="B1096"/>
      <c r="C1096"/>
      <c r="F1096"/>
      <c r="G1096"/>
      <c r="H1096"/>
      <c r="I1096"/>
      <c r="L1096"/>
      <c r="M1096"/>
      <c r="N1096"/>
      <c r="O1096"/>
    </row>
    <row r="1097" spans="1:15" x14ac:dyDescent="0.2">
      <c r="A1097"/>
      <c r="B1097"/>
      <c r="C1097"/>
      <c r="F1097"/>
      <c r="G1097"/>
      <c r="H1097"/>
      <c r="I1097"/>
      <c r="L1097"/>
      <c r="N1097"/>
      <c r="O1097"/>
    </row>
    <row r="1098" spans="1:15" x14ac:dyDescent="0.2">
      <c r="A1098"/>
      <c r="B1098"/>
      <c r="C1098"/>
      <c r="F1098"/>
      <c r="G1098"/>
      <c r="I1098"/>
      <c r="L1098"/>
      <c r="M1098"/>
      <c r="N1098"/>
      <c r="O1098"/>
    </row>
    <row r="1099" spans="1:15" x14ac:dyDescent="0.2">
      <c r="A1099"/>
      <c r="B1099"/>
      <c r="C1099"/>
      <c r="F1099"/>
      <c r="G1099"/>
      <c r="H1099"/>
      <c r="I1099"/>
      <c r="L1099"/>
      <c r="M1099"/>
      <c r="N1099"/>
      <c r="O1099"/>
    </row>
    <row r="1100" spans="1:15" x14ac:dyDescent="0.2">
      <c r="A1100"/>
      <c r="B1100"/>
      <c r="C1100"/>
      <c r="F1100"/>
      <c r="G1100"/>
      <c r="H1100"/>
      <c r="I1100"/>
      <c r="L1100"/>
      <c r="M1100"/>
      <c r="N1100"/>
      <c r="O1100"/>
    </row>
    <row r="1101" spans="1:15" x14ac:dyDescent="0.2">
      <c r="A1101"/>
      <c r="B1101"/>
      <c r="C1101"/>
      <c r="F1101"/>
      <c r="G1101"/>
      <c r="I1101"/>
      <c r="L1101"/>
      <c r="M1101"/>
      <c r="N1101"/>
      <c r="O1101"/>
    </row>
    <row r="1102" spans="1:15" x14ac:dyDescent="0.2">
      <c r="A1102"/>
      <c r="B1102"/>
      <c r="C1102"/>
      <c r="F1102"/>
      <c r="G1102"/>
      <c r="I1102"/>
      <c r="L1102"/>
      <c r="M1102"/>
      <c r="N1102"/>
      <c r="O1102"/>
    </row>
    <row r="1103" spans="1:15" x14ac:dyDescent="0.2">
      <c r="A1103"/>
      <c r="B1103"/>
      <c r="C1103"/>
      <c r="F1103"/>
      <c r="G1103"/>
      <c r="L1103"/>
      <c r="M1103"/>
      <c r="N1103"/>
      <c r="O1103"/>
    </row>
    <row r="1104" spans="1:15" x14ac:dyDescent="0.2">
      <c r="A1104"/>
      <c r="B1104"/>
      <c r="C1104"/>
      <c r="F1104"/>
      <c r="G1104"/>
      <c r="H1104"/>
      <c r="I1104"/>
      <c r="L1104"/>
      <c r="M1104"/>
      <c r="N1104"/>
      <c r="O1104"/>
    </row>
    <row r="1105" spans="1:15" x14ac:dyDescent="0.2">
      <c r="A1105"/>
      <c r="B1105"/>
      <c r="C1105"/>
      <c r="F1105"/>
      <c r="G1105"/>
      <c r="L1105"/>
      <c r="M1105"/>
      <c r="N1105"/>
      <c r="O1105"/>
    </row>
    <row r="1106" spans="1:15" x14ac:dyDescent="0.2">
      <c r="A1106"/>
      <c r="B1106"/>
      <c r="C1106"/>
      <c r="F1106"/>
      <c r="G1106"/>
      <c r="H1106"/>
      <c r="I1106"/>
      <c r="L1106"/>
      <c r="M1106"/>
      <c r="N1106"/>
      <c r="O1106"/>
    </row>
    <row r="1107" spans="1:15" x14ac:dyDescent="0.2">
      <c r="A1107"/>
      <c r="B1107"/>
      <c r="C1107"/>
      <c r="F1107"/>
      <c r="G1107"/>
      <c r="M1107"/>
      <c r="N1107"/>
      <c r="O1107"/>
    </row>
    <row r="1108" spans="1:15" x14ac:dyDescent="0.2">
      <c r="A1108"/>
      <c r="B1108"/>
      <c r="C1108"/>
      <c r="F1108"/>
      <c r="G1108"/>
      <c r="H1108"/>
      <c r="I1108"/>
      <c r="L1108"/>
      <c r="M1108"/>
      <c r="N1108"/>
      <c r="O1108"/>
    </row>
    <row r="1109" spans="1:15" x14ac:dyDescent="0.2">
      <c r="A1109"/>
      <c r="B1109"/>
      <c r="C1109"/>
      <c r="F1109"/>
      <c r="G1109"/>
      <c r="H1109"/>
      <c r="I1109"/>
      <c r="L1109"/>
      <c r="M1109"/>
      <c r="N1109"/>
      <c r="O1109"/>
    </row>
    <row r="1110" spans="1:15" x14ac:dyDescent="0.2">
      <c r="A1110"/>
      <c r="B1110"/>
      <c r="C1110"/>
      <c r="F1110"/>
      <c r="G1110"/>
      <c r="H1110"/>
      <c r="I1110"/>
      <c r="L1110"/>
      <c r="M1110"/>
      <c r="N1110"/>
      <c r="O1110"/>
    </row>
    <row r="1111" spans="1:15" x14ac:dyDescent="0.2">
      <c r="A1111"/>
      <c r="B1111"/>
      <c r="C1111"/>
      <c r="F1111"/>
      <c r="G1111"/>
      <c r="H1111"/>
      <c r="I1111"/>
      <c r="L1111"/>
      <c r="M1111"/>
      <c r="N1111"/>
      <c r="O1111"/>
    </row>
    <row r="1112" spans="1:15" x14ac:dyDescent="0.2">
      <c r="A1112"/>
      <c r="B1112"/>
      <c r="C1112"/>
      <c r="F1112"/>
      <c r="G1112"/>
      <c r="H1112"/>
      <c r="J1112"/>
      <c r="K1112"/>
      <c r="L1112"/>
      <c r="M1112"/>
      <c r="N1112"/>
      <c r="O1112"/>
    </row>
    <row r="1113" spans="1:15" x14ac:dyDescent="0.2">
      <c r="A1113"/>
      <c r="B1113"/>
      <c r="C1113"/>
      <c r="F1113"/>
      <c r="G1113"/>
      <c r="H1113"/>
      <c r="J1113"/>
      <c r="K1113"/>
      <c r="L1113"/>
      <c r="M1113"/>
      <c r="N1113"/>
      <c r="O1113"/>
    </row>
    <row r="1114" spans="1:15" x14ac:dyDescent="0.2">
      <c r="A1114"/>
      <c r="B1114"/>
      <c r="C1114"/>
      <c r="F1114"/>
      <c r="G1114"/>
      <c r="H1114"/>
      <c r="J1114"/>
      <c r="K1114"/>
      <c r="L1114"/>
      <c r="M1114"/>
      <c r="N1114"/>
      <c r="O1114"/>
    </row>
    <row r="1115" spans="1:15" x14ac:dyDescent="0.2">
      <c r="A1115"/>
      <c r="B1115"/>
      <c r="C1115"/>
      <c r="F1115"/>
      <c r="G1115"/>
      <c r="H1115"/>
      <c r="L1115"/>
      <c r="M1115"/>
      <c r="N1115"/>
      <c r="O1115"/>
    </row>
    <row r="1116" spans="1:15" x14ac:dyDescent="0.2">
      <c r="A1116"/>
      <c r="B1116"/>
      <c r="C1116"/>
      <c r="F1116"/>
      <c r="G1116"/>
      <c r="I1116"/>
      <c r="L1116"/>
      <c r="M1116"/>
      <c r="N1116"/>
      <c r="O1116"/>
    </row>
    <row r="1117" spans="1:15" x14ac:dyDescent="0.2">
      <c r="A1117"/>
      <c r="B1117"/>
      <c r="C1117"/>
      <c r="F1117"/>
      <c r="G1117"/>
      <c r="I1117"/>
      <c r="L1117"/>
      <c r="M1117"/>
      <c r="N1117"/>
      <c r="O1117"/>
    </row>
    <row r="1118" spans="1:15" x14ac:dyDescent="0.2">
      <c r="A1118"/>
      <c r="B1118"/>
      <c r="C1118"/>
      <c r="F1118"/>
      <c r="G1118"/>
      <c r="M1118"/>
      <c r="N1118"/>
      <c r="O1118"/>
    </row>
    <row r="1119" spans="1:15" x14ac:dyDescent="0.2">
      <c r="A1119"/>
      <c r="B1119"/>
      <c r="C1119"/>
      <c r="F1119"/>
      <c r="G1119"/>
      <c r="H1119"/>
      <c r="I1119"/>
      <c r="L1119"/>
      <c r="M1119"/>
      <c r="N1119"/>
      <c r="O1119"/>
    </row>
    <row r="1120" spans="1:15" x14ac:dyDescent="0.2">
      <c r="A1120"/>
      <c r="B1120"/>
      <c r="C1120"/>
      <c r="F1120"/>
      <c r="G1120"/>
      <c r="J1120"/>
      <c r="K1120"/>
      <c r="L1120"/>
      <c r="M1120"/>
      <c r="N1120"/>
      <c r="O1120"/>
    </row>
    <row r="1121" spans="1:15" x14ac:dyDescent="0.2">
      <c r="A1121"/>
      <c r="B1121"/>
      <c r="C1121"/>
      <c r="F1121"/>
      <c r="G1121"/>
      <c r="H1121"/>
      <c r="I1121"/>
      <c r="L1121"/>
      <c r="M1121"/>
      <c r="N1121"/>
      <c r="O1121"/>
    </row>
    <row r="1122" spans="1:15" x14ac:dyDescent="0.2">
      <c r="A1122"/>
      <c r="B1122"/>
      <c r="C1122"/>
      <c r="F1122"/>
      <c r="G1122"/>
      <c r="H1122"/>
      <c r="I1122"/>
      <c r="L1122"/>
      <c r="N1122"/>
      <c r="O1122"/>
    </row>
    <row r="1123" spans="1:15" x14ac:dyDescent="0.2">
      <c r="A1123"/>
      <c r="B1123"/>
      <c r="C1123"/>
      <c r="F1123"/>
      <c r="G1123"/>
      <c r="H1123"/>
      <c r="J1123"/>
      <c r="K1123"/>
      <c r="L1123"/>
      <c r="M1123"/>
      <c r="N1123"/>
      <c r="O1123"/>
    </row>
    <row r="1124" spans="1:15" x14ac:dyDescent="0.2">
      <c r="A1124"/>
      <c r="B1124"/>
      <c r="C1124"/>
      <c r="F1124"/>
      <c r="G1124"/>
      <c r="H1124"/>
      <c r="I1124"/>
      <c r="L1124"/>
      <c r="M1124"/>
      <c r="N1124"/>
      <c r="O1124"/>
    </row>
    <row r="1125" spans="1:15" x14ac:dyDescent="0.2">
      <c r="A1125"/>
      <c r="B1125"/>
      <c r="C1125"/>
      <c r="F1125"/>
      <c r="G1125"/>
      <c r="I1125"/>
      <c r="L1125"/>
      <c r="M1125"/>
      <c r="N1125"/>
      <c r="O1125"/>
    </row>
    <row r="1126" spans="1:15" x14ac:dyDescent="0.2">
      <c r="A1126"/>
      <c r="B1126"/>
      <c r="C1126"/>
      <c r="F1126"/>
      <c r="G1126"/>
      <c r="H1126"/>
      <c r="I1126"/>
      <c r="L1126"/>
      <c r="M1126"/>
      <c r="N1126"/>
      <c r="O1126"/>
    </row>
    <row r="1127" spans="1:15" x14ac:dyDescent="0.2">
      <c r="A1127"/>
      <c r="B1127"/>
      <c r="C1127"/>
      <c r="F1127"/>
      <c r="G1127"/>
      <c r="L1127"/>
      <c r="M1127"/>
      <c r="N1127"/>
      <c r="O1127"/>
    </row>
    <row r="1128" spans="1:15" x14ac:dyDescent="0.2">
      <c r="A1128"/>
      <c r="B1128"/>
      <c r="C1128"/>
      <c r="F1128"/>
      <c r="G1128"/>
      <c r="L1128"/>
      <c r="M1128"/>
      <c r="N1128"/>
      <c r="O1128"/>
    </row>
    <row r="1129" spans="1:15" x14ac:dyDescent="0.2">
      <c r="A1129"/>
      <c r="B1129"/>
      <c r="C1129"/>
      <c r="F1129"/>
      <c r="G1129"/>
      <c r="L1129"/>
      <c r="M1129"/>
      <c r="N1129"/>
      <c r="O1129"/>
    </row>
    <row r="1130" spans="1:15" x14ac:dyDescent="0.2">
      <c r="A1130"/>
      <c r="B1130"/>
      <c r="C1130"/>
      <c r="F1130"/>
      <c r="G1130"/>
      <c r="I1130"/>
      <c r="L1130"/>
      <c r="M1130"/>
      <c r="N1130"/>
      <c r="O1130"/>
    </row>
    <row r="1131" spans="1:15" x14ac:dyDescent="0.2">
      <c r="A1131"/>
      <c r="B1131"/>
      <c r="C1131"/>
      <c r="F1131"/>
      <c r="G1131"/>
      <c r="I1131"/>
      <c r="L1131"/>
      <c r="M1131"/>
      <c r="N1131"/>
      <c r="O1131"/>
    </row>
    <row r="1132" spans="1:15" x14ac:dyDescent="0.2">
      <c r="A1132"/>
      <c r="B1132"/>
      <c r="C1132"/>
      <c r="F1132"/>
      <c r="G1132"/>
      <c r="I1132"/>
      <c r="L1132"/>
      <c r="M1132"/>
      <c r="N1132"/>
      <c r="O1132"/>
    </row>
    <row r="1133" spans="1:15" x14ac:dyDescent="0.2">
      <c r="A1133"/>
      <c r="B1133"/>
      <c r="C1133"/>
      <c r="F1133"/>
      <c r="G1133"/>
      <c r="H1133"/>
      <c r="I1133"/>
      <c r="L1133"/>
      <c r="M1133"/>
      <c r="N1133"/>
      <c r="O1133"/>
    </row>
    <row r="1134" spans="1:15" x14ac:dyDescent="0.2">
      <c r="A1134"/>
      <c r="B1134"/>
      <c r="C1134"/>
      <c r="F1134"/>
      <c r="G1134"/>
      <c r="I1134"/>
      <c r="L1134"/>
      <c r="M1134"/>
      <c r="N1134"/>
      <c r="O1134"/>
    </row>
    <row r="1135" spans="1:15" x14ac:dyDescent="0.2">
      <c r="A1135"/>
      <c r="B1135"/>
      <c r="C1135"/>
      <c r="F1135"/>
      <c r="G1135"/>
      <c r="H1135"/>
      <c r="L1135"/>
      <c r="M1135"/>
      <c r="N1135"/>
      <c r="O1135"/>
    </row>
    <row r="1136" spans="1:15" x14ac:dyDescent="0.2">
      <c r="A1136"/>
      <c r="B1136"/>
      <c r="C1136"/>
      <c r="F1136"/>
      <c r="G1136"/>
      <c r="N1136"/>
      <c r="O1136"/>
    </row>
    <row r="1137" spans="1:15" x14ac:dyDescent="0.2">
      <c r="A1137"/>
      <c r="B1137"/>
      <c r="C1137"/>
      <c r="F1137"/>
      <c r="G1137"/>
      <c r="I1137"/>
      <c r="L1137"/>
      <c r="M1137"/>
      <c r="N1137"/>
      <c r="O1137"/>
    </row>
    <row r="1138" spans="1:15" x14ac:dyDescent="0.2">
      <c r="A1138"/>
      <c r="B1138"/>
      <c r="C1138"/>
      <c r="F1138"/>
      <c r="G1138"/>
      <c r="I1138"/>
      <c r="L1138"/>
      <c r="M1138"/>
      <c r="N1138"/>
      <c r="O1138"/>
    </row>
    <row r="1139" spans="1:15" x14ac:dyDescent="0.2">
      <c r="A1139"/>
      <c r="B1139"/>
      <c r="C1139"/>
      <c r="F1139"/>
      <c r="G1139"/>
      <c r="H1139"/>
      <c r="I1139"/>
      <c r="L1139"/>
      <c r="M1139"/>
      <c r="N1139"/>
      <c r="O1139"/>
    </row>
    <row r="1140" spans="1:15" x14ac:dyDescent="0.2">
      <c r="A1140"/>
      <c r="B1140"/>
      <c r="C1140"/>
      <c r="F1140"/>
      <c r="G1140"/>
      <c r="H1140"/>
      <c r="J1140"/>
      <c r="K1140"/>
      <c r="L1140"/>
      <c r="M1140"/>
      <c r="N1140"/>
      <c r="O1140"/>
    </row>
    <row r="1141" spans="1:15" x14ac:dyDescent="0.2">
      <c r="A1141"/>
      <c r="B1141"/>
      <c r="C1141"/>
      <c r="F1141"/>
      <c r="G1141"/>
      <c r="I1141"/>
      <c r="L1141"/>
      <c r="M1141"/>
      <c r="N1141"/>
      <c r="O1141"/>
    </row>
    <row r="1142" spans="1:15" x14ac:dyDescent="0.2">
      <c r="A1142"/>
      <c r="B1142"/>
      <c r="C1142"/>
      <c r="F1142"/>
      <c r="G1142"/>
      <c r="J1142"/>
      <c r="K1142"/>
      <c r="L1142"/>
      <c r="M1142"/>
      <c r="N1142"/>
      <c r="O1142"/>
    </row>
    <row r="1143" spans="1:15" x14ac:dyDescent="0.2">
      <c r="A1143"/>
      <c r="B1143"/>
      <c r="C1143"/>
      <c r="F1143"/>
      <c r="G1143"/>
      <c r="J1143"/>
      <c r="K1143"/>
      <c r="L1143"/>
      <c r="M1143"/>
      <c r="N1143"/>
      <c r="O1143"/>
    </row>
    <row r="1144" spans="1:15" x14ac:dyDescent="0.2">
      <c r="A1144"/>
      <c r="B1144"/>
      <c r="C1144"/>
      <c r="F1144"/>
      <c r="G1144"/>
      <c r="I1144"/>
      <c r="L1144"/>
      <c r="M1144"/>
      <c r="N1144"/>
      <c r="O1144"/>
    </row>
    <row r="1145" spans="1:15" x14ac:dyDescent="0.2">
      <c r="A1145"/>
      <c r="B1145"/>
      <c r="C1145"/>
      <c r="F1145"/>
      <c r="G1145"/>
      <c r="H1145"/>
      <c r="I1145"/>
      <c r="L1145"/>
      <c r="M1145"/>
      <c r="N1145"/>
      <c r="O1145"/>
    </row>
    <row r="1146" spans="1:15" x14ac:dyDescent="0.2">
      <c r="A1146"/>
      <c r="B1146"/>
      <c r="C1146"/>
      <c r="F1146"/>
      <c r="G1146"/>
      <c r="M1146"/>
      <c r="N1146"/>
      <c r="O1146"/>
    </row>
    <row r="1147" spans="1:15" x14ac:dyDescent="0.2">
      <c r="A1147"/>
      <c r="B1147"/>
      <c r="C1147"/>
      <c r="F1147"/>
      <c r="G1147"/>
      <c r="H1147"/>
      <c r="L1147"/>
      <c r="M1147"/>
      <c r="N1147"/>
      <c r="O1147"/>
    </row>
    <row r="1148" spans="1:15" x14ac:dyDescent="0.2">
      <c r="A1148"/>
      <c r="B1148"/>
      <c r="C1148"/>
      <c r="F1148"/>
      <c r="G1148"/>
      <c r="I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M1150"/>
      <c r="N1150"/>
      <c r="O1150"/>
    </row>
    <row r="1151" spans="1:15" x14ac:dyDescent="0.2">
      <c r="A1151"/>
      <c r="B1151"/>
      <c r="C1151"/>
      <c r="F1151"/>
      <c r="G1151"/>
      <c r="H1151"/>
      <c r="J1151"/>
      <c r="K1151"/>
      <c r="L1151"/>
      <c r="M1151"/>
      <c r="N1151"/>
      <c r="O1151"/>
    </row>
    <row r="1152" spans="1:15" x14ac:dyDescent="0.2">
      <c r="A1152"/>
      <c r="B1152"/>
      <c r="C1152"/>
      <c r="F1152"/>
      <c r="G1152"/>
      <c r="L1152"/>
      <c r="M1152"/>
      <c r="N1152"/>
      <c r="O1152"/>
    </row>
    <row r="1153" spans="1:15" x14ac:dyDescent="0.2">
      <c r="A1153"/>
      <c r="B1153"/>
      <c r="C1153"/>
      <c r="F1153"/>
      <c r="G1153"/>
      <c r="H1153"/>
      <c r="L1153"/>
      <c r="M1153"/>
      <c r="N1153"/>
      <c r="O1153"/>
    </row>
    <row r="1154" spans="1:15" x14ac:dyDescent="0.2">
      <c r="A1154"/>
      <c r="B1154"/>
      <c r="C1154"/>
      <c r="F1154"/>
      <c r="G1154"/>
      <c r="J1154"/>
      <c r="K1154"/>
      <c r="L1154"/>
      <c r="M1154"/>
      <c r="N1154"/>
      <c r="O1154"/>
    </row>
    <row r="1155" spans="1:15" x14ac:dyDescent="0.2">
      <c r="A1155"/>
      <c r="B1155"/>
      <c r="C1155"/>
      <c r="F1155"/>
      <c r="G1155"/>
      <c r="L1155"/>
      <c r="M1155"/>
      <c r="N1155"/>
      <c r="O1155"/>
    </row>
    <row r="1156" spans="1:15" x14ac:dyDescent="0.2">
      <c r="A1156"/>
      <c r="B1156"/>
      <c r="C1156"/>
      <c r="F1156"/>
      <c r="G1156"/>
      <c r="L1156"/>
      <c r="M1156"/>
      <c r="N1156"/>
      <c r="O1156"/>
    </row>
    <row r="1157" spans="1:15" x14ac:dyDescent="0.2">
      <c r="A1157"/>
      <c r="B1157"/>
      <c r="C1157"/>
      <c r="F1157"/>
      <c r="G1157"/>
      <c r="H1157"/>
      <c r="L1157"/>
      <c r="M1157"/>
      <c r="N1157"/>
      <c r="O1157"/>
    </row>
    <row r="1158" spans="1:15" x14ac:dyDescent="0.2">
      <c r="A1158"/>
      <c r="B1158"/>
      <c r="C1158"/>
      <c r="F1158"/>
      <c r="G1158"/>
      <c r="H1158"/>
      <c r="I1158"/>
      <c r="L1158"/>
      <c r="M1158"/>
      <c r="N1158"/>
      <c r="O1158"/>
    </row>
    <row r="1159" spans="1:15" x14ac:dyDescent="0.2">
      <c r="A1159"/>
      <c r="B1159"/>
      <c r="C1159"/>
      <c r="F1159"/>
      <c r="G1159"/>
      <c r="L1159"/>
      <c r="M1159"/>
      <c r="N1159"/>
      <c r="O1159"/>
    </row>
    <row r="1160" spans="1:15" x14ac:dyDescent="0.2">
      <c r="A1160"/>
      <c r="B1160"/>
      <c r="C1160"/>
      <c r="F1160"/>
      <c r="G1160"/>
      <c r="L1160"/>
      <c r="M1160"/>
      <c r="N1160"/>
      <c r="O1160"/>
    </row>
    <row r="1161" spans="1:15" x14ac:dyDescent="0.2">
      <c r="A1161"/>
      <c r="B1161"/>
      <c r="C1161"/>
      <c r="F1161"/>
      <c r="G1161"/>
      <c r="H1161"/>
      <c r="I1161"/>
      <c r="L1161"/>
      <c r="M1161"/>
      <c r="N1161"/>
      <c r="O1161"/>
    </row>
    <row r="1162" spans="1:15" x14ac:dyDescent="0.2">
      <c r="A1162"/>
      <c r="B1162"/>
      <c r="C1162"/>
      <c r="F1162"/>
      <c r="G1162"/>
      <c r="J1162"/>
      <c r="K1162"/>
      <c r="L1162"/>
      <c r="M1162"/>
      <c r="N1162"/>
      <c r="O1162"/>
    </row>
    <row r="1163" spans="1:15" x14ac:dyDescent="0.2">
      <c r="A1163"/>
      <c r="B1163"/>
      <c r="C1163"/>
      <c r="F1163"/>
      <c r="G1163"/>
      <c r="I1163"/>
      <c r="L1163"/>
      <c r="M1163"/>
      <c r="N1163"/>
      <c r="O1163"/>
    </row>
    <row r="1164" spans="1:15" x14ac:dyDescent="0.2">
      <c r="A1164"/>
      <c r="B1164"/>
      <c r="C1164"/>
      <c r="F1164"/>
      <c r="G1164"/>
      <c r="H1164"/>
      <c r="I1164"/>
      <c r="L1164"/>
      <c r="M1164"/>
      <c r="N1164"/>
      <c r="O1164"/>
    </row>
    <row r="1165" spans="1:15" x14ac:dyDescent="0.2">
      <c r="A1165"/>
      <c r="B1165"/>
      <c r="C1165"/>
      <c r="F1165"/>
      <c r="G1165"/>
      <c r="H1165"/>
      <c r="J1165"/>
      <c r="K1165"/>
      <c r="L1165"/>
      <c r="M1165"/>
      <c r="N1165"/>
      <c r="O1165"/>
    </row>
    <row r="1166" spans="1:15" x14ac:dyDescent="0.2">
      <c r="A1166"/>
      <c r="B1166"/>
      <c r="C1166"/>
      <c r="F1166"/>
      <c r="G1166"/>
      <c r="H1166"/>
      <c r="J1166"/>
      <c r="L1166"/>
      <c r="M1166"/>
      <c r="N1166"/>
      <c r="O1166"/>
    </row>
    <row r="1167" spans="1:15" x14ac:dyDescent="0.2">
      <c r="A1167"/>
      <c r="B1167"/>
      <c r="C1167"/>
      <c r="F1167"/>
      <c r="G1167"/>
      <c r="H1167"/>
      <c r="I1167"/>
      <c r="L1167"/>
      <c r="M1167"/>
      <c r="N1167"/>
      <c r="O1167"/>
    </row>
    <row r="1168" spans="1:15" x14ac:dyDescent="0.2">
      <c r="A1168"/>
      <c r="B1168"/>
      <c r="C1168"/>
      <c r="F1168"/>
      <c r="G1168"/>
      <c r="H1168"/>
      <c r="I1168"/>
      <c r="L1168"/>
      <c r="M1168"/>
      <c r="N1168"/>
      <c r="O1168"/>
    </row>
    <row r="1169" spans="1:15" x14ac:dyDescent="0.2">
      <c r="A1169"/>
      <c r="B1169"/>
      <c r="C1169"/>
      <c r="F1169"/>
      <c r="G1169"/>
      <c r="H1169"/>
      <c r="I1169"/>
      <c r="L1169"/>
      <c r="M1169"/>
      <c r="N1169"/>
      <c r="O1169"/>
    </row>
    <row r="1170" spans="1:15" x14ac:dyDescent="0.2">
      <c r="A1170"/>
      <c r="B1170"/>
      <c r="C1170"/>
      <c r="F1170"/>
      <c r="G1170"/>
      <c r="H1170"/>
      <c r="I1170"/>
      <c r="L1170"/>
      <c r="M1170"/>
      <c r="N1170"/>
      <c r="O1170"/>
    </row>
    <row r="1171" spans="1:15" x14ac:dyDescent="0.2">
      <c r="A1171"/>
      <c r="B1171"/>
      <c r="C1171"/>
      <c r="F1171"/>
      <c r="G1171"/>
      <c r="I1171"/>
      <c r="L1171"/>
      <c r="M1171"/>
      <c r="N1171"/>
      <c r="O1171"/>
    </row>
    <row r="1172" spans="1:15" x14ac:dyDescent="0.2">
      <c r="A1172"/>
      <c r="B1172"/>
      <c r="C1172"/>
      <c r="F1172"/>
      <c r="G1172"/>
      <c r="H1172"/>
      <c r="I1172"/>
      <c r="L1172"/>
      <c r="N1172"/>
      <c r="O1172"/>
    </row>
    <row r="1173" spans="1:15" x14ac:dyDescent="0.2">
      <c r="A1173"/>
      <c r="B1173"/>
      <c r="C1173"/>
      <c r="F1173"/>
      <c r="G1173"/>
      <c r="I1173"/>
      <c r="L1173"/>
      <c r="M1173"/>
      <c r="N1173"/>
      <c r="O1173"/>
    </row>
    <row r="1174" spans="1:15" x14ac:dyDescent="0.2">
      <c r="A1174"/>
      <c r="B1174"/>
      <c r="C1174"/>
      <c r="F1174"/>
      <c r="G1174"/>
      <c r="I1174"/>
      <c r="L1174"/>
      <c r="M1174"/>
      <c r="N1174"/>
      <c r="O1174"/>
    </row>
    <row r="1175" spans="1:15" x14ac:dyDescent="0.2">
      <c r="A1175"/>
      <c r="B1175"/>
      <c r="C1175"/>
      <c r="F1175"/>
      <c r="G1175"/>
      <c r="J1175"/>
      <c r="K1175"/>
      <c r="L1175"/>
      <c r="M1175"/>
      <c r="N1175"/>
      <c r="O1175"/>
    </row>
    <row r="1176" spans="1:15" x14ac:dyDescent="0.2">
      <c r="A1176"/>
      <c r="B1176"/>
      <c r="C1176"/>
      <c r="F1176"/>
      <c r="G1176"/>
      <c r="I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I1182"/>
      <c r="L1182"/>
      <c r="M1182"/>
      <c r="N1182"/>
      <c r="O1182"/>
    </row>
    <row r="1183" spans="1:15" x14ac:dyDescent="0.2">
      <c r="A1183"/>
      <c r="B1183"/>
      <c r="C1183"/>
      <c r="F1183"/>
      <c r="G1183"/>
      <c r="H1183"/>
      <c r="I1183"/>
      <c r="L1183"/>
      <c r="M1183"/>
      <c r="N1183"/>
      <c r="O1183"/>
    </row>
    <row r="1184" spans="1:15" x14ac:dyDescent="0.2">
      <c r="A1184"/>
      <c r="B1184"/>
      <c r="C1184"/>
      <c r="F1184"/>
      <c r="G1184"/>
      <c r="H1184"/>
      <c r="I1184"/>
      <c r="L1184"/>
      <c r="N1184"/>
      <c r="O1184"/>
    </row>
    <row r="1185" spans="1:15" x14ac:dyDescent="0.2">
      <c r="A1185"/>
      <c r="B1185"/>
      <c r="C1185"/>
      <c r="F1185"/>
      <c r="G1185"/>
      <c r="I1185"/>
      <c r="L1185"/>
      <c r="M1185"/>
      <c r="N1185"/>
      <c r="O1185"/>
    </row>
    <row r="1186" spans="1:15" x14ac:dyDescent="0.2">
      <c r="A1186"/>
      <c r="B1186"/>
      <c r="C1186"/>
      <c r="F1186"/>
      <c r="G1186"/>
      <c r="H1186"/>
      <c r="I1186"/>
      <c r="L1186"/>
      <c r="M1186"/>
      <c r="N1186"/>
      <c r="O1186"/>
    </row>
    <row r="1187" spans="1:15" x14ac:dyDescent="0.2">
      <c r="A1187"/>
      <c r="B1187"/>
      <c r="C1187"/>
      <c r="F1187"/>
      <c r="G1187"/>
      <c r="L1187"/>
      <c r="M1187"/>
      <c r="N1187"/>
      <c r="O1187"/>
    </row>
    <row r="1188" spans="1:15" x14ac:dyDescent="0.2">
      <c r="A1188"/>
      <c r="B1188"/>
      <c r="C1188"/>
      <c r="F1188"/>
      <c r="G1188"/>
      <c r="H1188"/>
      <c r="L1188"/>
      <c r="M1188"/>
      <c r="N1188"/>
      <c r="O1188"/>
    </row>
    <row r="1189" spans="1:15" x14ac:dyDescent="0.2">
      <c r="A1189"/>
      <c r="B1189"/>
      <c r="C1189"/>
      <c r="F1189"/>
      <c r="G1189"/>
      <c r="H1189"/>
      <c r="I1189"/>
      <c r="L1189"/>
      <c r="M1189"/>
      <c r="N1189"/>
      <c r="O1189"/>
    </row>
    <row r="1190" spans="1:15" x14ac:dyDescent="0.2">
      <c r="A1190"/>
      <c r="B1190"/>
      <c r="C1190"/>
      <c r="F1190"/>
      <c r="G1190"/>
      <c r="H1190"/>
      <c r="J1190"/>
      <c r="K1190"/>
      <c r="L1190"/>
      <c r="M1190"/>
      <c r="N1190"/>
      <c r="O1190"/>
    </row>
    <row r="1191" spans="1:15" x14ac:dyDescent="0.2">
      <c r="A1191"/>
      <c r="B1191"/>
      <c r="C1191"/>
      <c r="F1191"/>
      <c r="G1191"/>
      <c r="H1191"/>
      <c r="I1191"/>
      <c r="L1191"/>
      <c r="M1191"/>
      <c r="N1191"/>
      <c r="O1191"/>
    </row>
    <row r="1192" spans="1:15" x14ac:dyDescent="0.2">
      <c r="A1192"/>
      <c r="B1192"/>
      <c r="C1192"/>
      <c r="F1192"/>
      <c r="G1192"/>
      <c r="L1192"/>
      <c r="M1192"/>
      <c r="N1192"/>
      <c r="O1192"/>
    </row>
    <row r="1193" spans="1:15" x14ac:dyDescent="0.2">
      <c r="A1193"/>
      <c r="B1193"/>
      <c r="C1193"/>
      <c r="F1193"/>
      <c r="G1193"/>
      <c r="M1193"/>
      <c r="N1193"/>
      <c r="O1193"/>
    </row>
    <row r="1194" spans="1:15" x14ac:dyDescent="0.2">
      <c r="A1194"/>
      <c r="B1194"/>
      <c r="C1194"/>
      <c r="F1194"/>
      <c r="G1194"/>
      <c r="H1194"/>
      <c r="I1194"/>
      <c r="L1194"/>
      <c r="M1194"/>
      <c r="N1194"/>
      <c r="O1194"/>
    </row>
    <row r="1195" spans="1:15" x14ac:dyDescent="0.2">
      <c r="A1195"/>
      <c r="B1195"/>
      <c r="C1195"/>
      <c r="F1195"/>
      <c r="G1195"/>
      <c r="H1195"/>
      <c r="L1195"/>
      <c r="M1195"/>
      <c r="N1195"/>
      <c r="O1195"/>
    </row>
    <row r="1196" spans="1:15" x14ac:dyDescent="0.2">
      <c r="A1196"/>
      <c r="B1196"/>
      <c r="C1196"/>
      <c r="F1196"/>
      <c r="G1196"/>
      <c r="H1196"/>
      <c r="I1196"/>
      <c r="L1196"/>
      <c r="M1196"/>
      <c r="N1196"/>
      <c r="O1196"/>
    </row>
    <row r="1197" spans="1:15" x14ac:dyDescent="0.2">
      <c r="A1197"/>
      <c r="B1197"/>
      <c r="C1197"/>
      <c r="F1197"/>
      <c r="G1197"/>
      <c r="L1197"/>
      <c r="M1197"/>
      <c r="N1197"/>
      <c r="O1197"/>
    </row>
    <row r="1198" spans="1:15" x14ac:dyDescent="0.2">
      <c r="A1198"/>
      <c r="B1198"/>
      <c r="C1198"/>
      <c r="F1198"/>
      <c r="G1198"/>
      <c r="I1198"/>
      <c r="L1198"/>
      <c r="M1198"/>
      <c r="N1198"/>
      <c r="O1198"/>
    </row>
    <row r="1199" spans="1:15" x14ac:dyDescent="0.2">
      <c r="A1199"/>
      <c r="B1199"/>
      <c r="C1199"/>
      <c r="F1199"/>
      <c r="G1199"/>
      <c r="H1199"/>
      <c r="J1199"/>
      <c r="K1199"/>
      <c r="L1199"/>
      <c r="M1199"/>
      <c r="N1199"/>
      <c r="O1199"/>
    </row>
    <row r="1200" spans="1:15" x14ac:dyDescent="0.2">
      <c r="A1200"/>
      <c r="B1200"/>
      <c r="C1200"/>
      <c r="F1200"/>
      <c r="G1200"/>
      <c r="L1200"/>
      <c r="M1200"/>
      <c r="N1200"/>
      <c r="O1200"/>
    </row>
    <row r="1201" spans="1:15" x14ac:dyDescent="0.2">
      <c r="A1201"/>
      <c r="B1201"/>
      <c r="C1201"/>
      <c r="F1201"/>
      <c r="G1201"/>
      <c r="H1201"/>
      <c r="J1201"/>
      <c r="K1201"/>
      <c r="L1201"/>
      <c r="M1201"/>
      <c r="N1201"/>
      <c r="O1201"/>
    </row>
    <row r="1202" spans="1:15" x14ac:dyDescent="0.2">
      <c r="A1202"/>
      <c r="B1202"/>
      <c r="C1202"/>
      <c r="F1202"/>
      <c r="G1202"/>
      <c r="H1202"/>
      <c r="J1202"/>
      <c r="K1202"/>
      <c r="L1202"/>
      <c r="M1202"/>
      <c r="N1202"/>
      <c r="O1202"/>
    </row>
    <row r="1203" spans="1:15" x14ac:dyDescent="0.2">
      <c r="A1203"/>
      <c r="B1203"/>
      <c r="C1203"/>
      <c r="F1203"/>
      <c r="G1203"/>
      <c r="H1203"/>
      <c r="L1203"/>
      <c r="M1203"/>
      <c r="N1203"/>
      <c r="O1203"/>
    </row>
    <row r="1204" spans="1:15" x14ac:dyDescent="0.2">
      <c r="A1204"/>
      <c r="B1204"/>
      <c r="C1204"/>
      <c r="F1204"/>
      <c r="G1204"/>
      <c r="H1204"/>
      <c r="J1204"/>
      <c r="K1204"/>
      <c r="L1204"/>
      <c r="M1204"/>
      <c r="N1204"/>
      <c r="O1204"/>
    </row>
    <row r="1205" spans="1:15" x14ac:dyDescent="0.2">
      <c r="A1205"/>
      <c r="B1205"/>
      <c r="C1205"/>
      <c r="F1205"/>
      <c r="G1205"/>
      <c r="H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J1210"/>
      <c r="K1210"/>
      <c r="L1210"/>
      <c r="M1210"/>
      <c r="N1210"/>
      <c r="O1210"/>
    </row>
    <row r="1211" spans="1:15" x14ac:dyDescent="0.2">
      <c r="A1211"/>
      <c r="B1211"/>
      <c r="C1211"/>
      <c r="F1211"/>
      <c r="G1211"/>
      <c r="H1211"/>
      <c r="I1211"/>
      <c r="L1211"/>
      <c r="M1211"/>
      <c r="N1211"/>
      <c r="O1211"/>
    </row>
    <row r="1212" spans="1:15" x14ac:dyDescent="0.2">
      <c r="A1212"/>
      <c r="B1212"/>
      <c r="C1212"/>
      <c r="F1212"/>
      <c r="G1212"/>
      <c r="I1212"/>
      <c r="L1212"/>
      <c r="M1212"/>
      <c r="N1212"/>
      <c r="O1212"/>
    </row>
    <row r="1213" spans="1:15" x14ac:dyDescent="0.2">
      <c r="A1213"/>
      <c r="B1213"/>
      <c r="C1213"/>
      <c r="F1213"/>
      <c r="G1213"/>
      <c r="H1213"/>
      <c r="I1213"/>
      <c r="L1213"/>
      <c r="M1213"/>
      <c r="N1213"/>
      <c r="O1213"/>
    </row>
    <row r="1214" spans="1:15" x14ac:dyDescent="0.2">
      <c r="A1214"/>
      <c r="B1214"/>
      <c r="C1214"/>
      <c r="F1214"/>
      <c r="G1214"/>
      <c r="H1214"/>
      <c r="I1214"/>
      <c r="L1214"/>
      <c r="M1214"/>
      <c r="N1214"/>
      <c r="O1214"/>
    </row>
    <row r="1215" spans="1:15" x14ac:dyDescent="0.2">
      <c r="A1215"/>
      <c r="B1215"/>
      <c r="C1215"/>
      <c r="F1215"/>
      <c r="G1215"/>
      <c r="H1215"/>
      <c r="I1215"/>
      <c r="L1215"/>
      <c r="M1215"/>
      <c r="N1215"/>
      <c r="O1215"/>
    </row>
    <row r="1216" spans="1:15" x14ac:dyDescent="0.2">
      <c r="A1216"/>
      <c r="B1216"/>
      <c r="C1216"/>
      <c r="F1216"/>
      <c r="G1216"/>
      <c r="J1216"/>
      <c r="K1216"/>
      <c r="L1216"/>
      <c r="M1216"/>
      <c r="N1216"/>
      <c r="O1216"/>
    </row>
    <row r="1217" spans="1:15" x14ac:dyDescent="0.2">
      <c r="A1217"/>
      <c r="B1217"/>
      <c r="C1217"/>
      <c r="F1217"/>
      <c r="G1217"/>
      <c r="H1217"/>
      <c r="I1217"/>
      <c r="L1217"/>
      <c r="N1217"/>
      <c r="O1217"/>
    </row>
    <row r="1218" spans="1:15" x14ac:dyDescent="0.2">
      <c r="A1218"/>
      <c r="B1218"/>
      <c r="C1218"/>
      <c r="F1218"/>
      <c r="G1218"/>
      <c r="J1218"/>
      <c r="K1218"/>
      <c r="L1218"/>
      <c r="M1218"/>
      <c r="N1218"/>
      <c r="O1218"/>
    </row>
    <row r="1219" spans="1:15" x14ac:dyDescent="0.2">
      <c r="A1219"/>
      <c r="B1219"/>
      <c r="C1219"/>
      <c r="F1219"/>
      <c r="G1219"/>
      <c r="H1219"/>
      <c r="I1219"/>
      <c r="L1219"/>
      <c r="M1219"/>
      <c r="N1219"/>
      <c r="O1219"/>
    </row>
    <row r="1220" spans="1:15" x14ac:dyDescent="0.2">
      <c r="A1220"/>
      <c r="B1220"/>
      <c r="C1220"/>
      <c r="F1220"/>
      <c r="G1220"/>
      <c r="I1220"/>
      <c r="L1220"/>
      <c r="M1220"/>
      <c r="N1220"/>
      <c r="O1220"/>
    </row>
    <row r="1221" spans="1:15" x14ac:dyDescent="0.2">
      <c r="A1221"/>
      <c r="B1221"/>
      <c r="C1221"/>
      <c r="F1221"/>
      <c r="G1221"/>
      <c r="J1221"/>
      <c r="K1221"/>
      <c r="L1221"/>
      <c r="M1221"/>
      <c r="N1221"/>
      <c r="O1221"/>
    </row>
    <row r="1222" spans="1:15" x14ac:dyDescent="0.2">
      <c r="A1222"/>
      <c r="B1222"/>
      <c r="C1222"/>
      <c r="F1222"/>
      <c r="G1222"/>
      <c r="L1222"/>
      <c r="M1222"/>
      <c r="N1222"/>
      <c r="O1222"/>
    </row>
    <row r="1223" spans="1:15" x14ac:dyDescent="0.2">
      <c r="A1223"/>
      <c r="B1223"/>
      <c r="C1223"/>
      <c r="F1223"/>
      <c r="G1223"/>
      <c r="H1223"/>
      <c r="I1223"/>
      <c r="L1223"/>
      <c r="M1223"/>
      <c r="N1223"/>
      <c r="O1223"/>
    </row>
    <row r="1224" spans="1:15" x14ac:dyDescent="0.2">
      <c r="A1224"/>
      <c r="B1224"/>
      <c r="C1224"/>
      <c r="F1224"/>
      <c r="G1224"/>
      <c r="I1224"/>
      <c r="L1224"/>
      <c r="M1224"/>
      <c r="N1224"/>
      <c r="O1224"/>
    </row>
    <row r="1225" spans="1:15" x14ac:dyDescent="0.2">
      <c r="A1225"/>
      <c r="B1225"/>
      <c r="C1225"/>
      <c r="F1225"/>
      <c r="G1225"/>
      <c r="I1225"/>
      <c r="L1225"/>
      <c r="M1225"/>
      <c r="N1225"/>
      <c r="O1225"/>
    </row>
    <row r="1226" spans="1:15" x14ac:dyDescent="0.2">
      <c r="A1226"/>
      <c r="B1226"/>
      <c r="C1226"/>
      <c r="F1226"/>
      <c r="G1226"/>
      <c r="H1226"/>
      <c r="L1226"/>
      <c r="M1226"/>
      <c r="N1226"/>
      <c r="O1226"/>
    </row>
    <row r="1227" spans="1:15" x14ac:dyDescent="0.2">
      <c r="A1227"/>
      <c r="B1227"/>
      <c r="C1227"/>
      <c r="F1227"/>
      <c r="G1227"/>
      <c r="H1227"/>
      <c r="I1227"/>
      <c r="L1227"/>
      <c r="M1227"/>
      <c r="N1227"/>
      <c r="O1227"/>
    </row>
    <row r="1228" spans="1:15" x14ac:dyDescent="0.2">
      <c r="A1228"/>
      <c r="B1228"/>
      <c r="C1228"/>
      <c r="F1228"/>
      <c r="G1228"/>
      <c r="I1228"/>
      <c r="L1228"/>
      <c r="M1228"/>
      <c r="N1228"/>
      <c r="O1228"/>
    </row>
    <row r="1229" spans="1:15" x14ac:dyDescent="0.2">
      <c r="A1229"/>
      <c r="B1229"/>
      <c r="C1229"/>
      <c r="F1229"/>
      <c r="G1229"/>
      <c r="H1229"/>
      <c r="J1229"/>
      <c r="K1229"/>
      <c r="L1229"/>
      <c r="M1229"/>
      <c r="N1229"/>
      <c r="O1229"/>
    </row>
    <row r="1230" spans="1:15" x14ac:dyDescent="0.2">
      <c r="A1230"/>
      <c r="B1230"/>
      <c r="C1230"/>
      <c r="F1230"/>
      <c r="G1230"/>
      <c r="H1230"/>
      <c r="I1230"/>
      <c r="L1230"/>
      <c r="M1230"/>
      <c r="N1230"/>
      <c r="O1230"/>
    </row>
    <row r="1231" spans="1:15" x14ac:dyDescent="0.2">
      <c r="A1231"/>
      <c r="B1231"/>
      <c r="C1231"/>
      <c r="F1231"/>
      <c r="G1231"/>
      <c r="H1231"/>
      <c r="I1231"/>
      <c r="L1231"/>
      <c r="M1231"/>
      <c r="N1231"/>
      <c r="O1231"/>
    </row>
    <row r="1232" spans="1:15" x14ac:dyDescent="0.2">
      <c r="A1232"/>
      <c r="B1232"/>
      <c r="C1232"/>
      <c r="F1232"/>
      <c r="G1232"/>
      <c r="L1232"/>
      <c r="M1232"/>
      <c r="N1232"/>
      <c r="O1232"/>
    </row>
    <row r="1233" spans="1:15" x14ac:dyDescent="0.2">
      <c r="A1233"/>
      <c r="B1233"/>
      <c r="C1233"/>
      <c r="F1233"/>
      <c r="G1233"/>
      <c r="H1233"/>
      <c r="I1233"/>
      <c r="L1233"/>
      <c r="M1233"/>
      <c r="N1233"/>
      <c r="O1233"/>
    </row>
    <row r="1234" spans="1:15" x14ac:dyDescent="0.2">
      <c r="A1234"/>
      <c r="B1234"/>
      <c r="C1234"/>
      <c r="F1234"/>
      <c r="G1234"/>
      <c r="H1234"/>
      <c r="I1234"/>
      <c r="L1234"/>
      <c r="M1234"/>
      <c r="N1234"/>
      <c r="O1234"/>
    </row>
    <row r="1235" spans="1:15" x14ac:dyDescent="0.2">
      <c r="A1235"/>
      <c r="B1235"/>
      <c r="C1235"/>
      <c r="F1235"/>
      <c r="G1235"/>
      <c r="H1235"/>
      <c r="I1235"/>
      <c r="L1235"/>
      <c r="M1235"/>
      <c r="N1235"/>
      <c r="O1235"/>
    </row>
    <row r="1236" spans="1:15" x14ac:dyDescent="0.2">
      <c r="A1236"/>
      <c r="B1236"/>
      <c r="C1236"/>
      <c r="F1236"/>
      <c r="G1236"/>
      <c r="I1236"/>
      <c r="L1236"/>
      <c r="M1236"/>
      <c r="N1236"/>
      <c r="O1236"/>
    </row>
    <row r="1237" spans="1:15" x14ac:dyDescent="0.2">
      <c r="A1237"/>
      <c r="B1237"/>
      <c r="C1237"/>
      <c r="F1237"/>
      <c r="G1237"/>
      <c r="H1237"/>
      <c r="I1237"/>
      <c r="L1237"/>
      <c r="M1237"/>
      <c r="N1237"/>
      <c r="O1237"/>
    </row>
    <row r="1238" spans="1:15" x14ac:dyDescent="0.2">
      <c r="A1238"/>
      <c r="B1238"/>
      <c r="C1238"/>
      <c r="F1238"/>
      <c r="G1238"/>
      <c r="I1238"/>
      <c r="L1238"/>
      <c r="M1238"/>
      <c r="N1238"/>
      <c r="O1238"/>
    </row>
    <row r="1239" spans="1:15" x14ac:dyDescent="0.2">
      <c r="A1239"/>
      <c r="B1239"/>
      <c r="C1239"/>
      <c r="F1239"/>
      <c r="G1239"/>
      <c r="H1239"/>
      <c r="L1239"/>
      <c r="M1239"/>
      <c r="N1239"/>
      <c r="O1239"/>
    </row>
    <row r="1240" spans="1:15" x14ac:dyDescent="0.2">
      <c r="A1240"/>
      <c r="B1240"/>
      <c r="C1240"/>
      <c r="F1240"/>
      <c r="G1240"/>
      <c r="I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H1243"/>
      <c r="L1243"/>
      <c r="M1243"/>
      <c r="N1243"/>
      <c r="O1243"/>
    </row>
    <row r="1244" spans="1:15" x14ac:dyDescent="0.2">
      <c r="A1244"/>
      <c r="B1244"/>
      <c r="C1244"/>
      <c r="F1244"/>
      <c r="G1244"/>
      <c r="H1244"/>
      <c r="M1244"/>
      <c r="N1244"/>
      <c r="O1244"/>
    </row>
    <row r="1245" spans="1:15" x14ac:dyDescent="0.2">
      <c r="A1245"/>
      <c r="B1245"/>
      <c r="C1245"/>
      <c r="F1245"/>
      <c r="G1245"/>
      <c r="H1245"/>
      <c r="J1245"/>
      <c r="K1245"/>
      <c r="L1245"/>
      <c r="M1245"/>
      <c r="N1245"/>
      <c r="O1245"/>
    </row>
    <row r="1246" spans="1:15" x14ac:dyDescent="0.2">
      <c r="A1246"/>
      <c r="B1246"/>
      <c r="C1246"/>
      <c r="F1246"/>
      <c r="G1246"/>
      <c r="H1246"/>
      <c r="I1246"/>
      <c r="L1246"/>
      <c r="M1246"/>
      <c r="N1246"/>
      <c r="O1246"/>
    </row>
    <row r="1247" spans="1:15" x14ac:dyDescent="0.2">
      <c r="A1247"/>
      <c r="B1247"/>
      <c r="C1247"/>
      <c r="F1247"/>
      <c r="G1247"/>
      <c r="H1247"/>
      <c r="I1247"/>
      <c r="L1247"/>
      <c r="M1247"/>
      <c r="N1247"/>
      <c r="O1247"/>
    </row>
    <row r="1248" spans="1:15" x14ac:dyDescent="0.2">
      <c r="A1248"/>
      <c r="B1248"/>
      <c r="C1248"/>
      <c r="F1248"/>
      <c r="G1248"/>
      <c r="L1248"/>
      <c r="M1248"/>
      <c r="N1248"/>
      <c r="O1248"/>
    </row>
    <row r="1249" spans="1:15" x14ac:dyDescent="0.2">
      <c r="A1249"/>
      <c r="B1249"/>
      <c r="C1249"/>
      <c r="F1249"/>
      <c r="G1249"/>
      <c r="H1249"/>
      <c r="I1249"/>
      <c r="J1249"/>
      <c r="K1249"/>
      <c r="L1249"/>
      <c r="M1249"/>
      <c r="N1249"/>
      <c r="O1249"/>
    </row>
    <row r="1250" spans="1:15" x14ac:dyDescent="0.2">
      <c r="A1250"/>
      <c r="B1250"/>
      <c r="C1250"/>
      <c r="F1250"/>
      <c r="G1250"/>
      <c r="H1250"/>
      <c r="I1250"/>
      <c r="L1250"/>
      <c r="M1250"/>
      <c r="N1250"/>
      <c r="O1250"/>
    </row>
    <row r="1251" spans="1:15" x14ac:dyDescent="0.2">
      <c r="A1251"/>
      <c r="B1251"/>
      <c r="C1251"/>
      <c r="F1251"/>
      <c r="G1251"/>
      <c r="H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H1262"/>
      <c r="J1262"/>
      <c r="K1262"/>
      <c r="L1262"/>
      <c r="M1262"/>
      <c r="N1262"/>
      <c r="O1262"/>
    </row>
    <row r="1263" spans="1:15" x14ac:dyDescent="0.2">
      <c r="A1263"/>
      <c r="B1263"/>
      <c r="C1263"/>
      <c r="F1263"/>
      <c r="G1263"/>
      <c r="H1263"/>
      <c r="I1263"/>
      <c r="L1263"/>
      <c r="M1263"/>
      <c r="N1263"/>
      <c r="O1263"/>
    </row>
    <row r="1264" spans="1:15" x14ac:dyDescent="0.2">
      <c r="A1264"/>
      <c r="C1264"/>
      <c r="F1264"/>
      <c r="G1264"/>
      <c r="H1264"/>
      <c r="J1264"/>
      <c r="K1264"/>
      <c r="L1264"/>
      <c r="M1264"/>
      <c r="N1264"/>
      <c r="O1264"/>
    </row>
    <row r="1265" spans="1:15" x14ac:dyDescent="0.2">
      <c r="A1265"/>
      <c r="B1265"/>
      <c r="C1265"/>
      <c r="F1265"/>
      <c r="G1265"/>
      <c r="H1265"/>
      <c r="J1265"/>
      <c r="K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I1267"/>
      <c r="L1267"/>
      <c r="M1267"/>
      <c r="N1267"/>
      <c r="O1267"/>
    </row>
    <row r="1268" spans="1:15" x14ac:dyDescent="0.2">
      <c r="A1268"/>
      <c r="B1268"/>
      <c r="C1268"/>
      <c r="F1268"/>
      <c r="G1268"/>
      <c r="H1268"/>
      <c r="I1268"/>
      <c r="L1268"/>
      <c r="M1268"/>
      <c r="N1268"/>
      <c r="O1268"/>
    </row>
    <row r="1269" spans="1:15" x14ac:dyDescent="0.2">
      <c r="A1269"/>
      <c r="B1269"/>
      <c r="C1269"/>
      <c r="F1269"/>
      <c r="G1269"/>
      <c r="L1269"/>
      <c r="M1269"/>
      <c r="N1269"/>
      <c r="O1269"/>
    </row>
    <row r="1270" spans="1:15" x14ac:dyDescent="0.2">
      <c r="A1270"/>
      <c r="B1270"/>
      <c r="C1270"/>
      <c r="F1270"/>
      <c r="G1270"/>
      <c r="H1270"/>
      <c r="I1270"/>
      <c r="L1270"/>
      <c r="M1270"/>
      <c r="N1270"/>
      <c r="O1270"/>
    </row>
    <row r="1271" spans="1:15" x14ac:dyDescent="0.2">
      <c r="A1271"/>
      <c r="B1271"/>
      <c r="C1271"/>
      <c r="F1271"/>
      <c r="G1271"/>
      <c r="L1271"/>
      <c r="M1271"/>
      <c r="N1271"/>
      <c r="O1271"/>
    </row>
    <row r="1272" spans="1:15" x14ac:dyDescent="0.2">
      <c r="A1272"/>
      <c r="B1272"/>
      <c r="C1272"/>
      <c r="F1272"/>
      <c r="G1272"/>
      <c r="H1272"/>
      <c r="I1272"/>
      <c r="L1272"/>
      <c r="M1272"/>
      <c r="N1272"/>
      <c r="O1272"/>
    </row>
    <row r="1273" spans="1:15" x14ac:dyDescent="0.2">
      <c r="A1273"/>
      <c r="B1273"/>
      <c r="C1273"/>
      <c r="F1273"/>
      <c r="G1273"/>
      <c r="L1273"/>
      <c r="M1273"/>
      <c r="N1273"/>
      <c r="O1273"/>
    </row>
    <row r="1274" spans="1:15" x14ac:dyDescent="0.2">
      <c r="A1274"/>
      <c r="B1274"/>
      <c r="C1274"/>
      <c r="F1274"/>
      <c r="G1274"/>
      <c r="I1274"/>
      <c r="L1274"/>
      <c r="M1274"/>
      <c r="N1274"/>
      <c r="O1274"/>
    </row>
    <row r="1275" spans="1:15" x14ac:dyDescent="0.2">
      <c r="A1275"/>
      <c r="B1275"/>
      <c r="C1275"/>
      <c r="F1275"/>
      <c r="G1275"/>
      <c r="J1275"/>
      <c r="K1275"/>
      <c r="L1275"/>
      <c r="M1275"/>
      <c r="N1275"/>
      <c r="O1275"/>
    </row>
    <row r="1276" spans="1:15" x14ac:dyDescent="0.2">
      <c r="A1276"/>
      <c r="B1276"/>
      <c r="C1276"/>
      <c r="F1276"/>
      <c r="G1276"/>
      <c r="H1276"/>
      <c r="I1276"/>
      <c r="L1276"/>
      <c r="M1276"/>
      <c r="N1276"/>
      <c r="O1276"/>
    </row>
    <row r="1277" spans="1:15" x14ac:dyDescent="0.2">
      <c r="A1277"/>
      <c r="B1277"/>
      <c r="C1277"/>
      <c r="F1277"/>
      <c r="G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I1283"/>
      <c r="L1283"/>
      <c r="M1283"/>
      <c r="N1283"/>
      <c r="O1283"/>
    </row>
    <row r="1284" spans="1:15" x14ac:dyDescent="0.2">
      <c r="A1284"/>
      <c r="B1284"/>
      <c r="C1284"/>
      <c r="F1284"/>
      <c r="G1284"/>
      <c r="H1284"/>
      <c r="I1284"/>
      <c r="L1284"/>
      <c r="M1284"/>
      <c r="N1284"/>
      <c r="O1284"/>
    </row>
    <row r="1285" spans="1:15" x14ac:dyDescent="0.2">
      <c r="A1285"/>
      <c r="B1285"/>
      <c r="C1285"/>
      <c r="F1285"/>
      <c r="G1285"/>
      <c r="L1285"/>
      <c r="M1285"/>
      <c r="N1285"/>
      <c r="O1285"/>
    </row>
    <row r="1286" spans="1:15" x14ac:dyDescent="0.2">
      <c r="A1286"/>
      <c r="B1286"/>
      <c r="C1286"/>
      <c r="F1286"/>
      <c r="G1286"/>
      <c r="H1286"/>
      <c r="I1286"/>
      <c r="L1286"/>
      <c r="M1286"/>
      <c r="N1286"/>
      <c r="O1286"/>
    </row>
    <row r="1287" spans="1:15" x14ac:dyDescent="0.2">
      <c r="A1287"/>
      <c r="B1287"/>
      <c r="C1287"/>
      <c r="F1287"/>
      <c r="G1287"/>
      <c r="I1287"/>
      <c r="L1287"/>
      <c r="M1287"/>
      <c r="N1287"/>
      <c r="O1287"/>
    </row>
    <row r="1288" spans="1:15" x14ac:dyDescent="0.2">
      <c r="A1288"/>
      <c r="B1288"/>
      <c r="C1288"/>
      <c r="F1288"/>
      <c r="G1288"/>
      <c r="H1288"/>
      <c r="I1288"/>
      <c r="L1288"/>
      <c r="M1288"/>
      <c r="N1288"/>
      <c r="O1288"/>
    </row>
    <row r="1289" spans="1:15" x14ac:dyDescent="0.2">
      <c r="A1289"/>
      <c r="B1289"/>
      <c r="C1289"/>
      <c r="F1289"/>
      <c r="G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H1293"/>
      <c r="J1293"/>
      <c r="K1293"/>
      <c r="L1293"/>
      <c r="M1293"/>
      <c r="N1293"/>
      <c r="O1293"/>
    </row>
    <row r="1294" spans="1:15" x14ac:dyDescent="0.2">
      <c r="A1294"/>
      <c r="B1294"/>
      <c r="C1294"/>
      <c r="F1294"/>
      <c r="G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H1297"/>
      <c r="J1297"/>
      <c r="K1297"/>
      <c r="L1297"/>
      <c r="M1297"/>
      <c r="N1297"/>
      <c r="O1297"/>
    </row>
    <row r="1298" spans="1:15" x14ac:dyDescent="0.2">
      <c r="A1298"/>
      <c r="B1298"/>
      <c r="C1298"/>
      <c r="F1298"/>
      <c r="G1298"/>
      <c r="H1298"/>
      <c r="I1298"/>
      <c r="L1298"/>
      <c r="M1298"/>
      <c r="N1298"/>
      <c r="O1298"/>
    </row>
    <row r="1299" spans="1:15" x14ac:dyDescent="0.2">
      <c r="A1299"/>
      <c r="B1299"/>
      <c r="C1299"/>
      <c r="F1299"/>
      <c r="G1299"/>
      <c r="H1299"/>
      <c r="I1299"/>
      <c r="L1299"/>
      <c r="M1299"/>
      <c r="N1299"/>
      <c r="O1299"/>
    </row>
    <row r="1300" spans="1:15" x14ac:dyDescent="0.2">
      <c r="A1300"/>
      <c r="B1300"/>
      <c r="C1300"/>
      <c r="F1300"/>
      <c r="G1300"/>
      <c r="J1300"/>
      <c r="K1300"/>
      <c r="L1300"/>
      <c r="M1300"/>
      <c r="N1300"/>
      <c r="O1300"/>
    </row>
    <row r="1301" spans="1:15" x14ac:dyDescent="0.2">
      <c r="A1301"/>
      <c r="B1301"/>
      <c r="C1301"/>
      <c r="F1301"/>
      <c r="G1301"/>
      <c r="L1301"/>
      <c r="M1301"/>
      <c r="N1301"/>
      <c r="O1301"/>
    </row>
    <row r="1302" spans="1:15" x14ac:dyDescent="0.2">
      <c r="A1302"/>
      <c r="B1302"/>
      <c r="C1302"/>
      <c r="F1302"/>
      <c r="G1302"/>
      <c r="H1302"/>
      <c r="I1302"/>
      <c r="L1302"/>
      <c r="M1302"/>
      <c r="N1302"/>
      <c r="O1302"/>
    </row>
    <row r="1303" spans="1:15" x14ac:dyDescent="0.2">
      <c r="A1303"/>
      <c r="B1303"/>
      <c r="C1303"/>
      <c r="F1303"/>
      <c r="G1303"/>
      <c r="H1303"/>
      <c r="I1303"/>
      <c r="L1303"/>
      <c r="M1303"/>
      <c r="N1303"/>
      <c r="O1303"/>
    </row>
    <row r="1304" spans="1:15" x14ac:dyDescent="0.2">
      <c r="A1304"/>
      <c r="B1304"/>
      <c r="C1304"/>
      <c r="F1304"/>
      <c r="G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J1306"/>
      <c r="K1306"/>
      <c r="L1306"/>
      <c r="M1306"/>
      <c r="N1306"/>
      <c r="O1306"/>
    </row>
    <row r="1307" spans="1:15" x14ac:dyDescent="0.2">
      <c r="A1307"/>
      <c r="B1307"/>
      <c r="C1307"/>
      <c r="F1307"/>
      <c r="G1307"/>
      <c r="H1307"/>
      <c r="I1307"/>
      <c r="L1307"/>
      <c r="M1307"/>
      <c r="N1307"/>
      <c r="O1307"/>
    </row>
    <row r="1308" spans="1:15" x14ac:dyDescent="0.2">
      <c r="A1308"/>
      <c r="B1308"/>
      <c r="C1308"/>
      <c r="F1308"/>
      <c r="G1308"/>
      <c r="I1308"/>
      <c r="L1308"/>
      <c r="M1308"/>
      <c r="N1308"/>
      <c r="O1308"/>
    </row>
    <row r="1309" spans="1:15" x14ac:dyDescent="0.2">
      <c r="A1309"/>
      <c r="B1309"/>
      <c r="C1309"/>
      <c r="F1309"/>
      <c r="G1309"/>
      <c r="H1309"/>
      <c r="I1309"/>
      <c r="L1309"/>
      <c r="M1309"/>
      <c r="N1309"/>
      <c r="O1309"/>
    </row>
    <row r="1310" spans="1:15" x14ac:dyDescent="0.2">
      <c r="A1310"/>
      <c r="B1310"/>
      <c r="C1310"/>
      <c r="F1310"/>
      <c r="G1310"/>
      <c r="I1310"/>
      <c r="L1310"/>
      <c r="M1310"/>
      <c r="N1310"/>
      <c r="O1310"/>
    </row>
    <row r="1311" spans="1:15" x14ac:dyDescent="0.2">
      <c r="A1311"/>
      <c r="B1311"/>
      <c r="C1311"/>
      <c r="F1311"/>
      <c r="G1311"/>
      <c r="I1311"/>
      <c r="L1311"/>
      <c r="M1311"/>
      <c r="N1311"/>
      <c r="O1311"/>
    </row>
    <row r="1312" spans="1:15" x14ac:dyDescent="0.2">
      <c r="A1312"/>
      <c r="B1312"/>
      <c r="C1312"/>
      <c r="F1312"/>
      <c r="G1312"/>
      <c r="H1312"/>
      <c r="I1312"/>
      <c r="L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N1316"/>
      <c r="O1316"/>
    </row>
    <row r="1317" spans="1:15" x14ac:dyDescent="0.2">
      <c r="A1317"/>
      <c r="B1317"/>
      <c r="C1317"/>
      <c r="F1317"/>
      <c r="G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H1320"/>
      <c r="I1320"/>
      <c r="L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I1324"/>
      <c r="L1324"/>
      <c r="M1324"/>
      <c r="N1324"/>
      <c r="O1324"/>
    </row>
    <row r="1325" spans="1:15" x14ac:dyDescent="0.2">
      <c r="A1325"/>
      <c r="B1325"/>
      <c r="C1325"/>
      <c r="F1325"/>
      <c r="G1325"/>
      <c r="I1325"/>
      <c r="L1325"/>
      <c r="M1325"/>
      <c r="N1325"/>
      <c r="O1325"/>
    </row>
    <row r="1326" spans="1:15" x14ac:dyDescent="0.2">
      <c r="A1326"/>
      <c r="B1326"/>
      <c r="C1326"/>
      <c r="F1326"/>
      <c r="G1326"/>
      <c r="I1326"/>
      <c r="L1326"/>
      <c r="M1326"/>
      <c r="N1326"/>
      <c r="O1326"/>
    </row>
    <row r="1327" spans="1:15" x14ac:dyDescent="0.2">
      <c r="A1327"/>
      <c r="B1327"/>
      <c r="C1327"/>
      <c r="F1327"/>
      <c r="G1327"/>
      <c r="M1327"/>
      <c r="N1327"/>
      <c r="O1327"/>
    </row>
    <row r="1328" spans="1:15" x14ac:dyDescent="0.2">
      <c r="A1328"/>
      <c r="B1328"/>
      <c r="C1328"/>
      <c r="F1328"/>
      <c r="G1328"/>
      <c r="H1328"/>
      <c r="I1328"/>
      <c r="L1328"/>
      <c r="M1328"/>
      <c r="N1328"/>
      <c r="O1328"/>
    </row>
    <row r="1329" spans="1:15" x14ac:dyDescent="0.2">
      <c r="A1329"/>
      <c r="B1329"/>
      <c r="C1329"/>
      <c r="F1329"/>
      <c r="G1329"/>
      <c r="H1329"/>
      <c r="I1329"/>
      <c r="L1329"/>
      <c r="M1329"/>
      <c r="N1329"/>
      <c r="O1329"/>
    </row>
    <row r="1330" spans="1:15" x14ac:dyDescent="0.2">
      <c r="A1330"/>
      <c r="B1330"/>
      <c r="C1330"/>
      <c r="F1330"/>
      <c r="G1330"/>
      <c r="H1330"/>
      <c r="I1330"/>
      <c r="L1330"/>
      <c r="M1330"/>
      <c r="N1330"/>
      <c r="O1330"/>
    </row>
    <row r="1331" spans="1:15" x14ac:dyDescent="0.2">
      <c r="A1331"/>
      <c r="B1331"/>
      <c r="C1331"/>
      <c r="F1331"/>
      <c r="G1331"/>
      <c r="H1331"/>
      <c r="I1331"/>
      <c r="L1331"/>
      <c r="M1331"/>
      <c r="N1331"/>
      <c r="O1331"/>
    </row>
    <row r="1332" spans="1:15" x14ac:dyDescent="0.2">
      <c r="A1332"/>
      <c r="B1332"/>
      <c r="C1332"/>
      <c r="F1332"/>
      <c r="G1332"/>
      <c r="H1332"/>
      <c r="J1332"/>
      <c r="K1332"/>
      <c r="L1332"/>
      <c r="M1332"/>
      <c r="N1332"/>
      <c r="O1332"/>
    </row>
    <row r="1333" spans="1:15" x14ac:dyDescent="0.2">
      <c r="A1333"/>
      <c r="B1333"/>
      <c r="C1333"/>
      <c r="F1333"/>
      <c r="G1333"/>
      <c r="H1333"/>
      <c r="J1333"/>
      <c r="K1333"/>
      <c r="L1333"/>
      <c r="M1333"/>
      <c r="N1333"/>
      <c r="O1333"/>
    </row>
    <row r="1334" spans="1:15" x14ac:dyDescent="0.2">
      <c r="A1334"/>
      <c r="B1334"/>
      <c r="C1334"/>
      <c r="F1334"/>
      <c r="G1334"/>
      <c r="L1334"/>
      <c r="M1334"/>
      <c r="N1334"/>
      <c r="O1334"/>
    </row>
    <row r="1335" spans="1:15" x14ac:dyDescent="0.2">
      <c r="A1335"/>
      <c r="B1335"/>
      <c r="C1335"/>
      <c r="F1335"/>
      <c r="G1335"/>
      <c r="H1335"/>
      <c r="J1335"/>
      <c r="K1335"/>
      <c r="L1335"/>
      <c r="M1335"/>
      <c r="N1335"/>
      <c r="O1335"/>
    </row>
    <row r="1336" spans="1:15" x14ac:dyDescent="0.2">
      <c r="A1336"/>
      <c r="B1336"/>
      <c r="C1336"/>
      <c r="F1336"/>
      <c r="G1336"/>
      <c r="L1336"/>
      <c r="M1336"/>
      <c r="N1336"/>
      <c r="O1336"/>
    </row>
    <row r="1337" spans="1:15" x14ac:dyDescent="0.2">
      <c r="A1337"/>
      <c r="B1337"/>
      <c r="C1337"/>
      <c r="F1337"/>
      <c r="G1337"/>
      <c r="H1337"/>
      <c r="J1337"/>
      <c r="K1337"/>
      <c r="L1337"/>
      <c r="M1337"/>
      <c r="N1337"/>
      <c r="O1337"/>
    </row>
    <row r="1338" spans="1:15" x14ac:dyDescent="0.2">
      <c r="A1338"/>
      <c r="B1338"/>
      <c r="C1338"/>
      <c r="F1338"/>
      <c r="G1338"/>
      <c r="J1338"/>
      <c r="K1338"/>
      <c r="L1338"/>
      <c r="M1338"/>
      <c r="N1338"/>
      <c r="O1338"/>
    </row>
    <row r="1339" spans="1:15" x14ac:dyDescent="0.2">
      <c r="A1339"/>
      <c r="B1339"/>
      <c r="C1339"/>
      <c r="F1339"/>
      <c r="G1339"/>
      <c r="H1339"/>
      <c r="I1339"/>
      <c r="L1339"/>
      <c r="N1339"/>
      <c r="O1339"/>
    </row>
    <row r="1340" spans="1:15" x14ac:dyDescent="0.2">
      <c r="A1340"/>
      <c r="B1340"/>
      <c r="C1340"/>
      <c r="F1340"/>
      <c r="G1340"/>
      <c r="I1340"/>
      <c r="L1340"/>
      <c r="M1340"/>
      <c r="N1340"/>
      <c r="O1340"/>
    </row>
    <row r="1341" spans="1:15" x14ac:dyDescent="0.2">
      <c r="A1341"/>
      <c r="B1341"/>
      <c r="C1341"/>
      <c r="F1341"/>
      <c r="G1341"/>
      <c r="L1341"/>
      <c r="M1341"/>
      <c r="N1341"/>
      <c r="O1341"/>
    </row>
    <row r="1342" spans="1:15" x14ac:dyDescent="0.2">
      <c r="A1342"/>
      <c r="B1342"/>
      <c r="C1342"/>
      <c r="F1342"/>
      <c r="G1342"/>
      <c r="H1342"/>
      <c r="I1342"/>
      <c r="L1342"/>
      <c r="M1342"/>
      <c r="N1342"/>
      <c r="O1342"/>
    </row>
    <row r="1343" spans="1:15" x14ac:dyDescent="0.2">
      <c r="A1343"/>
      <c r="B1343"/>
      <c r="C1343"/>
      <c r="F1343"/>
      <c r="G1343"/>
      <c r="L1343"/>
      <c r="M1343"/>
      <c r="N1343"/>
      <c r="O1343"/>
    </row>
    <row r="1344" spans="1:15" x14ac:dyDescent="0.2">
      <c r="A1344"/>
      <c r="B1344"/>
      <c r="C1344"/>
      <c r="F1344"/>
      <c r="G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M1346"/>
      <c r="N1346"/>
      <c r="O1346"/>
    </row>
    <row r="1347" spans="1:15" x14ac:dyDescent="0.2">
      <c r="A1347"/>
      <c r="B1347"/>
      <c r="C1347"/>
      <c r="F1347"/>
      <c r="G1347"/>
      <c r="L1347"/>
      <c r="M1347"/>
      <c r="N1347"/>
      <c r="O1347"/>
    </row>
    <row r="1348" spans="1:15" x14ac:dyDescent="0.2">
      <c r="A1348"/>
      <c r="B1348"/>
      <c r="C1348"/>
      <c r="F1348"/>
      <c r="G1348"/>
      <c r="H1348"/>
      <c r="I1348"/>
      <c r="L1348"/>
      <c r="M1348"/>
      <c r="N1348"/>
      <c r="O1348"/>
    </row>
    <row r="1349" spans="1:15" x14ac:dyDescent="0.2">
      <c r="A1349"/>
      <c r="B1349"/>
      <c r="C1349"/>
      <c r="F1349"/>
      <c r="G1349"/>
      <c r="H1349"/>
      <c r="I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I1352"/>
      <c r="L1352"/>
      <c r="M1352"/>
      <c r="N1352"/>
      <c r="O1352"/>
    </row>
    <row r="1353" spans="1:15" x14ac:dyDescent="0.2">
      <c r="A1353"/>
      <c r="B1353"/>
      <c r="C1353"/>
      <c r="F1353"/>
      <c r="G1353"/>
      <c r="H1353"/>
      <c r="I1353"/>
      <c r="L1353"/>
      <c r="N1353"/>
      <c r="O1353"/>
    </row>
    <row r="1354" spans="1:15" x14ac:dyDescent="0.2">
      <c r="A1354"/>
      <c r="B1354"/>
      <c r="C1354"/>
      <c r="F1354"/>
      <c r="G1354"/>
      <c r="I1354"/>
      <c r="L1354"/>
      <c r="M1354"/>
      <c r="N1354"/>
      <c r="O1354"/>
    </row>
    <row r="1355" spans="1:15" x14ac:dyDescent="0.2">
      <c r="A1355"/>
      <c r="B1355"/>
      <c r="C1355"/>
      <c r="F1355"/>
      <c r="G1355"/>
      <c r="H1355"/>
      <c r="I1355"/>
      <c r="L1355"/>
      <c r="M1355"/>
      <c r="N1355"/>
      <c r="O1355"/>
    </row>
    <row r="1356" spans="1:15" x14ac:dyDescent="0.2">
      <c r="A1356"/>
      <c r="B1356"/>
      <c r="C1356"/>
      <c r="F1356"/>
      <c r="G1356"/>
      <c r="J1356"/>
      <c r="K1356"/>
      <c r="L1356"/>
      <c r="M1356"/>
      <c r="N1356"/>
      <c r="O1356"/>
    </row>
    <row r="1357" spans="1:15" x14ac:dyDescent="0.2">
      <c r="A1357"/>
      <c r="B1357"/>
      <c r="C1357"/>
      <c r="F1357"/>
      <c r="G1357"/>
      <c r="H1357"/>
      <c r="I1357"/>
      <c r="L1357"/>
      <c r="M1357"/>
      <c r="N1357"/>
      <c r="O1357"/>
    </row>
    <row r="1358" spans="1:15" x14ac:dyDescent="0.2">
      <c r="A1358"/>
      <c r="B1358"/>
      <c r="C1358"/>
      <c r="F1358"/>
      <c r="G1358"/>
      <c r="H1358"/>
      <c r="I1358"/>
      <c r="L1358"/>
      <c r="M1358"/>
      <c r="N1358"/>
      <c r="O1358"/>
    </row>
    <row r="1359" spans="1:15" x14ac:dyDescent="0.2">
      <c r="A1359"/>
      <c r="B1359"/>
      <c r="C1359"/>
      <c r="F1359"/>
      <c r="G1359"/>
      <c r="I1359"/>
      <c r="L1359"/>
      <c r="M1359"/>
      <c r="N1359"/>
      <c r="O1359"/>
    </row>
    <row r="1360" spans="1:15" x14ac:dyDescent="0.2">
      <c r="A1360"/>
      <c r="B1360"/>
      <c r="C1360"/>
      <c r="F1360"/>
      <c r="G1360"/>
      <c r="I1360"/>
      <c r="L1360"/>
      <c r="M1360"/>
      <c r="N1360"/>
      <c r="O1360"/>
    </row>
    <row r="1361" spans="1:15" x14ac:dyDescent="0.2">
      <c r="A1361"/>
      <c r="B1361"/>
      <c r="C1361"/>
      <c r="F1361"/>
      <c r="G1361"/>
      <c r="H1361"/>
      <c r="I1361"/>
      <c r="J1361"/>
      <c r="K1361"/>
      <c r="L1361"/>
      <c r="M1361"/>
      <c r="N1361"/>
      <c r="O1361"/>
    </row>
    <row r="1362" spans="1:15" x14ac:dyDescent="0.2">
      <c r="A1362"/>
      <c r="B1362"/>
      <c r="C1362"/>
      <c r="F1362"/>
      <c r="G1362"/>
      <c r="L1362"/>
      <c r="M1362"/>
      <c r="N1362"/>
      <c r="O1362"/>
    </row>
    <row r="1363" spans="1:15" x14ac:dyDescent="0.2">
      <c r="A1363"/>
      <c r="B1363"/>
      <c r="C1363"/>
      <c r="F1363"/>
      <c r="G1363"/>
      <c r="H1363"/>
      <c r="M1363"/>
      <c r="N1363"/>
      <c r="O1363"/>
    </row>
    <row r="1364" spans="1:15" x14ac:dyDescent="0.2">
      <c r="A1364"/>
      <c r="B1364"/>
      <c r="C1364"/>
      <c r="F1364"/>
      <c r="G1364"/>
      <c r="H1364"/>
      <c r="I1364"/>
      <c r="L1364"/>
      <c r="M1364"/>
      <c r="N1364"/>
      <c r="O1364"/>
    </row>
    <row r="1365" spans="1:15" x14ac:dyDescent="0.2">
      <c r="A1365"/>
      <c r="B1365"/>
      <c r="C1365"/>
      <c r="F1365"/>
      <c r="G1365"/>
      <c r="H1365"/>
      <c r="I1365"/>
      <c r="L1365"/>
      <c r="M1365"/>
      <c r="N1365"/>
      <c r="O1365"/>
    </row>
    <row r="1366" spans="1:15" x14ac:dyDescent="0.2">
      <c r="A1366"/>
      <c r="B1366"/>
      <c r="C1366"/>
      <c r="F1366"/>
      <c r="G1366"/>
      <c r="I1366"/>
      <c r="L1366"/>
      <c r="M1366"/>
      <c r="N1366"/>
      <c r="O1366"/>
    </row>
    <row r="1367" spans="1:15" x14ac:dyDescent="0.2">
      <c r="A1367"/>
      <c r="B1367"/>
      <c r="C1367"/>
      <c r="F1367"/>
      <c r="G1367"/>
      <c r="I1367"/>
      <c r="L1367"/>
      <c r="M1367"/>
      <c r="N1367"/>
      <c r="O1367"/>
    </row>
    <row r="1368" spans="1:15" x14ac:dyDescent="0.2">
      <c r="A1368"/>
      <c r="B1368"/>
      <c r="C1368"/>
      <c r="F1368"/>
      <c r="G1368"/>
      <c r="H1368"/>
      <c r="I1368"/>
      <c r="L1368"/>
      <c r="M1368"/>
      <c r="N1368"/>
      <c r="O1368"/>
    </row>
    <row r="1369" spans="1:15" x14ac:dyDescent="0.2">
      <c r="A1369"/>
      <c r="B1369"/>
      <c r="C1369"/>
      <c r="F1369"/>
      <c r="G1369"/>
      <c r="I1369"/>
      <c r="L1369"/>
      <c r="M1369"/>
      <c r="N1369"/>
      <c r="O1369"/>
    </row>
    <row r="1370" spans="1:15" x14ac:dyDescent="0.2">
      <c r="A1370"/>
      <c r="B1370"/>
      <c r="C1370"/>
      <c r="F1370"/>
      <c r="G1370"/>
      <c r="I1370"/>
      <c r="L1370"/>
      <c r="M1370"/>
      <c r="N1370"/>
      <c r="O1370"/>
    </row>
    <row r="1371" spans="1:15" x14ac:dyDescent="0.2">
      <c r="A1371"/>
      <c r="B1371"/>
      <c r="C1371"/>
      <c r="F1371"/>
      <c r="G1371"/>
      <c r="I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I1374"/>
      <c r="L1374"/>
      <c r="M1374"/>
      <c r="N1374"/>
      <c r="O1374"/>
    </row>
    <row r="1375" spans="1:15" x14ac:dyDescent="0.2">
      <c r="A1375"/>
      <c r="B1375"/>
      <c r="C1375"/>
      <c r="F1375"/>
      <c r="G1375"/>
      <c r="H1375"/>
      <c r="I1375"/>
      <c r="L1375"/>
      <c r="M1375"/>
      <c r="N1375"/>
      <c r="O1375"/>
    </row>
    <row r="1376" spans="1:15" x14ac:dyDescent="0.2">
      <c r="A1376"/>
      <c r="B1376"/>
      <c r="C1376"/>
      <c r="F1376"/>
      <c r="G1376"/>
      <c r="J1376"/>
      <c r="K1376"/>
      <c r="L1376"/>
      <c r="M1376"/>
      <c r="N1376"/>
      <c r="O1376"/>
    </row>
    <row r="1377" spans="1:15" x14ac:dyDescent="0.2">
      <c r="A1377"/>
      <c r="B1377"/>
      <c r="C1377"/>
      <c r="F1377"/>
      <c r="G1377"/>
      <c r="H1377"/>
      <c r="I1377"/>
      <c r="L1377"/>
      <c r="M1377"/>
      <c r="N1377"/>
      <c r="O1377"/>
    </row>
    <row r="1378" spans="1:15" x14ac:dyDescent="0.2">
      <c r="A1378"/>
      <c r="B1378"/>
      <c r="C1378"/>
      <c r="F1378"/>
      <c r="G1378"/>
      <c r="I1378"/>
      <c r="L1378"/>
      <c r="M1378"/>
      <c r="N1378"/>
      <c r="O1378"/>
    </row>
    <row r="1379" spans="1:15" x14ac:dyDescent="0.2">
      <c r="A1379"/>
      <c r="B1379"/>
      <c r="C1379"/>
      <c r="F1379"/>
      <c r="G1379"/>
      <c r="L1379"/>
      <c r="M1379"/>
      <c r="N1379"/>
      <c r="O1379"/>
    </row>
    <row r="1380" spans="1:15" x14ac:dyDescent="0.2">
      <c r="A1380"/>
      <c r="B1380"/>
      <c r="C1380"/>
      <c r="F1380"/>
      <c r="G1380"/>
      <c r="H1380"/>
      <c r="I1380"/>
      <c r="L1380"/>
      <c r="M1380"/>
      <c r="N1380"/>
      <c r="O1380"/>
    </row>
    <row r="1381" spans="1:15" x14ac:dyDescent="0.2">
      <c r="A1381"/>
      <c r="B1381"/>
      <c r="C1381"/>
      <c r="F1381"/>
      <c r="G1381"/>
      <c r="J1381"/>
      <c r="K1381"/>
      <c r="L1381"/>
      <c r="M1381"/>
      <c r="N1381"/>
      <c r="O1381"/>
    </row>
    <row r="1382" spans="1:15" x14ac:dyDescent="0.2">
      <c r="A1382"/>
      <c r="B1382"/>
      <c r="C1382"/>
      <c r="F1382"/>
      <c r="G1382"/>
      <c r="H1382"/>
      <c r="I1382"/>
      <c r="L1382"/>
      <c r="M1382"/>
      <c r="N1382"/>
      <c r="O1382"/>
    </row>
    <row r="1383" spans="1:15" x14ac:dyDescent="0.2">
      <c r="A1383"/>
      <c r="B1383"/>
      <c r="C1383"/>
      <c r="F1383"/>
      <c r="G1383"/>
      <c r="H1383"/>
      <c r="I1383"/>
      <c r="L1383"/>
      <c r="M1383"/>
      <c r="N1383"/>
      <c r="O1383"/>
    </row>
    <row r="1384" spans="1:15" x14ac:dyDescent="0.2">
      <c r="A1384"/>
      <c r="B1384"/>
      <c r="C1384"/>
      <c r="F1384"/>
      <c r="G1384"/>
      <c r="I1384"/>
      <c r="L1384"/>
      <c r="M1384"/>
      <c r="N1384"/>
      <c r="O1384"/>
    </row>
    <row r="1385" spans="1:15" x14ac:dyDescent="0.2">
      <c r="A1385"/>
      <c r="B1385"/>
      <c r="C1385"/>
      <c r="F1385"/>
      <c r="G1385"/>
      <c r="L1385"/>
      <c r="M1385"/>
      <c r="N1385"/>
      <c r="O1385"/>
    </row>
    <row r="1386" spans="1:15" x14ac:dyDescent="0.2">
      <c r="A1386"/>
      <c r="B1386"/>
      <c r="C1386"/>
      <c r="F1386"/>
      <c r="G1386"/>
      <c r="I1386"/>
      <c r="L1386"/>
      <c r="M1386"/>
      <c r="N1386"/>
      <c r="O1386"/>
    </row>
    <row r="1387" spans="1:15" x14ac:dyDescent="0.2">
      <c r="A1387"/>
      <c r="B1387"/>
      <c r="C1387"/>
      <c r="F1387"/>
      <c r="G1387"/>
      <c r="H1387"/>
      <c r="I1387"/>
      <c r="L1387"/>
      <c r="M1387"/>
      <c r="N1387"/>
      <c r="O1387"/>
    </row>
    <row r="1388" spans="1:15" x14ac:dyDescent="0.2">
      <c r="A1388"/>
      <c r="B1388"/>
      <c r="C1388"/>
      <c r="F1388"/>
      <c r="G1388"/>
      <c r="I1388"/>
      <c r="L1388"/>
      <c r="M1388"/>
      <c r="N1388"/>
      <c r="O1388"/>
    </row>
    <row r="1389" spans="1:15" x14ac:dyDescent="0.2">
      <c r="A1389"/>
      <c r="B1389"/>
      <c r="C1389"/>
      <c r="F1389"/>
      <c r="G1389"/>
      <c r="H1389"/>
      <c r="I1389"/>
      <c r="L1389"/>
      <c r="M1389"/>
      <c r="N1389"/>
      <c r="O1389"/>
    </row>
    <row r="1390" spans="1:15" x14ac:dyDescent="0.2">
      <c r="A1390"/>
      <c r="B1390"/>
      <c r="C1390"/>
      <c r="F1390"/>
      <c r="G1390"/>
      <c r="L1390"/>
      <c r="M1390"/>
      <c r="N1390"/>
      <c r="O1390"/>
    </row>
    <row r="1391" spans="1:15" x14ac:dyDescent="0.2">
      <c r="A1391"/>
      <c r="B1391"/>
      <c r="C1391"/>
      <c r="F1391"/>
      <c r="G1391"/>
      <c r="H1391"/>
      <c r="J1391"/>
      <c r="K1391"/>
      <c r="L1391"/>
      <c r="M1391"/>
      <c r="N1391"/>
      <c r="O1391"/>
    </row>
    <row r="1392" spans="1:15" x14ac:dyDescent="0.2">
      <c r="A1392"/>
      <c r="B1392"/>
      <c r="C1392"/>
      <c r="F1392"/>
      <c r="G1392"/>
      <c r="H1392"/>
      <c r="I1392"/>
      <c r="L1392"/>
      <c r="M1392"/>
      <c r="N1392"/>
      <c r="O1392"/>
    </row>
    <row r="1393" spans="1:15" x14ac:dyDescent="0.2">
      <c r="A1393"/>
      <c r="B1393"/>
      <c r="C1393"/>
      <c r="F1393"/>
      <c r="G1393"/>
      <c r="H1393"/>
      <c r="I1393"/>
      <c r="L1393"/>
      <c r="M1393"/>
      <c r="N1393"/>
      <c r="O1393"/>
    </row>
    <row r="1394" spans="1:15" x14ac:dyDescent="0.2">
      <c r="A1394"/>
      <c r="B1394"/>
      <c r="C1394"/>
      <c r="F1394"/>
      <c r="G1394"/>
      <c r="I1394"/>
      <c r="L1394"/>
      <c r="M1394"/>
      <c r="N1394"/>
      <c r="O1394"/>
    </row>
    <row r="1395" spans="1:15" x14ac:dyDescent="0.2">
      <c r="A1395"/>
      <c r="B1395"/>
      <c r="C1395"/>
      <c r="F1395"/>
      <c r="G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H1398"/>
      <c r="J1398"/>
      <c r="K1398"/>
      <c r="L1398"/>
      <c r="N1398"/>
      <c r="O1398"/>
    </row>
    <row r="1399" spans="1:15" x14ac:dyDescent="0.2">
      <c r="A1399"/>
      <c r="B1399"/>
      <c r="C1399"/>
      <c r="F1399"/>
      <c r="G1399"/>
      <c r="L1399"/>
      <c r="M1399"/>
      <c r="N1399"/>
      <c r="O1399"/>
    </row>
    <row r="1400" spans="1:15" x14ac:dyDescent="0.2">
      <c r="A1400"/>
      <c r="B1400"/>
      <c r="C1400"/>
      <c r="F1400"/>
      <c r="G1400"/>
      <c r="H1400"/>
      <c r="I1400"/>
      <c r="L1400"/>
      <c r="M1400"/>
      <c r="N1400"/>
      <c r="O1400"/>
    </row>
    <row r="1401" spans="1:15" x14ac:dyDescent="0.2">
      <c r="A1401"/>
      <c r="B1401"/>
      <c r="C1401"/>
      <c r="F1401"/>
      <c r="G1401"/>
      <c r="H1401"/>
      <c r="I1401"/>
      <c r="L1401"/>
      <c r="M1401"/>
      <c r="N1401"/>
      <c r="O1401"/>
    </row>
    <row r="1402" spans="1:15" x14ac:dyDescent="0.2">
      <c r="A1402"/>
      <c r="B1402"/>
      <c r="C1402"/>
      <c r="F1402"/>
      <c r="G1402"/>
      <c r="L1402"/>
      <c r="M1402"/>
      <c r="N1402"/>
      <c r="O1402"/>
    </row>
    <row r="1403" spans="1:15" x14ac:dyDescent="0.2">
      <c r="A1403"/>
      <c r="B1403"/>
      <c r="C1403"/>
      <c r="F1403"/>
      <c r="G1403"/>
      <c r="L1403"/>
      <c r="M1403"/>
      <c r="N1403"/>
      <c r="O1403"/>
    </row>
    <row r="1404" spans="1:15" x14ac:dyDescent="0.2">
      <c r="A1404"/>
      <c r="B1404"/>
      <c r="C1404"/>
      <c r="F1404"/>
      <c r="G1404"/>
      <c r="J1404"/>
      <c r="K1404"/>
      <c r="L1404"/>
      <c r="M1404"/>
      <c r="N1404"/>
      <c r="O1404"/>
    </row>
    <row r="1405" spans="1:15" x14ac:dyDescent="0.2">
      <c r="A1405"/>
      <c r="B1405"/>
      <c r="C1405"/>
      <c r="F1405"/>
      <c r="G1405"/>
      <c r="H1405"/>
      <c r="I1405"/>
      <c r="L1405"/>
      <c r="M1405"/>
      <c r="N1405"/>
      <c r="O1405"/>
    </row>
    <row r="1406" spans="1:15" x14ac:dyDescent="0.2">
      <c r="A1406"/>
      <c r="B1406"/>
      <c r="C1406"/>
      <c r="F1406"/>
      <c r="G1406"/>
      <c r="I1406"/>
      <c r="L1406"/>
      <c r="M1406"/>
      <c r="N1406"/>
      <c r="O1406"/>
    </row>
    <row r="1407" spans="1:15" x14ac:dyDescent="0.2">
      <c r="A1407"/>
      <c r="B1407"/>
      <c r="C1407"/>
      <c r="F1407"/>
      <c r="G1407"/>
      <c r="H1407"/>
      <c r="J1407"/>
      <c r="K1407"/>
      <c r="L1407"/>
      <c r="M1407"/>
      <c r="N1407"/>
      <c r="O1407"/>
    </row>
    <row r="1408" spans="1:15" x14ac:dyDescent="0.2">
      <c r="A1408"/>
      <c r="B1408"/>
      <c r="C1408"/>
      <c r="F1408"/>
      <c r="G1408"/>
      <c r="I1408"/>
      <c r="L1408"/>
      <c r="M1408"/>
      <c r="N1408"/>
      <c r="O1408"/>
    </row>
    <row r="1409" spans="1:15" x14ac:dyDescent="0.2">
      <c r="A1409"/>
      <c r="B1409"/>
      <c r="C1409"/>
      <c r="F1409"/>
      <c r="G1409"/>
      <c r="H1409"/>
      <c r="I1409"/>
      <c r="L1409"/>
      <c r="M1409"/>
      <c r="N1409"/>
      <c r="O1409"/>
    </row>
    <row r="1410" spans="1:15" x14ac:dyDescent="0.2">
      <c r="A1410"/>
      <c r="B1410"/>
      <c r="C1410"/>
      <c r="F1410"/>
      <c r="G1410"/>
      <c r="H1410"/>
      <c r="I1410"/>
      <c r="L1410"/>
      <c r="M1410"/>
      <c r="N1410"/>
      <c r="O1410"/>
    </row>
    <row r="1411" spans="1:15" x14ac:dyDescent="0.2">
      <c r="A1411"/>
      <c r="B1411"/>
      <c r="C1411"/>
      <c r="F1411"/>
      <c r="G1411"/>
      <c r="I1411"/>
      <c r="L1411"/>
      <c r="M1411"/>
      <c r="N1411"/>
      <c r="O1411"/>
    </row>
    <row r="1412" spans="1:15" x14ac:dyDescent="0.2">
      <c r="A1412"/>
      <c r="B1412"/>
      <c r="C1412"/>
      <c r="F1412"/>
      <c r="G1412"/>
      <c r="H1412"/>
      <c r="L1412"/>
      <c r="M1412"/>
      <c r="N1412"/>
      <c r="O1412"/>
    </row>
    <row r="1413" spans="1:15" x14ac:dyDescent="0.2">
      <c r="A1413"/>
      <c r="B1413"/>
      <c r="C1413"/>
      <c r="F1413"/>
      <c r="G1413"/>
      <c r="H1413"/>
      <c r="I1413"/>
      <c r="L1413"/>
      <c r="M1413"/>
      <c r="N1413"/>
      <c r="O1413"/>
    </row>
    <row r="1414" spans="1:15" x14ac:dyDescent="0.2">
      <c r="A1414"/>
      <c r="B1414"/>
      <c r="C1414"/>
      <c r="F1414"/>
      <c r="G1414"/>
      <c r="H1414"/>
      <c r="M1414"/>
      <c r="N1414"/>
      <c r="O1414"/>
    </row>
    <row r="1415" spans="1:15" x14ac:dyDescent="0.2">
      <c r="A1415"/>
      <c r="B1415"/>
      <c r="C1415"/>
      <c r="F1415"/>
      <c r="G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I1419"/>
      <c r="L1419"/>
      <c r="M1419"/>
      <c r="N1419"/>
      <c r="O1419"/>
    </row>
    <row r="1420" spans="1:15" x14ac:dyDescent="0.2">
      <c r="A1420"/>
      <c r="B1420"/>
      <c r="C1420"/>
      <c r="F1420"/>
      <c r="G1420"/>
      <c r="H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L1425"/>
      <c r="M1425"/>
      <c r="N1425"/>
      <c r="O1425"/>
    </row>
    <row r="1426" spans="1:15" x14ac:dyDescent="0.2">
      <c r="A1426"/>
      <c r="B1426"/>
      <c r="C1426"/>
      <c r="F1426"/>
      <c r="G1426"/>
      <c r="I1426"/>
      <c r="L1426"/>
      <c r="M1426"/>
      <c r="N1426"/>
      <c r="O1426"/>
    </row>
    <row r="1427" spans="1:15" x14ac:dyDescent="0.2">
      <c r="A1427"/>
      <c r="B1427"/>
      <c r="C1427"/>
      <c r="F1427"/>
      <c r="G1427"/>
      <c r="H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M1429"/>
      <c r="N1429"/>
      <c r="O1429"/>
    </row>
    <row r="1430" spans="1:15" x14ac:dyDescent="0.2">
      <c r="A1430"/>
      <c r="B1430"/>
      <c r="C1430"/>
      <c r="F1430"/>
      <c r="G1430"/>
      <c r="L1430"/>
      <c r="M1430"/>
      <c r="N1430"/>
      <c r="O1430"/>
    </row>
    <row r="1431" spans="1:15" x14ac:dyDescent="0.2">
      <c r="A1431"/>
      <c r="B1431"/>
      <c r="C1431"/>
      <c r="F1431"/>
      <c r="G1431"/>
      <c r="L1431"/>
      <c r="M1431"/>
      <c r="N1431"/>
      <c r="O1431"/>
    </row>
    <row r="1432" spans="1:15" x14ac:dyDescent="0.2">
      <c r="A1432"/>
      <c r="B1432"/>
      <c r="C1432"/>
      <c r="F1432"/>
      <c r="G1432"/>
      <c r="L1432"/>
      <c r="M1432"/>
      <c r="N1432"/>
      <c r="O1432"/>
    </row>
    <row r="1433" spans="1:15" x14ac:dyDescent="0.2">
      <c r="A1433"/>
      <c r="B1433"/>
      <c r="C1433"/>
      <c r="F1433"/>
      <c r="G1433"/>
      <c r="J1433"/>
      <c r="K1433"/>
      <c r="L1433"/>
      <c r="M1433"/>
      <c r="N1433"/>
      <c r="O1433"/>
    </row>
    <row r="1434" spans="1:15" x14ac:dyDescent="0.2">
      <c r="A1434"/>
      <c r="B1434"/>
      <c r="C1434"/>
      <c r="F1434"/>
      <c r="G1434"/>
      <c r="L1434"/>
      <c r="M1434"/>
      <c r="N1434"/>
      <c r="O1434"/>
    </row>
    <row r="1435" spans="1:15" x14ac:dyDescent="0.2">
      <c r="A1435"/>
      <c r="B1435"/>
      <c r="C1435"/>
      <c r="F1435"/>
      <c r="G1435"/>
      <c r="I1435"/>
      <c r="L1435"/>
      <c r="M1435"/>
      <c r="N1435"/>
      <c r="O1435"/>
    </row>
    <row r="1436" spans="1:15" x14ac:dyDescent="0.2">
      <c r="A1436"/>
      <c r="B1436"/>
      <c r="C1436"/>
      <c r="F1436"/>
      <c r="G1436"/>
      <c r="H1436"/>
      <c r="I1436"/>
      <c r="L1436"/>
      <c r="M1436"/>
      <c r="N1436"/>
      <c r="O1436"/>
    </row>
    <row r="1437" spans="1:15" x14ac:dyDescent="0.2">
      <c r="A1437"/>
      <c r="B1437"/>
      <c r="C1437"/>
      <c r="F1437"/>
      <c r="G1437"/>
      <c r="L1437"/>
      <c r="M1437"/>
      <c r="N1437"/>
      <c r="O1437"/>
    </row>
    <row r="1438" spans="1:15" x14ac:dyDescent="0.2">
      <c r="A1438"/>
      <c r="B1438"/>
      <c r="C1438"/>
      <c r="F1438"/>
      <c r="G1438"/>
      <c r="I1438"/>
      <c r="L1438"/>
      <c r="M1438"/>
      <c r="N1438"/>
      <c r="O1438"/>
    </row>
    <row r="1439" spans="1:15" x14ac:dyDescent="0.2">
      <c r="A1439"/>
      <c r="B1439"/>
      <c r="C1439"/>
      <c r="F1439"/>
      <c r="G1439"/>
      <c r="H1439"/>
      <c r="J1439"/>
      <c r="K1439"/>
      <c r="L1439"/>
      <c r="M1439"/>
      <c r="N1439"/>
      <c r="O1439"/>
    </row>
    <row r="1440" spans="1:15" x14ac:dyDescent="0.2">
      <c r="A1440"/>
      <c r="B1440"/>
      <c r="C1440"/>
      <c r="F1440"/>
      <c r="G1440"/>
      <c r="H1440"/>
      <c r="I1440"/>
      <c r="L1440"/>
      <c r="M1440"/>
      <c r="N1440"/>
      <c r="O1440"/>
    </row>
    <row r="1441" spans="1:15" x14ac:dyDescent="0.2">
      <c r="A1441"/>
      <c r="B1441"/>
      <c r="C1441"/>
      <c r="F1441"/>
      <c r="G1441"/>
      <c r="H1441"/>
      <c r="I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M1443"/>
      <c r="N1443"/>
      <c r="O1443"/>
    </row>
    <row r="1444" spans="1:15" x14ac:dyDescent="0.2">
      <c r="A1444"/>
      <c r="B1444"/>
      <c r="C1444"/>
      <c r="F1444"/>
      <c r="G1444"/>
      <c r="I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N1446"/>
      <c r="O1446"/>
    </row>
    <row r="1447" spans="1:15" x14ac:dyDescent="0.2">
      <c r="A1447"/>
      <c r="B1447"/>
      <c r="C1447"/>
      <c r="F1447"/>
      <c r="G1447"/>
      <c r="J1447"/>
      <c r="K1447"/>
      <c r="L1447"/>
      <c r="M1447"/>
      <c r="N1447"/>
      <c r="O1447"/>
    </row>
    <row r="1448" spans="1:15" x14ac:dyDescent="0.2">
      <c r="A1448"/>
      <c r="B1448"/>
      <c r="C1448"/>
      <c r="F1448"/>
      <c r="G1448"/>
      <c r="H1448"/>
      <c r="J1448"/>
      <c r="K1448"/>
      <c r="L1448"/>
      <c r="M1448"/>
      <c r="N1448"/>
      <c r="O1448"/>
    </row>
    <row r="1449" spans="1:15" x14ac:dyDescent="0.2">
      <c r="A1449"/>
      <c r="B1449"/>
      <c r="C1449"/>
      <c r="F1449"/>
      <c r="G1449"/>
      <c r="L1449"/>
      <c r="M1449"/>
      <c r="N1449"/>
      <c r="O1449"/>
    </row>
    <row r="1450" spans="1:15" x14ac:dyDescent="0.2">
      <c r="A1450"/>
      <c r="B1450"/>
      <c r="C1450"/>
      <c r="F1450"/>
      <c r="G1450"/>
      <c r="H1450"/>
      <c r="I1450"/>
      <c r="J1450"/>
      <c r="K1450"/>
      <c r="L1450"/>
      <c r="M1450"/>
      <c r="N1450"/>
      <c r="O1450"/>
    </row>
    <row r="1451" spans="1:15" x14ac:dyDescent="0.2">
      <c r="A1451"/>
      <c r="B1451"/>
      <c r="C1451"/>
      <c r="F1451"/>
      <c r="G1451"/>
      <c r="H1451"/>
      <c r="J1451"/>
      <c r="K1451"/>
      <c r="M1451"/>
      <c r="N1451"/>
      <c r="O1451"/>
    </row>
    <row r="1452" spans="1:15" x14ac:dyDescent="0.2">
      <c r="A1452"/>
      <c r="B1452"/>
      <c r="C1452"/>
      <c r="F1452"/>
      <c r="G1452"/>
      <c r="H1452"/>
      <c r="J1452"/>
      <c r="K1452"/>
      <c r="L1452"/>
      <c r="M1452"/>
      <c r="N1452"/>
      <c r="O1452"/>
    </row>
    <row r="1453" spans="1:15" x14ac:dyDescent="0.2">
      <c r="A1453"/>
      <c r="B1453"/>
      <c r="C1453"/>
      <c r="F1453"/>
      <c r="G1453"/>
      <c r="J1453"/>
      <c r="K1453"/>
      <c r="L1453"/>
      <c r="M1453"/>
      <c r="N1453"/>
      <c r="O1453"/>
    </row>
    <row r="1454" spans="1:15" x14ac:dyDescent="0.2">
      <c r="A1454"/>
      <c r="B1454"/>
      <c r="C1454"/>
      <c r="F1454"/>
      <c r="G1454"/>
      <c r="H1454"/>
      <c r="J1454"/>
      <c r="K1454"/>
      <c r="L1454"/>
      <c r="M1454"/>
      <c r="N1454"/>
      <c r="O1454"/>
    </row>
    <row r="1455" spans="1:15" x14ac:dyDescent="0.2">
      <c r="A1455"/>
      <c r="B1455"/>
      <c r="C1455"/>
      <c r="F1455"/>
      <c r="G1455"/>
      <c r="H1455"/>
      <c r="J1455"/>
      <c r="K1455"/>
      <c r="L1455"/>
      <c r="M1455"/>
      <c r="N1455"/>
      <c r="O1455"/>
    </row>
    <row r="1456" spans="1:15" x14ac:dyDescent="0.2">
      <c r="A1456"/>
      <c r="B1456"/>
      <c r="C1456"/>
      <c r="F1456"/>
      <c r="G1456"/>
      <c r="H1456"/>
      <c r="I1456"/>
      <c r="J1456"/>
      <c r="K1456"/>
      <c r="L1456"/>
      <c r="M1456"/>
      <c r="N1456"/>
      <c r="O1456"/>
    </row>
    <row r="1457" spans="1:15" x14ac:dyDescent="0.2">
      <c r="A1457"/>
      <c r="B1457"/>
      <c r="C1457"/>
      <c r="F1457"/>
      <c r="G1457"/>
      <c r="J1457"/>
      <c r="L1457"/>
      <c r="M1457"/>
      <c r="N1457"/>
      <c r="O1457"/>
    </row>
    <row r="1458" spans="1:15" x14ac:dyDescent="0.2">
      <c r="A1458"/>
      <c r="B1458"/>
      <c r="C1458"/>
      <c r="F1458"/>
      <c r="G1458"/>
      <c r="I1458"/>
      <c r="L1458"/>
      <c r="N1458"/>
      <c r="O1458"/>
    </row>
    <row r="1459" spans="1:15" x14ac:dyDescent="0.2">
      <c r="A1459"/>
      <c r="B1459"/>
      <c r="C1459"/>
      <c r="F1459"/>
      <c r="G1459"/>
      <c r="L1459"/>
      <c r="M1459"/>
      <c r="N1459"/>
      <c r="O1459"/>
    </row>
    <row r="1460" spans="1:15" x14ac:dyDescent="0.2">
      <c r="A1460"/>
      <c r="B1460"/>
      <c r="C1460"/>
      <c r="F1460"/>
      <c r="G1460"/>
      <c r="H1460"/>
      <c r="J1460"/>
      <c r="K1460"/>
      <c r="L1460"/>
      <c r="M1460"/>
      <c r="N1460"/>
      <c r="O1460"/>
    </row>
    <row r="1461" spans="1:15" x14ac:dyDescent="0.2">
      <c r="A1461"/>
      <c r="B1461"/>
      <c r="C1461"/>
      <c r="F1461"/>
      <c r="G1461"/>
      <c r="H1461"/>
      <c r="J1461"/>
      <c r="K1461"/>
      <c r="L1461"/>
      <c r="M1461"/>
      <c r="N1461"/>
      <c r="O1461"/>
    </row>
    <row r="1462" spans="1:15" x14ac:dyDescent="0.2">
      <c r="A1462"/>
      <c r="B1462"/>
      <c r="C1462"/>
      <c r="F1462"/>
      <c r="G1462"/>
      <c r="J1462"/>
      <c r="K1462"/>
      <c r="L1462"/>
      <c r="M1462"/>
      <c r="N1462"/>
      <c r="O1462"/>
    </row>
    <row r="1463" spans="1:15" x14ac:dyDescent="0.2">
      <c r="A1463"/>
      <c r="B1463"/>
      <c r="C1463"/>
      <c r="F1463"/>
      <c r="G1463"/>
      <c r="H1463"/>
      <c r="I1463"/>
      <c r="L1463"/>
      <c r="M1463"/>
      <c r="N1463"/>
      <c r="O1463"/>
    </row>
    <row r="1464" spans="1:15" x14ac:dyDescent="0.2">
      <c r="A1464"/>
      <c r="B1464"/>
      <c r="C1464"/>
      <c r="F1464"/>
      <c r="G1464"/>
      <c r="H1464"/>
      <c r="L1464"/>
      <c r="M1464"/>
      <c r="N1464"/>
      <c r="O1464"/>
    </row>
    <row r="1465" spans="1:15" x14ac:dyDescent="0.2">
      <c r="A1465"/>
      <c r="B1465"/>
      <c r="C1465"/>
      <c r="F1465"/>
      <c r="G1465"/>
      <c r="H1465"/>
      <c r="I1465"/>
      <c r="L1465"/>
      <c r="N1465"/>
      <c r="O1465"/>
    </row>
    <row r="1466" spans="1:15" x14ac:dyDescent="0.2">
      <c r="A1466"/>
      <c r="B1466"/>
      <c r="C1466"/>
      <c r="F1466"/>
      <c r="G1466"/>
      <c r="I1466"/>
      <c r="L1466"/>
      <c r="M1466"/>
      <c r="N1466"/>
      <c r="O1466"/>
    </row>
    <row r="1467" spans="1:15" x14ac:dyDescent="0.2">
      <c r="A1467"/>
      <c r="B1467"/>
      <c r="C1467"/>
      <c r="F1467"/>
      <c r="G1467"/>
      <c r="L1467"/>
      <c r="M1467"/>
      <c r="N1467"/>
      <c r="O1467"/>
    </row>
    <row r="1468" spans="1:15" x14ac:dyDescent="0.2">
      <c r="A1468"/>
      <c r="B1468"/>
      <c r="C1468"/>
      <c r="F1468"/>
      <c r="G1468"/>
      <c r="L1468"/>
      <c r="M1468"/>
      <c r="N1468"/>
      <c r="O1468"/>
    </row>
    <row r="1469" spans="1:15" x14ac:dyDescent="0.2">
      <c r="A1469"/>
      <c r="B1469"/>
      <c r="C1469"/>
      <c r="F1469"/>
      <c r="G1469"/>
      <c r="H1469"/>
      <c r="I1469"/>
      <c r="L1469"/>
      <c r="M1469"/>
      <c r="N1469"/>
      <c r="O1469"/>
    </row>
    <row r="1470" spans="1:15" x14ac:dyDescent="0.2">
      <c r="A1470"/>
      <c r="B1470"/>
      <c r="C1470"/>
      <c r="F1470"/>
      <c r="G1470"/>
      <c r="L1470"/>
      <c r="M1470"/>
      <c r="N1470"/>
      <c r="O1470"/>
    </row>
    <row r="1471" spans="1:15" x14ac:dyDescent="0.2">
      <c r="A1471"/>
      <c r="B1471"/>
      <c r="C1471"/>
      <c r="F1471"/>
      <c r="G1471"/>
      <c r="H1471"/>
      <c r="I1471"/>
      <c r="L1471"/>
      <c r="M1471"/>
      <c r="N1471"/>
      <c r="O1471"/>
    </row>
    <row r="1472" spans="1:15" x14ac:dyDescent="0.2">
      <c r="A1472"/>
      <c r="B1472"/>
      <c r="C1472"/>
      <c r="F1472"/>
      <c r="G1472"/>
      <c r="H1472"/>
      <c r="I1472"/>
      <c r="L1472"/>
      <c r="M1472"/>
      <c r="N1472"/>
      <c r="O1472"/>
    </row>
    <row r="1473" spans="1:15" x14ac:dyDescent="0.2">
      <c r="A1473"/>
      <c r="B1473"/>
      <c r="C1473"/>
      <c r="F1473"/>
      <c r="G1473"/>
      <c r="H1473"/>
      <c r="I1473"/>
      <c r="L1473"/>
      <c r="M1473"/>
      <c r="N1473"/>
      <c r="O1473"/>
    </row>
    <row r="1474" spans="1:15" x14ac:dyDescent="0.2">
      <c r="A1474"/>
      <c r="B1474"/>
      <c r="C1474"/>
      <c r="F1474"/>
      <c r="G1474"/>
      <c r="H1474"/>
      <c r="I1474"/>
      <c r="L1474"/>
      <c r="M1474"/>
      <c r="N1474"/>
      <c r="O1474"/>
    </row>
    <row r="1475" spans="1:15" x14ac:dyDescent="0.2">
      <c r="A1475"/>
      <c r="B1475"/>
      <c r="C1475"/>
      <c r="F1475"/>
      <c r="G1475"/>
      <c r="H1475"/>
      <c r="L1475"/>
      <c r="M1475"/>
      <c r="N1475"/>
      <c r="O1475"/>
    </row>
    <row r="1476" spans="1:15" x14ac:dyDescent="0.2">
      <c r="A1476"/>
      <c r="B1476"/>
      <c r="C1476"/>
      <c r="F1476"/>
      <c r="G1476"/>
      <c r="H1476"/>
      <c r="I1476"/>
      <c r="L1476"/>
      <c r="M1476"/>
      <c r="N1476"/>
      <c r="O1476"/>
    </row>
    <row r="1477" spans="1:15" x14ac:dyDescent="0.2">
      <c r="A1477"/>
      <c r="B1477"/>
      <c r="C1477"/>
      <c r="F1477"/>
      <c r="G1477"/>
      <c r="H1477"/>
      <c r="I1477"/>
      <c r="L1477"/>
      <c r="M1477"/>
      <c r="N1477"/>
      <c r="O1477"/>
    </row>
    <row r="1478" spans="1:15" x14ac:dyDescent="0.2">
      <c r="A1478"/>
      <c r="B1478"/>
      <c r="C1478"/>
      <c r="F1478"/>
      <c r="G1478"/>
      <c r="J1478"/>
      <c r="K1478"/>
      <c r="L1478"/>
      <c r="M1478"/>
      <c r="N1478"/>
      <c r="O1478"/>
    </row>
    <row r="1479" spans="1:15" x14ac:dyDescent="0.2">
      <c r="A1479"/>
      <c r="B1479"/>
      <c r="C1479"/>
      <c r="F1479"/>
      <c r="G1479"/>
      <c r="H1479"/>
      <c r="I1479"/>
      <c r="L1479"/>
      <c r="M1479"/>
      <c r="N1479"/>
      <c r="O1479"/>
    </row>
    <row r="1480" spans="1:15" x14ac:dyDescent="0.2">
      <c r="A1480"/>
      <c r="B1480"/>
      <c r="C1480"/>
      <c r="F1480"/>
      <c r="G1480"/>
      <c r="I1480"/>
      <c r="L1480"/>
      <c r="M1480"/>
      <c r="N1480"/>
      <c r="O1480"/>
    </row>
    <row r="1481" spans="1:15" x14ac:dyDescent="0.2">
      <c r="A1481"/>
      <c r="B1481"/>
      <c r="C1481"/>
      <c r="F1481"/>
      <c r="G1481"/>
      <c r="H1481"/>
      <c r="I1481"/>
      <c r="J1481"/>
      <c r="K1481"/>
      <c r="L1481"/>
      <c r="M1481"/>
      <c r="N1481"/>
      <c r="O1481"/>
    </row>
    <row r="1482" spans="1:15" x14ac:dyDescent="0.2">
      <c r="A1482"/>
      <c r="B1482"/>
      <c r="C1482"/>
      <c r="F1482"/>
      <c r="G1482"/>
      <c r="I1482"/>
      <c r="L1482"/>
      <c r="M1482"/>
      <c r="N1482"/>
      <c r="O1482"/>
    </row>
    <row r="1483" spans="1:15" x14ac:dyDescent="0.2">
      <c r="A1483"/>
      <c r="B1483"/>
      <c r="C1483"/>
      <c r="F1483"/>
      <c r="G1483"/>
      <c r="L1483"/>
      <c r="M1483"/>
      <c r="N1483"/>
      <c r="O1483"/>
    </row>
    <row r="1484" spans="1:15" x14ac:dyDescent="0.2">
      <c r="A1484"/>
      <c r="B1484"/>
      <c r="C1484"/>
      <c r="F1484"/>
      <c r="G1484"/>
      <c r="H1484"/>
      <c r="I1484"/>
      <c r="L1484"/>
      <c r="M1484"/>
      <c r="N1484"/>
      <c r="O1484"/>
    </row>
    <row r="1485" spans="1:15" x14ac:dyDescent="0.2">
      <c r="A1485"/>
      <c r="B1485"/>
      <c r="C1485"/>
      <c r="F1485"/>
      <c r="G1485"/>
      <c r="H1485"/>
      <c r="I1485"/>
      <c r="L1485"/>
      <c r="N1485"/>
      <c r="O1485"/>
    </row>
    <row r="1486" spans="1:15" x14ac:dyDescent="0.2">
      <c r="A1486"/>
      <c r="B1486"/>
      <c r="C1486"/>
      <c r="F1486"/>
      <c r="G1486"/>
      <c r="I1486"/>
      <c r="L1486"/>
      <c r="M1486"/>
      <c r="N1486"/>
      <c r="O1486"/>
    </row>
    <row r="1487" spans="1:15" x14ac:dyDescent="0.2">
      <c r="A1487"/>
      <c r="B1487"/>
      <c r="C1487"/>
      <c r="F1487"/>
      <c r="G1487"/>
      <c r="L1487"/>
      <c r="M1487"/>
      <c r="N1487"/>
      <c r="O1487"/>
    </row>
    <row r="1488" spans="1:15" x14ac:dyDescent="0.2">
      <c r="A1488"/>
      <c r="B1488"/>
      <c r="C1488"/>
      <c r="F1488"/>
      <c r="G1488"/>
      <c r="H1488"/>
      <c r="I1488"/>
      <c r="L1488"/>
      <c r="M1488"/>
      <c r="N1488"/>
      <c r="O1488"/>
    </row>
    <row r="1489" spans="1:15" x14ac:dyDescent="0.2">
      <c r="A1489"/>
      <c r="B1489"/>
      <c r="C1489"/>
      <c r="F1489"/>
      <c r="G1489"/>
      <c r="H1489"/>
      <c r="J1489"/>
      <c r="K1489"/>
      <c r="L1489"/>
      <c r="M1489"/>
      <c r="N1489"/>
      <c r="O1489"/>
    </row>
    <row r="1490" spans="1:15" x14ac:dyDescent="0.2">
      <c r="A1490"/>
      <c r="B1490"/>
      <c r="C1490"/>
      <c r="F1490"/>
      <c r="G1490"/>
      <c r="H1490"/>
      <c r="J1490"/>
      <c r="K1490"/>
      <c r="L1490"/>
      <c r="M1490"/>
      <c r="N1490"/>
      <c r="O1490"/>
    </row>
    <row r="1491" spans="1:15" x14ac:dyDescent="0.2">
      <c r="A1491"/>
      <c r="B1491"/>
      <c r="C1491"/>
      <c r="F1491"/>
      <c r="G1491"/>
      <c r="H1491"/>
      <c r="I1491"/>
      <c r="L1491"/>
      <c r="M1491"/>
      <c r="N1491"/>
      <c r="O1491"/>
    </row>
    <row r="1492" spans="1:15" x14ac:dyDescent="0.2">
      <c r="A1492"/>
      <c r="B1492"/>
      <c r="C1492"/>
      <c r="F1492"/>
      <c r="G1492"/>
      <c r="H1492"/>
      <c r="I1492"/>
      <c r="L1492"/>
      <c r="M1492"/>
      <c r="N1492"/>
      <c r="O1492"/>
    </row>
    <row r="1493" spans="1:15" x14ac:dyDescent="0.2">
      <c r="A1493"/>
      <c r="B1493"/>
      <c r="C1493"/>
      <c r="F1493"/>
      <c r="G1493"/>
      <c r="H1493"/>
      <c r="L1493"/>
      <c r="M1493"/>
      <c r="N1493"/>
      <c r="O1493"/>
    </row>
    <row r="1494" spans="1:15" x14ac:dyDescent="0.2">
      <c r="A1494"/>
      <c r="B1494"/>
      <c r="C1494"/>
      <c r="F1494"/>
      <c r="G1494"/>
      <c r="H1494"/>
      <c r="I1494"/>
      <c r="L1494"/>
      <c r="M1494"/>
      <c r="N1494"/>
      <c r="O1494"/>
    </row>
    <row r="1495" spans="1:15" x14ac:dyDescent="0.2">
      <c r="A1495"/>
      <c r="B1495"/>
      <c r="C1495"/>
      <c r="F1495"/>
      <c r="G1495"/>
      <c r="H1495"/>
      <c r="I1495"/>
      <c r="L1495"/>
      <c r="N1495"/>
      <c r="O1495"/>
    </row>
    <row r="1496" spans="1:15" x14ac:dyDescent="0.2">
      <c r="A1496"/>
      <c r="B1496"/>
      <c r="C1496"/>
      <c r="F1496"/>
      <c r="G1496"/>
      <c r="H1496"/>
      <c r="I1496"/>
      <c r="L1496"/>
      <c r="M1496"/>
      <c r="N1496"/>
      <c r="O1496"/>
    </row>
    <row r="1497" spans="1:15" x14ac:dyDescent="0.2">
      <c r="A1497"/>
      <c r="B1497"/>
      <c r="C1497"/>
      <c r="F1497"/>
      <c r="G1497"/>
      <c r="H1497"/>
      <c r="I1497"/>
      <c r="J1497"/>
      <c r="K1497"/>
      <c r="L1497"/>
      <c r="M1497"/>
      <c r="N1497"/>
      <c r="O1497"/>
    </row>
    <row r="1498" spans="1:15" x14ac:dyDescent="0.2">
      <c r="A1498"/>
      <c r="B1498"/>
      <c r="C1498"/>
      <c r="F1498"/>
      <c r="G1498"/>
      <c r="H1498"/>
      <c r="J1498"/>
      <c r="K1498"/>
      <c r="L1498"/>
      <c r="M1498"/>
      <c r="N1498"/>
      <c r="O1498"/>
    </row>
    <row r="1499" spans="1:15" x14ac:dyDescent="0.2">
      <c r="A1499"/>
      <c r="B1499"/>
      <c r="C1499"/>
      <c r="F1499"/>
      <c r="G1499"/>
      <c r="L1499"/>
      <c r="M1499"/>
      <c r="N1499"/>
      <c r="O1499"/>
    </row>
    <row r="1500" spans="1:15" x14ac:dyDescent="0.2">
      <c r="A1500"/>
      <c r="B1500"/>
      <c r="C1500"/>
      <c r="F1500"/>
      <c r="G1500"/>
      <c r="H1500"/>
      <c r="I1500"/>
      <c r="L1500"/>
      <c r="M1500"/>
      <c r="N1500"/>
      <c r="O1500"/>
    </row>
    <row r="1501" spans="1:15" x14ac:dyDescent="0.2">
      <c r="A1501"/>
      <c r="B1501"/>
      <c r="C1501"/>
      <c r="F1501"/>
      <c r="G1501"/>
      <c r="M1501"/>
      <c r="N1501"/>
      <c r="O1501"/>
    </row>
    <row r="1502" spans="1:15" x14ac:dyDescent="0.2">
      <c r="A1502"/>
      <c r="B1502"/>
      <c r="C1502"/>
      <c r="F1502"/>
      <c r="G1502"/>
      <c r="L1502"/>
      <c r="M1502"/>
      <c r="N1502"/>
      <c r="O1502"/>
    </row>
    <row r="1503" spans="1:15" x14ac:dyDescent="0.2">
      <c r="A1503"/>
      <c r="B1503"/>
      <c r="C1503"/>
      <c r="F1503"/>
      <c r="G1503"/>
      <c r="M1503"/>
      <c r="N1503"/>
      <c r="O1503"/>
    </row>
    <row r="1504" spans="1:15" x14ac:dyDescent="0.2">
      <c r="A1504"/>
      <c r="B1504"/>
      <c r="C1504"/>
      <c r="F1504"/>
      <c r="G1504"/>
      <c r="L1504"/>
      <c r="M1504"/>
      <c r="N1504"/>
      <c r="O1504"/>
    </row>
    <row r="1505" spans="1:15" x14ac:dyDescent="0.2">
      <c r="A1505"/>
      <c r="B1505"/>
      <c r="C1505"/>
      <c r="F1505"/>
      <c r="G1505"/>
      <c r="H1505"/>
      <c r="I1505"/>
      <c r="L1505"/>
      <c r="N1505"/>
      <c r="O1505"/>
    </row>
    <row r="1506" spans="1:15" x14ac:dyDescent="0.2">
      <c r="A1506"/>
      <c r="B1506"/>
      <c r="C1506"/>
      <c r="F1506"/>
      <c r="G1506"/>
      <c r="L1506"/>
      <c r="M1506"/>
      <c r="N1506"/>
      <c r="O1506"/>
    </row>
    <row r="1507" spans="1:15" x14ac:dyDescent="0.2">
      <c r="A1507"/>
      <c r="B1507"/>
      <c r="C1507"/>
      <c r="F1507"/>
      <c r="G1507"/>
      <c r="J1507"/>
      <c r="K1507"/>
      <c r="L1507"/>
      <c r="M1507"/>
      <c r="N1507"/>
      <c r="O1507"/>
    </row>
    <row r="1508" spans="1:15" x14ac:dyDescent="0.2">
      <c r="A1508"/>
      <c r="B1508"/>
      <c r="C1508"/>
      <c r="F1508"/>
      <c r="G1508"/>
      <c r="H1508"/>
      <c r="I1508"/>
      <c r="L1508"/>
      <c r="N1508"/>
      <c r="O1508"/>
    </row>
    <row r="1509" spans="1:15" x14ac:dyDescent="0.2">
      <c r="A1509"/>
      <c r="B1509"/>
      <c r="C1509"/>
      <c r="F1509"/>
      <c r="G1509"/>
      <c r="H1509"/>
      <c r="I1509"/>
      <c r="L1509"/>
      <c r="M1509"/>
      <c r="N1509"/>
      <c r="O1509"/>
    </row>
    <row r="1510" spans="1:15" x14ac:dyDescent="0.2">
      <c r="A1510"/>
      <c r="B1510"/>
      <c r="C1510"/>
      <c r="F1510"/>
      <c r="G1510"/>
      <c r="H1510"/>
      <c r="I1510"/>
      <c r="L1510"/>
      <c r="M1510"/>
      <c r="N1510"/>
      <c r="O1510"/>
    </row>
    <row r="1511" spans="1:15" x14ac:dyDescent="0.2">
      <c r="A1511"/>
      <c r="B1511"/>
      <c r="C1511"/>
      <c r="F1511"/>
      <c r="G1511"/>
      <c r="L1511"/>
      <c r="M1511"/>
      <c r="N1511"/>
      <c r="O1511"/>
    </row>
    <row r="1512" spans="1:15" x14ac:dyDescent="0.2">
      <c r="A1512"/>
      <c r="B1512"/>
      <c r="C1512"/>
      <c r="F1512"/>
      <c r="G1512"/>
      <c r="H1512"/>
      <c r="I1512"/>
      <c r="L1512"/>
      <c r="M1512"/>
      <c r="N1512"/>
      <c r="O1512"/>
    </row>
    <row r="1513" spans="1:15" x14ac:dyDescent="0.2">
      <c r="A1513"/>
      <c r="B1513"/>
      <c r="C1513"/>
      <c r="F1513"/>
      <c r="G1513"/>
      <c r="H1513"/>
      <c r="I1513"/>
      <c r="L1513"/>
      <c r="M1513"/>
      <c r="N1513"/>
      <c r="O1513"/>
    </row>
    <row r="1514" spans="1:15" x14ac:dyDescent="0.2">
      <c r="A1514"/>
      <c r="B1514"/>
      <c r="C1514"/>
      <c r="F1514"/>
      <c r="G1514"/>
      <c r="H1514"/>
      <c r="L1514"/>
      <c r="M1514"/>
      <c r="N1514"/>
      <c r="O1514"/>
    </row>
    <row r="1515" spans="1:15" x14ac:dyDescent="0.2">
      <c r="A1515"/>
      <c r="B1515"/>
      <c r="C1515"/>
      <c r="F1515"/>
      <c r="G1515"/>
      <c r="L1515"/>
      <c r="M1515"/>
      <c r="N1515"/>
      <c r="O1515"/>
    </row>
    <row r="1516" spans="1:15" x14ac:dyDescent="0.2">
      <c r="A1516"/>
      <c r="B1516"/>
      <c r="C1516"/>
      <c r="F1516"/>
      <c r="G1516"/>
      <c r="M1516"/>
      <c r="N1516"/>
      <c r="O1516"/>
    </row>
    <row r="1517" spans="1:15" x14ac:dyDescent="0.2">
      <c r="A1517"/>
      <c r="B1517"/>
      <c r="C1517"/>
      <c r="F1517"/>
      <c r="G1517"/>
      <c r="H1517"/>
      <c r="I1517"/>
      <c r="L1517"/>
      <c r="M1517"/>
      <c r="N1517"/>
      <c r="O1517"/>
    </row>
    <row r="1518" spans="1:15" x14ac:dyDescent="0.2">
      <c r="A1518"/>
      <c r="B1518"/>
      <c r="C1518"/>
      <c r="F1518"/>
      <c r="G1518"/>
      <c r="I1518"/>
      <c r="L1518"/>
      <c r="M1518"/>
      <c r="N1518"/>
      <c r="O1518"/>
    </row>
    <row r="1519" spans="1:15" x14ac:dyDescent="0.2">
      <c r="A1519"/>
      <c r="B1519"/>
      <c r="C1519"/>
      <c r="F1519"/>
      <c r="G1519"/>
      <c r="H1519"/>
      <c r="I1519"/>
      <c r="L1519"/>
      <c r="M1519"/>
      <c r="N1519"/>
      <c r="O1519"/>
    </row>
    <row r="1520" spans="1:15" x14ac:dyDescent="0.2">
      <c r="A1520"/>
      <c r="B1520"/>
      <c r="C1520"/>
      <c r="F1520"/>
      <c r="G1520"/>
      <c r="H1520"/>
      <c r="J1520"/>
      <c r="K1520"/>
      <c r="L1520"/>
      <c r="M1520"/>
      <c r="N1520"/>
      <c r="O1520"/>
    </row>
    <row r="1521" spans="1:15" x14ac:dyDescent="0.2">
      <c r="A1521"/>
      <c r="B1521"/>
      <c r="C1521"/>
      <c r="F1521"/>
      <c r="G1521"/>
      <c r="H1521"/>
      <c r="I1521"/>
      <c r="L1521"/>
      <c r="M1521"/>
      <c r="N1521"/>
      <c r="O1521"/>
    </row>
    <row r="1522" spans="1:15" x14ac:dyDescent="0.2">
      <c r="A1522"/>
      <c r="B1522"/>
      <c r="C1522"/>
      <c r="F1522"/>
      <c r="G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N1524"/>
      <c r="O1524"/>
    </row>
    <row r="1525" spans="1:15" x14ac:dyDescent="0.2">
      <c r="A1525"/>
      <c r="B1525"/>
      <c r="C1525"/>
      <c r="F1525"/>
      <c r="G1525"/>
      <c r="L1525"/>
      <c r="M1525"/>
      <c r="N1525"/>
      <c r="O1525"/>
    </row>
    <row r="1526" spans="1:15" x14ac:dyDescent="0.2">
      <c r="A1526"/>
      <c r="B1526"/>
      <c r="C1526"/>
      <c r="F1526"/>
      <c r="G1526"/>
      <c r="L1526"/>
      <c r="M1526"/>
      <c r="N1526"/>
      <c r="O1526"/>
    </row>
    <row r="1527" spans="1:15" x14ac:dyDescent="0.2">
      <c r="A1527"/>
      <c r="B1527"/>
      <c r="C1527"/>
      <c r="F1527"/>
      <c r="G1527"/>
      <c r="H1527"/>
      <c r="J1527"/>
      <c r="K1527"/>
      <c r="L1527"/>
      <c r="M1527"/>
      <c r="N1527"/>
      <c r="O1527"/>
    </row>
    <row r="1528" spans="1:15" x14ac:dyDescent="0.2">
      <c r="A1528"/>
      <c r="B1528"/>
      <c r="C1528"/>
      <c r="F1528"/>
      <c r="G1528"/>
      <c r="H1528"/>
      <c r="I1528"/>
      <c r="L1528"/>
      <c r="N1528"/>
      <c r="O1528"/>
    </row>
    <row r="1529" spans="1:15" x14ac:dyDescent="0.2">
      <c r="A1529"/>
      <c r="B1529"/>
      <c r="C1529"/>
      <c r="F1529"/>
      <c r="G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I1532"/>
      <c r="L1532"/>
      <c r="M1532"/>
      <c r="N1532"/>
      <c r="O1532"/>
    </row>
    <row r="1533" spans="1:15" x14ac:dyDescent="0.2">
      <c r="A1533"/>
      <c r="B1533"/>
      <c r="C1533"/>
      <c r="F1533"/>
      <c r="G1533"/>
      <c r="I1533"/>
      <c r="L1533"/>
      <c r="M1533"/>
      <c r="N1533"/>
      <c r="O1533"/>
    </row>
    <row r="1534" spans="1:15" x14ac:dyDescent="0.2">
      <c r="A1534"/>
      <c r="B1534"/>
      <c r="C1534"/>
      <c r="F1534"/>
      <c r="G1534"/>
      <c r="L1534"/>
      <c r="M1534"/>
      <c r="N1534"/>
      <c r="O1534"/>
    </row>
    <row r="1535" spans="1:15" x14ac:dyDescent="0.2">
      <c r="A1535"/>
      <c r="B1535"/>
      <c r="C1535"/>
      <c r="F1535"/>
      <c r="G1535"/>
      <c r="H1535"/>
      <c r="I1535"/>
      <c r="L1535"/>
      <c r="M1535"/>
      <c r="N1535"/>
      <c r="O1535"/>
    </row>
    <row r="1536" spans="1:15" x14ac:dyDescent="0.2">
      <c r="A1536"/>
      <c r="B1536"/>
      <c r="C1536"/>
      <c r="F1536"/>
      <c r="G1536"/>
      <c r="J1536"/>
      <c r="K1536"/>
      <c r="L1536"/>
      <c r="M1536"/>
      <c r="N1536"/>
      <c r="O1536"/>
    </row>
    <row r="1537" spans="1:15" x14ac:dyDescent="0.2">
      <c r="A1537"/>
      <c r="B1537"/>
      <c r="C1537"/>
      <c r="F1537"/>
      <c r="G1537"/>
      <c r="M1537"/>
      <c r="N1537"/>
      <c r="O1537"/>
    </row>
    <row r="1538" spans="1:15" x14ac:dyDescent="0.2">
      <c r="A1538"/>
      <c r="B1538"/>
      <c r="C1538"/>
      <c r="F1538"/>
      <c r="G1538"/>
      <c r="L1538"/>
      <c r="M1538"/>
      <c r="N1538"/>
      <c r="O1538"/>
    </row>
    <row r="1539" spans="1:15" x14ac:dyDescent="0.2">
      <c r="A1539"/>
      <c r="B1539"/>
      <c r="C1539"/>
      <c r="F1539"/>
      <c r="G1539"/>
      <c r="L1539"/>
      <c r="M1539"/>
      <c r="N1539"/>
      <c r="O1539"/>
    </row>
    <row r="1540" spans="1:15" x14ac:dyDescent="0.2">
      <c r="A1540"/>
      <c r="B1540"/>
      <c r="C1540"/>
      <c r="F1540"/>
      <c r="G1540"/>
      <c r="H1540"/>
      <c r="I1540"/>
      <c r="J1540"/>
      <c r="K1540"/>
      <c r="L1540"/>
      <c r="M1540"/>
      <c r="N1540"/>
      <c r="O1540"/>
    </row>
    <row r="1541" spans="1:15" x14ac:dyDescent="0.2">
      <c r="A1541"/>
      <c r="B1541"/>
      <c r="C1541"/>
      <c r="F1541"/>
      <c r="G1541"/>
      <c r="I1541"/>
      <c r="L1541"/>
      <c r="M1541"/>
      <c r="N1541"/>
      <c r="O1541"/>
    </row>
    <row r="1542" spans="1:15" x14ac:dyDescent="0.2">
      <c r="A1542"/>
      <c r="B1542"/>
      <c r="C1542"/>
      <c r="F1542"/>
      <c r="G1542"/>
      <c r="I1542"/>
      <c r="L1542"/>
      <c r="M1542"/>
      <c r="N1542"/>
      <c r="O1542"/>
    </row>
    <row r="1543" spans="1:15" x14ac:dyDescent="0.2">
      <c r="A1543"/>
      <c r="B1543"/>
      <c r="C1543"/>
      <c r="F1543"/>
      <c r="G1543"/>
      <c r="N1543"/>
      <c r="O1543"/>
    </row>
    <row r="1544" spans="1:15" x14ac:dyDescent="0.2">
      <c r="A1544"/>
      <c r="B1544"/>
      <c r="C1544"/>
      <c r="F1544"/>
      <c r="G1544"/>
      <c r="H1544"/>
      <c r="I1544"/>
      <c r="L1544"/>
      <c r="M1544"/>
      <c r="N1544"/>
      <c r="O1544"/>
    </row>
    <row r="1545" spans="1:15" x14ac:dyDescent="0.2">
      <c r="A1545"/>
      <c r="B1545"/>
      <c r="C1545"/>
      <c r="F1545"/>
      <c r="G1545"/>
      <c r="J1545"/>
      <c r="L1545"/>
      <c r="M1545"/>
      <c r="N1545"/>
      <c r="O1545"/>
    </row>
    <row r="1546" spans="1:15" x14ac:dyDescent="0.2">
      <c r="A1546"/>
      <c r="B1546"/>
      <c r="C1546"/>
      <c r="F1546"/>
      <c r="G1546"/>
      <c r="H1546"/>
      <c r="L1546"/>
      <c r="M1546"/>
      <c r="N1546"/>
      <c r="O1546"/>
    </row>
    <row r="1547" spans="1:15" x14ac:dyDescent="0.2">
      <c r="A1547"/>
      <c r="B1547"/>
      <c r="C1547"/>
      <c r="F1547"/>
      <c r="G1547"/>
      <c r="L1547"/>
      <c r="M1547"/>
      <c r="N1547"/>
      <c r="O1547"/>
    </row>
    <row r="1548" spans="1:15" x14ac:dyDescent="0.2">
      <c r="A1548"/>
      <c r="B1548"/>
      <c r="C1548"/>
      <c r="F1548"/>
      <c r="G1548"/>
      <c r="H1548"/>
      <c r="J1548"/>
      <c r="K1548"/>
      <c r="M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L1556"/>
      <c r="M1556"/>
      <c r="N1556"/>
      <c r="O1556"/>
    </row>
    <row r="1557" spans="1:15" x14ac:dyDescent="0.2">
      <c r="A1557"/>
      <c r="B1557"/>
      <c r="C1557"/>
      <c r="F1557"/>
      <c r="G1557"/>
      <c r="H1557"/>
      <c r="N1557"/>
      <c r="O1557"/>
    </row>
    <row r="1558" spans="1:15" x14ac:dyDescent="0.2">
      <c r="A1558"/>
      <c r="B1558"/>
      <c r="C1558"/>
      <c r="F1558"/>
      <c r="G1558"/>
      <c r="H1558"/>
      <c r="I1558"/>
      <c r="L1558"/>
      <c r="M1558"/>
      <c r="N1558"/>
      <c r="O1558"/>
    </row>
    <row r="1559" spans="1:15" x14ac:dyDescent="0.2">
      <c r="A1559"/>
      <c r="B1559"/>
      <c r="C1559"/>
      <c r="F1559"/>
      <c r="G1559"/>
      <c r="H1559"/>
      <c r="I1559"/>
      <c r="L1559"/>
      <c r="M1559"/>
      <c r="N1559"/>
      <c r="O1559"/>
    </row>
    <row r="1560" spans="1:15" x14ac:dyDescent="0.2">
      <c r="A1560"/>
      <c r="B1560"/>
      <c r="C1560"/>
      <c r="F1560"/>
      <c r="G1560"/>
      <c r="H1560"/>
      <c r="I1560"/>
      <c r="L1560"/>
      <c r="M1560"/>
      <c r="N1560"/>
      <c r="O1560"/>
    </row>
    <row r="1561" spans="1:15" x14ac:dyDescent="0.2">
      <c r="A1561"/>
      <c r="B1561"/>
      <c r="C1561"/>
      <c r="F1561"/>
      <c r="G1561"/>
      <c r="H1561"/>
      <c r="I1561"/>
      <c r="L1561"/>
      <c r="M1561"/>
      <c r="N1561"/>
      <c r="O1561"/>
    </row>
    <row r="1562" spans="1:15" x14ac:dyDescent="0.2">
      <c r="A1562"/>
      <c r="B1562"/>
      <c r="C1562"/>
      <c r="F1562"/>
      <c r="G1562"/>
      <c r="H1562"/>
      <c r="I1562"/>
      <c r="L1562"/>
      <c r="M1562"/>
      <c r="N1562"/>
      <c r="O1562"/>
    </row>
    <row r="1563" spans="1:15" x14ac:dyDescent="0.2">
      <c r="A1563"/>
      <c r="B1563"/>
      <c r="C1563"/>
      <c r="F1563"/>
      <c r="G1563"/>
      <c r="I1563"/>
      <c r="L1563"/>
      <c r="M1563"/>
      <c r="N1563"/>
      <c r="O1563"/>
    </row>
    <row r="1564" spans="1:15" x14ac:dyDescent="0.2">
      <c r="A1564"/>
      <c r="B1564"/>
      <c r="C1564"/>
      <c r="F1564"/>
      <c r="G1564"/>
      <c r="H1564"/>
      <c r="M1564"/>
      <c r="N1564"/>
      <c r="O1564"/>
    </row>
    <row r="1565" spans="1:15" x14ac:dyDescent="0.2">
      <c r="A1565"/>
      <c r="B1565"/>
      <c r="C1565"/>
      <c r="F1565"/>
      <c r="G1565"/>
      <c r="H1565"/>
      <c r="L1565"/>
      <c r="M1565"/>
      <c r="N1565"/>
      <c r="O1565"/>
    </row>
    <row r="1566" spans="1:15" x14ac:dyDescent="0.2">
      <c r="A1566"/>
      <c r="B1566"/>
      <c r="C1566"/>
      <c r="F1566"/>
      <c r="G1566"/>
      <c r="H1566"/>
      <c r="I1566"/>
      <c r="J1566"/>
      <c r="K1566"/>
      <c r="L1566"/>
      <c r="M1566"/>
      <c r="N1566"/>
      <c r="O1566"/>
    </row>
    <row r="1567" spans="1:15" x14ac:dyDescent="0.2">
      <c r="A1567"/>
      <c r="B1567"/>
      <c r="C1567"/>
      <c r="F1567"/>
      <c r="G1567"/>
      <c r="H1567"/>
      <c r="I1567"/>
      <c r="L1567"/>
      <c r="M1567"/>
      <c r="N1567"/>
      <c r="O1567"/>
    </row>
    <row r="1568" spans="1:15" x14ac:dyDescent="0.2">
      <c r="A1568"/>
      <c r="B1568"/>
      <c r="C1568"/>
      <c r="F1568"/>
      <c r="G1568"/>
      <c r="L1568"/>
      <c r="M1568"/>
      <c r="N1568"/>
      <c r="O1568"/>
    </row>
    <row r="1569" spans="1:15" x14ac:dyDescent="0.2">
      <c r="A1569"/>
      <c r="B1569"/>
      <c r="C1569"/>
      <c r="F1569"/>
      <c r="G1569"/>
      <c r="J1569"/>
      <c r="K1569"/>
      <c r="L1569"/>
      <c r="M1569"/>
      <c r="N1569"/>
      <c r="O1569"/>
    </row>
    <row r="1570" spans="1:15" x14ac:dyDescent="0.2">
      <c r="A1570"/>
      <c r="B1570"/>
      <c r="C1570"/>
      <c r="F1570"/>
      <c r="G1570"/>
      <c r="J1570"/>
      <c r="K1570"/>
      <c r="L1570"/>
      <c r="M1570"/>
      <c r="N1570"/>
      <c r="O1570"/>
    </row>
    <row r="1571" spans="1:15" x14ac:dyDescent="0.2">
      <c r="A1571"/>
      <c r="B1571"/>
      <c r="C1571"/>
      <c r="F1571"/>
      <c r="G1571"/>
      <c r="H1571"/>
      <c r="J1571"/>
      <c r="K1571"/>
      <c r="L1571"/>
      <c r="M1571"/>
      <c r="N1571"/>
      <c r="O1571"/>
    </row>
    <row r="1572" spans="1:15" x14ac:dyDescent="0.2">
      <c r="A1572"/>
      <c r="B1572"/>
      <c r="C1572"/>
      <c r="F1572"/>
      <c r="G1572"/>
      <c r="H1572"/>
      <c r="L1572"/>
      <c r="M1572"/>
      <c r="N1572"/>
      <c r="O1572"/>
    </row>
    <row r="1573" spans="1:15" x14ac:dyDescent="0.2">
      <c r="A1573"/>
      <c r="B1573"/>
      <c r="C1573"/>
      <c r="F1573"/>
      <c r="G1573"/>
      <c r="H1573"/>
      <c r="I1573"/>
      <c r="J1573"/>
      <c r="K1573"/>
      <c r="L1573"/>
      <c r="M1573"/>
      <c r="N1573"/>
      <c r="O1573"/>
    </row>
    <row r="1574" spans="1:15" x14ac:dyDescent="0.2">
      <c r="A1574"/>
      <c r="B1574"/>
      <c r="C1574"/>
      <c r="F1574"/>
      <c r="G1574"/>
      <c r="H1574"/>
      <c r="L1574"/>
      <c r="M1574"/>
      <c r="N1574"/>
      <c r="O1574"/>
    </row>
    <row r="1575" spans="1:15" x14ac:dyDescent="0.2">
      <c r="A1575"/>
      <c r="B1575"/>
      <c r="C1575"/>
      <c r="F1575"/>
      <c r="G1575"/>
      <c r="H1575"/>
      <c r="J1575"/>
      <c r="K1575"/>
      <c r="L1575"/>
      <c r="M1575"/>
      <c r="N1575"/>
      <c r="O1575"/>
    </row>
    <row r="1576" spans="1:15" x14ac:dyDescent="0.2">
      <c r="A1576"/>
      <c r="B1576"/>
      <c r="C1576"/>
      <c r="F1576"/>
      <c r="G1576"/>
      <c r="L1576"/>
      <c r="M1576"/>
      <c r="N1576"/>
      <c r="O1576"/>
    </row>
    <row r="1577" spans="1:15" x14ac:dyDescent="0.2">
      <c r="A1577"/>
      <c r="B1577"/>
      <c r="C1577"/>
      <c r="F1577"/>
      <c r="G1577"/>
      <c r="H1577"/>
      <c r="J1577"/>
      <c r="K1577"/>
      <c r="L1577"/>
      <c r="M1577"/>
      <c r="N1577"/>
      <c r="O1577"/>
    </row>
    <row r="1578" spans="1:15" x14ac:dyDescent="0.2">
      <c r="A1578"/>
      <c r="B1578"/>
      <c r="C1578"/>
      <c r="F1578"/>
      <c r="G1578"/>
      <c r="H1578"/>
      <c r="L1578"/>
      <c r="M1578"/>
      <c r="N1578"/>
      <c r="O1578"/>
    </row>
    <row r="1579" spans="1:15" x14ac:dyDescent="0.2">
      <c r="A1579"/>
      <c r="B1579"/>
      <c r="C1579"/>
      <c r="F1579"/>
      <c r="G1579"/>
      <c r="H1579"/>
      <c r="I1579"/>
      <c r="L1579"/>
      <c r="M1579"/>
      <c r="N1579"/>
      <c r="O1579"/>
    </row>
    <row r="1580" spans="1:15" x14ac:dyDescent="0.2">
      <c r="A1580"/>
      <c r="B1580"/>
      <c r="C1580"/>
      <c r="F1580"/>
      <c r="G1580"/>
      <c r="J1580"/>
      <c r="K1580"/>
      <c r="L1580"/>
      <c r="M1580"/>
      <c r="N1580"/>
      <c r="O1580"/>
    </row>
    <row r="1581" spans="1:15" x14ac:dyDescent="0.2">
      <c r="A1581"/>
      <c r="B1581"/>
      <c r="C1581"/>
      <c r="F1581"/>
      <c r="G1581"/>
      <c r="H1581"/>
      <c r="I1581"/>
      <c r="L1581"/>
      <c r="M1581"/>
      <c r="N1581"/>
      <c r="O1581"/>
    </row>
    <row r="1582" spans="1:15" x14ac:dyDescent="0.2">
      <c r="A1582"/>
      <c r="B1582"/>
      <c r="C1582"/>
      <c r="F1582"/>
      <c r="G1582"/>
      <c r="H1582"/>
      <c r="I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I1586"/>
      <c r="L1586"/>
      <c r="M1586"/>
      <c r="N1586"/>
      <c r="O1586"/>
    </row>
    <row r="1587" spans="1:15" x14ac:dyDescent="0.2">
      <c r="A1587"/>
      <c r="B1587"/>
      <c r="C1587"/>
      <c r="F1587"/>
      <c r="G1587"/>
      <c r="I1587"/>
      <c r="L1587"/>
      <c r="M1587"/>
      <c r="N1587"/>
      <c r="O1587"/>
    </row>
    <row r="1588" spans="1:15" x14ac:dyDescent="0.2">
      <c r="A1588"/>
      <c r="B1588"/>
      <c r="C1588"/>
      <c r="F1588"/>
      <c r="G1588"/>
      <c r="H1588"/>
      <c r="I1588"/>
      <c r="L1588"/>
      <c r="M1588"/>
      <c r="N1588"/>
      <c r="O1588"/>
    </row>
    <row r="1589" spans="1:15" x14ac:dyDescent="0.2">
      <c r="A1589"/>
      <c r="B1589"/>
      <c r="C1589"/>
      <c r="F1589"/>
      <c r="G1589"/>
      <c r="H1589"/>
      <c r="I1589"/>
      <c r="L1589"/>
      <c r="M1589"/>
      <c r="N1589"/>
      <c r="O1589"/>
    </row>
    <row r="1590" spans="1:15" x14ac:dyDescent="0.2">
      <c r="A1590"/>
      <c r="B1590"/>
      <c r="C1590"/>
      <c r="F1590"/>
      <c r="G1590"/>
      <c r="H1590"/>
      <c r="I1590"/>
      <c r="L1590"/>
      <c r="M1590"/>
      <c r="N1590"/>
      <c r="O1590"/>
    </row>
    <row r="1591" spans="1:15" x14ac:dyDescent="0.2">
      <c r="A1591"/>
      <c r="B1591"/>
      <c r="C1591"/>
      <c r="F1591"/>
      <c r="G1591"/>
      <c r="I1591"/>
      <c r="L1591"/>
      <c r="M1591"/>
      <c r="N1591"/>
      <c r="O1591"/>
    </row>
    <row r="1592" spans="1:15" x14ac:dyDescent="0.2">
      <c r="A1592"/>
      <c r="B1592"/>
      <c r="C1592"/>
      <c r="F1592"/>
      <c r="G1592"/>
      <c r="I1592"/>
      <c r="L1592"/>
      <c r="M1592"/>
      <c r="N1592"/>
      <c r="O1592"/>
    </row>
    <row r="1593" spans="1:15" x14ac:dyDescent="0.2">
      <c r="A1593"/>
      <c r="B1593"/>
      <c r="C1593"/>
      <c r="F1593"/>
      <c r="G1593"/>
      <c r="H1593"/>
      <c r="I1593"/>
      <c r="L1593"/>
      <c r="M1593"/>
      <c r="N1593"/>
      <c r="O1593"/>
    </row>
    <row r="1594" spans="1:15" x14ac:dyDescent="0.2">
      <c r="A1594"/>
      <c r="B1594"/>
      <c r="C1594"/>
      <c r="F1594"/>
      <c r="G1594"/>
      <c r="J1594"/>
      <c r="K1594"/>
      <c r="L1594"/>
      <c r="M1594"/>
      <c r="N1594"/>
      <c r="O1594"/>
    </row>
    <row r="1595" spans="1:15" x14ac:dyDescent="0.2">
      <c r="A1595"/>
      <c r="B1595"/>
      <c r="C1595"/>
      <c r="F1595"/>
      <c r="G1595"/>
      <c r="H1595"/>
      <c r="I1595"/>
      <c r="L1595"/>
      <c r="M1595"/>
      <c r="N1595"/>
      <c r="O1595"/>
    </row>
    <row r="1596" spans="1:15" x14ac:dyDescent="0.2">
      <c r="A1596"/>
      <c r="B1596"/>
      <c r="C1596"/>
      <c r="F1596"/>
      <c r="G1596"/>
      <c r="L1596"/>
      <c r="M1596"/>
      <c r="N1596"/>
      <c r="O1596"/>
    </row>
    <row r="1597" spans="1:15" x14ac:dyDescent="0.2">
      <c r="A1597"/>
      <c r="B1597"/>
      <c r="C1597"/>
      <c r="F1597"/>
      <c r="G1597"/>
      <c r="H1597"/>
      <c r="I1597"/>
      <c r="L1597"/>
      <c r="M1597"/>
      <c r="N1597"/>
      <c r="O1597"/>
    </row>
    <row r="1598" spans="1:15" x14ac:dyDescent="0.2">
      <c r="A1598"/>
      <c r="B1598"/>
      <c r="C1598"/>
      <c r="F1598"/>
      <c r="G1598"/>
      <c r="H1598"/>
      <c r="J1598"/>
      <c r="K1598"/>
      <c r="L1598"/>
      <c r="M1598"/>
      <c r="N1598"/>
      <c r="O1598"/>
    </row>
    <row r="1599" spans="1:15" x14ac:dyDescent="0.2">
      <c r="A1599"/>
      <c r="B1599"/>
      <c r="C1599"/>
      <c r="F1599"/>
      <c r="G1599"/>
      <c r="H1599"/>
      <c r="I1599"/>
      <c r="L1599"/>
      <c r="M1599"/>
      <c r="N1599"/>
      <c r="O1599"/>
    </row>
    <row r="1600" spans="1:15" x14ac:dyDescent="0.2">
      <c r="A1600"/>
      <c r="B1600"/>
      <c r="C1600"/>
      <c r="F1600"/>
      <c r="G1600"/>
      <c r="H1600"/>
      <c r="J1600"/>
      <c r="K1600"/>
      <c r="L1600"/>
      <c r="M1600"/>
      <c r="N1600"/>
      <c r="O1600"/>
    </row>
    <row r="1601" spans="1:15" x14ac:dyDescent="0.2">
      <c r="A1601"/>
      <c r="B1601"/>
      <c r="C1601"/>
      <c r="F1601"/>
      <c r="G1601"/>
      <c r="J1601"/>
      <c r="K1601"/>
      <c r="L1601"/>
      <c r="M1601"/>
      <c r="N1601"/>
      <c r="O1601"/>
    </row>
    <row r="1602" spans="1:15" x14ac:dyDescent="0.2">
      <c r="A1602"/>
      <c r="B1602"/>
      <c r="C1602"/>
      <c r="F1602"/>
      <c r="G1602"/>
      <c r="J1602"/>
      <c r="K1602"/>
      <c r="L1602"/>
      <c r="M1602"/>
      <c r="N1602"/>
      <c r="O1602"/>
    </row>
    <row r="1603" spans="1:15" x14ac:dyDescent="0.2">
      <c r="A1603"/>
      <c r="B1603"/>
      <c r="C1603"/>
      <c r="F1603"/>
      <c r="G1603"/>
      <c r="H1603"/>
      <c r="J1603"/>
      <c r="K1603"/>
      <c r="L1603"/>
      <c r="M1603"/>
      <c r="N1603"/>
      <c r="O1603"/>
    </row>
    <row r="1604" spans="1:15" x14ac:dyDescent="0.2">
      <c r="A1604"/>
      <c r="B1604"/>
      <c r="C1604"/>
      <c r="F1604"/>
      <c r="G1604"/>
      <c r="H1604"/>
      <c r="J1604"/>
      <c r="K1604"/>
      <c r="L1604"/>
      <c r="M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H1607"/>
      <c r="I1607"/>
      <c r="L1607"/>
      <c r="N1607"/>
      <c r="O1607"/>
    </row>
    <row r="1608" spans="1:15" x14ac:dyDescent="0.2">
      <c r="A1608"/>
      <c r="B1608"/>
      <c r="C1608"/>
      <c r="F1608"/>
      <c r="G1608"/>
      <c r="H1608"/>
      <c r="I1608"/>
      <c r="L1608"/>
      <c r="M1608"/>
      <c r="N1608"/>
      <c r="O1608"/>
    </row>
    <row r="1609" spans="1:15" x14ac:dyDescent="0.2">
      <c r="A1609"/>
      <c r="B1609"/>
      <c r="C1609"/>
      <c r="F1609"/>
      <c r="G1609"/>
      <c r="H1609"/>
      <c r="I1609"/>
      <c r="L1609"/>
      <c r="N1609"/>
      <c r="O1609"/>
    </row>
    <row r="1610" spans="1:15" x14ac:dyDescent="0.2">
      <c r="A1610"/>
      <c r="B1610"/>
      <c r="C1610"/>
      <c r="F1610"/>
      <c r="G1610"/>
      <c r="I1610"/>
      <c r="L1610"/>
      <c r="M1610"/>
      <c r="N1610"/>
      <c r="O1610"/>
    </row>
    <row r="1611" spans="1:15" x14ac:dyDescent="0.2">
      <c r="A1611"/>
      <c r="B1611"/>
      <c r="C1611"/>
      <c r="F1611"/>
      <c r="G1611"/>
      <c r="H1611"/>
      <c r="I1611"/>
      <c r="L1611"/>
      <c r="M1611"/>
      <c r="N1611"/>
      <c r="O1611"/>
    </row>
    <row r="1612" spans="1:15" x14ac:dyDescent="0.2">
      <c r="A1612"/>
      <c r="B1612"/>
      <c r="C1612"/>
      <c r="F1612"/>
      <c r="G1612"/>
      <c r="I1612"/>
      <c r="L1612"/>
      <c r="M1612"/>
      <c r="N1612"/>
      <c r="O1612"/>
    </row>
    <row r="1613" spans="1:15" x14ac:dyDescent="0.2">
      <c r="A1613"/>
      <c r="B1613"/>
      <c r="C1613"/>
      <c r="F1613"/>
      <c r="G1613"/>
      <c r="I1613"/>
      <c r="L1613"/>
      <c r="M1613"/>
      <c r="N1613"/>
      <c r="O1613"/>
    </row>
    <row r="1614" spans="1:15" x14ac:dyDescent="0.2">
      <c r="A1614"/>
      <c r="B1614"/>
      <c r="C1614"/>
      <c r="F1614"/>
      <c r="G1614"/>
      <c r="I1614"/>
      <c r="L1614"/>
      <c r="M1614"/>
      <c r="N1614"/>
      <c r="O1614"/>
    </row>
    <row r="1615" spans="1:15" x14ac:dyDescent="0.2">
      <c r="A1615"/>
      <c r="B1615"/>
      <c r="C1615"/>
      <c r="F1615"/>
      <c r="G1615"/>
      <c r="H1615"/>
      <c r="I1615"/>
      <c r="L1615"/>
      <c r="M1615"/>
      <c r="N1615"/>
      <c r="O1615"/>
    </row>
    <row r="1616" spans="1:15" x14ac:dyDescent="0.2">
      <c r="A1616"/>
      <c r="B1616"/>
      <c r="C1616"/>
      <c r="F1616"/>
      <c r="G1616"/>
      <c r="L1616"/>
      <c r="M1616"/>
      <c r="N1616"/>
      <c r="O1616"/>
    </row>
    <row r="1617" spans="1:15" x14ac:dyDescent="0.2">
      <c r="A1617"/>
      <c r="B1617"/>
      <c r="C1617"/>
      <c r="F1617"/>
      <c r="G1617"/>
      <c r="H1617"/>
      <c r="I1617"/>
      <c r="L1617"/>
      <c r="M1617"/>
      <c r="N1617"/>
      <c r="O1617"/>
    </row>
    <row r="1618" spans="1:15" x14ac:dyDescent="0.2">
      <c r="A1618"/>
      <c r="B1618"/>
      <c r="C1618"/>
      <c r="F1618"/>
      <c r="G1618"/>
      <c r="J1618"/>
      <c r="K1618"/>
      <c r="L1618"/>
      <c r="M1618"/>
      <c r="N1618"/>
      <c r="O1618"/>
    </row>
    <row r="1619" spans="1:15" x14ac:dyDescent="0.2">
      <c r="A1619"/>
      <c r="B1619"/>
      <c r="C1619"/>
      <c r="F1619"/>
      <c r="G1619"/>
      <c r="I1619"/>
      <c r="L1619"/>
      <c r="M1619"/>
      <c r="N1619"/>
      <c r="O1619"/>
    </row>
    <row r="1620" spans="1:15" x14ac:dyDescent="0.2">
      <c r="A1620"/>
      <c r="B1620"/>
      <c r="C1620"/>
      <c r="F1620"/>
      <c r="G1620"/>
      <c r="H1620"/>
      <c r="I1620"/>
      <c r="L1620"/>
      <c r="N1620"/>
      <c r="O1620"/>
    </row>
    <row r="1621" spans="1:15" x14ac:dyDescent="0.2">
      <c r="A1621"/>
      <c r="B1621"/>
      <c r="C1621"/>
      <c r="F1621"/>
      <c r="G1621"/>
      <c r="M1621"/>
      <c r="N1621"/>
      <c r="O1621"/>
    </row>
    <row r="1622" spans="1:15" x14ac:dyDescent="0.2">
      <c r="A1622"/>
      <c r="B1622"/>
      <c r="C1622"/>
      <c r="F1622"/>
      <c r="G1622"/>
      <c r="M1622"/>
      <c r="N1622"/>
      <c r="O1622"/>
    </row>
    <row r="1623" spans="1:15" x14ac:dyDescent="0.2">
      <c r="A1623"/>
      <c r="B1623"/>
      <c r="C1623"/>
      <c r="F1623"/>
      <c r="G1623"/>
      <c r="H1623"/>
      <c r="I1623"/>
      <c r="L1623"/>
      <c r="N1623"/>
      <c r="O1623"/>
    </row>
    <row r="1624" spans="1:15" x14ac:dyDescent="0.2">
      <c r="A1624"/>
      <c r="B1624"/>
      <c r="C1624"/>
      <c r="F1624"/>
      <c r="G1624"/>
      <c r="H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I1629"/>
      <c r="L1629"/>
      <c r="M1629"/>
      <c r="N1629"/>
      <c r="O1629"/>
    </row>
    <row r="1630" spans="1:15" x14ac:dyDescent="0.2">
      <c r="A1630"/>
      <c r="B1630"/>
      <c r="C1630"/>
      <c r="F1630"/>
      <c r="G1630"/>
      <c r="I1630"/>
      <c r="L1630"/>
      <c r="M1630"/>
      <c r="N1630"/>
      <c r="O1630"/>
    </row>
    <row r="1631" spans="1:15" x14ac:dyDescent="0.2">
      <c r="A1631"/>
      <c r="B1631"/>
      <c r="C1631"/>
      <c r="F1631"/>
      <c r="G1631"/>
      <c r="I1631"/>
      <c r="L1631"/>
      <c r="M1631"/>
      <c r="N1631"/>
      <c r="O1631"/>
    </row>
    <row r="1632" spans="1:15" x14ac:dyDescent="0.2">
      <c r="A1632"/>
      <c r="B1632"/>
      <c r="C1632"/>
      <c r="F1632"/>
      <c r="G1632"/>
      <c r="H1632"/>
      <c r="J1632"/>
      <c r="L1632"/>
      <c r="M1632"/>
      <c r="N1632"/>
      <c r="O1632"/>
    </row>
    <row r="1633" spans="1:15" x14ac:dyDescent="0.2">
      <c r="A1633"/>
      <c r="B1633"/>
      <c r="C1633"/>
      <c r="F1633"/>
      <c r="G1633"/>
      <c r="L1633"/>
      <c r="M1633"/>
      <c r="N1633"/>
      <c r="O1633"/>
    </row>
    <row r="1634" spans="1:15" x14ac:dyDescent="0.2">
      <c r="A1634"/>
      <c r="B1634"/>
      <c r="C1634"/>
      <c r="F1634"/>
      <c r="G1634"/>
      <c r="H1634"/>
      <c r="J1634"/>
      <c r="K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I1641"/>
      <c r="L1641"/>
      <c r="M1641"/>
      <c r="N1641"/>
      <c r="O1641"/>
    </row>
    <row r="1642" spans="1:15" x14ac:dyDescent="0.2">
      <c r="A1642"/>
      <c r="B1642"/>
      <c r="C1642"/>
      <c r="F1642"/>
      <c r="G1642"/>
      <c r="H1642"/>
      <c r="J1642"/>
      <c r="K1642"/>
      <c r="L1642"/>
      <c r="M1642"/>
      <c r="N1642"/>
      <c r="O1642"/>
    </row>
    <row r="1643" spans="1:15" x14ac:dyDescent="0.2">
      <c r="A1643"/>
      <c r="B1643"/>
      <c r="C1643"/>
      <c r="F1643"/>
      <c r="G1643"/>
      <c r="I1643"/>
      <c r="L1643"/>
      <c r="M1643"/>
      <c r="N1643"/>
      <c r="O1643"/>
    </row>
    <row r="1644" spans="1:15" x14ac:dyDescent="0.2">
      <c r="A1644"/>
      <c r="B1644"/>
      <c r="C1644"/>
      <c r="F1644"/>
      <c r="G1644"/>
      <c r="J1644"/>
      <c r="K1644"/>
      <c r="L1644"/>
      <c r="M1644"/>
      <c r="N1644"/>
      <c r="O1644"/>
    </row>
    <row r="1645" spans="1:15" x14ac:dyDescent="0.2">
      <c r="A1645"/>
      <c r="B1645"/>
      <c r="C1645"/>
      <c r="F1645"/>
      <c r="G1645"/>
      <c r="L1645"/>
      <c r="M1645"/>
      <c r="N1645"/>
      <c r="O1645"/>
    </row>
    <row r="1646" spans="1:15" x14ac:dyDescent="0.2">
      <c r="A1646"/>
      <c r="B1646"/>
      <c r="C1646"/>
      <c r="F1646"/>
      <c r="G1646"/>
      <c r="H1646"/>
      <c r="I1646"/>
      <c r="L1646"/>
      <c r="N1646"/>
      <c r="O1646"/>
    </row>
    <row r="1647" spans="1:15" x14ac:dyDescent="0.2">
      <c r="A1647"/>
      <c r="B1647"/>
      <c r="C1647"/>
      <c r="F1647"/>
      <c r="G1647"/>
      <c r="I1647"/>
      <c r="L1647"/>
      <c r="M1647"/>
      <c r="N1647"/>
      <c r="O1647"/>
    </row>
    <row r="1648" spans="1:15" x14ac:dyDescent="0.2">
      <c r="A1648"/>
      <c r="B1648"/>
      <c r="C1648"/>
      <c r="F1648"/>
      <c r="G1648"/>
      <c r="I1648"/>
      <c r="L1648"/>
      <c r="M1648"/>
      <c r="N1648"/>
      <c r="O1648"/>
    </row>
    <row r="1649" spans="1:15" x14ac:dyDescent="0.2">
      <c r="A1649"/>
      <c r="B1649"/>
      <c r="C1649"/>
      <c r="F1649"/>
      <c r="G1649"/>
      <c r="H1649"/>
      <c r="I1649"/>
      <c r="L1649"/>
      <c r="N1649"/>
      <c r="O1649"/>
    </row>
    <row r="1650" spans="1:15" x14ac:dyDescent="0.2">
      <c r="A1650"/>
      <c r="B1650"/>
      <c r="C1650"/>
      <c r="F1650"/>
      <c r="G1650"/>
      <c r="H1650"/>
      <c r="I1650"/>
      <c r="L1650"/>
      <c r="M1650"/>
      <c r="N1650"/>
      <c r="O1650"/>
    </row>
    <row r="1651" spans="1:15" x14ac:dyDescent="0.2">
      <c r="A1651"/>
      <c r="B1651"/>
      <c r="C1651"/>
      <c r="F1651"/>
      <c r="G1651"/>
      <c r="I1651"/>
      <c r="L1651"/>
      <c r="M1651"/>
      <c r="N1651"/>
      <c r="O1651"/>
    </row>
    <row r="1652" spans="1:15" x14ac:dyDescent="0.2">
      <c r="A1652"/>
      <c r="B1652"/>
      <c r="C1652"/>
      <c r="F1652"/>
      <c r="G1652"/>
      <c r="J1652"/>
      <c r="K1652"/>
      <c r="M1652"/>
      <c r="N1652"/>
      <c r="O1652"/>
    </row>
    <row r="1653" spans="1:15" x14ac:dyDescent="0.2">
      <c r="A1653"/>
      <c r="B1653"/>
      <c r="C1653"/>
      <c r="F1653"/>
      <c r="G1653"/>
      <c r="H1653"/>
      <c r="I1653"/>
      <c r="L1653"/>
      <c r="M1653"/>
      <c r="N1653"/>
      <c r="O1653"/>
    </row>
    <row r="1654" spans="1:15" x14ac:dyDescent="0.2">
      <c r="A1654"/>
      <c r="B1654"/>
      <c r="C1654"/>
      <c r="F1654"/>
      <c r="G1654"/>
      <c r="I1654"/>
      <c r="L1654"/>
      <c r="M1654"/>
      <c r="N1654"/>
      <c r="O1654"/>
    </row>
    <row r="1655" spans="1:15" x14ac:dyDescent="0.2">
      <c r="A1655"/>
      <c r="B1655"/>
      <c r="C1655"/>
      <c r="F1655"/>
      <c r="G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N1657"/>
      <c r="O1657"/>
    </row>
    <row r="1658" spans="1:15" x14ac:dyDescent="0.2">
      <c r="A1658"/>
      <c r="B1658"/>
      <c r="C1658"/>
      <c r="F1658"/>
      <c r="G1658"/>
      <c r="I1658"/>
      <c r="L1658"/>
      <c r="M1658"/>
      <c r="N1658"/>
      <c r="O1658"/>
    </row>
    <row r="1659" spans="1:15" x14ac:dyDescent="0.2">
      <c r="A1659"/>
      <c r="B1659"/>
      <c r="C1659"/>
      <c r="F1659"/>
      <c r="G1659"/>
      <c r="I1659"/>
      <c r="L1659"/>
      <c r="M1659"/>
      <c r="N1659"/>
      <c r="O1659"/>
    </row>
    <row r="1660" spans="1:15" x14ac:dyDescent="0.2">
      <c r="A1660"/>
      <c r="B1660"/>
      <c r="C1660"/>
      <c r="F1660"/>
      <c r="G1660"/>
      <c r="L1660"/>
      <c r="M1660"/>
      <c r="N1660"/>
      <c r="O1660"/>
    </row>
    <row r="1661" spans="1:15" x14ac:dyDescent="0.2">
      <c r="A1661"/>
      <c r="B1661"/>
      <c r="C1661"/>
      <c r="F1661"/>
      <c r="G1661"/>
      <c r="L1661"/>
      <c r="M1661"/>
      <c r="N1661"/>
      <c r="O1661"/>
    </row>
    <row r="1662" spans="1:15" x14ac:dyDescent="0.2">
      <c r="A1662"/>
      <c r="B1662"/>
      <c r="C1662"/>
      <c r="F1662"/>
      <c r="G1662"/>
      <c r="H1662"/>
      <c r="L1662"/>
      <c r="M1662"/>
      <c r="N1662"/>
      <c r="O1662"/>
    </row>
    <row r="1663" spans="1:15" x14ac:dyDescent="0.2">
      <c r="A1663"/>
      <c r="B1663"/>
      <c r="C1663"/>
      <c r="F1663"/>
      <c r="G1663"/>
      <c r="H1663"/>
      <c r="I1663"/>
      <c r="L1663"/>
      <c r="M1663"/>
      <c r="N1663"/>
      <c r="O1663"/>
    </row>
    <row r="1664" spans="1:15" x14ac:dyDescent="0.2">
      <c r="A1664"/>
      <c r="B1664"/>
      <c r="C1664"/>
      <c r="F1664"/>
      <c r="G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M1666"/>
      <c r="N1666"/>
      <c r="O1666"/>
    </row>
    <row r="1667" spans="1:15" x14ac:dyDescent="0.2">
      <c r="A1667"/>
      <c r="B1667"/>
      <c r="C1667"/>
      <c r="F1667"/>
      <c r="G1667"/>
      <c r="L1667"/>
      <c r="M1667"/>
      <c r="N1667"/>
      <c r="O1667"/>
    </row>
    <row r="1668" spans="1:15" x14ac:dyDescent="0.2">
      <c r="A1668"/>
      <c r="B1668"/>
      <c r="C1668"/>
      <c r="F1668"/>
      <c r="G1668"/>
      <c r="I1668"/>
      <c r="L1668"/>
      <c r="M1668"/>
      <c r="N1668"/>
      <c r="O1668"/>
    </row>
    <row r="1669" spans="1:15" x14ac:dyDescent="0.2">
      <c r="A1669"/>
      <c r="B1669"/>
      <c r="C1669"/>
      <c r="F1669"/>
      <c r="G1669"/>
      <c r="I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L1676"/>
      <c r="M1676"/>
      <c r="N1676"/>
      <c r="O1676"/>
    </row>
    <row r="1677" spans="1:15" x14ac:dyDescent="0.2">
      <c r="A1677"/>
      <c r="B1677"/>
      <c r="C1677"/>
      <c r="F1677"/>
      <c r="G1677"/>
      <c r="I1677"/>
      <c r="L1677"/>
      <c r="M1677"/>
      <c r="N1677"/>
      <c r="O1677"/>
    </row>
    <row r="1678" spans="1:15" x14ac:dyDescent="0.2">
      <c r="A1678"/>
      <c r="B1678"/>
      <c r="C1678"/>
      <c r="F1678"/>
      <c r="G1678"/>
      <c r="H1678"/>
      <c r="I1678"/>
      <c r="L1678"/>
      <c r="M1678"/>
      <c r="N1678"/>
      <c r="O1678"/>
    </row>
    <row r="1679" spans="1:15" x14ac:dyDescent="0.2">
      <c r="A1679"/>
      <c r="B1679"/>
      <c r="C1679"/>
      <c r="F1679"/>
      <c r="G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I1685"/>
      <c r="L1685"/>
      <c r="M1685"/>
      <c r="N1685"/>
      <c r="O1685"/>
    </row>
    <row r="1686" spans="1:15" x14ac:dyDescent="0.2">
      <c r="A1686"/>
      <c r="B1686"/>
      <c r="C1686"/>
      <c r="F1686"/>
      <c r="G1686"/>
      <c r="H1686"/>
      <c r="I1686"/>
      <c r="L1686"/>
      <c r="M1686"/>
      <c r="N1686"/>
      <c r="O1686"/>
    </row>
    <row r="1687" spans="1:15" x14ac:dyDescent="0.2">
      <c r="A1687"/>
      <c r="B1687"/>
      <c r="C1687"/>
      <c r="F1687"/>
      <c r="G1687"/>
      <c r="H1687"/>
      <c r="I1687"/>
      <c r="L1687"/>
      <c r="M1687"/>
      <c r="N1687"/>
      <c r="O1687"/>
    </row>
    <row r="1688" spans="1:15" x14ac:dyDescent="0.2">
      <c r="A1688"/>
      <c r="B1688"/>
      <c r="C1688"/>
      <c r="F1688"/>
      <c r="G1688"/>
      <c r="H1688"/>
      <c r="I1688"/>
      <c r="L1688"/>
      <c r="M1688"/>
      <c r="N1688"/>
      <c r="O1688"/>
    </row>
    <row r="1689" spans="1:15" x14ac:dyDescent="0.2">
      <c r="A1689"/>
      <c r="B1689"/>
      <c r="C1689"/>
      <c r="F1689"/>
      <c r="G1689"/>
      <c r="H1689"/>
      <c r="I1689"/>
      <c r="J1689"/>
      <c r="K1689"/>
      <c r="L1689"/>
      <c r="M1689"/>
      <c r="N1689"/>
      <c r="O1689"/>
    </row>
    <row r="1690" spans="1:15" x14ac:dyDescent="0.2">
      <c r="A1690"/>
      <c r="B1690"/>
      <c r="C1690"/>
      <c r="F1690"/>
      <c r="G1690"/>
      <c r="I1690"/>
      <c r="L1690"/>
      <c r="M1690"/>
      <c r="N1690"/>
      <c r="O1690"/>
    </row>
    <row r="1691" spans="1:15" x14ac:dyDescent="0.2">
      <c r="A1691"/>
      <c r="B1691"/>
      <c r="C1691"/>
      <c r="F1691"/>
      <c r="G1691"/>
      <c r="H1691"/>
      <c r="I1691"/>
      <c r="L1691"/>
      <c r="M1691"/>
      <c r="N1691"/>
      <c r="O1691"/>
    </row>
    <row r="1692" spans="1:15" x14ac:dyDescent="0.2">
      <c r="A1692"/>
      <c r="B1692"/>
      <c r="C1692"/>
      <c r="F1692"/>
      <c r="G1692"/>
      <c r="H1692"/>
      <c r="I1692"/>
      <c r="L1692"/>
      <c r="M1692"/>
      <c r="N1692"/>
      <c r="O1692"/>
    </row>
    <row r="1693" spans="1:15" x14ac:dyDescent="0.2">
      <c r="A1693"/>
      <c r="B1693"/>
      <c r="C1693"/>
      <c r="F1693"/>
      <c r="G1693"/>
      <c r="H1693"/>
      <c r="J1693"/>
      <c r="K1693"/>
      <c r="L1693"/>
      <c r="M1693"/>
      <c r="N1693"/>
      <c r="O1693"/>
    </row>
    <row r="1694" spans="1:15" x14ac:dyDescent="0.2">
      <c r="A1694"/>
      <c r="B1694"/>
      <c r="C1694"/>
      <c r="F1694"/>
      <c r="G1694"/>
      <c r="H1694"/>
      <c r="J1694"/>
      <c r="K1694"/>
      <c r="L1694"/>
      <c r="M1694"/>
      <c r="N1694"/>
      <c r="O1694"/>
    </row>
    <row r="1695" spans="1:15" x14ac:dyDescent="0.2">
      <c r="A1695"/>
      <c r="B1695"/>
      <c r="C1695"/>
      <c r="F1695"/>
      <c r="G1695"/>
      <c r="H1695"/>
      <c r="J1695"/>
      <c r="K1695"/>
      <c r="L1695"/>
      <c r="M1695"/>
      <c r="N1695"/>
      <c r="O1695"/>
    </row>
    <row r="1696" spans="1:15" x14ac:dyDescent="0.2">
      <c r="A1696"/>
      <c r="B1696"/>
      <c r="C1696"/>
      <c r="F1696"/>
      <c r="G1696"/>
      <c r="H1696"/>
      <c r="L1696"/>
      <c r="M1696"/>
      <c r="N1696"/>
      <c r="O1696"/>
    </row>
    <row r="1697" spans="1:15" x14ac:dyDescent="0.2">
      <c r="A1697"/>
      <c r="B1697"/>
      <c r="C1697"/>
      <c r="F1697"/>
      <c r="G1697"/>
      <c r="H1697"/>
      <c r="J1697"/>
      <c r="K1697"/>
      <c r="L1697"/>
      <c r="M1697"/>
      <c r="N1697"/>
      <c r="O1697"/>
    </row>
    <row r="1698" spans="1:15" x14ac:dyDescent="0.2">
      <c r="A1698"/>
      <c r="B1698"/>
      <c r="C1698"/>
      <c r="F1698"/>
      <c r="G1698"/>
      <c r="H1698"/>
      <c r="L1698"/>
      <c r="M1698"/>
      <c r="N1698"/>
      <c r="O1698"/>
    </row>
    <row r="1699" spans="1:15" x14ac:dyDescent="0.2">
      <c r="A1699"/>
      <c r="B1699"/>
      <c r="C1699"/>
      <c r="F1699"/>
      <c r="G1699"/>
      <c r="H1699"/>
      <c r="J1699"/>
      <c r="K1699"/>
      <c r="L1699"/>
      <c r="M1699"/>
      <c r="N1699"/>
      <c r="O1699"/>
    </row>
    <row r="1700" spans="1:15" x14ac:dyDescent="0.2">
      <c r="A1700"/>
      <c r="B1700"/>
      <c r="C1700"/>
      <c r="F1700"/>
      <c r="G1700"/>
      <c r="I1700"/>
      <c r="L1700"/>
      <c r="M1700"/>
      <c r="N1700"/>
      <c r="O1700"/>
    </row>
    <row r="1701" spans="1:15" x14ac:dyDescent="0.2">
      <c r="A1701"/>
      <c r="B1701"/>
      <c r="C1701"/>
      <c r="F1701"/>
      <c r="G1701"/>
      <c r="I1701"/>
      <c r="L1701"/>
      <c r="M1701"/>
      <c r="N1701"/>
      <c r="O1701"/>
    </row>
    <row r="1702" spans="1:15" x14ac:dyDescent="0.2">
      <c r="A1702"/>
      <c r="B1702"/>
      <c r="C1702"/>
      <c r="F1702"/>
      <c r="G1702"/>
      <c r="H1702"/>
      <c r="L1702"/>
      <c r="M1702"/>
      <c r="N1702"/>
      <c r="O1702"/>
    </row>
    <row r="1703" spans="1:15" x14ac:dyDescent="0.2">
      <c r="A1703"/>
      <c r="B1703"/>
      <c r="C1703"/>
      <c r="F1703"/>
      <c r="G1703"/>
      <c r="H1703"/>
      <c r="I1703"/>
      <c r="L1703"/>
      <c r="M1703"/>
      <c r="N1703"/>
      <c r="O1703"/>
    </row>
    <row r="1704" spans="1:15" x14ac:dyDescent="0.2">
      <c r="A1704"/>
      <c r="B1704"/>
      <c r="C1704"/>
      <c r="F1704"/>
      <c r="G1704"/>
      <c r="H1704"/>
      <c r="I1704"/>
      <c r="L1704"/>
      <c r="M1704"/>
      <c r="N1704"/>
      <c r="O1704"/>
    </row>
    <row r="1705" spans="1:15" x14ac:dyDescent="0.2">
      <c r="A1705"/>
      <c r="B1705"/>
      <c r="C1705"/>
      <c r="F1705"/>
      <c r="G1705"/>
      <c r="I1705"/>
      <c r="L1705"/>
      <c r="M1705"/>
      <c r="N1705"/>
      <c r="O1705"/>
    </row>
    <row r="1706" spans="1:15" x14ac:dyDescent="0.2">
      <c r="A1706"/>
      <c r="B1706"/>
      <c r="C1706"/>
      <c r="F1706"/>
      <c r="G1706"/>
      <c r="I1706"/>
      <c r="L1706"/>
      <c r="M1706"/>
      <c r="N1706"/>
      <c r="O1706"/>
    </row>
    <row r="1707" spans="1:15" x14ac:dyDescent="0.2">
      <c r="A1707"/>
      <c r="B1707"/>
      <c r="C1707"/>
      <c r="F1707"/>
      <c r="G1707"/>
      <c r="H1707"/>
      <c r="I1707"/>
      <c r="L1707"/>
      <c r="M1707"/>
      <c r="N1707"/>
      <c r="O1707"/>
    </row>
    <row r="1708" spans="1:15" x14ac:dyDescent="0.2">
      <c r="A1708"/>
      <c r="B1708"/>
      <c r="C1708"/>
      <c r="F1708"/>
      <c r="G1708"/>
      <c r="H1708"/>
      <c r="I1708"/>
      <c r="L1708"/>
      <c r="N1708"/>
      <c r="O1708"/>
    </row>
    <row r="1709" spans="1:15" x14ac:dyDescent="0.2">
      <c r="A1709"/>
      <c r="B1709"/>
      <c r="C1709"/>
      <c r="F1709"/>
      <c r="G1709"/>
      <c r="H1709"/>
      <c r="I1709"/>
      <c r="L1709"/>
      <c r="M1709"/>
      <c r="N1709"/>
      <c r="O1709"/>
    </row>
    <row r="1710" spans="1:15" x14ac:dyDescent="0.2">
      <c r="A1710"/>
      <c r="B1710"/>
      <c r="C1710"/>
      <c r="F1710"/>
      <c r="G1710"/>
      <c r="H1710"/>
      <c r="I1710"/>
      <c r="L1710"/>
      <c r="N1710"/>
      <c r="O1710"/>
    </row>
    <row r="1711" spans="1:15" x14ac:dyDescent="0.2">
      <c r="A1711"/>
      <c r="B1711"/>
      <c r="C1711"/>
      <c r="F1711"/>
      <c r="G1711"/>
      <c r="L1711"/>
      <c r="M1711"/>
      <c r="N1711"/>
      <c r="O1711"/>
    </row>
  </sheetData>
  <sheetProtection autoFilter="0"/>
  <phoneticPr fontId="22"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2"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F18" sqref="F18"/>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67"/>
      <c r="E2" s="467"/>
    </row>
    <row r="3" spans="1:5" x14ac:dyDescent="0.2">
      <c r="A3"/>
      <c r="B3"/>
      <c r="C3"/>
      <c r="D3" s="467"/>
      <c r="E3" s="467"/>
    </row>
    <row r="4" spans="1:5" x14ac:dyDescent="0.2">
      <c r="A4"/>
      <c r="B4"/>
      <c r="C4"/>
      <c r="D4" s="467"/>
      <c r="E4" s="467"/>
    </row>
    <row r="5" spans="1:5" x14ac:dyDescent="0.2">
      <c r="A5"/>
      <c r="B5"/>
      <c r="C5"/>
      <c r="D5" s="467"/>
      <c r="E5" s="467"/>
    </row>
    <row r="6" spans="1:5" x14ac:dyDescent="0.2">
      <c r="A6"/>
      <c r="B6"/>
      <c r="C6"/>
      <c r="D6" s="467"/>
      <c r="E6" s="467"/>
    </row>
    <row r="7" spans="1:5" x14ac:dyDescent="0.2">
      <c r="A7"/>
      <c r="B7"/>
      <c r="C7"/>
      <c r="D7" s="467"/>
      <c r="E7" s="467"/>
    </row>
    <row r="8" spans="1:5" x14ac:dyDescent="0.2">
      <c r="A8"/>
      <c r="B8"/>
      <c r="C8"/>
      <c r="D8" s="467"/>
      <c r="E8" s="467"/>
    </row>
    <row r="9" spans="1:5" x14ac:dyDescent="0.2">
      <c r="A9"/>
      <c r="B9"/>
      <c r="C9"/>
      <c r="D9" s="467"/>
      <c r="E9" s="467"/>
    </row>
  </sheetData>
  <sheetProtection autoFilter="0"/>
  <pageMargins left="0.7" right="0.7" top="0.75" bottom="0.75" header="0.3" footer="0.3"/>
  <pageSetup orientation="portrait" horizontalDpi="4294967295" verticalDpi="4294967295"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186</v>
      </c>
      <c r="J2" s="117"/>
      <c r="K2" s="117"/>
      <c r="L2" s="117"/>
      <c r="M2" s="605" t="s">
        <v>99</v>
      </c>
      <c r="N2" s="605"/>
      <c r="O2" s="605"/>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606" t="s">
        <v>100</v>
      </c>
      <c r="N3" s="607"/>
      <c r="O3" s="608"/>
      <c r="P3" s="102"/>
      <c r="Q3" s="102"/>
    </row>
    <row r="4" spans="1:18" ht="15" x14ac:dyDescent="0.25">
      <c r="B4" s="112" t="s">
        <v>25</v>
      </c>
      <c r="C4" s="59"/>
      <c r="D4" s="36"/>
      <c r="E4" s="36"/>
      <c r="F4" s="36"/>
      <c r="G4" s="36"/>
      <c r="H4" s="36"/>
      <c r="I4" s="36"/>
      <c r="J4" s="36"/>
      <c r="K4" s="36"/>
      <c r="L4" s="36"/>
      <c r="M4" s="609" t="s">
        <v>135</v>
      </c>
      <c r="N4" s="610"/>
      <c r="O4" s="611"/>
      <c r="P4" s="84"/>
    </row>
    <row r="5" spans="1:18" x14ac:dyDescent="0.2">
      <c r="B5" s="113" t="s">
        <v>26</v>
      </c>
      <c r="C5" s="53">
        <f>Main!D3</f>
        <v>0</v>
      </c>
      <c r="D5" s="36"/>
      <c r="E5" s="36"/>
      <c r="F5" s="36"/>
      <c r="G5" s="36"/>
      <c r="H5" s="36"/>
      <c r="I5" s="51" t="s">
        <v>4</v>
      </c>
      <c r="J5" s="36" t="e">
        <f>Main!D5</f>
        <v>#N/A</v>
      </c>
      <c r="L5" s="36"/>
      <c r="M5" s="612" t="s">
        <v>134</v>
      </c>
      <c r="N5" s="613"/>
      <c r="O5" s="614"/>
      <c r="P5" s="128"/>
    </row>
    <row r="6" spans="1:18" ht="13.5" thickBot="1" x14ac:dyDescent="0.25">
      <c r="B6" s="113" t="s">
        <v>3</v>
      </c>
      <c r="C6" s="54" t="e">
        <f>Main!D6</f>
        <v>#N/A</v>
      </c>
      <c r="D6" s="36"/>
      <c r="E6" s="36"/>
      <c r="F6" s="36"/>
      <c r="G6" s="36"/>
      <c r="H6" s="36"/>
      <c r="I6" s="51" t="s">
        <v>5</v>
      </c>
      <c r="J6" s="50">
        <f>Main!D16</f>
        <v>0</v>
      </c>
      <c r="L6" s="36"/>
      <c r="M6" s="615" t="str">
        <f>IF(MaxMode,"","In 1/2 Tolerance")</f>
        <v>In 1/2 Tolerance</v>
      </c>
      <c r="N6" s="616"/>
      <c r="O6" s="617"/>
      <c r="P6" s="85"/>
    </row>
    <row r="7" spans="1:18" ht="13.5" thickBot="1" x14ac:dyDescent="0.25">
      <c r="B7" s="113" t="s">
        <v>27</v>
      </c>
      <c r="C7" s="54" t="str">
        <f>Main!D7</f>
        <v>Jeff Hall</v>
      </c>
      <c r="D7" s="36"/>
      <c r="E7" s="36"/>
      <c r="F7" s="36"/>
      <c r="G7" s="36"/>
      <c r="H7" s="36"/>
      <c r="I7" s="56" t="s">
        <v>153</v>
      </c>
      <c r="J7" s="603">
        <f>Main!$D$30</f>
        <v>0</v>
      </c>
      <c r="K7" s="604"/>
      <c r="L7" s="99"/>
      <c r="M7" s="602" t="s">
        <v>133</v>
      </c>
      <c r="N7" s="602"/>
      <c r="O7" s="602"/>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2" customFormat="1" x14ac:dyDescent="0.2">
      <c r="A12" s="391"/>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gSjK3aDYsUeME4xVlOLgRlkm7P7IOqjlNNiuTFbYXFzlwsG77r6u2UDgct3kxUnZONuwz4OolzGuHrQUnFE7Tg==" saltValue="8Bp/zLIrDZwinxF4HRij8w==" spinCount="100000" sheet="1" scenarios="1" selectLockedCells="1" autoFilter="0" selectUnlockedCells="1"/>
  <mergeCells count="7">
    <mergeCell ref="M7:O7"/>
    <mergeCell ref="J7:K7"/>
    <mergeCell ref="M2:O2"/>
    <mergeCell ref="M3:O3"/>
    <mergeCell ref="M4:O4"/>
    <mergeCell ref="M5:O5"/>
    <mergeCell ref="M6:O6"/>
  </mergeCells>
  <phoneticPr fontId="22" type="noConversion"/>
  <conditionalFormatting sqref="C14:P903">
    <cfRule type="expression" dxfId="62" priority="1">
      <formula>AND(ROW() &gt;= $Q$1, ROW() &lt;= $Q$2)</formula>
    </cfRule>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186</v>
      </c>
      <c r="M2" s="618" t="s">
        <v>99</v>
      </c>
      <c r="N2" s="618"/>
      <c r="O2" s="618"/>
      <c r="P2" s="290" t="str">
        <f>IF(Main!$E$30="","A10",ADDRESS(13+Standards_Info!W2+(MATCH(Main!$E$30,Data_Sheet!$A$14:$A$903,0)),1,4))</f>
        <v>A10</v>
      </c>
      <c r="Q2" s="290">
        <f>VALUE(MID(P2, 2, LEN(P2)-1))</f>
        <v>10</v>
      </c>
    </row>
    <row r="3" spans="1:17" ht="15" x14ac:dyDescent="0.25">
      <c r="B3" s="125" t="s">
        <v>0</v>
      </c>
      <c r="C3" s="3"/>
      <c r="M3" s="606" t="s">
        <v>100</v>
      </c>
      <c r="N3" s="607"/>
      <c r="O3" s="608"/>
      <c r="P3" s="39"/>
    </row>
    <row r="4" spans="1:17" ht="15" x14ac:dyDescent="0.25">
      <c r="B4" s="112" t="s">
        <v>25</v>
      </c>
      <c r="C4" s="4"/>
      <c r="M4" s="609" t="s">
        <v>135</v>
      </c>
      <c r="N4" s="610"/>
      <c r="O4" s="611"/>
    </row>
    <row r="5" spans="1:17" x14ac:dyDescent="0.2">
      <c r="B5" s="113" t="s">
        <v>26</v>
      </c>
      <c r="C5" s="53">
        <f>Main!D3</f>
        <v>0</v>
      </c>
      <c r="D5" s="36"/>
      <c r="E5" s="36"/>
      <c r="F5" s="36"/>
      <c r="G5" s="36"/>
      <c r="H5" s="36"/>
      <c r="I5" s="51" t="s">
        <v>4</v>
      </c>
      <c r="J5" t="e">
        <f>Main!D5</f>
        <v>#N/A</v>
      </c>
      <c r="M5" s="619" t="s">
        <v>134</v>
      </c>
      <c r="N5" s="620"/>
      <c r="O5" s="621"/>
    </row>
    <row r="6" spans="1:17" ht="13.5" thickBot="1" x14ac:dyDescent="0.25">
      <c r="B6" s="113" t="s">
        <v>3</v>
      </c>
      <c r="C6" s="54" t="e">
        <f>Main!D6</f>
        <v>#N/A</v>
      </c>
      <c r="D6" s="36"/>
      <c r="E6" s="36"/>
      <c r="F6" s="36"/>
      <c r="G6" s="36"/>
      <c r="H6" s="36"/>
      <c r="I6" s="51" t="s">
        <v>5</v>
      </c>
      <c r="J6" s="38">
        <f>Main!D16</f>
        <v>0</v>
      </c>
      <c r="M6" s="615" t="str">
        <f>IF(MaxMode,"","In 1/2 Tolerance")</f>
        <v>In 1/2 Tolerance</v>
      </c>
      <c r="N6" s="616"/>
      <c r="O6" s="617"/>
    </row>
    <row r="7" spans="1:17" ht="13.5" thickBot="1" x14ac:dyDescent="0.25">
      <c r="B7" s="113" t="s">
        <v>27</v>
      </c>
      <c r="C7" s="54" t="str">
        <f>Main!D7</f>
        <v>Jeff Hall</v>
      </c>
      <c r="D7" s="36"/>
      <c r="E7" s="36"/>
      <c r="F7" s="36"/>
      <c r="G7" s="36"/>
      <c r="H7" s="36"/>
      <c r="I7" s="56" t="s">
        <v>153</v>
      </c>
      <c r="J7" s="603">
        <f>Main!$D$30</f>
        <v>0</v>
      </c>
      <c r="K7" s="604"/>
      <c r="L7" s="99"/>
      <c r="M7" s="602" t="s">
        <v>133</v>
      </c>
      <c r="N7" s="602"/>
      <c r="O7" s="602"/>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4" customFormat="1" x14ac:dyDescent="0.2">
      <c r="A12" s="393"/>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J0v599KbUexQvEA4IjMaIWzK+bCcCfK9gpoZvDMFMFee7gDcfDrToS1XxVOoDqaLIH7cFN9/UPbWgzthIShqQQ==" saltValue="O/YMpd9odfayqGf4qO27Ag==" spinCount="100000" sheet="1" scenarios="1" selectLockedCells="1" autoFilter="0" selectUnlockedCells="1"/>
  <mergeCells count="7">
    <mergeCell ref="J7:K7"/>
    <mergeCell ref="M2:O2"/>
    <mergeCell ref="M7:O7"/>
    <mergeCell ref="M3:O3"/>
    <mergeCell ref="M4:O4"/>
    <mergeCell ref="M5:O5"/>
    <mergeCell ref="M6:O6"/>
  </mergeCells>
  <phoneticPr fontId="22" type="noConversion"/>
  <conditionalFormatting sqref="C14:P903">
    <cfRule type="cellIs" dxfId="57" priority="2" stopIfTrue="1" operator="between">
      <formula>HalfTolMin</formula>
      <formula>HalfTolMax</formula>
    </cfRule>
    <cfRule type="cellIs" dxfId="56" priority="3" stopIfTrue="1" operator="greaterThan">
      <formula>TolMax</formula>
    </cfRule>
    <cfRule type="cellIs" dxfId="55" priority="4" stopIfTrue="1" operator="lessThan">
      <formula>TolMin</formula>
    </cfRule>
    <cfRule type="cellIs" dxfId="54" priority="5" stopIfTrue="1" operator="between">
      <formula>TolMin</formula>
      <formula>TolMax</formula>
    </cfRule>
  </conditionalFormatting>
  <conditionalFormatting sqref="B14:P903">
    <cfRule type="expression" dxfId="53"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186</v>
      </c>
      <c r="M2" s="618" t="s">
        <v>99</v>
      </c>
      <c r="N2" s="618"/>
      <c r="O2" s="618"/>
      <c r="P2" s="290" t="str">
        <f>IF(Main!$E$30="","A10",ADDRESS(13+Standards_Info!W2+(MATCH(Main!$E$30,Data_Sheet!$A$14:$A$903,0)),1,4))</f>
        <v>A10</v>
      </c>
      <c r="Q2" s="290">
        <f>VALUE(MID(P2, 2, LEN(P2)-1))</f>
        <v>10</v>
      </c>
    </row>
    <row r="3" spans="1:17" ht="15" x14ac:dyDescent="0.25">
      <c r="B3" s="125" t="s">
        <v>0</v>
      </c>
      <c r="C3" s="3"/>
      <c r="M3" s="606" t="s">
        <v>100</v>
      </c>
      <c r="N3" s="607"/>
      <c r="O3" s="608"/>
      <c r="P3" s="39"/>
    </row>
    <row r="4" spans="1:17" ht="15" x14ac:dyDescent="0.25">
      <c r="B4" s="112" t="s">
        <v>25</v>
      </c>
      <c r="C4" s="4"/>
      <c r="M4" s="609" t="s">
        <v>135</v>
      </c>
      <c r="N4" s="610"/>
      <c r="O4" s="611"/>
    </row>
    <row r="5" spans="1:17" x14ac:dyDescent="0.2">
      <c r="B5" s="113" t="s">
        <v>26</v>
      </c>
      <c r="C5" s="53">
        <f>Main!D3</f>
        <v>0</v>
      </c>
      <c r="D5" s="36"/>
      <c r="E5" s="36"/>
      <c r="F5" s="36"/>
      <c r="G5" s="36"/>
      <c r="H5" s="36"/>
      <c r="I5" s="51" t="s">
        <v>4</v>
      </c>
      <c r="J5" s="36" t="e">
        <f>Main!D5</f>
        <v>#N/A</v>
      </c>
      <c r="L5" s="36"/>
      <c r="M5" s="612" t="s">
        <v>134</v>
      </c>
      <c r="N5" s="613"/>
      <c r="O5" s="614"/>
    </row>
    <row r="6" spans="1:17" ht="13.5" thickBot="1" x14ac:dyDescent="0.25">
      <c r="B6" s="113" t="s">
        <v>3</v>
      </c>
      <c r="C6" s="54" t="e">
        <f>Main!D6</f>
        <v>#N/A</v>
      </c>
      <c r="D6" s="36"/>
      <c r="E6" s="36"/>
      <c r="F6" s="36"/>
      <c r="G6" s="36"/>
      <c r="H6" s="36"/>
      <c r="I6" s="51" t="s">
        <v>5</v>
      </c>
      <c r="J6" s="50">
        <f>Main!D16</f>
        <v>0</v>
      </c>
      <c r="L6" s="36"/>
      <c r="M6" s="615" t="str">
        <f>IF(MaxMode,"","In 1/2 Tolerance")</f>
        <v>In 1/2 Tolerance</v>
      </c>
      <c r="N6" s="616"/>
      <c r="O6" s="617"/>
    </row>
    <row r="7" spans="1:17" ht="13.5" thickBot="1" x14ac:dyDescent="0.25">
      <c r="B7" s="113" t="s">
        <v>27</v>
      </c>
      <c r="C7" s="54" t="str">
        <f>Main!D7</f>
        <v>Jeff Hall</v>
      </c>
      <c r="D7" s="36"/>
      <c r="E7" s="36"/>
      <c r="F7" s="36"/>
      <c r="G7" s="36"/>
      <c r="H7" s="36"/>
      <c r="I7" s="56" t="s">
        <v>153</v>
      </c>
      <c r="J7" s="603">
        <f>Main!$D$30</f>
        <v>0</v>
      </c>
      <c r="K7" s="604"/>
      <c r="L7" s="99"/>
      <c r="M7" s="602" t="s">
        <v>133</v>
      </c>
      <c r="N7" s="602"/>
      <c r="O7" s="602"/>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4" customFormat="1" x14ac:dyDescent="0.2">
      <c r="A12" s="393"/>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XI0i9XT/bxLC/IeFSutt9azxzKk9KGdT8IhZsnG5FbRRxQd7GrCk1jZOcoaMG2PI+Nti7t+6zh4dLiH14zs/yQ==" saltValue="ISquakvpuYzvsxaSIMpt3A==" spinCount="100000" sheet="1" scenarios="1" selectLockedCells="1" autoFilter="0" selectUnlockedCells="1"/>
  <mergeCells count="7">
    <mergeCell ref="J7:K7"/>
    <mergeCell ref="M6:O6"/>
    <mergeCell ref="M7:O7"/>
    <mergeCell ref="M2:O2"/>
    <mergeCell ref="M3:O3"/>
    <mergeCell ref="M4:O4"/>
    <mergeCell ref="M5:O5"/>
  </mergeCells>
  <phoneticPr fontId="22" type="noConversion"/>
  <conditionalFormatting sqref="C14:P903">
    <cfRule type="cellIs" dxfId="52" priority="2" stopIfTrue="1" operator="between">
      <formula>HalfTolMin</formula>
      <formula>HalfTolMax</formula>
    </cfRule>
    <cfRule type="cellIs" dxfId="51" priority="3" stopIfTrue="1" operator="greaterThan">
      <formula>TolMax</formula>
    </cfRule>
    <cfRule type="cellIs" dxfId="50" priority="4" stopIfTrue="1" operator="lessThan">
      <formula>TolMin</formula>
    </cfRule>
    <cfRule type="cellIs" dxfId="49" priority="6" stopIfTrue="1" operator="between">
      <formula>TolMin</formula>
      <formula>TolMax</formula>
    </cfRule>
  </conditionalFormatting>
  <conditionalFormatting sqref="B14:P903">
    <cfRule type="expression" dxfId="48"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4"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0" t="s">
        <v>14</v>
      </c>
      <c r="B9" s="15"/>
      <c r="C9" s="441" t="str" cm="1">
        <f t="array" ref="C9">IFERROR(_xlfn._TRO_TRAILING(Main!$B37:$C37),"")</f>
        <v/>
      </c>
      <c r="D9" s="16"/>
      <c r="E9" s="16" t="s">
        <v>15</v>
      </c>
      <c r="F9" s="441" t="str" cm="1">
        <f t="array" ref="F9">IFERROR(_xlfn._TRO_TRAILING(Main!B38:C38),"")</f>
        <v/>
      </c>
      <c r="G9" s="16"/>
      <c r="H9" s="16" t="s">
        <v>15</v>
      </c>
      <c r="I9" s="441" t="str" cm="1">
        <f t="array" ref="I9">IFERROR(_xlfn._TRO_TRAILING(Main!$B39:$C39),"")</f>
        <v/>
      </c>
      <c r="J9" s="16"/>
      <c r="K9" s="16" t="s">
        <v>15</v>
      </c>
      <c r="L9" s="441"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39"/>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39"/>
      <c r="R11" s="272"/>
      <c r="S11" s="271"/>
      <c r="T11" s="273" t="s">
        <v>318</v>
      </c>
      <c r="U11" s="276" t="s">
        <v>319</v>
      </c>
      <c r="V11" s="276" t="s">
        <v>320</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39"/>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3" t="str">
        <f>Main!A37</f>
        <v/>
      </c>
      <c r="E19" s="11" t="str" cm="1">
        <f t="array" ref="E19">IF(OR(P16:P23=1),"CHECK READINGS!!!","")</f>
        <v/>
      </c>
      <c r="F19" s="13"/>
      <c r="G19" s="414" t="str">
        <f>Main!A38</f>
        <v/>
      </c>
      <c r="H19" s="11" t="str" cm="1">
        <f t="array" ref="H19">IF(OR(S16:S23=1),"CHECK READINGS!!!","")</f>
        <v/>
      </c>
      <c r="I19" s="13"/>
      <c r="J19" s="414" t="str">
        <f>Main!A39</f>
        <v/>
      </c>
      <c r="K19" s="13" t="str">
        <f>IF(ISNUMBER(SEARCH(".",K10)),".","")</f>
        <v/>
      </c>
      <c r="L19" s="13"/>
      <c r="M19" s="414"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0" t="s">
        <v>14</v>
      </c>
      <c r="B21" s="15"/>
      <c r="C21" s="441" t="str" cm="1">
        <f t="array" ref="C21">IFERROR(_xlfn._TRO_TRAILING(Main!$B41:$C41),"")</f>
        <v/>
      </c>
      <c r="D21" s="16"/>
      <c r="E21" s="16" t="s">
        <v>15</v>
      </c>
      <c r="F21" s="441" t="str" cm="1">
        <f t="array" ref="F21">IFERROR(_xlfn._TRO_TRAILING(Main!$B42:$C42),"")</f>
        <v/>
      </c>
      <c r="G21" s="16"/>
      <c r="H21" s="16" t="s">
        <v>15</v>
      </c>
      <c r="I21" s="441" t="str" cm="1">
        <f t="array" ref="I21">IFERROR(_xlfn._TRO_TRAILING(Main!$B43:$C43),"")</f>
        <v/>
      </c>
      <c r="J21" s="16"/>
      <c r="K21" s="16" t="s">
        <v>15</v>
      </c>
      <c r="L21" s="441"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5" t="str">
        <f>Main!A41</f>
        <v/>
      </c>
      <c r="E31" s="20"/>
      <c r="F31" s="19"/>
      <c r="G31" s="415" t="str">
        <f>Main!A42</f>
        <v/>
      </c>
      <c r="H31" s="20"/>
      <c r="I31" s="19"/>
      <c r="J31" s="415" t="str">
        <f>Main!A43</f>
        <v/>
      </c>
      <c r="K31" s="20"/>
      <c r="L31" s="19"/>
      <c r="M31" s="415" t="str">
        <f>Main!A44</f>
        <v/>
      </c>
      <c r="N31" s="20"/>
    </row>
    <row r="32" spans="1:22" x14ac:dyDescent="0.25">
      <c r="C32" s="21" t="s">
        <v>16</v>
      </c>
      <c r="D32" s="622" t="s">
        <v>17</v>
      </c>
      <c r="E32" s="622"/>
      <c r="F32" s="622"/>
      <c r="G32" s="622"/>
      <c r="H32" s="622"/>
      <c r="I32" s="622"/>
      <c r="J32" s="622"/>
      <c r="K32" s="622"/>
      <c r="L32" s="622"/>
      <c r="M32" s="622"/>
    </row>
    <row r="33" spans="1:14" ht="15" customHeight="1" x14ac:dyDescent="0.25">
      <c r="D33" s="623"/>
      <c r="E33" s="623"/>
      <c r="F33" s="623"/>
      <c r="G33" s="623"/>
      <c r="H33" s="623"/>
      <c r="I33" s="623"/>
      <c r="J33" s="623"/>
      <c r="K33" s="623"/>
      <c r="L33" s="623"/>
      <c r="M33" s="623"/>
      <c r="N33" s="22"/>
    </row>
    <row r="34" spans="1:14" x14ac:dyDescent="0.25">
      <c r="A34" s="17"/>
      <c r="B34" s="17"/>
      <c r="D34" s="623"/>
      <c r="E34" s="623"/>
      <c r="F34" s="623"/>
      <c r="G34" s="623"/>
      <c r="H34" s="623"/>
      <c r="I34" s="623"/>
      <c r="J34" s="623"/>
      <c r="K34" s="623"/>
      <c r="L34" s="623"/>
      <c r="M34" s="623"/>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24" t="s">
        <v>20</v>
      </c>
      <c r="D37" s="624"/>
      <c r="E37" s="624"/>
      <c r="F37" s="624"/>
      <c r="G37" s="624"/>
      <c r="H37" s="624"/>
      <c r="I37" s="624"/>
      <c r="J37" s="624"/>
      <c r="K37" s="624"/>
      <c r="L37" s="624"/>
      <c r="M37" s="624"/>
    </row>
    <row r="38" spans="1:14" x14ac:dyDescent="0.25">
      <c r="A38" s="17"/>
      <c r="B38" s="17"/>
      <c r="C38" s="624"/>
      <c r="D38" s="624"/>
      <c r="E38" s="624"/>
      <c r="F38" s="624"/>
      <c r="G38" s="624"/>
      <c r="H38" s="624"/>
      <c r="I38" s="624"/>
      <c r="J38" s="624"/>
      <c r="K38" s="624"/>
      <c r="L38" s="624"/>
      <c r="M38" s="624"/>
    </row>
    <row r="39" spans="1:14" x14ac:dyDescent="0.25">
      <c r="A39" s="17"/>
      <c r="B39" s="17"/>
      <c r="C39" s="624"/>
      <c r="D39" s="624"/>
      <c r="E39" s="624"/>
      <c r="F39" s="624"/>
      <c r="G39" s="624"/>
      <c r="H39" s="624"/>
      <c r="I39" s="624"/>
      <c r="J39" s="624"/>
      <c r="K39" s="624"/>
      <c r="L39" s="624"/>
      <c r="M39" s="624"/>
    </row>
    <row r="40" spans="1:14" x14ac:dyDescent="0.25">
      <c r="A40" s="17"/>
      <c r="B40" s="17"/>
      <c r="C40" s="624"/>
      <c r="D40" s="624"/>
      <c r="E40" s="624"/>
      <c r="F40" s="624"/>
      <c r="G40" s="624"/>
      <c r="H40" s="624"/>
      <c r="I40" s="624"/>
      <c r="J40" s="624"/>
      <c r="K40" s="624"/>
      <c r="L40" s="624"/>
      <c r="M40" s="624"/>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Wg/mmHj+JP+GDqR7KFFgkGE/5zJ8zW+E/G/LF0h+M/pCI01CSFJHeMsRoGLbZkmTUuo5b4nlXiUk4VAvsKtjlA==" saltValue="f93UaeetUPGbnGrYYlYu5A==" spinCount="100000" sheet="1" scenarios="1" selectLockedCells="1" autoFilter="0"/>
  <mergeCells count="2">
    <mergeCell ref="D32:M34"/>
    <mergeCell ref="C37:M40"/>
  </mergeCells>
  <phoneticPr fontId="22" type="noConversion"/>
  <conditionalFormatting sqref="C45">
    <cfRule type="expression" dxfId="47" priority="65">
      <formula>ISNUMBER(SEARCH(".",C45))</formula>
    </cfRule>
    <cfRule type="expression" dxfId="46" priority="66">
      <formula>ISERROR(SEARCH(".",C45))</formula>
    </cfRule>
  </conditionalFormatting>
  <conditionalFormatting sqref="D14:D18">
    <cfRule type="expression" dxfId="45" priority="63">
      <formula>ISERROR(SEARCH(1,$D$19))</formula>
    </cfRule>
    <cfRule type="expression" dxfId="44" priority="64">
      <formula>ISNUMBER(SEARCH(1,$D$19))</formula>
    </cfRule>
  </conditionalFormatting>
  <conditionalFormatting sqref="G14:G17">
    <cfRule type="expression" dxfId="43" priority="61">
      <formula>ISERROR(SEARCH(1,$G$19))</formula>
    </cfRule>
    <cfRule type="expression" dxfId="42" priority="62">
      <formula>ISNUMBER(SEARCH(1,$G$19))</formula>
    </cfRule>
  </conditionalFormatting>
  <conditionalFormatting sqref="J14:J17">
    <cfRule type="expression" dxfId="41" priority="57">
      <formula>ISERROR(SEARCH(1,$J$19))</formula>
    </cfRule>
    <cfRule type="expression" dxfId="40" priority="58">
      <formula>ISNUMBER(SEARCH(1,$J$19))</formula>
    </cfRule>
  </conditionalFormatting>
  <conditionalFormatting sqref="M14:M17">
    <cfRule type="expression" dxfId="39" priority="53">
      <formula>ISERROR(SEARCH(1,$M$19))</formula>
    </cfRule>
    <cfRule type="expression" dxfId="38" priority="54">
      <formula>ISNUMBER(SEARCH(1,$M$19))</formula>
    </cfRule>
  </conditionalFormatting>
  <conditionalFormatting sqref="G26:G29">
    <cfRule type="expression" dxfId="37" priority="45">
      <formula>ISERROR(SEARCH(1,$G$31))</formula>
    </cfRule>
    <cfRule type="expression" dxfId="36" priority="46">
      <formula>ISNUMBER(SEARCH(1,$G$31))</formula>
    </cfRule>
  </conditionalFormatting>
  <conditionalFormatting sqref="J26:J29">
    <cfRule type="expression" dxfId="35" priority="41">
      <formula>ISERROR(SEARCH(1,$J$31))</formula>
    </cfRule>
    <cfRule type="expression" dxfId="34" priority="42">
      <formula>ISNUMBER(SEARCH(1,$J$31))</formula>
    </cfRule>
  </conditionalFormatting>
  <conditionalFormatting sqref="M26:M29">
    <cfRule type="expression" dxfId="33" priority="37">
      <formula>ISERROR(SEARCH(1,$M$31))</formula>
    </cfRule>
    <cfRule type="expression" dxfId="32" priority="38">
      <formula>ISNUMBER(SEARCH(1,$M$31))</formula>
    </cfRule>
  </conditionalFormatting>
  <conditionalFormatting sqref="D26:D30">
    <cfRule type="expression" dxfId="31" priority="33">
      <formula>ISERROR(SEARCH(1,$D$19))</formula>
    </cfRule>
    <cfRule type="expression" dxfId="30" priority="34">
      <formula>ISNUMBER(SEARCH(1,$D$19))</formula>
    </cfRule>
  </conditionalFormatting>
  <conditionalFormatting sqref="D11:D13">
    <cfRule type="expression" dxfId="29" priority="31">
      <formula>ISERROR(SEARCH(1,$G$19))</formula>
    </cfRule>
    <cfRule type="expression" dxfId="28" priority="32">
      <formula>ISNUMBER(SEARCH(1,$G$19))</formula>
    </cfRule>
  </conditionalFormatting>
  <conditionalFormatting sqref="G11:G13">
    <cfRule type="expression" dxfId="27" priority="27">
      <formula>ISERROR(SEARCH(1,$G$19))</formula>
    </cfRule>
    <cfRule type="expression" dxfId="26" priority="28">
      <formula>ISNUMBER(SEARCH(1,$G$19))</formula>
    </cfRule>
  </conditionalFormatting>
  <conditionalFormatting sqref="G10">
    <cfRule type="expression" dxfId="25" priority="25">
      <formula>ISERROR(SEARCH(1,$G$19))</formula>
    </cfRule>
    <cfRule type="expression" dxfId="24" priority="26">
      <formula>ISNUMBER(SEARCH(1,$G$19))</formula>
    </cfRule>
  </conditionalFormatting>
  <conditionalFormatting sqref="J11:J13">
    <cfRule type="expression" dxfId="23" priority="23">
      <formula>ISERROR(SEARCH(1,$G$19))</formula>
    </cfRule>
    <cfRule type="expression" dxfId="22" priority="24">
      <formula>ISNUMBER(SEARCH(1,$G$19))</formula>
    </cfRule>
  </conditionalFormatting>
  <conditionalFormatting sqref="J10">
    <cfRule type="expression" dxfId="21" priority="21">
      <formula>ISERROR(SEARCH(1,$G$19))</formula>
    </cfRule>
    <cfRule type="expression" dxfId="20" priority="22">
      <formula>ISNUMBER(SEARCH(1,$G$19))</formula>
    </cfRule>
  </conditionalFormatting>
  <conditionalFormatting sqref="M11:M13">
    <cfRule type="expression" dxfId="19" priority="19">
      <formula>ISERROR(SEARCH(1,$G$19))</formula>
    </cfRule>
    <cfRule type="expression" dxfId="18" priority="20">
      <formula>ISNUMBER(SEARCH(1,$G$19))</formula>
    </cfRule>
  </conditionalFormatting>
  <conditionalFormatting sqref="M10">
    <cfRule type="expression" dxfId="17" priority="17">
      <formula>ISERROR(SEARCH(1,$G$19))</formula>
    </cfRule>
    <cfRule type="expression" dxfId="16" priority="18">
      <formula>ISNUMBER(SEARCH(1,$G$19))</formula>
    </cfRule>
  </conditionalFormatting>
  <conditionalFormatting sqref="D23:D25">
    <cfRule type="expression" dxfId="15" priority="15">
      <formula>ISERROR(SEARCH(1,$G$19))</formula>
    </cfRule>
    <cfRule type="expression" dxfId="14" priority="16">
      <formula>ISNUMBER(SEARCH(1,$G$19))</formula>
    </cfRule>
  </conditionalFormatting>
  <conditionalFormatting sqref="D22">
    <cfRule type="expression" dxfId="13" priority="13">
      <formula>ISERROR(SEARCH(1,$G$19))</formula>
    </cfRule>
    <cfRule type="expression" dxfId="12" priority="14">
      <formula>ISNUMBER(SEARCH(1,$G$19))</formula>
    </cfRule>
  </conditionalFormatting>
  <conditionalFormatting sqref="G23:G25">
    <cfRule type="expression" dxfId="11" priority="11">
      <formula>ISERROR(SEARCH(1,$G$19))</formula>
    </cfRule>
    <cfRule type="expression" dxfId="10" priority="12">
      <formula>ISNUMBER(SEARCH(1,$G$19))</formula>
    </cfRule>
  </conditionalFormatting>
  <conditionalFormatting sqref="G22">
    <cfRule type="expression" dxfId="9" priority="9">
      <formula>ISERROR(SEARCH(1,$G$19))</formula>
    </cfRule>
    <cfRule type="expression" dxfId="8" priority="10">
      <formula>ISNUMBER(SEARCH(1,$G$19))</formula>
    </cfRule>
  </conditionalFormatting>
  <conditionalFormatting sqref="J23:J25">
    <cfRule type="expression" dxfId="7" priority="7">
      <formula>ISERROR(SEARCH(1,$G$19))</formula>
    </cfRule>
    <cfRule type="expression" dxfId="6" priority="8">
      <formula>ISNUMBER(SEARCH(1,$G$19))</formula>
    </cfRule>
  </conditionalFormatting>
  <conditionalFormatting sqref="J22">
    <cfRule type="expression" dxfId="5" priority="5">
      <formula>ISERROR(SEARCH(1,$G$19))</formula>
    </cfRule>
    <cfRule type="expression" dxfId="4" priority="6">
      <formula>ISNUMBER(SEARCH(1,$G$19))</formula>
    </cfRule>
  </conditionalFormatting>
  <conditionalFormatting sqref="M23:M25">
    <cfRule type="expression" dxfId="3" priority="3">
      <formula>ISERROR(SEARCH(1,$G$19))</formula>
    </cfRule>
    <cfRule type="expression" dxfId="2" priority="4">
      <formula>ISNUMBER(SEARCH(1,$G$19))</formula>
    </cfRule>
  </conditionalFormatting>
  <conditionalFormatting sqref="M22">
    <cfRule type="expression" dxfId="1" priority="1">
      <formula>ISERROR(SEARCH(1,$G$19))</formula>
    </cfRule>
    <cfRule type="expression" dxfId="0"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P40" sqref="P40:P41"/>
    </sheetView>
  </sheetViews>
  <sheetFormatPr defaultRowHeight="12.75" x14ac:dyDescent="0.2"/>
  <cols>
    <col min="1" max="16" width="12.85546875" customWidth="1"/>
    <col min="17" max="17" width="13" customWidth="1"/>
  </cols>
  <sheetData>
    <row r="1" spans="1:16" ht="18" x14ac:dyDescent="0.25">
      <c r="F1" s="32" t="s">
        <v>335</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25" t="s">
        <v>273</v>
      </c>
      <c r="I28" s="625"/>
      <c r="J28" s="625"/>
      <c r="K28" s="625"/>
      <c r="L28" s="625"/>
      <c r="M28" s="625"/>
      <c r="N28" s="625"/>
      <c r="O28" s="625"/>
      <c r="P28" s="625"/>
      <c r="Q28" s="625"/>
      <c r="R28" s="625"/>
    </row>
    <row r="29" spans="1:20" x14ac:dyDescent="0.2">
      <c r="A29" s="631" t="s">
        <v>34</v>
      </c>
      <c r="B29" s="632"/>
      <c r="C29" s="46" t="str">
        <f>IF(Main!D48="","",Main!D48)</f>
        <v/>
      </c>
      <c r="D29" s="46" t="str">
        <f>IF(Main!E48="","",Main!E48)</f>
        <v/>
      </c>
      <c r="E29" s="46" t="str">
        <f>IF(Main!F48="","",Main!F48)</f>
        <v/>
      </c>
      <c r="F29" s="46" t="str">
        <f>IF(Main!G48="","",Main!G48)</f>
        <v/>
      </c>
      <c r="G29" s="258"/>
      <c r="H29" s="255" t="s">
        <v>274</v>
      </c>
      <c r="I29" s="111" t="str">
        <f>IF(Main!N47="","",Main!N47)</f>
        <v>Periodic</v>
      </c>
      <c r="J29" s="633" t="s">
        <v>275</v>
      </c>
      <c r="K29" s="634"/>
      <c r="L29" s="111" t="str">
        <f>IF(Main!R47="","",Main!R47)</f>
        <v>Air</v>
      </c>
    </row>
    <row r="30" spans="1:20" x14ac:dyDescent="0.2">
      <c r="A30" s="631" t="s">
        <v>35</v>
      </c>
      <c r="B30" s="632"/>
      <c r="C30" s="47" t="str">
        <f>IF(Main!D49="","",Main!D49)</f>
        <v/>
      </c>
      <c r="D30" s="47" t="str">
        <f>IF(Main!E49="","",Main!E49)</f>
        <v/>
      </c>
      <c r="E30" s="47" t="str">
        <f>IF(Main!F49="","",Main!F49)</f>
        <v/>
      </c>
      <c r="F30" s="47" t="str">
        <f>IF(Main!G49="","",Main!G49)</f>
        <v/>
      </c>
      <c r="G30" s="260"/>
      <c r="H30" s="626" t="s">
        <v>263</v>
      </c>
      <c r="I30" s="626"/>
      <c r="J30" s="635" t="s">
        <v>304</v>
      </c>
      <c r="K30" s="636"/>
      <c r="L30" s="637"/>
      <c r="M30" s="253"/>
      <c r="O30" s="627" t="s">
        <v>307</v>
      </c>
      <c r="P30" s="628"/>
      <c r="Q30" s="629"/>
      <c r="T30" s="36"/>
    </row>
    <row r="31" spans="1:20" x14ac:dyDescent="0.2">
      <c r="A31" s="631" t="s">
        <v>36</v>
      </c>
      <c r="B31" s="632"/>
      <c r="C31" s="47" t="str">
        <f>IF(Main!D50="","",Main!D50)</f>
        <v/>
      </c>
      <c r="D31" s="47" t="str">
        <f>IF(Main!E50="","",Main!E50)</f>
        <v/>
      </c>
      <c r="E31" s="47" t="str">
        <f>IF(Main!F50="","",Main!F50)</f>
        <v/>
      </c>
      <c r="F31" s="47" t="str">
        <f>IF(Main!G50="","",Main!G50)</f>
        <v/>
      </c>
      <c r="G31" s="260"/>
      <c r="H31" s="241" t="s">
        <v>276</v>
      </c>
      <c r="I31" s="243" t="str">
        <f>IF(Main!N49="","",Main!N49)</f>
        <v/>
      </c>
      <c r="J31" s="650" t="s">
        <v>312</v>
      </c>
      <c r="K31" s="651"/>
      <c r="L31" s="652"/>
      <c r="M31" s="254" t="str">
        <f>IF(Main!S49="","",Main!S49)</f>
        <v/>
      </c>
      <c r="O31" s="517" t="s">
        <v>314</v>
      </c>
      <c r="P31" s="518"/>
      <c r="Q31" s="630"/>
      <c r="R31" s="55" t="str">
        <f>IF(Main!X49="","",Main!X49)</f>
        <v/>
      </c>
      <c r="T31" s="36"/>
    </row>
    <row r="32" spans="1:20" ht="12.75" customHeight="1" x14ac:dyDescent="0.2">
      <c r="A32" s="631" t="s">
        <v>37</v>
      </c>
      <c r="B32" s="632"/>
      <c r="C32" s="46" t="str">
        <f>IF(Main!D51="","",Main!D51)</f>
        <v/>
      </c>
      <c r="D32" s="46" t="str">
        <f>IF(Main!E51="","",Main!E51)</f>
        <v/>
      </c>
      <c r="E32" s="46" t="str">
        <f>IF(Main!F51="","",Main!F51)</f>
        <v/>
      </c>
      <c r="F32" s="46" t="str">
        <f>IF(Main!G51="","",Main!G51)</f>
        <v/>
      </c>
      <c r="G32" s="258"/>
      <c r="H32" s="241" t="s">
        <v>290</v>
      </c>
      <c r="I32" s="243" t="str">
        <f>IF(Main!N50="","",Main!N50)</f>
        <v/>
      </c>
      <c r="J32" s="641" t="s">
        <v>266</v>
      </c>
      <c r="K32" s="642"/>
      <c r="L32" s="643"/>
      <c r="M32" s="249"/>
      <c r="O32" s="641" t="s">
        <v>266</v>
      </c>
      <c r="P32" s="642"/>
      <c r="Q32" s="643"/>
      <c r="T32" s="36"/>
    </row>
    <row r="33" spans="1:20" ht="12.75" customHeight="1" x14ac:dyDescent="0.2">
      <c r="A33" s="631" t="str">
        <f>"Uses Above " &amp; IF(Unit="°C","260°C","500°F") &amp;  ":*"</f>
        <v>Uses Above 500°F:*</v>
      </c>
      <c r="B33" s="632"/>
      <c r="C33" s="46" t="str">
        <f>IF(Main!D52="","",Main!D52)</f>
        <v/>
      </c>
      <c r="D33" s="46" t="str">
        <f>IF(Main!E52="","",Main!E52)</f>
        <v/>
      </c>
      <c r="E33" s="46" t="str">
        <f>IF(Main!F52="","",Main!F52)</f>
        <v/>
      </c>
      <c r="F33" s="46" t="str">
        <f>IF(Main!G52="","",Main!G52)</f>
        <v/>
      </c>
      <c r="G33" s="258"/>
      <c r="H33" s="241" t="s">
        <v>277</v>
      </c>
      <c r="I33" s="243" t="str">
        <f>IF(Main!N51="","",Main!N51)</f>
        <v/>
      </c>
      <c r="J33" s="638" t="s">
        <v>313</v>
      </c>
      <c r="K33" s="639"/>
      <c r="L33" s="640"/>
      <c r="M33" s="248" t="str">
        <f>IF(Main!S51="","",Main!S51)</f>
        <v/>
      </c>
      <c r="O33" s="638" t="s">
        <v>315</v>
      </c>
      <c r="P33" s="639"/>
      <c r="Q33" s="640"/>
      <c r="R33" s="55" t="str">
        <f>IF(Main!X51="","",Main!X51)</f>
        <v/>
      </c>
      <c r="T33" s="36"/>
    </row>
    <row r="34" spans="1:20" ht="12.75" customHeight="1" x14ac:dyDescent="0.2">
      <c r="A34" s="631" t="s">
        <v>38</v>
      </c>
      <c r="B34" s="632"/>
      <c r="C34" s="48" t="str">
        <f>IF(Main!D53="","",Main!D53)</f>
        <v/>
      </c>
      <c r="D34" s="48" t="str">
        <f>IF(Main!E53="","",Main!E53)</f>
        <v/>
      </c>
      <c r="E34" s="48" t="str">
        <f>IF(Main!F53="","",Main!F53)</f>
        <v/>
      </c>
      <c r="F34" s="48" t="str">
        <f>IF(Main!G53="","",Main!G53)</f>
        <v/>
      </c>
      <c r="G34" s="261"/>
      <c r="H34" s="241" t="s">
        <v>278</v>
      </c>
      <c r="I34" s="240" t="str">
        <f>IF(Main!N52="","",Main!N52)</f>
        <v/>
      </c>
      <c r="J34" s="641" t="s">
        <v>266</v>
      </c>
      <c r="K34" s="642"/>
      <c r="L34" s="643"/>
      <c r="O34" s="641" t="s">
        <v>266</v>
      </c>
      <c r="P34" s="642"/>
      <c r="Q34" s="643"/>
      <c r="T34" s="36"/>
    </row>
    <row r="35" spans="1:20" ht="12.75" customHeight="1" x14ac:dyDescent="0.2">
      <c r="A35" s="56"/>
      <c r="B35" s="58" t="s">
        <v>81</v>
      </c>
      <c r="C35" s="68" t="str">
        <f>IF(Main!D54="","",Main!D54)</f>
        <v/>
      </c>
      <c r="D35" s="68" t="str">
        <f>IF(Main!E54="","",Main!E54)</f>
        <v/>
      </c>
      <c r="E35" s="68" t="str">
        <f>IF(Main!F54="","",Main!F54)</f>
        <v/>
      </c>
      <c r="F35" s="68" t="str">
        <f>IF(Main!G54="","",Main!G54)</f>
        <v/>
      </c>
      <c r="G35" s="262"/>
      <c r="H35" s="241" t="s">
        <v>278</v>
      </c>
      <c r="I35" s="240" t="str">
        <f>IF(Main!N53="","",Main!N53)</f>
        <v/>
      </c>
      <c r="J35" s="644" t="s">
        <v>316</v>
      </c>
      <c r="K35" s="645"/>
      <c r="L35" s="646"/>
      <c r="M35" s="256" t="str">
        <f>IF(Main!S53="","",Main!S53)</f>
        <v/>
      </c>
      <c r="O35" s="644" t="s">
        <v>317</v>
      </c>
      <c r="P35" s="645"/>
      <c r="Q35" s="646"/>
      <c r="R35" s="257" t="str">
        <f>IF(Main!X53="","",Main!X53)</f>
        <v/>
      </c>
    </row>
    <row r="36" spans="1:20" ht="13.5" thickBot="1" x14ac:dyDescent="0.25">
      <c r="B36" s="58" t="s">
        <v>279</v>
      </c>
      <c r="C36" s="46" t="str">
        <f>IF(Main!D56="","",Main!D56)</f>
        <v/>
      </c>
      <c r="D36" s="46" t="str">
        <f>IF(Main!E56="","",Main!E56)</f>
        <v/>
      </c>
      <c r="E36" s="46" t="str">
        <f>IF(Main!F56="","",Main!F56)</f>
        <v/>
      </c>
      <c r="F36" s="46" t="str">
        <f>IF(Main!G56="","",Main!G56)</f>
        <v/>
      </c>
      <c r="G36" s="258"/>
      <c r="H36" s="259"/>
      <c r="J36" s="647"/>
      <c r="K36" s="648"/>
      <c r="L36" s="649"/>
      <c r="M36" s="252"/>
      <c r="O36" s="647"/>
      <c r="P36" s="648"/>
      <c r="Q36" s="649"/>
      <c r="T36" s="36"/>
    </row>
    <row r="37" spans="1:20" ht="13.5" thickBot="1" x14ac:dyDescent="0.25">
      <c r="B37" s="56" t="s">
        <v>280</v>
      </c>
      <c r="C37" s="46" t="str">
        <f>IF(Main!D57="","",Main!D57)</f>
        <v/>
      </c>
      <c r="D37" s="46" t="str">
        <f>IF(Main!E57="","",Main!E57)</f>
        <v/>
      </c>
      <c r="E37" s="46" t="str">
        <f>IF(Main!F57="","",Main!F57)</f>
        <v/>
      </c>
      <c r="F37" s="46" t="str">
        <f>IF(Main!G57="","",Main!G57)</f>
        <v/>
      </c>
      <c r="G37" s="258"/>
      <c r="H37" s="259"/>
      <c r="J37" s="266" t="s">
        <v>269</v>
      </c>
      <c r="K37" s="267" t="s">
        <v>14</v>
      </c>
      <c r="L37" s="268" t="s">
        <v>270</v>
      </c>
      <c r="M37" s="252"/>
      <c r="O37" s="266" t="s">
        <v>271</v>
      </c>
      <c r="P37" s="267" t="s">
        <v>14</v>
      </c>
      <c r="Q37" s="268" t="s">
        <v>272</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291</v>
      </c>
      <c r="L40" s="478" t="str">
        <f>IF(Main!N54="","",Main!N54)</f>
        <v/>
      </c>
      <c r="O40" s="56" t="s">
        <v>293</v>
      </c>
      <c r="P40" s="478" t="str">
        <f>IF(Main!N56="","",Main!N56)</f>
        <v/>
      </c>
    </row>
    <row r="41" spans="1:20" x14ac:dyDescent="0.2">
      <c r="K41" s="56" t="s">
        <v>292</v>
      </c>
      <c r="L41" s="478" t="str">
        <f>IF(Main!N55="","",Main!N55)</f>
        <v/>
      </c>
      <c r="O41" s="56" t="s">
        <v>294</v>
      </c>
      <c r="P41" s="478" t="str">
        <f>IF(Main!N57="","",Main!N57)</f>
        <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oGiMYVRY7lK3I3cPk5vIXAPWwBJtInIxsBGCOM9q2gDCRlr3EkLRsOMTKocqAGk82kN88TukLMjDF0/n8GRZLg==" saltValue="qHLT043NnHYmA7l/mr9dXg==" spinCount="100000" sheet="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2"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136</v>
      </c>
      <c r="G1" s="97"/>
      <c r="H1" s="97"/>
      <c r="I1" s="97"/>
      <c r="J1" s="87"/>
      <c r="K1" s="86"/>
      <c r="L1" s="86"/>
      <c r="M1" s="86"/>
      <c r="N1" s="86"/>
    </row>
    <row r="2" spans="1:14" ht="15.75" x14ac:dyDescent="0.25">
      <c r="A2" s="86"/>
      <c r="B2" s="86"/>
      <c r="C2" s="86"/>
      <c r="D2" s="103"/>
      <c r="E2" s="88" t="s">
        <v>137</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142</v>
      </c>
      <c r="D10" s="105" t="s">
        <v>143</v>
      </c>
    </row>
    <row r="11" spans="1:14" x14ac:dyDescent="0.2">
      <c r="B11" t="str" cm="1">
        <f t="array" ref="B11:B16">TRANSPOSE(WireLotNos)</f>
        <v/>
      </c>
      <c r="D11" s="457"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7"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6"/>
    </row>
    <row r="13" spans="1:14" x14ac:dyDescent="0.2">
      <c r="B13" t="str">
        <v/>
      </c>
      <c r="D13" s="457"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7"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7"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7"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7"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7"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7"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7"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7"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7"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7"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7"/>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9/ExLji1Hj22wzQDxuoEFwRS4wwqOTXURMHB9tC1Rnll3kDHzpKuOog58CMmxbJji9nRqQhuxycYh/c3sNGa5A==" saltValue="b44JuvfvuB0A5Gw9NL8L1A=="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DA23A-998E-436B-A747-663D66723C3B}">
  <sheetPr codeName="Sheet10">
    <tabColor theme="3" tint="0.39997558519241921"/>
  </sheetPr>
  <dimension ref="B1:F13"/>
  <sheetViews>
    <sheetView topLeftCell="B1" zoomScale="130" zoomScaleNormal="130" workbookViewId="0">
      <selection activeCell="C9" sqref="C9"/>
    </sheetView>
  </sheetViews>
  <sheetFormatPr defaultRowHeight="15" x14ac:dyDescent="0.25"/>
  <cols>
    <col min="1" max="1" width="9.140625" style="483"/>
    <col min="2" max="2" width="10.7109375" style="483" customWidth="1"/>
    <col min="3" max="3" width="10.42578125" style="483" customWidth="1"/>
    <col min="4" max="16384" width="9.140625" style="483"/>
  </cols>
  <sheetData>
    <row r="1" spans="2:6" x14ac:dyDescent="0.25">
      <c r="B1" s="483" t="s">
        <v>107</v>
      </c>
    </row>
    <row r="2" spans="2:6" x14ac:dyDescent="0.25">
      <c r="B2" s="483" t="s">
        <v>760</v>
      </c>
    </row>
    <row r="3" spans="2:6" x14ac:dyDescent="0.25">
      <c r="B3" s="483" t="s">
        <v>761</v>
      </c>
    </row>
    <row r="4" spans="2:6" x14ac:dyDescent="0.25">
      <c r="B4" s="653" t="s">
        <v>762</v>
      </c>
      <c r="C4" s="653"/>
      <c r="D4" s="653"/>
      <c r="E4" s="653"/>
      <c r="F4" s="653"/>
    </row>
    <row r="5" spans="2:6" x14ac:dyDescent="0.25">
      <c r="B5" s="483" t="s">
        <v>763</v>
      </c>
      <c r="C5" s="484"/>
      <c r="E5" s="483" t="s">
        <v>764</v>
      </c>
      <c r="F5" s="484"/>
    </row>
    <row r="6" spans="2:6" x14ac:dyDescent="0.25">
      <c r="B6" s="483" t="s">
        <v>765</v>
      </c>
      <c r="C6" s="484"/>
      <c r="E6" s="483" t="s">
        <v>765</v>
      </c>
      <c r="F6" s="484"/>
    </row>
    <row r="8" spans="2:6" x14ac:dyDescent="0.25">
      <c r="B8" s="483" t="s">
        <v>766</v>
      </c>
      <c r="C8" s="484">
        <f>NominalTemp</f>
        <v>0</v>
      </c>
    </row>
    <row r="9" spans="2:6" x14ac:dyDescent="0.25">
      <c r="B9" s="483" t="s">
        <v>767</v>
      </c>
      <c r="C9" s="485" t="e" cm="1">
        <f t="array" ref="C9">QRound(C6+(C8-C5)*C13)</f>
        <v>#VALUE!</v>
      </c>
    </row>
    <row r="11" spans="2:6" x14ac:dyDescent="0.25">
      <c r="B11" s="483" t="s">
        <v>768</v>
      </c>
      <c r="C11" s="483">
        <f>F5-C5</f>
        <v>0</v>
      </c>
    </row>
    <row r="12" spans="2:6" x14ac:dyDescent="0.25">
      <c r="B12" s="483" t="s">
        <v>769</v>
      </c>
      <c r="C12" s="483">
        <f>F6-C6</f>
        <v>0</v>
      </c>
    </row>
    <row r="13" spans="2:6" x14ac:dyDescent="0.25">
      <c r="B13" s="483" t="s">
        <v>770</v>
      </c>
      <c r="C13" s="483" t="e">
        <f>C12/C11</f>
        <v>#DIV/0!</v>
      </c>
    </row>
  </sheetData>
  <sheetProtection algorithmName="SHA-512" hashValue="2qmuhU8+iw6hC+8wy0qr8Qv6vAZDDEQYEAHuUcxTcN4SPUQ1+d47INNh9RGQpd8c+01cxJTcagv2bmPTzevYwg==" saltValue="VxkBlcVE5QQYNm8vV+H0Wg==" spinCount="100000" sheet="1" scenarios="1" autoFilter="0"/>
  <mergeCells count="1">
    <mergeCell ref="B4:F4"/>
  </mergeCells>
  <pageMargins left="0.7" right="0.7" top="0.75" bottom="0.75" header="0.3" footer="0.3"/>
  <pageSetup orientation="portrait" horizontalDpi="4294967292"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5BC1-7F97-4760-871B-5C77EA118571}">
  <sheetPr codeName="Sheet27">
    <tabColor theme="3" tint="0.39997558519241921"/>
  </sheetPr>
  <dimension ref="A1:O25"/>
  <sheetViews>
    <sheetView workbookViewId="0">
      <selection activeCell="E32" sqref="E32"/>
    </sheetView>
  </sheetViews>
  <sheetFormatPr defaultRowHeight="15" x14ac:dyDescent="0.25"/>
  <cols>
    <col min="1" max="1" width="10.5703125" style="483" bestFit="1" customWidth="1"/>
    <col min="2" max="2" width="11.5703125" style="483" bestFit="1" customWidth="1"/>
    <col min="3" max="3" width="20.5703125" style="483" bestFit="1" customWidth="1"/>
    <col min="4" max="4" width="16.28515625" style="483" bestFit="1" customWidth="1"/>
    <col min="5" max="5" width="19" style="483" bestFit="1" customWidth="1"/>
    <col min="6" max="6" width="21.5703125" style="483" bestFit="1" customWidth="1"/>
    <col min="7" max="7" width="24.140625" style="483" bestFit="1" customWidth="1"/>
    <col min="8" max="8" width="17.28515625" style="483" bestFit="1" customWidth="1"/>
    <col min="9" max="9" width="20.7109375" style="483" bestFit="1" customWidth="1"/>
    <col min="10" max="10" width="5.42578125" style="483" bestFit="1" customWidth="1"/>
    <col min="11" max="11" width="8.5703125" style="483" bestFit="1" customWidth="1"/>
    <col min="12" max="12" width="11" style="483" bestFit="1" customWidth="1"/>
    <col min="13" max="13" width="10.5703125" style="483" bestFit="1" customWidth="1"/>
    <col min="14" max="14" width="29.140625" style="483" bestFit="1" customWidth="1"/>
    <col min="15" max="15" width="34.85546875" style="483" bestFit="1" customWidth="1"/>
    <col min="16" max="16" width="32.7109375" style="483" bestFit="1" customWidth="1"/>
    <col min="17" max="17" width="26" style="483" bestFit="1" customWidth="1"/>
    <col min="18" max="18" width="10.7109375" style="483" bestFit="1" customWidth="1"/>
    <col min="19" max="19" width="11.7109375" style="483" bestFit="1" customWidth="1"/>
    <col min="20" max="20" width="20.7109375" style="483" bestFit="1" customWidth="1"/>
    <col min="21" max="21" width="25.7109375" style="483" bestFit="1" customWidth="1"/>
    <col min="22" max="22" width="24" style="483" bestFit="1" customWidth="1"/>
    <col min="23" max="23" width="5" style="483" bestFit="1" customWidth="1"/>
    <col min="24" max="24" width="17" style="483" bestFit="1" customWidth="1"/>
    <col min="25" max="25" width="18.85546875" style="483" bestFit="1" customWidth="1"/>
    <col min="26" max="26" width="21.5703125" style="483" bestFit="1" customWidth="1"/>
    <col min="27" max="27" width="25.7109375" style="483" bestFit="1" customWidth="1"/>
    <col min="28" max="28" width="17" style="483" bestFit="1" customWidth="1"/>
    <col min="29" max="16384" width="9.140625" style="483"/>
  </cols>
  <sheetData>
    <row r="1" spans="1:15" x14ac:dyDescent="0.25">
      <c r="A1" s="483"/>
      <c r="B1" s="483"/>
      <c r="C1" s="483"/>
      <c r="D1" s="483"/>
      <c r="E1" s="483"/>
      <c r="F1" s="483"/>
      <c r="G1" s="483"/>
      <c r="H1" s="483"/>
      <c r="J1" s="483"/>
      <c r="K1" s="483"/>
      <c r="L1" s="483"/>
      <c r="M1" s="483"/>
      <c r="N1" s="483"/>
      <c r="O1" s="483"/>
    </row>
    <row r="2" spans="1:15" x14ac:dyDescent="0.25">
      <c r="A2" s="486"/>
      <c r="B2" s="486"/>
      <c r="C2" s="486"/>
      <c r="D2" s="486"/>
      <c r="E2" s="486"/>
      <c r="F2" s="486"/>
      <c r="G2" s="486"/>
      <c r="H2" s="486"/>
    </row>
    <row r="3" spans="1:15" x14ac:dyDescent="0.25">
      <c r="A3" s="486"/>
      <c r="B3" s="486"/>
      <c r="C3" s="486"/>
      <c r="D3" s="486"/>
      <c r="E3" s="486"/>
      <c r="F3" s="486"/>
      <c r="G3" s="486"/>
      <c r="H3" s="486"/>
    </row>
    <row r="4" spans="1:15" x14ac:dyDescent="0.25">
      <c r="A4" s="486"/>
      <c r="B4" s="486"/>
      <c r="C4" s="486"/>
      <c r="D4" s="486"/>
      <c r="E4" s="486"/>
      <c r="F4" s="486"/>
      <c r="G4" s="486"/>
      <c r="H4" s="486"/>
    </row>
    <row r="5" spans="1:15" x14ac:dyDescent="0.25">
      <c r="A5" s="486"/>
      <c r="B5" s="486"/>
      <c r="C5" s="486"/>
      <c r="D5" s="486"/>
      <c r="E5" s="486"/>
      <c r="F5" s="486"/>
      <c r="G5" s="486"/>
      <c r="H5" s="486"/>
    </row>
    <row r="6" spans="1:15" x14ac:dyDescent="0.25">
      <c r="A6" s="486"/>
      <c r="B6" s="486"/>
      <c r="C6" s="486"/>
      <c r="D6" s="486"/>
      <c r="E6" s="486"/>
      <c r="F6" s="486"/>
      <c r="G6" s="486"/>
      <c r="H6" s="486"/>
    </row>
    <row r="7" spans="1:15" x14ac:dyDescent="0.25">
      <c r="A7" s="486"/>
      <c r="B7" s="486"/>
      <c r="C7" s="486"/>
      <c r="D7" s="486"/>
      <c r="E7" s="486"/>
      <c r="F7" s="486"/>
      <c r="G7" s="486"/>
      <c r="H7" s="486"/>
    </row>
    <row r="8" spans="1:15" x14ac:dyDescent="0.25">
      <c r="A8" s="486"/>
      <c r="B8" s="486"/>
      <c r="C8" s="486"/>
      <c r="D8" s="486"/>
      <c r="E8" s="486"/>
      <c r="F8" s="486"/>
      <c r="G8" s="486"/>
      <c r="H8" s="486"/>
    </row>
    <row r="9" spans="1:15" x14ac:dyDescent="0.25">
      <c r="A9" s="486"/>
      <c r="B9" s="486"/>
      <c r="C9" s="486"/>
      <c r="D9" s="486"/>
      <c r="E9" s="486"/>
      <c r="F9" s="486"/>
      <c r="G9" s="486"/>
      <c r="H9" s="486"/>
    </row>
    <row r="10" spans="1:15" x14ac:dyDescent="0.25">
      <c r="A10" s="486"/>
      <c r="B10" s="486"/>
      <c r="C10" s="486"/>
      <c r="D10" s="486"/>
      <c r="E10" s="486"/>
      <c r="F10" s="486"/>
      <c r="G10" s="486"/>
      <c r="H10" s="486"/>
    </row>
    <row r="11" spans="1:15" x14ac:dyDescent="0.25">
      <c r="A11" s="486"/>
      <c r="B11" s="486"/>
      <c r="C11" s="486"/>
      <c r="D11" s="486"/>
      <c r="E11" s="486"/>
      <c r="F11" s="486"/>
      <c r="G11" s="486"/>
      <c r="H11" s="486"/>
    </row>
    <row r="12" spans="1:15" x14ac:dyDescent="0.25">
      <c r="A12" s="486"/>
      <c r="B12" s="486"/>
      <c r="C12" s="486"/>
      <c r="D12" s="486"/>
      <c r="E12" s="486"/>
      <c r="F12" s="486"/>
      <c r="G12" s="486"/>
      <c r="H12" s="486"/>
    </row>
    <row r="13" spans="1:15" x14ac:dyDescent="0.25">
      <c r="A13" s="486"/>
      <c r="B13" s="486"/>
      <c r="C13" s="486"/>
      <c r="D13" s="486"/>
      <c r="E13" s="486"/>
      <c r="F13" s="486"/>
      <c r="G13" s="486"/>
      <c r="H13" s="486"/>
    </row>
    <row r="14" spans="1:15" x14ac:dyDescent="0.25">
      <c r="A14" s="486"/>
      <c r="B14" s="486"/>
      <c r="C14" s="486"/>
      <c r="D14" s="486"/>
      <c r="E14" s="486"/>
      <c r="F14" s="486"/>
      <c r="G14" s="486"/>
      <c r="H14" s="486"/>
    </row>
    <row r="15" spans="1:15" x14ac:dyDescent="0.25">
      <c r="A15" s="486"/>
      <c r="B15" s="486"/>
      <c r="C15" s="486"/>
      <c r="D15" s="486"/>
      <c r="E15" s="486"/>
      <c r="F15" s="486"/>
      <c r="G15" s="486"/>
      <c r="H15" s="486"/>
    </row>
    <row r="16" spans="1:15" x14ac:dyDescent="0.25">
      <c r="A16" s="486"/>
      <c r="B16" s="486"/>
      <c r="C16" s="486"/>
      <c r="D16" s="486"/>
      <c r="E16" s="486"/>
      <c r="F16" s="486"/>
      <c r="G16" s="486"/>
      <c r="H16" s="486"/>
    </row>
    <row r="17" spans="1:8" x14ac:dyDescent="0.25">
      <c r="A17" s="486"/>
      <c r="B17" s="486"/>
      <c r="C17" s="486"/>
      <c r="D17" s="486"/>
      <c r="E17" s="486"/>
      <c r="F17" s="486"/>
      <c r="G17" s="486"/>
      <c r="H17" s="486"/>
    </row>
    <row r="18" spans="1:8" x14ac:dyDescent="0.25">
      <c r="A18" s="486"/>
      <c r="B18" s="486"/>
      <c r="C18" s="486"/>
      <c r="D18" s="486"/>
      <c r="E18" s="486"/>
      <c r="F18" s="486"/>
      <c r="G18" s="486"/>
      <c r="H18" s="486"/>
    </row>
    <row r="19" spans="1:8" x14ac:dyDescent="0.25">
      <c r="A19" s="486"/>
      <c r="B19" s="486"/>
      <c r="C19" s="486"/>
      <c r="D19" s="486"/>
      <c r="E19" s="486"/>
      <c r="F19" s="486"/>
      <c r="G19" s="486"/>
      <c r="H19" s="486"/>
    </row>
    <row r="20" spans="1:8" x14ac:dyDescent="0.25">
      <c r="A20" s="486"/>
      <c r="B20" s="486"/>
      <c r="C20" s="486"/>
      <c r="D20" s="486"/>
      <c r="E20" s="486"/>
      <c r="F20" s="486"/>
      <c r="G20" s="486"/>
      <c r="H20" s="486"/>
    </row>
    <row r="21" spans="1:8" x14ac:dyDescent="0.25">
      <c r="A21" s="486"/>
      <c r="B21" s="486"/>
      <c r="C21" s="486"/>
      <c r="D21" s="486"/>
      <c r="E21" s="486"/>
      <c r="F21" s="486"/>
      <c r="G21" s="486"/>
      <c r="H21" s="486"/>
    </row>
    <row r="22" spans="1:8" x14ac:dyDescent="0.25">
      <c r="A22" s="486"/>
      <c r="B22" s="486"/>
      <c r="C22" s="486"/>
      <c r="D22" s="486"/>
      <c r="E22" s="486"/>
      <c r="F22" s="486"/>
      <c r="G22" s="486"/>
      <c r="H22" s="486"/>
    </row>
    <row r="23" spans="1:8" x14ac:dyDescent="0.25">
      <c r="A23" s="486"/>
      <c r="B23" s="486"/>
      <c r="C23" s="486"/>
      <c r="D23" s="486"/>
      <c r="E23" s="486"/>
      <c r="F23" s="486"/>
      <c r="G23" s="486"/>
      <c r="H23" s="486"/>
    </row>
    <row r="24" spans="1:8" x14ac:dyDescent="0.25">
      <c r="A24" s="486"/>
      <c r="B24" s="486"/>
      <c r="C24" s="486"/>
      <c r="D24" s="486"/>
      <c r="E24" s="486"/>
      <c r="F24" s="486"/>
      <c r="G24" s="486"/>
      <c r="H24" s="486"/>
    </row>
    <row r="25" spans="1:8" x14ac:dyDescent="0.25">
      <c r="A25" s="486"/>
      <c r="B25" s="486"/>
      <c r="C25" s="486"/>
      <c r="D25" s="486"/>
      <c r="E25" s="486"/>
      <c r="F25" s="486"/>
      <c r="G25" s="486"/>
      <c r="H25" s="486"/>
    </row>
  </sheetData>
  <sheetProtection autoFilter="0"/>
  <pageMargins left="0.7" right="0.7" top="0.75" bottom="0.75" header="0.3" footer="0.3"/>
  <pageSetup orientation="portrait" horizontalDpi="4294967295" verticalDpi="4294967295" r:id="rId1"/>
  <drawing r:id="rId2"/>
  <tableParts count="2">
    <tablePart r:id="rId3"/>
    <tablePart r:id="rId4"/>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2B17-BD12-4106-A282-8DE65B23B47B}">
  <sheetPr codeName="Sheet28">
    <tabColor theme="3" tint="0.39997558519241921"/>
  </sheetPr>
  <dimension ref="A1:J5"/>
  <sheetViews>
    <sheetView workbookViewId="0">
      <selection activeCell="E12" sqref="E12"/>
    </sheetView>
  </sheetViews>
  <sheetFormatPr defaultRowHeight="12.75" x14ac:dyDescent="0.2"/>
  <cols>
    <col min="1" max="1" width="5" bestFit="1" customWidth="1"/>
    <col min="2" max="2" width="13.5703125" bestFit="1" customWidth="1"/>
    <col min="3" max="3" width="20.7109375" bestFit="1" customWidth="1"/>
    <col min="4" max="4" width="10.28515625" bestFit="1" customWidth="1"/>
    <col min="5" max="5" width="11.7109375" bestFit="1" customWidth="1"/>
    <col min="6" max="6" width="10.5703125" bestFit="1" customWidth="1"/>
    <col min="7" max="8" width="81.140625" bestFit="1" customWidth="1"/>
    <col min="9" max="10" width="25.28515625" bestFit="1" customWidth="1"/>
  </cols>
  <sheetData>
    <row r="1" spans="1:10" x14ac:dyDescent="0.2">
      <c r="B1" s="56" t="s">
        <v>772</v>
      </c>
      <c r="C1" s="358" t="s">
        <v>771</v>
      </c>
    </row>
    <row r="3" spans="1:10" x14ac:dyDescent="0.2">
      <c r="A3"/>
      <c r="B3"/>
      <c r="C3"/>
      <c r="D3"/>
      <c r="E3"/>
      <c r="F3"/>
      <c r="G3"/>
      <c r="H3"/>
      <c r="I3"/>
      <c r="J3"/>
    </row>
    <row r="4" spans="1:10" x14ac:dyDescent="0.2">
      <c r="A4"/>
      <c r="B4"/>
      <c r="C4"/>
      <c r="D4"/>
      <c r="E4"/>
      <c r="F4"/>
      <c r="G4"/>
      <c r="H4"/>
      <c r="I4"/>
      <c r="J4"/>
    </row>
    <row r="5" spans="1:10" x14ac:dyDescent="0.2">
      <c r="A5"/>
      <c r="B5"/>
      <c r="C5"/>
      <c r="D5"/>
      <c r="E5"/>
      <c r="F5"/>
      <c r="G5"/>
      <c r="H5"/>
      <c r="I5"/>
      <c r="J5"/>
    </row>
  </sheetData>
  <sheetProtection autoFilter="0"/>
  <hyperlinks>
    <hyperlink ref="C1" r:id="rId1" xr:uid="{868437C8-6FD1-443C-8608-3E2B68BA657A}"/>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ThisWorkbook.RunDataSyncAndRefresh">
                <anchor moveWithCells="1" sizeWithCells="1">
                  <from>
                    <xdr:col>6</xdr:col>
                    <xdr:colOff>38100</xdr:colOff>
                    <xdr:row>0</xdr:row>
                    <xdr:rowOff>47625</xdr:rowOff>
                  </from>
                  <to>
                    <xdr:col>6</xdr:col>
                    <xdr:colOff>1533525</xdr:colOff>
                    <xdr:row>1</xdr:row>
                    <xdr:rowOff>114300</xdr:rowOff>
                  </to>
                </anchor>
              </controlPr>
            </control>
          </mc:Choice>
        </mc:AlternateContent>
      </controls>
    </mc:Choice>
  </mc:AlternateContent>
  <tableParts count="1">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4" t="s">
        <v>53</v>
      </c>
      <c r="B1" s="590"/>
      <c r="C1" s="590"/>
      <c r="D1" s="590"/>
      <c r="E1" s="33" t="s">
        <v>144</v>
      </c>
      <c r="G1" s="590" t="s">
        <v>65</v>
      </c>
      <c r="H1" s="590"/>
      <c r="K1" t="s">
        <v>88</v>
      </c>
      <c r="M1" t="s">
        <v>89</v>
      </c>
      <c r="O1" t="s">
        <v>114</v>
      </c>
      <c r="Q1" t="s">
        <v>123</v>
      </c>
      <c r="S1" t="s">
        <v>129</v>
      </c>
      <c r="U1" s="36" t="s">
        <v>154</v>
      </c>
      <c r="W1" s="36" t="s">
        <v>158</v>
      </c>
      <c r="Y1" s="36" t="s">
        <v>184</v>
      </c>
      <c r="AA1" s="36" t="s">
        <v>185</v>
      </c>
      <c r="AC1" s="36" t="s">
        <v>193</v>
      </c>
      <c r="AE1" s="61" t="s">
        <v>281</v>
      </c>
      <c r="AG1" s="34" t="s">
        <v>288</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324</v>
      </c>
      <c r="H2" t="s">
        <v>68</v>
      </c>
      <c r="K2" t="s">
        <v>79</v>
      </c>
      <c r="M2" t="s">
        <v>90</v>
      </c>
      <c r="Q2" t="s">
        <v>124</v>
      </c>
      <c r="S2" t="s">
        <v>77</v>
      </c>
      <c r="U2" s="36" t="s">
        <v>155</v>
      </c>
      <c r="W2">
        <f>IF(Main!D32 = 10, 5, IF(Main!D32 = 30, 15, IF(Main!D32 = 40, 20, 0)))</f>
        <v>0</v>
      </c>
      <c r="Y2" t="s">
        <v>164</v>
      </c>
      <c r="AC2" s="36" t="s">
        <v>195</v>
      </c>
      <c r="AE2" s="36" t="s">
        <v>282</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325</v>
      </c>
      <c r="H3" t="s">
        <v>66</v>
      </c>
      <c r="K3" t="s">
        <v>80</v>
      </c>
      <c r="M3" t="s">
        <v>91</v>
      </c>
      <c r="O3" t="s">
        <v>115</v>
      </c>
      <c r="Q3" s="36" t="s">
        <v>152</v>
      </c>
      <c r="S3" t="s">
        <v>131</v>
      </c>
      <c r="U3" s="36" t="s">
        <v>255</v>
      </c>
      <c r="Y3" t="s">
        <v>165</v>
      </c>
      <c r="AC3" s="36" t="s">
        <v>194</v>
      </c>
      <c r="AE3" s="36" t="s">
        <v>303</v>
      </c>
      <c r="AG3" s="36" t="str">
        <v>Jeremy Keene</v>
      </c>
      <c r="AH3" s="36"/>
    </row>
    <row r="4" spans="1:34" x14ac:dyDescent="0.2">
      <c r="A4" s="33" t="str">
        <v>J3</v>
      </c>
      <c r="B4" s="33" t="str">
        <v>DaqBook/2005</v>
      </c>
      <c r="C4" s="33" t="str">
        <v>807705</v>
      </c>
      <c r="D4" s="33" t="str">
        <f t="shared" si="0"/>
        <v>"J" IRON-CONSTANTAN</v>
      </c>
      <c r="E4" s="33">
        <v>28</v>
      </c>
      <c r="G4" s="36" t="s">
        <v>323</v>
      </c>
      <c r="H4" t="s">
        <v>67</v>
      </c>
      <c r="K4" t="s">
        <v>91</v>
      </c>
      <c r="M4" t="s">
        <v>101</v>
      </c>
      <c r="O4" t="s">
        <v>121</v>
      </c>
      <c r="Q4" t="s">
        <v>125</v>
      </c>
      <c r="S4" t="s">
        <v>130</v>
      </c>
      <c r="U4" s="36" t="s">
        <v>156</v>
      </c>
      <c r="Y4" t="s">
        <v>166</v>
      </c>
      <c r="AE4" s="36" t="s">
        <v>260</v>
      </c>
      <c r="AG4" s="36" t="str">
        <v>Jesse Regehr</v>
      </c>
      <c r="AH4" s="36"/>
    </row>
    <row r="5" spans="1:34" x14ac:dyDescent="0.2">
      <c r="A5" s="33" t="str">
        <v>K4</v>
      </c>
      <c r="B5" s="33" t="str">
        <v>DaqBook/2005</v>
      </c>
      <c r="C5" s="33" t="str">
        <v>807409</v>
      </c>
      <c r="D5" s="33" t="str">
        <f t="shared" si="0"/>
        <v>"K" CHROMEL-ALUMEL</v>
      </c>
      <c r="E5" s="33">
        <v>40</v>
      </c>
      <c r="K5" s="67">
        <v>283372</v>
      </c>
      <c r="M5" t="s">
        <v>103</v>
      </c>
      <c r="O5" t="s">
        <v>138</v>
      </c>
      <c r="Q5" t="s">
        <v>126</v>
      </c>
      <c r="U5" s="36" t="s">
        <v>104</v>
      </c>
      <c r="Y5" t="s">
        <v>167</v>
      </c>
      <c r="AG5" s="36" t="str">
        <v>Joey Craig</v>
      </c>
      <c r="AH5" s="36"/>
    </row>
    <row r="6" spans="1:34" x14ac:dyDescent="0.2">
      <c r="A6" s="33" t="str">
        <v>K5</v>
      </c>
      <c r="B6" s="33" t="str">
        <v>DaqBook/2005</v>
      </c>
      <c r="C6" s="33" t="str">
        <v>808005</v>
      </c>
      <c r="D6" s="33" t="str">
        <f t="shared" si="0"/>
        <v>"K" CHROMEL-ALUMEL</v>
      </c>
      <c r="E6" s="33">
        <v>28</v>
      </c>
      <c r="K6" t="s">
        <v>106</v>
      </c>
      <c r="O6" t="s">
        <v>102</v>
      </c>
      <c r="Q6" s="36" t="s">
        <v>300</v>
      </c>
      <c r="U6" s="36" t="s">
        <v>105</v>
      </c>
      <c r="Y6" t="s">
        <v>168</v>
      </c>
      <c r="AG6" s="36" t="str">
        <v>Joey Knutson</v>
      </c>
      <c r="AH6" s="36"/>
    </row>
    <row r="7" spans="1:34" x14ac:dyDescent="0.2">
      <c r="A7" s="33" t="str">
        <v>K6</v>
      </c>
      <c r="B7" s="33" t="str">
        <v>DaqBook/2005</v>
      </c>
      <c r="C7" s="33" t="str">
        <v>808173</v>
      </c>
      <c r="D7" s="33" t="str">
        <f t="shared" si="0"/>
        <v>"K" CHROMEL-ALUMEL</v>
      </c>
      <c r="E7" s="33">
        <v>40</v>
      </c>
      <c r="O7" t="s">
        <v>118</v>
      </c>
      <c r="Q7" s="36" t="s">
        <v>301</v>
      </c>
      <c r="U7" s="36" t="s">
        <v>157</v>
      </c>
      <c r="Y7" t="s">
        <v>169</v>
      </c>
      <c r="AG7" s="36" t="str">
        <v>Kevin Ferrante</v>
      </c>
      <c r="AH7" s="36"/>
    </row>
    <row r="8" spans="1:34" x14ac:dyDescent="0.2">
      <c r="A8" s="33" t="str">
        <v>K7</v>
      </c>
      <c r="B8" s="69" t="str">
        <v>DaqBook/2005</v>
      </c>
      <c r="C8" s="69" t="str">
        <v>22500C0</v>
      </c>
      <c r="D8" s="33" t="str">
        <f t="shared" si="0"/>
        <v>"K" CHROMEL-ALUMEL</v>
      </c>
      <c r="E8" s="33">
        <v>28</v>
      </c>
      <c r="O8" t="s">
        <v>117</v>
      </c>
      <c r="Q8" s="36" t="s">
        <v>302</v>
      </c>
      <c r="U8" t="str">
        <f>IF(AND(Main!D17&lt;&gt;"",Main!D17&gt;14),"Data_Sheet_15_28","")</f>
        <v/>
      </c>
      <c r="Y8" t="s">
        <v>170</v>
      </c>
      <c r="AE8" s="61" t="s">
        <v>283</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171</v>
      </c>
      <c r="AE9" s="36" t="s">
        <v>262</v>
      </c>
      <c r="AG9" s="36" t="str">
        <v>Mike Ragonese</v>
      </c>
      <c r="AH9" s="36"/>
    </row>
    <row r="10" spans="1:34" x14ac:dyDescent="0.2">
      <c r="O10" t="s">
        <v>116</v>
      </c>
      <c r="Y10" t="s">
        <v>172</v>
      </c>
      <c r="AE10" s="36" t="s">
        <v>284</v>
      </c>
      <c r="AG10" s="36" t="str">
        <v>Nick Nolte</v>
      </c>
      <c r="AH10" s="36"/>
    </row>
    <row r="11" spans="1:34" x14ac:dyDescent="0.2">
      <c r="O11" t="s">
        <v>120</v>
      </c>
      <c r="Y11" s="36" t="s">
        <v>189</v>
      </c>
      <c r="AE11" s="36" t="s">
        <v>126</v>
      </c>
      <c r="AG11" t="str">
        <v>Ryan Byars</v>
      </c>
    </row>
    <row r="12" spans="1:34" x14ac:dyDescent="0.2">
      <c r="O12" t="s">
        <v>119</v>
      </c>
      <c r="Y12" s="36" t="s">
        <v>295</v>
      </c>
      <c r="AE12" s="36" t="s">
        <v>285</v>
      </c>
    </row>
    <row r="13" spans="1:34" x14ac:dyDescent="0.2">
      <c r="O13" s="36" t="s">
        <v>298</v>
      </c>
      <c r="Y13" t="s">
        <v>173</v>
      </c>
      <c r="AE13" s="36" t="s">
        <v>286</v>
      </c>
    </row>
    <row r="14" spans="1:34" x14ac:dyDescent="0.2">
      <c r="Y14" t="s">
        <v>174</v>
      </c>
      <c r="AE14" s="36" t="s">
        <v>287</v>
      </c>
    </row>
    <row r="15" spans="1:34" x14ac:dyDescent="0.2">
      <c r="Y15" t="s">
        <v>175</v>
      </c>
      <c r="AE15" s="36" t="s">
        <v>297</v>
      </c>
    </row>
    <row r="16" spans="1:34" x14ac:dyDescent="0.2">
      <c r="F16" s="39"/>
      <c r="G16" s="39"/>
      <c r="H16" s="39"/>
      <c r="I16" s="39"/>
      <c r="J16" s="39"/>
      <c r="K16" s="39"/>
      <c r="L16" s="39"/>
      <c r="M16" s="39"/>
      <c r="O16" s="39"/>
      <c r="Y16" t="s">
        <v>176</v>
      </c>
    </row>
    <row r="17" spans="25:25" x14ac:dyDescent="0.2">
      <c r="Y17" s="36" t="s">
        <v>197</v>
      </c>
    </row>
    <row r="18" spans="25:25" x14ac:dyDescent="0.2">
      <c r="Y18" t="s">
        <v>177</v>
      </c>
    </row>
    <row r="19" spans="25:25" x14ac:dyDescent="0.2">
      <c r="Y19" t="s">
        <v>178</v>
      </c>
    </row>
    <row r="20" spans="25:25" x14ac:dyDescent="0.2">
      <c r="Y20" t="s">
        <v>179</v>
      </c>
    </row>
    <row r="21" spans="25:25" x14ac:dyDescent="0.2">
      <c r="Y21" t="s">
        <v>180</v>
      </c>
    </row>
    <row r="22" spans="25:25" x14ac:dyDescent="0.2">
      <c r="Y22" t="s">
        <v>181</v>
      </c>
    </row>
    <row r="23" spans="25:25" x14ac:dyDescent="0.2">
      <c r="Y23" s="36" t="s">
        <v>190</v>
      </c>
    </row>
    <row r="24" spans="25:25" x14ac:dyDescent="0.2">
      <c r="Y24" s="36" t="s">
        <v>191</v>
      </c>
    </row>
    <row r="25" spans="25:25" x14ac:dyDescent="0.2">
      <c r="Y25" s="36" t="s">
        <v>257</v>
      </c>
    </row>
    <row r="26" spans="25:25" x14ac:dyDescent="0.2">
      <c r="Y26" t="s">
        <v>182</v>
      </c>
    </row>
    <row r="27" spans="25:25" x14ac:dyDescent="0.2">
      <c r="Y27" t="s">
        <v>183</v>
      </c>
    </row>
    <row r="28" spans="25:25" x14ac:dyDescent="0.2">
      <c r="Y28" s="36" t="s">
        <v>192</v>
      </c>
    </row>
    <row r="29" spans="25:25" x14ac:dyDescent="0.2">
      <c r="Y29" t="s">
        <v>159</v>
      </c>
    </row>
    <row r="30" spans="25:25" x14ac:dyDescent="0.2">
      <c r="Y30" s="36" t="s">
        <v>199</v>
      </c>
    </row>
    <row r="31" spans="25:25" x14ac:dyDescent="0.2">
      <c r="Y31" t="s">
        <v>160</v>
      </c>
    </row>
    <row r="32" spans="25:25" x14ac:dyDescent="0.2">
      <c r="Y32" t="s">
        <v>161</v>
      </c>
    </row>
    <row r="33" spans="25:25" x14ac:dyDescent="0.2">
      <c r="Y33" t="s">
        <v>162</v>
      </c>
    </row>
    <row r="34" spans="25:25" x14ac:dyDescent="0.2">
      <c r="Y34" t="s">
        <v>163</v>
      </c>
    </row>
    <row r="35" spans="25:25" x14ac:dyDescent="0.2">
      <c r="Y35" s="36" t="s">
        <v>196</v>
      </c>
    </row>
  </sheetData>
  <sheetProtection algorithmName="SHA-512" hashValue="gKcACevQYtgxGo64FABS1LAotU5mz2iidiZ5tzKEA9Y4xOro1WG/+Z9S1cC+6UDyhYjjV5GTSYOu4diV5zB9Yw==" saltValue="vGV+itQ9Mk7RjxDthojiaw=="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2"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88</vt:i4>
      </vt:variant>
    </vt:vector>
  </HeadingPairs>
  <TitlesOfParts>
    <vt:vector size="118"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Simple Interp</vt:lpstr>
      <vt:lpstr>Wire Sets</vt:lpstr>
      <vt:lpstr>Alerts</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'Wire Sets'!Locator</vt:lpstr>
      <vt:lpstr>Locator</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Unit</vt:lpstr>
      <vt:lpstr>UnitNumber</vt:lpstr>
      <vt:lpstr>UsedWireSNs</vt:lpstr>
      <vt:lpstr>Wire_Sets_Probes</vt:lpstr>
      <vt:lpstr>Wire_Type</vt:lpstr>
      <vt:lpstr>WireLotNos</vt:lpstr>
      <vt:lpstr>WireSetSNs</vt:lpstr>
      <vt:lpstr>WorkingZoneSize</vt:lpstr>
      <vt:lpstr>WorkItemNumber</vt:lpstr>
      <vt:lpstr>WorkOrderNumber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2026-04-02T21:27:37Z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