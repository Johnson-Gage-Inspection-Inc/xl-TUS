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0F94CE7-B3E5-495E-8DA4-7ACC2E9B51A3}"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K5" i="95" s="1"/>
  <c r="J6" i="95"/>
  <c r="K6" i="95" s="1"/>
  <c r="J7" i="95"/>
  <c r="K7" i="95" s="1"/>
  <c r="J8" i="95"/>
  <c r="J9" i="95"/>
  <c r="K9" i="95" s="1"/>
  <c r="J10" i="95"/>
  <c r="K10" i="95" s="1"/>
  <c r="J11" i="95"/>
  <c r="K11" i="95" s="1"/>
  <c r="J12" i="95"/>
  <c r="J13" i="95"/>
  <c r="K13" i="95" s="1"/>
  <c r="J14" i="95"/>
  <c r="K14" i="95" s="1"/>
  <c r="J15" i="95"/>
  <c r="K15" i="95" s="1"/>
  <c r="J16" i="95"/>
  <c r="J17" i="95"/>
  <c r="K17" i="95" s="1"/>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J33" i="95"/>
  <c r="J34" i="95"/>
  <c r="J35" i="95"/>
  <c r="J36" i="95"/>
  <c r="K36" i="95" s="1"/>
  <c r="J37" i="95"/>
  <c r="K37" i="95" s="1"/>
  <c r="J38" i="95"/>
  <c r="K38" i="95" s="1"/>
  <c r="J39" i="95"/>
  <c r="K39" i="95" s="1"/>
  <c r="J40" i="95"/>
  <c r="K40" i="95" s="1"/>
  <c r="J41" i="95"/>
  <c r="K41" i="95" s="1"/>
  <c r="J42" i="95"/>
  <c r="K42" i="95" s="1"/>
  <c r="J43" i="95"/>
  <c r="K43" i="95" s="1"/>
  <c r="J44" i="95"/>
  <c r="J45" i="95"/>
  <c r="K45" i="95" s="1"/>
  <c r="J46" i="95"/>
  <c r="K46" i="95" s="1"/>
  <c r="J47" i="95"/>
  <c r="K47" i="95" s="1"/>
  <c r="J48" i="95"/>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J65" i="95"/>
  <c r="J66" i="95"/>
  <c r="J67" i="95"/>
  <c r="J68" i="95"/>
  <c r="J69" i="95"/>
  <c r="K69" i="95" s="1"/>
  <c r="J70" i="95"/>
  <c r="K70" i="95" s="1"/>
  <c r="J71" i="95"/>
  <c r="K71" i="95" s="1"/>
  <c r="J72" i="95"/>
  <c r="K72" i="95" s="1"/>
  <c r="J73" i="95"/>
  <c r="J74" i="95"/>
  <c r="J75" i="95"/>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J97" i="95"/>
  <c r="J98" i="95"/>
  <c r="K98" i="95" s="1"/>
  <c r="J99" i="95"/>
  <c r="K99" i="95" s="1"/>
  <c r="J100" i="95"/>
  <c r="J101" i="95"/>
  <c r="K101" i="95" s="1"/>
  <c r="J102" i="95"/>
  <c r="K102" i="95" s="1"/>
  <c r="J103" i="95"/>
  <c r="K103" i="95" s="1"/>
  <c r="J104" i="95"/>
  <c r="J105" i="95"/>
  <c r="J106" i="95"/>
  <c r="J107" i="95"/>
  <c r="K107" i="95" s="1"/>
  <c r="J108" i="95"/>
  <c r="K108" i="95" s="1"/>
  <c r="J109" i="95"/>
  <c r="K109" i="95" s="1"/>
  <c r="J110" i="95"/>
  <c r="K110" i="95" s="1"/>
  <c r="J111" i="95"/>
  <c r="K111" i="95" s="1"/>
  <c r="J112" i="95"/>
  <c r="J113" i="95"/>
  <c r="J114" i="95"/>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J129" i="95"/>
  <c r="J130" i="95"/>
  <c r="J131" i="95"/>
  <c r="J132" i="95"/>
  <c r="J133" i="95"/>
  <c r="J134" i="95"/>
  <c r="J135" i="95"/>
  <c r="K135" i="95" s="1"/>
  <c r="J136" i="95"/>
  <c r="K136" i="95" s="1"/>
  <c r="J137" i="95"/>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K165" i="95" s="1"/>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J193" i="95"/>
  <c r="J194" i="95"/>
  <c r="J195" i="95"/>
  <c r="J196" i="95"/>
  <c r="K196" i="95" s="1"/>
  <c r="J197" i="95"/>
  <c r="K197" i="95" s="1"/>
  <c r="J198" i="95"/>
  <c r="K198" i="95" s="1"/>
  <c r="J199" i="95"/>
  <c r="J200" i="95"/>
  <c r="J201" i="95"/>
  <c r="J202" i="95"/>
  <c r="J203" i="95"/>
  <c r="J204" i="95"/>
  <c r="J205" i="95"/>
  <c r="K205" i="95" s="1"/>
  <c r="J206" i="95"/>
  <c r="K206" i="95" s="1"/>
  <c r="J207" i="95"/>
  <c r="K207" i="95" s="1"/>
  <c r="J208" i="95"/>
  <c r="K208" i="95" s="1"/>
  <c r="J209" i="95"/>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J223" i="95"/>
  <c r="K223" i="95" s="1"/>
  <c r="J224" i="95"/>
  <c r="J225" i="95"/>
  <c r="J226" i="95"/>
  <c r="J227" i="95"/>
  <c r="K227" i="95" s="1"/>
  <c r="J228" i="95"/>
  <c r="K228" i="95" s="1"/>
  <c r="J229" i="95"/>
  <c r="K229" i="95" s="1"/>
  <c r="J230" i="95"/>
  <c r="J231" i="95"/>
  <c r="J232" i="95"/>
  <c r="J233" i="95"/>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K258" i="95" s="1"/>
  <c r="J259" i="95"/>
  <c r="K259" i="95" s="1"/>
  <c r="J260" i="95"/>
  <c r="J261" i="95"/>
  <c r="J262" i="95"/>
  <c r="J263" i="95"/>
  <c r="K263" i="95" s="1"/>
  <c r="J264" i="95"/>
  <c r="J265" i="95"/>
  <c r="J266" i="95"/>
  <c r="J267" i="95"/>
  <c r="J268" i="95"/>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J289" i="95"/>
  <c r="J290" i="95"/>
  <c r="J291" i="95"/>
  <c r="J292" i="95"/>
  <c r="J293" i="95"/>
  <c r="J294" i="95"/>
  <c r="J295" i="95"/>
  <c r="K295" i="95" s="1"/>
  <c r="J296" i="95"/>
  <c r="K296" i="95" s="1"/>
  <c r="J297" i="95"/>
  <c r="K297" i="95" s="1"/>
  <c r="J298" i="95"/>
  <c r="K298" i="95" s="1"/>
  <c r="J299" i="95"/>
  <c r="K299" i="95" s="1"/>
  <c r="J300" i="95"/>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K324" i="95" s="1"/>
  <c r="J325" i="95"/>
  <c r="K325" i="95" s="1"/>
  <c r="J326" i="95"/>
  <c r="K326" i="95" s="1"/>
  <c r="J327" i="95"/>
  <c r="K327" i="95" s="1"/>
  <c r="J328" i="95"/>
  <c r="K328" i="95" s="1"/>
  <c r="J329" i="95"/>
  <c r="J330" i="95"/>
  <c r="J331" i="95"/>
  <c r="J332" i="95"/>
  <c r="J333" i="95"/>
  <c r="J334" i="95"/>
  <c r="K334" i="95" s="1"/>
  <c r="J335" i="95"/>
  <c r="K335" i="95" s="1"/>
  <c r="J336" i="95"/>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K357" i="95" s="1"/>
  <c r="J358" i="95"/>
  <c r="K358" i="95" s="1"/>
  <c r="J359" i="95"/>
  <c r="K359" i="95" s="1"/>
  <c r="J360" i="95"/>
  <c r="K360" i="95" s="1"/>
  <c r="J361" i="95"/>
  <c r="K361" i="95" s="1"/>
  <c r="J362" i="95"/>
  <c r="J363" i="95"/>
  <c r="J364" i="95"/>
  <c r="J365" i="95"/>
  <c r="K365" i="95" s="1"/>
  <c r="J366" i="95"/>
  <c r="K366" i="95" s="1"/>
  <c r="J367" i="95"/>
  <c r="K367" i="95" s="1"/>
  <c r="J368" i="95"/>
  <c r="J369" i="95"/>
  <c r="J370" i="95"/>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J385" i="95"/>
  <c r="J386" i="95"/>
  <c r="K386" i="95" s="1"/>
  <c r="J387" i="95"/>
  <c r="K387" i="95" s="1"/>
  <c r="J388" i="95"/>
  <c r="K388" i="95" s="1"/>
  <c r="J389" i="95"/>
  <c r="K389" i="95" s="1"/>
  <c r="J390" i="95"/>
  <c r="K390" i="95" s="1"/>
  <c r="J391" i="95"/>
  <c r="K391" i="95" s="1"/>
  <c r="J392" i="95"/>
  <c r="K392" i="95" s="1"/>
  <c r="J393" i="95"/>
  <c r="K393" i="95" s="1"/>
  <c r="J394" i="95"/>
  <c r="K394" i="95" s="1"/>
  <c r="J395" i="95"/>
  <c r="K395" i="95" s="1"/>
  <c r="J396" i="95"/>
  <c r="J397" i="95"/>
  <c r="K397" i="95" s="1"/>
  <c r="J398" i="95"/>
  <c r="K398" i="95" s="1"/>
  <c r="J399" i="95"/>
  <c r="K399" i="95" s="1"/>
  <c r="J400" i="95"/>
  <c r="J401" i="95"/>
  <c r="K401" i="95" s="1"/>
  <c r="J402" i="95"/>
  <c r="K402" i="95" s="1"/>
  <c r="J403" i="95"/>
  <c r="K403" i="95" s="1"/>
  <c r="J404" i="95"/>
  <c r="K404" i="95" s="1"/>
  <c r="J405" i="95"/>
  <c r="K405" i="95" s="1"/>
  <c r="J406" i="95"/>
  <c r="K406" i="95" s="1"/>
  <c r="J407" i="95"/>
  <c r="K407" i="95" s="1"/>
  <c r="J408" i="95"/>
  <c r="J409" i="95"/>
  <c r="K409" i="95" s="1"/>
  <c r="J410" i="95"/>
  <c r="K410" i="95" s="1"/>
  <c r="J411" i="95"/>
  <c r="K411" i="95" s="1"/>
  <c r="J412" i="95"/>
  <c r="K412" i="95" s="1"/>
  <c r="J413" i="95"/>
  <c r="K413" i="95" s="1"/>
  <c r="J414" i="95"/>
  <c r="K414" i="95" s="1"/>
  <c r="J415" i="95"/>
  <c r="K415" i="95" s="1"/>
  <c r="J416" i="95"/>
  <c r="J417" i="95"/>
  <c r="J418" i="95"/>
  <c r="K418" i="95" s="1"/>
  <c r="J419" i="95"/>
  <c r="K419" i="95" s="1"/>
  <c r="J420" i="95"/>
  <c r="K420" i="95" s="1"/>
  <c r="K2" i="95"/>
  <c r="K3" i="95"/>
  <c r="K4" i="95"/>
  <c r="K8" i="95"/>
  <c r="K12" i="95"/>
  <c r="K16" i="95"/>
  <c r="K32" i="95"/>
  <c r="K33" i="95"/>
  <c r="K34" i="95"/>
  <c r="K35" i="95"/>
  <c r="K44" i="95"/>
  <c r="K48" i="95"/>
  <c r="K64" i="95"/>
  <c r="K65" i="95"/>
  <c r="K66" i="95"/>
  <c r="K67" i="95"/>
  <c r="K68" i="95"/>
  <c r="K73" i="95"/>
  <c r="K74" i="95"/>
  <c r="K75" i="95"/>
  <c r="K96" i="95"/>
  <c r="K97" i="95"/>
  <c r="K100" i="95"/>
  <c r="K104" i="95"/>
  <c r="K105" i="95"/>
  <c r="K106" i="95"/>
  <c r="K112" i="95"/>
  <c r="K113" i="95"/>
  <c r="K114" i="95"/>
  <c r="K115" i="95"/>
  <c r="K116" i="95"/>
  <c r="K128" i="95"/>
  <c r="K129" i="95"/>
  <c r="K130" i="95"/>
  <c r="K131" i="95"/>
  <c r="K132" i="95"/>
  <c r="K133" i="95"/>
  <c r="K134" i="95"/>
  <c r="K137" i="95"/>
  <c r="K160" i="95"/>
  <c r="K161" i="95"/>
  <c r="K162" i="95"/>
  <c r="K163" i="95"/>
  <c r="K164" i="95"/>
  <c r="K192" i="95"/>
  <c r="K193" i="95"/>
  <c r="K194" i="95"/>
  <c r="K195" i="95"/>
  <c r="K199" i="95"/>
  <c r="K200" i="95"/>
  <c r="K201" i="95"/>
  <c r="K202" i="95"/>
  <c r="K203" i="95"/>
  <c r="K204" i="95"/>
  <c r="K224" i="95"/>
  <c r="K225" i="95"/>
  <c r="K226" i="95"/>
  <c r="K230" i="95"/>
  <c r="K231" i="95"/>
  <c r="K232" i="95"/>
  <c r="K233" i="95"/>
  <c r="K257" i="95"/>
  <c r="K260" i="95"/>
  <c r="K261" i="95"/>
  <c r="K262" i="95"/>
  <c r="K264" i="95"/>
  <c r="K265" i="95"/>
  <c r="K266" i="95"/>
  <c r="K267" i="95"/>
  <c r="K268" i="95"/>
  <c r="K288" i="95"/>
  <c r="K289" i="95"/>
  <c r="K290" i="95"/>
  <c r="K291" i="95"/>
  <c r="K292" i="95"/>
  <c r="K293" i="95"/>
  <c r="K294" i="95"/>
  <c r="K300" i="95"/>
  <c r="K322" i="95"/>
  <c r="K323" i="95"/>
  <c r="K329" i="95"/>
  <c r="K330" i="95"/>
  <c r="K331" i="95"/>
  <c r="K332" i="95"/>
  <c r="K336" i="95"/>
  <c r="K352" i="95"/>
  <c r="K353" i="95"/>
  <c r="K354" i="95"/>
  <c r="K355" i="95"/>
  <c r="K356" i="95"/>
  <c r="K362" i="95"/>
  <c r="K363" i="95"/>
  <c r="K364" i="95"/>
  <c r="K368" i="95"/>
  <c r="K369" i="95"/>
  <c r="K370" i="95"/>
  <c r="K384" i="95"/>
  <c r="K385" i="95"/>
  <c r="K396" i="95"/>
  <c r="K400" i="95"/>
  <c r="K408" i="95"/>
  <c r="K416" i="95"/>
  <c r="K417" i="95"/>
  <c r="L2" i="95"/>
  <c r="L3" i="95"/>
  <c r="M3" i="95" s="1"/>
  <c r="L4" i="95"/>
  <c r="M4" i="95" s="1"/>
  <c r="L5" i="95"/>
  <c r="M5" i="95" s="1"/>
  <c r="L6" i="95"/>
  <c r="L7" i="95"/>
  <c r="M7" i="95" s="1"/>
  <c r="L8" i="95"/>
  <c r="M8" i="95" s="1"/>
  <c r="L9" i="95"/>
  <c r="M9" i="95" s="1"/>
  <c r="L10" i="95"/>
  <c r="M10" i="95" s="1"/>
  <c r="L11" i="95"/>
  <c r="M11" i="95" s="1"/>
  <c r="L12" i="95"/>
  <c r="M12" i="95" s="1"/>
  <c r="L13" i="95"/>
  <c r="L14" i="95"/>
  <c r="L15" i="95"/>
  <c r="M15" i="95" s="1"/>
  <c r="L16" i="95"/>
  <c r="M16" i="95" s="1"/>
  <c r="L17" i="95"/>
  <c r="M17" i="95" s="1"/>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L30" i="95"/>
  <c r="L31" i="95"/>
  <c r="L32" i="95"/>
  <c r="L33" i="95"/>
  <c r="L34" i="95"/>
  <c r="L35" i="95"/>
  <c r="L36" i="95"/>
  <c r="L37" i="95"/>
  <c r="L38" i="95"/>
  <c r="L39" i="95"/>
  <c r="M39" i="95" s="1"/>
  <c r="L40" i="95"/>
  <c r="M40" i="95" s="1"/>
  <c r="L41" i="95"/>
  <c r="M41" i="95" s="1"/>
  <c r="L42" i="95"/>
  <c r="L43" i="95"/>
  <c r="L44" i="95"/>
  <c r="L45" i="95"/>
  <c r="L46" i="95"/>
  <c r="M46" i="95" s="1"/>
  <c r="L47" i="95"/>
  <c r="M47" i="95" s="1"/>
  <c r="L48" i="95"/>
  <c r="M48" i="95" s="1"/>
  <c r="L49" i="95"/>
  <c r="M49" i="95" s="1"/>
  <c r="L50" i="95"/>
  <c r="M50" i="95" s="1"/>
  <c r="L51" i="95"/>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L78" i="95"/>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M107" i="95" s="1"/>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L126" i="95"/>
  <c r="L127" i="95"/>
  <c r="L128" i="95"/>
  <c r="L129" i="95"/>
  <c r="L130" i="95"/>
  <c r="M130" i="95" s="1"/>
  <c r="L131" i="95"/>
  <c r="M131" i="95" s="1"/>
  <c r="L132" i="95"/>
  <c r="M132" i="95" s="1"/>
  <c r="L133" i="95"/>
  <c r="M133" i="95" s="1"/>
  <c r="L134" i="95"/>
  <c r="L135" i="95"/>
  <c r="M135" i="95" s="1"/>
  <c r="L136" i="95"/>
  <c r="M136" i="95" s="1"/>
  <c r="L137" i="95"/>
  <c r="M137" i="95" s="1"/>
  <c r="L138" i="95"/>
  <c r="L139" i="95"/>
  <c r="L140" i="95"/>
  <c r="L141" i="95"/>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L158" i="95"/>
  <c r="M158" i="95" s="1"/>
  <c r="L159" i="95"/>
  <c r="L160" i="95"/>
  <c r="L161" i="95"/>
  <c r="L162" i="95"/>
  <c r="L163" i="95"/>
  <c r="L164" i="95"/>
  <c r="M164" i="95" s="1"/>
  <c r="L165" i="95"/>
  <c r="M165" i="95" s="1"/>
  <c r="L166" i="95"/>
  <c r="M166" i="95" s="1"/>
  <c r="L167" i="95"/>
  <c r="M167" i="95" s="1"/>
  <c r="L168" i="95"/>
  <c r="M168" i="95" s="1"/>
  <c r="L169" i="95"/>
  <c r="M169" i="95" s="1"/>
  <c r="L170" i="95"/>
  <c r="M170" i="95" s="1"/>
  <c r="L171" i="95"/>
  <c r="M171" i="95" s="1"/>
  <c r="L172" i="95"/>
  <c r="M172" i="95" s="1"/>
  <c r="L173" i="95"/>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L192" i="95"/>
  <c r="M192" i="95" s="1"/>
  <c r="L193" i="95"/>
  <c r="M193" i="95" s="1"/>
  <c r="L194" i="95"/>
  <c r="M194" i="95" s="1"/>
  <c r="L195" i="95"/>
  <c r="M195" i="95" s="1"/>
  <c r="L196" i="95"/>
  <c r="M196" i="95" s="1"/>
  <c r="L197" i="95"/>
  <c r="L198" i="95"/>
  <c r="L199" i="95"/>
  <c r="M199" i="95" s="1"/>
  <c r="L200" i="95"/>
  <c r="M200" i="95" s="1"/>
  <c r="L201" i="95"/>
  <c r="M201" i="95" s="1"/>
  <c r="L202" i="95"/>
  <c r="L203" i="95"/>
  <c r="L204" i="95"/>
  <c r="L205" i="95"/>
  <c r="L206" i="95"/>
  <c r="L207" i="95"/>
  <c r="M207" i="95" s="1"/>
  <c r="L208" i="95"/>
  <c r="L209" i="95"/>
  <c r="L210" i="95"/>
  <c r="L211" i="95"/>
  <c r="L212" i="95"/>
  <c r="M212" i="95" s="1"/>
  <c r="L213" i="95"/>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L254" i="95"/>
  <c r="M254" i="95" s="1"/>
  <c r="L255" i="95"/>
  <c r="L256" i="95"/>
  <c r="L257" i="95"/>
  <c r="M257" i="95" s="1"/>
  <c r="L258" i="95"/>
  <c r="M258" i="95" s="1"/>
  <c r="L259" i="95"/>
  <c r="M259" i="95" s="1"/>
  <c r="L260" i="95"/>
  <c r="M260" i="95" s="1"/>
  <c r="L261" i="95"/>
  <c r="M261" i="95" s="1"/>
  <c r="L262" i="95"/>
  <c r="M262" i="95" s="1"/>
  <c r="L263" i="95"/>
  <c r="M263" i="95" s="1"/>
  <c r="L264" i="95"/>
  <c r="M264" i="95" s="1"/>
  <c r="L265" i="95"/>
  <c r="M265" i="95" s="1"/>
  <c r="L266" i="95"/>
  <c r="L267" i="95"/>
  <c r="M267" i="95" s="1"/>
  <c r="L268" i="95"/>
  <c r="M268" i="95" s="1"/>
  <c r="L269" i="95"/>
  <c r="L270" i="95"/>
  <c r="L271" i="95"/>
  <c r="M271" i="95" s="1"/>
  <c r="L272" i="95"/>
  <c r="L273" i="95"/>
  <c r="L274" i="95"/>
  <c r="M274" i="95" s="1"/>
  <c r="L275" i="95"/>
  <c r="L276" i="95"/>
  <c r="L277" i="95"/>
  <c r="M277" i="95" s="1"/>
  <c r="L278" i="95"/>
  <c r="M278" i="95" s="1"/>
  <c r="L279" i="95"/>
  <c r="M279" i="95" s="1"/>
  <c r="L280" i="95"/>
  <c r="M280" i="95" s="1"/>
  <c r="L281" i="95"/>
  <c r="M281" i="95" s="1"/>
  <c r="L282" i="95"/>
  <c r="M282" i="95" s="1"/>
  <c r="L283" i="95"/>
  <c r="M283" i="95" s="1"/>
  <c r="L284" i="95"/>
  <c r="L285" i="95"/>
  <c r="L286" i="95"/>
  <c r="L287" i="95"/>
  <c r="L288" i="95"/>
  <c r="L289" i="95"/>
  <c r="L290" i="95"/>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L322" i="95"/>
  <c r="L323" i="95"/>
  <c r="L324" i="95"/>
  <c r="M324" i="95" s="1"/>
  <c r="L325" i="95"/>
  <c r="M325" i="95" s="1"/>
  <c r="L326" i="95"/>
  <c r="M326" i="95" s="1"/>
  <c r="L327" i="95"/>
  <c r="M327" i="95" s="1"/>
  <c r="L328" i="95"/>
  <c r="M328" i="95" s="1"/>
  <c r="L329" i="95"/>
  <c r="M329" i="95" s="1"/>
  <c r="L330" i="95"/>
  <c r="L331" i="95"/>
  <c r="L332" i="95"/>
  <c r="L333" i="95"/>
  <c r="L334" i="95"/>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L359" i="95"/>
  <c r="M359" i="95" s="1"/>
  <c r="L360" i="95"/>
  <c r="M360" i="95" s="1"/>
  <c r="L361" i="95"/>
  <c r="M361" i="95" s="1"/>
  <c r="L362" i="95"/>
  <c r="L363" i="95"/>
  <c r="L364" i="95"/>
  <c r="L365" i="95"/>
  <c r="L366" i="95"/>
  <c r="L367" i="95"/>
  <c r="M367" i="95" s="1"/>
  <c r="L368" i="95"/>
  <c r="L369" i="95"/>
  <c r="L370" i="95"/>
  <c r="L371" i="95"/>
  <c r="L372" i="95"/>
  <c r="M372" i="95" s="1"/>
  <c r="L373" i="95"/>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L414" i="95"/>
  <c r="L415" i="95"/>
  <c r="L416" i="95"/>
  <c r="L417" i="95"/>
  <c r="M417" i="95" s="1"/>
  <c r="L418" i="95"/>
  <c r="L419" i="95"/>
  <c r="L420" i="95"/>
  <c r="M420" i="95" s="1"/>
  <c r="M2" i="95"/>
  <c r="M6" i="95"/>
  <c r="M13" i="95"/>
  <c r="M14" i="95"/>
  <c r="M29" i="95"/>
  <c r="M30" i="95"/>
  <c r="M31" i="95"/>
  <c r="M32" i="95"/>
  <c r="M33" i="95"/>
  <c r="M34" i="95"/>
  <c r="M35" i="95"/>
  <c r="M36" i="95"/>
  <c r="M37" i="95"/>
  <c r="M38" i="95"/>
  <c r="M42" i="95"/>
  <c r="M43" i="95"/>
  <c r="M44" i="95"/>
  <c r="M45" i="95"/>
  <c r="M51" i="95"/>
  <c r="M77" i="95"/>
  <c r="M78" i="95"/>
  <c r="M106" i="95"/>
  <c r="M125" i="95"/>
  <c r="M126" i="95"/>
  <c r="M127" i="95"/>
  <c r="M128" i="95"/>
  <c r="M129" i="95"/>
  <c r="M134" i="95"/>
  <c r="M138" i="95"/>
  <c r="M139" i="95"/>
  <c r="M140" i="95"/>
  <c r="M141" i="95"/>
  <c r="M157" i="95"/>
  <c r="M159" i="95"/>
  <c r="M160" i="95"/>
  <c r="M161" i="95"/>
  <c r="M162" i="95"/>
  <c r="M163" i="95"/>
  <c r="M173" i="95"/>
  <c r="M191" i="95"/>
  <c r="M197" i="95"/>
  <c r="M198" i="95"/>
  <c r="M202" i="95"/>
  <c r="M203" i="95"/>
  <c r="M204" i="95"/>
  <c r="M205" i="95"/>
  <c r="M206" i="95"/>
  <c r="M208" i="95"/>
  <c r="M209" i="95"/>
  <c r="M210" i="95"/>
  <c r="M211" i="95"/>
  <c r="M213" i="95"/>
  <c r="M237" i="95"/>
  <c r="M253" i="95"/>
  <c r="M255" i="95"/>
  <c r="M256" i="95"/>
  <c r="M266" i="95"/>
  <c r="M269" i="95"/>
  <c r="M270" i="95"/>
  <c r="M272" i="95"/>
  <c r="M273" i="95"/>
  <c r="M275" i="95"/>
  <c r="M276" i="95"/>
  <c r="M284" i="95"/>
  <c r="M285" i="95"/>
  <c r="M286" i="95"/>
  <c r="M287" i="95"/>
  <c r="M288" i="95"/>
  <c r="M289" i="95"/>
  <c r="M290" i="95"/>
  <c r="M321" i="95"/>
  <c r="M322" i="95"/>
  <c r="M323" i="95"/>
  <c r="M330" i="95"/>
  <c r="M331" i="95"/>
  <c r="M332" i="95"/>
  <c r="M333" i="95"/>
  <c r="M334" i="95"/>
  <c r="M358" i="95"/>
  <c r="M362" i="95"/>
  <c r="M363" i="95"/>
  <c r="M364" i="95"/>
  <c r="M365" i="95"/>
  <c r="M366" i="95"/>
  <c r="M368" i="95"/>
  <c r="M369" i="95"/>
  <c r="M370" i="95"/>
  <c r="M371" i="95"/>
  <c r="M373" i="95"/>
  <c r="M413" i="95"/>
  <c r="M414" i="95"/>
  <c r="M415" i="95"/>
  <c r="M416" i="95"/>
  <c r="M418" i="95"/>
  <c r="M419"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s="1"/>
  <c r="L17" i="70" a="1"/>
  <c r="L17" i="70" s="1"/>
  <c r="L18" i="70" a="1"/>
  <c r="L18" i="70" s="1"/>
  <c r="L19" i="70" a="1"/>
  <c r="L19" i="70"/>
  <c r="L20" i="70" a="1"/>
  <c r="L20" i="70"/>
  <c r="L21" i="70" a="1"/>
  <c r="L21" i="70"/>
  <c r="L22" i="70" a="1"/>
  <c r="L22" i="70"/>
  <c r="L23" i="70" a="1"/>
  <c r="L23" i="70"/>
  <c r="L24" i="70" a="1"/>
  <c r="L24" i="70"/>
  <c r="L25" i="70" a="1"/>
  <c r="L25" i="70"/>
  <c r="L26" i="70" a="1"/>
  <c r="L26" i="70"/>
  <c r="L27" i="70" a="1"/>
  <c r="L27" i="70"/>
  <c r="L28" i="70" a="1"/>
  <c r="L28" i="70"/>
  <c r="M18" i="70" a="1"/>
  <c r="M18" i="70" s="1"/>
  <c r="E3" i="4"/>
  <c r="D47" i="8"/>
  <c r="R2" i="74"/>
  <c r="F2" i="74" s="1" a="1"/>
  <c r="F2" i="74" s="1"/>
  <c r="D14" i="8"/>
  <c r="D13" i="8"/>
  <c r="D12" i="8"/>
  <c r="D11" i="8" a="1"/>
  <c r="D11" i="8" s="1"/>
  <c r="K2" i="70"/>
  <c r="I47" i="8"/>
  <c r="H47" i="8"/>
  <c r="G47" i="8"/>
  <c r="F47" i="8"/>
  <c r="E47" i="8"/>
  <c r="G1" i="8" a="1"/>
  <c r="K318" i="95" l="1"/>
  <c r="K222" i="95"/>
  <c r="K321" i="95"/>
  <c r="K209" i="95"/>
  <c r="K333" i="95"/>
  <c r="K319" i="95"/>
  <c r="M5" i="70" a="1"/>
  <c r="M5" i="70" s="1"/>
  <c r="M20" i="70" a="1"/>
  <c r="M20" i="70" s="1"/>
  <c r="M19" i="70" a="1"/>
  <c r="M19" i="70" s="1"/>
  <c r="M15" i="70" a="1"/>
  <c r="M15" i="70" s="1"/>
  <c r="M12" i="70" a="1"/>
  <c r="M12" i="70" s="1"/>
  <c r="M16" i="70" a="1"/>
  <c r="M16" i="70" s="1"/>
  <c r="M27" i="70" a="1"/>
  <c r="M27" i="70" s="1"/>
  <c r="M26" i="70" a="1"/>
  <c r="M26" i="70" s="1"/>
  <c r="M13" i="70" a="1"/>
  <c r="M13" i="70" s="1"/>
  <c r="M9" i="70" a="1"/>
  <c r="M9" i="70" s="1"/>
  <c r="M17" i="70" a="1"/>
  <c r="M17" i="70" s="1"/>
  <c r="M14" i="70" a="1"/>
  <c r="M14" i="70" s="1"/>
  <c r="M28" i="70" a="1"/>
  <c r="M28" i="70" s="1"/>
  <c r="M10" i="70" a="1"/>
  <c r="M10" i="70" s="1"/>
  <c r="M25" i="70" a="1"/>
  <c r="M25" i="70" s="1"/>
  <c r="M24" i="70" a="1"/>
  <c r="M24" i="70" s="1"/>
  <c r="M8" i="70" a="1"/>
  <c r="M8" i="70" s="1"/>
  <c r="M7" i="70" a="1"/>
  <c r="M7" i="70" s="1"/>
  <c r="M22" i="70" a="1"/>
  <c r="M22" i="70" s="1"/>
  <c r="M6" i="70" a="1"/>
  <c r="M6" i="70" s="1"/>
  <c r="M11" i="70" a="1"/>
  <c r="M11" i="70" s="1"/>
  <c r="M23" i="70" a="1"/>
  <c r="M23" i="70" s="1"/>
  <c r="M21" i="70" a="1"/>
  <c r="M21" i="70" s="1"/>
  <c r="G2" i="100" a="1"/>
  <c r="G2" i="100" s="1"/>
  <c r="G1" i="8"/>
  <c r="L2" i="70" a="1"/>
  <c r="L2" i="70" s="1"/>
  <c r="M2" i="70" l="1" a="1"/>
  <c r="M2" i="70" s="1"/>
  <c r="N18" i="70" l="1"/>
  <c r="N5" i="70"/>
  <c r="N19" i="70"/>
  <c r="N16" i="70"/>
  <c r="N26" i="70"/>
  <c r="N13" i="70"/>
  <c r="N17" i="70"/>
  <c r="N25" i="70"/>
  <c r="N7" i="70"/>
  <c r="N23" i="70"/>
  <c r="N15" i="70"/>
  <c r="N6" i="70"/>
  <c r="N20" i="70"/>
  <c r="N12" i="70"/>
  <c r="N27" i="70"/>
  <c r="N9" i="70"/>
  <c r="N14" i="70"/>
  <c r="N28" i="70"/>
  <c r="N24" i="70"/>
  <c r="N22" i="70"/>
  <c r="N10" i="70"/>
  <c r="N8" i="70"/>
  <c r="N21" i="70"/>
  <c r="N1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6" i="90" l="1"/>
  <c r="K7" i="90" s="1"/>
  <c r="C2" i="13"/>
  <c r="E2" i="13"/>
  <c r="E2" i="14"/>
  <c r="K8" i="90" a="1"/>
  <c r="K8" i="90" s="1"/>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1"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<sst xmlns="http://schemas.openxmlformats.org/spreadsheetml/2006/main" count="1303" uniqueCount="750">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</sst>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3">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1">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2" formatCode="[$-F400]h:mm:ss\ AM/PM"/>
    </dxf>
    <dxf>
      <numFmt numFmtId="0" formatCode="General"/>
    </dxf>
    <dxf>
      <numFmt numFmtId="19" formatCode="m/d/yyyy"/>
    </dxf>
    <dxf>
      <numFmt numFmtId="19" formatCode="m/d/yyyy"/>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7" dataDxfId="206">
  <autoFilter ref="A4:N28" xr:uid="{2F912760-816C-4002-B982-1183C623C4D4}"/>
  <tableColumns count="14">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69"/>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ibility" queryTableFieldId="81" dataDxfId="198">
      <calculatedColumnFormula>_xlfn.XLOOKUP(WireSets[[#This Row],[type]],Table6[TC Type],Table6[Daqbook Type],NA())</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Compatibility]])</calculatedColumnFormula>
    </tableColumn>
    <tableColumn id="19" xr3:uid="{D7BFED31-BD3B-42D0-93A4-626A2F893B49}" uniqueName="19" name="sn_ok" queryTableFieldId="79" dataDxfId="195">
      <calculatedColumnFormula array="1">OR(WireSets[[#This Row],[serial_number]]=WireSetSNs)</calculatedColumnFormula>
    </tableColumn>
    <tableColumn id="20" xr3:uid="{705A1FB0-77C3-4452-9B89-35050DBC2A13}" uniqueName="20" name="type_ok" queryTableFieldId="80" dataDxfId="194">
      <calculatedColumnFormula array="1">OR(WireSets[[#This Row],[type]]=types)</calculatedColumnFormula>
    </tableColumn>
    <tableColumn id="18" xr3:uid="{18FA8DFB-3DBF-4BA4-B0A1-320CC710CE67}" uniqueName="18" name="FILTER" queryTableFieldId="78" dataDxfId="193">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0"/>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2"/>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1"/>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0"/>
    <tableColumn id="6" xr3:uid="{5062893C-BBB1-47DF-8675-99516DA753A8}" uniqueName="6" name="sort1" queryTableFieldId="6" dataDxfId="189">
      <calculatedColumnFormula>IFERROR(LEFT(AllWireRollCerts[[#This Row],[traceability_no]],6),"")</calculatedColumnFormula>
    </tableColumn>
    <tableColumn id="7" xr3:uid="{2A19E68F-29D7-404E-820F-E990CEF43BD1}" uniqueName="7" name="sort2" queryTableFieldId="7" dataDxfId="188">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8"/>
    <tableColumn id="2" xr3:uid="{80F1DE28-79AD-483F-A7F0-673E715EECBE}" uniqueName="2" name="reading" queryTableFieldId="2" dataDxfId="177"/>
    <tableColumn id="1" xr3:uid="{B4839395-B86E-4AA6-ADFB-57CDD2F7F61D}" uniqueName="1" name="point" queryTableFieldId="1"/>
    <tableColumn id="3" xr3:uid="{2724CA85-C781-4E38-A0DA-097BFEEFE8B1}" uniqueName="3" name="Temp" queryTableFieldId="3" dataDxfId="176"/>
    <tableColumn id="5" xr3:uid="{D8FBA668-C3CE-41DC-B112-B2663A4558F7}" uniqueName="5" name="Offset" queryTableFieldId="5" dataDxfId="175"/>
    <tableColumn id="4" xr3:uid="{3984E3BA-ECF9-4974-BA1B-4E1212BB2A83}" uniqueName="4" name="AssetTag" queryTableFieldId="8" dataDxfId="174">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3" headerRowBorderDxfId="172">
  <autoFilter ref="M1:T41" xr:uid="{26B6A9B0-C535-497C-80B0-B1E532DC9DFD}"/>
  <tableColumns count="8">
    <tableColumn id="2" xr3:uid="{AA763339-65AF-434D-A711-61DA35F163AD}" name="Point"/>
    <tableColumn id="3" xr3:uid="{3B356035-E587-4027-87A0-DE8E0B2FE7E1}" name="DaqbookInterp" dataDxfId="171">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0">
      <calculatedColumnFormula array="1">IF(DaqbookInterp[[#This Row],[Include]],QRound(N2),NA())</calculatedColumnFormula>
    </tableColumn>
    <tableColumn id="5" xr3:uid="{D54F6D03-3723-4E00-912E-150DF9F71E5B}" name="T/C Name" dataDxfId="169">
      <calculatedColumnFormula>IF(DaqbookInterp[[#This Row],[Include]],Main!O5, NA())</calculatedColumnFormula>
    </tableColumn>
    <tableColumn id="6" xr3:uid="{4A823077-65D9-48F8-825F-BAEBD9008EA4}" name="Include" dataDxfId="168">
      <calculatedColumnFormula>NOT(ISBLANK(Main!O5))</calculatedColumnFormula>
    </tableColumn>
    <tableColumn id="7" xr3:uid="{9B0EC045-52DF-4F3C-A037-09C5D494BF52}" name="WireSet" dataDxfId="167">
      <calculatedColumnFormula>LOOKUP(DaqbookInterp[[#This Row],[T/C Name]],_xlfn.ANCHORARRAY($Z$2))</calculatedColumnFormula>
    </tableColumn>
    <tableColumn id="8" xr3:uid="{FEFB3CF3-C3B5-4AEA-A75C-80F9610E9833}" name="Wire Lot #" dataDxfId="166">
      <calculatedColumnFormula>HLOOKUP(DaqbookInterp[[#This Row],[WireSet]],Main!$D$48:$I$55,8,0)</calculatedColumnFormula>
    </tableColumn>
    <tableColumn id="9" xr3:uid="{C4BC88F4-CA08-4EF4-9C53-A23F32164EA9}" name="TC CF" dataDxfId="165">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2"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1"/>
    <tableColumn id="40" xr3:uid="{1FD78DD8-6141-4BCC-8B64-71669B160E7A}" uniqueName="40" name="ClientCompanyId" queryTableFieldId="165" dataDxfId="160"/>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dataDxfId="148"/>
    <tableColumn id="74" xr3:uid="{E0D578AE-61B1-4F16-BC5A-DF5388800162}" uniqueName="74" name="RecoveryLimit" queryTableFieldId="199" dataDxfId="147"/>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65"/>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SBP_Set"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10" dataCellStyle="Normal"/>
    <tableColumn id="2" xr3:uid="{18C84E6F-0395-44B7-82E8-3E3C3338D295}" name="TUS Tol" totalsRowDxfId="209" dataCellStyle="Normal"/>
    <tableColumn id="5" xr3:uid="{DB50C328-B2A6-44C5-853C-318053CB9F8D}" name="SAT Tol" totalsRowDxfId="20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4" dataDxfId="83">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9" dataDxfId="7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7"/>
    <tableColumn id="1" xr3:uid="{5057086F-523D-4F8B-9A42-41FE3C8BBE96}" uniqueName="1" name="asset_id" queryTableFieldId="1"/>
    <tableColumn id="2" xr3:uid="{3726BB7E-1692-4770-A35E-9A744D09DBEF}" uniqueName="2" name="certificate_tn" queryTableFieldId="2" dataDxfId="76"/>
    <tableColumn id="3" xr3:uid="{629AF54F-0AD2-4FF2-858D-F1389CE1840E}" uniqueName="3" name="due_date" queryTableFieldId="3" dataDxfId="67"/>
    <tableColumn id="4" xr3:uid="{04C8F569-A520-43B3-A7E7-E09CFF80F449}" uniqueName="4" name="service_date" queryTableFieldId="4" dataDxfId="6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5"/>
    <tableColumn id="3" xr3:uid="{A4F2902A-51C9-47F2-ABB5-33476BF6B798}" uniqueName="3" name="login_email" queryTableFieldId="5"/>
    <tableColumn id="4" xr3:uid="{93F361AC-D356-4A7B-A6F2-34FB0F71E2F6}" uniqueName="4" name="IsPyro" queryTableFieldId="7" dataDxfId="7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3" dataDxfId="72" headerRowCellStyle="Normal 2" dataCellStyle="Normal 2">
  <autoFilter ref="U11:V25" xr:uid="{DCCFF26E-EC5C-4962-98DB-A7DA1F3C8CE2}"/>
  <tableColumns count="2">
    <tableColumn id="1" xr3:uid="{DFC40837-B092-4826-9847-4A23BE22020F}" name="4" dataDxfId="71" dataCellStyle="Normal 2"/>
    <tableColumn id="2" xr3:uid="{0711DB07-19DA-4D5E-A417-C242A0304453}" name="10" dataDxfId="7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A2" s="64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J18" sqref="J18"/>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cm="1">
        <f t="array" ref="K8">_xlfn._xlws.FILTER(CMCs[CMC],CMCs[MatchingRow])</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F23" sqref="F23"/>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ivX4QbI3kC5k0rG6I5F1C7Hc89U/ShTtvHsXRszOIbPZbGcCOp87dFEjRieyFNyNMp78goh6Y1E1l0H1sGwZaA==" saltValue="hWIvnnHfqT9ONL6KXMg5v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0"/>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5" customWidth="1"/>
    <col min="11" max="11" width="9.140625" customWidth="1"/>
    <col min="12" max="13" width="17.140625"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496" t="s">
        <v>49</v>
      </c>
      <c r="D1" s="497"/>
      <c r="E1" s="497"/>
      <c r="F1" s="497"/>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498" t="s">
        <v>99</v>
      </c>
      <c r="K3" s="499"/>
      <c r="L3" s="500"/>
      <c r="M3" s="300"/>
      <c r="N3" s="514" t="s">
        <v>88</v>
      </c>
      <c r="O3" s="514"/>
      <c r="P3" s="514"/>
      <c r="Q3" s="514"/>
      <c r="R3" s="514"/>
      <c r="S3" s="514"/>
    </row>
    <row r="4" spans="1:19" s="277" customFormat="1" x14ac:dyDescent="0.2">
      <c r="A4" s="318"/>
      <c r="B4" s="140"/>
      <c r="C4" s="141" t="s">
        <v>188</v>
      </c>
      <c r="D4" s="284" t="str">
        <f>IF(Condition="","",Condition)</f>
        <v/>
      </c>
      <c r="E4" s="300"/>
      <c r="F4" s="300"/>
      <c r="G4" s="300"/>
      <c r="H4" s="300"/>
      <c r="I4" s="300"/>
      <c r="J4" s="503" t="s">
        <v>1</v>
      </c>
      <c r="K4" s="504"/>
      <c r="L4" s="142">
        <f>MAX(Survey[Deviations])</f>
        <v>0</v>
      </c>
      <c r="M4" s="300"/>
      <c r="N4" s="143" t="s">
        <v>87</v>
      </c>
      <c r="O4" s="144" t="s">
        <v>86</v>
      </c>
      <c r="P4" s="501" t="s">
        <v>97</v>
      </c>
      <c r="Q4" s="502"/>
      <c r="R4" s="143" t="s">
        <v>129</v>
      </c>
      <c r="S4" s="143" t="s">
        <v>133</v>
      </c>
    </row>
    <row r="5" spans="1:19" s="277" customFormat="1" x14ac:dyDescent="0.2">
      <c r="A5" s="318"/>
      <c r="B5" s="140"/>
      <c r="C5" s="141" t="s">
        <v>41</v>
      </c>
      <c r="D5" s="518" t="e">
        <f>companyName</f>
        <v>#N/A</v>
      </c>
      <c r="E5" s="519"/>
      <c r="F5" s="519"/>
      <c r="G5" s="519"/>
      <c r="H5" s="520"/>
      <c r="I5" s="285"/>
      <c r="J5" s="503" t="s">
        <v>2</v>
      </c>
      <c r="K5" s="504"/>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15" t="e">
        <f>VLOOKUP("assetName",WorkItemDetails[],2,FALSE)</f>
        <v>#N/A</v>
      </c>
      <c r="E6" s="516"/>
      <c r="F6" s="516"/>
      <c r="G6" s="516"/>
      <c r="H6" s="517"/>
      <c r="J6" s="503" t="s">
        <v>98</v>
      </c>
      <c r="K6" s="504"/>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12" t="str">
        <f>IFERROR(VLOOKUP("PoNumber",WorkItemDetails[],2,FALSE),"")</f>
        <v/>
      </c>
      <c r="L13" s="513"/>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21"/>
      <c r="L14" s="522"/>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07"/>
      <c r="L15" s="508"/>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526" t="s">
        <v>151</v>
      </c>
      <c r="K16" s="527"/>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526" t="s">
        <v>152</v>
      </c>
      <c r="K17" s="527"/>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479" t="s">
        <v>19</v>
      </c>
      <c r="H18" s="480"/>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05" t="str">
        <f>IF(K15="Salt",0, IF(OR(K15="Hot",K15="SIM Load Hot"),IF(OR(D26="",D28=""),"N/A",IF(ISBLANK(D26),"N/A",D28-D26)),"N/A"))</f>
        <v>N/A</v>
      </c>
      <c r="H19" s="506"/>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09" t="s">
        <v>435</v>
      </c>
      <c r="C20" s="510"/>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534" t="s">
        <v>297</v>
      </c>
      <c r="H23" s="535"/>
      <c r="I23" s="535"/>
      <c r="J23" s="535"/>
      <c r="K23" s="536"/>
      <c r="L23" s="301"/>
      <c r="M23" s="300"/>
      <c r="N23" s="399">
        <v>19</v>
      </c>
      <c r="O23" s="145"/>
      <c r="P23" s="451" t="str">
        <v/>
      </c>
      <c r="Q23" s="452"/>
      <c r="R23" s="450" t="e">
        <v>#VALUE!</v>
      </c>
      <c r="S23" s="146" t="str">
        <v/>
      </c>
      <c r="T23" s="425"/>
      <c r="U23" s="285" t="s">
        <v>414</v>
      </c>
      <c r="V23" s="285">
        <f>V20+V21</f>
        <v>40</v>
      </c>
    </row>
    <row r="24" spans="2:22" s="277" customFormat="1" x14ac:dyDescent="0.2">
      <c r="B24" s="509" t="s">
        <v>324</v>
      </c>
      <c r="C24" s="511"/>
      <c r="D24" s="281">
        <v>1</v>
      </c>
      <c r="E24" s="300"/>
      <c r="F24" s="159" t="s">
        <v>95</v>
      </c>
      <c r="G24" s="537"/>
      <c r="H24" s="538"/>
      <c r="I24" s="538"/>
      <c r="J24" s="538"/>
      <c r="K24" s="539"/>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37"/>
      <c r="H25" s="538"/>
      <c r="I25" s="538"/>
      <c r="J25" s="538"/>
      <c r="K25" s="539"/>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532" t="str">
        <f>IF(ISBLANK(D6),"",IF(CheckRec="x","CHECK INSTRUMENT CAL DATES!!!!             CHECK INSTRUMENT CAL DATES!!!!",""))</f>
        <v/>
      </c>
      <c r="I27" s="533"/>
      <c r="J27" s="533"/>
      <c r="K27" s="533"/>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532"/>
      <c r="I28" s="533"/>
      <c r="J28" s="533"/>
      <c r="K28" s="533"/>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498" t="s">
        <v>48</v>
      </c>
      <c r="C34" s="499"/>
      <c r="D34" s="499"/>
      <c r="E34" s="499"/>
      <c r="F34" s="499"/>
      <c r="G34" s="499"/>
      <c r="H34" s="499"/>
      <c r="I34" s="499"/>
      <c r="J34" s="499"/>
      <c r="K34" s="499"/>
      <c r="L34" s="500"/>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523" t="s">
        <v>33</v>
      </c>
      <c r="E46" s="524"/>
      <c r="F46" s="524"/>
      <c r="G46" s="524"/>
      <c r="H46" s="524"/>
      <c r="I46" s="525"/>
      <c r="J46" s="344"/>
      <c r="K46" s="344"/>
      <c r="L46" s="344"/>
      <c r="M46" s="540" t="s">
        <v>259</v>
      </c>
      <c r="N46" s="541"/>
      <c r="O46" s="542"/>
      <c r="P46" s="543"/>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530" t="s">
        <v>262</v>
      </c>
      <c r="Q47" s="530"/>
      <c r="R47" s="379" t="s">
        <v>263</v>
      </c>
      <c r="T47" s="304"/>
      <c r="U47" s="304"/>
    </row>
    <row r="48" spans="1:24" x14ac:dyDescent="0.2">
      <c r="A48" s="318"/>
      <c r="B48" s="342"/>
      <c r="C48" s="377" t="s">
        <v>34</v>
      </c>
      <c r="D48" s="287"/>
      <c r="E48" s="287"/>
      <c r="F48" s="287"/>
      <c r="G48" s="287"/>
      <c r="H48" s="287"/>
      <c r="I48" s="287"/>
      <c r="J48" s="344"/>
      <c r="K48" s="344"/>
      <c r="L48" s="344"/>
      <c r="M48" s="531" t="s">
        <v>264</v>
      </c>
      <c r="N48" s="531"/>
      <c r="O48" s="346"/>
      <c r="P48" s="490" t="s">
        <v>305</v>
      </c>
      <c r="Q48" s="491"/>
      <c r="R48" s="492"/>
      <c r="S48" s="461" t="b">
        <f>_xlfn.REGEXTEST(TRIM(Class),"^[0-9][AC]",1)</f>
        <v>0</v>
      </c>
      <c r="T48" s="305"/>
      <c r="U48" s="490" t="s">
        <v>308</v>
      </c>
      <c r="V48" s="491"/>
      <c r="W48" s="492"/>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3" t="s">
        <v>310</v>
      </c>
      <c r="Q49" s="494"/>
      <c r="R49" s="495"/>
      <c r="S49" s="380" t="str">
        <f>IF($S$48, IF(MAX(Survey[RawTemp])&lt;=HalfTolMax,"Yes","No"), "N/A")</f>
        <v>N/A</v>
      </c>
      <c r="T49" s="306"/>
      <c r="U49" s="493" t="s">
        <v>309</v>
      </c>
      <c r="V49" s="494"/>
      <c r="W49" s="495"/>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81" t="s">
        <v>267</v>
      </c>
      <c r="Q50" s="482"/>
      <c r="R50" s="483"/>
      <c r="S50" s="347"/>
      <c r="T50" s="307"/>
      <c r="U50" s="481" t="s">
        <v>267</v>
      </c>
      <c r="V50" s="482"/>
      <c r="W50" s="483"/>
      <c r="X50" s="304"/>
    </row>
    <row r="51" spans="3:24" x14ac:dyDescent="0.2">
      <c r="C51" s="376" t="s">
        <v>54</v>
      </c>
      <c r="D51" s="287"/>
      <c r="E51" s="287"/>
      <c r="F51" s="287"/>
      <c r="G51" s="287"/>
      <c r="H51" s="287"/>
      <c r="I51" s="287"/>
      <c r="J51" s="344"/>
      <c r="K51" s="348"/>
      <c r="L51" s="344"/>
      <c r="M51" s="363" t="s">
        <v>268</v>
      </c>
      <c r="N51" s="297" t="str">
        <f>IF(Derivative="","",Derivative)</f>
        <v/>
      </c>
      <c r="O51" s="300"/>
      <c r="P51" s="493" t="s">
        <v>306</v>
      </c>
      <c r="Q51" s="494"/>
      <c r="R51" s="495"/>
      <c r="S51" s="380"/>
      <c r="T51" s="308"/>
      <c r="U51" s="493" t="s">
        <v>311</v>
      </c>
      <c r="V51" s="494"/>
      <c r="W51" s="495"/>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81" t="s">
        <v>267</v>
      </c>
      <c r="Q52" s="482"/>
      <c r="R52" s="483"/>
      <c r="S52" s="347"/>
      <c r="T52" s="309"/>
      <c r="U52" s="481" t="s">
        <v>267</v>
      </c>
      <c r="V52" s="482"/>
      <c r="W52" s="483"/>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484" t="s">
        <v>307</v>
      </c>
      <c r="Q53" s="485"/>
      <c r="R53" s="486"/>
      <c r="S53" s="380"/>
      <c r="T53" s="310"/>
      <c r="U53" s="484" t="s">
        <v>312</v>
      </c>
      <c r="V53" s="485"/>
      <c r="W53" s="486"/>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487"/>
      <c r="Q54" s="488"/>
      <c r="R54" s="489"/>
      <c r="S54" s="351"/>
      <c r="T54" s="311"/>
      <c r="U54" s="487"/>
      <c r="V54" s="488"/>
      <c r="W54" s="489"/>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523" t="s">
        <v>146</v>
      </c>
      <c r="D58" s="524"/>
      <c r="E58" s="524"/>
      <c r="F58" s="524"/>
      <c r="G58" s="524"/>
      <c r="H58" s="524"/>
      <c r="I58" s="524"/>
      <c r="J58" s="524"/>
      <c r="K58" s="528"/>
      <c r="L58" s="529"/>
      <c r="M58" s="304"/>
      <c r="N58" s="304"/>
      <c r="O58" s="304"/>
      <c r="P58" s="300"/>
      <c r="Q58" s="448"/>
      <c r="S58" s="304"/>
      <c r="T58" s="304"/>
      <c r="U58" s="304"/>
      <c r="V58" s="446"/>
    </row>
    <row r="59" spans="3:24" x14ac:dyDescent="0.2">
      <c r="C59" s="523" t="s">
        <v>149</v>
      </c>
      <c r="D59" s="524"/>
      <c r="E59" s="524"/>
      <c r="F59" s="524"/>
      <c r="G59" s="524"/>
      <c r="H59" s="524"/>
      <c r="I59" s="524"/>
      <c r="J59" s="524"/>
      <c r="K59" s="524"/>
      <c r="L59" s="525"/>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TRUE,
    (UUTRangeTol!S2 = SAT_Tolerance_Lookup[TUS Tol])*(SAT_Tolerance_Lookup[Unit]=Unit),
    SAT_Tolerance_Lookup[SAT Tol]
  ),
  SAT_Tol
)</f>
        <v>0</v>
      </c>
      <c r="H82" s="139" t="str">
        <f>Unit</f>
        <v>°F</v>
      </c>
    </row>
  </sheetData>
  <sheetProtection algorithmName="SHA-512" hashValue="DDxrV/ZzCkp6nqYI89JyvFvqAp7a5SWkNCU9sGPZ8c+5RiLRZunPaY3HbYUWL3nqdLylLtFG5o2se/792dSotw==" saltValue="qs94ijXTlf+bLgRa/+XdxA==" spinCount="100000" sheet="1" objects="1" scenarios="1" selectLockedCell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gX4QpEwWaT9MOrTgCX+QcgkfKhypZItlJGfTopDKiqPbcoUFHaV8fUC75IB75uHJfpUbAJ9FNC1jWeY90ksrSg==" saltValue="zsZg8jBvbUv7zOIktwVrEw=="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xUQ5IZvLTecuOJ2NZTjT4EuHvvTbzuSf5VZDB4bwWQVcJzpAMuULWIGUGklOd7Ce2YSD0euBTLhqJoyE4GfQNQ==" saltValue="60l/BD+LbBHAQxm0RBippQ=="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CJiuBdBjpCTfp2N0zEhyBi3W9gJQU+zORM4LXjVXRfJF+bftMFyEDNJNPx4Mx1tKX4gSpi0i13MmKoEMfjZ7UA==" saltValue="vRqwNT7uZpHF/tnOSEWLL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B18" sqref="B18:E1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6" t="s">
        <v>108</v>
      </c>
      <c r="E1" s="566"/>
      <c r="F1" s="566"/>
      <c r="G1" s="566"/>
      <c r="H1" s="566"/>
      <c r="I1" s="566"/>
      <c r="J1" s="566"/>
      <c r="K1" s="566"/>
      <c r="L1" s="566"/>
      <c r="M1" s="566"/>
    </row>
    <row r="2" spans="1:18" ht="23.25" customHeight="1" x14ac:dyDescent="0.3">
      <c r="C2" s="229"/>
      <c r="D2" s="229" t="s">
        <v>255</v>
      </c>
      <c r="E2" s="229"/>
      <c r="F2" s="229"/>
      <c r="G2" s="229"/>
      <c r="H2" s="229"/>
      <c r="I2" s="229"/>
      <c r="J2" s="229"/>
      <c r="K2" s="229"/>
      <c r="L2" s="229"/>
      <c r="M2" s="229"/>
    </row>
    <row r="3" spans="1:18" ht="23.25" x14ac:dyDescent="0.35">
      <c r="C3" s="567"/>
      <c r="D3" s="567"/>
      <c r="E3" s="567"/>
      <c r="F3" s="567"/>
      <c r="G3" s="567"/>
      <c r="H3" s="567"/>
      <c r="I3" s="567"/>
      <c r="J3" s="567"/>
      <c r="K3" s="567"/>
      <c r="L3" s="567"/>
      <c r="M3" s="567"/>
    </row>
    <row r="4" spans="1:18" ht="23.25" x14ac:dyDescent="0.35">
      <c r="C4" s="213"/>
      <c r="D4" s="213"/>
      <c r="E4" s="213"/>
      <c r="F4" s="213"/>
      <c r="G4" s="213"/>
      <c r="H4" s="213"/>
      <c r="I4" s="213"/>
      <c r="J4" s="213"/>
      <c r="K4" s="213"/>
      <c r="L4" s="213"/>
      <c r="M4" s="213"/>
    </row>
    <row r="5" spans="1:18" ht="23.25" x14ac:dyDescent="0.35">
      <c r="C5" s="584" t="s">
        <v>6</v>
      </c>
      <c r="D5" s="584"/>
      <c r="E5" s="584"/>
      <c r="F5" s="584"/>
      <c r="G5" s="584"/>
      <c r="H5" s="584"/>
      <c r="I5" s="584"/>
      <c r="J5" s="584"/>
      <c r="K5" s="584"/>
      <c r="L5" s="584"/>
      <c r="M5" s="584"/>
    </row>
    <row r="6" spans="1:18" ht="23.25" x14ac:dyDescent="0.35">
      <c r="C6" s="214"/>
      <c r="D6" s="214"/>
      <c r="E6" s="550" t="str">
        <f>IFERROR(CONCATENATE("Report Number: ", WorkItemNumber),"")</f>
        <v/>
      </c>
      <c r="F6" s="550"/>
      <c r="G6" s="550"/>
      <c r="H6" s="550"/>
      <c r="I6" s="550"/>
      <c r="J6" s="550"/>
      <c r="K6" s="550"/>
      <c r="L6" s="214"/>
      <c r="M6" s="214"/>
    </row>
    <row r="7" spans="1:18" ht="18.75" customHeight="1" x14ac:dyDescent="0.3">
      <c r="G7" s="562"/>
      <c r="H7" s="562"/>
      <c r="I7" s="191"/>
      <c r="R7" t="str">
        <f>CONCATENATE("Page ",Main!L9," of ",Main!L10)</f>
        <v xml:space="preserve">Page  of </v>
      </c>
    </row>
    <row r="8" spans="1:18" ht="18" customHeight="1" x14ac:dyDescent="0.25">
      <c r="G8" s="579"/>
      <c r="H8" s="579"/>
      <c r="J8" s="78"/>
      <c r="K8" s="215" t="s">
        <v>252</v>
      </c>
      <c r="L8" s="563">
        <f>FormNumber</f>
        <v>0</v>
      </c>
      <c r="M8" s="563"/>
      <c r="N8" s="563"/>
      <c r="O8" s="563"/>
    </row>
    <row r="9" spans="1:18" ht="18" customHeight="1" x14ac:dyDescent="0.25">
      <c r="A9" s="215" t="s">
        <v>209</v>
      </c>
      <c r="B9" s="32" t="e">
        <f>Main!D5</f>
        <v>#N/A</v>
      </c>
      <c r="J9" s="78"/>
      <c r="K9" s="215" t="s">
        <v>253</v>
      </c>
      <c r="L9" s="564" t="str">
        <f>"JGI WP4100, "&amp;CalMethod</f>
        <v xml:space="preserve">JGI WP4100, </v>
      </c>
      <c r="M9" s="564"/>
      <c r="N9" s="564"/>
      <c r="O9" s="564"/>
    </row>
    <row r="10" spans="1:18" ht="18" customHeight="1" x14ac:dyDescent="0.25">
      <c r="A10" s="86"/>
      <c r="B10" s="210" t="str" cm="1">
        <f t="array" ref="B10">IFZERO('Customer Table'!R2,"")</f>
        <v/>
      </c>
      <c r="J10" s="78"/>
      <c r="K10" s="215"/>
      <c r="L10" s="564"/>
      <c r="M10" s="564"/>
      <c r="N10" s="564"/>
      <c r="O10" s="564"/>
    </row>
    <row r="11" spans="1:18" ht="18" customHeight="1" x14ac:dyDescent="0.25">
      <c r="A11" s="86"/>
      <c r="B11" s="210" t="str" cm="1">
        <f t="array" ref="B11">IFZERO('Customer Table'!S2,"")</f>
        <v/>
      </c>
      <c r="J11" s="78"/>
      <c r="K11" s="215" t="s">
        <v>254</v>
      </c>
      <c r="L11" s="563">
        <f>TolSource</f>
        <v>0</v>
      </c>
      <c r="M11" s="563"/>
      <c r="N11" s="563"/>
      <c r="O11" s="563"/>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0">
        <f>Class</f>
        <v>0</v>
      </c>
      <c r="C18" s="570"/>
      <c r="D18" s="570"/>
      <c r="E18" s="570"/>
      <c r="G18" s="215" t="s">
        <v>219</v>
      </c>
      <c r="H18" s="219">
        <f>CubicFeet</f>
        <v>0</v>
      </c>
      <c r="M18" s="215" t="s">
        <v>223</v>
      </c>
      <c r="N18" s="219" t="str">
        <f>Main!G18</f>
        <v>ACCEPTED</v>
      </c>
      <c r="O18" s="194"/>
    </row>
    <row r="19" spans="1:19" ht="18" customHeight="1" x14ac:dyDescent="0.25">
      <c r="A19" s="205"/>
      <c r="B19" s="571"/>
      <c r="C19" s="571"/>
      <c r="D19" s="571"/>
      <c r="E19" s="571"/>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0" t="s">
        <v>237</v>
      </c>
      <c r="D27" s="580"/>
      <c r="E27" s="580"/>
      <c r="F27" s="580"/>
      <c r="G27" s="580"/>
      <c r="H27" s="580"/>
      <c r="I27" s="580"/>
      <c r="J27" s="580"/>
      <c r="K27" s="580"/>
      <c r="L27" s="580"/>
      <c r="M27" s="580"/>
      <c r="N27" s="195"/>
      <c r="O27" s="196"/>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1"/>
      <c r="B30" s="201" t="s">
        <v>429</v>
      </c>
      <c r="C30" s="212"/>
      <c r="D30" s="573" t="str">
        <f>CONCATENATE(Main!D22,Unit,"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34" t="s">
        <v>239</v>
      </c>
      <c r="B32" s="565" t="s">
        <v>240</v>
      </c>
      <c r="C32" s="565"/>
      <c r="D32" s="234" t="s">
        <v>203</v>
      </c>
      <c r="E32" s="234" t="s">
        <v>202</v>
      </c>
      <c r="F32" s="234" t="s">
        <v>241</v>
      </c>
      <c r="G32" s="78"/>
      <c r="H32" s="78"/>
      <c r="I32" s="234" t="s">
        <v>239</v>
      </c>
      <c r="J32" s="565" t="s">
        <v>240</v>
      </c>
      <c r="K32" s="565"/>
      <c r="L32" s="234" t="s">
        <v>203</v>
      </c>
      <c r="M32" s="234" t="s">
        <v>202</v>
      </c>
      <c r="N32" s="234" t="s">
        <v>241</v>
      </c>
    </row>
    <row r="33" spans="1:14" ht="18" customHeight="1" x14ac:dyDescent="0.2">
      <c r="A33" s="235" t="str">
        <f>IF(B33="","",1)</f>
        <v/>
      </c>
      <c r="B33" s="562" t="str">
        <f>IF(Main!O5="","",Main!O5)</f>
        <v/>
      </c>
      <c r="C33" s="562"/>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2" t="str">
        <f>IF(Main!O25="","",Main!O25)</f>
        <v/>
      </c>
      <c r="K33" s="562"/>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2" t="str">
        <f>IF(Main!O6="","",Main!O6)</f>
        <v/>
      </c>
      <c r="C34" s="562"/>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2" t="str">
        <f>IF(Main!O26="","",Main!O26)</f>
        <v/>
      </c>
      <c r="K34" s="562"/>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2" t="str">
        <f>IF(Main!O7="","",Main!O7)</f>
        <v/>
      </c>
      <c r="C35" s="562"/>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2" t="str">
        <f>IF(Main!O27="","",Main!O27)</f>
        <v/>
      </c>
      <c r="K35" s="562"/>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2" t="str">
        <f>IF(Main!O8="","",Main!O8)</f>
        <v/>
      </c>
      <c r="C36" s="562"/>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2" t="str">
        <f>IF(Main!O28="","",Main!O28)</f>
        <v/>
      </c>
      <c r="K36" s="562"/>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2" t="str">
        <f>IF(Main!O9="","",Main!O9)</f>
        <v/>
      </c>
      <c r="C37" s="562"/>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2" t="str">
        <f>IF(Main!O29="","",Main!O29)</f>
        <v/>
      </c>
      <c r="K37" s="562"/>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2" t="str">
        <f>IF(Main!O10="","",Main!O10)</f>
        <v/>
      </c>
      <c r="C38" s="562"/>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2" t="str">
        <f>IF(Main!O30="","",Main!O30)</f>
        <v/>
      </c>
      <c r="K38" s="562"/>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2" t="str">
        <f>IF(Main!O11="","",Main!O11)</f>
        <v/>
      </c>
      <c r="C39" s="562"/>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2" t="str">
        <f>IF(Main!O31="","",Main!O31)</f>
        <v/>
      </c>
      <c r="K39" s="562"/>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2" t="str">
        <f>IF(Main!O12="","",Main!O12)</f>
        <v/>
      </c>
      <c r="C40" s="562"/>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2" t="str">
        <f>IF(Main!O32="","",Main!O32)</f>
        <v/>
      </c>
      <c r="K40" s="562"/>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2" t="str">
        <f>IF(Main!O13="","",Main!O13)</f>
        <v/>
      </c>
      <c r="C41" s="562"/>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2" t="str">
        <f>IF(Main!O33="","",Main!O33)</f>
        <v/>
      </c>
      <c r="K41" s="562"/>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2" t="str">
        <f>IF(Main!O14="","",Main!O14)</f>
        <v/>
      </c>
      <c r="C42" s="562"/>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2" t="str">
        <f>IF(Main!O34="","",Main!O34)</f>
        <v/>
      </c>
      <c r="K42" s="562"/>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2" t="str">
        <f>IF(Main!O15="","",Main!O15)</f>
        <v/>
      </c>
      <c r="C43" s="562"/>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2" t="str">
        <f>IF(Main!O35="","",Main!O35)</f>
        <v/>
      </c>
      <c r="K43" s="562"/>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2" t="str">
        <f>IF(Main!O16="","",Main!O16)</f>
        <v/>
      </c>
      <c r="C44" s="562"/>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2" t="str">
        <f>IF(Main!O36="","",Main!O36)</f>
        <v/>
      </c>
      <c r="K44" s="562"/>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2" t="str">
        <f>IF(Main!O17="","",Main!O17)</f>
        <v/>
      </c>
      <c r="C45" s="562"/>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2" t="str">
        <f>IF(Main!O37="","",Main!O37)</f>
        <v/>
      </c>
      <c r="K45" s="562"/>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2" t="str">
        <f>IF(Main!O18="","",Main!O18)</f>
        <v/>
      </c>
      <c r="C46" s="562"/>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2" t="str">
        <f>IF(Main!O38="","",Main!O38)</f>
        <v/>
      </c>
      <c r="K46" s="562"/>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2" t="str">
        <f>IF(Main!O19="","",Main!O19)</f>
        <v/>
      </c>
      <c r="C47" s="562"/>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2" t="str">
        <f>IF(Main!O39="","",Main!O39)</f>
        <v/>
      </c>
      <c r="K47" s="562"/>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2" t="str">
        <f>IF(Main!O20="","",Main!O20)</f>
        <v/>
      </c>
      <c r="C48" s="562"/>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2" t="str">
        <f>IF(Main!O40="","",Main!O40)</f>
        <v/>
      </c>
      <c r="K48" s="562"/>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2" t="str">
        <f>IF(Main!O21="","",Main!O21)</f>
        <v/>
      </c>
      <c r="C49" s="562"/>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2" t="str">
        <f>IF(Main!O41="","",Main!O41)</f>
        <v/>
      </c>
      <c r="K49" s="562"/>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2" t="str">
        <f>IF(Main!O22="","",Main!O22)</f>
        <v/>
      </c>
      <c r="C50" s="562"/>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2" t="str">
        <f>IF(Main!O42="","",Main!O42)</f>
        <v/>
      </c>
      <c r="K50" s="562"/>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2" t="str">
        <f>IF(Main!O23="","",Main!O23)</f>
        <v/>
      </c>
      <c r="C51" s="562"/>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2" t="str">
        <f>IF(Main!O43="","",Main!O43)</f>
        <v/>
      </c>
      <c r="K51" s="562"/>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2" t="str">
        <f>IF(Main!O24="","",Main!O24)</f>
        <v/>
      </c>
      <c r="C52" s="562"/>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2" t="str">
        <f>IF(Main!O44="","",Main!O44)</f>
        <v/>
      </c>
      <c r="K52" s="562"/>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69" t="s">
        <v>242</v>
      </c>
      <c r="C53" s="569"/>
      <c r="D53" s="569"/>
      <c r="E53" s="569"/>
      <c r="F53" s="569"/>
      <c r="G53" s="569"/>
      <c r="H53" s="569"/>
      <c r="I53" s="569"/>
      <c r="J53" s="569"/>
      <c r="K53" s="569"/>
      <c r="L53" s="569"/>
      <c r="M53" s="569"/>
      <c r="N53" s="569"/>
    </row>
    <row r="54" spans="1:21" ht="18" customHeight="1" x14ac:dyDescent="0.25">
      <c r="A54" s="237" t="s">
        <v>243</v>
      </c>
      <c r="B54" s="564" t="str">
        <f>CONCATENATE(Main!G23,"  ",FurnaceSpecificComments,Main!V24)</f>
        <v xml:space="preserve">Found in tolerance.  No adjustment required.  </v>
      </c>
      <c r="C54" s="564"/>
      <c r="D54" s="564"/>
      <c r="E54" s="564"/>
      <c r="F54" s="564"/>
      <c r="G54" s="564"/>
      <c r="H54" s="564"/>
      <c r="I54" s="564"/>
      <c r="J54" s="564"/>
      <c r="K54" s="564"/>
      <c r="L54" s="564"/>
      <c r="M54" s="564"/>
      <c r="N54" s="564"/>
      <c r="O54" s="564"/>
    </row>
    <row r="55" spans="1:21" ht="18" customHeight="1" x14ac:dyDescent="0.25">
      <c r="A55" s="75"/>
      <c r="B55" s="564"/>
      <c r="C55" s="564"/>
      <c r="D55" s="564"/>
      <c r="E55" s="564"/>
      <c r="F55" s="564"/>
      <c r="G55" s="564"/>
      <c r="H55" s="564"/>
      <c r="I55" s="564"/>
      <c r="J55" s="564"/>
      <c r="K55" s="564"/>
      <c r="L55" s="564"/>
      <c r="M55" s="564"/>
      <c r="N55" s="564"/>
      <c r="O55" s="564"/>
    </row>
    <row r="56" spans="1:21" ht="18" customHeight="1" x14ac:dyDescent="0.25">
      <c r="A56" s="75"/>
      <c r="B56" s="564"/>
      <c r="C56" s="564"/>
      <c r="D56" s="564"/>
      <c r="E56" s="564"/>
      <c r="F56" s="564"/>
      <c r="G56" s="564"/>
      <c r="H56" s="564"/>
      <c r="I56" s="564"/>
      <c r="J56" s="564"/>
      <c r="K56" s="564"/>
      <c r="L56" s="564"/>
      <c r="M56" s="564"/>
      <c r="N56" s="564"/>
      <c r="O56" s="564"/>
    </row>
    <row r="57" spans="1:21" ht="18" customHeight="1" x14ac:dyDescent="0.25">
      <c r="A57" s="75"/>
      <c r="B57" s="564"/>
      <c r="C57" s="564"/>
      <c r="D57" s="564"/>
      <c r="E57" s="564"/>
      <c r="F57" s="564"/>
      <c r="G57" s="564"/>
      <c r="H57" s="564"/>
      <c r="I57" s="564"/>
      <c r="J57" s="564"/>
      <c r="K57" s="564"/>
      <c r="L57" s="564"/>
      <c r="M57" s="564"/>
      <c r="N57" s="564"/>
      <c r="O57" s="564"/>
    </row>
    <row r="58" spans="1:21" ht="18" customHeight="1" x14ac:dyDescent="0.25">
      <c r="A58" s="75"/>
      <c r="B58" s="564"/>
      <c r="C58" s="564"/>
      <c r="D58" s="564"/>
      <c r="E58" s="564"/>
      <c r="F58" s="564"/>
      <c r="G58" s="564"/>
      <c r="H58" s="564"/>
      <c r="I58" s="564"/>
      <c r="J58" s="564"/>
      <c r="K58" s="564"/>
      <c r="L58" s="564"/>
      <c r="M58" s="564"/>
      <c r="N58" s="564"/>
      <c r="O58" s="564"/>
    </row>
    <row r="59" spans="1:21" ht="18" customHeight="1" x14ac:dyDescent="0.25">
      <c r="A59" s="75"/>
      <c r="B59" s="564"/>
      <c r="C59" s="564"/>
      <c r="D59" s="564"/>
      <c r="E59" s="564"/>
      <c r="F59" s="564"/>
      <c r="G59" s="564"/>
      <c r="H59" s="564"/>
      <c r="I59" s="564"/>
      <c r="J59" s="564"/>
      <c r="K59" s="564"/>
      <c r="L59" s="564"/>
      <c r="M59" s="564"/>
      <c r="N59" s="564"/>
      <c r="O59" s="564"/>
    </row>
    <row r="60" spans="1:21" ht="18" customHeight="1" x14ac:dyDescent="0.2">
      <c r="A60" s="568" t="s">
        <v>251</v>
      </c>
      <c r="B60" s="568"/>
      <c r="C60" s="568"/>
      <c r="D60" s="568"/>
      <c r="E60" s="568"/>
      <c r="F60" s="568"/>
      <c r="G60" s="568"/>
      <c r="H60" s="568"/>
      <c r="I60" s="568"/>
      <c r="J60" s="568"/>
      <c r="K60" s="568"/>
      <c r="L60" s="568"/>
      <c r="M60" s="568"/>
      <c r="N60" s="568"/>
      <c r="O60" s="568"/>
    </row>
    <row r="61" spans="1:21" ht="18" customHeight="1" x14ac:dyDescent="0.2">
      <c r="A61" s="572" t="s">
        <v>244</v>
      </c>
      <c r="B61" s="572"/>
      <c r="C61" s="572"/>
      <c r="D61" s="572"/>
      <c r="E61" s="572"/>
      <c r="F61" s="561" t="s">
        <v>245</v>
      </c>
      <c r="G61" s="561"/>
      <c r="H61" s="561"/>
      <c r="I61" s="561" t="s">
        <v>246</v>
      </c>
      <c r="J61" s="561"/>
      <c r="K61" s="561" t="s">
        <v>247</v>
      </c>
      <c r="L61" s="561"/>
      <c r="M61" s="561" t="s">
        <v>248</v>
      </c>
      <c r="N61" s="561"/>
      <c r="O61" s="561"/>
      <c r="R61" s="36" t="s">
        <v>331</v>
      </c>
      <c r="T61" s="36" t="s">
        <v>332</v>
      </c>
      <c r="U61" s="36" t="s">
        <v>65</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57" t="str">
        <f>IF(F62="","",Main!D12)</f>
        <v/>
      </c>
      <c r="J62" s="558"/>
      <c r="K62" s="557" t="str">
        <f>IF(F62="","",Main!D13)</f>
        <v/>
      </c>
      <c r="L62" s="558"/>
      <c r="M62" s="585" t="str">
        <f>IF(F62="","",Main!D14)</f>
        <v/>
      </c>
      <c r="N62" s="586"/>
      <c r="O62" s="58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59" t="str">
        <f>IF(Q63="","",Main!D49)</f>
        <v/>
      </c>
      <c r="J63" s="560"/>
      <c r="K63" s="559" t="str">
        <f>IF(Q63="","",Main!D50)</f>
        <v/>
      </c>
      <c r="L63" s="560"/>
      <c r="M63" s="554" t="str">
        <f>IF(Q63="","",Main!D54)</f>
        <v/>
      </c>
      <c r="N63" s="555"/>
      <c r="O63" s="55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59" t="str">
        <f>IF(Q64="","",Main!E49)</f>
        <v/>
      </c>
      <c r="J64" s="560"/>
      <c r="K64" s="559" t="str">
        <f>IF(Q64="","",Main!E50)</f>
        <v/>
      </c>
      <c r="L64" s="560"/>
      <c r="M64" s="554" t="str">
        <f>IF(Q64="","",Main!E54)</f>
        <v/>
      </c>
      <c r="N64" s="555"/>
      <c r="O64" s="55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59" t="str">
        <f>IF(Q65="","",Main!F49)</f>
        <v/>
      </c>
      <c r="J65" s="560"/>
      <c r="K65" s="559" t="str">
        <f>IF(Q65="","",Main!F50)</f>
        <v/>
      </c>
      <c r="L65" s="560"/>
      <c r="M65" s="554" t="str">
        <f>IF(Q65="","",Main!F54)</f>
        <v/>
      </c>
      <c r="N65" s="555"/>
      <c r="O65" s="55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59" t="str">
        <f>IF(Q66="","",Main!G49)</f>
        <v/>
      </c>
      <c r="J66" s="560"/>
      <c r="K66" s="559" t="str">
        <f>IF(Q66="","",Main!G50)</f>
        <v/>
      </c>
      <c r="L66" s="560"/>
      <c r="M66" s="554" t="str">
        <f>IF(Q66="","",Main!G54)</f>
        <v/>
      </c>
      <c r="N66" s="555"/>
      <c r="O66" s="55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59" t="str">
        <f>IF(Q67="","",Main!H49)</f>
        <v/>
      </c>
      <c r="J67" s="560"/>
      <c r="K67" s="559" t="str">
        <f>IF(Q67="","",Main!H50)</f>
        <v/>
      </c>
      <c r="L67" s="560"/>
      <c r="M67" s="554" t="str">
        <f>IF(Q67="","",Main!H54)</f>
        <v/>
      </c>
      <c r="N67" s="555"/>
      <c r="O67" s="55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59" t="str">
        <f>IF(Q68="","",Main!I49)</f>
        <v/>
      </c>
      <c r="J68" s="560"/>
      <c r="K68" s="559" t="str">
        <f>IF(Q68="","",Main!I50)</f>
        <v/>
      </c>
      <c r="L68" s="560"/>
      <c r="M68" s="554" t="str">
        <f>IF(Q68="","",Main!I54)</f>
        <v/>
      </c>
      <c r="N68" s="555"/>
      <c r="O68" s="55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73" t="str">
        <f>IF(Main!J48="","",Main!J48)</f>
        <v/>
      </c>
      <c r="G69" s="574"/>
      <c r="H69" s="575"/>
      <c r="I69" s="588" t="str">
        <f>IF(Q69="","",Main!J49)</f>
        <v/>
      </c>
      <c r="J69" s="589"/>
      <c r="K69" s="588" t="str">
        <f>IF(Q69="","",Main!J50)</f>
        <v/>
      </c>
      <c r="L69" s="589"/>
      <c r="M69" s="573" t="str">
        <f>IF(Q69="","",Main!J54)</f>
        <v/>
      </c>
      <c r="N69" s="574"/>
      <c r="O69" s="57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49" t="s">
        <v>433</v>
      </c>
      <c r="B71" s="549"/>
      <c r="C71" s="549"/>
      <c r="D71" s="549"/>
      <c r="E71" s="549"/>
      <c r="F71" s="549"/>
      <c r="G71" s="549"/>
      <c r="H71" s="549"/>
      <c r="I71" s="549"/>
      <c r="J71" s="549"/>
      <c r="K71" s="549"/>
      <c r="L71" s="549"/>
      <c r="M71" s="549"/>
      <c r="N71" s="549"/>
      <c r="O71" s="549"/>
    </row>
    <row r="72" spans="1:21" ht="18" customHeight="1" x14ac:dyDescent="0.2">
      <c r="A72" s="549"/>
      <c r="B72" s="549"/>
      <c r="C72" s="549"/>
      <c r="D72" s="549"/>
      <c r="E72" s="549"/>
      <c r="F72" s="549"/>
      <c r="G72" s="549"/>
      <c r="H72" s="549"/>
      <c r="I72" s="549"/>
      <c r="J72" s="549"/>
      <c r="K72" s="549"/>
      <c r="L72" s="549"/>
      <c r="M72" s="549"/>
      <c r="N72" s="549"/>
      <c r="O72" s="549"/>
    </row>
    <row r="73" spans="1:21" ht="18" customHeight="1" x14ac:dyDescent="0.2">
      <c r="A73" s="549"/>
      <c r="B73" s="549"/>
      <c r="C73" s="549"/>
      <c r="D73" s="549"/>
      <c r="E73" s="549"/>
      <c r="F73" s="549"/>
      <c r="G73" s="549"/>
      <c r="H73" s="549"/>
      <c r="I73" s="549"/>
      <c r="J73" s="549"/>
      <c r="K73" s="549"/>
      <c r="L73" s="549"/>
      <c r="M73" s="549"/>
      <c r="N73" s="549"/>
      <c r="O73" s="549"/>
    </row>
    <row r="74" spans="1:21" ht="18" customHeight="1" x14ac:dyDescent="0.2">
      <c r="A74" s="549"/>
      <c r="B74" s="549"/>
      <c r="C74" s="549"/>
      <c r="D74" s="549"/>
      <c r="E74" s="549"/>
      <c r="F74" s="549"/>
      <c r="G74" s="549"/>
      <c r="H74" s="549"/>
      <c r="I74" s="549"/>
      <c r="J74" s="549"/>
      <c r="K74" s="549"/>
      <c r="L74" s="549"/>
      <c r="M74" s="549"/>
      <c r="N74" s="549"/>
      <c r="O74" s="54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lkEPcM9KggKlVgwP6c001mIviWexJgYxyzVhxbHEuO5NDQYnVhd/raMXIGVlCltqzr+2SS7PM5psjOdt81Fxng==" saltValue="2sZ7et+ZDE1zRxg1WEIc4Q=="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IsOhH9gFX2I5sRF2/7rGUtZsPP6nfS6pPYUOqyemIS6r6ynjjxg+9MLLjuLcd91JhFXlhOk7U4PWYDnCImg6bg==" saltValue="Inp2UjGpWWZM3mbop02U5g=="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H0lYSZpfqe/+zrKiVlv9QLYJCtQ9nBsZAsQjbFHizTURP3xNWXyNs1WV+IaPE3RsYREfCLKe+dAPzFHcjMcLtg==" saltValue="k9QBtSPipsqKscdFFXYpFQ=="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MgHL+1OSgXOwukD69sT5zwH/tFdhirueH7UAUrokJUhHi3ZElW93aFgvkyqYvd6QbuBfqSt00KZws5tbJRADIA==" saltValue="+Hv8774Y1upTTFH9E8p9CA=="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xqDfQRSt8qfD0OIzOdl3GDFTT4lkap4dc60iNonzSqyEhdF/YFbHwPZAdkVn7zF7ccIqZtAGK7FipdajNUgwDw==" saltValue="bfJa8vbCA7HWtXo8iFr6Wg==" spinCount="100000" sheet="1" objects="1" scenarios="1" selectLockedCells="1" autoFilter="0"/>
  <mergeCells count="2">
    <mergeCell ref="D32:M34"/>
    <mergeCell ref="C37:M40"/>
  </mergeCells>
  <phoneticPr fontId="21"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0" t="s">
        <v>274</v>
      </c>
      <c r="I28" s="630"/>
      <c r="J28" s="630"/>
      <c r="K28" s="630"/>
      <c r="L28" s="630"/>
      <c r="M28" s="630"/>
      <c r="N28" s="630"/>
      <c r="O28" s="630"/>
      <c r="P28" s="630"/>
      <c r="Q28" s="630"/>
      <c r="R28" s="630"/>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36" t="s">
        <v>276</v>
      </c>
      <c r="K29" s="637"/>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31" t="s">
        <v>264</v>
      </c>
      <c r="I30" s="631"/>
      <c r="J30" s="638" t="s">
        <v>305</v>
      </c>
      <c r="K30" s="639"/>
      <c r="L30" s="640"/>
      <c r="M30" s="253"/>
      <c r="O30" s="632" t="s">
        <v>308</v>
      </c>
      <c r="P30" s="633"/>
      <c r="Q30" s="634"/>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21" t="s">
        <v>313</v>
      </c>
      <c r="K31" s="622"/>
      <c r="L31" s="623"/>
      <c r="M31" s="254" t="str">
        <f>IF(Main!S49="","",Main!S49)</f>
        <v>N/A</v>
      </c>
      <c r="O31" s="540" t="s">
        <v>315</v>
      </c>
      <c r="P31" s="541"/>
      <c r="Q31" s="635"/>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4" t="s">
        <v>267</v>
      </c>
      <c r="K32" s="625"/>
      <c r="L32" s="626"/>
      <c r="M32" s="249"/>
      <c r="O32" s="624" t="s">
        <v>267</v>
      </c>
      <c r="P32" s="625"/>
      <c r="Q32" s="626"/>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7" t="s">
        <v>314</v>
      </c>
      <c r="K33" s="628"/>
      <c r="L33" s="629"/>
      <c r="M33" s="248" t="str">
        <f>IF(Main!S51="","",Main!S51)</f>
        <v/>
      </c>
      <c r="O33" s="627" t="s">
        <v>316</v>
      </c>
      <c r="P33" s="628"/>
      <c r="Q33" s="629"/>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4" t="s">
        <v>267</v>
      </c>
      <c r="K34" s="625"/>
      <c r="L34" s="626"/>
      <c r="O34" s="624" t="s">
        <v>267</v>
      </c>
      <c r="P34" s="625"/>
      <c r="Q34" s="626"/>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13" t="s">
        <v>317</v>
      </c>
      <c r="K35" s="614"/>
      <c r="L35" s="615"/>
      <c r="M35" s="256" t="str">
        <f>IF(Main!S53="","",Main!S53)</f>
        <v/>
      </c>
      <c r="O35" s="613" t="s">
        <v>318</v>
      </c>
      <c r="P35" s="614"/>
      <c r="Q35" s="615"/>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16"/>
      <c r="K36" s="617"/>
      <c r="L36" s="618"/>
      <c r="M36" s="252"/>
      <c r="O36" s="616"/>
      <c r="P36" s="617"/>
      <c r="Q36" s="618"/>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t2V4D7D/37d67jgflGovjO+SLDZhetb96pffx6YFsTOJBhbWpt/L5odlyYbm92Tzfjd1adH9kK438pKsbKPXig==" saltValue="GN6nQdHOHOORAxIBzSogS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xn22SyHAT+WkbkTt0yGUMm0F7LE9pUTQE0z/PVkp3F0FfYdP5sl0h8DfVmgk1R7LXZLcxOO5MdRJm5d/o4KYBw==" saltValue="K519+1WQ2/1o5G2zFTIag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9"/>
      <c r="C1" s="579"/>
      <c r="D1" s="579"/>
      <c r="E1" s="33" t="s">
        <v>145</v>
      </c>
      <c r="G1" s="579" t="s">
        <v>65</v>
      </c>
      <c r="H1" s="579"/>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eZIne86DiIOLVhiFU/Jt7nc6u/rAkdZiVjdjLCzKwKpIUmTUvVGY2796Z55Be47KfKRTRgrdOmzqGdaV5xrN3Q==" saltValue="oAEOO/3QgmhDfpF+vBUJ6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2026-03-04T22:01:09Z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