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6AFE1B8-839A-4337-A32C-1787B2661E84}"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WireOffsets!$K$1:$N$26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Table'!$A$1:$O$1702</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K11" i="95" s="1"/>
  <c r="J12" i="95"/>
  <c r="K12" i="95" s="1"/>
  <c r="J13" i="95"/>
  <c r="K13" i="95" s="1"/>
  <c r="J14" i="95"/>
  <c r="K14" i="95" s="1"/>
  <c r="J15" i="95"/>
  <c r="K15" i="95" s="1"/>
  <c r="J16" i="95"/>
  <c r="J17" i="95"/>
  <c r="J18" i="95"/>
  <c r="K18" i="95" s="1"/>
  <c r="J19" i="95"/>
  <c r="K19" i="95" s="1"/>
  <c r="J20" i="95"/>
  <c r="K20" i="95" s="1"/>
  <c r="J21" i="95"/>
  <c r="K21" i="95" s="1"/>
  <c r="J22" i="95"/>
  <c r="K22" i="95" s="1"/>
  <c r="J23" i="95"/>
  <c r="K23" i="95" s="1"/>
  <c r="J24" i="95"/>
  <c r="J25" i="95"/>
  <c r="K25" i="95" s="1"/>
  <c r="J26" i="95"/>
  <c r="K26" i="95" s="1"/>
  <c r="J27" i="95"/>
  <c r="K27" i="95" s="1"/>
  <c r="J28" i="95"/>
  <c r="K28" i="95" s="1"/>
  <c r="J29" i="95"/>
  <c r="K29" i="95" s="1"/>
  <c r="J30" i="95"/>
  <c r="K30" i="95" s="1"/>
  <c r="J31" i="95"/>
  <c r="J32" i="95"/>
  <c r="J33" i="95"/>
  <c r="J34" i="95"/>
  <c r="J35" i="95"/>
  <c r="J36" i="95"/>
  <c r="J37" i="95"/>
  <c r="K37" i="95" s="1"/>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J64" i="95"/>
  <c r="J65" i="95"/>
  <c r="J66" i="95"/>
  <c r="J67" i="95"/>
  <c r="J68" i="95"/>
  <c r="J69" i="95"/>
  <c r="J70" i="95"/>
  <c r="J71" i="95"/>
  <c r="J72" i="95"/>
  <c r="J73" i="95"/>
  <c r="J74" i="95"/>
  <c r="J75" i="95"/>
  <c r="K75" i="95" s="1"/>
  <c r="J76" i="95"/>
  <c r="K76" i="95" s="1"/>
  <c r="J77" i="95"/>
  <c r="K77" i="95" s="1"/>
  <c r="J78" i="95"/>
  <c r="K78" i="95" s="1"/>
  <c r="J79" i="95"/>
  <c r="K79" i="95" s="1"/>
  <c r="J80" i="95"/>
  <c r="J81" i="95"/>
  <c r="J82" i="95"/>
  <c r="J83" i="95"/>
  <c r="K83" i="95" s="1"/>
  <c r="J84" i="95"/>
  <c r="K84" i="95" s="1"/>
  <c r="J85" i="95"/>
  <c r="K85" i="95" s="1"/>
  <c r="J86" i="95"/>
  <c r="K86" i="95" s="1"/>
  <c r="J87" i="95"/>
  <c r="K87" i="95" s="1"/>
  <c r="J88" i="95"/>
  <c r="K88" i="95" s="1"/>
  <c r="J89" i="95"/>
  <c r="K89" i="95" s="1"/>
  <c r="J90" i="95"/>
  <c r="K90" i="95" s="1"/>
  <c r="J91" i="95"/>
  <c r="K91" i="95" s="1"/>
  <c r="J92" i="95"/>
  <c r="K92" i="95" s="1"/>
  <c r="J93" i="95"/>
  <c r="K93" i="95" s="1"/>
  <c r="J94" i="95"/>
  <c r="K94" i="95" s="1"/>
  <c r="J95" i="95"/>
  <c r="J96" i="95"/>
  <c r="J97" i="95"/>
  <c r="J98" i="95"/>
  <c r="J99" i="95"/>
  <c r="J100" i="95"/>
  <c r="J101" i="95"/>
  <c r="J102" i="95"/>
  <c r="J103" i="95"/>
  <c r="J104" i="95"/>
  <c r="K104" i="95" s="1"/>
  <c r="J105" i="95"/>
  <c r="K105" i="95" s="1"/>
  <c r="J106" i="95"/>
  <c r="K106" i="95" s="1"/>
  <c r="J107" i="95"/>
  <c r="K107" i="95" s="1"/>
  <c r="J108" i="95"/>
  <c r="K108" i="95" s="1"/>
  <c r="J109" i="95"/>
  <c r="K109" i="95" s="1"/>
  <c r="J110" i="95"/>
  <c r="K110" i="95" s="1"/>
  <c r="J111" i="95"/>
  <c r="K111" i="95" s="1"/>
  <c r="J112" i="95"/>
  <c r="J113" i="95"/>
  <c r="J114" i="95"/>
  <c r="J115" i="95"/>
  <c r="J116" i="95"/>
  <c r="J117" i="95"/>
  <c r="J118" i="95"/>
  <c r="J119" i="95"/>
  <c r="K119" i="95" s="1"/>
  <c r="J120" i="95"/>
  <c r="J121" i="95"/>
  <c r="J122" i="95"/>
  <c r="J123" i="95"/>
  <c r="K123" i="95" s="1"/>
  <c r="J124" i="95"/>
  <c r="K124" i="95" s="1"/>
  <c r="J125" i="95"/>
  <c r="K125" i="95" s="1"/>
  <c r="J126" i="95"/>
  <c r="K126" i="95" s="1"/>
  <c r="J127" i="95"/>
  <c r="J128" i="95"/>
  <c r="J129" i="95"/>
  <c r="K129" i="95" s="1"/>
  <c r="J130" i="95"/>
  <c r="J131" i="95"/>
  <c r="J132" i="95"/>
  <c r="J133" i="95"/>
  <c r="K133" i="95" s="1"/>
  <c r="J134" i="95"/>
  <c r="K134" i="95" s="1"/>
  <c r="J135" i="95"/>
  <c r="K135" i="95" s="1"/>
  <c r="J136" i="95"/>
  <c r="K136" i="95" s="1"/>
  <c r="J137" i="95"/>
  <c r="K137" i="95" s="1"/>
  <c r="J138" i="95"/>
  <c r="K138" i="95" s="1"/>
  <c r="J139" i="95"/>
  <c r="K139" i="95" s="1"/>
  <c r="J140" i="95"/>
  <c r="K140" i="95" s="1"/>
  <c r="J141" i="95"/>
  <c r="K141" i="95" s="1"/>
  <c r="J142" i="95"/>
  <c r="K142" i="95" s="1"/>
  <c r="J143" i="95"/>
  <c r="K143" i="95" s="1"/>
  <c r="J144" i="95"/>
  <c r="J145" i="95"/>
  <c r="J146" i="95"/>
  <c r="J147" i="95"/>
  <c r="J148" i="95"/>
  <c r="J149" i="95"/>
  <c r="J150" i="95"/>
  <c r="K150" i="95" s="1"/>
  <c r="J151" i="95"/>
  <c r="K151" i="95" s="1"/>
  <c r="J152" i="95"/>
  <c r="K152" i="95" s="1"/>
  <c r="J153" i="95"/>
  <c r="K153" i="95" s="1"/>
  <c r="J154" i="95"/>
  <c r="K154" i="95" s="1"/>
  <c r="J155" i="95"/>
  <c r="K155" i="95" s="1"/>
  <c r="J156" i="95"/>
  <c r="K156" i="95" s="1"/>
  <c r="J157" i="95"/>
  <c r="K157" i="95" s="1"/>
  <c r="J158" i="95"/>
  <c r="K158" i="95" s="1"/>
  <c r="J159" i="95"/>
  <c r="J160" i="95"/>
  <c r="J161" i="95"/>
  <c r="J162" i="95"/>
  <c r="J163" i="95"/>
  <c r="J164" i="95"/>
  <c r="J165" i="95"/>
  <c r="J166" i="95"/>
  <c r="J167" i="95"/>
  <c r="J168" i="95"/>
  <c r="J169" i="95"/>
  <c r="K169" i="95" s="1"/>
  <c r="J170" i="95"/>
  <c r="K170" i="95" s="1"/>
  <c r="J171" i="95"/>
  <c r="K171" i="95" s="1"/>
  <c r="J172" i="95"/>
  <c r="K172" i="95" s="1"/>
  <c r="J173" i="95"/>
  <c r="K173" i="95" s="1"/>
  <c r="J174" i="95"/>
  <c r="K174" i="95" s="1"/>
  <c r="J175" i="95"/>
  <c r="K175" i="95" s="1"/>
  <c r="J176" i="95"/>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K188" i="95" s="1"/>
  <c r="J189" i="95"/>
  <c r="K189" i="95" s="1"/>
  <c r="J190" i="95"/>
  <c r="K190" i="95" s="1"/>
  <c r="J191" i="95"/>
  <c r="J192" i="95"/>
  <c r="J193" i="95"/>
  <c r="J194" i="95"/>
  <c r="J195" i="95"/>
  <c r="J196" i="95"/>
  <c r="J197" i="95"/>
  <c r="J198" i="95"/>
  <c r="J199" i="95"/>
  <c r="J200" i="95"/>
  <c r="J201" i="95"/>
  <c r="J202" i="95"/>
  <c r="J203" i="95"/>
  <c r="K203" i="95" s="1"/>
  <c r="J204" i="95"/>
  <c r="K204" i="95" s="1"/>
  <c r="J205" i="95"/>
  <c r="K205" i="95" s="1"/>
  <c r="J206" i="95"/>
  <c r="K206" i="95" s="1"/>
  <c r="J207" i="95"/>
  <c r="K207" i="95" s="1"/>
  <c r="J208" i="95"/>
  <c r="J209" i="95"/>
  <c r="J210" i="95"/>
  <c r="J211" i="95"/>
  <c r="J212" i="95"/>
  <c r="J213" i="95"/>
  <c r="J214" i="95"/>
  <c r="J215" i="95"/>
  <c r="K215" i="95" s="1"/>
  <c r="J216" i="95"/>
  <c r="K216" i="95" s="1"/>
  <c r="J217" i="95"/>
  <c r="J218" i="95"/>
  <c r="K218" i="95" s="1"/>
  <c r="J219" i="95"/>
  <c r="K219" i="95" s="1"/>
  <c r="J220" i="95"/>
  <c r="K220" i="95" s="1"/>
  <c r="J221" i="95"/>
  <c r="J222" i="95"/>
  <c r="J223" i="95"/>
  <c r="J224" i="95"/>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J256" i="95"/>
  <c r="J257" i="95"/>
  <c r="J258" i="95"/>
  <c r="J259" i="95"/>
  <c r="J260" i="95"/>
  <c r="J261" i="95"/>
  <c r="J262" i="95"/>
  <c r="J263" i="95"/>
  <c r="K263" i="95" s="1"/>
  <c r="J264" i="95"/>
  <c r="K264" i="95" s="1"/>
  <c r="J265" i="95"/>
  <c r="K265" i="95" s="1"/>
  <c r="J266" i="95"/>
  <c r="K266" i="95" s="1"/>
  <c r="J267" i="95"/>
  <c r="K267" i="95" s="1"/>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K280" i="95" s="1"/>
  <c r="J281" i="95"/>
  <c r="K281" i="95" s="1"/>
  <c r="J282" i="95"/>
  <c r="K282" i="95" s="1"/>
  <c r="J283" i="95"/>
  <c r="K283" i="95" s="1"/>
  <c r="J284" i="95"/>
  <c r="K284" i="95" s="1"/>
  <c r="J285" i="95"/>
  <c r="K285" i="95" s="1"/>
  <c r="J286" i="95"/>
  <c r="K286" i="95" s="1"/>
  <c r="J287" i="95"/>
  <c r="J288" i="95"/>
  <c r="J289" i="95"/>
  <c r="K289" i="95" s="1"/>
  <c r="J290" i="95"/>
  <c r="J291" i="95"/>
  <c r="J292" i="95"/>
  <c r="J293" i="95"/>
  <c r="J294" i="95"/>
  <c r="J295" i="95"/>
  <c r="J296" i="95"/>
  <c r="J297" i="95"/>
  <c r="J298" i="95"/>
  <c r="J299" i="95"/>
  <c r="K299" i="95" s="1"/>
  <c r="J300" i="95"/>
  <c r="K300" i="95" s="1"/>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J319" i="95"/>
  <c r="J320" i="95"/>
  <c r="J321" i="95"/>
  <c r="J322" i="95"/>
  <c r="J323" i="95"/>
  <c r="J324" i="95"/>
  <c r="J325" i="95"/>
  <c r="J326" i="95"/>
  <c r="J327" i="95"/>
  <c r="J328" i="95"/>
  <c r="J329" i="95"/>
  <c r="J330" i="95"/>
  <c r="J331" i="95"/>
  <c r="K331" i="95" s="1"/>
  <c r="J332" i="95"/>
  <c r="K332" i="95" s="1"/>
  <c r="J333" i="95"/>
  <c r="K333" i="95" s="1"/>
  <c r="J334" i="95"/>
  <c r="K334" i="95" s="1"/>
  <c r="J335" i="95"/>
  <c r="K335" i="95" s="1"/>
  <c r="J336" i="95"/>
  <c r="J337" i="95"/>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J352" i="95"/>
  <c r="J353" i="95"/>
  <c r="J354" i="95"/>
  <c r="J355" i="95"/>
  <c r="J356" i="95"/>
  <c r="J357" i="95"/>
  <c r="K357" i="95" s="1"/>
  <c r="J358" i="95"/>
  <c r="K358" i="95" s="1"/>
  <c r="J359" i="95"/>
  <c r="K359" i="95" s="1"/>
  <c r="J360" i="95"/>
  <c r="K360" i="95" s="1"/>
  <c r="J361" i="95"/>
  <c r="K361" i="95" s="1"/>
  <c r="J362" i="95"/>
  <c r="K362" i="95" s="1"/>
  <c r="J363" i="95"/>
  <c r="K363" i="95" s="1"/>
  <c r="J364" i="95"/>
  <c r="K364" i="95" s="1"/>
  <c r="J365" i="95"/>
  <c r="K365" i="95" s="1"/>
  <c r="J366" i="95"/>
  <c r="K366" i="95" s="1"/>
  <c r="J367" i="95"/>
  <c r="K367" i="95" s="1"/>
  <c r="J368" i="95"/>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J384" i="95"/>
  <c r="J385" i="95"/>
  <c r="J386" i="95"/>
  <c r="J387" i="95"/>
  <c r="J388" i="95"/>
  <c r="J389" i="95"/>
  <c r="J390" i="95"/>
  <c r="J391" i="95"/>
  <c r="J392" i="95"/>
  <c r="J393" i="95"/>
  <c r="J394" i="95"/>
  <c r="J395" i="95"/>
  <c r="K395" i="95" s="1"/>
  <c r="J396" i="95"/>
  <c r="K396" i="95" s="1"/>
  <c r="J397" i="95"/>
  <c r="K397" i="95" s="1"/>
  <c r="J398" i="95"/>
  <c r="K398" i="95" s="1"/>
  <c r="J399" i="95"/>
  <c r="K399" i="95" s="1"/>
  <c r="J400" i="95"/>
  <c r="J401" i="95"/>
  <c r="J402" i="95"/>
  <c r="J403" i="95"/>
  <c r="K403" i="95" s="1"/>
  <c r="J404" i="95"/>
  <c r="K404" i="95" s="1"/>
  <c r="J405" i="95"/>
  <c r="K405" i="95" s="1"/>
  <c r="J406" i="95"/>
  <c r="K406" i="95" s="1"/>
  <c r="J407" i="95"/>
  <c r="K407" i="95" s="1"/>
  <c r="J408" i="95"/>
  <c r="K408" i="95" s="1"/>
  <c r="J409" i="95"/>
  <c r="K409" i="95" s="1"/>
  <c r="J410" i="95"/>
  <c r="K410" i="95" s="1"/>
  <c r="J411" i="95"/>
  <c r="K411" i="95" s="1"/>
  <c r="J412" i="95"/>
  <c r="K412" i="95" s="1"/>
  <c r="J413" i="95"/>
  <c r="K413" i="95" s="1"/>
  <c r="J414" i="95"/>
  <c r="K414" i="95" s="1"/>
  <c r="J415" i="95"/>
  <c r="J416" i="95"/>
  <c r="J417" i="95"/>
  <c r="J418" i="95"/>
  <c r="J419" i="95"/>
  <c r="J420" i="95"/>
  <c r="K2" i="95"/>
  <c r="K3" i="95"/>
  <c r="K4" i="95"/>
  <c r="K5" i="95"/>
  <c r="K6" i="95"/>
  <c r="K7" i="95"/>
  <c r="K8" i="95"/>
  <c r="K9" i="95"/>
  <c r="K10" i="95"/>
  <c r="K16" i="95"/>
  <c r="K17" i="95"/>
  <c r="K24" i="95"/>
  <c r="K31" i="95"/>
  <c r="K32" i="95"/>
  <c r="K33" i="95"/>
  <c r="K34" i="95"/>
  <c r="K35" i="95"/>
  <c r="K36" i="95"/>
  <c r="K48" i="95"/>
  <c r="K49" i="95"/>
  <c r="K63" i="95"/>
  <c r="K64" i="95"/>
  <c r="K65" i="95"/>
  <c r="K66" i="95"/>
  <c r="K67" i="95"/>
  <c r="K68" i="95"/>
  <c r="K69" i="95"/>
  <c r="K70" i="95"/>
  <c r="K71" i="95"/>
  <c r="K72" i="95"/>
  <c r="K73" i="95"/>
  <c r="K74" i="95"/>
  <c r="K80" i="95"/>
  <c r="K81" i="95"/>
  <c r="K82" i="95"/>
  <c r="K95" i="95"/>
  <c r="K96" i="95"/>
  <c r="K97" i="95"/>
  <c r="K98" i="95"/>
  <c r="K99" i="95"/>
  <c r="K100" i="95"/>
  <c r="K101" i="95"/>
  <c r="K102" i="95"/>
  <c r="K103" i="95"/>
  <c r="K112" i="95"/>
  <c r="K113" i="95"/>
  <c r="K114" i="95"/>
  <c r="K115" i="95"/>
  <c r="K116" i="95"/>
  <c r="K117" i="95"/>
  <c r="K118" i="95"/>
  <c r="K120" i="95"/>
  <c r="K121" i="95"/>
  <c r="K122" i="95"/>
  <c r="K127" i="95"/>
  <c r="K128" i="95"/>
  <c r="K130" i="95"/>
  <c r="K131" i="95"/>
  <c r="K132" i="95"/>
  <c r="K144" i="95"/>
  <c r="K145" i="95"/>
  <c r="K146" i="95"/>
  <c r="K147" i="95"/>
  <c r="K148" i="95"/>
  <c r="K149" i="95"/>
  <c r="K159" i="95"/>
  <c r="K160" i="95"/>
  <c r="K161" i="95"/>
  <c r="K162" i="95"/>
  <c r="K163" i="95"/>
  <c r="K164" i="95"/>
  <c r="K165" i="95"/>
  <c r="K166" i="95"/>
  <c r="K167" i="95"/>
  <c r="K168" i="95"/>
  <c r="K176" i="95"/>
  <c r="K191" i="95"/>
  <c r="K192" i="95"/>
  <c r="K193" i="95"/>
  <c r="K194" i="95"/>
  <c r="K195" i="95"/>
  <c r="K196" i="95"/>
  <c r="K197" i="95"/>
  <c r="K198" i="95"/>
  <c r="K199" i="95"/>
  <c r="K200" i="95"/>
  <c r="K201" i="95"/>
  <c r="K202" i="95"/>
  <c r="K208" i="95"/>
  <c r="K211" i="95"/>
  <c r="K212" i="95"/>
  <c r="K213" i="95"/>
  <c r="K214" i="95"/>
  <c r="K217" i="95"/>
  <c r="K223" i="95"/>
  <c r="K224" i="95"/>
  <c r="K226" i="95"/>
  <c r="K227" i="95"/>
  <c r="K228" i="95"/>
  <c r="K229" i="95"/>
  <c r="K230" i="95"/>
  <c r="K231" i="95"/>
  <c r="K232" i="95"/>
  <c r="K233" i="95"/>
  <c r="K234" i="95"/>
  <c r="K240" i="95"/>
  <c r="K241" i="95"/>
  <c r="K242" i="95"/>
  <c r="K255" i="95"/>
  <c r="K257" i="95"/>
  <c r="K258" i="95"/>
  <c r="K259" i="95"/>
  <c r="K260" i="95"/>
  <c r="K261" i="95"/>
  <c r="K262" i="95"/>
  <c r="K287" i="95"/>
  <c r="K288" i="95"/>
  <c r="K290" i="95"/>
  <c r="K291" i="95"/>
  <c r="K292" i="95"/>
  <c r="K293" i="95"/>
  <c r="K294" i="95"/>
  <c r="K295" i="95"/>
  <c r="K296" i="95"/>
  <c r="K297" i="95"/>
  <c r="K298" i="95"/>
  <c r="K304" i="95"/>
  <c r="K305" i="95"/>
  <c r="K306" i="95"/>
  <c r="K307" i="95"/>
  <c r="K308" i="95"/>
  <c r="K322" i="95"/>
  <c r="K323" i="95"/>
  <c r="K324" i="95"/>
  <c r="K325" i="95"/>
  <c r="K326" i="95"/>
  <c r="K327" i="95"/>
  <c r="K328" i="95"/>
  <c r="K329" i="95"/>
  <c r="K330" i="95"/>
  <c r="K336" i="95"/>
  <c r="K337" i="95"/>
  <c r="K351" i="95"/>
  <c r="K352" i="95"/>
  <c r="K353" i="95"/>
  <c r="K354" i="95"/>
  <c r="K355" i="95"/>
  <c r="K356" i="95"/>
  <c r="K368" i="95"/>
  <c r="K383" i="95"/>
  <c r="K384" i="95"/>
  <c r="K385" i="95"/>
  <c r="K386" i="95"/>
  <c r="K387" i="95"/>
  <c r="K388" i="95"/>
  <c r="K389" i="95"/>
  <c r="K390" i="95"/>
  <c r="K391" i="95"/>
  <c r="K392" i="95"/>
  <c r="K393" i="95"/>
  <c r="K394" i="95"/>
  <c r="K400" i="95"/>
  <c r="K401" i="95"/>
  <c r="K402" i="95"/>
  <c r="K415" i="95"/>
  <c r="K416" i="95"/>
  <c r="K417" i="95"/>
  <c r="K418" i="95"/>
  <c r="K419" i="95"/>
  <c r="K420" i="95"/>
  <c r="L2" i="95"/>
  <c r="M2" i="95" s="1"/>
  <c r="L3" i="95"/>
  <c r="M3" i="95" s="1"/>
  <c r="L4" i="95"/>
  <c r="M4" i="95" s="1"/>
  <c r="L5" i="95"/>
  <c r="M5" i="95" s="1"/>
  <c r="L6" i="95"/>
  <c r="M6" i="95" s="1"/>
  <c r="L7" i="95"/>
  <c r="M7" i="95" s="1"/>
  <c r="L8" i="95"/>
  <c r="M8" i="95" s="1"/>
  <c r="L9" i="95"/>
  <c r="M9" i="95" s="1"/>
  <c r="L10" i="95"/>
  <c r="M10" i="95" s="1"/>
  <c r="L11" i="95"/>
  <c r="M11" i="95" s="1"/>
  <c r="L12" i="95"/>
  <c r="M12" i="95" s="1"/>
  <c r="L13" i="95"/>
  <c r="L14" i="95"/>
  <c r="M14" i="95" s="1"/>
  <c r="L15" i="95"/>
  <c r="M15" i="95" s="1"/>
  <c r="L16" i="95"/>
  <c r="M16" i="95" s="1"/>
  <c r="L17" i="95"/>
  <c r="M17" i="95" s="1"/>
  <c r="L18" i="95"/>
  <c r="L19" i="95"/>
  <c r="M19" i="95" s="1"/>
  <c r="L20" i="95"/>
  <c r="L21" i="95"/>
  <c r="L22" i="95"/>
  <c r="M22" i="95" s="1"/>
  <c r="L23" i="95"/>
  <c r="M23" i="95" s="1"/>
  <c r="L24" i="95"/>
  <c r="M24" i="95" s="1"/>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L53" i="95"/>
  <c r="L54" i="95"/>
  <c r="M54" i="95" s="1"/>
  <c r="L55" i="95"/>
  <c r="M55" i="95" s="1"/>
  <c r="L56" i="95"/>
  <c r="M56" i="95" s="1"/>
  <c r="L57" i="95"/>
  <c r="L58" i="95"/>
  <c r="L59" i="95"/>
  <c r="L60" i="95"/>
  <c r="L61" i="95"/>
  <c r="L62" i="95"/>
  <c r="L63" i="95"/>
  <c r="L64" i="95"/>
  <c r="L65" i="95"/>
  <c r="L66" i="95"/>
  <c r="L67" i="95"/>
  <c r="M67" i="95" s="1"/>
  <c r="L68" i="95"/>
  <c r="M68" i="95" s="1"/>
  <c r="L69" i="95"/>
  <c r="M69" i="95" s="1"/>
  <c r="L70" i="95"/>
  <c r="M70" i="95" s="1"/>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L85" i="95"/>
  <c r="L86" i="95"/>
  <c r="M86" i="95" s="1"/>
  <c r="L87" i="95"/>
  <c r="M87" i="95" s="1"/>
  <c r="L88" i="95"/>
  <c r="M88" i="95" s="1"/>
  <c r="L89" i="95"/>
  <c r="L90" i="95"/>
  <c r="L91" i="95"/>
  <c r="L92" i="95"/>
  <c r="L93" i="95"/>
  <c r="M93" i="95" s="1"/>
  <c r="L94" i="95"/>
  <c r="M94" i="95" s="1"/>
  <c r="L95" i="95"/>
  <c r="M95" i="95" s="1"/>
  <c r="L96" i="95"/>
  <c r="L97" i="95"/>
  <c r="L98" i="95"/>
  <c r="L99" i="95"/>
  <c r="L100" i="95"/>
  <c r="L101" i="95"/>
  <c r="M101" i="95" s="1"/>
  <c r="L102" i="95"/>
  <c r="M102" i="95" s="1"/>
  <c r="L103" i="95"/>
  <c r="M103" i="95" s="1"/>
  <c r="L104" i="95"/>
  <c r="M104" i="95" s="1"/>
  <c r="L105" i="95"/>
  <c r="M105" i="95" s="1"/>
  <c r="L106" i="95"/>
  <c r="L107" i="95"/>
  <c r="L108" i="95"/>
  <c r="L109" i="95"/>
  <c r="L110" i="95"/>
  <c r="L111" i="95"/>
  <c r="M111" i="95" s="1"/>
  <c r="L112" i="95"/>
  <c r="L113" i="95"/>
  <c r="M113" i="95" s="1"/>
  <c r="L114" i="95"/>
  <c r="M114" i="95" s="1"/>
  <c r="L115" i="95"/>
  <c r="M115" i="95" s="1"/>
  <c r="L116" i="95"/>
  <c r="L117" i="95"/>
  <c r="L118" i="95"/>
  <c r="M118" i="95" s="1"/>
  <c r="L119" i="95"/>
  <c r="M119" i="95" s="1"/>
  <c r="L120" i="95"/>
  <c r="M120" i="95" s="1"/>
  <c r="L121" i="95"/>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M139" i="95" s="1"/>
  <c r="L140" i="95"/>
  <c r="M140" i="95" s="1"/>
  <c r="L141" i="95"/>
  <c r="M141" i="95" s="1"/>
  <c r="L142" i="95"/>
  <c r="M142" i="95" s="1"/>
  <c r="L143" i="95"/>
  <c r="M143" i="95" s="1"/>
  <c r="L144" i="95"/>
  <c r="M144" i="95" s="1"/>
  <c r="L145" i="95"/>
  <c r="M145" i="95" s="1"/>
  <c r="L146" i="95"/>
  <c r="L147" i="95"/>
  <c r="M147" i="95" s="1"/>
  <c r="L148" i="95"/>
  <c r="L149" i="95"/>
  <c r="L150" i="95"/>
  <c r="M150" i="95" s="1"/>
  <c r="L151" i="95"/>
  <c r="M151" i="95" s="1"/>
  <c r="L152" i="95"/>
  <c r="M152" i="95" s="1"/>
  <c r="L153" i="95"/>
  <c r="L154" i="95"/>
  <c r="L155" i="95"/>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L181" i="95"/>
  <c r="L182" i="95"/>
  <c r="M182" i="95" s="1"/>
  <c r="L183" i="95"/>
  <c r="M183" i="95" s="1"/>
  <c r="L184" i="95"/>
  <c r="M184" i="95" s="1"/>
  <c r="L185" i="95"/>
  <c r="L186" i="95"/>
  <c r="L187" i="95"/>
  <c r="L188" i="95"/>
  <c r="L189" i="95"/>
  <c r="L190" i="95"/>
  <c r="L191" i="95"/>
  <c r="L192" i="95"/>
  <c r="L193" i="95"/>
  <c r="L194" i="95"/>
  <c r="L195" i="95"/>
  <c r="L196" i="95"/>
  <c r="L197" i="95"/>
  <c r="M197" i="95" s="1"/>
  <c r="L198" i="95"/>
  <c r="M198" i="95" s="1"/>
  <c r="L199" i="95"/>
  <c r="M199" i="95" s="1"/>
  <c r="L200" i="95"/>
  <c r="M200" i="95" s="1"/>
  <c r="L201" i="95"/>
  <c r="M201" i="95" s="1"/>
  <c r="L202" i="95"/>
  <c r="L203" i="95"/>
  <c r="L204" i="95"/>
  <c r="M204" i="95" s="1"/>
  <c r="L205" i="95"/>
  <c r="M205" i="95" s="1"/>
  <c r="L206" i="95"/>
  <c r="M206" i="95" s="1"/>
  <c r="L207" i="95"/>
  <c r="M207" i="95" s="1"/>
  <c r="L208" i="95"/>
  <c r="M208" i="95" s="1"/>
  <c r="L209" i="95"/>
  <c r="M209" i="95" s="1"/>
  <c r="L210" i="95"/>
  <c r="M210" i="95" s="1"/>
  <c r="L211" i="95"/>
  <c r="M211" i="95" s="1"/>
  <c r="L212" i="95"/>
  <c r="L213" i="95"/>
  <c r="L214" i="95"/>
  <c r="M214" i="95" s="1"/>
  <c r="L215" i="95"/>
  <c r="M215" i="95" s="1"/>
  <c r="L216" i="95"/>
  <c r="M216" i="95" s="1"/>
  <c r="L217" i="95"/>
  <c r="L218" i="95"/>
  <c r="L219" i="95"/>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M234" i="95" s="1"/>
  <c r="L235" i="95"/>
  <c r="M235" i="95" s="1"/>
  <c r="L236" i="95"/>
  <c r="M236" i="95" s="1"/>
  <c r="L237" i="95"/>
  <c r="L238" i="95"/>
  <c r="M238" i="95" s="1"/>
  <c r="L239" i="95"/>
  <c r="M239" i="95" s="1"/>
  <c r="L240" i="95"/>
  <c r="M240" i="95" s="1"/>
  <c r="L241" i="95"/>
  <c r="M241" i="95" s="1"/>
  <c r="L242" i="95"/>
  <c r="L243" i="95"/>
  <c r="L244" i="95"/>
  <c r="L245" i="95"/>
  <c r="L246" i="95"/>
  <c r="M246" i="95" s="1"/>
  <c r="L247" i="95"/>
  <c r="M247" i="95" s="1"/>
  <c r="L248" i="95"/>
  <c r="M248" i="95" s="1"/>
  <c r="L249" i="95"/>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L277" i="95"/>
  <c r="L278" i="95"/>
  <c r="M278" i="95" s="1"/>
  <c r="L279" i="95"/>
  <c r="M279" i="95" s="1"/>
  <c r="L280" i="95"/>
  <c r="M280" i="95" s="1"/>
  <c r="L281" i="95"/>
  <c r="L282" i="95"/>
  <c r="L283" i="95"/>
  <c r="L284" i="95"/>
  <c r="L285" i="95"/>
  <c r="L286" i="95"/>
  <c r="L287" i="95"/>
  <c r="L288" i="95"/>
  <c r="L289" i="95"/>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L309" i="95"/>
  <c r="L310" i="95"/>
  <c r="M310" i="95" s="1"/>
  <c r="L311" i="95"/>
  <c r="M311" i="95" s="1"/>
  <c r="L312" i="95"/>
  <c r="M312" i="95" s="1"/>
  <c r="L313" i="95"/>
  <c r="L314" i="95"/>
  <c r="L315" i="95"/>
  <c r="L316" i="95"/>
  <c r="M316" i="95" s="1"/>
  <c r="L317" i="95"/>
  <c r="M317" i="95" s="1"/>
  <c r="L318" i="95"/>
  <c r="L319" i="95"/>
  <c r="L320" i="95"/>
  <c r="L321" i="95"/>
  <c r="L322" i="95"/>
  <c r="L323" i="95"/>
  <c r="L324" i="95"/>
  <c r="L325" i="95"/>
  <c r="M325" i="95" s="1"/>
  <c r="L326" i="95"/>
  <c r="M326" i="95" s="1"/>
  <c r="L327" i="95"/>
  <c r="M327" i="95" s="1"/>
  <c r="L328" i="95"/>
  <c r="M328" i="95" s="1"/>
  <c r="L329" i="95"/>
  <c r="M329" i="95" s="1"/>
  <c r="L330" i="95"/>
  <c r="L331" i="95"/>
  <c r="L332" i="95"/>
  <c r="L333" i="95"/>
  <c r="L334" i="95"/>
  <c r="M334" i="95" s="1"/>
  <c r="L335" i="95"/>
  <c r="L336" i="95"/>
  <c r="M336" i="95" s="1"/>
  <c r="L337" i="95"/>
  <c r="M337" i="95" s="1"/>
  <c r="L338" i="95"/>
  <c r="M338" i="95" s="1"/>
  <c r="L339" i="95"/>
  <c r="M339" i="95" s="1"/>
  <c r="L340" i="95"/>
  <c r="L341" i="95"/>
  <c r="L342" i="95"/>
  <c r="M342" i="95" s="1"/>
  <c r="L343" i="95"/>
  <c r="M343" i="95" s="1"/>
  <c r="L344" i="95"/>
  <c r="M344" i="95" s="1"/>
  <c r="L345" i="95"/>
  <c r="L346" i="95"/>
  <c r="L347" i="95"/>
  <c r="L348" i="95"/>
  <c r="L349" i="95"/>
  <c r="L350" i="95"/>
  <c r="L351" i="95"/>
  <c r="L352" i="95"/>
  <c r="L353" i="95"/>
  <c r="L354" i="95"/>
  <c r="L355" i="95"/>
  <c r="L356" i="95"/>
  <c r="L357" i="95"/>
  <c r="M357" i="95" s="1"/>
  <c r="L358" i="95"/>
  <c r="M358" i="95" s="1"/>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L371" i="95"/>
  <c r="M371" i="95" s="1"/>
  <c r="L372" i="95"/>
  <c r="L373" i="95"/>
  <c r="L374" i="95"/>
  <c r="M374" i="95" s="1"/>
  <c r="L375" i="95"/>
  <c r="M375" i="95" s="1"/>
  <c r="L376" i="95"/>
  <c r="M376" i="95" s="1"/>
  <c r="L377" i="95"/>
  <c r="L378" i="95"/>
  <c r="L379" i="95"/>
  <c r="L380" i="95"/>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L405" i="95"/>
  <c r="L406" i="95"/>
  <c r="M406" i="95" s="1"/>
  <c r="L407" i="95"/>
  <c r="M407" i="95" s="1"/>
  <c r="L408" i="95"/>
  <c r="M408" i="95" s="1"/>
  <c r="L409" i="95"/>
  <c r="L410" i="95"/>
  <c r="L411" i="95"/>
  <c r="L412" i="95"/>
  <c r="L413" i="95"/>
  <c r="L414" i="95"/>
  <c r="L415" i="95"/>
  <c r="L416" i="95"/>
  <c r="L417" i="95"/>
  <c r="L418" i="95"/>
  <c r="L419" i="95"/>
  <c r="L420" i="95"/>
  <c r="M420" i="95" s="1"/>
  <c r="M13" i="95"/>
  <c r="M18" i="95"/>
  <c r="M20" i="95"/>
  <c r="M21" i="95"/>
  <c r="M25" i="95"/>
  <c r="M52" i="95"/>
  <c r="M53" i="95"/>
  <c r="M57" i="95"/>
  <c r="M58" i="95"/>
  <c r="M59" i="95"/>
  <c r="M60" i="95"/>
  <c r="M61" i="95"/>
  <c r="M62" i="95"/>
  <c r="M63" i="95"/>
  <c r="M64" i="95"/>
  <c r="M65" i="95"/>
  <c r="M66" i="95"/>
  <c r="M84" i="95"/>
  <c r="M85" i="95"/>
  <c r="M89" i="95"/>
  <c r="M90" i="95"/>
  <c r="M91" i="95"/>
  <c r="M92" i="95"/>
  <c r="M96" i="95"/>
  <c r="M97" i="95"/>
  <c r="M98" i="95"/>
  <c r="M99" i="95"/>
  <c r="M100" i="95"/>
  <c r="M106" i="95"/>
  <c r="M107" i="95"/>
  <c r="M108" i="95"/>
  <c r="M109" i="95"/>
  <c r="M110" i="95"/>
  <c r="M112" i="95"/>
  <c r="M116" i="95"/>
  <c r="M117" i="95"/>
  <c r="M121" i="95"/>
  <c r="M138" i="95"/>
  <c r="M146" i="95"/>
  <c r="M148" i="95"/>
  <c r="M149" i="95"/>
  <c r="M153" i="95"/>
  <c r="M154" i="95"/>
  <c r="M155" i="95"/>
  <c r="M156" i="95"/>
  <c r="M157" i="95"/>
  <c r="M180" i="95"/>
  <c r="M181" i="95"/>
  <c r="M185" i="95"/>
  <c r="M186" i="95"/>
  <c r="M187" i="95"/>
  <c r="M188" i="95"/>
  <c r="M189" i="95"/>
  <c r="M190" i="95"/>
  <c r="M191" i="95"/>
  <c r="M192" i="95"/>
  <c r="M193" i="95"/>
  <c r="M194" i="95"/>
  <c r="M195" i="95"/>
  <c r="M196" i="95"/>
  <c r="M202" i="95"/>
  <c r="M203" i="95"/>
  <c r="M212" i="95"/>
  <c r="M213" i="95"/>
  <c r="M217" i="95"/>
  <c r="M218" i="95"/>
  <c r="M219" i="95"/>
  <c r="M220" i="95"/>
  <c r="M221" i="95"/>
  <c r="M222" i="95"/>
  <c r="M223" i="95"/>
  <c r="M224" i="95"/>
  <c r="M237" i="95"/>
  <c r="M242" i="95"/>
  <c r="M243" i="95"/>
  <c r="M244" i="95"/>
  <c r="M245" i="95"/>
  <c r="M249" i="95"/>
  <c r="M276" i="95"/>
  <c r="M277" i="95"/>
  <c r="M281" i="95"/>
  <c r="M282" i="95"/>
  <c r="M283" i="95"/>
  <c r="M284" i="95"/>
  <c r="M285" i="95"/>
  <c r="M286" i="95"/>
  <c r="M287" i="95"/>
  <c r="M288" i="95"/>
  <c r="M289" i="95"/>
  <c r="M308" i="95"/>
  <c r="M309" i="95"/>
  <c r="M313" i="95"/>
  <c r="M314" i="95"/>
  <c r="M315" i="95"/>
  <c r="M318" i="95"/>
  <c r="M319" i="95"/>
  <c r="M320" i="95"/>
  <c r="M321" i="95"/>
  <c r="M322" i="95"/>
  <c r="M323" i="95"/>
  <c r="M324" i="95"/>
  <c r="M330" i="95"/>
  <c r="M331" i="95"/>
  <c r="M332" i="95"/>
  <c r="M333" i="95"/>
  <c r="M335" i="95"/>
  <c r="M340" i="95"/>
  <c r="M341" i="95"/>
  <c r="M345" i="95"/>
  <c r="M346" i="95"/>
  <c r="M347" i="95"/>
  <c r="M348" i="95"/>
  <c r="M349" i="95"/>
  <c r="M350" i="95"/>
  <c r="M351" i="95"/>
  <c r="M352" i="95"/>
  <c r="M353" i="95"/>
  <c r="M354" i="95"/>
  <c r="M355" i="95"/>
  <c r="M356" i="95"/>
  <c r="M370" i="95"/>
  <c r="M372" i="95"/>
  <c r="M373" i="95"/>
  <c r="M377" i="95"/>
  <c r="M378" i="95"/>
  <c r="M379" i="95"/>
  <c r="M380" i="95"/>
  <c r="M404" i="95"/>
  <c r="M405" i="95"/>
  <c r="M409" i="95"/>
  <c r="M410" i="95"/>
  <c r="M411" i="95"/>
  <c r="M412" i="95"/>
  <c r="M413" i="95"/>
  <c r="M414" i="95"/>
  <c r="M415" i="95"/>
  <c r="M416" i="95"/>
  <c r="M417" i="95"/>
  <c r="M418" i="95"/>
  <c r="M419" i="95"/>
  <c r="P5" i="8" a="1"/>
  <c r="P5" i="8" s="1"/>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23" i="74"/>
  <c r="O24" i="74"/>
  <c r="O25" i="74"/>
  <c r="O26" i="74"/>
  <c r="O13" i="74"/>
  <c r="O14" i="74"/>
  <c r="O15" i="74"/>
  <c r="O16" i="74"/>
  <c r="P16" i="74" s="1"/>
  <c r="O17" i="74"/>
  <c r="P17" i="74" s="1"/>
  <c r="O18" i="74"/>
  <c r="P18" i="74" s="1"/>
  <c r="O19" i="74"/>
  <c r="P19" i="74" s="1"/>
  <c r="O20" i="74"/>
  <c r="P20" i="74" s="1"/>
  <c r="O21" i="74"/>
  <c r="P21" i="74" s="1"/>
  <c r="O22" i="74"/>
  <c r="P22" i="74" s="1"/>
  <c r="O11" i="74"/>
  <c r="P11" i="74" s="1"/>
  <c r="O12" i="74"/>
  <c r="P12" i="74" s="1"/>
  <c r="O2" i="74"/>
  <c r="P2" i="74" s="1"/>
  <c r="O3" i="74"/>
  <c r="P3" i="74" s="1"/>
  <c r="O4" i="74"/>
  <c r="P4" i="74" s="1"/>
  <c r="O5" i="74"/>
  <c r="P5" i="74" s="1"/>
  <c r="O6" i="74"/>
  <c r="P6" i="74" s="1"/>
  <c r="O7" i="74"/>
  <c r="P7" i="74" s="1"/>
  <c r="O8" i="74"/>
  <c r="P8" i="74" s="1"/>
  <c r="O9" i="74"/>
  <c r="P9" i="74" s="1"/>
  <c r="O10" i="74"/>
  <c r="P10" i="74" s="1"/>
  <c r="P23" i="74"/>
  <c r="P24" i="74"/>
  <c r="P25" i="74"/>
  <c r="P26" i="74"/>
  <c r="P13" i="74"/>
  <c r="P14" i="74"/>
  <c r="P1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c r="L7" i="70" a="1"/>
  <c r="L7" i="70" s="1"/>
  <c r="L8" i="70" a="1"/>
  <c r="L8" i="70"/>
  <c r="L9" i="70" a="1"/>
  <c r="L9" i="70"/>
  <c r="L10" i="70" a="1"/>
  <c r="L10" i="70"/>
  <c r="L11" i="70" a="1"/>
  <c r="L11" i="70"/>
  <c r="L12" i="70" a="1"/>
  <c r="L12" i="70" s="1"/>
  <c r="L13" i="70" a="1"/>
  <c r="L13" i="70" s="1"/>
  <c r="L14" i="70" a="1"/>
  <c r="L14" i="70" s="1"/>
  <c r="L15" i="70" a="1"/>
  <c r="L15" i="70" s="1"/>
  <c r="L16" i="70" a="1"/>
  <c r="L16" i="70" s="1"/>
  <c r="L17" i="70" a="1"/>
  <c r="L17" i="70"/>
  <c r="L18" i="70" a="1"/>
  <c r="L18" i="70"/>
  <c r="L19" i="70" a="1"/>
  <c r="L19" i="70"/>
  <c r="L20" i="70" a="1"/>
  <c r="L20" i="70" s="1"/>
  <c r="L21" i="70" a="1"/>
  <c r="L21" i="70"/>
  <c r="L22" i="70" a="1"/>
  <c r="L22" i="70" s="1"/>
  <c r="L23" i="70" a="1"/>
  <c r="L23" i="70" s="1"/>
  <c r="L24" i="70" a="1"/>
  <c r="L24" i="70"/>
  <c r="L25" i="70" a="1"/>
  <c r="L25" i="70"/>
  <c r="L26" i="70" a="1"/>
  <c r="L26" i="70"/>
  <c r="L27" i="70" a="1"/>
  <c r="L27" i="70"/>
  <c r="L28" i="70" a="1"/>
  <c r="L28" i="70" s="1"/>
  <c r="M12" i="70" a="1"/>
  <c r="M12" i="70"/>
  <c r="M13" i="70" a="1"/>
  <c r="M13" i="70"/>
  <c r="M17" i="70" a="1"/>
  <c r="M17" i="70" s="1"/>
  <c r="R2" i="74"/>
  <c r="F2" i="74" s="1" a="1"/>
  <c r="F2" i="74" s="1"/>
  <c r="D47" i="8"/>
  <c r="D14" i="8"/>
  <c r="D13" i="8"/>
  <c r="D12" i="8"/>
  <c r="D11" i="8" a="1"/>
  <c r="D11" i="8" s="1"/>
  <c r="K2" i="70"/>
  <c r="I47" i="8"/>
  <c r="H47" i="8"/>
  <c r="G47" i="8"/>
  <c r="F47" i="8"/>
  <c r="E47" i="8"/>
  <c r="M5" i="70" s="1" a="1"/>
  <c r="M5" i="70" s="1"/>
  <c r="G1" i="8" a="1"/>
  <c r="K318" i="95" l="1"/>
  <c r="K222" i="95"/>
  <c r="K221" i="95"/>
  <c r="M28" i="70" a="1"/>
  <c r="M28" i="70" s="1"/>
  <c r="M20" i="70" a="1"/>
  <c r="M20" i="70" s="1"/>
  <c r="M6" i="70" a="1"/>
  <c r="M6" i="70" s="1"/>
  <c r="M19" i="70" a="1"/>
  <c r="M19" i="70" s="1"/>
  <c r="M18" i="70" a="1"/>
  <c r="M18" i="70" s="1"/>
  <c r="M16" i="70" a="1"/>
  <c r="M16" i="70" s="1"/>
  <c r="M15" i="70" a="1"/>
  <c r="M15" i="70" s="1"/>
  <c r="M14" i="70" a="1"/>
  <c r="M14" i="70" s="1"/>
  <c r="M10" i="70" a="1"/>
  <c r="M10" i="70" s="1"/>
  <c r="M23" i="70" a="1"/>
  <c r="M23" i="70" s="1"/>
  <c r="M7" i="70" a="1"/>
  <c r="M7" i="70" s="1"/>
  <c r="M27" i="70" a="1"/>
  <c r="M27" i="70" s="1"/>
  <c r="M26" i="70" a="1"/>
  <c r="M26" i="70" s="1"/>
  <c r="M25" i="70" a="1"/>
  <c r="M25" i="70" s="1"/>
  <c r="M24" i="70" a="1"/>
  <c r="M24" i="70" s="1"/>
  <c r="M22" i="70" a="1"/>
  <c r="M22" i="70" s="1"/>
  <c r="M8" i="70" a="1"/>
  <c r="M8" i="70" s="1"/>
  <c r="M11" i="70" a="1"/>
  <c r="M11" i="70" s="1"/>
  <c r="M9" i="70" a="1"/>
  <c r="M9" i="70" s="1"/>
  <c r="M21" i="70" a="1"/>
  <c r="M21" i="70" s="1"/>
  <c r="G2" i="100" a="1"/>
  <c r="G2" i="100" s="1"/>
  <c r="G1" i="8"/>
  <c r="L2" i="70" a="1"/>
  <c r="L2" i="70" s="1"/>
  <c r="M2" i="70" l="1" a="1"/>
  <c r="M2" i="70" s="1"/>
  <c r="N11" i="70" s="1"/>
  <c r="N10" i="70" l="1"/>
  <c r="N16" i="70"/>
  <c r="N7" i="70"/>
  <c r="N22" i="70"/>
  <c r="N14" i="70"/>
  <c r="N9" i="70"/>
  <c r="N18" i="70"/>
  <c r="N17" i="70"/>
  <c r="N19" i="70"/>
  <c r="N13" i="70"/>
  <c r="N12" i="70"/>
  <c r="N20" i="70"/>
  <c r="N5" i="70"/>
  <c r="N6" i="70"/>
  <c r="N28" i="70"/>
  <c r="N15" i="70"/>
  <c r="N25" i="70"/>
  <c r="N21" i="70"/>
  <c r="N26" i="70"/>
  <c r="N24" i="70"/>
  <c r="N23" i="70"/>
  <c r="N27" i="70"/>
  <c r="N8"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8"/>
  <c r="N2" i="78" s="1" a="1"/>
  <c r="N2"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5" i="78" l="1"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D11" i="21" s="1" a="1"/>
  <c r="I10" i="15"/>
  <c r="D13" i="21" a="1"/>
  <c r="D12"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<sst xmlns="http://schemas.openxmlformats.org/spreadsheetml/2006/main" count="1283" uniqueCount="751">
  <si>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</si>
  <si>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</si>
  <si>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</si>
  <si>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</si>
  <si>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</si>
  <si>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</si>
  <si>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</si>
  <si>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</si>
  <si>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</si>
  <si>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</si>
  <si>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</si>
  <si>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</si>
  <si>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</si>
  <si>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</si>
  <si>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</si>
  <si>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</si>
  <si>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</si>
  <si>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</si>
  <si>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</si>
  <si>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</si>
  <si>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</si>
  <si>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</si>
  <si>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</si>
  <si>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</si>
  <si>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</si>
  <si>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</si>
  <si>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</si>
  <si>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</si>
  <si>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</si>
  <si>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</si>
  <si>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</si>
  <si>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</si>
  <si>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</si>
  <si>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</si>
  <si>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</si>
  <si>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</si>
  <si>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</si>
  <si>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</si>
  <si>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</si>
  <si>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</si>
  <si>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</si>
  <si>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</si>
  <si>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</si>
  <si>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</si>
  <si>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</si>
  <si>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</si>
  <si>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</si>
  <si>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</si>
  <si>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</si>
  <si>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</si>
  <si>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</si>
  <si>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</si>
  <si>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</si>
  <si>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</si>
  <si>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</si>
  <si>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</si>
  <si>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</si>
  <si>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</si>
  <si>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</si>
  <si>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</si>
  <si>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</si>
  <si>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</si>
  <si>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</si>
  <si>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</si>
  <si>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</si>
  <si>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</si>
  <si>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</si>
  <si>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</si>
  <si>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</si>
  <si>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</si>
  <si>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</si>
  <si>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</si>
  <si>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</si>
  <si>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</si>
  <si>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</si>
  <si>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</si>
  <si>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</si>
  <si>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</si>
  <si>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</si>
  <si>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</si>
  <si>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</si>
  <si>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</si>
  <si>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</si>
  <si>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</si>
  <si>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</si>
  <si>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</si>
  <si>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</si>
  <si>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</si>
  <si>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</si>
  <si>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</si>
  <si>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</si>
  <si>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</si>
  <si>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</si>
  <si>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</si>
  <si>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</si>
  <si>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</si>
  <si>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</si>
  <si>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</si>
  <si>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</si>
  <si>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</si>
  <si>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</si>
  <si>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</si>
  <si>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</si>
  <si>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</si>
  <si>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</si>
  <si>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</si>
  <si>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</si>
  <si>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</si>
  <si>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</si>
  <si>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</si>
  <si>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</si>
  <si>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</si>
  <si>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</si>
  <si>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</si>
  <si>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</si>
  <si>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</si>
  <si>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</si>
  <si>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</si>
  <si>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</si>
  <si>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</si>
  <si>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</si>
  <si>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</si>
  <si>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</si>
  <si>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</si>
  <si>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</si>
  <si>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</si>
  <si>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</si>
  <si>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</si>
  <si>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</si>
  <si>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</si>
  <si>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</si>
  <si>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</si>
  <si>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</si>
  <si>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</si>
  <si>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</si>
  <si>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</si>
  <si>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</si>
  <si>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</si>
  <si>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</si>
  <si>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</si>
  <si>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</si>
  <si>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</si>
  <si>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</si>
  <si>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</si>
  <si>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</si>
  <si>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</si>
  <si>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</si>
  <si>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</si>
  <si>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</si>
  <si>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</si>
  <si>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</si>
  <si>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</si>
  <si>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</si>
  <si>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</si>
  <si>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</si>
  <si>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</si>
  <si>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</si>
  <si>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</si>
  <si>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</si>
  <si>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</si>
  <si>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</si>
  <si>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</si>
  <si>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</si>
  <si>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</si>
  <si>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</si>
  <si>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</si>
  <si>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</si>
  <si>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</si>
  <si>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</si>
  <si>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</si>
  <si>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</si>
  <si>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</si>
  <si>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</si>
  <si>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</si>
  <si>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</si>
  <si>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</si>
  <si>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</si>
  <si>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</si>
  <si>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</si>
  <si>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</si>
  <si>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</si>
  <si>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</si>
  <si>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</si>
  <si>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</si>
  <si>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</si>
  <si>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</si>
  <si>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</si>
  <si>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</si>
  <si>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</si>
  <si>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</si>
  <si>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</si>
  <si>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</si>
  <si>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</si>
  <si>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</si>
  <si>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</si>
  <si>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</si>
  <si>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</si>
  <si>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</si>
  <si>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</si>
  <si>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</si>
  <si>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</si>
  <si>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</si>
  <si>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</si>
  <si>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</si>
  <si>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</si>
  <si>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</si>
  <si>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</si>
  <si>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</si>
  <si>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</si>
  <si>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</si>
  <si>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</si>
  <si>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</si>
  <si>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</si>
  <si>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</si>
  <si>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</si>
  <si>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</si>
  <si>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</si>
  <si>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</si>
  <si>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</si>
  <si>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</si>
  <si>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</si>
  <si>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</si>
  <si>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</si>
  <si>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</si>
  <si>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</si>
  <si>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</si>
  <si>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</si>
  <si>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</si>
  <si>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</si>
  <si>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</si>
  <si>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</si>
  <si>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</si>
  <si>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</si>
  <si>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</si>
  <si>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</si>
  <si>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</si>
  <si>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</si>
  <si>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</si>
  <si>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</si>
  <si>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</si>
  <si>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</si>
  <si>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</si>
  <si>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</si>
  <si>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</si>
  <si>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</si>
  <si>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</si>
  <si>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</si>
  <si>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</si>
  <si>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</si>
  <si>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</si>
  <si>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</si>
  <si>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</si>
  <si>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</si>
  <si>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</si>
  <si>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</si>
  <si>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</si>
  <si>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</si>
  <si>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</si>
  <si>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</si>
  <si>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</si>
  <si>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</si>
  <si>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</si>
  <si>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</si>
  <si>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</si>
  <si>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</si>
  <si>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</si>
  <si>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</si>
  <si>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</si>
  <si>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</si>
  <si>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</si>
  <si>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</si>
  <si>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</si>
  <si>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</si>
  <si>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</si>
  <si>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</si>
  <si>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</si>
  <si>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</si>
  <si>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</si>
  <si>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</si>
  <si>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</si>
  <si>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</si>
  <si>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</si>
  <si>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</si>
  <si>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</si>
  <si>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</si>
  <si>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</si>
  <si>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</si>
  <si>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</si>
  <si>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</si>
  <si>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</si>
  <si>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</si>
  <si>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</si>
  <si>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</si>
  <si>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</si>
  <si>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</si>
  <si>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</si>
  <si>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</si>
  <si>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</si>
  <si>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</si>
  <si>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</si>
  <si>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</si>
  <si>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</si>
  <si>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</si>
  <si>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</si>
  <si>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</si>
  <si>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</si>
  <si>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</si>
  <si>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</si>
  <si>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</si>
  <si>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</si>
  <si>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</si>
  <si>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</si>
  <si>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</si>
  <si>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</si>
  <si>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</si>
  <si>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</si>
  <si>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</si>
  <si>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</si>
  <si>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</si>
  <si>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</si>
  <si>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</si>
  <si>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</si>
  <si>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</si>
  <si>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</si>
  <si>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</si>
  <si>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</si>
  <si>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</si>
  <si>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</si>
  <si>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</si>
  <si>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</si>
  <si>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</si>
  <si>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</si>
  <si>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</si>
  <si>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</si>
  <si>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</si>
  <si>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</si>
  <si>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</si>
  <si>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</si>
  <si>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</si>
  <si>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</si>
  <si>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</si>
  <si>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</si>
  <si>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</si>
  <si>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</si>
  <si>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</si>
  <si>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</si>
  <si>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</si>
  <si>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</si>
  <si>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</si>
  <si>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</si>
  <si>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</si>
  <si>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</si>
  <si>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</si>
  <si>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</si>
  <si>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</si>
  <si>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</si>
  <si>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</si>
  <si>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</si>
  <si>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</si>
  <si>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</si>
  <si>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</si>
  <si>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</si>
  <si>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</si>
  <si>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</si>
  <si>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</si>
  <si>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</si>
  <si>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</si>
  <si>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</si>
  <si>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</si>
  <si>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</si>
  <si>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</si>
  <si>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</si>
  <si>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</si>
  <si>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</si>
  <si>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</si>
  <si>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</si>
  <si>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</si>
  <si>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</si>
  <si>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</si>
  <si>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</si>
  <si>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</si>
  <si>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</si>
  <si>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</si>
  <si>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</si>
  <si>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</si>
  <si>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</si>
  <si>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</si>
  <si>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</si>
  <si>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</si>
  <si>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</si>
  <si>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</si>
  <si>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</si>
  <si>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</si>
  <si>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</si>
  <si>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</si>
  <si>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</si>
  <si>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</si>
  <si>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</si>
  <si>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</si>
  <si>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</si>
  <si>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</si>
  <si>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</si>
  <si>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</si>
  <si>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</si>
  <si>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</si>
  <si>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</si>
  <si>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</si>
  <si>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</si>
  <si>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</si>
  <si>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</si>
  <si>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</si>
  <si>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</si>
  <si>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</si>
  <si>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</si>
  <si>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</si>
  <si>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</si>
  <si>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</si>
  <si>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</si>
  <si>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</si>
  <si>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</si>
  <si>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</si>
  <si>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</si>
  <si>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</si>
  <si>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</si>
  <si>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</si>
  <si>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</si>
  <si>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</si>
  <si>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</si>
  <si>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</si>
  <si>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</si>
  <si>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</si>
  <si>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</si>
  <si>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</si>
  <si>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</si>
  <si>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</si>
  <si>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</si>
  <si>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</si>
  <si>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</si>
  <si>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</si>
  <si>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</si>
  <si>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</si>
  <si>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</si>
  <si>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</si>
  <si>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</si>
  <si>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</si>
  <si>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</si>
  <si>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</si>
  <si>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</si>
  <si>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</si>
  <si>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</si>
  <si>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</si>
  <si>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</si>
  <si>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</si>
  <si>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</si>
  <si>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</si>
  <si>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</si>
  <si>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</si>
  <si>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</si>
  <si>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</si>
  <si>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</si>
  <si>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</si>
  <si>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</si>
  <si>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</si>
  <si>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</si>
  <si>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</si>
  <si>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</si>
  <si>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</si>
  <si>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</si>
  <si>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</si>
  <si>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</si>
  <si>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</si>
  <si>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</si>
  <si>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</si>
  <si>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</si>
  <si>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</si>
  <si>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</si>
  <si>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</si>
  <si>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</si>
  <si>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</si>
  <si>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</si>
  <si>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</si>
  <si>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</si>
  <si>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</si>
  <si>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</si>
  <si>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</si>
  <si>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</si>
  <si>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</si>
  <si>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</si>
  <si>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</si>
  <si>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</si>
  <si>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</si>
  <si>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</si>
  <si>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</si>
  <si>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</si>
  <si>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</si>
  <si>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</si>
  <si>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</si>
  <si>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</si>
  <si>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</si>
  <si>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</si>
  <si>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</si>
  <si>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</si>
  <si>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</si>
  <si>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</si>
  <si>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</si>
  <si>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</si>
  <si>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</si>
  <si>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</si>
  <si>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</si>
  <si>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</si>
  <si>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</si>
  <si>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</si>
  <si>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</si>
  <si>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</si>
  <si>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</si>
  <si>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</si>
  <si>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</si>
  <si>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</si>
  <si>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</si>
  <si>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</si>
  <si>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</si>
  <si>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</si>
  <si>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</si>
  <si>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</si>
  <si>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</si>
  <si>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</si>
  <si>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</si>
  <si>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</si>
  <si>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</si>
  <si>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</si>
  <si>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</si>
  <si>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</si>
  <si>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</si>
  <si>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</si>
  <si>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</si>
  <si>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</si>
  <si>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</si>
  <si>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</si>
  <si>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</si>
  <si>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</si>
  <si>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</si>
  <si>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</si>
  <si>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</si>
  <si>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</si>
  <si>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</si>
  <si>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</si>
  <si>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</si>
  <si>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</si>
  <si>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</si>
  <si>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</si>
  <si>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</si>
  <si>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</si>
  <si>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</si>
  <si>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</si>
  <si>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</si>
  <si>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</si>
  <si>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</si>
  <si>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</si>
  <si>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</si>
  <si>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</si>
  <si>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</si>
  <si>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</si>
  <si>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</si>
  <si>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</si>
  <si>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</si>
  <si>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</si>
  <si>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</si>
  <si>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</si>
  <si>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</si>
  <si>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</si>
  <si>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</si>
  <si>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</si>
  <si>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</si>
  <si>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</si>
  <si>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</si>
  <si>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</si>
  <si>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</si>
  <si>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</si>
  <si>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</si>
  <si>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</si>
  <si>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</si>
  <si>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</si>
  <si>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</si>
  <si>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</si>
  <si>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</si>
  <si>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</si>
  <si>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</si>
  <si>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</si>
  <si>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</si>
  <si>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</si>
  <si>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</si>
  <si>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</si>
  <si>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</si>
  <si>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</si>
  <si>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</si>
  <si>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</si>
  <si>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</si>
  <si>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</si>
  <si>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</si>
  <si>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</si>
  <si>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</si>
  <si>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</si>
  <si>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</si>
  <si>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</si>
  <si>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</si>
  <si>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</si>
  <si>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</si>
  <si>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</si>
  <si>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</si>
  <si>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</si>
  <si>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</si>
  <si>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</si>
  <si>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</si>
  <si>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</si>
  <si>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</si>
  <si>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</si>
  <si>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</si>
  <si>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</si>
  <si>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</si>
  <si>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</si>
  <si>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</si>
  <si>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</si>
  <si>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</si>
  <si>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</si>
  <si>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</si>
  <si>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</si>
  <si>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</si>
  <si>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</si>
  <si>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</si>
  <si>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</si>
  <si>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</si>
  <si>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</si>
  <si>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</si>
  <si>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</si>
  <si>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</si>
  <si>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</si>
  <si>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</si>
  <si>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</si>
  <si>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</si>
  <si>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</si>
  <si>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</si>
  <si>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</si>
  <si>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</si>
  <si>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</si>
  <si>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</si>
  <si>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</si>
  <si>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</si>
  <si>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</si>
  <si>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</si>
  <si>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</si>
  <si>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</si>
  <si>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</si>
  <si>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</si>
  <si>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</si>
  <si>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</si>
  <si>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</si>
  <si>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</si>
  <si>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</si>
  <si>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</si>
  <si>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</si>
  <si>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</si>
  <si>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</si>
  <si>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</si>
  <si>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</si>
  <si>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</si>
  <si>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</si>
  <si>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</si>
  <si>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</si>
  <si>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</si>
  <si>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</si>
  <si>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</si>
  <si>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</si>
  <si>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</si>
  <si>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</si>
  <si>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</si>
  <si>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</si>
  <si>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</si>
  <si>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</si>
  <si>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</si>
  <si>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</si>
  <si>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</si>
  <si>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</si>
  <si>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</si>
  <si>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</si>
  <si>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</si>
  <si>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</si>
  <si>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</si>
  <si>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</si>
  <si>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</si>
  <si>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</si>
  <si>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</si>
  <si>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</si>
  <si>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</si>
  <si>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</si>
  <si>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</si>
  <si>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</si>
  <si>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</si>
  <si>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</si>
  <si>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</si>
  <si>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</si>
  <si>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</si>
  <si>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</si>
  <si>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</si>
  <si>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</si>
  <si>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</si>
  <si>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</si>
  <si>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</si>
  <si>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</si>
  <si>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</si>
  <si>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</si>
  <si>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</si>
  <si>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</si>
  <si>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</si>
  <si>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</si>
  <si>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</si>
  <si>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</si>
  <si>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</si>
  <si>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</si>
  <si>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</si>
  <si>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</si>
  <si>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</si>
  <si>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</si>
  <si>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</si>
  <si>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</si>
  <si>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</si>
  <si>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</si>
  <si>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</si>
  <si>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</si>
  <si>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</si>
  <si>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</si>
  <si>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</si>
  <si>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</si>
  <si>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</si>
  <si>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</si>
  <si>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</si>
  <si>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</si>
  <si>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</si>
  <si>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</si>
  <si>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</si>
  <si>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</si>
  <si>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</si>
  <si>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</si>
  <si>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</si>
  <si>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</si>
  <si>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</si>
  <si>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</si>
  <si>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</si>
  <si>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</si>
  <si>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</si>
  <si>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</si>
  <si>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Ver. 03.03.26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</si>
</sst>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29"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3" fillId="18" borderId="0" xfId="0" applyFont="1" applyFill="1"/>
    <xf numFmtId="0" fontId="128" fillId="2" borderId="0" xfId="0" applyFont="1" applyFill="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5">
    <dxf>
      <numFmt numFmtId="19" formatCode="m/d/yyyy"/>
    </dxf>
    <dxf>
      <numFmt numFmtId="19" formatCode="m/d/yyyy"/>
    </dxf>
    <dxf>
      <numFmt numFmtId="2" formatCode="0.00"/>
    </dxf>
    <dxf>
      <numFmt numFmtId="184"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9" dataDxfId="208">
  <autoFilter ref="A4:N28" xr:uid="{2F912760-816C-4002-B982-1183C623C4D4}"/>
  <tableColumns count="14">
    <tableColumn id="1" xr3:uid="{4CB1C976-73DA-4579-B7F8-9D891581EA5A}" uniqueName="1" name="asset_id" queryTableFieldId="1" dataDxfId="207"/>
    <tableColumn id="2" xr3:uid="{D07D770F-21F7-425E-8CCA-AA85FFD513A3}" uniqueName="2" name="serial_number" queryTableFieldId="2" dataDxfId="206"/>
    <tableColumn id="3" xr3:uid="{D963BD5C-EE98-4CDD-ABAE-5315BBDA1135}" uniqueName="3" name="asset_tag" queryTableFieldId="3" dataDxfId="205"/>
    <tableColumn id="4" xr3:uid="{44F03B5B-6C09-4D5C-B2E2-D809B4EDF2B0}" uniqueName="4" name="custom_order_number" queryTableFieldId="4" dataDxfId="204"/>
    <tableColumn id="5" xr3:uid="{412A70E1-7452-417E-A3A9-BD3499EBD33C}" uniqueName="5" name="service_date" queryTableFieldId="5" dataDxfId="4"/>
    <tableColumn id="7" xr3:uid="{297A4F29-F6E9-4BD3-A7A2-5F1039480BAE}" uniqueName="7" name="certificate_number" queryTableFieldId="7" dataDxfId="203"/>
    <tableColumn id="6" xr3:uid="{7231074C-78F5-4F41-8E96-7068B6555E6F}" uniqueName="6" name="traceability_number" queryTableFieldId="61" dataDxfId="202"/>
    <tableColumn id="8" xr3:uid="{7C740CB9-37DA-435E-A87E-AF050E31623C}" uniqueName="8" name="wire_roll_cert_number" queryTableFieldId="8" dataDxfId="201"/>
    <tableColumn id="10" xr3:uid="{D46DFD3D-4FFF-4C46-B438-38B7E2ADB9AB}" uniqueName="10" name="Daqbook Compatibility" queryTableFieldId="81" dataDxfId="200">
      <calculatedColumnFormula>_xlfn.XLOOKUP(WireSets[[#This Row],[type]],Table6[TC Type],Table6[Daqbook Type],NA())</calculatedColumnFormula>
    </tableColumn>
    <tableColumn id="9" xr3:uid="{5B17E9FC-0D68-4EA9-9145-B5DC8FAF5A93}" uniqueName="9" name="type" queryTableFieldId="9" dataDxfId="199"/>
    <tableColumn id="11" xr3:uid="{2D3288D5-A49B-43E9-9125-CE335E115BBC}" uniqueName="11" name="daqbook_ok" queryTableFieldId="82" dataDxfId="198">
      <calculatedColumnFormula>IF(ISNA($K$2), TRUE, $K$2=WireSets[[#This Row],[Daqbook Compatibility]])</calculatedColumnFormula>
    </tableColumn>
    <tableColumn id="19" xr3:uid="{D7BFED31-BD3B-42D0-93A4-626A2F893B49}" uniqueName="19" name="sn_ok" queryTableFieldId="79" dataDxfId="197">
      <calculatedColumnFormula array="1">OR(WireSets[[#This Row],[serial_number]]=WireSetSNs)</calculatedColumnFormula>
    </tableColumn>
    <tableColumn id="20" xr3:uid="{705A1FB0-77C3-4452-9B89-35050DBC2A13}" uniqueName="20" name="type_ok" queryTableFieldId="80" dataDxfId="196">
      <calculatedColumnFormula array="1">OR(WireSets[[#This Row],[type]]=types)</calculatedColumnFormula>
    </tableColumn>
    <tableColumn id="18" xr3:uid="{18FA8DFB-3DBF-4BA4-B0A1-320CC710CE67}" uniqueName="18" name="FILTER" queryTableFieldId="78" dataDxfId="195">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194"/>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26" tableType="queryTable" totalsRowShown="0">
  <autoFilter ref="K1:P26" xr:uid="{BE31C0C9-5FD4-4A84-8E69-97A9DB721FB3}"/>
  <sortState xmlns:xlrd2="http://schemas.microsoft.com/office/spreadsheetml/2017/richdata2" ref="K2:P26">
    <sortCondition descending="1" ref="O2:O26"/>
    <sortCondition ref="P2:P26"/>
  </sortState>
  <tableColumns count="6">
    <tableColumn id="1" xr3:uid="{2E118E7B-6ADF-4D6B-9CBF-FBA2A2BF3A37}" uniqueName="1" name="traceability_no" queryTableFieldId="1" dataDxfId="193"/>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92"/>
    <tableColumn id="6" xr3:uid="{5062893C-BBB1-47DF-8675-99516DA753A8}" uniqueName="6" name="sort1" queryTableFieldId="6" dataDxfId="191">
      <calculatedColumnFormula>IFERROR(LEFT(AllWireRollCerts[[#This Row],[traceability_no]],6),"")</calculatedColumnFormula>
    </tableColumn>
    <tableColumn id="7" xr3:uid="{2A19E68F-29D7-404E-820F-E990CEF43BD1}" uniqueName="7" name="sort2" queryTableFieldId="7" dataDxfId="190">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9">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8">
      <calculatedColumnFormula>IF(Main!O3="","",Main!N3)</calculatedColumnFormula>
    </tableColumn>
    <tableColumn id="3" xr3:uid="{FCE5D856-7234-4CCA-97EE-22B74741E437}" name="Alert" dataDxfId="187">
      <calculatedColumnFormula array="1">_xlfn.TEXTJOIN("; ", TRUE, IF(Alerts[[#This Row],[Dropped]],"DROPPED",""),
    IF(Alerts[[#This Row],[High]:[Out Of Tolerance]] &lt;&gt; "",
        Alerts[[#Headers],[High]:[Out Of Tolerance]],
        "")
)</calculatedColumnFormula>
    </tableColumn>
    <tableColumn id="4" xr3:uid="{8AD94D64-1483-4168-80EC-0F5FF5FBFB54}" name="Temp" dataDxfId="186">
      <calculatedColumnFormula array="1">_xlfn.XLOOKUP(1,
  (Survey[TestPoint]=Alerts[[#This Row],[TestPoint]])*(Survey[Time]=--Alerts[[#This Row],[Time]]),
  Survey[RawTemp],
  "")</calculatedColumnFormula>
    </tableColumn>
    <tableColumn id="5" xr3:uid="{7F528BD7-7CA6-42E2-8288-BF3DEA461539}" name="Time" dataDxfId="185">
      <calculatedColumnFormula>IFERROR(IF(OR(Alerts[[#This Row],[High]],Alerts[[#This Row],[Low]]),VALUE(Alerts[[#This Row],[High]]&amp;Alerts[[#This Row],[Low]]),Alerts[[#This Row],[Out Of Tolerance]]),"")</calculatedColumnFormula>
    </tableColumn>
    <tableColumn id="6" xr3:uid="{C6C3F45B-0C03-4E9C-9412-DBABE4DA80B3}" name="Dropped" dataDxfId="184">
      <calculatedColumnFormula>IF(
  Main!O5 = "",
  FALSE,
  COUNTIF(Survey[TestPoint], Alerts[[#This Row],[TestPoint]]) = 0
)</calculatedColumnFormula>
    </tableColumn>
    <tableColumn id="8" xr3:uid="{96F3D492-9D35-4D95-988A-C7309D2CB11D}" name="High" dataDxfId="183">
      <calculatedColumnFormula array="1">_xlfn.XLOOKUP(1,
  (Survey[TestPoint]=Alerts[[#This Row],[TestPoint]])*Survey[High],
  Survey[Time],
  "")</calculatedColumnFormula>
    </tableColumn>
    <tableColumn id="9" xr3:uid="{FA598A09-68F3-4996-908B-720C01A5CB36}" name="Low" dataDxfId="182">
      <calculatedColumnFormula array="1">_xlfn.XLOOKUP(1,
  (Survey[TestPoint]=Alerts[[#This Row],[TestPoint]])*Survey[Low],
  Survey[Time],
  "")</calculatedColumnFormula>
    </tableColumn>
    <tableColumn id="10" xr3:uid="{8BF38346-ED30-41C4-A7C5-C5AD74EDAE4E}" name="Out Of Tolerance" dataDxfId="181">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0"/>
    <tableColumn id="2" xr3:uid="{80F1DE28-79AD-483F-A7F0-673E715EECBE}" uniqueName="2" name="reading" queryTableFieldId="2" dataDxfId="179"/>
    <tableColumn id="1" xr3:uid="{B4839395-B86E-4AA6-ADFB-57CDD2F7F61D}" uniqueName="1" name="point" queryTableFieldId="1"/>
    <tableColumn id="3" xr3:uid="{2724CA85-C781-4E38-A0DA-097BFEEFE8B1}" uniqueName="3" name="Temp" queryTableFieldId="3" dataDxfId="178"/>
    <tableColumn id="5" xr3:uid="{D8FBA668-C3CE-41DC-B112-B2663A4558F7}" uniqueName="5" name="Offset" queryTableFieldId="5" dataDxfId="177"/>
    <tableColumn id="4" xr3:uid="{3984E3BA-ECF9-4974-BA1B-4E1212BB2A83}" uniqueName="4" name="AssetTag" queryTableFieldId="8" dataDxfId="176">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5" headerRowBorderDxfId="174">
  <autoFilter ref="M1:T41" xr:uid="{26B6A9B0-C535-497C-80B0-B1E532DC9DFD}"/>
  <tableColumns count="8">
    <tableColumn id="2" xr3:uid="{AA763339-65AF-434D-A711-61DA35F163AD}" name="Point"/>
    <tableColumn id="3" xr3:uid="{3B356035-E587-4027-87A0-DE8E0B2FE7E1}" name="DaqbookInterp" dataDxfId="173">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2">
      <calculatedColumnFormula array="1">IF(DaqbookInterp[[#This Row],[Include]],QRound(N2),NA())</calculatedColumnFormula>
    </tableColumn>
    <tableColumn id="5" xr3:uid="{D54F6D03-3723-4E00-912E-150DF9F71E5B}" name="T/C Name" dataDxfId="171">
      <calculatedColumnFormula>IF(DaqbookInterp[[#This Row],[Include]],Main!O5, NA())</calculatedColumnFormula>
    </tableColumn>
    <tableColumn id="6" xr3:uid="{4A823077-65D9-48F8-825F-BAEBD9008EA4}" name="Include" dataDxfId="170">
      <calculatedColumnFormula>NOT(ISBLANK(Main!O5))</calculatedColumnFormula>
    </tableColumn>
    <tableColumn id="7" xr3:uid="{9B0EC045-52DF-4F3C-A037-09C5D494BF52}" name="WireSet" dataDxfId="169">
      <calculatedColumnFormula>LOOKUP(DaqbookInterp[[#This Row],[T/C Name]],_xlfn.ANCHORARRAY($Z$2))</calculatedColumnFormula>
    </tableColumn>
    <tableColumn id="8" xr3:uid="{FEFB3CF3-C3B5-4AEA-A75C-80F9610E9833}" name="Wire Lot #" dataDxfId="168">
      <calculatedColumnFormula>HLOOKUP(DaqbookInterp[[#This Row],[WireSet]],Main!$D$48:$I$55,8,0)</calculatedColumnFormula>
    </tableColumn>
    <tableColumn id="9" xr3:uid="{C4BC88F4-CA08-4EF4-9C53-A23F32164EA9}" name="TC CF" dataDxfId="167">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6"/>
    <tableColumn id="5" xr3:uid="{27363C9A-3D85-416E-8BCC-52B2C8D77A72}" uniqueName="5" name="Uncert Units" queryTableFieldId="5" dataDxfId="165"/>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4">
  <autoFilter ref="A3:C8" xr:uid="{5AC13131-9A1C-4C12-B4F9-A393708ED370}"/>
  <tableColumns count="3">
    <tableColumn id="1" xr3:uid="{97181276-3609-45C8-AD82-B2880A7AEDE4}" name="Min" dataDxfId="163"/>
    <tableColumn id="2" xr3:uid="{FCA9B2A8-03BC-4152-9483-74D5E30011E8}" name="Max" dataDxfId="162"/>
    <tableColumn id="3" xr3:uid="{53EFB432-094F-4AB8-B706-DACB84CFAD58}" name="CMC" dataDxfId="161"/>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4"/>
    <tableColumn id="2" xr3:uid="{18C84E6F-0395-44B7-82E8-3E3C3338D295}" name="TUS Tol" dataDxfId="213" totalsRowDxfId="212"/>
    <tableColumn id="5" xr3:uid="{DB50C328-B2A6-44C5-853C-318053CB9F8D}" name="SAT Multiplier" dataDxfId="211" totalsRowDxfId="210"/>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2" tableType="queryTable" totalsRowShown="0" headerRowDxfId="82" dataDxfId="81">
  <autoFilter ref="A1:O1702"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749</v>
      </c>
      <c r="J4"/>
      <c r="K4" s="37" t="s">
        <v>746</v>
      </c>
      <c r="L4" s="37" t="s">
        <v>741</v>
      </c>
      <c r="M4" s="37" t="s">
        <v>742</v>
      </c>
      <c r="N4" s="37" t="s">
        <v>738</v>
      </c>
      <c r="S4" t="s">
        <v>331</v>
      </c>
      <c r="T4" t="s">
        <v>331</v>
      </c>
    </row>
    <row r="5" spans="1:20" x14ac:dyDescent="0.2">
      <c r="A5"/>
      <c r="B5"/>
      <c r="C5"/>
      <c r="D5"/>
      <c r="E5" s="477"/>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_xlfn.XLOOKUP(WireSets[[#This Row],[type]],Table6[TC Type],Table6[Daqbook Type],NA())</f>
        <v>K</v>
      </c>
      <c r="J17" s="37"/>
      <c r="K17" s="37"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_xlfn.XLOOKUP(WireSets[[#This Row],[type]],Table6[TC Type],Table6[Daqbook Type],NA())</f>
        <v>K</v>
      </c>
      <c r="J18" s="37"/>
      <c r="K18" s="37"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2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440</v>
      </c>
      <c r="K1"/>
      <c r="L1"/>
      <c r="M1"/>
      <c r="N1"/>
      <c r="O1" s="37" t="s">
        <v>747</v>
      </c>
      <c r="P1" s="37" t="s">
        <v>748</v>
      </c>
      <c r="R1" s="475" t="s">
        <v>744</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081197</v>
      </c>
      <c r="P2" t="str">
        <f>IFERROR(SUBSTITUTE(AllWireRollCerts[[#This Row],[traceability_no]],AllWireRollCerts[[#This Row],[sort1]],""),"")</f>
        <v>C</v>
      </c>
      <c r="R2" t="e">
        <f>IF(DaqbookAssetTag&lt;&gt;"",LEFT(DaqbookAssetTag,1),NA())</f>
        <v>#N/A</v>
      </c>
    </row>
    <row r="3" spans="1:18" x14ac:dyDescent="0.2">
      <c r="A3"/>
      <c r="B3"/>
      <c r="C3"/>
      <c r="D3"/>
      <c r="H3" t="str">
        <v/>
      </c>
      <c r="K3"/>
      <c r="L3"/>
      <c r="M3"/>
      <c r="N3"/>
      <c r="O3" t="str">
        <f>IFERROR(LEFT(AllWireRollCerts[[#This Row],[traceability_no]],6),"")</f>
        <v>081197</v>
      </c>
      <c r="P3" t="str">
        <f>IFERROR(SUBSTITUTE(AllWireRollCerts[[#This Row],[traceability_no]],AllWireRollCerts[[#This Row],[sort1]],""),"")</f>
        <v>E</v>
      </c>
    </row>
    <row r="4" spans="1:18" x14ac:dyDescent="0.2">
      <c r="A4"/>
      <c r="B4"/>
      <c r="C4"/>
      <c r="D4"/>
      <c r="H4" t="str">
        <v/>
      </c>
      <c r="K4"/>
      <c r="L4"/>
      <c r="M4"/>
      <c r="N4"/>
      <c r="O4" t="str">
        <f>IFERROR(LEFT(AllWireRollCerts[[#This Row],[traceability_no]],6),"")</f>
        <v>081197</v>
      </c>
      <c r="P4" t="str">
        <f>IFERROR(SUBSTITUTE(AllWireRollCerts[[#This Row],[traceability_no]],AllWireRollCerts[[#This Row],[sort1]],""),"")</f>
        <v>F</v>
      </c>
    </row>
    <row r="5" spans="1:18" x14ac:dyDescent="0.2">
      <c r="A5"/>
      <c r="B5"/>
      <c r="C5"/>
      <c r="D5"/>
      <c r="H5" t="str">
        <v/>
      </c>
      <c r="K5"/>
      <c r="L5"/>
      <c r="M5"/>
      <c r="N5"/>
      <c r="O5" t="str">
        <f>IFERROR(LEFT(AllWireRollCerts[[#This Row],[traceability_no]],6),"")</f>
        <v>081197</v>
      </c>
      <c r="P5" t="str">
        <f>IFERROR(SUBSTITUTE(AllWireRollCerts[[#This Row],[traceability_no]],AllWireRollCerts[[#This Row],[sort1]],""),"")</f>
        <v>G</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I</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J</v>
      </c>
    </row>
    <row r="8" spans="1:18" x14ac:dyDescent="0.2">
      <c r="A8"/>
      <c r="B8"/>
      <c r="C8"/>
      <c r="D8"/>
      <c r="K8"/>
      <c r="L8"/>
      <c r="M8"/>
      <c r="N8"/>
      <c r="O8" t="str">
        <f>IFERROR(LEFT(AllWireRollCerts[[#This Row],[traceability_no]],6),"")</f>
        <v>081197</v>
      </c>
      <c r="P8" t="str">
        <f>IFERROR(SUBSTITUTE(AllWireRollCerts[[#This Row],[traceability_no]],AllWireRollCerts[[#This Row],[sort1]],""),"")</f>
        <v>K</v>
      </c>
    </row>
    <row r="9" spans="1:18" x14ac:dyDescent="0.2">
      <c r="A9"/>
      <c r="B9"/>
      <c r="C9"/>
      <c r="D9"/>
      <c r="K9"/>
      <c r="L9"/>
      <c r="M9"/>
      <c r="N9"/>
      <c r="O9" t="str">
        <f>IFERROR(LEFT(AllWireRollCerts[[#This Row],[traceability_no]],6),"")</f>
        <v>081197</v>
      </c>
      <c r="P9" t="str">
        <f>IFERROR(SUBSTITUTE(AllWireRollCerts[[#This Row],[traceability_no]],AllWireRollCerts[[#This Row],[sort1]],""),"")</f>
        <v>S</v>
      </c>
    </row>
    <row r="10" spans="1:18" x14ac:dyDescent="0.2">
      <c r="A10"/>
      <c r="B10"/>
      <c r="C10"/>
      <c r="D10"/>
      <c r="K10"/>
      <c r="L10"/>
      <c r="M10"/>
      <c r="N10"/>
      <c r="O10" t="str">
        <f>IFERROR(LEFT(AllWireRollCerts[[#This Row],[traceability_no]],6),"")</f>
        <v>081197</v>
      </c>
      <c r="P10" t="str">
        <f>IFERROR(SUBSTITUTE(AllWireRollCerts[[#This Row],[traceability_no]],AllWireRollCerts[[#This Row],[sort1]],""),"")</f>
        <v>T</v>
      </c>
    </row>
    <row r="11" spans="1:18" x14ac:dyDescent="0.2">
      <c r="A11"/>
      <c r="B11"/>
      <c r="C11"/>
      <c r="D11"/>
      <c r="K11"/>
      <c r="L11"/>
      <c r="M11"/>
      <c r="N11"/>
      <c r="O11" t="str">
        <f>IFERROR(LEFT(AllWireRollCerts[[#This Row],[traceability_no]],6),"")</f>
        <v>074618</v>
      </c>
      <c r="P11" t="str">
        <f>IFERROR(SUBSTITUTE(AllWireRollCerts[[#This Row],[traceability_no]],AllWireRollCerts[[#This Row],[sort1]],""),"")</f>
        <v>A</v>
      </c>
    </row>
    <row r="12" spans="1:18" x14ac:dyDescent="0.2">
      <c r="A12"/>
      <c r="B12"/>
      <c r="C12"/>
      <c r="D12"/>
      <c r="K12"/>
      <c r="L12"/>
      <c r="M12"/>
      <c r="N12"/>
      <c r="O12" t="str">
        <f>IFERROR(LEFT(AllWireRollCerts[[#This Row],[traceability_no]],6),"")</f>
        <v>074618</v>
      </c>
      <c r="P12" t="str">
        <f>IFERROR(SUBSTITUTE(AllWireRollCerts[[#This Row],[traceability_no]],AllWireRollCerts[[#This Row],[sort1]],""),"")</f>
        <v>B</v>
      </c>
    </row>
    <row r="13" spans="1:18" x14ac:dyDescent="0.2">
      <c r="A13"/>
      <c r="B13"/>
      <c r="C13"/>
      <c r="D13"/>
      <c r="K13"/>
      <c r="L13"/>
      <c r="M13"/>
      <c r="N13"/>
      <c r="O13" t="str">
        <f>IFERROR(LEFT(AllWireRollCerts[[#This Row],[traceability_no]],6),"")</f>
        <v>072513</v>
      </c>
      <c r="P13" t="str">
        <f>IFERROR(SUBSTITUTE(AllWireRollCerts[[#This Row],[traceability_no]],AllWireRollCerts[[#This Row],[sort1]],""),"")</f>
        <v>C</v>
      </c>
    </row>
    <row r="14" spans="1:18" x14ac:dyDescent="0.2">
      <c r="A14"/>
      <c r="B14"/>
      <c r="C14"/>
      <c r="D14"/>
      <c r="K14"/>
      <c r="L14"/>
      <c r="M14"/>
      <c r="N14"/>
      <c r="O14" t="str">
        <f>IFERROR(LEFT(AllWireRollCerts[[#This Row],[traceability_no]],6),"")</f>
        <v>072513</v>
      </c>
      <c r="P14" t="str">
        <f>IFERROR(SUBSTITUTE(AllWireRollCerts[[#This Row],[traceability_no]],AllWireRollCerts[[#This Row],[sort1]],""),"")</f>
        <v>E</v>
      </c>
    </row>
    <row r="15" spans="1:18" x14ac:dyDescent="0.2">
      <c r="A15"/>
      <c r="B15"/>
      <c r="C15"/>
      <c r="D15"/>
      <c r="K15"/>
      <c r="L15"/>
      <c r="M15"/>
      <c r="N15"/>
      <c r="O15" t="str">
        <f>IFERROR(LEFT(AllWireRollCerts[[#This Row],[traceability_no]],6),"")</f>
        <v>072513</v>
      </c>
      <c r="P15" t="str">
        <f>IFERROR(SUBSTITUTE(AllWireRollCerts[[#This Row],[traceability_no]],AllWireRollCerts[[#This Row],[sort1]],""),"")</f>
        <v>F</v>
      </c>
    </row>
    <row r="16" spans="1:18" x14ac:dyDescent="0.2">
      <c r="A16"/>
      <c r="B16"/>
      <c r="C16"/>
      <c r="D16"/>
      <c r="H16" s="37"/>
      <c r="K16"/>
      <c r="L16"/>
      <c r="M16"/>
      <c r="N16"/>
      <c r="O16" t="str">
        <f>IFERROR(LEFT(AllWireRollCerts[[#This Row],[traceability_no]],6),"")</f>
        <v>072513</v>
      </c>
      <c r="P16" t="str">
        <f>IFERROR(SUBSTITUTE(AllWireRollCerts[[#This Row],[traceability_no]],AllWireRollCerts[[#This Row],[sort1]],""),"")</f>
        <v>G</v>
      </c>
    </row>
    <row r="17" spans="1:16" x14ac:dyDescent="0.2">
      <c r="A17"/>
      <c r="B17"/>
      <c r="C17"/>
      <c r="D17"/>
      <c r="K17"/>
      <c r="L17"/>
      <c r="M17"/>
      <c r="N17"/>
      <c r="O17" t="str">
        <f>IFERROR(LEFT(AllWireRollCerts[[#This Row],[traceability_no]],6),"")</f>
        <v>072513</v>
      </c>
      <c r="P17" t="str">
        <f>IFERROR(SUBSTITUTE(AllWireRollCerts[[#This Row],[traceability_no]],AllWireRollCerts[[#This Row],[sort1]],""),"")</f>
        <v>H</v>
      </c>
    </row>
    <row r="18" spans="1:16" x14ac:dyDescent="0.2">
      <c r="A18"/>
      <c r="B18"/>
      <c r="C18"/>
      <c r="D18"/>
      <c r="K18"/>
      <c r="L18"/>
      <c r="M18"/>
      <c r="N18"/>
      <c r="O18" t="str">
        <f>IFERROR(LEFT(AllWireRollCerts[[#This Row],[traceability_no]],6),"")</f>
        <v>072513</v>
      </c>
      <c r="P18" t="str">
        <f>IFERROR(SUBSTITUTE(AllWireRollCerts[[#This Row],[traceability_no]],AllWireRollCerts[[#This Row],[sort1]],""),"")</f>
        <v>I</v>
      </c>
    </row>
    <row r="19" spans="1:16" x14ac:dyDescent="0.2">
      <c r="A19"/>
      <c r="B19"/>
      <c r="C19"/>
      <c r="D19"/>
      <c r="K19"/>
      <c r="L19"/>
      <c r="M19"/>
      <c r="N19"/>
      <c r="O19" t="str">
        <f>IFERROR(LEFT(AllWireRollCerts[[#This Row],[traceability_no]],6),"")</f>
        <v>072513</v>
      </c>
      <c r="P19" t="str">
        <f>IFERROR(SUBSTITUTE(AllWireRollCerts[[#This Row],[traceability_no]],AllWireRollCerts[[#This Row],[sort1]],""),"")</f>
        <v>K</v>
      </c>
    </row>
    <row r="20" spans="1:16" x14ac:dyDescent="0.2">
      <c r="A20"/>
      <c r="B20"/>
      <c r="C20"/>
      <c r="D20"/>
      <c r="K20"/>
      <c r="L20"/>
      <c r="M20"/>
      <c r="N20"/>
      <c r="O20" t="str">
        <f>IFERROR(LEFT(AllWireRollCerts[[#This Row],[traceability_no]],6),"")</f>
        <v>072513</v>
      </c>
      <c r="P20" t="str">
        <f>IFERROR(SUBSTITUTE(AllWireRollCerts[[#This Row],[traceability_no]],AllWireRollCerts[[#This Row],[sort1]],""),"")</f>
        <v>L</v>
      </c>
    </row>
    <row r="21" spans="1:16" x14ac:dyDescent="0.2">
      <c r="A21"/>
      <c r="B21"/>
      <c r="C21"/>
      <c r="D21"/>
      <c r="K21"/>
      <c r="L21"/>
      <c r="M21"/>
      <c r="N21"/>
      <c r="O21" t="str">
        <f>IFERROR(LEFT(AllWireRollCerts[[#This Row],[traceability_no]],6),"")</f>
        <v>072513</v>
      </c>
      <c r="P21" t="str">
        <f>IFERROR(SUBSTITUTE(AllWireRollCerts[[#This Row],[traceability_no]],AllWireRollCerts[[#This Row],[sort1]],""),"")</f>
        <v>M</v>
      </c>
    </row>
    <row r="22" spans="1:16" x14ac:dyDescent="0.2">
      <c r="A22"/>
      <c r="B22"/>
      <c r="C22"/>
      <c r="D22"/>
      <c r="K22"/>
      <c r="L22"/>
      <c r="M22"/>
      <c r="N22"/>
      <c r="O22" t="str">
        <f>IFERROR(LEFT(AllWireRollCerts[[#This Row],[traceability_no]],6),"")</f>
        <v>072513</v>
      </c>
      <c r="P22" t="str">
        <f>IFERROR(SUBSTITUTE(AllWireRollCerts[[#This Row],[traceability_no]],AllWireRollCerts[[#This Row],[sort1]],""),"")</f>
        <v>N</v>
      </c>
    </row>
    <row r="23" spans="1:16" x14ac:dyDescent="0.2">
      <c r="A23"/>
      <c r="B23"/>
      <c r="C23"/>
      <c r="D23"/>
      <c r="K23"/>
      <c r="L23"/>
      <c r="M23"/>
      <c r="N23"/>
      <c r="O23" t="str">
        <f>IFERROR(LEFT(AllWireRollCerts[[#This Row],[traceability_no]],6),"")</f>
        <v>065908</v>
      </c>
      <c r="P23" t="str">
        <f>IFERROR(SUBSTITUTE(AllWireRollCerts[[#This Row],[traceability_no]],AllWireRollCerts[[#This Row],[sort1]],""),"")</f>
        <v>I</v>
      </c>
    </row>
    <row r="24" spans="1:16" x14ac:dyDescent="0.2">
      <c r="A24"/>
      <c r="B24"/>
      <c r="C24"/>
      <c r="D24"/>
      <c r="K24"/>
      <c r="L24"/>
      <c r="M24"/>
      <c r="N24"/>
      <c r="O24" t="str">
        <f>IFERROR(LEFT(AllWireRollCerts[[#This Row],[traceability_no]],6),"")</f>
        <v>065908</v>
      </c>
      <c r="P24" t="str">
        <f>IFERROR(SUBSTITUTE(AllWireRollCerts[[#This Row],[traceability_no]],AllWireRollCerts[[#This Row],[sort1]],""),"")</f>
        <v>M</v>
      </c>
    </row>
    <row r="25" spans="1:16" x14ac:dyDescent="0.2">
      <c r="A25"/>
      <c r="B25"/>
      <c r="C25"/>
      <c r="D25"/>
      <c r="K25"/>
      <c r="L25"/>
      <c r="M25"/>
      <c r="N25"/>
      <c r="O25" t="str">
        <f>IFERROR(LEFT(AllWireRollCerts[[#This Row],[traceability_no]],6),"")</f>
        <v>065908</v>
      </c>
      <c r="P25" t="str">
        <f>IFERROR(SUBSTITUTE(AllWireRollCerts[[#This Row],[traceability_no]],AllWireRollCerts[[#This Row],[sort1]],""),"")</f>
        <v>N</v>
      </c>
    </row>
    <row r="26" spans="1:16" x14ac:dyDescent="0.2">
      <c r="A26"/>
      <c r="B26"/>
      <c r="C26"/>
      <c r="D26"/>
      <c r="K26"/>
      <c r="L26"/>
      <c r="M26"/>
      <c r="N26"/>
      <c r="O26" t="str">
        <f>IFERROR(LEFT(AllWireRollCerts[[#This Row],[traceability_no]],6),"")</f>
        <v>065908</v>
      </c>
      <c r="P26" t="str">
        <f>IFERROR(SUBSTITUTE(AllWireRollCerts[[#This Row],[traceability_no]],AllWireRollCerts[[#This Row],[sort1]],""),"")</f>
        <v>O</v>
      </c>
    </row>
    <row r="27" spans="1:16" x14ac:dyDescent="0.2">
      <c r="A27"/>
      <c r="B27"/>
      <c r="C27"/>
      <c r="D27"/>
    </row>
    <row r="28" spans="1:16" x14ac:dyDescent="0.2">
      <c r="A28"/>
      <c r="B28"/>
      <c r="C28"/>
      <c r="D28"/>
    </row>
    <row r="29" spans="1:16" x14ac:dyDescent="0.2">
      <c r="A29"/>
      <c r="B29"/>
      <c r="C29"/>
      <c r="D29"/>
    </row>
    <row r="30" spans="1:16" x14ac:dyDescent="0.2">
      <c r="A30"/>
      <c r="B30"/>
      <c r="C30"/>
      <c r="D30"/>
    </row>
    <row r="31" spans="1:16" x14ac:dyDescent="0.2">
      <c r="A31"/>
      <c r="B31"/>
      <c r="C31"/>
      <c r="D31"/>
    </row>
    <row r="32" spans="1:16"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7" t="s">
        <v>390</v>
      </c>
      <c r="K1" s="548"/>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480"/>
      <c r="AC1" s="480"/>
      <c r="AD1" s="480"/>
      <c r="AE1" s="480"/>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ismSS3b8fKoMG+s5ztyVEfgI5vNmJl0y5SSGtjXhkUDzfu9NDRlj64/e/Oyqj7TZESX1eRdVx6gTsV9F5wlv8w==" saltValue="QyPk4lNTdOhoq0thWJLzw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c r="B2"/>
      <c r="C2"/>
      <c r="D2" s="37"/>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7"/>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750</v>
      </c>
      <c r="B1" s="318"/>
      <c r="C1" s="512" t="s">
        <v>49</v>
      </c>
      <c r="D1" s="513"/>
      <c r="E1" s="513"/>
      <c r="F1" s="513"/>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4" t="s">
        <v>99</v>
      </c>
      <c r="K3" s="515"/>
      <c r="L3" s="516"/>
      <c r="M3" s="301"/>
      <c r="N3" s="530" t="s">
        <v>88</v>
      </c>
      <c r="O3" s="530"/>
      <c r="P3" s="530"/>
      <c r="Q3" s="530"/>
      <c r="R3" s="530"/>
      <c r="S3" s="530"/>
    </row>
    <row r="4" spans="1:19" s="278" customFormat="1" x14ac:dyDescent="0.2">
      <c r="A4" s="319"/>
      <c r="B4" s="141"/>
      <c r="C4" s="142" t="s">
        <v>188</v>
      </c>
      <c r="D4" s="285" t="str">
        <f>IF(Condition="","",Condition)</f>
        <v/>
      </c>
      <c r="E4" s="301"/>
      <c r="F4" s="301"/>
      <c r="G4" s="301"/>
      <c r="H4" s="301"/>
      <c r="I4" s="301"/>
      <c r="J4" s="519" t="s">
        <v>1</v>
      </c>
      <c r="K4" s="520"/>
      <c r="L4" s="143">
        <f>MAX(Survey[Deviations])</f>
        <v>0</v>
      </c>
      <c r="M4" s="301"/>
      <c r="N4" s="144" t="s">
        <v>87</v>
      </c>
      <c r="O4" s="145" t="s">
        <v>86</v>
      </c>
      <c r="P4" s="517" t="s">
        <v>97</v>
      </c>
      <c r="Q4" s="518"/>
      <c r="R4" s="144" t="s">
        <v>129</v>
      </c>
      <c r="S4" s="144" t="s">
        <v>133</v>
      </c>
    </row>
    <row r="5" spans="1:19" s="278" customFormat="1" x14ac:dyDescent="0.2">
      <c r="A5" s="319"/>
      <c r="B5" s="141"/>
      <c r="C5" s="142" t="s">
        <v>41</v>
      </c>
      <c r="D5" s="534" t="e">
        <f>companyName</f>
        <v>#N/A</v>
      </c>
      <c r="E5" s="535"/>
      <c r="F5" s="535"/>
      <c r="G5" s="535"/>
      <c r="H5" s="536"/>
      <c r="I5" s="286"/>
      <c r="J5" s="519" t="s">
        <v>2</v>
      </c>
      <c r="K5" s="520"/>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31" t="e">
        <f>VLOOKUP("assetName",WorkItemDetails[],2,FALSE)</f>
        <v>#N/A</v>
      </c>
      <c r="E6" s="532"/>
      <c r="F6" s="532"/>
      <c r="G6" s="532"/>
      <c r="H6" s="533"/>
      <c r="J6" s="519" t="s">
        <v>98</v>
      </c>
      <c r="K6" s="520"/>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8" t="str">
        <f>IFERROR(VLOOKUP("PoNumber",WorkItemDetails[],2,FALSE),"")</f>
        <v/>
      </c>
      <c r="L13" s="529"/>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7"/>
      <c r="L14" s="538"/>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3"/>
      <c r="L15" s="524"/>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5" t="s">
        <v>151</v>
      </c>
      <c r="K16" s="486"/>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5" t="s">
        <v>152</v>
      </c>
      <c r="K17" s="486"/>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9" t="s">
        <v>19</v>
      </c>
      <c r="H18" s="540"/>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21" t="str">
        <f>IF(K15="Salt",0, IF(OR(K15="Hot",K15="SIM Load Hot"),IF(OR(D26="",D28=""),"N/A",IF(ISBLANK(D26),"N/A",D28-D26)),"N/A"))</f>
        <v>N/A</v>
      </c>
      <c r="H19" s="522"/>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5" t="s">
        <v>441</v>
      </c>
      <c r="C20" s="526"/>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2" t="s">
        <v>301</v>
      </c>
      <c r="H23" s="503"/>
      <c r="I23" s="503"/>
      <c r="J23" s="503"/>
      <c r="K23" s="504"/>
      <c r="L23" s="302"/>
      <c r="M23" s="301"/>
      <c r="N23" s="405">
        <v>19</v>
      </c>
      <c r="O23" s="146"/>
      <c r="P23" s="458" t="str">
        <v/>
      </c>
      <c r="Q23" s="459"/>
      <c r="R23" s="457" t="e">
        <v>#VALUE!</v>
      </c>
      <c r="S23" s="147" t="str">
        <v/>
      </c>
      <c r="T23" s="431"/>
      <c r="U23" s="286" t="s">
        <v>419</v>
      </c>
      <c r="V23" s="286">
        <f>V20+V21</f>
        <v>40</v>
      </c>
    </row>
    <row r="24" spans="2:22" s="278" customFormat="1" x14ac:dyDescent="0.2">
      <c r="B24" s="525" t="s">
        <v>328</v>
      </c>
      <c r="C24" s="527"/>
      <c r="D24" s="282">
        <v>1</v>
      </c>
      <c r="E24" s="301"/>
      <c r="F24" s="160" t="s">
        <v>95</v>
      </c>
      <c r="G24" s="505"/>
      <c r="H24" s="506"/>
      <c r="I24" s="506"/>
      <c r="J24" s="506"/>
      <c r="K24" s="507"/>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5"/>
      <c r="H25" s="506"/>
      <c r="I25" s="506"/>
      <c r="J25" s="506"/>
      <c r="K25" s="507"/>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500" t="str">
        <f>IF(ISBLANK(D6),"",IF(CheckRec="x","CHECK INSTRUMENT CAL DATES!!!!             CHECK INSTRUMENT CAL DATES!!!!",""))</f>
        <v/>
      </c>
      <c r="I27" s="501"/>
      <c r="J27" s="501"/>
      <c r="K27" s="501"/>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500"/>
      <c r="I28" s="501"/>
      <c r="J28" s="501"/>
      <c r="K28" s="501"/>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4" t="s">
        <v>48</v>
      </c>
      <c r="C34" s="515"/>
      <c r="D34" s="515"/>
      <c r="E34" s="515"/>
      <c r="F34" s="515"/>
      <c r="G34" s="515"/>
      <c r="H34" s="515"/>
      <c r="I34" s="515"/>
      <c r="J34" s="515"/>
      <c r="K34" s="515"/>
      <c r="L34" s="516"/>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2" t="s">
        <v>33</v>
      </c>
      <c r="E46" s="483"/>
      <c r="F46" s="483"/>
      <c r="G46" s="483"/>
      <c r="H46" s="483"/>
      <c r="I46" s="484"/>
      <c r="J46" s="345"/>
      <c r="K46" s="345"/>
      <c r="L46" s="345"/>
      <c r="M46" s="508" t="s">
        <v>259</v>
      </c>
      <c r="N46" s="509"/>
      <c r="O46" s="510"/>
      <c r="P46" s="511"/>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481">
        <v>1</v>
      </c>
      <c r="L47" s="301"/>
      <c r="M47" s="240" t="s">
        <v>260</v>
      </c>
      <c r="N47" s="299" t="s">
        <v>261</v>
      </c>
      <c r="O47" s="346"/>
      <c r="P47" s="489" t="s">
        <v>262</v>
      </c>
      <c r="Q47" s="489"/>
      <c r="R47" s="385" t="s">
        <v>263</v>
      </c>
      <c r="T47" s="305"/>
      <c r="U47" s="305"/>
    </row>
    <row r="48" spans="1:24" x14ac:dyDescent="0.2">
      <c r="A48" s="319"/>
      <c r="B48" s="343"/>
      <c r="C48" s="383" t="s">
        <v>34</v>
      </c>
      <c r="D48" s="288"/>
      <c r="E48" s="288"/>
      <c r="F48" s="288"/>
      <c r="G48" s="288"/>
      <c r="H48" s="288"/>
      <c r="I48" s="288"/>
      <c r="J48" s="345"/>
      <c r="K48" s="345"/>
      <c r="L48" s="345"/>
      <c r="M48" s="490" t="s">
        <v>264</v>
      </c>
      <c r="N48" s="490"/>
      <c r="O48" s="347"/>
      <c r="P48" s="491" t="s">
        <v>309</v>
      </c>
      <c r="Q48" s="492"/>
      <c r="R48" s="493"/>
      <c r="S48" s="468" t="b">
        <f>_xlfn.REGEXTEST(TRIM(Class),"^[0-9][AC]",1)</f>
        <v>0</v>
      </c>
      <c r="T48" s="306"/>
      <c r="U48" s="491" t="s">
        <v>312</v>
      </c>
      <c r="V48" s="492"/>
      <c r="W48" s="493"/>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4" t="s">
        <v>314</v>
      </c>
      <c r="Q49" s="495"/>
      <c r="R49" s="496"/>
      <c r="S49" s="386" t="str">
        <f>IF($S$48, IF(MAX(Survey[RawTemp])&lt;=HalfTolMax,"Yes","No"), "N/A")</f>
        <v>N/A</v>
      </c>
      <c r="T49" s="307"/>
      <c r="U49" s="494" t="s">
        <v>313</v>
      </c>
      <c r="V49" s="495"/>
      <c r="W49" s="496"/>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7" t="s">
        <v>267</v>
      </c>
      <c r="Q50" s="498"/>
      <c r="R50" s="499"/>
      <c r="S50" s="348"/>
      <c r="T50" s="308"/>
      <c r="U50" s="497" t="s">
        <v>267</v>
      </c>
      <c r="V50" s="498"/>
      <c r="W50" s="499"/>
      <c r="X50" s="305"/>
    </row>
    <row r="51" spans="3:24" x14ac:dyDescent="0.2">
      <c r="C51" s="382" t="s">
        <v>54</v>
      </c>
      <c r="D51" s="288"/>
      <c r="E51" s="288"/>
      <c r="F51" s="288"/>
      <c r="G51" s="288"/>
      <c r="H51" s="288"/>
      <c r="I51" s="288"/>
      <c r="J51" s="345"/>
      <c r="K51" s="349"/>
      <c r="L51" s="345"/>
      <c r="M51" s="369" t="s">
        <v>268</v>
      </c>
      <c r="N51" s="298" t="str">
        <f>IF(Derivative="","",Derivative)</f>
        <v/>
      </c>
      <c r="O51" s="301"/>
      <c r="P51" s="494" t="s">
        <v>310</v>
      </c>
      <c r="Q51" s="495"/>
      <c r="R51" s="496"/>
      <c r="S51" s="386"/>
      <c r="T51" s="309"/>
      <c r="U51" s="494" t="s">
        <v>315</v>
      </c>
      <c r="V51" s="495"/>
      <c r="W51" s="496"/>
      <c r="X51" s="386"/>
    </row>
    <row r="52" spans="3:24" x14ac:dyDescent="0.2">
      <c r="C52" s="382" t="s">
        <v>274</v>
      </c>
      <c r="D52" s="288"/>
      <c r="E52" s="288"/>
      <c r="F52" s="288"/>
      <c r="G52" s="288"/>
      <c r="H52" s="288"/>
      <c r="I52" s="288"/>
      <c r="J52" s="345"/>
      <c r="K52" s="349"/>
      <c r="L52" s="345"/>
      <c r="M52" s="369" t="s">
        <v>269</v>
      </c>
      <c r="N52" s="298" t="str">
        <f>IF(Other1="","",Other1)</f>
        <v/>
      </c>
      <c r="O52" s="315"/>
      <c r="P52" s="497" t="s">
        <v>267</v>
      </c>
      <c r="Q52" s="498"/>
      <c r="R52" s="499"/>
      <c r="S52" s="348"/>
      <c r="T52" s="310"/>
      <c r="U52" s="497" t="s">
        <v>267</v>
      </c>
      <c r="V52" s="498"/>
      <c r="W52" s="499"/>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41" t="s">
        <v>311</v>
      </c>
      <c r="Q53" s="542"/>
      <c r="R53" s="543"/>
      <c r="S53" s="386"/>
      <c r="T53" s="311"/>
      <c r="U53" s="541" t="s">
        <v>316</v>
      </c>
      <c r="V53" s="542"/>
      <c r="W53" s="543"/>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4"/>
      <c r="Q54" s="545"/>
      <c r="R54" s="546"/>
      <c r="S54" s="352"/>
      <c r="T54" s="312"/>
      <c r="U54" s="544"/>
      <c r="V54" s="545"/>
      <c r="W54" s="546"/>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2" t="s">
        <v>146</v>
      </c>
      <c r="D58" s="483"/>
      <c r="E58" s="483"/>
      <c r="F58" s="483"/>
      <c r="G58" s="483"/>
      <c r="H58" s="483"/>
      <c r="I58" s="483"/>
      <c r="J58" s="483"/>
      <c r="K58" s="487"/>
      <c r="L58" s="488"/>
      <c r="M58" s="305"/>
      <c r="N58" s="305"/>
      <c r="O58" s="305"/>
      <c r="P58" s="301"/>
      <c r="Q58" s="455"/>
      <c r="S58" s="305"/>
      <c r="T58" s="305"/>
      <c r="U58" s="305"/>
      <c r="V58" s="453"/>
    </row>
    <row r="59" spans="3:24" x14ac:dyDescent="0.2">
      <c r="C59" s="482" t="s">
        <v>149</v>
      </c>
      <c r="D59" s="483"/>
      <c r="E59" s="483"/>
      <c r="F59" s="483"/>
      <c r="G59" s="483"/>
      <c r="H59" s="483"/>
      <c r="I59" s="483"/>
      <c r="J59" s="483"/>
      <c r="K59" s="483"/>
      <c r="L59" s="484"/>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gjYeNv0Qiizkpg+s1rPwjI/qZrc6tgxakkGCKlzRIbFdyjlO0Tm6JacSq1bcXthlX+2pDQyVm6FDpOyDDzVb9A==" saltValue="3G+xo4rcNoHaK8woHifIBg=="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qiSz+znZyBae81+EH5gcHQKByLMZD/WeB/jV1IpfNoTXaCyEs2N0Yb9ZvZ5nxlimeXwiL3NPoJb8SSQ8U86Lyg==" saltValue="M+Nwm98/vq+3ZWeBazMz5Q=="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zVLeiv1w3uj4clbqodICFsCTBuXd5Kui66Lg/vUhK3N6ntMZidsbTivuV+Vb/d3fj9L7NxXbVjsRzEfOAqiQrQ==" saltValue="zcOfwH4ZuBD2Wxiv9mzx4Q=="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51">
        <f>Main!D3</f>
        <v>0</v>
      </c>
      <c r="E10" s="551"/>
      <c r="F10" s="551"/>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50" t="s">
        <v>303</v>
      </c>
      <c r="F15" s="550"/>
      <c r="G15" s="550"/>
      <c r="H15" s="550"/>
    </row>
    <row r="16" spans="3:8" ht="15" x14ac:dyDescent="0.2">
      <c r="C16" s="130"/>
      <c r="D16" s="73"/>
      <c r="E16" s="287" t="s">
        <v>116</v>
      </c>
      <c r="F16" s="287"/>
      <c r="G16" s="287"/>
      <c r="H16" s="287"/>
    </row>
    <row r="17" spans="3:8" ht="15" x14ac:dyDescent="0.2">
      <c r="C17" s="130"/>
      <c r="D17" s="73"/>
      <c r="E17" s="549" t="s">
        <v>117</v>
      </c>
      <c r="F17" s="549"/>
      <c r="G17" s="549"/>
      <c r="H17" s="549"/>
    </row>
    <row r="18" spans="3:8" ht="15" x14ac:dyDescent="0.2">
      <c r="C18" s="130"/>
      <c r="D18" s="73"/>
      <c r="E18" s="549" t="s">
        <v>6</v>
      </c>
      <c r="F18" s="549"/>
      <c r="G18" s="549"/>
      <c r="H18" s="549"/>
    </row>
    <row r="19" spans="3:8" ht="15" x14ac:dyDescent="0.2">
      <c r="C19" s="130"/>
      <c r="D19" s="73"/>
      <c r="E19" s="549" t="s">
        <v>122</v>
      </c>
      <c r="F19" s="549"/>
      <c r="G19" s="549"/>
      <c r="H19" s="549"/>
    </row>
    <row r="20" spans="3:8" ht="15" x14ac:dyDescent="0.2">
      <c r="C20" s="130"/>
      <c r="D20" s="73"/>
      <c r="E20" s="549" t="s">
        <v>119</v>
      </c>
      <c r="F20" s="549"/>
      <c r="G20" s="549"/>
      <c r="H20" s="549"/>
    </row>
    <row r="21" spans="3:8" ht="15" x14ac:dyDescent="0.2">
      <c r="C21" s="130"/>
      <c r="D21" s="73"/>
      <c r="E21" s="549" t="s">
        <v>120</v>
      </c>
      <c r="F21" s="549"/>
      <c r="G21" s="549"/>
      <c r="H21" s="549"/>
    </row>
    <row r="22" spans="3:8" ht="15" x14ac:dyDescent="0.2">
      <c r="C22" s="130"/>
      <c r="D22" s="73"/>
      <c r="E22" s="549" t="s">
        <v>103</v>
      </c>
      <c r="F22" s="549"/>
      <c r="G22" s="549"/>
      <c r="H22" s="549"/>
    </row>
    <row r="23" spans="3:8" ht="15" x14ac:dyDescent="0.2">
      <c r="C23" s="130"/>
      <c r="D23" s="73"/>
      <c r="E23" s="549" t="s">
        <v>121</v>
      </c>
      <c r="F23" s="549"/>
      <c r="G23" s="549"/>
      <c r="H23" s="549"/>
    </row>
    <row r="24" spans="3:8" ht="15" x14ac:dyDescent="0.2">
      <c r="C24" s="82"/>
      <c r="D24" s="73"/>
      <c r="E24" s="549" t="s">
        <v>139</v>
      </c>
      <c r="F24" s="549"/>
      <c r="G24" s="549"/>
      <c r="H24" s="549"/>
    </row>
    <row r="25" spans="3:8" ht="15" x14ac:dyDescent="0.2">
      <c r="C25" s="82"/>
      <c r="D25" s="73"/>
      <c r="E25" s="549"/>
      <c r="F25" s="549"/>
      <c r="G25" s="549"/>
      <c r="H25" s="549"/>
    </row>
    <row r="26" spans="3:8" ht="15" x14ac:dyDescent="0.2">
      <c r="C26" s="82"/>
      <c r="D26" s="73"/>
      <c r="E26" s="549"/>
      <c r="F26" s="549"/>
      <c r="G26" s="549"/>
      <c r="H26" s="549"/>
    </row>
    <row r="27" spans="3:8" ht="15" x14ac:dyDescent="0.2">
      <c r="C27" s="82"/>
      <c r="D27" s="73"/>
      <c r="E27" s="549"/>
      <c r="F27" s="549"/>
      <c r="G27" s="549"/>
      <c r="H27" s="549"/>
    </row>
    <row r="28" spans="3:8" ht="15" x14ac:dyDescent="0.2">
      <c r="C28" s="82"/>
      <c r="D28" s="73"/>
      <c r="E28" s="549"/>
      <c r="F28" s="549"/>
      <c r="G28" s="549"/>
      <c r="H28" s="549"/>
    </row>
    <row r="29" spans="3:8" ht="15" x14ac:dyDescent="0.2">
      <c r="C29" s="82"/>
      <c r="D29" s="73"/>
      <c r="E29" s="549"/>
      <c r="F29" s="549"/>
      <c r="G29" s="549"/>
      <c r="H29" s="549"/>
    </row>
    <row r="30" spans="3:8" ht="15" x14ac:dyDescent="0.2">
      <c r="C30" s="82"/>
      <c r="D30" s="73"/>
      <c r="E30" s="549"/>
      <c r="F30" s="549"/>
      <c r="G30" s="549"/>
      <c r="H30" s="549"/>
    </row>
    <row r="31" spans="3:8" ht="15" x14ac:dyDescent="0.2">
      <c r="C31" s="248" t="s">
        <v>304</v>
      </c>
      <c r="E31" s="549"/>
      <c r="F31" s="549"/>
      <c r="G31" s="549"/>
      <c r="H31" s="549"/>
    </row>
    <row r="32" spans="3:8" ht="15" x14ac:dyDescent="0.2">
      <c r="C32" s="82"/>
      <c r="D32" s="73"/>
      <c r="E32" s="549"/>
      <c r="F32" s="549"/>
      <c r="G32" s="549"/>
      <c r="H32" s="549"/>
    </row>
    <row r="33" spans="3:8" ht="15" x14ac:dyDescent="0.2">
      <c r="C33" s="82"/>
      <c r="D33" s="73"/>
      <c r="E33" s="549"/>
      <c r="F33" s="549"/>
      <c r="G33" s="549"/>
      <c r="H33" s="549"/>
    </row>
    <row r="34" spans="3:8" ht="15" x14ac:dyDescent="0.2">
      <c r="C34" s="82"/>
      <c r="D34" s="73"/>
      <c r="E34" s="549"/>
      <c r="F34" s="549"/>
      <c r="G34" s="549"/>
      <c r="H34" s="549"/>
    </row>
    <row r="35" spans="3:8" ht="15" x14ac:dyDescent="0.2">
      <c r="C35" s="82"/>
      <c r="D35" s="73"/>
      <c r="E35" s="549"/>
      <c r="F35" s="549"/>
      <c r="G35" s="549"/>
      <c r="H35" s="549"/>
    </row>
    <row r="36" spans="3:8" ht="15" x14ac:dyDescent="0.2">
      <c r="C36" s="73"/>
      <c r="D36" s="73"/>
      <c r="E36" s="549"/>
      <c r="F36" s="549"/>
      <c r="G36" s="549"/>
      <c r="H36" s="549"/>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rP1CE5ozmeEfO0u/ttOMEAkI1Q7PUF9ZZQuL+DYLjndkDfiTUPtnTt3NNEtwTV7ksmZe2YPWGUY83//MOhCLUA==" saltValue="6VMoOwMKB1211CoM3/EGcA=="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E25" sqref="E25:H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71" t="s">
        <v>108</v>
      </c>
      <c r="E1" s="571"/>
      <c r="F1" s="571"/>
      <c r="G1" s="571"/>
      <c r="H1" s="571"/>
      <c r="I1" s="571"/>
      <c r="J1" s="571"/>
      <c r="K1" s="571"/>
      <c r="L1" s="571"/>
      <c r="M1" s="571"/>
    </row>
    <row r="2" spans="1:18" ht="23.25" customHeight="1" x14ac:dyDescent="0.3">
      <c r="C2" s="230"/>
      <c r="D2" s="230" t="s">
        <v>255</v>
      </c>
      <c r="E2" s="230"/>
      <c r="F2" s="230"/>
      <c r="G2" s="230"/>
      <c r="H2" s="230"/>
      <c r="I2" s="230"/>
      <c r="J2" s="230"/>
      <c r="K2" s="230"/>
      <c r="L2" s="230"/>
      <c r="M2" s="230"/>
    </row>
    <row r="3" spans="1:18" ht="23.25" x14ac:dyDescent="0.35">
      <c r="C3" s="572"/>
      <c r="D3" s="572"/>
      <c r="E3" s="572"/>
      <c r="F3" s="572"/>
      <c r="G3" s="572"/>
      <c r="H3" s="572"/>
      <c r="I3" s="572"/>
      <c r="J3" s="572"/>
      <c r="K3" s="572"/>
      <c r="L3" s="572"/>
      <c r="M3" s="572"/>
    </row>
    <row r="4" spans="1:18" ht="23.25" x14ac:dyDescent="0.35">
      <c r="C4" s="214"/>
      <c r="D4" s="214"/>
      <c r="E4" s="214"/>
      <c r="F4" s="214"/>
      <c r="G4" s="214"/>
      <c r="H4" s="214"/>
      <c r="I4" s="214"/>
      <c r="J4" s="214"/>
      <c r="K4" s="214"/>
      <c r="L4" s="214"/>
      <c r="M4" s="214"/>
    </row>
    <row r="5" spans="1:18" ht="23.25" x14ac:dyDescent="0.35">
      <c r="C5" s="568" t="s">
        <v>6</v>
      </c>
      <c r="D5" s="568"/>
      <c r="E5" s="568"/>
      <c r="F5" s="568"/>
      <c r="G5" s="568"/>
      <c r="H5" s="568"/>
      <c r="I5" s="568"/>
      <c r="J5" s="568"/>
      <c r="K5" s="568"/>
      <c r="L5" s="568"/>
      <c r="M5" s="568"/>
    </row>
    <row r="6" spans="1:18" ht="23.25" x14ac:dyDescent="0.35">
      <c r="C6" s="215"/>
      <c r="D6" s="215"/>
      <c r="E6" s="588" t="str">
        <f>IFERROR(CONCATENATE("Report Number: ", WorkItemNumber),"")</f>
        <v/>
      </c>
      <c r="F6" s="588"/>
      <c r="G6" s="588"/>
      <c r="H6" s="588"/>
      <c r="I6" s="588"/>
      <c r="J6" s="588"/>
      <c r="K6" s="588"/>
      <c r="L6" s="215"/>
      <c r="M6" s="215"/>
    </row>
    <row r="7" spans="1:18" ht="18.75" customHeight="1" x14ac:dyDescent="0.3">
      <c r="G7" s="569"/>
      <c r="H7" s="569"/>
      <c r="I7" s="192"/>
      <c r="R7" t="str">
        <f>CONCATENATE("Page ",Main!L9," of ",Main!L10)</f>
        <v xml:space="preserve">Page  of </v>
      </c>
    </row>
    <row r="8" spans="1:18" ht="18" customHeight="1" x14ac:dyDescent="0.25">
      <c r="G8" s="581"/>
      <c r="H8" s="581"/>
      <c r="J8" s="79"/>
      <c r="K8" s="216" t="s">
        <v>252</v>
      </c>
      <c r="L8" s="592">
        <f>FormNumber</f>
        <v>0</v>
      </c>
      <c r="M8" s="592"/>
      <c r="N8" s="592"/>
      <c r="O8" s="592"/>
    </row>
    <row r="9" spans="1:18" ht="18" customHeight="1" x14ac:dyDescent="0.25">
      <c r="A9" s="216" t="s">
        <v>209</v>
      </c>
      <c r="B9" s="33" t="e">
        <f>Main!D5</f>
        <v>#N/A</v>
      </c>
      <c r="J9" s="79"/>
      <c r="K9" s="216" t="s">
        <v>253</v>
      </c>
      <c r="L9" s="583" t="str">
        <f>"JGI WP4100, "&amp;CalMethod</f>
        <v xml:space="preserve">JGI WP4100, </v>
      </c>
      <c r="M9" s="583"/>
      <c r="N9" s="583"/>
      <c r="O9" s="583"/>
    </row>
    <row r="10" spans="1:18" ht="18" customHeight="1" x14ac:dyDescent="0.25">
      <c r="A10" s="87"/>
      <c r="B10" s="211" t="str" cm="1">
        <f t="array" ref="B10">IFZERO('Customer Table'!R2,"")</f>
        <v/>
      </c>
      <c r="J10" s="79"/>
      <c r="K10" s="216"/>
      <c r="L10" s="583"/>
      <c r="M10" s="583"/>
      <c r="N10" s="583"/>
      <c r="O10" s="583"/>
    </row>
    <row r="11" spans="1:18" ht="18" customHeight="1" x14ac:dyDescent="0.25">
      <c r="A11" s="87"/>
      <c r="B11" s="211" t="str" cm="1">
        <f t="array" ref="B11">IFZERO('Customer Table'!S2,"")</f>
        <v/>
      </c>
      <c r="J11" s="79"/>
      <c r="K11" s="216" t="s">
        <v>254</v>
      </c>
      <c r="L11" s="592">
        <f>TolSource</f>
        <v>0</v>
      </c>
      <c r="M11" s="592"/>
      <c r="N11" s="592"/>
      <c r="O11" s="592"/>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4">
        <f>SerialNumber</f>
        <v>0</v>
      </c>
      <c r="C16" s="584"/>
      <c r="D16" s="584"/>
      <c r="E16" s="584"/>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5">
        <f>Class</f>
        <v>0</v>
      </c>
      <c r="C18" s="575"/>
      <c r="D18" s="575"/>
      <c r="E18" s="575"/>
      <c r="G18" s="216" t="s">
        <v>219</v>
      </c>
      <c r="H18" s="220">
        <f>CubicFeet</f>
        <v>0</v>
      </c>
      <c r="M18" s="216" t="s">
        <v>223</v>
      </c>
      <c r="N18" s="220" t="str">
        <f>Main!G18</f>
        <v>ACCEPTED</v>
      </c>
      <c r="O18" s="195"/>
    </row>
    <row r="19" spans="1:19" ht="18" customHeight="1" x14ac:dyDescent="0.25">
      <c r="A19" s="206"/>
      <c r="B19" s="576"/>
      <c r="C19" s="576"/>
      <c r="D19" s="576"/>
      <c r="E19" s="576"/>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5">
        <f>Controller</f>
        <v>0</v>
      </c>
      <c r="C21" s="585"/>
      <c r="D21" s="585"/>
      <c r="E21" s="585"/>
      <c r="F21" s="207" t="s">
        <v>226</v>
      </c>
      <c r="G21" s="585">
        <f>ContSN</f>
        <v>0</v>
      </c>
      <c r="H21" s="585"/>
      <c r="I21" s="585"/>
      <c r="J21" s="207" t="s">
        <v>227</v>
      </c>
      <c r="K21" s="219">
        <f>ContTol</f>
        <v>0</v>
      </c>
      <c r="L21" s="193"/>
      <c r="M21" s="207" t="s">
        <v>228</v>
      </c>
      <c r="N21" s="232" t="str">
        <f>Main!G27</f>
        <v/>
      </c>
      <c r="O21" s="194"/>
    </row>
    <row r="22" spans="1:19" ht="18" customHeight="1" x14ac:dyDescent="0.25">
      <c r="A22" s="225" t="s">
        <v>225</v>
      </c>
      <c r="B22" s="586">
        <f>_xlnm.Recorder</f>
        <v>0</v>
      </c>
      <c r="C22" s="586"/>
      <c r="D22" s="586"/>
      <c r="E22" s="586"/>
      <c r="F22" s="208" t="s">
        <v>226</v>
      </c>
      <c r="G22" s="586">
        <f>RecSN</f>
        <v>0</v>
      </c>
      <c r="H22" s="586"/>
      <c r="I22" s="586"/>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2" t="s">
        <v>237</v>
      </c>
      <c r="D27" s="582"/>
      <c r="E27" s="582"/>
      <c r="F27" s="582"/>
      <c r="G27" s="582"/>
      <c r="H27" s="582"/>
      <c r="I27" s="582"/>
      <c r="J27" s="582"/>
      <c r="K27" s="582"/>
      <c r="L27" s="582"/>
      <c r="M27" s="582"/>
      <c r="N27" s="196"/>
      <c r="O27" s="197"/>
    </row>
    <row r="28" spans="1:19" ht="8.1" customHeight="1" x14ac:dyDescent="0.2"/>
    <row r="29" spans="1:19" ht="18" customHeight="1" x14ac:dyDescent="0.2">
      <c r="A29" s="578" t="s">
        <v>207</v>
      </c>
      <c r="B29" s="579"/>
      <c r="C29" s="580"/>
      <c r="D29" s="578" t="s">
        <v>238</v>
      </c>
      <c r="E29" s="579"/>
      <c r="F29" s="579"/>
      <c r="G29" s="580"/>
      <c r="H29" s="578" t="s">
        <v>208</v>
      </c>
      <c r="I29" s="579"/>
      <c r="J29" s="579"/>
      <c r="K29" s="580"/>
      <c r="L29" s="578" t="s">
        <v>194</v>
      </c>
      <c r="M29" s="579"/>
      <c r="N29" s="579"/>
      <c r="O29" s="580"/>
    </row>
    <row r="30" spans="1:19" ht="18" customHeight="1" x14ac:dyDescent="0.2">
      <c r="A30" s="212"/>
      <c r="B30" s="202" t="s">
        <v>435</v>
      </c>
      <c r="C30" s="213"/>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5" t="s">
        <v>239</v>
      </c>
      <c r="B32" s="570" t="s">
        <v>240</v>
      </c>
      <c r="C32" s="570"/>
      <c r="D32" s="235" t="s">
        <v>203</v>
      </c>
      <c r="E32" s="235" t="s">
        <v>202</v>
      </c>
      <c r="F32" s="235" t="s">
        <v>241</v>
      </c>
      <c r="G32" s="79"/>
      <c r="H32" s="79"/>
      <c r="I32" s="235" t="s">
        <v>239</v>
      </c>
      <c r="J32" s="570" t="s">
        <v>240</v>
      </c>
      <c r="K32" s="570"/>
      <c r="L32" s="235" t="s">
        <v>203</v>
      </c>
      <c r="M32" s="235" t="s">
        <v>202</v>
      </c>
      <c r="N32" s="235" t="s">
        <v>241</v>
      </c>
    </row>
    <row r="33" spans="1:14" ht="18" customHeight="1" x14ac:dyDescent="0.2">
      <c r="A33" s="236" t="str">
        <f>IF(B33="","",1)</f>
        <v/>
      </c>
      <c r="B33" s="569" t="str">
        <f>IF(Main!O5="","",Main!O5)</f>
        <v/>
      </c>
      <c r="C33" s="569"/>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9" t="str">
        <f>IF(Main!O25="","",Main!O25)</f>
        <v/>
      </c>
      <c r="K33" s="569"/>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9" t="str">
        <f>IF(Main!O6="","",Main!O6)</f>
        <v/>
      </c>
      <c r="C34" s="569"/>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9" t="str">
        <f>IF(Main!O26="","",Main!O26)</f>
        <v/>
      </c>
      <c r="K34" s="569"/>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9" t="str">
        <f>IF(Main!O7="","",Main!O7)</f>
        <v/>
      </c>
      <c r="C35" s="569"/>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9" t="str">
        <f>IF(Main!O27="","",Main!O27)</f>
        <v/>
      </c>
      <c r="K35" s="569"/>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9" t="str">
        <f>IF(Main!O8="","",Main!O8)</f>
        <v/>
      </c>
      <c r="C36" s="569"/>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9" t="str">
        <f>IF(Main!O28="","",Main!O28)</f>
        <v/>
      </c>
      <c r="K36" s="569"/>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9" t="str">
        <f>IF(Main!O9="","",Main!O9)</f>
        <v/>
      </c>
      <c r="C37" s="569"/>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9" t="str">
        <f>IF(Main!O29="","",Main!O29)</f>
        <v/>
      </c>
      <c r="K37" s="569"/>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9" t="str">
        <f>IF(Main!O10="","",Main!O10)</f>
        <v/>
      </c>
      <c r="C38" s="569"/>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9" t="str">
        <f>IF(Main!O30="","",Main!O30)</f>
        <v/>
      </c>
      <c r="K38" s="569"/>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9" t="str">
        <f>IF(Main!O11="","",Main!O11)</f>
        <v/>
      </c>
      <c r="C39" s="569"/>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9" t="str">
        <f>IF(Main!O31="","",Main!O31)</f>
        <v/>
      </c>
      <c r="K39" s="569"/>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9" t="str">
        <f>IF(Main!O12="","",Main!O12)</f>
        <v/>
      </c>
      <c r="C40" s="569"/>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9" t="str">
        <f>IF(Main!O32="","",Main!O32)</f>
        <v/>
      </c>
      <c r="K40" s="569"/>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9" t="str">
        <f>IF(Main!O13="","",Main!O13)</f>
        <v/>
      </c>
      <c r="C41" s="569"/>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9" t="str">
        <f>IF(Main!O33="","",Main!O33)</f>
        <v/>
      </c>
      <c r="K41" s="569"/>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9" t="str">
        <f>IF(Main!O14="","",Main!O14)</f>
        <v/>
      </c>
      <c r="C42" s="569"/>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9" t="str">
        <f>IF(Main!O34="","",Main!O34)</f>
        <v/>
      </c>
      <c r="K42" s="569"/>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9" t="str">
        <f>IF(Main!O15="","",Main!O15)</f>
        <v/>
      </c>
      <c r="C43" s="569"/>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9" t="str">
        <f>IF(Main!O35="","",Main!O35)</f>
        <v/>
      </c>
      <c r="K43" s="569"/>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9" t="str">
        <f>IF(Main!O16="","",Main!O16)</f>
        <v/>
      </c>
      <c r="C44" s="569"/>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9" t="str">
        <f>IF(Main!O36="","",Main!O36)</f>
        <v/>
      </c>
      <c r="K44" s="569"/>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9" t="str">
        <f>IF(Main!O17="","",Main!O17)</f>
        <v/>
      </c>
      <c r="C45" s="569"/>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9" t="str">
        <f>IF(Main!O37="","",Main!O37)</f>
        <v/>
      </c>
      <c r="K45" s="569"/>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9" t="str">
        <f>IF(Main!O18="","",Main!O18)</f>
        <v/>
      </c>
      <c r="C46" s="569"/>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9" t="str">
        <f>IF(Main!O38="","",Main!O38)</f>
        <v/>
      </c>
      <c r="K46" s="569"/>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9" t="str">
        <f>IF(Main!O19="","",Main!O19)</f>
        <v/>
      </c>
      <c r="C47" s="569"/>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9" t="str">
        <f>IF(Main!O39="","",Main!O39)</f>
        <v/>
      </c>
      <c r="K47" s="569"/>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9" t="str">
        <f>IF(Main!O20="","",Main!O20)</f>
        <v/>
      </c>
      <c r="C48" s="569"/>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9" t="str">
        <f>IF(Main!O40="","",Main!O40)</f>
        <v/>
      </c>
      <c r="K48" s="569"/>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9" t="str">
        <f>IF(Main!O21="","",Main!O21)</f>
        <v/>
      </c>
      <c r="C49" s="569"/>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9" t="str">
        <f>IF(Main!O41="","",Main!O41)</f>
        <v/>
      </c>
      <c r="K49" s="569"/>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9" t="str">
        <f>IF(Main!O22="","",Main!O22)</f>
        <v/>
      </c>
      <c r="C50" s="569"/>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9" t="str">
        <f>IF(Main!O42="","",Main!O42)</f>
        <v/>
      </c>
      <c r="K50" s="569"/>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9" t="str">
        <f>IF(Main!O23="","",Main!O23)</f>
        <v/>
      </c>
      <c r="C51" s="569"/>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9" t="str">
        <f>IF(Main!O43="","",Main!O43)</f>
        <v/>
      </c>
      <c r="K51" s="569"/>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9" t="str">
        <f>IF(Main!O24="","",Main!O24)</f>
        <v/>
      </c>
      <c r="C52" s="569"/>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9" t="str">
        <f>IF(Main!O44="","",Main!O44)</f>
        <v/>
      </c>
      <c r="K52" s="569"/>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4" t="s">
        <v>242</v>
      </c>
      <c r="C53" s="574"/>
      <c r="D53" s="574"/>
      <c r="E53" s="574"/>
      <c r="F53" s="574"/>
      <c r="G53" s="574"/>
      <c r="H53" s="574"/>
      <c r="I53" s="574"/>
      <c r="J53" s="574"/>
      <c r="K53" s="574"/>
      <c r="L53" s="574"/>
      <c r="M53" s="574"/>
      <c r="N53" s="574"/>
    </row>
    <row r="54" spans="1:21" ht="18" customHeight="1" x14ac:dyDescent="0.25">
      <c r="A54" s="238" t="s">
        <v>243</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6"/>
      <c r="B55" s="583"/>
      <c r="C55" s="583"/>
      <c r="D55" s="583"/>
      <c r="E55" s="583"/>
      <c r="F55" s="583"/>
      <c r="G55" s="583"/>
      <c r="H55" s="583"/>
      <c r="I55" s="583"/>
      <c r="J55" s="583"/>
      <c r="K55" s="583"/>
      <c r="L55" s="583"/>
      <c r="M55" s="583"/>
      <c r="N55" s="583"/>
      <c r="O55" s="583"/>
    </row>
    <row r="56" spans="1:21" ht="18" customHeight="1" x14ac:dyDescent="0.25">
      <c r="A56" s="76"/>
      <c r="B56" s="583"/>
      <c r="C56" s="583"/>
      <c r="D56" s="583"/>
      <c r="E56" s="583"/>
      <c r="F56" s="583"/>
      <c r="G56" s="583"/>
      <c r="H56" s="583"/>
      <c r="I56" s="583"/>
      <c r="J56" s="583"/>
      <c r="K56" s="583"/>
      <c r="L56" s="583"/>
      <c r="M56" s="583"/>
      <c r="N56" s="583"/>
      <c r="O56" s="583"/>
    </row>
    <row r="57" spans="1:21" ht="18" customHeight="1" x14ac:dyDescent="0.25">
      <c r="A57" s="76"/>
      <c r="B57" s="583"/>
      <c r="C57" s="583"/>
      <c r="D57" s="583"/>
      <c r="E57" s="583"/>
      <c r="F57" s="583"/>
      <c r="G57" s="583"/>
      <c r="H57" s="583"/>
      <c r="I57" s="583"/>
      <c r="J57" s="583"/>
      <c r="K57" s="583"/>
      <c r="L57" s="583"/>
      <c r="M57" s="583"/>
      <c r="N57" s="583"/>
      <c r="O57" s="583"/>
    </row>
    <row r="58" spans="1:21" ht="18" customHeight="1" x14ac:dyDescent="0.25">
      <c r="A58" s="76"/>
      <c r="B58" s="583"/>
      <c r="C58" s="583"/>
      <c r="D58" s="583"/>
      <c r="E58" s="583"/>
      <c r="F58" s="583"/>
      <c r="G58" s="583"/>
      <c r="H58" s="583"/>
      <c r="I58" s="583"/>
      <c r="J58" s="583"/>
      <c r="K58" s="583"/>
      <c r="L58" s="583"/>
      <c r="M58" s="583"/>
      <c r="N58" s="583"/>
      <c r="O58" s="583"/>
    </row>
    <row r="59" spans="1:21" ht="18" customHeight="1" x14ac:dyDescent="0.25">
      <c r="A59" s="76"/>
      <c r="B59" s="583"/>
      <c r="C59" s="583"/>
      <c r="D59" s="583"/>
      <c r="E59" s="583"/>
      <c r="F59" s="583"/>
      <c r="G59" s="583"/>
      <c r="H59" s="583"/>
      <c r="I59" s="583"/>
      <c r="J59" s="583"/>
      <c r="K59" s="583"/>
      <c r="L59" s="583"/>
      <c r="M59" s="583"/>
      <c r="N59" s="583"/>
      <c r="O59" s="583"/>
    </row>
    <row r="60" spans="1:21" ht="18" customHeight="1" x14ac:dyDescent="0.2">
      <c r="A60" s="573" t="s">
        <v>251</v>
      </c>
      <c r="B60" s="573"/>
      <c r="C60" s="573"/>
      <c r="D60" s="573"/>
      <c r="E60" s="573"/>
      <c r="F60" s="573"/>
      <c r="G60" s="573"/>
      <c r="H60" s="573"/>
      <c r="I60" s="573"/>
      <c r="J60" s="573"/>
      <c r="K60" s="573"/>
      <c r="L60" s="573"/>
      <c r="M60" s="573"/>
      <c r="N60" s="573"/>
      <c r="O60" s="573"/>
    </row>
    <row r="61" spans="1:21" ht="18" customHeight="1" x14ac:dyDescent="0.2">
      <c r="A61" s="577" t="s">
        <v>244</v>
      </c>
      <c r="B61" s="577"/>
      <c r="C61" s="577"/>
      <c r="D61" s="577"/>
      <c r="E61" s="577"/>
      <c r="F61" s="591" t="s">
        <v>245</v>
      </c>
      <c r="G61" s="591"/>
      <c r="H61" s="591"/>
      <c r="I61" s="591" t="s">
        <v>246</v>
      </c>
      <c r="J61" s="591"/>
      <c r="K61" s="591" t="s">
        <v>247</v>
      </c>
      <c r="L61" s="591"/>
      <c r="M61" s="591" t="s">
        <v>248</v>
      </c>
      <c r="N61" s="591"/>
      <c r="O61" s="591"/>
      <c r="R61" s="37" t="s">
        <v>335</v>
      </c>
      <c r="T61" s="37" t="s">
        <v>336</v>
      </c>
      <c r="U61" s="37"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7" t="s">
        <v>439</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IjvqobM25OKDtN4f0DJq0kb1HTjH84RJHeGwoFp01MWbPgJt319eO7AUTwUxvOAJqjgcPdhrZ358/VAe649TVg==" saltValue="9WGz9lVRCYV6zf2pRlmaH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2"/>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H338"/>
      <c r="I338"/>
      <c r="L338"/>
      <c r="M338"/>
      <c r="N338"/>
      <c r="O338"/>
    </row>
    <row r="339" spans="1:15" x14ac:dyDescent="0.2">
      <c r="A339"/>
      <c r="B339"/>
      <c r="C339"/>
      <c r="F339"/>
      <c r="G339"/>
      <c r="I339"/>
      <c r="L339"/>
      <c r="M339"/>
      <c r="N339"/>
      <c r="O339"/>
    </row>
    <row r="340" spans="1:15" x14ac:dyDescent="0.2">
      <c r="A340"/>
      <c r="B340"/>
      <c r="C340"/>
      <c r="F340"/>
      <c r="G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N344"/>
      <c r="O344"/>
    </row>
    <row r="345" spans="1:15" x14ac:dyDescent="0.2">
      <c r="A345"/>
      <c r="B345"/>
      <c r="C345"/>
      <c r="F345"/>
      <c r="G345"/>
      <c r="H345"/>
      <c r="I345"/>
      <c r="L345"/>
      <c r="M345"/>
      <c r="N345"/>
      <c r="O345"/>
    </row>
    <row r="346" spans="1:15" x14ac:dyDescent="0.2">
      <c r="A346"/>
      <c r="B346"/>
      <c r="C346"/>
      <c r="F346"/>
      <c r="G346"/>
      <c r="J346"/>
      <c r="K346"/>
      <c r="L346"/>
      <c r="M346"/>
      <c r="N346"/>
      <c r="O346"/>
    </row>
    <row r="347" spans="1:15" x14ac:dyDescent="0.2">
      <c r="A347"/>
      <c r="B347"/>
      <c r="C347"/>
      <c r="F347"/>
      <c r="G347"/>
      <c r="H347"/>
      <c r="J347"/>
      <c r="K347"/>
      <c r="L347"/>
      <c r="M347"/>
      <c r="N347"/>
      <c r="O347"/>
    </row>
    <row r="348" spans="1:15" x14ac:dyDescent="0.2">
      <c r="A348"/>
      <c r="B348"/>
      <c r="C348"/>
      <c r="F348"/>
      <c r="G348"/>
      <c r="M348"/>
      <c r="N348"/>
      <c r="O348"/>
    </row>
    <row r="349" spans="1:15" x14ac:dyDescent="0.2">
      <c r="A349"/>
      <c r="B349"/>
      <c r="C349"/>
      <c r="F349"/>
      <c r="G349"/>
      <c r="H349"/>
      <c r="I349"/>
      <c r="L349"/>
      <c r="M349"/>
      <c r="N349"/>
      <c r="O349"/>
    </row>
    <row r="350" spans="1:15" x14ac:dyDescent="0.2">
      <c r="A350"/>
      <c r="B350"/>
      <c r="C350"/>
      <c r="F350"/>
      <c r="G350"/>
      <c r="I350"/>
      <c r="L350"/>
      <c r="M350"/>
      <c r="N350"/>
      <c r="O350"/>
    </row>
    <row r="351" spans="1:15" x14ac:dyDescent="0.2">
      <c r="A351"/>
      <c r="B351"/>
      <c r="C351"/>
      <c r="F351"/>
      <c r="G351"/>
      <c r="H351"/>
      <c r="I351"/>
      <c r="L351"/>
      <c r="M351"/>
      <c r="N351"/>
      <c r="O351"/>
    </row>
    <row r="352" spans="1:15" x14ac:dyDescent="0.2">
      <c r="A352"/>
      <c r="B352"/>
      <c r="C352"/>
      <c r="F352"/>
      <c r="G352"/>
      <c r="H352"/>
      <c r="J352"/>
      <c r="K352"/>
      <c r="L352"/>
      <c r="M352"/>
      <c r="N352"/>
      <c r="O352"/>
    </row>
    <row r="353" spans="1:15" x14ac:dyDescent="0.2">
      <c r="A353"/>
      <c r="B353"/>
      <c r="C353"/>
      <c r="F353"/>
      <c r="G353"/>
      <c r="M353"/>
      <c r="N353"/>
      <c r="O353"/>
    </row>
    <row r="354" spans="1:15" x14ac:dyDescent="0.2">
      <c r="A354"/>
      <c r="B354"/>
      <c r="C354"/>
      <c r="F354"/>
      <c r="G354"/>
      <c r="L354"/>
      <c r="M354"/>
      <c r="N354"/>
      <c r="O354"/>
    </row>
    <row r="355" spans="1:15" x14ac:dyDescent="0.2">
      <c r="A355"/>
      <c r="B355"/>
      <c r="C355"/>
      <c r="F355"/>
      <c r="G355"/>
      <c r="H355"/>
      <c r="I355"/>
      <c r="J355"/>
      <c r="K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I359"/>
      <c r="L359"/>
      <c r="M359"/>
      <c r="N359"/>
      <c r="O359"/>
    </row>
    <row r="360" spans="1:15" x14ac:dyDescent="0.2">
      <c r="A360"/>
      <c r="B360"/>
      <c r="C360"/>
      <c r="F360"/>
      <c r="G360"/>
      <c r="I360"/>
      <c r="L360"/>
      <c r="M360"/>
      <c r="N360"/>
      <c r="O360"/>
    </row>
    <row r="361" spans="1:15" x14ac:dyDescent="0.2">
      <c r="A361"/>
      <c r="B361"/>
      <c r="C361"/>
      <c r="F361"/>
      <c r="G361"/>
      <c r="J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N371"/>
      <c r="O371"/>
    </row>
    <row r="372" spans="1:15" x14ac:dyDescent="0.2">
      <c r="A372"/>
      <c r="B372"/>
      <c r="C372"/>
      <c r="F372"/>
      <c r="G372"/>
      <c r="H372"/>
      <c r="I372"/>
      <c r="L372"/>
      <c r="M372"/>
      <c r="N372"/>
      <c r="O372"/>
    </row>
    <row r="373" spans="1:15" x14ac:dyDescent="0.2">
      <c r="A373"/>
      <c r="B373"/>
      <c r="C373"/>
      <c r="F373"/>
      <c r="G373"/>
      <c r="L373"/>
      <c r="M373"/>
      <c r="N373"/>
      <c r="O373"/>
    </row>
    <row r="374" spans="1:15" x14ac:dyDescent="0.2">
      <c r="A374"/>
      <c r="B374"/>
      <c r="C374"/>
      <c r="F374"/>
      <c r="G374"/>
      <c r="I374"/>
      <c r="L374"/>
      <c r="M374"/>
      <c r="N374"/>
      <c r="O374"/>
    </row>
    <row r="375" spans="1:15" x14ac:dyDescent="0.2">
      <c r="A375"/>
      <c r="B375"/>
      <c r="C375"/>
      <c r="F375"/>
      <c r="G375"/>
      <c r="H375"/>
      <c r="I375"/>
      <c r="L375"/>
      <c r="N375"/>
      <c r="O375"/>
    </row>
    <row r="376" spans="1:15" x14ac:dyDescent="0.2">
      <c r="A376"/>
      <c r="B376"/>
      <c r="C376"/>
      <c r="F376"/>
      <c r="G376"/>
      <c r="I376"/>
      <c r="L376"/>
      <c r="M376"/>
      <c r="N376"/>
      <c r="O376"/>
    </row>
    <row r="377" spans="1:15" x14ac:dyDescent="0.2">
      <c r="A377"/>
      <c r="B377"/>
      <c r="C377"/>
      <c r="F377"/>
      <c r="G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J381"/>
      <c r="K381"/>
      <c r="M381"/>
      <c r="N381"/>
      <c r="O381"/>
    </row>
    <row r="382" spans="1:15" x14ac:dyDescent="0.2">
      <c r="A382"/>
      <c r="B382"/>
      <c r="C382"/>
      <c r="F382"/>
      <c r="G382"/>
      <c r="I382"/>
      <c r="L382"/>
      <c r="M382"/>
      <c r="N382"/>
      <c r="O382"/>
    </row>
    <row r="383" spans="1:15" x14ac:dyDescent="0.2">
      <c r="A383"/>
      <c r="B383"/>
      <c r="C383"/>
      <c r="F383"/>
      <c r="G383"/>
      <c r="I383"/>
      <c r="L383"/>
      <c r="M383"/>
      <c r="N383"/>
      <c r="O383"/>
    </row>
    <row r="384" spans="1:15" x14ac:dyDescent="0.2">
      <c r="A384"/>
      <c r="B384"/>
      <c r="C384"/>
      <c r="F384"/>
      <c r="G384"/>
      <c r="H384"/>
      <c r="I384"/>
      <c r="J384"/>
      <c r="K384"/>
      <c r="L384"/>
      <c r="M384"/>
      <c r="N384"/>
      <c r="O384"/>
    </row>
    <row r="385" spans="1:15" x14ac:dyDescent="0.2">
      <c r="A385"/>
      <c r="B385"/>
      <c r="C385"/>
      <c r="F385"/>
      <c r="G385"/>
      <c r="L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L389"/>
      <c r="M389"/>
      <c r="N389"/>
      <c r="O389"/>
    </row>
    <row r="390" spans="1:15" x14ac:dyDescent="0.2">
      <c r="A390"/>
      <c r="B390"/>
      <c r="C390"/>
      <c r="F390"/>
      <c r="G390"/>
      <c r="J390"/>
      <c r="K390"/>
      <c r="L390"/>
      <c r="M390"/>
      <c r="N390"/>
      <c r="O390"/>
    </row>
    <row r="391" spans="1:15" x14ac:dyDescent="0.2">
      <c r="A391"/>
      <c r="B391"/>
      <c r="C391"/>
      <c r="F391"/>
      <c r="G391"/>
      <c r="H391"/>
      <c r="I391"/>
      <c r="L391"/>
      <c r="M391"/>
      <c r="N391"/>
      <c r="O391"/>
    </row>
    <row r="392" spans="1:15" x14ac:dyDescent="0.2">
      <c r="A392"/>
      <c r="B392"/>
      <c r="C392"/>
      <c r="F392"/>
      <c r="G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M396"/>
      <c r="N396"/>
      <c r="O396"/>
    </row>
    <row r="397" spans="1:15" x14ac:dyDescent="0.2">
      <c r="A397"/>
      <c r="B397"/>
      <c r="C397"/>
      <c r="F397"/>
      <c r="G397"/>
      <c r="J397"/>
      <c r="K397"/>
      <c r="L397"/>
      <c r="M397"/>
      <c r="N397"/>
      <c r="O397"/>
    </row>
    <row r="398" spans="1:15" x14ac:dyDescent="0.2">
      <c r="A398"/>
      <c r="B398"/>
      <c r="C398"/>
      <c r="F398"/>
      <c r="G398"/>
      <c r="H398"/>
      <c r="I398"/>
      <c r="L398"/>
      <c r="M398"/>
      <c r="N398"/>
      <c r="O398"/>
    </row>
    <row r="399" spans="1:15" x14ac:dyDescent="0.2">
      <c r="A399"/>
      <c r="B399"/>
      <c r="C399"/>
      <c r="F399"/>
      <c r="G399"/>
      <c r="I399"/>
      <c r="L399"/>
      <c r="M399"/>
      <c r="N399"/>
      <c r="O399"/>
    </row>
    <row r="400" spans="1:15" x14ac:dyDescent="0.2">
      <c r="A400"/>
      <c r="B400"/>
      <c r="C400"/>
      <c r="F400"/>
      <c r="G400"/>
      <c r="H400"/>
      <c r="I400"/>
      <c r="L400"/>
      <c r="M400"/>
      <c r="N400"/>
      <c r="O400"/>
    </row>
    <row r="401" spans="1:15" x14ac:dyDescent="0.2">
      <c r="A401"/>
      <c r="B401"/>
      <c r="C401"/>
      <c r="F401"/>
      <c r="G401"/>
      <c r="I401"/>
      <c r="L401"/>
      <c r="M401"/>
      <c r="N401"/>
      <c r="O401"/>
    </row>
    <row r="402" spans="1:15" x14ac:dyDescent="0.2">
      <c r="A402"/>
      <c r="B402"/>
      <c r="C402"/>
      <c r="F402"/>
      <c r="G402"/>
      <c r="J402"/>
      <c r="K402"/>
      <c r="L402"/>
      <c r="M402"/>
      <c r="N402"/>
      <c r="O402"/>
    </row>
    <row r="403" spans="1:15" x14ac:dyDescent="0.2">
      <c r="A403"/>
      <c r="B403"/>
      <c r="C403"/>
      <c r="F403"/>
      <c r="G403"/>
      <c r="I403"/>
      <c r="L403"/>
      <c r="M403"/>
      <c r="N403"/>
      <c r="O403"/>
    </row>
    <row r="404" spans="1:15" x14ac:dyDescent="0.2">
      <c r="A404"/>
      <c r="B404"/>
      <c r="C404"/>
      <c r="F404"/>
      <c r="G404"/>
      <c r="H404"/>
      <c r="I404"/>
      <c r="L404"/>
      <c r="N404"/>
      <c r="O404"/>
    </row>
    <row r="405" spans="1:15" x14ac:dyDescent="0.2">
      <c r="A405"/>
      <c r="B405"/>
      <c r="C405"/>
      <c r="F405"/>
      <c r="G405"/>
      <c r="H405"/>
      <c r="I405"/>
      <c r="L405"/>
      <c r="M405"/>
      <c r="N405"/>
      <c r="O405"/>
    </row>
    <row r="406" spans="1:15" x14ac:dyDescent="0.2">
      <c r="A406"/>
      <c r="B406"/>
      <c r="C406"/>
      <c r="F406"/>
      <c r="G406"/>
      <c r="H406"/>
      <c r="I406"/>
      <c r="L406"/>
      <c r="M406"/>
      <c r="N406"/>
      <c r="O406"/>
    </row>
    <row r="407" spans="1:15" x14ac:dyDescent="0.2">
      <c r="A407"/>
      <c r="B407"/>
      <c r="C407"/>
      <c r="F407"/>
      <c r="G407"/>
      <c r="L407"/>
      <c r="M407"/>
      <c r="N407"/>
      <c r="O407"/>
    </row>
    <row r="408" spans="1:15" x14ac:dyDescent="0.2">
      <c r="A408"/>
      <c r="B408"/>
      <c r="C408"/>
      <c r="F408"/>
      <c r="G408"/>
      <c r="I408"/>
      <c r="L408"/>
      <c r="M408"/>
      <c r="N408"/>
      <c r="O408"/>
    </row>
    <row r="409" spans="1:15" x14ac:dyDescent="0.2">
      <c r="A409"/>
      <c r="B409"/>
      <c r="C409"/>
      <c r="F409"/>
      <c r="G409"/>
      <c r="H409"/>
      <c r="I409"/>
      <c r="L409"/>
      <c r="M409"/>
      <c r="N409"/>
      <c r="O409"/>
    </row>
    <row r="410" spans="1:15" x14ac:dyDescent="0.2">
      <c r="A410"/>
      <c r="B410"/>
      <c r="C410"/>
      <c r="F410"/>
      <c r="G410"/>
      <c r="M410"/>
      <c r="N410"/>
      <c r="O410"/>
    </row>
    <row r="411" spans="1:15" x14ac:dyDescent="0.2">
      <c r="A411"/>
      <c r="B411"/>
      <c r="C411"/>
      <c r="F411"/>
      <c r="G411"/>
      <c r="H411"/>
      <c r="J411"/>
      <c r="K411"/>
      <c r="L411"/>
      <c r="M411"/>
      <c r="N411"/>
      <c r="O411"/>
    </row>
    <row r="412" spans="1:15" x14ac:dyDescent="0.2">
      <c r="A412"/>
      <c r="B412"/>
      <c r="C412"/>
      <c r="F412"/>
      <c r="G412"/>
      <c r="H412"/>
      <c r="L412"/>
      <c r="M412"/>
      <c r="N412"/>
      <c r="O412"/>
    </row>
    <row r="413" spans="1:15" x14ac:dyDescent="0.2">
      <c r="A413"/>
      <c r="B413"/>
      <c r="C413"/>
      <c r="F413"/>
      <c r="G413"/>
      <c r="H413"/>
      <c r="J413"/>
      <c r="K413"/>
      <c r="L413"/>
      <c r="M413"/>
      <c r="N413"/>
      <c r="O413"/>
    </row>
    <row r="414" spans="1:15" x14ac:dyDescent="0.2">
      <c r="A414"/>
      <c r="B414"/>
      <c r="C414"/>
      <c r="F414"/>
      <c r="G414"/>
      <c r="H414"/>
      <c r="J414"/>
      <c r="K414"/>
      <c r="L414"/>
      <c r="M414"/>
      <c r="N414"/>
      <c r="O414"/>
    </row>
    <row r="415" spans="1:15" x14ac:dyDescent="0.2">
      <c r="A415"/>
      <c r="B415"/>
      <c r="C415"/>
      <c r="F415"/>
      <c r="G415"/>
      <c r="J415"/>
      <c r="K415"/>
      <c r="L415"/>
      <c r="M415"/>
      <c r="N415"/>
      <c r="O415"/>
    </row>
    <row r="416" spans="1:15" x14ac:dyDescent="0.2">
      <c r="A416"/>
      <c r="B416"/>
      <c r="C416"/>
      <c r="G416"/>
      <c r="M416"/>
      <c r="N416"/>
      <c r="O416"/>
    </row>
    <row r="417" spans="1:15" x14ac:dyDescent="0.2">
      <c r="A417"/>
      <c r="B417"/>
      <c r="C417"/>
      <c r="F417"/>
      <c r="G417"/>
      <c r="H417"/>
      <c r="J417"/>
      <c r="K417"/>
      <c r="L417"/>
      <c r="M417"/>
      <c r="N417"/>
      <c r="O417"/>
    </row>
    <row r="418" spans="1:15" x14ac:dyDescent="0.2">
      <c r="A418"/>
      <c r="B418"/>
      <c r="C418"/>
      <c r="F418"/>
      <c r="G418"/>
      <c r="H418"/>
      <c r="K418"/>
      <c r="L418"/>
      <c r="M418"/>
      <c r="N418"/>
      <c r="O418"/>
    </row>
    <row r="419" spans="1:15" x14ac:dyDescent="0.2">
      <c r="A419"/>
      <c r="B419"/>
      <c r="C419"/>
      <c r="F419"/>
      <c r="G419"/>
      <c r="H419"/>
      <c r="I419"/>
      <c r="L419"/>
      <c r="N419"/>
      <c r="O419"/>
    </row>
    <row r="420" spans="1:15" x14ac:dyDescent="0.2">
      <c r="A420"/>
      <c r="B420"/>
      <c r="C420"/>
      <c r="F420"/>
      <c r="G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I427"/>
      <c r="L427"/>
      <c r="M427"/>
      <c r="N427"/>
      <c r="O427"/>
    </row>
    <row r="428" spans="1:15" x14ac:dyDescent="0.2">
      <c r="A428"/>
      <c r="B428"/>
      <c r="C428"/>
      <c r="F428"/>
      <c r="G428"/>
      <c r="H428"/>
      <c r="I428"/>
      <c r="L428"/>
      <c r="M428"/>
      <c r="N428"/>
      <c r="O428"/>
    </row>
    <row r="429" spans="1:15" x14ac:dyDescent="0.2">
      <c r="A429"/>
      <c r="B429"/>
      <c r="C429"/>
      <c r="F429"/>
      <c r="G429"/>
      <c r="L429"/>
      <c r="M429"/>
      <c r="N429"/>
      <c r="O429"/>
    </row>
    <row r="430" spans="1:15" x14ac:dyDescent="0.2">
      <c r="A430"/>
      <c r="B430"/>
      <c r="C430"/>
      <c r="F430"/>
      <c r="G430"/>
      <c r="I430"/>
      <c r="L430"/>
      <c r="M430"/>
      <c r="N430"/>
      <c r="O430"/>
    </row>
    <row r="431" spans="1:15" x14ac:dyDescent="0.2">
      <c r="A431"/>
      <c r="B431"/>
      <c r="C431"/>
      <c r="F431"/>
      <c r="G431"/>
      <c r="H431"/>
      <c r="I431"/>
      <c r="L431"/>
      <c r="N431"/>
      <c r="O431"/>
    </row>
    <row r="432" spans="1:15" x14ac:dyDescent="0.2">
      <c r="A432"/>
      <c r="B432"/>
      <c r="C432"/>
      <c r="F432"/>
      <c r="G432"/>
      <c r="H432"/>
      <c r="I432"/>
      <c r="L432"/>
      <c r="M432"/>
      <c r="N432"/>
      <c r="O432"/>
    </row>
    <row r="433" spans="1:15" x14ac:dyDescent="0.2">
      <c r="A433"/>
      <c r="B433"/>
      <c r="C433"/>
      <c r="F433"/>
      <c r="G433"/>
      <c r="I433"/>
      <c r="L433"/>
      <c r="M433"/>
      <c r="N433"/>
      <c r="O433"/>
    </row>
    <row r="434" spans="1:15" x14ac:dyDescent="0.2">
      <c r="A434"/>
      <c r="B434"/>
      <c r="C434"/>
      <c r="F434"/>
      <c r="G434"/>
      <c r="H434"/>
      <c r="I434"/>
      <c r="L434"/>
      <c r="M434"/>
      <c r="N434"/>
      <c r="O434"/>
    </row>
    <row r="435" spans="1:15" x14ac:dyDescent="0.2">
      <c r="A435"/>
      <c r="B435"/>
      <c r="C435"/>
      <c r="F435"/>
      <c r="G435"/>
      <c r="H435"/>
      <c r="I435"/>
      <c r="L435"/>
      <c r="M435"/>
      <c r="N435"/>
      <c r="O435"/>
    </row>
    <row r="436" spans="1:15" x14ac:dyDescent="0.2">
      <c r="A436"/>
      <c r="B436"/>
      <c r="C436"/>
      <c r="F436"/>
      <c r="G436"/>
      <c r="H436"/>
      <c r="I436"/>
      <c r="L436"/>
      <c r="N436"/>
      <c r="O436"/>
    </row>
    <row r="437" spans="1:15" x14ac:dyDescent="0.2">
      <c r="A437"/>
      <c r="B437"/>
      <c r="C437"/>
      <c r="F437"/>
      <c r="G437"/>
      <c r="H437"/>
      <c r="I437"/>
      <c r="L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N444"/>
      <c r="O444"/>
    </row>
    <row r="445" spans="1:15" x14ac:dyDescent="0.2">
      <c r="A445"/>
      <c r="B445"/>
      <c r="C445"/>
      <c r="F445"/>
      <c r="G445"/>
      <c r="H445"/>
      <c r="I445"/>
      <c r="L445"/>
      <c r="N445"/>
      <c r="O445"/>
    </row>
    <row r="446" spans="1:15" x14ac:dyDescent="0.2">
      <c r="A446"/>
      <c r="B446"/>
      <c r="C446"/>
      <c r="F446"/>
      <c r="G446"/>
      <c r="I446"/>
      <c r="L446"/>
      <c r="M446"/>
      <c r="N446"/>
      <c r="O446"/>
    </row>
    <row r="447" spans="1:15" x14ac:dyDescent="0.2">
      <c r="A447"/>
      <c r="B447"/>
      <c r="C447"/>
      <c r="F447"/>
      <c r="G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M450"/>
      <c r="N450"/>
      <c r="O450"/>
    </row>
    <row r="451" spans="1:15" x14ac:dyDescent="0.2">
      <c r="A451"/>
      <c r="B451"/>
      <c r="C451"/>
      <c r="F451"/>
      <c r="G451"/>
      <c r="H451"/>
      <c r="I451"/>
      <c r="L451"/>
      <c r="N451"/>
      <c r="O451"/>
    </row>
    <row r="452" spans="1:15" x14ac:dyDescent="0.2">
      <c r="A452"/>
      <c r="B452"/>
      <c r="C452"/>
      <c r="F452"/>
      <c r="G452"/>
      <c r="H452"/>
      <c r="I452"/>
      <c r="L452"/>
      <c r="M452"/>
      <c r="N452"/>
      <c r="O452"/>
    </row>
    <row r="453" spans="1:15" x14ac:dyDescent="0.2">
      <c r="A453"/>
      <c r="B453"/>
      <c r="C453"/>
      <c r="F453"/>
      <c r="G453"/>
      <c r="H453"/>
      <c r="I453"/>
      <c r="L453"/>
      <c r="M453"/>
      <c r="N453"/>
      <c r="O453"/>
    </row>
    <row r="454" spans="1:15" x14ac:dyDescent="0.2">
      <c r="A454"/>
      <c r="B454"/>
      <c r="C454"/>
      <c r="F454"/>
      <c r="G454"/>
      <c r="H454"/>
      <c r="I454"/>
      <c r="L454"/>
      <c r="N454"/>
      <c r="O454"/>
    </row>
    <row r="455" spans="1:15" x14ac:dyDescent="0.2">
      <c r="A455"/>
      <c r="B455"/>
      <c r="C455"/>
      <c r="F455"/>
      <c r="G455"/>
      <c r="H455"/>
      <c r="I455"/>
      <c r="L455"/>
      <c r="M455"/>
      <c r="N455"/>
      <c r="O455"/>
    </row>
    <row r="456" spans="1:15" x14ac:dyDescent="0.2">
      <c r="A456"/>
      <c r="B456"/>
      <c r="C456"/>
      <c r="F456"/>
      <c r="G456"/>
      <c r="H456"/>
      <c r="I456"/>
      <c r="L456"/>
      <c r="M456"/>
      <c r="N456"/>
      <c r="O456"/>
    </row>
    <row r="457" spans="1:15" x14ac:dyDescent="0.2">
      <c r="A457"/>
      <c r="B457"/>
      <c r="C457"/>
      <c r="F457"/>
      <c r="G457"/>
      <c r="I457"/>
      <c r="L457"/>
      <c r="N457"/>
      <c r="O457"/>
    </row>
    <row r="458" spans="1:15" x14ac:dyDescent="0.2">
      <c r="A458"/>
      <c r="B458"/>
      <c r="C458"/>
      <c r="F458"/>
      <c r="G458"/>
      <c r="H458"/>
      <c r="I458"/>
      <c r="L458"/>
      <c r="M458"/>
      <c r="N458"/>
      <c r="O458"/>
    </row>
    <row r="459" spans="1:15" x14ac:dyDescent="0.2">
      <c r="A459"/>
      <c r="B459"/>
      <c r="C459"/>
      <c r="F459"/>
      <c r="G459"/>
      <c r="H459"/>
      <c r="I459"/>
      <c r="L459"/>
      <c r="M459"/>
      <c r="N459"/>
      <c r="O459"/>
    </row>
    <row r="460" spans="1:15" x14ac:dyDescent="0.2">
      <c r="A460"/>
      <c r="B460"/>
      <c r="C460"/>
      <c r="F460"/>
      <c r="G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I465"/>
      <c r="L465"/>
      <c r="M465"/>
      <c r="N465"/>
      <c r="O465"/>
    </row>
    <row r="466" spans="1:15" x14ac:dyDescent="0.2">
      <c r="A466"/>
      <c r="B466"/>
      <c r="C466"/>
      <c r="F466"/>
      <c r="G466"/>
      <c r="I466"/>
      <c r="L466"/>
      <c r="M466"/>
      <c r="N466"/>
      <c r="O466"/>
    </row>
    <row r="467" spans="1:15" x14ac:dyDescent="0.2">
      <c r="A467"/>
      <c r="B467"/>
      <c r="C467"/>
      <c r="F467"/>
      <c r="G467"/>
      <c r="M467"/>
      <c r="N467"/>
      <c r="O467"/>
    </row>
    <row r="468" spans="1:15" x14ac:dyDescent="0.2">
      <c r="A468"/>
      <c r="B468"/>
      <c r="C468"/>
      <c r="F468"/>
      <c r="G468"/>
      <c r="H468"/>
      <c r="I468"/>
      <c r="L468"/>
      <c r="M468"/>
      <c r="N468"/>
      <c r="O468"/>
    </row>
    <row r="469" spans="1:15" x14ac:dyDescent="0.2">
      <c r="A469"/>
      <c r="B469"/>
      <c r="C469"/>
      <c r="F469"/>
      <c r="G469"/>
      <c r="I469"/>
      <c r="L469"/>
      <c r="M469"/>
      <c r="N469"/>
      <c r="O469"/>
    </row>
    <row r="470" spans="1:15" x14ac:dyDescent="0.2">
      <c r="A470"/>
      <c r="B470"/>
      <c r="C470"/>
      <c r="F470"/>
      <c r="G470"/>
      <c r="M470"/>
      <c r="N470"/>
      <c r="O470"/>
    </row>
    <row r="471" spans="1:15" x14ac:dyDescent="0.2">
      <c r="A471"/>
      <c r="B471"/>
      <c r="C471"/>
      <c r="F471"/>
      <c r="G471"/>
      <c r="H471"/>
      <c r="I471"/>
      <c r="J471"/>
      <c r="K471"/>
      <c r="L471"/>
      <c r="M471"/>
      <c r="N471"/>
      <c r="O471"/>
    </row>
    <row r="472" spans="1:15" x14ac:dyDescent="0.2">
      <c r="A472"/>
      <c r="B472"/>
      <c r="C472"/>
      <c r="F472"/>
      <c r="G472"/>
      <c r="I472"/>
      <c r="L472"/>
      <c r="M472"/>
      <c r="N472"/>
      <c r="O472"/>
    </row>
    <row r="473" spans="1:15" x14ac:dyDescent="0.2">
      <c r="A473"/>
      <c r="B473"/>
      <c r="C473"/>
      <c r="F473"/>
      <c r="G473"/>
      <c r="L473"/>
      <c r="M473"/>
      <c r="N473"/>
      <c r="O473"/>
    </row>
    <row r="474" spans="1:15" x14ac:dyDescent="0.2">
      <c r="A474"/>
      <c r="B474"/>
      <c r="C474"/>
      <c r="F474"/>
      <c r="G474"/>
      <c r="H474"/>
      <c r="I474"/>
      <c r="L474"/>
      <c r="M474"/>
      <c r="N474"/>
      <c r="O474"/>
    </row>
    <row r="475" spans="1:15" x14ac:dyDescent="0.2">
      <c r="A475"/>
      <c r="B475"/>
      <c r="C475"/>
      <c r="F475"/>
      <c r="G475"/>
      <c r="I475"/>
      <c r="L475"/>
      <c r="M475"/>
      <c r="N475"/>
      <c r="O475"/>
    </row>
    <row r="476" spans="1:15" x14ac:dyDescent="0.2">
      <c r="A476"/>
      <c r="B476"/>
      <c r="C476"/>
      <c r="F476"/>
      <c r="G476"/>
      <c r="H476"/>
      <c r="I476"/>
      <c r="L476"/>
      <c r="M476"/>
      <c r="N476"/>
      <c r="O476"/>
    </row>
    <row r="477" spans="1:15" x14ac:dyDescent="0.2">
      <c r="A477"/>
      <c r="B477"/>
      <c r="C477"/>
      <c r="F477"/>
      <c r="G477"/>
      <c r="H477"/>
      <c r="I477"/>
      <c r="L477"/>
      <c r="M477"/>
      <c r="N477"/>
      <c r="O477"/>
    </row>
    <row r="478" spans="1:15" x14ac:dyDescent="0.2">
      <c r="A478"/>
      <c r="B478"/>
      <c r="C478"/>
      <c r="F478"/>
      <c r="G478"/>
      <c r="H478"/>
      <c r="L478"/>
      <c r="M478"/>
      <c r="N478"/>
      <c r="O478"/>
    </row>
    <row r="479" spans="1:15" x14ac:dyDescent="0.2">
      <c r="A479"/>
      <c r="B479"/>
      <c r="C479"/>
      <c r="F479"/>
      <c r="G479"/>
      <c r="H479"/>
      <c r="I479"/>
      <c r="L479"/>
      <c r="M479"/>
      <c r="N479"/>
      <c r="O479"/>
    </row>
    <row r="480" spans="1:15" x14ac:dyDescent="0.2">
      <c r="A480"/>
      <c r="B480"/>
      <c r="C480"/>
      <c r="F480"/>
      <c r="G480"/>
      <c r="H480"/>
      <c r="J480"/>
      <c r="K480"/>
      <c r="L480"/>
      <c r="M480"/>
      <c r="N480"/>
      <c r="O480"/>
    </row>
    <row r="481" spans="1:15" x14ac:dyDescent="0.2">
      <c r="A481"/>
      <c r="B481"/>
      <c r="C481"/>
      <c r="F481"/>
      <c r="G481"/>
      <c r="H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J484"/>
      <c r="K484"/>
      <c r="L484"/>
      <c r="M484"/>
      <c r="N484"/>
      <c r="O484"/>
    </row>
    <row r="485" spans="1:15" x14ac:dyDescent="0.2">
      <c r="A485"/>
      <c r="B485"/>
      <c r="C485"/>
      <c r="F485"/>
      <c r="G485"/>
      <c r="H485"/>
      <c r="I485"/>
      <c r="L485"/>
      <c r="N485"/>
      <c r="O485"/>
    </row>
    <row r="486" spans="1:15" x14ac:dyDescent="0.2">
      <c r="A486"/>
      <c r="B486"/>
      <c r="C486"/>
      <c r="F486"/>
      <c r="G486"/>
      <c r="J486"/>
      <c r="K486"/>
      <c r="L486"/>
      <c r="M486"/>
      <c r="N486"/>
      <c r="O486"/>
    </row>
    <row r="487" spans="1:15" x14ac:dyDescent="0.2">
      <c r="A487"/>
      <c r="B487"/>
      <c r="C487"/>
      <c r="F487"/>
      <c r="G487"/>
      <c r="I487"/>
      <c r="L487"/>
      <c r="M487"/>
      <c r="N487"/>
      <c r="O487"/>
    </row>
    <row r="488" spans="1:15" x14ac:dyDescent="0.2">
      <c r="A488"/>
      <c r="B488"/>
      <c r="C488"/>
      <c r="F488"/>
      <c r="G488"/>
      <c r="H488"/>
      <c r="I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H495"/>
      <c r="I495"/>
      <c r="L495"/>
      <c r="M495"/>
      <c r="N495"/>
      <c r="O495"/>
    </row>
    <row r="496" spans="1:15" x14ac:dyDescent="0.2">
      <c r="A496"/>
      <c r="B496"/>
      <c r="C496"/>
      <c r="F496"/>
      <c r="G496"/>
      <c r="I496"/>
      <c r="L496"/>
      <c r="M496"/>
      <c r="N496"/>
      <c r="O496"/>
    </row>
    <row r="497" spans="1:15" x14ac:dyDescent="0.2">
      <c r="A497"/>
      <c r="B497"/>
      <c r="C497"/>
      <c r="F497"/>
      <c r="G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J501"/>
      <c r="L501"/>
      <c r="M501"/>
      <c r="N501"/>
      <c r="O501"/>
    </row>
    <row r="502" spans="1:15" x14ac:dyDescent="0.2">
      <c r="A502"/>
      <c r="B502"/>
      <c r="C502"/>
      <c r="F502"/>
      <c r="G502"/>
      <c r="H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I505"/>
      <c r="L505"/>
      <c r="M505"/>
      <c r="N505"/>
      <c r="O505"/>
    </row>
    <row r="506" spans="1:15" x14ac:dyDescent="0.2">
      <c r="A506"/>
      <c r="B506"/>
      <c r="C506"/>
      <c r="F506"/>
      <c r="G506"/>
      <c r="H506"/>
      <c r="I506"/>
      <c r="L506"/>
      <c r="M506"/>
      <c r="N506"/>
      <c r="O506"/>
    </row>
    <row r="507" spans="1:15" x14ac:dyDescent="0.2">
      <c r="A507"/>
      <c r="B507"/>
      <c r="C507"/>
      <c r="F507"/>
      <c r="G507"/>
      <c r="I507"/>
      <c r="L507"/>
      <c r="M507"/>
      <c r="N507"/>
      <c r="O507"/>
    </row>
    <row r="508" spans="1:15" x14ac:dyDescent="0.2">
      <c r="A508"/>
      <c r="B508"/>
      <c r="C508"/>
      <c r="F508"/>
      <c r="G508"/>
      <c r="L508"/>
      <c r="M508"/>
      <c r="N508"/>
      <c r="O508"/>
    </row>
    <row r="509" spans="1:15" x14ac:dyDescent="0.2">
      <c r="A509"/>
      <c r="B509"/>
      <c r="C509"/>
      <c r="F509"/>
      <c r="G509"/>
      <c r="H509"/>
      <c r="I509"/>
      <c r="J509"/>
      <c r="K509"/>
      <c r="L509"/>
      <c r="M509"/>
      <c r="N509"/>
      <c r="O509"/>
    </row>
    <row r="510" spans="1:15" x14ac:dyDescent="0.2">
      <c r="A510"/>
      <c r="B510"/>
      <c r="C510"/>
      <c r="F510"/>
      <c r="G510"/>
      <c r="H510"/>
      <c r="I510"/>
      <c r="L510"/>
      <c r="M510"/>
      <c r="N510"/>
      <c r="O510"/>
    </row>
    <row r="511" spans="1:15" x14ac:dyDescent="0.2">
      <c r="A511"/>
      <c r="B511"/>
      <c r="C511"/>
      <c r="F511"/>
      <c r="G511"/>
      <c r="I511"/>
      <c r="L511"/>
      <c r="M511"/>
      <c r="N511"/>
      <c r="O511"/>
    </row>
    <row r="512" spans="1:15" x14ac:dyDescent="0.2">
      <c r="A512"/>
      <c r="B512"/>
      <c r="C512"/>
      <c r="F512"/>
      <c r="G512"/>
      <c r="H512"/>
      <c r="J512"/>
      <c r="K512"/>
      <c r="L512"/>
      <c r="M512"/>
      <c r="N512"/>
      <c r="O512"/>
    </row>
    <row r="513" spans="1:15" x14ac:dyDescent="0.2">
      <c r="A513"/>
      <c r="B513"/>
      <c r="C513"/>
      <c r="F513"/>
      <c r="G513"/>
      <c r="H513"/>
      <c r="I513"/>
      <c r="L513"/>
      <c r="M513"/>
      <c r="N513"/>
      <c r="O513"/>
    </row>
    <row r="514" spans="1:15" x14ac:dyDescent="0.2">
      <c r="A514"/>
      <c r="B514"/>
      <c r="C514"/>
      <c r="F514"/>
      <c r="G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I517"/>
      <c r="L517"/>
      <c r="M517"/>
      <c r="N517"/>
      <c r="O517"/>
    </row>
    <row r="518" spans="1:15" x14ac:dyDescent="0.2">
      <c r="A518"/>
      <c r="B518"/>
      <c r="C518"/>
      <c r="F518"/>
      <c r="G518"/>
      <c r="H518"/>
      <c r="J518"/>
      <c r="K518"/>
      <c r="L518"/>
      <c r="M518"/>
      <c r="N518"/>
      <c r="O518"/>
    </row>
    <row r="519" spans="1:15" x14ac:dyDescent="0.2">
      <c r="A519"/>
      <c r="B519"/>
      <c r="C519"/>
      <c r="F519"/>
      <c r="G519"/>
      <c r="M519"/>
      <c r="N519"/>
      <c r="O519"/>
    </row>
    <row r="520" spans="1:15" x14ac:dyDescent="0.2">
      <c r="A520"/>
      <c r="B520"/>
      <c r="C520"/>
      <c r="F520"/>
      <c r="G520"/>
      <c r="H520"/>
      <c r="I520"/>
      <c r="L520"/>
      <c r="M520"/>
      <c r="N520"/>
      <c r="O520"/>
    </row>
    <row r="521" spans="1:15" x14ac:dyDescent="0.2">
      <c r="A521"/>
      <c r="B521"/>
      <c r="C521"/>
      <c r="F521"/>
      <c r="G521"/>
      <c r="I521"/>
      <c r="L521"/>
      <c r="M521"/>
      <c r="N521"/>
      <c r="O521"/>
    </row>
    <row r="522" spans="1:15" x14ac:dyDescent="0.2">
      <c r="A522"/>
      <c r="B522"/>
      <c r="C522"/>
      <c r="F522"/>
      <c r="G522"/>
      <c r="H522"/>
      <c r="I522"/>
      <c r="L522"/>
      <c r="M522"/>
      <c r="N522"/>
      <c r="O522"/>
    </row>
    <row r="523" spans="1:15" x14ac:dyDescent="0.2">
      <c r="A523"/>
      <c r="B523"/>
      <c r="C523"/>
      <c r="F523"/>
      <c r="G523"/>
      <c r="H523"/>
      <c r="I523"/>
      <c r="L523"/>
      <c r="M523"/>
      <c r="N523"/>
      <c r="O523"/>
    </row>
    <row r="524" spans="1:15" x14ac:dyDescent="0.2">
      <c r="A524"/>
      <c r="B524"/>
      <c r="C524"/>
      <c r="F524"/>
      <c r="G524"/>
      <c r="H524"/>
      <c r="J524"/>
      <c r="K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I528"/>
      <c r="L528"/>
      <c r="M528"/>
      <c r="N528"/>
      <c r="O528"/>
    </row>
    <row r="529" spans="1:15" x14ac:dyDescent="0.2">
      <c r="A529"/>
      <c r="B529"/>
      <c r="C529"/>
      <c r="F529"/>
      <c r="G529"/>
      <c r="I529"/>
      <c r="L529"/>
      <c r="M529"/>
      <c r="N529"/>
      <c r="O529"/>
    </row>
    <row r="530" spans="1:15" x14ac:dyDescent="0.2">
      <c r="A530"/>
      <c r="B530"/>
      <c r="C530"/>
      <c r="F530"/>
      <c r="G530"/>
      <c r="H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J537"/>
      <c r="L537"/>
      <c r="M537"/>
      <c r="N537"/>
      <c r="O537"/>
    </row>
    <row r="538" spans="1:15" x14ac:dyDescent="0.2">
      <c r="A538"/>
      <c r="B538"/>
      <c r="C538"/>
      <c r="F538"/>
      <c r="G538"/>
      <c r="H538"/>
      <c r="L538"/>
      <c r="M538"/>
      <c r="N538"/>
      <c r="O538"/>
    </row>
    <row r="539" spans="1:15" x14ac:dyDescent="0.2">
      <c r="A539"/>
      <c r="B539"/>
      <c r="C539"/>
      <c r="F539"/>
      <c r="G539"/>
      <c r="J539"/>
      <c r="K539"/>
      <c r="L539"/>
      <c r="M539"/>
      <c r="N539"/>
      <c r="O539"/>
    </row>
    <row r="540" spans="1:15" x14ac:dyDescent="0.2">
      <c r="A540"/>
      <c r="B540"/>
      <c r="C540"/>
      <c r="F540"/>
      <c r="G540"/>
      <c r="L540"/>
      <c r="M540"/>
      <c r="N540"/>
      <c r="O540"/>
    </row>
    <row r="541" spans="1:15" x14ac:dyDescent="0.2">
      <c r="A541"/>
      <c r="B541"/>
      <c r="C541"/>
      <c r="F541"/>
      <c r="G541"/>
      <c r="H541"/>
      <c r="J541"/>
      <c r="K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I551"/>
      <c r="L551"/>
      <c r="M551"/>
      <c r="N551"/>
      <c r="O551"/>
    </row>
    <row r="552" spans="1:15" x14ac:dyDescent="0.2">
      <c r="A552"/>
      <c r="B552"/>
      <c r="C552"/>
      <c r="F552"/>
      <c r="G552"/>
      <c r="H552"/>
      <c r="I552"/>
      <c r="L552"/>
      <c r="M552"/>
      <c r="N552"/>
      <c r="O552"/>
    </row>
    <row r="553" spans="1:15" x14ac:dyDescent="0.2">
      <c r="A553"/>
      <c r="B553"/>
      <c r="C553"/>
      <c r="F553"/>
      <c r="G553"/>
      <c r="L553"/>
      <c r="M553"/>
      <c r="N553"/>
      <c r="O553"/>
    </row>
    <row r="554" spans="1:15" x14ac:dyDescent="0.2">
      <c r="A554"/>
      <c r="B554"/>
      <c r="C554"/>
      <c r="F554"/>
      <c r="G554"/>
      <c r="L554"/>
      <c r="M554"/>
      <c r="N554"/>
      <c r="O554"/>
    </row>
    <row r="555" spans="1:15" x14ac:dyDescent="0.2">
      <c r="A555"/>
      <c r="B555"/>
      <c r="C555"/>
      <c r="F555"/>
      <c r="G555"/>
      <c r="H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H558"/>
      <c r="I558"/>
      <c r="L558"/>
      <c r="M558"/>
      <c r="N558"/>
      <c r="O558"/>
    </row>
    <row r="559" spans="1:15" x14ac:dyDescent="0.2">
      <c r="A559"/>
      <c r="B559"/>
      <c r="C559"/>
      <c r="F559"/>
      <c r="G559"/>
      <c r="M559"/>
      <c r="N559"/>
      <c r="O559"/>
    </row>
    <row r="560" spans="1:15" x14ac:dyDescent="0.2">
      <c r="A560"/>
      <c r="B560"/>
      <c r="C560"/>
      <c r="F560"/>
      <c r="G560"/>
      <c r="H560"/>
      <c r="I560"/>
      <c r="L560"/>
      <c r="M560"/>
      <c r="N560"/>
      <c r="O560"/>
    </row>
    <row r="561" spans="1:15" x14ac:dyDescent="0.2">
      <c r="A561"/>
      <c r="B561"/>
      <c r="C561"/>
      <c r="F561"/>
      <c r="G561"/>
      <c r="H561"/>
      <c r="L561"/>
      <c r="M561"/>
      <c r="N561"/>
      <c r="O561"/>
    </row>
    <row r="562" spans="1:15" x14ac:dyDescent="0.2">
      <c r="A562"/>
      <c r="B562"/>
      <c r="C562"/>
      <c r="F562"/>
      <c r="G562"/>
      <c r="I562"/>
      <c r="L562"/>
      <c r="M562"/>
      <c r="N562"/>
      <c r="O562"/>
    </row>
    <row r="563" spans="1:15" x14ac:dyDescent="0.2">
      <c r="A563"/>
      <c r="B563"/>
      <c r="C563"/>
      <c r="F563"/>
      <c r="G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H566"/>
      <c r="I566"/>
      <c r="L566"/>
      <c r="M566"/>
      <c r="N566"/>
      <c r="O566"/>
    </row>
    <row r="567" spans="1:15" x14ac:dyDescent="0.2">
      <c r="A567"/>
      <c r="B567"/>
      <c r="C567"/>
      <c r="F567"/>
      <c r="G567"/>
      <c r="L567"/>
      <c r="M567"/>
      <c r="N567"/>
      <c r="O567"/>
    </row>
    <row r="568" spans="1:15" x14ac:dyDescent="0.2">
      <c r="A568"/>
      <c r="B568"/>
      <c r="C568"/>
      <c r="F568"/>
      <c r="G568"/>
      <c r="H568"/>
      <c r="I568"/>
      <c r="L568"/>
      <c r="M568"/>
      <c r="N568"/>
      <c r="O568"/>
    </row>
    <row r="569" spans="1:15" x14ac:dyDescent="0.2">
      <c r="A569"/>
      <c r="B569"/>
      <c r="C569"/>
      <c r="F569"/>
      <c r="G569"/>
      <c r="I569"/>
      <c r="L569"/>
      <c r="M569"/>
      <c r="N569"/>
      <c r="O569"/>
    </row>
    <row r="570" spans="1:15" x14ac:dyDescent="0.2">
      <c r="A570"/>
      <c r="B570"/>
      <c r="C570"/>
      <c r="F570"/>
      <c r="G570"/>
      <c r="L570"/>
      <c r="M570"/>
      <c r="N570"/>
      <c r="O570"/>
    </row>
    <row r="571" spans="1:15" x14ac:dyDescent="0.2">
      <c r="A571"/>
      <c r="B571"/>
      <c r="C571"/>
      <c r="F571"/>
      <c r="G571"/>
      <c r="I571"/>
      <c r="L571"/>
      <c r="M571"/>
      <c r="N571"/>
      <c r="O571"/>
    </row>
    <row r="572" spans="1:15" x14ac:dyDescent="0.2">
      <c r="A572"/>
      <c r="B572"/>
      <c r="C572"/>
      <c r="F572"/>
      <c r="G572"/>
      <c r="H572"/>
      <c r="I572"/>
      <c r="L572"/>
      <c r="N572"/>
      <c r="O572"/>
    </row>
    <row r="573" spans="1:15" x14ac:dyDescent="0.2">
      <c r="A573"/>
      <c r="B573"/>
      <c r="C573"/>
      <c r="F573"/>
      <c r="G573"/>
      <c r="H573"/>
      <c r="I573"/>
      <c r="L573"/>
      <c r="N573"/>
      <c r="O573"/>
    </row>
    <row r="574" spans="1:15" x14ac:dyDescent="0.2">
      <c r="A574"/>
      <c r="B574"/>
      <c r="C574"/>
      <c r="F574"/>
      <c r="G574"/>
      <c r="M574"/>
      <c r="N574"/>
      <c r="O574"/>
    </row>
    <row r="575" spans="1:15" x14ac:dyDescent="0.2">
      <c r="A575"/>
      <c r="B575"/>
      <c r="C575"/>
      <c r="F575"/>
      <c r="G575"/>
      <c r="I575"/>
      <c r="L575"/>
      <c r="M575"/>
      <c r="N575"/>
      <c r="O575"/>
    </row>
    <row r="576" spans="1:15" x14ac:dyDescent="0.2">
      <c r="A576"/>
      <c r="B576"/>
      <c r="C576"/>
      <c r="F576"/>
      <c r="G576"/>
      <c r="H576"/>
      <c r="I576"/>
      <c r="L576"/>
      <c r="M576"/>
      <c r="N576"/>
      <c r="O576"/>
    </row>
    <row r="577" spans="1:15" x14ac:dyDescent="0.2">
      <c r="A577"/>
      <c r="B577"/>
      <c r="C577"/>
      <c r="F577"/>
      <c r="G577"/>
      <c r="L577"/>
      <c r="M577"/>
      <c r="N577"/>
      <c r="O577"/>
    </row>
    <row r="578" spans="1:15" x14ac:dyDescent="0.2">
      <c r="A578"/>
      <c r="B578"/>
      <c r="C578"/>
      <c r="F578"/>
      <c r="G578"/>
      <c r="H578"/>
      <c r="I578"/>
      <c r="L578"/>
      <c r="M578"/>
      <c r="N578"/>
      <c r="O578"/>
    </row>
    <row r="579" spans="1:15" x14ac:dyDescent="0.2">
      <c r="A579"/>
      <c r="B579"/>
      <c r="C579"/>
      <c r="F579"/>
      <c r="G579"/>
      <c r="J579"/>
      <c r="K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H582"/>
      <c r="I582"/>
      <c r="L582"/>
      <c r="M582"/>
      <c r="N582"/>
      <c r="O582"/>
    </row>
    <row r="583" spans="1:15" x14ac:dyDescent="0.2">
      <c r="A583"/>
      <c r="B583"/>
      <c r="C583"/>
      <c r="F583"/>
      <c r="G583"/>
      <c r="J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N587"/>
      <c r="O587"/>
    </row>
    <row r="588" spans="1:15" x14ac:dyDescent="0.2">
      <c r="A588"/>
      <c r="B588"/>
      <c r="C588"/>
      <c r="F588"/>
      <c r="G588"/>
      <c r="H588"/>
      <c r="L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H596"/>
      <c r="J596"/>
      <c r="K596"/>
      <c r="L596"/>
      <c r="M596"/>
      <c r="N596"/>
      <c r="O596"/>
    </row>
    <row r="597" spans="1:15" x14ac:dyDescent="0.2">
      <c r="A597"/>
      <c r="B597"/>
      <c r="C597"/>
      <c r="F597"/>
      <c r="G597"/>
      <c r="H597"/>
      <c r="J597"/>
      <c r="K597"/>
      <c r="L597"/>
      <c r="M597"/>
      <c r="N597"/>
      <c r="O597"/>
    </row>
    <row r="598" spans="1:15" x14ac:dyDescent="0.2">
      <c r="A598"/>
      <c r="B598"/>
      <c r="C598"/>
      <c r="F598"/>
      <c r="G598"/>
      <c r="L598"/>
      <c r="M598"/>
      <c r="N598"/>
      <c r="O598"/>
    </row>
    <row r="599" spans="1:15" x14ac:dyDescent="0.2">
      <c r="A599"/>
      <c r="B599"/>
      <c r="C599"/>
      <c r="F599"/>
      <c r="G599"/>
      <c r="J599"/>
      <c r="K599"/>
      <c r="L599"/>
      <c r="M599"/>
      <c r="N599"/>
      <c r="O599"/>
    </row>
    <row r="600" spans="1:15" x14ac:dyDescent="0.2">
      <c r="A600"/>
      <c r="B600"/>
      <c r="C600"/>
      <c r="F600"/>
      <c r="G600"/>
      <c r="H600"/>
      <c r="I600"/>
      <c r="L600"/>
      <c r="M600"/>
      <c r="N600"/>
      <c r="O600"/>
    </row>
    <row r="601" spans="1:15" x14ac:dyDescent="0.2">
      <c r="A601"/>
      <c r="B601"/>
      <c r="C601"/>
      <c r="F601"/>
      <c r="G601"/>
      <c r="I601"/>
      <c r="L601"/>
      <c r="M601"/>
      <c r="N601"/>
      <c r="O601"/>
    </row>
    <row r="602" spans="1:15" x14ac:dyDescent="0.2">
      <c r="A602"/>
      <c r="B602"/>
      <c r="C602"/>
      <c r="F602"/>
      <c r="G602"/>
      <c r="L602"/>
      <c r="M602"/>
      <c r="N602"/>
      <c r="O602"/>
    </row>
    <row r="603" spans="1:15" x14ac:dyDescent="0.2">
      <c r="A603"/>
      <c r="B603"/>
      <c r="C603"/>
      <c r="F603"/>
      <c r="G603"/>
      <c r="J603"/>
      <c r="K603"/>
      <c r="L603"/>
      <c r="M603"/>
      <c r="N603"/>
      <c r="O603"/>
    </row>
    <row r="604" spans="1:15" x14ac:dyDescent="0.2">
      <c r="A604"/>
      <c r="B604"/>
      <c r="C604"/>
      <c r="F604"/>
      <c r="G604"/>
      <c r="H604"/>
      <c r="J604"/>
      <c r="K604"/>
      <c r="L604"/>
      <c r="M604"/>
      <c r="N604"/>
      <c r="O604"/>
    </row>
    <row r="605" spans="1:15" x14ac:dyDescent="0.2">
      <c r="A605"/>
      <c r="B605"/>
      <c r="C605"/>
      <c r="F605"/>
      <c r="G605"/>
      <c r="M605"/>
      <c r="N605"/>
      <c r="O605"/>
    </row>
    <row r="606" spans="1:15" x14ac:dyDescent="0.2">
      <c r="A606"/>
      <c r="B606"/>
      <c r="C606"/>
      <c r="F606"/>
      <c r="G606"/>
      <c r="L606"/>
      <c r="M606"/>
      <c r="N606"/>
      <c r="O606"/>
    </row>
    <row r="607" spans="1:15" x14ac:dyDescent="0.2">
      <c r="A607"/>
      <c r="B607"/>
      <c r="C607"/>
      <c r="F607"/>
      <c r="G607"/>
      <c r="H607"/>
      <c r="I607"/>
      <c r="L607"/>
      <c r="N607"/>
      <c r="O607"/>
    </row>
    <row r="608" spans="1:15" x14ac:dyDescent="0.2">
      <c r="A608"/>
      <c r="B608"/>
      <c r="C608"/>
      <c r="F608"/>
      <c r="G608"/>
      <c r="H608"/>
      <c r="I608"/>
      <c r="L608"/>
      <c r="M608"/>
      <c r="N608"/>
      <c r="O608"/>
    </row>
    <row r="609" spans="1:15" x14ac:dyDescent="0.2">
      <c r="A609"/>
      <c r="B609"/>
      <c r="C609"/>
      <c r="F609"/>
      <c r="G609"/>
      <c r="L609"/>
      <c r="M609"/>
      <c r="N609"/>
      <c r="O609"/>
    </row>
    <row r="610" spans="1:15" x14ac:dyDescent="0.2">
      <c r="A610"/>
      <c r="B610"/>
      <c r="C610"/>
      <c r="F610"/>
      <c r="G610"/>
      <c r="H610"/>
      <c r="I610"/>
      <c r="L610"/>
      <c r="M610"/>
      <c r="N610"/>
      <c r="O610"/>
    </row>
    <row r="611" spans="1:15" x14ac:dyDescent="0.2">
      <c r="A611"/>
      <c r="B611"/>
      <c r="C611"/>
      <c r="F611"/>
      <c r="G611"/>
      <c r="I611"/>
      <c r="L611"/>
      <c r="M611"/>
      <c r="N611"/>
      <c r="O611"/>
    </row>
    <row r="612" spans="1:15" x14ac:dyDescent="0.2">
      <c r="A612"/>
      <c r="B612"/>
      <c r="C612"/>
      <c r="F612"/>
      <c r="G612"/>
      <c r="I612"/>
      <c r="L612"/>
      <c r="M612"/>
      <c r="N612"/>
      <c r="O612"/>
    </row>
    <row r="613" spans="1:15" x14ac:dyDescent="0.2">
      <c r="A613"/>
      <c r="B613"/>
      <c r="C613"/>
      <c r="F613"/>
      <c r="G613"/>
      <c r="H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M620"/>
      <c r="N620"/>
      <c r="O620"/>
    </row>
    <row r="621" spans="1:15" x14ac:dyDescent="0.2">
      <c r="A621"/>
      <c r="B621"/>
      <c r="C621"/>
      <c r="F621"/>
      <c r="G621"/>
      <c r="I621"/>
      <c r="L621"/>
      <c r="M621"/>
      <c r="N621"/>
      <c r="O621"/>
    </row>
    <row r="622" spans="1:15" x14ac:dyDescent="0.2">
      <c r="A622"/>
      <c r="B622"/>
      <c r="C622"/>
      <c r="F622"/>
      <c r="G622"/>
      <c r="H622"/>
      <c r="I622"/>
      <c r="L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I626"/>
      <c r="L626"/>
      <c r="M626"/>
      <c r="N626"/>
      <c r="O626"/>
    </row>
    <row r="627" spans="1:15" x14ac:dyDescent="0.2">
      <c r="A627"/>
      <c r="B627"/>
      <c r="C627"/>
      <c r="F627"/>
      <c r="G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H632"/>
      <c r="J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L637"/>
      <c r="M637"/>
      <c r="N637"/>
      <c r="O637"/>
    </row>
    <row r="638" spans="1:15" x14ac:dyDescent="0.2">
      <c r="A638"/>
      <c r="B638"/>
      <c r="C638"/>
      <c r="F638"/>
      <c r="G638"/>
      <c r="J638"/>
      <c r="K638"/>
      <c r="L638"/>
      <c r="M638"/>
      <c r="N638"/>
      <c r="O638"/>
    </row>
    <row r="639" spans="1:15" x14ac:dyDescent="0.2">
      <c r="A639"/>
      <c r="B639"/>
      <c r="C639"/>
      <c r="F639"/>
      <c r="G639"/>
      <c r="L639"/>
      <c r="M639"/>
      <c r="N639"/>
      <c r="O639"/>
    </row>
    <row r="640" spans="1:15" x14ac:dyDescent="0.2">
      <c r="A640"/>
      <c r="B640"/>
      <c r="C640"/>
      <c r="F640"/>
      <c r="G640"/>
      <c r="H640"/>
      <c r="I640"/>
      <c r="L640"/>
      <c r="M640"/>
      <c r="N640"/>
      <c r="O640"/>
    </row>
    <row r="641" spans="1:15" x14ac:dyDescent="0.2">
      <c r="A641"/>
      <c r="B641"/>
      <c r="C641"/>
      <c r="F641"/>
      <c r="G641"/>
      <c r="M641"/>
      <c r="N641"/>
      <c r="O641"/>
    </row>
    <row r="642" spans="1:15" x14ac:dyDescent="0.2">
      <c r="A642"/>
      <c r="B642"/>
      <c r="C642"/>
      <c r="F642"/>
      <c r="G642"/>
      <c r="I642"/>
      <c r="L642"/>
      <c r="M642"/>
      <c r="N642"/>
      <c r="O642"/>
    </row>
    <row r="643" spans="1:15" x14ac:dyDescent="0.2">
      <c r="A643"/>
      <c r="B643"/>
      <c r="C643"/>
      <c r="F643"/>
      <c r="G643"/>
      <c r="H643"/>
      <c r="I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H646"/>
      <c r="I646"/>
      <c r="L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H649"/>
      <c r="I649"/>
      <c r="L649"/>
      <c r="M649"/>
      <c r="N649"/>
      <c r="O649"/>
    </row>
    <row r="650" spans="1:15" x14ac:dyDescent="0.2">
      <c r="A650"/>
      <c r="B650"/>
      <c r="C650"/>
      <c r="F650"/>
      <c r="G650"/>
      <c r="H650"/>
      <c r="J650"/>
      <c r="K650"/>
      <c r="L650"/>
      <c r="M650"/>
      <c r="N650"/>
      <c r="O650"/>
    </row>
    <row r="651" spans="1:15" x14ac:dyDescent="0.2">
      <c r="A651"/>
      <c r="B651"/>
      <c r="C651"/>
      <c r="F651"/>
      <c r="G651"/>
      <c r="H651"/>
      <c r="I651"/>
      <c r="L651"/>
      <c r="M651"/>
      <c r="N651"/>
      <c r="O651"/>
    </row>
    <row r="652" spans="1:15" x14ac:dyDescent="0.2">
      <c r="A652"/>
      <c r="B652"/>
      <c r="C652"/>
      <c r="F652"/>
      <c r="G652"/>
      <c r="H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I655"/>
      <c r="L655"/>
      <c r="M655"/>
      <c r="N655"/>
      <c r="O655"/>
    </row>
    <row r="656" spans="1:15" x14ac:dyDescent="0.2">
      <c r="A656"/>
      <c r="B656"/>
      <c r="C656"/>
      <c r="F656"/>
      <c r="G656"/>
      <c r="H656"/>
      <c r="I656"/>
      <c r="L656"/>
      <c r="N656"/>
      <c r="O656"/>
    </row>
    <row r="657" spans="1:15" x14ac:dyDescent="0.2">
      <c r="A657"/>
      <c r="B657"/>
      <c r="C657"/>
      <c r="F657"/>
      <c r="G657"/>
      <c r="H657"/>
      <c r="I657"/>
      <c r="L657"/>
      <c r="N657"/>
      <c r="O657"/>
    </row>
    <row r="658" spans="1:15" x14ac:dyDescent="0.2">
      <c r="A658"/>
      <c r="B658"/>
      <c r="C658"/>
      <c r="F658"/>
      <c r="G658"/>
      <c r="H658"/>
      <c r="I658"/>
      <c r="L658"/>
      <c r="M658"/>
      <c r="N658"/>
      <c r="O658"/>
    </row>
    <row r="659" spans="1:15" x14ac:dyDescent="0.2">
      <c r="A659"/>
      <c r="B659"/>
      <c r="C659"/>
      <c r="F659"/>
      <c r="G659"/>
      <c r="H659"/>
      <c r="I659"/>
      <c r="L659"/>
      <c r="M659"/>
      <c r="N659"/>
      <c r="O659"/>
    </row>
    <row r="660" spans="1:15" x14ac:dyDescent="0.2">
      <c r="A660"/>
      <c r="B660"/>
      <c r="C660"/>
      <c r="F660"/>
      <c r="G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L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N671"/>
      <c r="O671"/>
    </row>
    <row r="672" spans="1:15" x14ac:dyDescent="0.2">
      <c r="A672"/>
      <c r="B672"/>
      <c r="C672"/>
      <c r="F672"/>
      <c r="G672"/>
      <c r="H672"/>
      <c r="I672"/>
      <c r="L672"/>
      <c r="M672"/>
      <c r="N672"/>
      <c r="O672"/>
    </row>
    <row r="673" spans="1:15" x14ac:dyDescent="0.2">
      <c r="A673"/>
      <c r="B673"/>
      <c r="C673"/>
      <c r="F673"/>
      <c r="G673"/>
      <c r="J673"/>
      <c r="K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H679"/>
      <c r="I679"/>
      <c r="L679"/>
      <c r="M679"/>
      <c r="N679"/>
      <c r="O679"/>
    </row>
    <row r="680" spans="1:15" x14ac:dyDescent="0.2">
      <c r="A680"/>
      <c r="B680"/>
      <c r="C680"/>
      <c r="F680"/>
      <c r="G680"/>
      <c r="I680"/>
      <c r="L680"/>
      <c r="M680"/>
      <c r="N680"/>
      <c r="O680"/>
    </row>
    <row r="681" spans="1:15" x14ac:dyDescent="0.2">
      <c r="A681"/>
      <c r="B681"/>
      <c r="C681"/>
      <c r="F681"/>
      <c r="G681"/>
      <c r="H681"/>
      <c r="I681"/>
      <c r="L681"/>
      <c r="M681"/>
      <c r="N681"/>
      <c r="O681"/>
    </row>
    <row r="682" spans="1:15" x14ac:dyDescent="0.2">
      <c r="A682"/>
      <c r="B682"/>
      <c r="C682"/>
      <c r="F682"/>
      <c r="G682"/>
      <c r="L682"/>
      <c r="M682"/>
      <c r="N682"/>
      <c r="O682"/>
    </row>
    <row r="683" spans="1:15" x14ac:dyDescent="0.2">
      <c r="A683"/>
      <c r="B683"/>
      <c r="C683"/>
      <c r="F683"/>
      <c r="G683"/>
      <c r="I683"/>
      <c r="L683"/>
      <c r="M683"/>
      <c r="N683"/>
      <c r="O683"/>
    </row>
    <row r="684" spans="1:15" x14ac:dyDescent="0.2">
      <c r="A684"/>
      <c r="B684"/>
      <c r="C684"/>
      <c r="F684"/>
      <c r="G684"/>
      <c r="H684"/>
      <c r="I684"/>
      <c r="L684"/>
      <c r="M684"/>
      <c r="N684"/>
      <c r="O684"/>
    </row>
    <row r="685" spans="1:15" x14ac:dyDescent="0.2">
      <c r="A685"/>
      <c r="B685"/>
      <c r="C685"/>
      <c r="F685"/>
      <c r="G685"/>
      <c r="H685"/>
      <c r="I685"/>
      <c r="L685"/>
      <c r="N685"/>
      <c r="O685"/>
    </row>
    <row r="686" spans="1:15" x14ac:dyDescent="0.2">
      <c r="A686"/>
      <c r="B686"/>
      <c r="C686"/>
      <c r="F686"/>
      <c r="G686"/>
      <c r="H686"/>
      <c r="I686"/>
      <c r="L686"/>
      <c r="M686"/>
      <c r="N686"/>
      <c r="O686"/>
    </row>
    <row r="687" spans="1:15" x14ac:dyDescent="0.2">
      <c r="A687"/>
      <c r="B687"/>
      <c r="C687"/>
      <c r="F687"/>
      <c r="G687"/>
      <c r="H687"/>
      <c r="J687"/>
      <c r="L687"/>
      <c r="M687"/>
      <c r="N687"/>
      <c r="O687"/>
    </row>
    <row r="688" spans="1:15" x14ac:dyDescent="0.2">
      <c r="A688"/>
      <c r="B688"/>
      <c r="C688"/>
      <c r="F688"/>
      <c r="G688"/>
      <c r="H688"/>
      <c r="I688"/>
      <c r="L688"/>
      <c r="M688"/>
      <c r="N688"/>
      <c r="O688"/>
    </row>
    <row r="689" spans="1:15" x14ac:dyDescent="0.2">
      <c r="A689"/>
      <c r="B689"/>
      <c r="C689"/>
      <c r="F689"/>
      <c r="G689"/>
      <c r="I689"/>
      <c r="L689"/>
      <c r="M689"/>
      <c r="N689"/>
      <c r="O689"/>
    </row>
    <row r="690" spans="1:15" x14ac:dyDescent="0.2">
      <c r="A690"/>
      <c r="B690"/>
      <c r="C690"/>
      <c r="F690"/>
      <c r="G690"/>
      <c r="M690"/>
      <c r="N690"/>
      <c r="O690"/>
    </row>
    <row r="691" spans="1:15" x14ac:dyDescent="0.2">
      <c r="A691"/>
      <c r="B691"/>
      <c r="C691"/>
      <c r="F691"/>
      <c r="G691"/>
      <c r="H691"/>
      <c r="M691"/>
      <c r="N691"/>
      <c r="O691"/>
    </row>
    <row r="692" spans="1:15" x14ac:dyDescent="0.2">
      <c r="A692"/>
      <c r="B692"/>
      <c r="C692"/>
      <c r="F692"/>
      <c r="G692"/>
      <c r="L692"/>
      <c r="M692"/>
      <c r="N692"/>
      <c r="O692"/>
    </row>
    <row r="693" spans="1:15" x14ac:dyDescent="0.2">
      <c r="A693"/>
      <c r="B693"/>
      <c r="C693"/>
      <c r="F693"/>
      <c r="G693"/>
      <c r="H693"/>
      <c r="I693"/>
      <c r="L693"/>
      <c r="M693"/>
      <c r="N693"/>
      <c r="O693"/>
    </row>
    <row r="694" spans="1:15" x14ac:dyDescent="0.2">
      <c r="A694"/>
      <c r="B694"/>
      <c r="C694"/>
      <c r="F694"/>
      <c r="G694"/>
      <c r="H694"/>
      <c r="I694"/>
      <c r="L694"/>
      <c r="M694"/>
      <c r="N694"/>
      <c r="O694"/>
    </row>
    <row r="695" spans="1:15" x14ac:dyDescent="0.2">
      <c r="A695"/>
      <c r="B695"/>
      <c r="C695"/>
      <c r="F695"/>
      <c r="G695"/>
      <c r="M695"/>
      <c r="N695"/>
      <c r="O695"/>
    </row>
    <row r="696" spans="1:15" x14ac:dyDescent="0.2">
      <c r="A696"/>
      <c r="B696"/>
      <c r="C696"/>
      <c r="F696"/>
      <c r="G696"/>
      <c r="H696"/>
      <c r="I696"/>
      <c r="L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M702"/>
      <c r="N702"/>
      <c r="O702"/>
    </row>
    <row r="703" spans="1:15" x14ac:dyDescent="0.2">
      <c r="A703"/>
      <c r="B703"/>
      <c r="C703"/>
      <c r="F703"/>
      <c r="G703"/>
      <c r="L703"/>
      <c r="M703"/>
      <c r="N703"/>
      <c r="O703"/>
    </row>
    <row r="704" spans="1:15" x14ac:dyDescent="0.2">
      <c r="A704"/>
      <c r="B704"/>
      <c r="C704"/>
      <c r="F704"/>
      <c r="G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N709"/>
      <c r="O709"/>
    </row>
    <row r="710" spans="1:15" x14ac:dyDescent="0.2">
      <c r="A710"/>
      <c r="B710"/>
      <c r="C710"/>
      <c r="F710"/>
      <c r="G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M713"/>
      <c r="N713"/>
      <c r="O713"/>
    </row>
    <row r="714" spans="1:15" x14ac:dyDescent="0.2">
      <c r="A714"/>
      <c r="B714"/>
      <c r="C714"/>
      <c r="F714"/>
      <c r="G714"/>
      <c r="I714"/>
      <c r="L714"/>
      <c r="M714"/>
      <c r="N714"/>
      <c r="O714"/>
    </row>
    <row r="715" spans="1:15" x14ac:dyDescent="0.2">
      <c r="A715"/>
      <c r="B715"/>
      <c r="C715"/>
      <c r="F715"/>
      <c r="G715"/>
      <c r="J715"/>
      <c r="K715"/>
      <c r="L715"/>
      <c r="M715"/>
      <c r="N715"/>
      <c r="O715"/>
    </row>
    <row r="716" spans="1:15" x14ac:dyDescent="0.2">
      <c r="A716"/>
      <c r="B716"/>
      <c r="C716"/>
      <c r="F716"/>
      <c r="G716"/>
      <c r="H716"/>
      <c r="I716"/>
      <c r="L716"/>
      <c r="M716"/>
      <c r="N716"/>
      <c r="O716"/>
    </row>
    <row r="717" spans="1:15" x14ac:dyDescent="0.2">
      <c r="A717"/>
      <c r="B717"/>
      <c r="C717"/>
      <c r="F717"/>
      <c r="G717"/>
      <c r="I717"/>
      <c r="L717"/>
      <c r="M717"/>
      <c r="N717"/>
      <c r="O717"/>
    </row>
    <row r="718" spans="1:15" x14ac:dyDescent="0.2">
      <c r="A718"/>
      <c r="B718"/>
      <c r="C718"/>
      <c r="F718"/>
      <c r="G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H721"/>
      <c r="J721"/>
      <c r="K721"/>
      <c r="L721"/>
      <c r="M721"/>
      <c r="N721"/>
      <c r="O721"/>
    </row>
    <row r="722" spans="1:15" x14ac:dyDescent="0.2">
      <c r="A722"/>
      <c r="B722"/>
      <c r="C722"/>
      <c r="F722"/>
      <c r="G722"/>
      <c r="I722"/>
      <c r="L722"/>
      <c r="M722"/>
      <c r="N722"/>
      <c r="O722"/>
    </row>
    <row r="723" spans="1:15" x14ac:dyDescent="0.2">
      <c r="A723"/>
      <c r="B723"/>
      <c r="C723"/>
      <c r="F723"/>
      <c r="G723"/>
      <c r="I723"/>
      <c r="L723"/>
      <c r="M723"/>
      <c r="N723"/>
      <c r="O723"/>
    </row>
    <row r="724" spans="1:15" x14ac:dyDescent="0.2">
      <c r="A724"/>
      <c r="B724"/>
      <c r="C724"/>
      <c r="F724"/>
      <c r="G724"/>
      <c r="J724"/>
      <c r="K724"/>
      <c r="L724"/>
      <c r="M724"/>
      <c r="N724"/>
      <c r="O724"/>
    </row>
    <row r="725" spans="1:15" x14ac:dyDescent="0.2">
      <c r="A725"/>
      <c r="B725"/>
      <c r="C725"/>
      <c r="F725"/>
      <c r="G725"/>
      <c r="H725"/>
      <c r="I725"/>
      <c r="J725"/>
      <c r="K725"/>
      <c r="L725"/>
      <c r="M725"/>
      <c r="N725"/>
      <c r="O725"/>
    </row>
    <row r="726" spans="1:15" x14ac:dyDescent="0.2">
      <c r="A726"/>
      <c r="B726"/>
      <c r="C726"/>
      <c r="F726"/>
      <c r="G726"/>
      <c r="H726"/>
      <c r="I726"/>
      <c r="L726"/>
      <c r="M726"/>
      <c r="N726"/>
      <c r="O726"/>
    </row>
    <row r="727" spans="1:15" x14ac:dyDescent="0.2">
      <c r="A727"/>
      <c r="B727"/>
      <c r="C727"/>
      <c r="F727"/>
      <c r="G727"/>
      <c r="H727"/>
      <c r="I727"/>
      <c r="J727"/>
      <c r="K727"/>
      <c r="L727"/>
      <c r="M727"/>
      <c r="N727"/>
      <c r="O727"/>
    </row>
    <row r="728" spans="1:15" x14ac:dyDescent="0.2">
      <c r="A728"/>
      <c r="B728"/>
      <c r="C728"/>
      <c r="F728"/>
      <c r="G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L737"/>
      <c r="M737"/>
      <c r="N737"/>
      <c r="O737"/>
    </row>
    <row r="738" spans="1:15" x14ac:dyDescent="0.2">
      <c r="A738"/>
      <c r="B738"/>
      <c r="C738"/>
      <c r="F738"/>
      <c r="G738"/>
      <c r="H738"/>
      <c r="I738"/>
      <c r="L738"/>
      <c r="M738"/>
      <c r="N738"/>
      <c r="O738"/>
    </row>
    <row r="739" spans="1:15" x14ac:dyDescent="0.2">
      <c r="A739"/>
      <c r="B739"/>
      <c r="C739"/>
      <c r="F739"/>
      <c r="G739"/>
      <c r="H739"/>
      <c r="I739"/>
      <c r="L739"/>
      <c r="M739"/>
      <c r="N739"/>
      <c r="O739"/>
    </row>
    <row r="740" spans="1:15" x14ac:dyDescent="0.2">
      <c r="A740"/>
      <c r="B740"/>
      <c r="C740"/>
      <c r="F740"/>
      <c r="G740"/>
      <c r="I740"/>
      <c r="L740"/>
      <c r="M740"/>
      <c r="N740"/>
      <c r="O740"/>
    </row>
    <row r="741" spans="1:15" x14ac:dyDescent="0.2">
      <c r="A741"/>
      <c r="B741"/>
      <c r="C741"/>
      <c r="F741"/>
      <c r="G741"/>
      <c r="H741"/>
      <c r="L741"/>
      <c r="M741"/>
      <c r="N741"/>
      <c r="O741"/>
    </row>
    <row r="742" spans="1:15" x14ac:dyDescent="0.2">
      <c r="A742"/>
      <c r="B742"/>
      <c r="C742"/>
      <c r="F742"/>
      <c r="G742"/>
      <c r="H742"/>
      <c r="J742"/>
      <c r="K742"/>
      <c r="L742"/>
      <c r="M742"/>
      <c r="N742"/>
      <c r="O742"/>
    </row>
    <row r="743" spans="1:15" x14ac:dyDescent="0.2">
      <c r="A743"/>
      <c r="B743"/>
      <c r="C743"/>
      <c r="F743"/>
      <c r="G743"/>
      <c r="H743"/>
      <c r="I743"/>
      <c r="L743"/>
      <c r="M743"/>
      <c r="N743"/>
      <c r="O743"/>
    </row>
    <row r="744" spans="1:15" x14ac:dyDescent="0.2">
      <c r="A744"/>
      <c r="B744"/>
      <c r="C744"/>
      <c r="F744"/>
      <c r="G744"/>
      <c r="J744"/>
      <c r="K744"/>
      <c r="L744"/>
      <c r="M744"/>
      <c r="N744"/>
      <c r="O744"/>
    </row>
    <row r="745" spans="1:15" x14ac:dyDescent="0.2">
      <c r="A745"/>
      <c r="B745"/>
      <c r="C745"/>
      <c r="F745"/>
      <c r="G745"/>
      <c r="H745"/>
      <c r="I745"/>
      <c r="L745"/>
      <c r="M745"/>
      <c r="N745"/>
      <c r="O745"/>
    </row>
    <row r="746" spans="1:15" x14ac:dyDescent="0.2">
      <c r="A746"/>
      <c r="B746"/>
      <c r="C746"/>
      <c r="F746"/>
      <c r="G746"/>
      <c r="H746"/>
      <c r="I746"/>
      <c r="L746"/>
      <c r="M746"/>
      <c r="N746"/>
      <c r="O746"/>
    </row>
    <row r="747" spans="1:15" x14ac:dyDescent="0.2">
      <c r="A747"/>
      <c r="B747"/>
      <c r="C747"/>
      <c r="F747"/>
      <c r="G747"/>
      <c r="H747"/>
      <c r="I747"/>
      <c r="K747"/>
      <c r="L747"/>
      <c r="M747"/>
      <c r="N747"/>
      <c r="O747"/>
    </row>
    <row r="748" spans="1:15" x14ac:dyDescent="0.2">
      <c r="A748"/>
      <c r="B748"/>
      <c r="C748"/>
      <c r="F748"/>
      <c r="G748"/>
      <c r="L748"/>
      <c r="M748"/>
      <c r="N748"/>
      <c r="O748"/>
    </row>
    <row r="749" spans="1:15" x14ac:dyDescent="0.2">
      <c r="A749"/>
      <c r="B749"/>
      <c r="C749"/>
      <c r="F749"/>
      <c r="G749"/>
      <c r="H749"/>
      <c r="I749"/>
      <c r="L749"/>
      <c r="M749"/>
      <c r="N749"/>
      <c r="O749"/>
    </row>
    <row r="750" spans="1:15" x14ac:dyDescent="0.2">
      <c r="A750"/>
      <c r="B750"/>
      <c r="C750"/>
      <c r="F750"/>
      <c r="G750"/>
      <c r="J750"/>
      <c r="L750"/>
      <c r="M750"/>
      <c r="N750"/>
      <c r="O750"/>
    </row>
    <row r="751" spans="1:15" x14ac:dyDescent="0.2">
      <c r="A751"/>
      <c r="B751"/>
      <c r="C751"/>
      <c r="F751"/>
      <c r="G751"/>
      <c r="H751"/>
      <c r="L751"/>
      <c r="M751"/>
      <c r="N751"/>
      <c r="O751"/>
    </row>
    <row r="752" spans="1:15" x14ac:dyDescent="0.2">
      <c r="A752"/>
      <c r="B752"/>
      <c r="C752"/>
      <c r="F752"/>
      <c r="G752"/>
      <c r="H752"/>
      <c r="I752"/>
      <c r="L752"/>
      <c r="M752"/>
      <c r="N752"/>
      <c r="O752"/>
    </row>
    <row r="753" spans="1:15" x14ac:dyDescent="0.2">
      <c r="A753"/>
      <c r="B753"/>
      <c r="C753"/>
      <c r="F753"/>
      <c r="G753"/>
      <c r="L753"/>
      <c r="M753"/>
      <c r="N753"/>
      <c r="O753"/>
    </row>
    <row r="754" spans="1:15" x14ac:dyDescent="0.2">
      <c r="A754"/>
      <c r="B754"/>
      <c r="C754"/>
      <c r="F754"/>
      <c r="G754"/>
      <c r="J754"/>
      <c r="K754"/>
      <c r="L754"/>
      <c r="M754"/>
      <c r="N754"/>
      <c r="O754"/>
    </row>
    <row r="755" spans="1:15" x14ac:dyDescent="0.2">
      <c r="A755"/>
      <c r="B755"/>
      <c r="C755"/>
      <c r="F755"/>
      <c r="G755"/>
      <c r="H755"/>
      <c r="I755"/>
      <c r="L755"/>
      <c r="M755"/>
      <c r="N755"/>
      <c r="O755"/>
    </row>
    <row r="756" spans="1:15" x14ac:dyDescent="0.2">
      <c r="A756"/>
      <c r="B756"/>
      <c r="C756"/>
      <c r="F756"/>
      <c r="G756"/>
      <c r="M756"/>
      <c r="N756"/>
      <c r="O756"/>
    </row>
    <row r="757" spans="1:15" x14ac:dyDescent="0.2">
      <c r="A757"/>
      <c r="B757"/>
      <c r="C757"/>
      <c r="F757"/>
      <c r="G757"/>
      <c r="H757"/>
      <c r="I757"/>
      <c r="L757"/>
      <c r="M757"/>
      <c r="N757"/>
      <c r="O757"/>
    </row>
    <row r="758" spans="1:15" x14ac:dyDescent="0.2">
      <c r="A758"/>
      <c r="B758"/>
      <c r="C758"/>
      <c r="F758"/>
      <c r="G758"/>
      <c r="I758"/>
      <c r="L758"/>
      <c r="M758"/>
      <c r="N758"/>
      <c r="O758"/>
    </row>
    <row r="759" spans="1:15" x14ac:dyDescent="0.2">
      <c r="A759"/>
      <c r="B759"/>
      <c r="C759"/>
      <c r="F759"/>
      <c r="G759"/>
      <c r="H759"/>
      <c r="I759"/>
      <c r="L759"/>
      <c r="M759"/>
      <c r="N759"/>
      <c r="O759"/>
    </row>
    <row r="760" spans="1:15" x14ac:dyDescent="0.2">
      <c r="A760"/>
      <c r="B760"/>
      <c r="C760"/>
      <c r="F760"/>
      <c r="G760"/>
      <c r="H760"/>
      <c r="I760"/>
      <c r="L760"/>
      <c r="M760"/>
      <c r="N760"/>
      <c r="O760"/>
    </row>
    <row r="761" spans="1:15" x14ac:dyDescent="0.2">
      <c r="A761"/>
      <c r="B761"/>
      <c r="C761"/>
      <c r="F761"/>
      <c r="G761"/>
      <c r="H761"/>
      <c r="I761"/>
      <c r="L761"/>
      <c r="N761"/>
      <c r="O761"/>
    </row>
    <row r="762" spans="1:15" x14ac:dyDescent="0.2">
      <c r="A762"/>
      <c r="B762"/>
      <c r="C762"/>
      <c r="F762"/>
      <c r="G762"/>
      <c r="H762"/>
      <c r="I762"/>
      <c r="L762"/>
      <c r="M762"/>
      <c r="N762"/>
      <c r="O762"/>
    </row>
    <row r="763" spans="1:15" x14ac:dyDescent="0.2">
      <c r="A763"/>
      <c r="B763"/>
      <c r="C763"/>
      <c r="F763"/>
      <c r="G763"/>
      <c r="H763"/>
      <c r="I763"/>
      <c r="L763"/>
      <c r="M763"/>
      <c r="N763"/>
      <c r="O763"/>
    </row>
    <row r="764" spans="1:15" x14ac:dyDescent="0.2">
      <c r="A764"/>
      <c r="B764"/>
      <c r="C764"/>
      <c r="F764"/>
      <c r="G764"/>
      <c r="L764"/>
      <c r="M764"/>
      <c r="N764"/>
      <c r="O764"/>
    </row>
    <row r="765" spans="1:15" x14ac:dyDescent="0.2">
      <c r="A765"/>
      <c r="B765"/>
      <c r="C765"/>
      <c r="F765"/>
      <c r="G765"/>
      <c r="H765"/>
      <c r="I765"/>
      <c r="L765"/>
      <c r="M765"/>
      <c r="N765"/>
      <c r="O765"/>
    </row>
    <row r="766" spans="1:15" x14ac:dyDescent="0.2">
      <c r="A766"/>
      <c r="B766"/>
      <c r="C766"/>
      <c r="F766"/>
      <c r="G766"/>
      <c r="H766"/>
      <c r="J766"/>
      <c r="K766"/>
      <c r="L766"/>
      <c r="M766"/>
      <c r="N766"/>
      <c r="O766"/>
    </row>
    <row r="767" spans="1:15" x14ac:dyDescent="0.2">
      <c r="A767"/>
      <c r="B767"/>
      <c r="C767"/>
      <c r="F767"/>
      <c r="G767"/>
      <c r="H767"/>
      <c r="I767"/>
      <c r="L767"/>
      <c r="M767"/>
      <c r="N767"/>
      <c r="O767"/>
    </row>
    <row r="768" spans="1:15" x14ac:dyDescent="0.2">
      <c r="A768"/>
      <c r="B768"/>
      <c r="C768"/>
      <c r="F768"/>
      <c r="G768"/>
      <c r="H768"/>
      <c r="I768"/>
      <c r="L768"/>
      <c r="M768"/>
      <c r="N768"/>
      <c r="O768"/>
    </row>
    <row r="769" spans="1:15" x14ac:dyDescent="0.2">
      <c r="A769"/>
      <c r="B769"/>
      <c r="C769"/>
      <c r="F769"/>
      <c r="G769"/>
      <c r="L769"/>
      <c r="M769"/>
      <c r="N769"/>
      <c r="O769"/>
    </row>
    <row r="770" spans="1:15" x14ac:dyDescent="0.2">
      <c r="A770"/>
      <c r="B770"/>
      <c r="C770"/>
      <c r="F770"/>
      <c r="G770"/>
      <c r="H770"/>
      <c r="I770"/>
      <c r="L770"/>
      <c r="M770"/>
      <c r="N770"/>
      <c r="O770"/>
    </row>
    <row r="771" spans="1:15" x14ac:dyDescent="0.2">
      <c r="A771"/>
      <c r="B771"/>
      <c r="C771"/>
      <c r="F771"/>
      <c r="G771"/>
      <c r="H771"/>
      <c r="I771"/>
      <c r="L771"/>
      <c r="M771"/>
      <c r="N771"/>
      <c r="O771"/>
    </row>
    <row r="772" spans="1:15" x14ac:dyDescent="0.2">
      <c r="A772"/>
      <c r="B772"/>
      <c r="C772"/>
      <c r="F772"/>
      <c r="G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I775"/>
      <c r="L775"/>
      <c r="M775"/>
      <c r="N775"/>
      <c r="O775"/>
    </row>
    <row r="776" spans="1:15" x14ac:dyDescent="0.2">
      <c r="A776"/>
      <c r="B776"/>
      <c r="C776"/>
      <c r="F776"/>
      <c r="G776"/>
      <c r="H776"/>
      <c r="J776"/>
      <c r="K776"/>
      <c r="L776"/>
      <c r="M776"/>
      <c r="N776"/>
      <c r="O776"/>
    </row>
    <row r="777" spans="1:15" x14ac:dyDescent="0.2">
      <c r="A777"/>
      <c r="B777"/>
      <c r="C777"/>
      <c r="F777"/>
      <c r="G777"/>
      <c r="H777"/>
      <c r="L777"/>
      <c r="M777"/>
      <c r="N777"/>
      <c r="O777"/>
    </row>
    <row r="778" spans="1:15" x14ac:dyDescent="0.2">
      <c r="A778"/>
      <c r="B778"/>
      <c r="C778"/>
      <c r="F778"/>
      <c r="G778"/>
      <c r="H778"/>
      <c r="I778"/>
      <c r="L778"/>
      <c r="M778"/>
      <c r="N778"/>
      <c r="O778"/>
    </row>
    <row r="779" spans="1:15" x14ac:dyDescent="0.2">
      <c r="A779"/>
      <c r="B779"/>
      <c r="C779"/>
      <c r="F779"/>
      <c r="G779"/>
      <c r="I779"/>
      <c r="L779"/>
      <c r="M779"/>
      <c r="N779"/>
      <c r="O779"/>
    </row>
    <row r="780" spans="1:15" x14ac:dyDescent="0.2">
      <c r="A780"/>
      <c r="B780"/>
      <c r="C780"/>
      <c r="F780"/>
      <c r="G780"/>
      <c r="H780"/>
      <c r="J780"/>
      <c r="K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M785"/>
      <c r="N785"/>
      <c r="O785"/>
    </row>
    <row r="786" spans="1:15" x14ac:dyDescent="0.2">
      <c r="A786"/>
      <c r="B786"/>
      <c r="C786"/>
      <c r="F786"/>
      <c r="G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L790"/>
      <c r="M790"/>
      <c r="N790"/>
      <c r="O790"/>
    </row>
    <row r="791" spans="1:15" x14ac:dyDescent="0.2">
      <c r="A791"/>
      <c r="B791"/>
      <c r="C791"/>
      <c r="F791"/>
      <c r="G791"/>
      <c r="L791"/>
      <c r="M791"/>
      <c r="N791"/>
      <c r="O791"/>
    </row>
    <row r="792" spans="1:15" x14ac:dyDescent="0.2">
      <c r="A792"/>
      <c r="B792"/>
      <c r="C792"/>
      <c r="F792"/>
      <c r="G792"/>
      <c r="H792"/>
      <c r="J792"/>
      <c r="K792"/>
      <c r="L792"/>
      <c r="M792"/>
      <c r="N792"/>
      <c r="O792"/>
    </row>
    <row r="793" spans="1:15" x14ac:dyDescent="0.2">
      <c r="A793"/>
      <c r="B793"/>
      <c r="C793"/>
      <c r="F793"/>
      <c r="G793"/>
      <c r="H793"/>
      <c r="I793"/>
      <c r="L793"/>
      <c r="M793"/>
      <c r="N793"/>
      <c r="O793"/>
    </row>
    <row r="794" spans="1:15" x14ac:dyDescent="0.2">
      <c r="A794"/>
      <c r="B794"/>
      <c r="C794"/>
      <c r="F794"/>
      <c r="G794"/>
      <c r="L794"/>
      <c r="M794"/>
      <c r="N794"/>
      <c r="O794"/>
    </row>
    <row r="795" spans="1:15" x14ac:dyDescent="0.2">
      <c r="A795"/>
      <c r="B795"/>
      <c r="C795"/>
      <c r="F795"/>
      <c r="G795"/>
      <c r="M795"/>
      <c r="N795"/>
      <c r="O795"/>
    </row>
    <row r="796" spans="1:15" x14ac:dyDescent="0.2">
      <c r="A796"/>
      <c r="B796"/>
      <c r="C796"/>
      <c r="F796"/>
      <c r="G796"/>
      <c r="H796"/>
      <c r="I796"/>
      <c r="L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H799"/>
      <c r="J799"/>
      <c r="K799"/>
      <c r="L799"/>
      <c r="M799"/>
      <c r="N799"/>
      <c r="O799"/>
    </row>
    <row r="800" spans="1:15" x14ac:dyDescent="0.2">
      <c r="A800"/>
      <c r="B800"/>
      <c r="C800"/>
      <c r="F800"/>
      <c r="G800"/>
      <c r="J800"/>
      <c r="K800"/>
      <c r="L800"/>
      <c r="M800"/>
      <c r="N800"/>
      <c r="O800"/>
    </row>
    <row r="801" spans="1:15" x14ac:dyDescent="0.2">
      <c r="A801"/>
      <c r="B801"/>
      <c r="C801"/>
      <c r="F801"/>
      <c r="G801"/>
      <c r="H801"/>
      <c r="J801"/>
      <c r="K801"/>
      <c r="L801"/>
      <c r="M801"/>
      <c r="N801"/>
      <c r="O801"/>
    </row>
    <row r="802" spans="1:15" x14ac:dyDescent="0.2">
      <c r="A802"/>
      <c r="B802"/>
      <c r="C802"/>
      <c r="F802"/>
      <c r="G802"/>
      <c r="H802"/>
      <c r="I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L805"/>
      <c r="M805"/>
      <c r="N805"/>
      <c r="O805"/>
    </row>
    <row r="806" spans="1:15" x14ac:dyDescent="0.2">
      <c r="A806"/>
      <c r="B806"/>
      <c r="C806"/>
      <c r="F806"/>
      <c r="G806"/>
      <c r="L806"/>
      <c r="M806"/>
      <c r="N806"/>
      <c r="O806"/>
    </row>
    <row r="807" spans="1:15" x14ac:dyDescent="0.2">
      <c r="A807"/>
      <c r="B807"/>
      <c r="C807"/>
      <c r="F807"/>
      <c r="G807"/>
      <c r="I807"/>
      <c r="L807"/>
      <c r="M807"/>
      <c r="N807"/>
      <c r="O807"/>
    </row>
    <row r="808" spans="1:15" x14ac:dyDescent="0.2">
      <c r="A808"/>
      <c r="B808"/>
      <c r="C808"/>
      <c r="F808"/>
      <c r="G808"/>
      <c r="H808"/>
      <c r="I808"/>
      <c r="L808"/>
      <c r="M808"/>
      <c r="N808"/>
      <c r="O808"/>
    </row>
    <row r="809" spans="1:15" x14ac:dyDescent="0.2">
      <c r="A809"/>
      <c r="B809"/>
      <c r="C809"/>
      <c r="F809"/>
      <c r="G809"/>
      <c r="H809"/>
      <c r="I809"/>
      <c r="L809"/>
      <c r="N809"/>
      <c r="O809"/>
    </row>
    <row r="810" spans="1:15" x14ac:dyDescent="0.2">
      <c r="A810"/>
      <c r="B810"/>
      <c r="C810"/>
      <c r="F810"/>
      <c r="G810"/>
      <c r="H810"/>
      <c r="L810"/>
      <c r="M810"/>
      <c r="N810"/>
      <c r="O810"/>
    </row>
    <row r="811" spans="1:15" x14ac:dyDescent="0.2">
      <c r="A811"/>
      <c r="B811"/>
      <c r="C811"/>
      <c r="F811"/>
      <c r="G811"/>
      <c r="L811"/>
      <c r="M811"/>
      <c r="N811"/>
      <c r="O811"/>
    </row>
    <row r="812" spans="1:15" x14ac:dyDescent="0.2">
      <c r="A812"/>
      <c r="B812"/>
      <c r="C812"/>
      <c r="F812"/>
      <c r="G812"/>
      <c r="I812"/>
      <c r="L812"/>
      <c r="M812"/>
      <c r="N812"/>
      <c r="O812"/>
    </row>
    <row r="813" spans="1:15" x14ac:dyDescent="0.2">
      <c r="A813"/>
      <c r="B813"/>
      <c r="C813"/>
      <c r="F813"/>
      <c r="G813"/>
      <c r="L813"/>
      <c r="M813"/>
      <c r="N813"/>
      <c r="O813"/>
    </row>
    <row r="814" spans="1:15" x14ac:dyDescent="0.2">
      <c r="A814"/>
      <c r="B814"/>
      <c r="C814"/>
      <c r="F814"/>
      <c r="G814"/>
      <c r="H814"/>
      <c r="I814"/>
      <c r="J814"/>
      <c r="K814"/>
      <c r="L814"/>
      <c r="M814"/>
      <c r="N814"/>
      <c r="O814"/>
    </row>
    <row r="815" spans="1:15" x14ac:dyDescent="0.2">
      <c r="A815"/>
      <c r="B815"/>
      <c r="C815"/>
      <c r="F815"/>
      <c r="G815"/>
      <c r="J815"/>
      <c r="M815"/>
      <c r="N815"/>
      <c r="O815"/>
    </row>
    <row r="816" spans="1:15" x14ac:dyDescent="0.2">
      <c r="A816"/>
      <c r="B816"/>
      <c r="C816"/>
      <c r="F816"/>
      <c r="G816"/>
      <c r="I816"/>
      <c r="L816"/>
      <c r="M816"/>
      <c r="N816"/>
      <c r="O816"/>
    </row>
    <row r="817" spans="1:15" x14ac:dyDescent="0.2">
      <c r="A817"/>
      <c r="B817"/>
      <c r="C817"/>
      <c r="F817"/>
      <c r="G817"/>
      <c r="H817"/>
      <c r="J817"/>
      <c r="K817"/>
      <c r="L817"/>
      <c r="M817"/>
      <c r="N817"/>
      <c r="O817"/>
    </row>
    <row r="818" spans="1:15" x14ac:dyDescent="0.2">
      <c r="A818"/>
      <c r="B818"/>
      <c r="C818"/>
      <c r="F818"/>
      <c r="G818"/>
      <c r="L818"/>
      <c r="M818"/>
      <c r="N818"/>
      <c r="O818"/>
    </row>
    <row r="819" spans="1:15" x14ac:dyDescent="0.2">
      <c r="A819"/>
      <c r="B819"/>
      <c r="C819"/>
      <c r="F819"/>
      <c r="G819"/>
      <c r="L819"/>
      <c r="M819"/>
      <c r="N819"/>
      <c r="O819"/>
    </row>
    <row r="820" spans="1:15" x14ac:dyDescent="0.2">
      <c r="A820"/>
      <c r="B820"/>
      <c r="C820"/>
      <c r="F820"/>
      <c r="G820"/>
      <c r="J820"/>
      <c r="K820"/>
      <c r="L820"/>
      <c r="M820"/>
      <c r="N820"/>
      <c r="O820"/>
    </row>
    <row r="821" spans="1:15" x14ac:dyDescent="0.2">
      <c r="A821"/>
      <c r="B821"/>
      <c r="C821"/>
      <c r="F821"/>
      <c r="G821"/>
      <c r="H821"/>
      <c r="I821"/>
      <c r="L821"/>
      <c r="M821"/>
      <c r="N821"/>
      <c r="O821"/>
    </row>
    <row r="822" spans="1:15" x14ac:dyDescent="0.2">
      <c r="A822"/>
      <c r="B822"/>
      <c r="C822"/>
      <c r="F822"/>
      <c r="G822"/>
      <c r="H822"/>
      <c r="I822"/>
      <c r="L822"/>
      <c r="M822"/>
      <c r="N822"/>
      <c r="O822"/>
    </row>
    <row r="823" spans="1:15" x14ac:dyDescent="0.2">
      <c r="A823"/>
      <c r="B823"/>
      <c r="C823"/>
      <c r="F823"/>
      <c r="G823"/>
      <c r="L823"/>
      <c r="M823"/>
      <c r="N823"/>
      <c r="O823"/>
    </row>
    <row r="824" spans="1:15" x14ac:dyDescent="0.2">
      <c r="A824"/>
      <c r="B824"/>
      <c r="C824"/>
      <c r="F824"/>
      <c r="G824"/>
      <c r="L824"/>
      <c r="M824"/>
      <c r="N824"/>
      <c r="O824"/>
    </row>
    <row r="825" spans="1:15" x14ac:dyDescent="0.2">
      <c r="A825"/>
      <c r="B825"/>
      <c r="C825"/>
      <c r="F825"/>
      <c r="G825"/>
      <c r="H825"/>
      <c r="I825"/>
      <c r="L825"/>
      <c r="M825"/>
      <c r="N825"/>
      <c r="O825"/>
    </row>
    <row r="826" spans="1:15" x14ac:dyDescent="0.2">
      <c r="A826"/>
      <c r="B826"/>
      <c r="C826"/>
      <c r="F826"/>
      <c r="G826"/>
      <c r="L826"/>
      <c r="M826"/>
      <c r="N826"/>
      <c r="O826"/>
    </row>
    <row r="827" spans="1:15" x14ac:dyDescent="0.2">
      <c r="A827"/>
      <c r="B827"/>
      <c r="C827"/>
      <c r="F827"/>
      <c r="G827"/>
      <c r="H827"/>
      <c r="J827"/>
      <c r="K827"/>
      <c r="L827"/>
      <c r="M827"/>
      <c r="N827"/>
      <c r="O827"/>
    </row>
    <row r="828" spans="1:15" x14ac:dyDescent="0.2">
      <c r="A828"/>
      <c r="B828"/>
      <c r="C828"/>
      <c r="F828"/>
      <c r="G828"/>
      <c r="H828"/>
      <c r="I828"/>
      <c r="L828"/>
      <c r="M828"/>
      <c r="N828"/>
      <c r="O828"/>
    </row>
    <row r="829" spans="1:15" x14ac:dyDescent="0.2">
      <c r="A829"/>
      <c r="B829"/>
      <c r="C829"/>
      <c r="F829"/>
      <c r="G829"/>
      <c r="I829"/>
      <c r="L829"/>
      <c r="M829"/>
      <c r="N829"/>
      <c r="O829"/>
    </row>
    <row r="830" spans="1:15" x14ac:dyDescent="0.2">
      <c r="A830"/>
      <c r="B830"/>
      <c r="C830"/>
      <c r="F830"/>
      <c r="G830"/>
      <c r="H830"/>
      <c r="I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I833"/>
      <c r="L833"/>
      <c r="M833"/>
      <c r="N833"/>
      <c r="O833"/>
    </row>
    <row r="834" spans="1:15" x14ac:dyDescent="0.2">
      <c r="A834"/>
      <c r="B834"/>
      <c r="C834"/>
      <c r="F834"/>
      <c r="G834"/>
      <c r="J834"/>
      <c r="K834"/>
      <c r="L834"/>
      <c r="M834"/>
      <c r="N834"/>
      <c r="O834"/>
    </row>
    <row r="835" spans="1:15" x14ac:dyDescent="0.2">
      <c r="A835"/>
      <c r="B835"/>
      <c r="C835"/>
      <c r="F835"/>
      <c r="G835"/>
      <c r="L835"/>
      <c r="M835"/>
      <c r="N835"/>
      <c r="O835"/>
    </row>
    <row r="836" spans="1:15" x14ac:dyDescent="0.2">
      <c r="A836"/>
      <c r="B836"/>
      <c r="C836"/>
      <c r="F836"/>
      <c r="G836"/>
      <c r="M836"/>
      <c r="N836"/>
      <c r="O836"/>
    </row>
    <row r="837" spans="1:15" x14ac:dyDescent="0.2">
      <c r="A837"/>
      <c r="B837"/>
      <c r="C837"/>
      <c r="F837"/>
      <c r="G837"/>
      <c r="H837"/>
      <c r="I837"/>
      <c r="L837"/>
      <c r="M837"/>
      <c r="N837"/>
      <c r="O837"/>
    </row>
    <row r="838" spans="1:15" x14ac:dyDescent="0.2">
      <c r="A838"/>
      <c r="B838"/>
      <c r="C838"/>
      <c r="F838"/>
      <c r="G838"/>
      <c r="H838"/>
      <c r="L838"/>
      <c r="M838"/>
      <c r="N838"/>
      <c r="O838"/>
    </row>
    <row r="839" spans="1:15" x14ac:dyDescent="0.2">
      <c r="A839"/>
      <c r="B839"/>
      <c r="C839"/>
      <c r="F839"/>
      <c r="G839"/>
      <c r="H839"/>
      <c r="I839"/>
      <c r="L839"/>
      <c r="M839"/>
      <c r="N839"/>
      <c r="O839"/>
    </row>
    <row r="840" spans="1:15" x14ac:dyDescent="0.2">
      <c r="A840"/>
      <c r="B840"/>
      <c r="C840"/>
      <c r="F840"/>
      <c r="G840"/>
      <c r="H840"/>
      <c r="I840"/>
      <c r="L840"/>
      <c r="M840"/>
      <c r="N840"/>
      <c r="O840"/>
    </row>
    <row r="841" spans="1:15" x14ac:dyDescent="0.2">
      <c r="A841"/>
      <c r="B841"/>
      <c r="C841"/>
      <c r="F841"/>
      <c r="G841"/>
      <c r="L841"/>
      <c r="M841"/>
      <c r="N841"/>
      <c r="O841"/>
    </row>
    <row r="842" spans="1:15" x14ac:dyDescent="0.2">
      <c r="A842"/>
      <c r="B842"/>
      <c r="C842"/>
      <c r="F842"/>
      <c r="G842"/>
      <c r="I842"/>
      <c r="L842"/>
      <c r="M842"/>
      <c r="N842"/>
      <c r="O842"/>
    </row>
    <row r="843" spans="1:15" x14ac:dyDescent="0.2">
      <c r="A843"/>
      <c r="B843"/>
      <c r="C843"/>
      <c r="F843"/>
      <c r="G843"/>
      <c r="L843"/>
      <c r="M843"/>
      <c r="N843"/>
      <c r="O843"/>
    </row>
    <row r="844" spans="1:15" x14ac:dyDescent="0.2">
      <c r="A844"/>
      <c r="B844"/>
      <c r="C844"/>
      <c r="F844"/>
      <c r="G844"/>
      <c r="H844"/>
      <c r="I844"/>
      <c r="L844"/>
      <c r="N844"/>
      <c r="O844"/>
    </row>
    <row r="845" spans="1:15" x14ac:dyDescent="0.2">
      <c r="A845"/>
      <c r="B845"/>
      <c r="C845"/>
      <c r="F845"/>
      <c r="G845"/>
      <c r="I845"/>
      <c r="L845"/>
      <c r="M845"/>
      <c r="N845"/>
      <c r="O845"/>
    </row>
    <row r="846" spans="1:15" x14ac:dyDescent="0.2">
      <c r="A846"/>
      <c r="B846"/>
      <c r="C846"/>
      <c r="F846"/>
      <c r="G846"/>
      <c r="H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H849"/>
      <c r="I849"/>
      <c r="L849"/>
      <c r="M849"/>
      <c r="N849"/>
      <c r="O849"/>
    </row>
    <row r="850" spans="1:15" x14ac:dyDescent="0.2">
      <c r="A850"/>
      <c r="B850"/>
      <c r="C850"/>
      <c r="F850"/>
      <c r="G850"/>
      <c r="M850"/>
      <c r="N850"/>
      <c r="O850"/>
    </row>
    <row r="851" spans="1:15" x14ac:dyDescent="0.2">
      <c r="A851"/>
      <c r="B851"/>
      <c r="C851"/>
      <c r="F851"/>
      <c r="G851"/>
      <c r="H851"/>
      <c r="M851"/>
      <c r="N851"/>
      <c r="O851"/>
    </row>
    <row r="852" spans="1:15" x14ac:dyDescent="0.2">
      <c r="A852"/>
      <c r="B852"/>
      <c r="C852"/>
      <c r="F852"/>
      <c r="G852"/>
      <c r="I852"/>
      <c r="L852"/>
      <c r="M852"/>
      <c r="N852"/>
      <c r="O852"/>
    </row>
    <row r="853" spans="1:15" x14ac:dyDescent="0.2">
      <c r="A853"/>
      <c r="B853"/>
      <c r="C853"/>
      <c r="F853"/>
      <c r="G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M856"/>
      <c r="N856"/>
      <c r="O856"/>
    </row>
    <row r="857" spans="1:15" x14ac:dyDescent="0.2">
      <c r="A857"/>
      <c r="B857"/>
      <c r="C857"/>
      <c r="F857"/>
      <c r="G857"/>
      <c r="L857"/>
      <c r="M857"/>
      <c r="N857"/>
      <c r="O857"/>
    </row>
    <row r="858" spans="1:15" x14ac:dyDescent="0.2">
      <c r="A858"/>
      <c r="B858"/>
      <c r="C858"/>
      <c r="F858"/>
      <c r="G858"/>
      <c r="H858"/>
      <c r="I858"/>
      <c r="L858"/>
      <c r="M858"/>
      <c r="N858"/>
      <c r="O858"/>
    </row>
    <row r="859" spans="1:15" x14ac:dyDescent="0.2">
      <c r="A859"/>
      <c r="B859"/>
      <c r="C859"/>
      <c r="F859"/>
      <c r="G859"/>
      <c r="L859"/>
      <c r="M859"/>
      <c r="N859"/>
      <c r="O859"/>
    </row>
    <row r="860" spans="1:15" x14ac:dyDescent="0.2">
      <c r="A860"/>
      <c r="B860"/>
      <c r="C860"/>
      <c r="F860"/>
      <c r="G860"/>
      <c r="L860"/>
      <c r="M860"/>
      <c r="N860"/>
      <c r="O860"/>
    </row>
    <row r="861" spans="1:15" x14ac:dyDescent="0.2">
      <c r="A861"/>
      <c r="B861"/>
      <c r="C861"/>
      <c r="F861"/>
      <c r="G861"/>
      <c r="H861"/>
      <c r="I861"/>
      <c r="J861"/>
      <c r="K861"/>
      <c r="L861"/>
      <c r="M861"/>
      <c r="N861"/>
      <c r="O861"/>
    </row>
    <row r="862" spans="1:15" x14ac:dyDescent="0.2">
      <c r="A862"/>
      <c r="B862"/>
      <c r="C862"/>
      <c r="F862"/>
      <c r="G862"/>
      <c r="I862"/>
      <c r="L862"/>
      <c r="M862"/>
      <c r="N862"/>
      <c r="O862"/>
    </row>
    <row r="863" spans="1:15" x14ac:dyDescent="0.2">
      <c r="A863"/>
      <c r="B863"/>
      <c r="C863"/>
      <c r="F863"/>
      <c r="G863"/>
      <c r="H863"/>
      <c r="I863"/>
      <c r="L863"/>
      <c r="M863"/>
      <c r="N863"/>
      <c r="O863"/>
    </row>
    <row r="864" spans="1:15" x14ac:dyDescent="0.2">
      <c r="A864"/>
      <c r="B864"/>
      <c r="C864"/>
      <c r="F864"/>
      <c r="G864"/>
      <c r="I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J867"/>
      <c r="K867"/>
      <c r="L867"/>
      <c r="M867"/>
      <c r="N867"/>
      <c r="O867"/>
    </row>
    <row r="868" spans="1:15" x14ac:dyDescent="0.2">
      <c r="A868"/>
      <c r="B868"/>
      <c r="C868"/>
      <c r="F868"/>
      <c r="G868"/>
      <c r="I868"/>
      <c r="L868"/>
      <c r="M868"/>
      <c r="N868"/>
      <c r="O868"/>
    </row>
    <row r="869" spans="1:15" x14ac:dyDescent="0.2">
      <c r="A869"/>
      <c r="B869"/>
      <c r="C869"/>
      <c r="F869"/>
      <c r="G869"/>
      <c r="H869"/>
      <c r="I869"/>
      <c r="L869"/>
      <c r="N869"/>
      <c r="O869"/>
    </row>
    <row r="870" spans="1:15" x14ac:dyDescent="0.2">
      <c r="A870"/>
      <c r="B870"/>
      <c r="C870"/>
      <c r="F870"/>
      <c r="G870"/>
      <c r="H870"/>
      <c r="I870"/>
      <c r="L870"/>
      <c r="M870"/>
      <c r="N870"/>
      <c r="O870"/>
    </row>
    <row r="871" spans="1:15" x14ac:dyDescent="0.2">
      <c r="A871"/>
      <c r="B871"/>
      <c r="C871"/>
      <c r="F871"/>
      <c r="G871"/>
      <c r="J871"/>
      <c r="K871"/>
      <c r="L871"/>
      <c r="M871"/>
      <c r="N871"/>
      <c r="O871"/>
    </row>
    <row r="872" spans="1:15" x14ac:dyDescent="0.2">
      <c r="A872"/>
      <c r="B872"/>
      <c r="C872"/>
      <c r="F872"/>
      <c r="G872"/>
      <c r="H872"/>
      <c r="I872"/>
      <c r="L872"/>
      <c r="M872"/>
      <c r="N872"/>
      <c r="O872"/>
    </row>
    <row r="873" spans="1:15" x14ac:dyDescent="0.2">
      <c r="A873"/>
      <c r="B873"/>
      <c r="C873"/>
      <c r="F873"/>
      <c r="G873"/>
      <c r="H873"/>
      <c r="I873"/>
      <c r="L873"/>
      <c r="M873"/>
      <c r="N873"/>
      <c r="O873"/>
    </row>
    <row r="874" spans="1:15" x14ac:dyDescent="0.2">
      <c r="A874"/>
      <c r="B874"/>
      <c r="C874"/>
      <c r="F874"/>
      <c r="G874"/>
      <c r="L874"/>
      <c r="M874"/>
      <c r="N874"/>
      <c r="O874"/>
    </row>
    <row r="875" spans="1:15" x14ac:dyDescent="0.2">
      <c r="A875"/>
      <c r="B875"/>
      <c r="C875"/>
      <c r="F875"/>
      <c r="G875"/>
      <c r="L875"/>
      <c r="M875"/>
      <c r="N875"/>
      <c r="O875"/>
    </row>
    <row r="876" spans="1:15" x14ac:dyDescent="0.2">
      <c r="A876"/>
      <c r="B876"/>
      <c r="C876"/>
      <c r="F876"/>
      <c r="G876"/>
      <c r="H876"/>
      <c r="L876"/>
      <c r="M876"/>
      <c r="N876"/>
      <c r="O876"/>
    </row>
    <row r="877" spans="1:15" x14ac:dyDescent="0.2">
      <c r="A877"/>
      <c r="B877"/>
      <c r="C877"/>
      <c r="F877"/>
      <c r="G877"/>
      <c r="H877"/>
      <c r="J877"/>
      <c r="K877"/>
      <c r="L877"/>
      <c r="M877"/>
      <c r="N877"/>
      <c r="O877"/>
    </row>
    <row r="878" spans="1:15" x14ac:dyDescent="0.2">
      <c r="A878"/>
      <c r="B878"/>
      <c r="C878"/>
      <c r="F878"/>
      <c r="G878"/>
      <c r="J878"/>
      <c r="K878"/>
      <c r="L878"/>
      <c r="M878"/>
      <c r="N878"/>
      <c r="O878"/>
    </row>
    <row r="879" spans="1:15" x14ac:dyDescent="0.2">
      <c r="A879"/>
      <c r="B879"/>
      <c r="C879"/>
      <c r="F879"/>
      <c r="G879"/>
      <c r="H879"/>
      <c r="J879"/>
      <c r="K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I883"/>
      <c r="L883"/>
      <c r="N883"/>
      <c r="O883"/>
    </row>
    <row r="884" spans="1:15" x14ac:dyDescent="0.2">
      <c r="A884"/>
      <c r="B884"/>
      <c r="C884"/>
      <c r="F884"/>
      <c r="G884"/>
      <c r="I884"/>
      <c r="L884"/>
      <c r="M884"/>
      <c r="N884"/>
      <c r="O884"/>
    </row>
    <row r="885" spans="1:15" x14ac:dyDescent="0.2">
      <c r="A885"/>
      <c r="B885"/>
      <c r="C885"/>
      <c r="F885"/>
      <c r="G885"/>
      <c r="L885"/>
      <c r="M885"/>
      <c r="N885"/>
      <c r="O885"/>
    </row>
    <row r="886" spans="1:15" x14ac:dyDescent="0.2">
      <c r="A886"/>
      <c r="B886"/>
      <c r="C886"/>
      <c r="F886"/>
      <c r="G886"/>
      <c r="H886"/>
      <c r="J886"/>
      <c r="K886"/>
      <c r="L886"/>
      <c r="M886"/>
      <c r="N886"/>
      <c r="O886"/>
    </row>
    <row r="887" spans="1:15" x14ac:dyDescent="0.2">
      <c r="A887"/>
      <c r="B887"/>
      <c r="C887"/>
      <c r="F887"/>
      <c r="G887"/>
      <c r="H887"/>
      <c r="I887"/>
      <c r="L887"/>
      <c r="M887"/>
      <c r="N887"/>
      <c r="O887"/>
    </row>
    <row r="888" spans="1:15" x14ac:dyDescent="0.2">
      <c r="A888"/>
      <c r="B888"/>
      <c r="C888"/>
      <c r="F888"/>
      <c r="G888"/>
      <c r="H888"/>
      <c r="I888"/>
      <c r="L888"/>
      <c r="N888"/>
      <c r="O888"/>
    </row>
    <row r="889" spans="1:15" x14ac:dyDescent="0.2">
      <c r="A889"/>
      <c r="B889"/>
      <c r="C889"/>
      <c r="F889"/>
      <c r="G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H892"/>
      <c r="I892"/>
      <c r="L892"/>
      <c r="M892"/>
      <c r="N892"/>
      <c r="O892"/>
    </row>
    <row r="893" spans="1:15" x14ac:dyDescent="0.2">
      <c r="A893"/>
      <c r="B893"/>
      <c r="C893"/>
      <c r="F893"/>
      <c r="G893"/>
      <c r="I893"/>
      <c r="L893"/>
      <c r="M893"/>
      <c r="N893"/>
      <c r="O893"/>
    </row>
    <row r="894" spans="1:15" x14ac:dyDescent="0.2">
      <c r="A894"/>
      <c r="B894"/>
      <c r="C894"/>
      <c r="F894"/>
      <c r="G894"/>
      <c r="L894"/>
      <c r="M894"/>
      <c r="N894"/>
      <c r="O894"/>
    </row>
    <row r="895" spans="1:15" x14ac:dyDescent="0.2">
      <c r="A895"/>
      <c r="B895"/>
      <c r="C895"/>
      <c r="F895"/>
      <c r="G895"/>
      <c r="H895"/>
      <c r="J895"/>
      <c r="K895"/>
      <c r="L895"/>
      <c r="M895"/>
      <c r="N895"/>
      <c r="O895"/>
    </row>
    <row r="896" spans="1:15" x14ac:dyDescent="0.2">
      <c r="A896"/>
      <c r="B896"/>
      <c r="C896"/>
      <c r="F896"/>
      <c r="G896"/>
      <c r="I896"/>
      <c r="L896"/>
      <c r="M896"/>
      <c r="N896"/>
      <c r="O896"/>
    </row>
    <row r="897" spans="1:15" x14ac:dyDescent="0.2">
      <c r="A897"/>
      <c r="B897"/>
      <c r="C897"/>
      <c r="F897"/>
      <c r="G897"/>
      <c r="I897"/>
      <c r="L897"/>
      <c r="M897"/>
      <c r="N897"/>
      <c r="O897"/>
    </row>
    <row r="898" spans="1:15" x14ac:dyDescent="0.2">
      <c r="A898"/>
      <c r="B898"/>
      <c r="C898"/>
      <c r="F898"/>
      <c r="G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H905"/>
      <c r="I905"/>
      <c r="L905"/>
      <c r="M905"/>
      <c r="N905"/>
      <c r="O905"/>
    </row>
    <row r="906" spans="1:15" x14ac:dyDescent="0.2">
      <c r="A906"/>
      <c r="B906"/>
      <c r="C906"/>
      <c r="F906"/>
      <c r="G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H915"/>
      <c r="L915"/>
      <c r="M915"/>
      <c r="N915"/>
      <c r="O915"/>
    </row>
    <row r="916" spans="1:15" x14ac:dyDescent="0.2">
      <c r="A916"/>
      <c r="B916"/>
      <c r="C916"/>
      <c r="F916"/>
      <c r="G916"/>
      <c r="I916"/>
      <c r="J916"/>
      <c r="K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H923"/>
      <c r="I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H926"/>
      <c r="I926"/>
      <c r="L926"/>
      <c r="M926"/>
      <c r="N926"/>
      <c r="O926"/>
    </row>
    <row r="927" spans="1:15" x14ac:dyDescent="0.2">
      <c r="A927"/>
      <c r="B927"/>
      <c r="C927"/>
      <c r="F927"/>
      <c r="G927"/>
      <c r="H927"/>
      <c r="I927"/>
      <c r="L927"/>
      <c r="M927"/>
      <c r="N927"/>
      <c r="O927"/>
    </row>
    <row r="928" spans="1:15" x14ac:dyDescent="0.2">
      <c r="A928"/>
      <c r="B928"/>
      <c r="C928"/>
      <c r="F928"/>
      <c r="G928"/>
      <c r="I928"/>
      <c r="L928"/>
      <c r="M928"/>
      <c r="N928"/>
      <c r="O928"/>
    </row>
    <row r="929" spans="1:15" x14ac:dyDescent="0.2">
      <c r="A929"/>
      <c r="B929"/>
      <c r="C929"/>
      <c r="F929"/>
      <c r="G929"/>
      <c r="J929"/>
      <c r="K929"/>
      <c r="L929"/>
      <c r="M929"/>
      <c r="N929"/>
      <c r="O929"/>
    </row>
    <row r="930" spans="1:15" x14ac:dyDescent="0.2">
      <c r="A930"/>
      <c r="B930"/>
      <c r="C930"/>
      <c r="F930"/>
      <c r="G930"/>
      <c r="H930"/>
      <c r="I930"/>
      <c r="L930"/>
      <c r="M930"/>
      <c r="N930"/>
      <c r="O930"/>
    </row>
    <row r="931" spans="1:15" x14ac:dyDescent="0.2">
      <c r="A931"/>
      <c r="B931"/>
      <c r="C931"/>
      <c r="F931"/>
      <c r="G931"/>
      <c r="H931"/>
      <c r="I931"/>
      <c r="L931"/>
      <c r="M931"/>
      <c r="N931"/>
      <c r="O931"/>
    </row>
    <row r="932" spans="1:15" x14ac:dyDescent="0.2">
      <c r="A932"/>
      <c r="B932"/>
      <c r="C932"/>
      <c r="F932"/>
      <c r="G932"/>
      <c r="H932"/>
      <c r="I932"/>
      <c r="J932"/>
      <c r="K932"/>
      <c r="L932"/>
      <c r="M932"/>
      <c r="N932"/>
      <c r="O932"/>
    </row>
    <row r="933" spans="1:15" x14ac:dyDescent="0.2">
      <c r="A933"/>
      <c r="B933"/>
      <c r="C933"/>
      <c r="F933"/>
      <c r="G933"/>
      <c r="H933"/>
      <c r="I933"/>
      <c r="L933"/>
      <c r="M933"/>
      <c r="N933"/>
      <c r="O933"/>
    </row>
    <row r="934" spans="1:15" x14ac:dyDescent="0.2">
      <c r="A934"/>
      <c r="B934"/>
      <c r="C934"/>
      <c r="F934"/>
      <c r="G934"/>
      <c r="I934"/>
      <c r="L934"/>
      <c r="M934"/>
      <c r="N934"/>
      <c r="O934"/>
    </row>
    <row r="935" spans="1:15" x14ac:dyDescent="0.2">
      <c r="A935"/>
      <c r="B935"/>
      <c r="C935"/>
      <c r="F935"/>
      <c r="G935"/>
      <c r="H935"/>
      <c r="I935"/>
      <c r="L935"/>
      <c r="M935"/>
      <c r="N935"/>
      <c r="O935"/>
    </row>
    <row r="936" spans="1:15" x14ac:dyDescent="0.2">
      <c r="A936"/>
      <c r="B936"/>
      <c r="C936"/>
      <c r="F936"/>
      <c r="G936"/>
      <c r="H936"/>
      <c r="I936"/>
      <c r="L936"/>
      <c r="M936"/>
      <c r="N936"/>
      <c r="O936"/>
    </row>
    <row r="937" spans="1:15" x14ac:dyDescent="0.2">
      <c r="A937"/>
      <c r="B937"/>
      <c r="C937"/>
      <c r="F937"/>
      <c r="G937"/>
      <c r="J937"/>
      <c r="K937"/>
      <c r="L937"/>
      <c r="M937"/>
      <c r="N937"/>
      <c r="O937"/>
    </row>
    <row r="938" spans="1:15" x14ac:dyDescent="0.2">
      <c r="A938"/>
      <c r="B938"/>
      <c r="C938"/>
      <c r="F938"/>
      <c r="G938"/>
      <c r="H938"/>
      <c r="J938"/>
      <c r="K938"/>
      <c r="L938"/>
      <c r="M938"/>
      <c r="N938"/>
      <c r="O938"/>
    </row>
    <row r="939" spans="1:15" x14ac:dyDescent="0.2">
      <c r="A939"/>
      <c r="B939"/>
      <c r="C939"/>
      <c r="F939"/>
      <c r="G939"/>
      <c r="J939"/>
      <c r="K939"/>
      <c r="L939"/>
      <c r="M939"/>
      <c r="N939"/>
      <c r="O939"/>
    </row>
    <row r="940" spans="1:15" x14ac:dyDescent="0.2">
      <c r="A940"/>
      <c r="B940"/>
      <c r="C940"/>
      <c r="F940"/>
      <c r="G940"/>
      <c r="H940"/>
      <c r="J940"/>
      <c r="K940"/>
      <c r="L940"/>
      <c r="M940"/>
      <c r="N940"/>
      <c r="O940"/>
    </row>
    <row r="941" spans="1:15" x14ac:dyDescent="0.2">
      <c r="A941"/>
      <c r="B941"/>
      <c r="C941"/>
      <c r="F941"/>
      <c r="G941"/>
      <c r="L941"/>
      <c r="M941"/>
      <c r="N941"/>
      <c r="O941"/>
    </row>
    <row r="942" spans="1:15" x14ac:dyDescent="0.2">
      <c r="A942"/>
      <c r="B942"/>
      <c r="C942"/>
      <c r="F942"/>
      <c r="G942"/>
      <c r="H942"/>
      <c r="J942"/>
      <c r="K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I946"/>
      <c r="L946"/>
      <c r="M946"/>
      <c r="N946"/>
      <c r="O946"/>
    </row>
    <row r="947" spans="1:15" x14ac:dyDescent="0.2">
      <c r="A947"/>
      <c r="B947"/>
      <c r="C947"/>
      <c r="F947"/>
      <c r="G947"/>
      <c r="H947"/>
      <c r="J947"/>
      <c r="K947"/>
      <c r="L947"/>
      <c r="M947"/>
      <c r="N947"/>
      <c r="O947"/>
    </row>
    <row r="948" spans="1:15" x14ac:dyDescent="0.2">
      <c r="A948"/>
      <c r="B948"/>
      <c r="C948"/>
      <c r="F948"/>
      <c r="G948"/>
      <c r="H948"/>
      <c r="I948"/>
      <c r="L948"/>
      <c r="N948"/>
      <c r="O948"/>
    </row>
    <row r="949" spans="1:15" x14ac:dyDescent="0.2">
      <c r="A949"/>
      <c r="B949"/>
      <c r="C949"/>
      <c r="F949"/>
      <c r="G949"/>
      <c r="H949"/>
      <c r="I949"/>
      <c r="L949"/>
      <c r="M949"/>
      <c r="N949"/>
      <c r="O949"/>
    </row>
    <row r="950" spans="1:15" x14ac:dyDescent="0.2">
      <c r="A950"/>
      <c r="B950"/>
      <c r="C950"/>
      <c r="F950"/>
      <c r="G950"/>
      <c r="H950"/>
      <c r="I950"/>
      <c r="L950"/>
      <c r="M950"/>
      <c r="N950"/>
      <c r="O950"/>
    </row>
    <row r="951" spans="1:15" x14ac:dyDescent="0.2">
      <c r="A951"/>
      <c r="B951"/>
      <c r="C951"/>
      <c r="F951"/>
      <c r="G951"/>
      <c r="L951"/>
      <c r="M951"/>
      <c r="N951"/>
      <c r="O951"/>
    </row>
    <row r="952" spans="1:15" x14ac:dyDescent="0.2">
      <c r="A952"/>
      <c r="B952"/>
      <c r="C952"/>
      <c r="F952"/>
      <c r="G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H960"/>
      <c r="I960"/>
      <c r="L960"/>
      <c r="M960"/>
      <c r="N960"/>
      <c r="O960"/>
    </row>
    <row r="961" spans="1:15" x14ac:dyDescent="0.2">
      <c r="A961"/>
      <c r="B961"/>
      <c r="C961"/>
      <c r="F961"/>
      <c r="G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H964"/>
      <c r="I964"/>
      <c r="L964"/>
      <c r="M964"/>
      <c r="N964"/>
      <c r="O964"/>
    </row>
    <row r="965" spans="1:15" x14ac:dyDescent="0.2">
      <c r="A965"/>
      <c r="B965"/>
      <c r="C965"/>
      <c r="F965"/>
      <c r="G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J971"/>
      <c r="K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I975"/>
      <c r="L975"/>
      <c r="M975"/>
      <c r="N975"/>
      <c r="O975"/>
    </row>
    <row r="976" spans="1:15" x14ac:dyDescent="0.2">
      <c r="A976"/>
      <c r="B976"/>
      <c r="C976"/>
      <c r="F976"/>
      <c r="G976"/>
      <c r="H976"/>
      <c r="I976"/>
      <c r="L976"/>
      <c r="M976"/>
      <c r="N976"/>
      <c r="O976"/>
    </row>
    <row r="977" spans="1:15" x14ac:dyDescent="0.2">
      <c r="A977"/>
      <c r="B977"/>
      <c r="C977"/>
      <c r="F977"/>
      <c r="G977"/>
      <c r="H977"/>
      <c r="J977"/>
      <c r="K977"/>
      <c r="L977"/>
      <c r="M977"/>
      <c r="N977"/>
      <c r="O977"/>
    </row>
    <row r="978" spans="1:15" x14ac:dyDescent="0.2">
      <c r="A978"/>
      <c r="B978"/>
      <c r="C978"/>
      <c r="F978"/>
      <c r="G978"/>
      <c r="L978"/>
      <c r="M978"/>
      <c r="N978"/>
      <c r="O978"/>
    </row>
    <row r="979" spans="1:15" x14ac:dyDescent="0.2">
      <c r="A979"/>
      <c r="B979"/>
      <c r="C979"/>
      <c r="F979"/>
      <c r="G979"/>
      <c r="H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I983"/>
      <c r="L983"/>
      <c r="M983"/>
      <c r="N983"/>
      <c r="O983"/>
    </row>
    <row r="984" spans="1:15" x14ac:dyDescent="0.2">
      <c r="A984"/>
      <c r="B984"/>
      <c r="C984"/>
      <c r="F984"/>
      <c r="G984"/>
      <c r="H984"/>
      <c r="I984"/>
      <c r="L984"/>
      <c r="M984"/>
      <c r="N984"/>
      <c r="O984"/>
    </row>
    <row r="985" spans="1:15" x14ac:dyDescent="0.2">
      <c r="A985"/>
      <c r="B985"/>
      <c r="C985"/>
      <c r="F985"/>
      <c r="G985"/>
      <c r="H985"/>
      <c r="I985"/>
      <c r="L985"/>
      <c r="M985"/>
      <c r="N985"/>
      <c r="O985"/>
    </row>
    <row r="986" spans="1:15" x14ac:dyDescent="0.2">
      <c r="A986"/>
      <c r="B986"/>
      <c r="C986"/>
      <c r="F986"/>
      <c r="G986"/>
      <c r="H986"/>
      <c r="J986"/>
      <c r="K986"/>
      <c r="L986"/>
      <c r="M986"/>
      <c r="N986"/>
      <c r="O986"/>
    </row>
    <row r="987" spans="1:15" x14ac:dyDescent="0.2">
      <c r="A987"/>
      <c r="B987"/>
      <c r="C987"/>
      <c r="F987"/>
      <c r="G987"/>
      <c r="H987"/>
      <c r="J987"/>
      <c r="K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H990"/>
      <c r="I990"/>
      <c r="L990"/>
      <c r="M990"/>
      <c r="N990"/>
      <c r="O990"/>
    </row>
    <row r="991" spans="1:15" x14ac:dyDescent="0.2">
      <c r="A991"/>
      <c r="B991"/>
      <c r="C991"/>
      <c r="F991"/>
      <c r="G991"/>
      <c r="L991"/>
      <c r="M991"/>
      <c r="N991"/>
      <c r="O991"/>
    </row>
    <row r="992" spans="1:15" x14ac:dyDescent="0.2">
      <c r="A992"/>
      <c r="B992"/>
      <c r="C992"/>
      <c r="F992"/>
      <c r="G992"/>
      <c r="L992"/>
      <c r="M992"/>
      <c r="N992"/>
      <c r="O992"/>
    </row>
    <row r="993" spans="1:15" x14ac:dyDescent="0.2">
      <c r="A993"/>
      <c r="B993"/>
      <c r="C993"/>
      <c r="F993"/>
      <c r="G993"/>
      <c r="H993"/>
      <c r="I993"/>
      <c r="L993"/>
      <c r="M993"/>
      <c r="N993"/>
      <c r="O993"/>
    </row>
    <row r="994" spans="1:15" x14ac:dyDescent="0.2">
      <c r="A994"/>
      <c r="B994"/>
      <c r="C994"/>
      <c r="F994"/>
      <c r="G994"/>
      <c r="I994"/>
      <c r="L994"/>
      <c r="M994"/>
      <c r="N994"/>
      <c r="O994"/>
    </row>
    <row r="995" spans="1:15" x14ac:dyDescent="0.2">
      <c r="A995"/>
      <c r="B995"/>
      <c r="C995"/>
      <c r="F995"/>
      <c r="G995"/>
      <c r="H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I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M1002"/>
      <c r="N1002"/>
      <c r="O1002"/>
    </row>
    <row r="1003" spans="1:15" x14ac:dyDescent="0.2">
      <c r="A1003"/>
      <c r="B1003"/>
      <c r="C1003"/>
      <c r="F1003"/>
      <c r="G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H1006"/>
      <c r="I1006"/>
      <c r="L1006"/>
      <c r="M1006"/>
      <c r="N1006"/>
      <c r="O1006"/>
    </row>
    <row r="1007" spans="1:15" x14ac:dyDescent="0.2">
      <c r="A1007"/>
      <c r="B1007"/>
      <c r="C1007"/>
      <c r="F1007"/>
      <c r="G1007"/>
      <c r="I1007"/>
      <c r="L1007"/>
      <c r="M1007"/>
      <c r="N1007"/>
      <c r="O1007"/>
    </row>
    <row r="1008" spans="1:15" x14ac:dyDescent="0.2">
      <c r="A1008"/>
      <c r="B1008"/>
      <c r="C1008"/>
      <c r="F1008"/>
      <c r="G1008"/>
      <c r="I1008"/>
      <c r="L1008"/>
      <c r="M1008"/>
      <c r="N1008"/>
      <c r="O1008"/>
    </row>
    <row r="1009" spans="1:15" x14ac:dyDescent="0.2">
      <c r="A1009"/>
      <c r="B1009"/>
      <c r="C1009"/>
      <c r="F1009"/>
      <c r="G1009"/>
      <c r="H1009"/>
      <c r="I1009"/>
      <c r="L1009"/>
      <c r="M1009"/>
      <c r="N1009"/>
      <c r="O1009"/>
    </row>
    <row r="1010" spans="1:15" x14ac:dyDescent="0.2">
      <c r="A1010"/>
      <c r="B1010"/>
      <c r="C1010"/>
      <c r="F1010"/>
      <c r="G1010"/>
      <c r="L1010"/>
      <c r="M1010"/>
      <c r="N1010"/>
      <c r="O1010"/>
    </row>
    <row r="1011" spans="1:15" x14ac:dyDescent="0.2">
      <c r="A1011"/>
      <c r="B1011"/>
      <c r="C1011"/>
      <c r="F1011"/>
      <c r="G1011"/>
      <c r="J1011"/>
      <c r="K1011"/>
      <c r="L1011"/>
      <c r="M1011"/>
      <c r="N1011"/>
      <c r="O1011"/>
    </row>
    <row r="1012" spans="1:15" x14ac:dyDescent="0.2">
      <c r="A1012"/>
      <c r="B1012"/>
      <c r="C1012"/>
      <c r="F1012"/>
      <c r="G1012"/>
      <c r="H1012"/>
      <c r="I1012"/>
      <c r="L1012"/>
      <c r="M1012"/>
      <c r="N1012"/>
      <c r="O1012"/>
    </row>
    <row r="1013" spans="1:15" x14ac:dyDescent="0.2">
      <c r="A1013"/>
      <c r="B1013"/>
      <c r="C1013"/>
      <c r="F1013"/>
      <c r="G1013"/>
      <c r="I1013"/>
      <c r="L1013"/>
      <c r="M1013"/>
      <c r="N1013"/>
      <c r="O1013"/>
    </row>
    <row r="1014" spans="1:15" x14ac:dyDescent="0.2">
      <c r="A1014"/>
      <c r="B1014"/>
      <c r="C1014"/>
      <c r="F1014"/>
      <c r="G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H1018"/>
      <c r="I1018"/>
      <c r="L1018"/>
      <c r="M1018"/>
      <c r="N1018"/>
      <c r="O1018"/>
    </row>
    <row r="1019" spans="1:15" x14ac:dyDescent="0.2">
      <c r="A1019"/>
      <c r="B1019"/>
      <c r="C1019"/>
      <c r="F1019"/>
      <c r="G1019"/>
      <c r="L1019"/>
      <c r="M1019"/>
      <c r="N1019"/>
      <c r="O1019"/>
    </row>
    <row r="1020" spans="1:15" x14ac:dyDescent="0.2">
      <c r="A1020"/>
      <c r="B1020"/>
      <c r="C1020"/>
      <c r="F1020"/>
      <c r="G1020"/>
      <c r="H1020"/>
      <c r="I1020"/>
      <c r="L1020"/>
      <c r="M1020"/>
      <c r="N1020"/>
      <c r="O1020"/>
    </row>
    <row r="1021" spans="1:15" x14ac:dyDescent="0.2">
      <c r="A1021"/>
      <c r="B1021"/>
      <c r="C1021"/>
      <c r="F1021"/>
      <c r="G1021"/>
      <c r="L1021"/>
      <c r="M1021"/>
      <c r="N1021"/>
      <c r="O1021"/>
    </row>
    <row r="1022" spans="1:15" x14ac:dyDescent="0.2">
      <c r="A1022"/>
      <c r="B1022"/>
      <c r="C1022"/>
      <c r="F1022"/>
      <c r="G1022"/>
      <c r="H1022"/>
      <c r="I1022"/>
      <c r="L1022"/>
      <c r="M1022"/>
      <c r="N1022"/>
      <c r="O1022"/>
    </row>
    <row r="1023" spans="1:15" x14ac:dyDescent="0.2">
      <c r="A1023"/>
      <c r="B1023"/>
      <c r="C1023"/>
      <c r="F1023"/>
      <c r="G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I1031"/>
      <c r="L1031"/>
      <c r="M1031"/>
      <c r="N1031"/>
      <c r="O1031"/>
    </row>
    <row r="1032" spans="1:15" x14ac:dyDescent="0.2">
      <c r="A1032"/>
      <c r="B1032"/>
      <c r="C1032"/>
      <c r="F1032"/>
      <c r="G1032"/>
      <c r="I1032"/>
      <c r="J1032"/>
      <c r="K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L1035"/>
      <c r="M1035"/>
      <c r="N1035"/>
      <c r="O1035"/>
    </row>
    <row r="1036" spans="1:15" x14ac:dyDescent="0.2">
      <c r="A1036"/>
      <c r="B1036"/>
      <c r="C1036"/>
      <c r="F1036"/>
      <c r="G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H1040"/>
      <c r="I1040"/>
      <c r="L1040"/>
      <c r="M1040"/>
      <c r="N1040"/>
      <c r="O1040"/>
    </row>
    <row r="1041" spans="1:15" x14ac:dyDescent="0.2">
      <c r="A1041"/>
      <c r="B1041"/>
      <c r="C1041"/>
      <c r="F1041"/>
      <c r="G1041"/>
      <c r="L1041"/>
      <c r="M1041"/>
      <c r="N1041"/>
      <c r="O1041"/>
    </row>
    <row r="1042" spans="1:15" x14ac:dyDescent="0.2">
      <c r="A1042"/>
      <c r="B1042"/>
      <c r="C1042"/>
      <c r="F1042"/>
      <c r="G1042"/>
      <c r="H1042"/>
      <c r="I1042"/>
      <c r="L1042"/>
      <c r="M1042"/>
      <c r="N1042"/>
      <c r="O1042"/>
    </row>
    <row r="1043" spans="1:15" x14ac:dyDescent="0.2">
      <c r="A1043"/>
      <c r="B1043"/>
      <c r="C1043"/>
      <c r="F1043"/>
      <c r="G1043"/>
      <c r="J1043"/>
      <c r="K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H1049"/>
      <c r="I1049"/>
      <c r="L1049"/>
      <c r="M1049"/>
      <c r="N1049"/>
      <c r="O1049"/>
    </row>
    <row r="1050" spans="1:15" x14ac:dyDescent="0.2">
      <c r="A1050"/>
      <c r="B1050"/>
      <c r="C1050"/>
      <c r="F1050"/>
      <c r="G1050"/>
      <c r="I1050"/>
      <c r="L1050"/>
      <c r="M1050"/>
      <c r="N1050"/>
      <c r="O1050"/>
    </row>
    <row r="1051" spans="1:15" x14ac:dyDescent="0.2">
      <c r="A1051"/>
      <c r="B1051"/>
      <c r="C1051"/>
      <c r="F1051"/>
      <c r="G1051"/>
      <c r="H1051"/>
      <c r="I1051"/>
      <c r="L1051"/>
      <c r="M1051"/>
      <c r="N1051"/>
      <c r="O1051"/>
    </row>
    <row r="1052" spans="1:15" x14ac:dyDescent="0.2">
      <c r="A1052"/>
      <c r="B1052"/>
      <c r="C1052"/>
      <c r="F1052"/>
      <c r="G1052"/>
      <c r="I1052"/>
      <c r="L1052"/>
      <c r="M1052"/>
      <c r="N1052"/>
      <c r="O1052"/>
    </row>
    <row r="1053" spans="1:15" x14ac:dyDescent="0.2">
      <c r="A1053"/>
      <c r="B1053"/>
      <c r="C1053"/>
      <c r="F1053"/>
      <c r="G1053"/>
      <c r="I1053"/>
      <c r="L1053"/>
      <c r="M1053"/>
      <c r="N1053"/>
      <c r="O1053"/>
    </row>
    <row r="1054" spans="1:15" x14ac:dyDescent="0.2">
      <c r="A1054"/>
      <c r="B1054"/>
      <c r="C1054"/>
      <c r="F1054"/>
      <c r="G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I1057"/>
      <c r="L1057"/>
      <c r="M1057"/>
      <c r="N1057"/>
      <c r="O1057"/>
    </row>
    <row r="1058" spans="1:15" x14ac:dyDescent="0.2">
      <c r="A1058"/>
      <c r="B1058"/>
      <c r="C1058"/>
      <c r="F1058"/>
      <c r="G1058"/>
      <c r="H1058"/>
      <c r="J1058"/>
      <c r="K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I1060"/>
      <c r="L1060"/>
      <c r="M1060"/>
      <c r="N1060"/>
      <c r="O1060"/>
    </row>
    <row r="1061" spans="1:15" x14ac:dyDescent="0.2">
      <c r="A1061"/>
      <c r="B1061"/>
      <c r="C1061"/>
      <c r="F1061"/>
      <c r="G1061"/>
      <c r="H1061"/>
      <c r="I1061"/>
      <c r="L1061"/>
      <c r="M1061"/>
      <c r="N1061"/>
      <c r="O1061"/>
    </row>
    <row r="1062" spans="1:15" x14ac:dyDescent="0.2">
      <c r="A1062"/>
      <c r="B1062"/>
      <c r="C1062"/>
      <c r="F1062"/>
      <c r="G1062"/>
      <c r="J1062"/>
      <c r="K1062"/>
      <c r="L1062"/>
      <c r="M1062"/>
      <c r="N1062"/>
      <c r="O1062"/>
    </row>
    <row r="1063" spans="1:15" x14ac:dyDescent="0.2">
      <c r="A1063"/>
      <c r="B1063"/>
      <c r="C1063"/>
      <c r="F1063"/>
      <c r="G1063"/>
      <c r="H1063"/>
      <c r="I1063"/>
      <c r="L1063"/>
      <c r="M1063"/>
      <c r="N1063"/>
      <c r="O1063"/>
    </row>
    <row r="1064" spans="1:15" x14ac:dyDescent="0.2">
      <c r="A1064"/>
      <c r="B1064"/>
      <c r="C1064"/>
      <c r="F1064"/>
      <c r="G1064"/>
      <c r="J1064"/>
      <c r="K1064"/>
      <c r="L1064"/>
      <c r="M1064"/>
      <c r="N1064"/>
      <c r="O1064"/>
    </row>
    <row r="1065" spans="1:15" x14ac:dyDescent="0.2">
      <c r="A1065"/>
      <c r="B1065"/>
      <c r="C1065"/>
      <c r="F1065"/>
      <c r="G1065"/>
      <c r="H1065"/>
      <c r="I1065"/>
      <c r="L1065"/>
      <c r="M1065"/>
      <c r="N1065"/>
      <c r="O1065"/>
    </row>
    <row r="1066" spans="1:15" x14ac:dyDescent="0.2">
      <c r="A1066"/>
      <c r="B1066"/>
      <c r="C1066"/>
      <c r="F1066"/>
      <c r="G1066"/>
      <c r="H1066"/>
      <c r="I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J1068"/>
      <c r="K1068"/>
      <c r="L1068"/>
      <c r="M1068"/>
      <c r="N1068"/>
      <c r="O1068"/>
    </row>
    <row r="1069" spans="1:15" x14ac:dyDescent="0.2">
      <c r="A1069"/>
      <c r="B1069"/>
      <c r="C1069"/>
      <c r="F1069"/>
      <c r="G1069"/>
      <c r="H1069"/>
      <c r="I1069"/>
      <c r="L1069"/>
      <c r="N1069"/>
      <c r="O1069"/>
    </row>
    <row r="1070" spans="1:15" x14ac:dyDescent="0.2">
      <c r="A1070"/>
      <c r="B1070"/>
      <c r="C1070"/>
      <c r="F1070"/>
      <c r="G1070"/>
      <c r="H1070"/>
      <c r="J1070"/>
      <c r="K1070"/>
      <c r="L1070"/>
      <c r="M1070"/>
      <c r="N1070"/>
      <c r="O1070"/>
    </row>
    <row r="1071" spans="1:15" x14ac:dyDescent="0.2">
      <c r="A1071"/>
      <c r="B1071"/>
      <c r="C1071"/>
      <c r="F1071"/>
      <c r="G1071"/>
      <c r="H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J1073"/>
      <c r="K1073"/>
      <c r="L1073"/>
      <c r="M1073"/>
      <c r="N1073"/>
      <c r="O1073"/>
    </row>
    <row r="1074" spans="1:15" x14ac:dyDescent="0.2">
      <c r="A1074"/>
      <c r="B1074"/>
      <c r="C1074"/>
      <c r="F1074"/>
      <c r="G1074"/>
      <c r="H1074"/>
      <c r="I1074"/>
      <c r="L1074"/>
      <c r="M1074"/>
      <c r="N1074"/>
      <c r="O1074"/>
    </row>
    <row r="1075" spans="1:15" x14ac:dyDescent="0.2">
      <c r="A1075"/>
      <c r="B1075"/>
      <c r="C1075"/>
      <c r="F1075"/>
      <c r="G1075"/>
      <c r="H1075"/>
      <c r="J1075"/>
      <c r="K1075"/>
      <c r="L1075"/>
      <c r="M1075"/>
      <c r="N1075"/>
      <c r="O1075"/>
    </row>
    <row r="1076" spans="1:15" x14ac:dyDescent="0.2">
      <c r="A1076"/>
      <c r="B1076"/>
      <c r="C1076"/>
      <c r="G1076"/>
      <c r="J1076"/>
      <c r="K1076"/>
      <c r="L1076"/>
      <c r="M1076"/>
      <c r="N1076"/>
      <c r="O1076"/>
    </row>
    <row r="1077" spans="1:15" x14ac:dyDescent="0.2">
      <c r="A1077"/>
      <c r="B1077"/>
      <c r="C1077"/>
      <c r="F1077"/>
      <c r="G1077"/>
      <c r="H1077"/>
      <c r="I1077"/>
      <c r="L1077"/>
      <c r="N1077"/>
      <c r="O1077"/>
    </row>
    <row r="1078" spans="1:15" x14ac:dyDescent="0.2">
      <c r="A1078"/>
      <c r="B1078"/>
      <c r="C1078"/>
      <c r="F1078"/>
      <c r="G1078"/>
      <c r="L1078"/>
      <c r="M1078"/>
      <c r="N1078"/>
      <c r="O1078"/>
    </row>
    <row r="1079" spans="1:15" x14ac:dyDescent="0.2">
      <c r="A1079"/>
      <c r="B1079"/>
      <c r="C1079"/>
      <c r="F1079"/>
      <c r="G1079"/>
      <c r="J1079"/>
      <c r="K1079"/>
      <c r="L1079"/>
      <c r="M1079"/>
      <c r="N1079"/>
      <c r="O1079"/>
    </row>
    <row r="1080" spans="1:15" x14ac:dyDescent="0.2">
      <c r="A1080"/>
      <c r="B1080"/>
      <c r="C1080"/>
      <c r="F1080"/>
      <c r="G1080"/>
      <c r="H1080"/>
      <c r="I1080"/>
      <c r="L1080"/>
      <c r="M1080"/>
      <c r="N1080"/>
      <c r="O1080"/>
    </row>
    <row r="1081" spans="1:15" x14ac:dyDescent="0.2">
      <c r="A1081"/>
      <c r="B1081"/>
      <c r="C1081"/>
      <c r="F1081"/>
      <c r="G1081"/>
      <c r="H1081"/>
      <c r="I1081"/>
      <c r="L1081"/>
      <c r="M1081"/>
      <c r="N1081"/>
      <c r="O1081"/>
    </row>
    <row r="1082" spans="1:15" x14ac:dyDescent="0.2">
      <c r="A1082"/>
      <c r="B1082"/>
      <c r="C1082"/>
      <c r="F1082"/>
      <c r="G1082"/>
      <c r="L1082"/>
      <c r="M1082"/>
      <c r="N1082"/>
      <c r="O1082"/>
    </row>
    <row r="1083" spans="1:15" x14ac:dyDescent="0.2">
      <c r="A1083"/>
      <c r="B1083"/>
      <c r="C1083"/>
      <c r="F1083"/>
      <c r="G1083"/>
      <c r="I1083"/>
      <c r="L1083"/>
      <c r="M1083"/>
      <c r="N1083"/>
      <c r="O1083"/>
    </row>
    <row r="1084" spans="1:15" x14ac:dyDescent="0.2">
      <c r="A1084"/>
      <c r="B1084"/>
      <c r="C1084"/>
      <c r="F1084"/>
      <c r="G1084"/>
      <c r="H1084"/>
      <c r="I1084"/>
      <c r="L1084"/>
      <c r="M1084"/>
      <c r="N1084"/>
      <c r="O1084"/>
    </row>
    <row r="1085" spans="1:15" x14ac:dyDescent="0.2">
      <c r="A1085"/>
      <c r="B1085"/>
      <c r="C1085"/>
      <c r="F1085"/>
      <c r="G1085"/>
      <c r="H1085"/>
      <c r="I1085"/>
      <c r="L1085"/>
      <c r="M1085"/>
      <c r="N1085"/>
      <c r="O1085"/>
    </row>
    <row r="1086" spans="1:15" x14ac:dyDescent="0.2">
      <c r="A1086"/>
      <c r="B1086"/>
      <c r="C1086"/>
      <c r="F1086"/>
      <c r="G1086"/>
      <c r="M1086"/>
      <c r="N1086"/>
      <c r="O1086"/>
    </row>
    <row r="1087" spans="1:15" x14ac:dyDescent="0.2">
      <c r="A1087"/>
      <c r="B1087"/>
      <c r="C1087"/>
      <c r="F1087"/>
      <c r="G1087"/>
      <c r="M1087"/>
      <c r="N1087"/>
      <c r="O1087"/>
    </row>
    <row r="1088" spans="1:15" x14ac:dyDescent="0.2">
      <c r="A1088"/>
      <c r="B1088"/>
      <c r="C1088"/>
      <c r="F1088"/>
      <c r="G1088"/>
      <c r="N1088"/>
      <c r="O1088"/>
    </row>
    <row r="1089" spans="1:15" x14ac:dyDescent="0.2">
      <c r="A1089"/>
      <c r="B1089"/>
      <c r="C1089"/>
      <c r="F1089"/>
      <c r="G1089"/>
      <c r="H1089"/>
      <c r="I1089"/>
      <c r="L1089"/>
      <c r="M1089"/>
      <c r="N1089"/>
      <c r="O1089"/>
    </row>
    <row r="1090" spans="1:15" x14ac:dyDescent="0.2">
      <c r="A1090"/>
      <c r="B1090"/>
      <c r="C1090"/>
      <c r="F1090"/>
      <c r="G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N1092"/>
      <c r="O1092"/>
    </row>
    <row r="1093" spans="1:15" x14ac:dyDescent="0.2">
      <c r="A1093"/>
      <c r="B1093"/>
      <c r="C1093"/>
      <c r="F1093"/>
      <c r="G1093"/>
      <c r="I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M1095"/>
      <c r="N1095"/>
      <c r="O1095"/>
    </row>
    <row r="1096" spans="1:15" x14ac:dyDescent="0.2">
      <c r="A1096"/>
      <c r="B1096"/>
      <c r="C1096"/>
      <c r="F1096"/>
      <c r="G1096"/>
      <c r="I1096"/>
      <c r="L1096"/>
      <c r="M1096"/>
      <c r="N1096"/>
      <c r="O1096"/>
    </row>
    <row r="1097" spans="1:15" x14ac:dyDescent="0.2">
      <c r="A1097"/>
      <c r="B1097"/>
      <c r="C1097"/>
      <c r="F1097"/>
      <c r="G1097"/>
      <c r="I1097"/>
      <c r="L1097"/>
      <c r="M1097"/>
      <c r="N1097"/>
      <c r="O1097"/>
    </row>
    <row r="1098" spans="1:15" x14ac:dyDescent="0.2">
      <c r="A1098"/>
      <c r="B1098"/>
      <c r="C1098"/>
      <c r="F1098"/>
      <c r="G1098"/>
      <c r="L1098"/>
      <c r="M1098"/>
      <c r="N1098"/>
      <c r="O1098"/>
    </row>
    <row r="1099" spans="1:15" x14ac:dyDescent="0.2">
      <c r="A1099"/>
      <c r="B1099"/>
      <c r="C1099"/>
      <c r="F1099"/>
      <c r="G1099"/>
      <c r="H1099"/>
      <c r="I1099"/>
      <c r="L1099"/>
      <c r="M1099"/>
      <c r="N1099"/>
      <c r="O1099"/>
    </row>
    <row r="1100" spans="1:15" x14ac:dyDescent="0.2">
      <c r="A1100"/>
      <c r="B1100"/>
      <c r="C1100"/>
      <c r="F1100"/>
      <c r="G1100"/>
      <c r="L1100"/>
      <c r="M1100"/>
      <c r="N1100"/>
      <c r="O1100"/>
    </row>
    <row r="1101" spans="1:15" x14ac:dyDescent="0.2">
      <c r="A1101"/>
      <c r="B1101"/>
      <c r="C1101"/>
      <c r="F1101"/>
      <c r="G1101"/>
      <c r="H1101"/>
      <c r="I1101"/>
      <c r="L1101"/>
      <c r="M1101"/>
      <c r="N1101"/>
      <c r="O1101"/>
    </row>
    <row r="1102" spans="1:15" x14ac:dyDescent="0.2">
      <c r="A1102"/>
      <c r="B1102"/>
      <c r="C1102"/>
      <c r="F1102"/>
      <c r="G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I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J1109"/>
      <c r="K1109"/>
      <c r="L1109"/>
      <c r="M1109"/>
      <c r="N1109"/>
      <c r="O1109"/>
    </row>
    <row r="1110" spans="1:15" x14ac:dyDescent="0.2">
      <c r="A1110"/>
      <c r="B1110"/>
      <c r="C1110"/>
      <c r="F1110"/>
      <c r="G1110"/>
      <c r="H1110"/>
      <c r="L1110"/>
      <c r="M1110"/>
      <c r="N1110"/>
      <c r="O1110"/>
    </row>
    <row r="1111" spans="1:15" x14ac:dyDescent="0.2">
      <c r="A1111"/>
      <c r="B1111"/>
      <c r="C1111"/>
      <c r="F1111"/>
      <c r="G1111"/>
      <c r="I1111"/>
      <c r="L1111"/>
      <c r="M1111"/>
      <c r="N1111"/>
      <c r="O1111"/>
    </row>
    <row r="1112" spans="1:15" x14ac:dyDescent="0.2">
      <c r="A1112"/>
      <c r="B1112"/>
      <c r="C1112"/>
      <c r="F1112"/>
      <c r="G1112"/>
      <c r="I1112"/>
      <c r="L1112"/>
      <c r="M1112"/>
      <c r="N1112"/>
      <c r="O1112"/>
    </row>
    <row r="1113" spans="1:15" x14ac:dyDescent="0.2">
      <c r="A1113"/>
      <c r="B1113"/>
      <c r="C1113"/>
      <c r="F1113"/>
      <c r="G1113"/>
      <c r="M1113"/>
      <c r="N1113"/>
      <c r="O1113"/>
    </row>
    <row r="1114" spans="1:15" x14ac:dyDescent="0.2">
      <c r="A1114"/>
      <c r="B1114"/>
      <c r="C1114"/>
      <c r="F1114"/>
      <c r="G1114"/>
      <c r="H1114"/>
      <c r="I1114"/>
      <c r="L1114"/>
      <c r="M1114"/>
      <c r="N1114"/>
      <c r="O1114"/>
    </row>
    <row r="1115" spans="1:15" x14ac:dyDescent="0.2">
      <c r="A1115"/>
      <c r="B1115"/>
      <c r="C1115"/>
      <c r="F1115"/>
      <c r="G1115"/>
      <c r="J1115"/>
      <c r="K1115"/>
      <c r="L1115"/>
      <c r="M1115"/>
      <c r="N1115"/>
      <c r="O1115"/>
    </row>
    <row r="1116" spans="1:15" x14ac:dyDescent="0.2">
      <c r="A1116"/>
      <c r="B1116"/>
      <c r="C1116"/>
      <c r="F1116"/>
      <c r="G1116"/>
      <c r="H1116"/>
      <c r="I1116"/>
      <c r="L1116"/>
      <c r="M1116"/>
      <c r="N1116"/>
      <c r="O1116"/>
    </row>
    <row r="1117" spans="1:15" x14ac:dyDescent="0.2">
      <c r="A1117"/>
      <c r="B1117"/>
      <c r="C1117"/>
      <c r="F1117"/>
      <c r="G1117"/>
      <c r="H1117"/>
      <c r="I1117"/>
      <c r="L1117"/>
      <c r="N1117"/>
      <c r="O1117"/>
    </row>
    <row r="1118" spans="1:15" x14ac:dyDescent="0.2">
      <c r="A1118"/>
      <c r="B1118"/>
      <c r="C1118"/>
      <c r="F1118"/>
      <c r="G1118"/>
      <c r="H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I1120"/>
      <c r="L1120"/>
      <c r="M1120"/>
      <c r="N1120"/>
      <c r="O1120"/>
    </row>
    <row r="1121" spans="1:15" x14ac:dyDescent="0.2">
      <c r="A1121"/>
      <c r="B1121"/>
      <c r="C1121"/>
      <c r="F1121"/>
      <c r="G1121"/>
      <c r="H1121"/>
      <c r="I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I1129"/>
      <c r="L1129"/>
      <c r="M1129"/>
      <c r="N1129"/>
      <c r="O1129"/>
    </row>
    <row r="1130" spans="1:15" x14ac:dyDescent="0.2">
      <c r="A1130"/>
      <c r="B1130"/>
      <c r="C1130"/>
      <c r="F1130"/>
      <c r="G1130"/>
      <c r="H1130"/>
      <c r="L1130"/>
      <c r="M1130"/>
      <c r="N1130"/>
      <c r="O1130"/>
    </row>
    <row r="1131" spans="1:15" x14ac:dyDescent="0.2">
      <c r="A1131"/>
      <c r="B1131"/>
      <c r="C1131"/>
      <c r="F1131"/>
      <c r="G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H1134"/>
      <c r="I1134"/>
      <c r="L1134"/>
      <c r="M1134"/>
      <c r="N1134"/>
      <c r="O1134"/>
    </row>
    <row r="1135" spans="1:15" x14ac:dyDescent="0.2">
      <c r="A1135"/>
      <c r="B1135"/>
      <c r="C1135"/>
      <c r="F1135"/>
      <c r="G1135"/>
      <c r="H1135"/>
      <c r="J1135"/>
      <c r="K1135"/>
      <c r="L1135"/>
      <c r="M1135"/>
      <c r="N1135"/>
      <c r="O1135"/>
    </row>
    <row r="1136" spans="1:15" x14ac:dyDescent="0.2">
      <c r="A1136"/>
      <c r="B1136"/>
      <c r="C1136"/>
      <c r="F1136"/>
      <c r="G1136"/>
      <c r="I1136"/>
      <c r="L1136"/>
      <c r="M1136"/>
      <c r="N1136"/>
      <c r="O1136"/>
    </row>
    <row r="1137" spans="1:15" x14ac:dyDescent="0.2">
      <c r="A1137"/>
      <c r="B1137"/>
      <c r="C1137"/>
      <c r="F1137"/>
      <c r="G1137"/>
      <c r="J1137"/>
      <c r="K1137"/>
      <c r="L1137"/>
      <c r="M1137"/>
      <c r="N1137"/>
      <c r="O1137"/>
    </row>
    <row r="1138" spans="1:15" x14ac:dyDescent="0.2">
      <c r="A1138"/>
      <c r="B1138"/>
      <c r="C1138"/>
      <c r="F1138"/>
      <c r="G1138"/>
      <c r="J1138"/>
      <c r="K1138"/>
      <c r="L1138"/>
      <c r="M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M1141"/>
      <c r="N1141"/>
      <c r="O1141"/>
    </row>
    <row r="1142" spans="1:15" x14ac:dyDescent="0.2">
      <c r="A1142"/>
      <c r="B1142"/>
      <c r="C1142"/>
      <c r="F1142"/>
      <c r="G1142"/>
      <c r="H1142"/>
      <c r="L1142"/>
      <c r="M1142"/>
      <c r="N1142"/>
      <c r="O1142"/>
    </row>
    <row r="1143" spans="1:15" x14ac:dyDescent="0.2">
      <c r="A1143"/>
      <c r="B1143"/>
      <c r="C1143"/>
      <c r="F1143"/>
      <c r="G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I1145"/>
      <c r="L1145"/>
      <c r="M1145"/>
      <c r="N1145"/>
      <c r="O1145"/>
    </row>
    <row r="1146" spans="1:15" x14ac:dyDescent="0.2">
      <c r="A1146"/>
      <c r="B1146"/>
      <c r="C1146"/>
      <c r="F1146"/>
      <c r="G1146"/>
      <c r="H1146"/>
      <c r="J1146"/>
      <c r="K1146"/>
      <c r="L1146"/>
      <c r="M1146"/>
      <c r="N1146"/>
      <c r="O1146"/>
    </row>
    <row r="1147" spans="1:15" x14ac:dyDescent="0.2">
      <c r="A1147"/>
      <c r="B1147"/>
      <c r="C1147"/>
      <c r="F1147"/>
      <c r="G1147"/>
      <c r="L1147"/>
      <c r="M1147"/>
      <c r="N1147"/>
      <c r="O1147"/>
    </row>
    <row r="1148" spans="1:15" x14ac:dyDescent="0.2">
      <c r="A1148"/>
      <c r="B1148"/>
      <c r="C1148"/>
      <c r="F1148"/>
      <c r="G1148"/>
      <c r="H1148"/>
      <c r="L1148"/>
      <c r="M1148"/>
      <c r="N1148"/>
      <c r="O1148"/>
    </row>
    <row r="1149" spans="1:15" x14ac:dyDescent="0.2">
      <c r="A1149"/>
      <c r="B1149"/>
      <c r="C1149"/>
      <c r="F1149"/>
      <c r="G1149"/>
      <c r="J1149"/>
      <c r="K1149"/>
      <c r="L1149"/>
      <c r="M1149"/>
      <c r="N1149"/>
      <c r="O1149"/>
    </row>
    <row r="1150" spans="1:15" x14ac:dyDescent="0.2">
      <c r="A1150"/>
      <c r="B1150"/>
      <c r="C1150"/>
      <c r="F1150"/>
      <c r="G1150"/>
      <c r="L1150"/>
      <c r="M1150"/>
      <c r="N1150"/>
      <c r="O1150"/>
    </row>
    <row r="1151" spans="1:15" x14ac:dyDescent="0.2">
      <c r="A1151"/>
      <c r="B1151"/>
      <c r="C1151"/>
      <c r="F1151"/>
      <c r="G1151"/>
      <c r="L1151"/>
      <c r="M1151"/>
      <c r="N1151"/>
      <c r="O1151"/>
    </row>
    <row r="1152" spans="1:15" x14ac:dyDescent="0.2">
      <c r="A1152"/>
      <c r="B1152"/>
      <c r="C1152"/>
      <c r="F1152"/>
      <c r="G1152"/>
      <c r="H1152"/>
      <c r="L1152"/>
      <c r="M1152"/>
      <c r="N1152"/>
      <c r="O1152"/>
    </row>
    <row r="1153" spans="1:15" x14ac:dyDescent="0.2">
      <c r="A1153"/>
      <c r="B1153"/>
      <c r="C1153"/>
      <c r="F1153"/>
      <c r="G1153"/>
      <c r="H1153"/>
      <c r="I1153"/>
      <c r="L1153"/>
      <c r="M1153"/>
      <c r="N1153"/>
      <c r="O1153"/>
    </row>
    <row r="1154" spans="1:15" x14ac:dyDescent="0.2">
      <c r="A1154"/>
      <c r="B1154"/>
      <c r="C1154"/>
      <c r="F1154"/>
      <c r="G1154"/>
      <c r="L1154"/>
      <c r="M1154"/>
      <c r="N1154"/>
      <c r="O1154"/>
    </row>
    <row r="1155" spans="1:15" x14ac:dyDescent="0.2">
      <c r="A1155"/>
      <c r="B1155"/>
      <c r="C1155"/>
      <c r="F1155"/>
      <c r="G1155"/>
      <c r="L1155"/>
      <c r="M1155"/>
      <c r="N1155"/>
      <c r="O1155"/>
    </row>
    <row r="1156" spans="1:15" x14ac:dyDescent="0.2">
      <c r="A1156"/>
      <c r="B1156"/>
      <c r="C1156"/>
      <c r="F1156"/>
      <c r="G1156"/>
      <c r="H1156"/>
      <c r="I1156"/>
      <c r="L1156"/>
      <c r="M1156"/>
      <c r="N1156"/>
      <c r="O1156"/>
    </row>
    <row r="1157" spans="1:15" x14ac:dyDescent="0.2">
      <c r="A1157"/>
      <c r="B1157"/>
      <c r="C1157"/>
      <c r="F1157"/>
      <c r="G1157"/>
      <c r="J1157"/>
      <c r="K1157"/>
      <c r="L1157"/>
      <c r="M1157"/>
      <c r="N1157"/>
      <c r="O1157"/>
    </row>
    <row r="1158" spans="1:15" x14ac:dyDescent="0.2">
      <c r="A1158"/>
      <c r="B1158"/>
      <c r="C1158"/>
      <c r="F1158"/>
      <c r="G1158"/>
      <c r="I1158"/>
      <c r="L1158"/>
      <c r="M1158"/>
      <c r="N1158"/>
      <c r="O1158"/>
    </row>
    <row r="1159" spans="1:15" x14ac:dyDescent="0.2">
      <c r="A1159"/>
      <c r="B1159"/>
      <c r="C1159"/>
      <c r="F1159"/>
      <c r="G1159"/>
      <c r="H1159"/>
      <c r="I1159"/>
      <c r="L1159"/>
      <c r="M1159"/>
      <c r="N1159"/>
      <c r="O1159"/>
    </row>
    <row r="1160" spans="1:15" x14ac:dyDescent="0.2">
      <c r="A1160"/>
      <c r="B1160"/>
      <c r="C1160"/>
      <c r="F1160"/>
      <c r="G1160"/>
      <c r="H1160"/>
      <c r="J1160"/>
      <c r="K1160"/>
      <c r="L1160"/>
      <c r="M1160"/>
      <c r="N1160"/>
      <c r="O1160"/>
    </row>
    <row r="1161" spans="1:15" x14ac:dyDescent="0.2">
      <c r="A1161"/>
      <c r="B1161"/>
      <c r="C1161"/>
      <c r="F1161"/>
      <c r="G1161"/>
      <c r="H1161"/>
      <c r="J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H1165"/>
      <c r="I1165"/>
      <c r="L1165"/>
      <c r="M1165"/>
      <c r="N1165"/>
      <c r="O1165"/>
    </row>
    <row r="1166" spans="1:15" x14ac:dyDescent="0.2">
      <c r="A1166"/>
      <c r="B1166"/>
      <c r="C1166"/>
      <c r="F1166"/>
      <c r="G1166"/>
      <c r="I1166"/>
      <c r="L1166"/>
      <c r="M1166"/>
      <c r="N1166"/>
      <c r="O1166"/>
    </row>
    <row r="1167" spans="1:15" x14ac:dyDescent="0.2">
      <c r="A1167"/>
      <c r="B1167"/>
      <c r="C1167"/>
      <c r="F1167"/>
      <c r="G1167"/>
      <c r="H1167"/>
      <c r="I1167"/>
      <c r="L1167"/>
      <c r="N1167"/>
      <c r="O1167"/>
    </row>
    <row r="1168" spans="1:15" x14ac:dyDescent="0.2">
      <c r="A1168"/>
      <c r="B1168"/>
      <c r="C1168"/>
      <c r="F1168"/>
      <c r="G1168"/>
      <c r="I1168"/>
      <c r="L1168"/>
      <c r="M1168"/>
      <c r="N1168"/>
      <c r="O1168"/>
    </row>
    <row r="1169" spans="1:15" x14ac:dyDescent="0.2">
      <c r="A1169"/>
      <c r="B1169"/>
      <c r="C1169"/>
      <c r="F1169"/>
      <c r="G1169"/>
      <c r="I1169"/>
      <c r="L1169"/>
      <c r="M1169"/>
      <c r="N1169"/>
      <c r="O1169"/>
    </row>
    <row r="1170" spans="1:15" x14ac:dyDescent="0.2">
      <c r="A1170"/>
      <c r="B1170"/>
      <c r="C1170"/>
      <c r="F1170"/>
      <c r="G1170"/>
      <c r="J1170"/>
      <c r="K1170"/>
      <c r="L1170"/>
      <c r="M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H1176"/>
      <c r="I1176"/>
      <c r="L1176"/>
      <c r="M1176"/>
      <c r="N1176"/>
      <c r="O1176"/>
    </row>
    <row r="1177" spans="1:15" x14ac:dyDescent="0.2">
      <c r="A1177"/>
      <c r="B1177"/>
      <c r="C1177"/>
      <c r="F1177"/>
      <c r="G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L1182"/>
      <c r="M1182"/>
      <c r="N1182"/>
      <c r="O1182"/>
    </row>
    <row r="1183" spans="1:15" x14ac:dyDescent="0.2">
      <c r="A1183"/>
      <c r="B1183"/>
      <c r="C1183"/>
      <c r="F1183"/>
      <c r="G1183"/>
      <c r="H1183"/>
      <c r="L1183"/>
      <c r="M1183"/>
      <c r="N1183"/>
      <c r="O1183"/>
    </row>
    <row r="1184" spans="1:15" x14ac:dyDescent="0.2">
      <c r="A1184"/>
      <c r="B1184"/>
      <c r="C1184"/>
      <c r="F1184"/>
      <c r="G1184"/>
      <c r="H1184"/>
      <c r="I1184"/>
      <c r="L1184"/>
      <c r="M1184"/>
      <c r="N1184"/>
      <c r="O1184"/>
    </row>
    <row r="1185" spans="1:15" x14ac:dyDescent="0.2">
      <c r="A1185"/>
      <c r="B1185"/>
      <c r="C1185"/>
      <c r="F1185"/>
      <c r="G1185"/>
      <c r="H1185"/>
      <c r="J1185"/>
      <c r="K1185"/>
      <c r="L1185"/>
      <c r="M1185"/>
      <c r="N1185"/>
      <c r="O1185"/>
    </row>
    <row r="1186" spans="1:15" x14ac:dyDescent="0.2">
      <c r="A1186"/>
      <c r="B1186"/>
      <c r="C1186"/>
      <c r="F1186"/>
      <c r="G1186"/>
      <c r="H1186"/>
      <c r="I1186"/>
      <c r="L1186"/>
      <c r="M1186"/>
      <c r="N1186"/>
      <c r="O1186"/>
    </row>
    <row r="1187" spans="1:15" x14ac:dyDescent="0.2">
      <c r="A1187"/>
      <c r="B1187"/>
      <c r="C1187"/>
      <c r="F1187"/>
      <c r="G1187"/>
      <c r="L1187"/>
      <c r="M1187"/>
      <c r="N1187"/>
      <c r="O1187"/>
    </row>
    <row r="1188" spans="1:15" x14ac:dyDescent="0.2">
      <c r="A1188"/>
      <c r="B1188"/>
      <c r="C1188"/>
      <c r="F1188"/>
      <c r="G1188"/>
      <c r="H1188"/>
      <c r="I1188"/>
      <c r="L1188"/>
      <c r="M1188"/>
      <c r="N1188"/>
      <c r="O1188"/>
    </row>
    <row r="1189" spans="1:15" x14ac:dyDescent="0.2">
      <c r="A1189"/>
      <c r="B1189"/>
      <c r="C1189"/>
      <c r="F1189"/>
      <c r="G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L1192"/>
      <c r="M1192"/>
      <c r="N1192"/>
      <c r="O1192"/>
    </row>
    <row r="1193" spans="1:15" x14ac:dyDescent="0.2">
      <c r="A1193"/>
      <c r="B1193"/>
      <c r="C1193"/>
      <c r="F1193"/>
      <c r="G1193"/>
      <c r="I1193"/>
      <c r="L1193"/>
      <c r="M1193"/>
      <c r="N1193"/>
      <c r="O1193"/>
    </row>
    <row r="1194" spans="1:15" x14ac:dyDescent="0.2">
      <c r="A1194"/>
      <c r="B1194"/>
      <c r="C1194"/>
      <c r="F1194"/>
      <c r="G1194"/>
      <c r="H1194"/>
      <c r="J1194"/>
      <c r="K1194"/>
      <c r="L1194"/>
      <c r="M1194"/>
      <c r="N1194"/>
      <c r="O1194"/>
    </row>
    <row r="1195" spans="1:15" x14ac:dyDescent="0.2">
      <c r="A1195"/>
      <c r="B1195"/>
      <c r="C1195"/>
      <c r="F1195"/>
      <c r="G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J1197"/>
      <c r="K1197"/>
      <c r="L1197"/>
      <c r="M1197"/>
      <c r="N1197"/>
      <c r="O1197"/>
    </row>
    <row r="1198" spans="1:15" x14ac:dyDescent="0.2">
      <c r="A1198"/>
      <c r="B1198"/>
      <c r="C1198"/>
      <c r="F1198"/>
      <c r="G1198"/>
      <c r="H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J1205"/>
      <c r="K1205"/>
      <c r="L1205"/>
      <c r="M1205"/>
      <c r="N1205"/>
      <c r="O1205"/>
    </row>
    <row r="1206" spans="1:15" x14ac:dyDescent="0.2">
      <c r="A1206"/>
      <c r="B1206"/>
      <c r="C1206"/>
      <c r="F1206"/>
      <c r="G1206"/>
      <c r="H1206"/>
      <c r="I1206"/>
      <c r="L1206"/>
      <c r="M1206"/>
      <c r="N1206"/>
      <c r="O1206"/>
    </row>
    <row r="1207" spans="1:15" x14ac:dyDescent="0.2">
      <c r="A1207"/>
      <c r="B1207"/>
      <c r="C1207"/>
      <c r="F1207"/>
      <c r="G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J1211"/>
      <c r="K1211"/>
      <c r="L1211"/>
      <c r="M1211"/>
      <c r="N1211"/>
      <c r="O1211"/>
    </row>
    <row r="1212" spans="1:15" x14ac:dyDescent="0.2">
      <c r="A1212"/>
      <c r="B1212"/>
      <c r="C1212"/>
      <c r="F1212"/>
      <c r="G1212"/>
      <c r="H1212"/>
      <c r="I1212"/>
      <c r="L1212"/>
      <c r="N1212"/>
      <c r="O1212"/>
    </row>
    <row r="1213" spans="1:15" x14ac:dyDescent="0.2">
      <c r="A1213"/>
      <c r="B1213"/>
      <c r="C1213"/>
      <c r="F1213"/>
      <c r="G1213"/>
      <c r="J1213"/>
      <c r="K1213"/>
      <c r="L1213"/>
      <c r="M1213"/>
      <c r="N1213"/>
      <c r="O1213"/>
    </row>
    <row r="1214" spans="1:15" x14ac:dyDescent="0.2">
      <c r="A1214"/>
      <c r="B1214"/>
      <c r="C1214"/>
      <c r="F1214"/>
      <c r="G1214"/>
      <c r="H1214"/>
      <c r="I1214"/>
      <c r="L1214"/>
      <c r="M1214"/>
      <c r="N1214"/>
      <c r="O1214"/>
    </row>
    <row r="1215" spans="1:15" x14ac:dyDescent="0.2">
      <c r="A1215"/>
      <c r="B1215"/>
      <c r="C1215"/>
      <c r="F1215"/>
      <c r="G1215"/>
      <c r="I1215"/>
      <c r="L1215"/>
      <c r="M1215"/>
      <c r="N1215"/>
      <c r="O1215"/>
    </row>
    <row r="1216" spans="1:15" x14ac:dyDescent="0.2">
      <c r="A1216"/>
      <c r="B1216"/>
      <c r="C1216"/>
      <c r="F1216"/>
      <c r="G1216"/>
      <c r="J1216"/>
      <c r="K1216"/>
      <c r="L1216"/>
      <c r="M1216"/>
      <c r="N1216"/>
      <c r="O1216"/>
    </row>
    <row r="1217" spans="1:15" x14ac:dyDescent="0.2">
      <c r="A1217"/>
      <c r="B1217"/>
      <c r="C1217"/>
      <c r="F1217"/>
      <c r="G1217"/>
      <c r="L1217"/>
      <c r="M1217"/>
      <c r="N1217"/>
      <c r="O1217"/>
    </row>
    <row r="1218" spans="1:15" x14ac:dyDescent="0.2">
      <c r="A1218"/>
      <c r="B1218"/>
      <c r="C1218"/>
      <c r="F1218"/>
      <c r="G1218"/>
      <c r="H1218"/>
      <c r="I1218"/>
      <c r="L1218"/>
      <c r="M1218"/>
      <c r="N1218"/>
      <c r="O1218"/>
    </row>
    <row r="1219" spans="1:15" x14ac:dyDescent="0.2">
      <c r="A1219"/>
      <c r="B1219"/>
      <c r="C1219"/>
      <c r="F1219"/>
      <c r="G1219"/>
      <c r="I1219"/>
      <c r="L1219"/>
      <c r="M1219"/>
      <c r="N1219"/>
      <c r="O1219"/>
    </row>
    <row r="1220" spans="1:15" x14ac:dyDescent="0.2">
      <c r="A1220"/>
      <c r="B1220"/>
      <c r="C1220"/>
      <c r="F1220"/>
      <c r="G1220"/>
      <c r="I1220"/>
      <c r="L1220"/>
      <c r="M1220"/>
      <c r="N1220"/>
      <c r="O1220"/>
    </row>
    <row r="1221" spans="1:15" x14ac:dyDescent="0.2">
      <c r="A1221"/>
      <c r="B1221"/>
      <c r="C1221"/>
      <c r="F1221"/>
      <c r="G1221"/>
      <c r="H1221"/>
      <c r="L1221"/>
      <c r="M1221"/>
      <c r="N1221"/>
      <c r="O1221"/>
    </row>
    <row r="1222" spans="1:15" x14ac:dyDescent="0.2">
      <c r="A1222"/>
      <c r="B1222"/>
      <c r="C1222"/>
      <c r="F1222"/>
      <c r="G1222"/>
      <c r="H1222"/>
      <c r="I1222"/>
      <c r="L1222"/>
      <c r="M1222"/>
      <c r="N1222"/>
      <c r="O1222"/>
    </row>
    <row r="1223" spans="1:15" x14ac:dyDescent="0.2">
      <c r="A1223"/>
      <c r="B1223"/>
      <c r="C1223"/>
      <c r="F1223"/>
      <c r="G1223"/>
      <c r="I1223"/>
      <c r="L1223"/>
      <c r="M1223"/>
      <c r="N1223"/>
      <c r="O1223"/>
    </row>
    <row r="1224" spans="1:15" x14ac:dyDescent="0.2">
      <c r="A1224"/>
      <c r="B1224"/>
      <c r="C1224"/>
      <c r="F1224"/>
      <c r="G1224"/>
      <c r="H1224"/>
      <c r="J1224"/>
      <c r="K1224"/>
      <c r="L1224"/>
      <c r="M1224"/>
      <c r="N1224"/>
      <c r="O1224"/>
    </row>
    <row r="1225" spans="1:15" x14ac:dyDescent="0.2">
      <c r="A1225"/>
      <c r="B1225"/>
      <c r="C1225"/>
      <c r="F1225"/>
      <c r="G1225"/>
      <c r="H1225"/>
      <c r="I1225"/>
      <c r="L1225"/>
      <c r="M1225"/>
      <c r="N1225"/>
      <c r="O1225"/>
    </row>
    <row r="1226" spans="1:15" x14ac:dyDescent="0.2">
      <c r="A1226"/>
      <c r="B1226"/>
      <c r="C1226"/>
      <c r="F1226"/>
      <c r="G1226"/>
      <c r="H1226"/>
      <c r="I1226"/>
      <c r="L1226"/>
      <c r="M1226"/>
      <c r="N1226"/>
      <c r="O1226"/>
    </row>
    <row r="1227" spans="1:15" x14ac:dyDescent="0.2">
      <c r="A1227"/>
      <c r="B1227"/>
      <c r="C1227"/>
      <c r="F1227"/>
      <c r="G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H1230"/>
      <c r="I1230"/>
      <c r="L1230"/>
      <c r="M1230"/>
      <c r="N1230"/>
      <c r="O1230"/>
    </row>
    <row r="1231" spans="1:15" x14ac:dyDescent="0.2">
      <c r="A1231"/>
      <c r="B1231"/>
      <c r="C1231"/>
      <c r="F1231"/>
      <c r="G1231"/>
      <c r="I1231"/>
      <c r="L1231"/>
      <c r="M1231"/>
      <c r="N1231"/>
      <c r="O1231"/>
    </row>
    <row r="1232" spans="1:15" x14ac:dyDescent="0.2">
      <c r="A1232"/>
      <c r="B1232"/>
      <c r="C1232"/>
      <c r="F1232"/>
      <c r="G1232"/>
      <c r="H1232"/>
      <c r="I1232"/>
      <c r="L1232"/>
      <c r="M1232"/>
      <c r="N1232"/>
      <c r="O1232"/>
    </row>
    <row r="1233" spans="1:15" x14ac:dyDescent="0.2">
      <c r="A1233"/>
      <c r="B1233"/>
      <c r="C1233"/>
      <c r="F1233"/>
      <c r="G1233"/>
      <c r="I1233"/>
      <c r="L1233"/>
      <c r="M1233"/>
      <c r="N1233"/>
      <c r="O1233"/>
    </row>
    <row r="1234" spans="1:15" x14ac:dyDescent="0.2">
      <c r="A1234"/>
      <c r="B1234"/>
      <c r="C1234"/>
      <c r="F1234"/>
      <c r="G1234"/>
      <c r="H1234"/>
      <c r="L1234"/>
      <c r="M1234"/>
      <c r="N1234"/>
      <c r="O1234"/>
    </row>
    <row r="1235" spans="1:15" x14ac:dyDescent="0.2">
      <c r="A1235"/>
      <c r="B1235"/>
      <c r="C1235"/>
      <c r="F1235"/>
      <c r="G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H1238"/>
      <c r="L1238"/>
      <c r="M1238"/>
      <c r="N1238"/>
      <c r="O1238"/>
    </row>
    <row r="1239" spans="1:15" x14ac:dyDescent="0.2">
      <c r="A1239"/>
      <c r="B1239"/>
      <c r="C1239"/>
      <c r="F1239"/>
      <c r="G1239"/>
      <c r="H1239"/>
      <c r="M1239"/>
      <c r="N1239"/>
      <c r="O1239"/>
    </row>
    <row r="1240" spans="1:15" x14ac:dyDescent="0.2">
      <c r="A1240"/>
      <c r="B1240"/>
      <c r="C1240"/>
      <c r="F1240"/>
      <c r="G1240"/>
      <c r="H1240"/>
      <c r="J1240"/>
      <c r="K1240"/>
      <c r="L1240"/>
      <c r="M1240"/>
      <c r="N1240"/>
      <c r="O1240"/>
    </row>
    <row r="1241" spans="1:15" x14ac:dyDescent="0.2">
      <c r="A1241"/>
      <c r="B1241"/>
      <c r="C1241"/>
      <c r="F1241"/>
      <c r="G1241"/>
      <c r="H1241"/>
      <c r="I1241"/>
      <c r="L1241"/>
      <c r="M1241"/>
      <c r="N1241"/>
      <c r="O1241"/>
    </row>
    <row r="1242" spans="1:15" x14ac:dyDescent="0.2">
      <c r="A1242"/>
      <c r="B1242"/>
      <c r="C1242"/>
      <c r="F1242"/>
      <c r="G1242"/>
      <c r="H1242"/>
      <c r="I1242"/>
      <c r="L1242"/>
      <c r="M1242"/>
      <c r="N1242"/>
      <c r="O1242"/>
    </row>
    <row r="1243" spans="1:15" x14ac:dyDescent="0.2">
      <c r="A1243"/>
      <c r="B1243"/>
      <c r="C1243"/>
      <c r="F1243"/>
      <c r="G1243"/>
      <c r="L1243"/>
      <c r="M1243"/>
      <c r="N1243"/>
      <c r="O1243"/>
    </row>
    <row r="1244" spans="1:15" x14ac:dyDescent="0.2">
      <c r="A1244"/>
      <c r="B1244"/>
      <c r="C1244"/>
      <c r="F1244"/>
      <c r="G1244"/>
      <c r="H1244"/>
      <c r="I1244"/>
      <c r="J1244"/>
      <c r="K1244"/>
      <c r="L1244"/>
      <c r="M1244"/>
      <c r="N1244"/>
      <c r="O1244"/>
    </row>
    <row r="1245" spans="1:15" x14ac:dyDescent="0.2">
      <c r="A1245"/>
      <c r="B1245"/>
      <c r="C1245"/>
      <c r="F1245"/>
      <c r="G1245"/>
      <c r="H1245"/>
      <c r="I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I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H1258"/>
      <c r="I1258"/>
      <c r="L1258"/>
      <c r="M1258"/>
      <c r="N1258"/>
      <c r="O1258"/>
    </row>
    <row r="1259" spans="1:15" x14ac:dyDescent="0.2">
      <c r="A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H1262"/>
      <c r="I1262"/>
      <c r="L1262"/>
      <c r="M1262"/>
      <c r="N1262"/>
      <c r="O1262"/>
    </row>
    <row r="1263" spans="1:15" x14ac:dyDescent="0.2">
      <c r="A1263"/>
      <c r="B1263"/>
      <c r="C1263"/>
      <c r="F1263"/>
      <c r="G1263"/>
      <c r="H1263"/>
      <c r="I1263"/>
      <c r="L1263"/>
      <c r="M1263"/>
      <c r="N1263"/>
      <c r="O1263"/>
    </row>
    <row r="1264" spans="1:15" x14ac:dyDescent="0.2">
      <c r="A1264"/>
      <c r="B1264"/>
      <c r="C1264"/>
      <c r="F1264"/>
      <c r="G1264"/>
      <c r="L1264"/>
      <c r="M1264"/>
      <c r="N1264"/>
      <c r="O1264"/>
    </row>
    <row r="1265" spans="1:15" x14ac:dyDescent="0.2">
      <c r="A1265"/>
      <c r="B1265"/>
      <c r="C1265"/>
      <c r="F1265"/>
      <c r="G1265"/>
      <c r="H1265"/>
      <c r="I1265"/>
      <c r="L1265"/>
      <c r="M1265"/>
      <c r="N1265"/>
      <c r="O1265"/>
    </row>
    <row r="1266" spans="1:15" x14ac:dyDescent="0.2">
      <c r="A1266"/>
      <c r="B1266"/>
      <c r="C1266"/>
      <c r="F1266"/>
      <c r="G1266"/>
      <c r="L1266"/>
      <c r="M1266"/>
      <c r="N1266"/>
      <c r="O1266"/>
    </row>
    <row r="1267" spans="1:15" x14ac:dyDescent="0.2">
      <c r="A1267"/>
      <c r="B1267"/>
      <c r="C1267"/>
      <c r="F1267"/>
      <c r="G1267"/>
      <c r="H1267"/>
      <c r="I1267"/>
      <c r="L1267"/>
      <c r="M1267"/>
      <c r="N1267"/>
      <c r="O1267"/>
    </row>
    <row r="1268" spans="1:15" x14ac:dyDescent="0.2">
      <c r="A1268"/>
      <c r="B1268"/>
      <c r="C1268"/>
      <c r="F1268"/>
      <c r="G1268"/>
      <c r="L1268"/>
      <c r="M1268"/>
      <c r="N1268"/>
      <c r="O1268"/>
    </row>
    <row r="1269" spans="1:15" x14ac:dyDescent="0.2">
      <c r="A1269"/>
      <c r="B1269"/>
      <c r="C1269"/>
      <c r="F1269"/>
      <c r="G1269"/>
      <c r="I1269"/>
      <c r="L1269"/>
      <c r="M1269"/>
      <c r="N1269"/>
      <c r="O1269"/>
    </row>
    <row r="1270" spans="1:15" x14ac:dyDescent="0.2">
      <c r="A1270"/>
      <c r="B1270"/>
      <c r="C1270"/>
      <c r="F1270"/>
      <c r="G1270"/>
      <c r="J1270"/>
      <c r="K1270"/>
      <c r="L1270"/>
      <c r="M1270"/>
      <c r="N1270"/>
      <c r="O1270"/>
    </row>
    <row r="1271" spans="1:15" x14ac:dyDescent="0.2">
      <c r="A1271"/>
      <c r="B1271"/>
      <c r="C1271"/>
      <c r="F1271"/>
      <c r="G1271"/>
      <c r="H1271"/>
      <c r="I1271"/>
      <c r="L1271"/>
      <c r="M1271"/>
      <c r="N1271"/>
      <c r="O1271"/>
    </row>
    <row r="1272" spans="1:15" x14ac:dyDescent="0.2">
      <c r="A1272"/>
      <c r="B1272"/>
      <c r="C1272"/>
      <c r="F1272"/>
      <c r="G1272"/>
      <c r="L1272"/>
      <c r="M1272"/>
      <c r="N1272"/>
      <c r="O1272"/>
    </row>
    <row r="1273" spans="1:15" x14ac:dyDescent="0.2">
      <c r="A1273"/>
      <c r="B1273"/>
      <c r="C1273"/>
      <c r="F1273"/>
      <c r="G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H1276"/>
      <c r="I1276"/>
      <c r="L1276"/>
      <c r="M1276"/>
      <c r="N1276"/>
      <c r="O1276"/>
    </row>
    <row r="1277" spans="1:15" x14ac:dyDescent="0.2">
      <c r="A1277"/>
      <c r="B1277"/>
      <c r="C1277"/>
      <c r="F1277"/>
      <c r="G1277"/>
      <c r="I1277"/>
      <c r="L1277"/>
      <c r="M1277"/>
      <c r="N1277"/>
      <c r="O1277"/>
    </row>
    <row r="1278" spans="1:15" x14ac:dyDescent="0.2">
      <c r="A1278"/>
      <c r="B1278"/>
      <c r="C1278"/>
      <c r="F1278"/>
      <c r="G1278"/>
      <c r="I1278"/>
      <c r="L1278"/>
      <c r="M1278"/>
      <c r="N1278"/>
      <c r="O1278"/>
    </row>
    <row r="1279" spans="1:15" x14ac:dyDescent="0.2">
      <c r="A1279"/>
      <c r="B1279"/>
      <c r="C1279"/>
      <c r="F1279"/>
      <c r="G1279"/>
      <c r="H1279"/>
      <c r="I1279"/>
      <c r="L1279"/>
      <c r="M1279"/>
      <c r="N1279"/>
      <c r="O1279"/>
    </row>
    <row r="1280" spans="1:15" x14ac:dyDescent="0.2">
      <c r="A1280"/>
      <c r="B1280"/>
      <c r="C1280"/>
      <c r="F1280"/>
      <c r="G1280"/>
      <c r="L1280"/>
      <c r="M1280"/>
      <c r="N1280"/>
      <c r="O1280"/>
    </row>
    <row r="1281" spans="1:15" x14ac:dyDescent="0.2">
      <c r="A1281"/>
      <c r="B1281"/>
      <c r="C1281"/>
      <c r="F1281"/>
      <c r="G1281"/>
      <c r="H1281"/>
      <c r="I1281"/>
      <c r="L1281"/>
      <c r="M1281"/>
      <c r="N1281"/>
      <c r="O1281"/>
    </row>
    <row r="1282" spans="1:15" x14ac:dyDescent="0.2">
      <c r="A1282"/>
      <c r="B1282"/>
      <c r="C1282"/>
      <c r="F1282"/>
      <c r="G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I1286"/>
      <c r="L1286"/>
      <c r="M1286"/>
      <c r="N1286"/>
      <c r="O1286"/>
    </row>
    <row r="1287" spans="1:15" x14ac:dyDescent="0.2">
      <c r="A1287"/>
      <c r="B1287"/>
      <c r="C1287"/>
      <c r="F1287"/>
      <c r="G1287"/>
      <c r="H1287"/>
      <c r="J1287"/>
      <c r="K1287"/>
      <c r="L1287"/>
      <c r="M1287"/>
      <c r="N1287"/>
      <c r="O1287"/>
    </row>
    <row r="1288" spans="1:15" x14ac:dyDescent="0.2">
      <c r="A1288"/>
      <c r="B1288"/>
      <c r="C1288"/>
      <c r="F1288"/>
      <c r="G1288"/>
      <c r="H1288"/>
      <c r="J1288"/>
      <c r="K1288"/>
      <c r="L1288"/>
      <c r="M1288"/>
      <c r="N1288"/>
      <c r="O1288"/>
    </row>
    <row r="1289" spans="1:15" x14ac:dyDescent="0.2">
      <c r="A1289"/>
      <c r="B1289"/>
      <c r="C1289"/>
      <c r="F1289"/>
      <c r="G1289"/>
      <c r="L1289"/>
      <c r="M1289"/>
      <c r="N1289"/>
      <c r="O1289"/>
    </row>
    <row r="1290" spans="1:15" x14ac:dyDescent="0.2">
      <c r="A1290"/>
      <c r="B1290"/>
      <c r="C1290"/>
      <c r="F1290"/>
      <c r="G1290"/>
      <c r="H1290"/>
      <c r="I1290"/>
      <c r="L1290"/>
      <c r="M1290"/>
      <c r="N1290"/>
      <c r="O1290"/>
    </row>
    <row r="1291" spans="1:15" x14ac:dyDescent="0.2">
      <c r="A1291"/>
      <c r="B1291"/>
      <c r="C1291"/>
      <c r="F1291"/>
      <c r="G1291"/>
      <c r="H1291"/>
      <c r="I1291"/>
      <c r="L1291"/>
      <c r="M1291"/>
      <c r="N1291"/>
      <c r="O1291"/>
    </row>
    <row r="1292" spans="1:15" x14ac:dyDescent="0.2">
      <c r="A1292"/>
      <c r="B1292"/>
      <c r="C1292"/>
      <c r="F1292"/>
      <c r="G1292"/>
      <c r="H1292"/>
      <c r="J1292"/>
      <c r="K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I1299"/>
      <c r="L1299"/>
      <c r="M1299"/>
      <c r="N1299"/>
      <c r="O1299"/>
    </row>
    <row r="1300" spans="1:15" x14ac:dyDescent="0.2">
      <c r="A1300"/>
      <c r="B1300"/>
      <c r="C1300"/>
      <c r="F1300"/>
      <c r="G1300"/>
      <c r="H1300"/>
      <c r="I1300"/>
      <c r="L1300"/>
      <c r="M1300"/>
      <c r="N1300"/>
      <c r="O1300"/>
    </row>
    <row r="1301" spans="1:15" x14ac:dyDescent="0.2">
      <c r="A1301"/>
      <c r="B1301"/>
      <c r="C1301"/>
      <c r="F1301"/>
      <c r="G1301"/>
      <c r="H1301"/>
      <c r="J1301"/>
      <c r="K1301"/>
      <c r="L1301"/>
      <c r="M1301"/>
      <c r="N1301"/>
      <c r="O1301"/>
    </row>
    <row r="1302" spans="1:15" x14ac:dyDescent="0.2">
      <c r="A1302"/>
      <c r="B1302"/>
      <c r="C1302"/>
      <c r="F1302"/>
      <c r="G1302"/>
      <c r="H1302"/>
      <c r="I1302"/>
      <c r="L1302"/>
      <c r="M1302"/>
      <c r="N1302"/>
      <c r="O1302"/>
    </row>
    <row r="1303" spans="1:15" x14ac:dyDescent="0.2">
      <c r="A1303"/>
      <c r="B1303"/>
      <c r="C1303"/>
      <c r="F1303"/>
      <c r="G1303"/>
      <c r="I1303"/>
      <c r="L1303"/>
      <c r="M1303"/>
      <c r="N1303"/>
      <c r="O1303"/>
    </row>
    <row r="1304" spans="1:15" x14ac:dyDescent="0.2">
      <c r="A1304"/>
      <c r="B1304"/>
      <c r="C1304"/>
      <c r="F1304"/>
      <c r="G1304"/>
      <c r="H1304"/>
      <c r="I1304"/>
      <c r="L1304"/>
      <c r="M1304"/>
      <c r="N1304"/>
      <c r="O1304"/>
    </row>
    <row r="1305" spans="1:15" x14ac:dyDescent="0.2">
      <c r="A1305"/>
      <c r="B1305"/>
      <c r="C1305"/>
      <c r="F1305"/>
      <c r="G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I1326"/>
      <c r="L1326"/>
      <c r="M1326"/>
      <c r="N1326"/>
      <c r="O1326"/>
    </row>
    <row r="1327" spans="1:15" x14ac:dyDescent="0.2">
      <c r="A1327"/>
      <c r="B1327"/>
      <c r="C1327"/>
      <c r="F1327"/>
      <c r="G1327"/>
      <c r="H1327"/>
      <c r="J1327"/>
      <c r="K1327"/>
      <c r="L1327"/>
      <c r="M1327"/>
      <c r="N1327"/>
      <c r="O1327"/>
    </row>
    <row r="1328" spans="1:15" x14ac:dyDescent="0.2">
      <c r="A1328"/>
      <c r="B1328"/>
      <c r="C1328"/>
      <c r="F1328"/>
      <c r="G1328"/>
      <c r="H1328"/>
      <c r="J1328"/>
      <c r="K1328"/>
      <c r="L1328"/>
      <c r="M1328"/>
      <c r="N1328"/>
      <c r="O1328"/>
    </row>
    <row r="1329" spans="1:15" x14ac:dyDescent="0.2">
      <c r="A1329"/>
      <c r="B1329"/>
      <c r="C1329"/>
      <c r="F1329"/>
      <c r="G1329"/>
      <c r="L1329"/>
      <c r="M1329"/>
      <c r="N1329"/>
      <c r="O1329"/>
    </row>
    <row r="1330" spans="1:15" x14ac:dyDescent="0.2">
      <c r="A1330"/>
      <c r="B1330"/>
      <c r="C1330"/>
      <c r="F1330"/>
      <c r="G1330"/>
      <c r="H1330"/>
      <c r="J1330"/>
      <c r="K1330"/>
      <c r="L1330"/>
      <c r="M1330"/>
      <c r="N1330"/>
      <c r="O1330"/>
    </row>
    <row r="1331" spans="1:15" x14ac:dyDescent="0.2">
      <c r="A1331"/>
      <c r="B1331"/>
      <c r="C1331"/>
      <c r="F1331"/>
      <c r="G1331"/>
      <c r="L1331"/>
      <c r="M1331"/>
      <c r="N1331"/>
      <c r="O1331"/>
    </row>
    <row r="1332" spans="1:15" x14ac:dyDescent="0.2">
      <c r="A1332"/>
      <c r="B1332"/>
      <c r="C1332"/>
      <c r="F1332"/>
      <c r="G1332"/>
      <c r="H1332"/>
      <c r="J1332"/>
      <c r="K1332"/>
      <c r="L1332"/>
      <c r="M1332"/>
      <c r="N1332"/>
      <c r="O1332"/>
    </row>
    <row r="1333" spans="1:15" x14ac:dyDescent="0.2">
      <c r="A1333"/>
      <c r="B1333"/>
      <c r="C1333"/>
      <c r="F1333"/>
      <c r="G1333"/>
      <c r="J1333"/>
      <c r="K1333"/>
      <c r="L1333"/>
      <c r="M1333"/>
      <c r="N1333"/>
      <c r="O1333"/>
    </row>
    <row r="1334" spans="1:15" x14ac:dyDescent="0.2">
      <c r="A1334"/>
      <c r="B1334"/>
      <c r="C1334"/>
      <c r="F1334"/>
      <c r="G1334"/>
      <c r="H1334"/>
      <c r="I1334"/>
      <c r="L1334"/>
      <c r="N1334"/>
      <c r="O1334"/>
    </row>
    <row r="1335" spans="1:15" x14ac:dyDescent="0.2">
      <c r="A1335"/>
      <c r="B1335"/>
      <c r="C1335"/>
      <c r="F1335"/>
      <c r="G1335"/>
      <c r="I1335"/>
      <c r="L1335"/>
      <c r="M1335"/>
      <c r="N1335"/>
      <c r="O1335"/>
    </row>
    <row r="1336" spans="1:15" x14ac:dyDescent="0.2">
      <c r="A1336"/>
      <c r="B1336"/>
      <c r="C1336"/>
      <c r="F1336"/>
      <c r="G1336"/>
      <c r="L1336"/>
      <c r="M1336"/>
      <c r="N1336"/>
      <c r="O1336"/>
    </row>
    <row r="1337" spans="1:15" x14ac:dyDescent="0.2">
      <c r="A1337"/>
      <c r="B1337"/>
      <c r="C1337"/>
      <c r="F1337"/>
      <c r="G1337"/>
      <c r="H1337"/>
      <c r="I1337"/>
      <c r="L1337"/>
      <c r="M1337"/>
      <c r="N1337"/>
      <c r="O1337"/>
    </row>
    <row r="1338" spans="1:15" x14ac:dyDescent="0.2">
      <c r="A1338"/>
      <c r="B1338"/>
      <c r="C1338"/>
      <c r="F1338"/>
      <c r="G1338"/>
      <c r="L1338"/>
      <c r="M1338"/>
      <c r="N1338"/>
      <c r="O1338"/>
    </row>
    <row r="1339" spans="1:15" x14ac:dyDescent="0.2">
      <c r="A1339"/>
      <c r="B1339"/>
      <c r="C1339"/>
      <c r="F1339"/>
      <c r="G1339"/>
      <c r="L1339"/>
      <c r="M1339"/>
      <c r="N1339"/>
      <c r="O1339"/>
    </row>
    <row r="1340" spans="1:15" x14ac:dyDescent="0.2">
      <c r="A1340"/>
      <c r="B1340"/>
      <c r="C1340"/>
      <c r="F1340"/>
      <c r="G1340"/>
      <c r="I1340"/>
      <c r="L1340"/>
      <c r="M1340"/>
      <c r="N1340"/>
      <c r="O1340"/>
    </row>
    <row r="1341" spans="1:15" x14ac:dyDescent="0.2">
      <c r="A1341"/>
      <c r="B1341"/>
      <c r="C1341"/>
      <c r="F1341"/>
      <c r="G1341"/>
      <c r="H1341"/>
      <c r="I1341"/>
      <c r="L1341"/>
      <c r="M1341"/>
      <c r="N1341"/>
      <c r="O1341"/>
    </row>
    <row r="1342" spans="1:15" x14ac:dyDescent="0.2">
      <c r="A1342"/>
      <c r="B1342"/>
      <c r="C1342"/>
      <c r="F1342"/>
      <c r="G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H1346"/>
      <c r="I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N1348"/>
      <c r="O1348"/>
    </row>
    <row r="1349" spans="1:15" x14ac:dyDescent="0.2">
      <c r="A1349"/>
      <c r="B1349"/>
      <c r="C1349"/>
      <c r="F1349"/>
      <c r="G1349"/>
      <c r="I1349"/>
      <c r="L1349"/>
      <c r="M1349"/>
      <c r="N1349"/>
      <c r="O1349"/>
    </row>
    <row r="1350" spans="1:15" x14ac:dyDescent="0.2">
      <c r="A1350"/>
      <c r="B1350"/>
      <c r="C1350"/>
      <c r="F1350"/>
      <c r="G1350"/>
      <c r="H1350"/>
      <c r="I1350"/>
      <c r="L1350"/>
      <c r="M1350"/>
      <c r="N1350"/>
      <c r="O1350"/>
    </row>
    <row r="1351" spans="1:15" x14ac:dyDescent="0.2">
      <c r="A1351"/>
      <c r="B1351"/>
      <c r="C1351"/>
      <c r="F1351"/>
      <c r="G1351"/>
      <c r="J1351"/>
      <c r="K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I1355"/>
      <c r="L1355"/>
      <c r="M1355"/>
      <c r="N1355"/>
      <c r="O1355"/>
    </row>
    <row r="1356" spans="1:15" x14ac:dyDescent="0.2">
      <c r="A1356"/>
      <c r="B1356"/>
      <c r="C1356"/>
      <c r="F1356"/>
      <c r="G1356"/>
      <c r="H1356"/>
      <c r="I1356"/>
      <c r="J1356"/>
      <c r="K1356"/>
      <c r="L1356"/>
      <c r="M1356"/>
      <c r="N1356"/>
      <c r="O1356"/>
    </row>
    <row r="1357" spans="1:15" x14ac:dyDescent="0.2">
      <c r="A1357"/>
      <c r="B1357"/>
      <c r="C1357"/>
      <c r="F1357"/>
      <c r="G1357"/>
      <c r="L1357"/>
      <c r="M1357"/>
      <c r="N1357"/>
      <c r="O1357"/>
    </row>
    <row r="1358" spans="1:15" x14ac:dyDescent="0.2">
      <c r="A1358"/>
      <c r="B1358"/>
      <c r="C1358"/>
      <c r="F1358"/>
      <c r="G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J1371"/>
      <c r="K1371"/>
      <c r="L1371"/>
      <c r="M1371"/>
      <c r="N1371"/>
      <c r="O1371"/>
    </row>
    <row r="1372" spans="1:15" x14ac:dyDescent="0.2">
      <c r="A1372"/>
      <c r="B1372"/>
      <c r="C1372"/>
      <c r="F1372"/>
      <c r="G1372"/>
      <c r="H1372"/>
      <c r="I1372"/>
      <c r="L1372"/>
      <c r="M1372"/>
      <c r="N1372"/>
      <c r="O1372"/>
    </row>
    <row r="1373" spans="1:15" x14ac:dyDescent="0.2">
      <c r="A1373"/>
      <c r="B1373"/>
      <c r="C1373"/>
      <c r="F1373"/>
      <c r="G1373"/>
      <c r="I1373"/>
      <c r="L1373"/>
      <c r="M1373"/>
      <c r="N1373"/>
      <c r="O1373"/>
    </row>
    <row r="1374" spans="1:15" x14ac:dyDescent="0.2">
      <c r="A1374"/>
      <c r="B1374"/>
      <c r="C1374"/>
      <c r="F1374"/>
      <c r="G1374"/>
      <c r="L1374"/>
      <c r="M1374"/>
      <c r="N1374"/>
      <c r="O1374"/>
    </row>
    <row r="1375" spans="1:15" x14ac:dyDescent="0.2">
      <c r="A1375"/>
      <c r="B1375"/>
      <c r="C1375"/>
      <c r="F1375"/>
      <c r="G1375"/>
      <c r="H1375"/>
      <c r="I1375"/>
      <c r="L1375"/>
      <c r="M1375"/>
      <c r="N1375"/>
      <c r="O1375"/>
    </row>
    <row r="1376" spans="1:15" x14ac:dyDescent="0.2">
      <c r="A1376"/>
      <c r="B1376"/>
      <c r="C1376"/>
      <c r="F1376"/>
      <c r="G1376"/>
      <c r="H1376"/>
      <c r="I1376"/>
      <c r="L1376"/>
      <c r="M1376"/>
      <c r="N1376"/>
      <c r="O1376"/>
    </row>
    <row r="1377" spans="1:15" x14ac:dyDescent="0.2">
      <c r="A1377"/>
      <c r="B1377"/>
      <c r="C1377"/>
      <c r="F1377"/>
      <c r="G1377"/>
      <c r="J1377"/>
      <c r="K1377"/>
      <c r="L1377"/>
      <c r="M1377"/>
      <c r="N1377"/>
      <c r="O1377"/>
    </row>
    <row r="1378" spans="1:15" x14ac:dyDescent="0.2">
      <c r="A1378"/>
      <c r="B1378"/>
      <c r="C1378"/>
      <c r="F1378"/>
      <c r="G1378"/>
      <c r="H1378"/>
      <c r="I1378"/>
      <c r="L1378"/>
      <c r="M1378"/>
      <c r="N1378"/>
      <c r="O1378"/>
    </row>
    <row r="1379" spans="1:15" x14ac:dyDescent="0.2">
      <c r="A1379"/>
      <c r="B1379"/>
      <c r="C1379"/>
      <c r="F1379"/>
      <c r="G1379"/>
      <c r="I1379"/>
      <c r="L1379"/>
      <c r="M1379"/>
      <c r="N1379"/>
      <c r="O1379"/>
    </row>
    <row r="1380" spans="1:15" x14ac:dyDescent="0.2">
      <c r="A1380"/>
      <c r="B1380"/>
      <c r="C1380"/>
      <c r="F1380"/>
      <c r="G1380"/>
      <c r="L1380"/>
      <c r="M1380"/>
      <c r="N1380"/>
      <c r="O1380"/>
    </row>
    <row r="1381" spans="1:15" x14ac:dyDescent="0.2">
      <c r="A1381"/>
      <c r="B1381"/>
      <c r="C1381"/>
      <c r="F1381"/>
      <c r="G1381"/>
      <c r="I1381"/>
      <c r="L1381"/>
      <c r="M1381"/>
      <c r="N1381"/>
      <c r="O1381"/>
    </row>
    <row r="1382" spans="1:15" x14ac:dyDescent="0.2">
      <c r="A1382"/>
      <c r="B1382"/>
      <c r="C1382"/>
      <c r="F1382"/>
      <c r="G1382"/>
      <c r="H1382"/>
      <c r="I1382"/>
      <c r="L1382"/>
      <c r="M1382"/>
      <c r="N1382"/>
      <c r="O1382"/>
    </row>
    <row r="1383" spans="1:15" x14ac:dyDescent="0.2">
      <c r="A1383"/>
      <c r="B1383"/>
      <c r="C1383"/>
      <c r="F1383"/>
      <c r="G1383"/>
      <c r="I1383"/>
      <c r="L1383"/>
      <c r="M1383"/>
      <c r="N1383"/>
      <c r="O1383"/>
    </row>
    <row r="1384" spans="1:15" x14ac:dyDescent="0.2">
      <c r="A1384"/>
      <c r="B1384"/>
      <c r="C1384"/>
      <c r="F1384"/>
      <c r="G1384"/>
      <c r="H1384"/>
      <c r="I1384"/>
      <c r="L1384"/>
      <c r="M1384"/>
      <c r="N1384"/>
      <c r="O1384"/>
    </row>
    <row r="1385" spans="1:15" x14ac:dyDescent="0.2">
      <c r="A1385"/>
      <c r="B1385"/>
      <c r="C1385"/>
      <c r="F1385"/>
      <c r="G1385"/>
      <c r="L1385"/>
      <c r="M1385"/>
      <c r="N1385"/>
      <c r="O1385"/>
    </row>
    <row r="1386" spans="1:15" x14ac:dyDescent="0.2">
      <c r="A1386"/>
      <c r="B1386"/>
      <c r="C1386"/>
      <c r="F1386"/>
      <c r="G1386"/>
      <c r="H1386"/>
      <c r="J1386"/>
      <c r="K1386"/>
      <c r="L1386"/>
      <c r="M1386"/>
      <c r="N1386"/>
      <c r="O1386"/>
    </row>
    <row r="1387" spans="1:15" x14ac:dyDescent="0.2">
      <c r="A1387"/>
      <c r="B1387"/>
      <c r="C1387"/>
      <c r="F1387"/>
      <c r="G1387"/>
      <c r="H1387"/>
      <c r="I1387"/>
      <c r="L1387"/>
      <c r="M1387"/>
      <c r="N1387"/>
      <c r="O1387"/>
    </row>
    <row r="1388" spans="1:15" x14ac:dyDescent="0.2">
      <c r="A1388"/>
      <c r="B1388"/>
      <c r="C1388"/>
      <c r="F1388"/>
      <c r="G1388"/>
      <c r="H1388"/>
      <c r="I1388"/>
      <c r="L1388"/>
      <c r="M1388"/>
      <c r="N1388"/>
      <c r="O1388"/>
    </row>
    <row r="1389" spans="1:15" x14ac:dyDescent="0.2">
      <c r="A1389"/>
      <c r="B1389"/>
      <c r="C1389"/>
      <c r="F1389"/>
      <c r="G1389"/>
      <c r="I1389"/>
      <c r="L1389"/>
      <c r="M1389"/>
      <c r="N1389"/>
      <c r="O1389"/>
    </row>
    <row r="1390" spans="1:15" x14ac:dyDescent="0.2">
      <c r="A1390"/>
      <c r="B1390"/>
      <c r="C1390"/>
      <c r="F1390"/>
      <c r="G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N1393"/>
      <c r="O1393"/>
    </row>
    <row r="1394" spans="1:15" x14ac:dyDescent="0.2">
      <c r="A1394"/>
      <c r="B1394"/>
      <c r="C1394"/>
      <c r="F1394"/>
      <c r="G1394"/>
      <c r="L1394"/>
      <c r="M1394"/>
      <c r="N1394"/>
      <c r="O1394"/>
    </row>
    <row r="1395" spans="1:15" x14ac:dyDescent="0.2">
      <c r="A1395"/>
      <c r="B1395"/>
      <c r="C1395"/>
      <c r="F1395"/>
      <c r="G1395"/>
      <c r="H1395"/>
      <c r="I1395"/>
      <c r="L1395"/>
      <c r="M1395"/>
      <c r="N1395"/>
      <c r="O1395"/>
    </row>
    <row r="1396" spans="1:15" x14ac:dyDescent="0.2">
      <c r="A1396"/>
      <c r="B1396"/>
      <c r="C1396"/>
      <c r="F1396"/>
      <c r="G1396"/>
      <c r="H1396"/>
      <c r="I1396"/>
      <c r="L1396"/>
      <c r="M1396"/>
      <c r="N1396"/>
      <c r="O1396"/>
    </row>
    <row r="1397" spans="1:15" x14ac:dyDescent="0.2">
      <c r="A1397"/>
      <c r="B1397"/>
      <c r="C1397"/>
      <c r="F1397"/>
      <c r="G1397"/>
      <c r="L1397"/>
      <c r="M1397"/>
      <c r="N1397"/>
      <c r="O1397"/>
    </row>
    <row r="1398" spans="1:15" x14ac:dyDescent="0.2">
      <c r="A1398"/>
      <c r="B1398"/>
      <c r="C1398"/>
      <c r="F1398"/>
      <c r="G1398"/>
      <c r="L1398"/>
      <c r="M1398"/>
      <c r="N1398"/>
      <c r="O1398"/>
    </row>
    <row r="1399" spans="1:15" x14ac:dyDescent="0.2">
      <c r="A1399"/>
      <c r="B1399"/>
      <c r="C1399"/>
      <c r="F1399"/>
      <c r="G1399"/>
      <c r="J1399"/>
      <c r="K1399"/>
      <c r="L1399"/>
      <c r="M1399"/>
      <c r="N1399"/>
      <c r="O1399"/>
    </row>
    <row r="1400" spans="1:15" x14ac:dyDescent="0.2">
      <c r="A1400"/>
      <c r="B1400"/>
      <c r="C1400"/>
      <c r="F1400"/>
      <c r="G1400"/>
      <c r="H1400"/>
      <c r="I1400"/>
      <c r="L1400"/>
      <c r="M1400"/>
      <c r="N1400"/>
      <c r="O1400"/>
    </row>
    <row r="1401" spans="1:15" x14ac:dyDescent="0.2">
      <c r="A1401"/>
      <c r="B1401"/>
      <c r="C1401"/>
      <c r="F1401"/>
      <c r="G1401"/>
      <c r="I1401"/>
      <c r="L1401"/>
      <c r="M1401"/>
      <c r="N1401"/>
      <c r="O1401"/>
    </row>
    <row r="1402" spans="1:15" x14ac:dyDescent="0.2">
      <c r="A1402"/>
      <c r="B1402"/>
      <c r="C1402"/>
      <c r="F1402"/>
      <c r="G1402"/>
      <c r="I1402"/>
      <c r="L1402"/>
      <c r="M1402"/>
      <c r="N1402"/>
      <c r="O1402"/>
    </row>
    <row r="1403" spans="1:15" x14ac:dyDescent="0.2">
      <c r="A1403"/>
      <c r="B1403"/>
      <c r="C1403"/>
      <c r="F1403"/>
      <c r="G1403"/>
      <c r="H1403"/>
      <c r="I1403"/>
      <c r="L1403"/>
      <c r="M1403"/>
      <c r="N1403"/>
      <c r="O1403"/>
    </row>
    <row r="1404" spans="1:15" x14ac:dyDescent="0.2">
      <c r="A1404"/>
      <c r="B1404"/>
      <c r="C1404"/>
      <c r="F1404"/>
      <c r="G1404"/>
      <c r="H1404"/>
      <c r="I1404"/>
      <c r="L1404"/>
      <c r="M1404"/>
      <c r="N1404"/>
      <c r="O1404"/>
    </row>
    <row r="1405" spans="1:15" x14ac:dyDescent="0.2">
      <c r="A1405"/>
      <c r="B1405"/>
      <c r="C1405"/>
      <c r="F1405"/>
      <c r="G1405"/>
      <c r="I1405"/>
      <c r="L1405"/>
      <c r="M1405"/>
      <c r="N1405"/>
      <c r="O1405"/>
    </row>
    <row r="1406" spans="1:15" x14ac:dyDescent="0.2">
      <c r="A1406"/>
      <c r="B1406"/>
      <c r="C1406"/>
      <c r="F1406"/>
      <c r="G1406"/>
      <c r="H1406"/>
      <c r="L1406"/>
      <c r="M1406"/>
      <c r="N1406"/>
      <c r="O1406"/>
    </row>
    <row r="1407" spans="1:15" x14ac:dyDescent="0.2">
      <c r="A1407"/>
      <c r="B1407"/>
      <c r="C1407"/>
      <c r="F1407"/>
      <c r="G1407"/>
      <c r="H1407"/>
      <c r="I1407"/>
      <c r="L1407"/>
      <c r="M1407"/>
      <c r="N1407"/>
      <c r="O1407"/>
    </row>
    <row r="1408" spans="1:15" x14ac:dyDescent="0.2">
      <c r="A1408"/>
      <c r="B1408"/>
      <c r="C1408"/>
      <c r="F1408"/>
      <c r="G1408"/>
      <c r="H1408"/>
      <c r="M1408"/>
      <c r="N1408"/>
      <c r="O1408"/>
    </row>
    <row r="1409" spans="1:15" x14ac:dyDescent="0.2">
      <c r="A1409"/>
      <c r="B1409"/>
      <c r="C1409"/>
      <c r="F1409"/>
      <c r="G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H1418"/>
      <c r="I1418"/>
      <c r="L1418"/>
      <c r="M1418"/>
      <c r="N1418"/>
      <c r="O1418"/>
    </row>
    <row r="1419" spans="1:15" x14ac:dyDescent="0.2">
      <c r="A1419"/>
      <c r="B1419"/>
      <c r="C1419"/>
      <c r="F1419"/>
      <c r="G1419"/>
      <c r="L1419"/>
      <c r="M1419"/>
      <c r="N1419"/>
      <c r="O1419"/>
    </row>
    <row r="1420" spans="1:15" x14ac:dyDescent="0.2">
      <c r="A1420"/>
      <c r="B1420"/>
      <c r="C1420"/>
      <c r="F1420"/>
      <c r="G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H1423"/>
      <c r="I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L1426"/>
      <c r="M1426"/>
      <c r="N1426"/>
      <c r="O1426"/>
    </row>
    <row r="1427" spans="1:15" x14ac:dyDescent="0.2">
      <c r="A1427"/>
      <c r="B1427"/>
      <c r="C1427"/>
      <c r="F1427"/>
      <c r="G1427"/>
      <c r="J1427"/>
      <c r="K1427"/>
      <c r="L1427"/>
      <c r="M1427"/>
      <c r="N1427"/>
      <c r="O1427"/>
    </row>
    <row r="1428" spans="1:15" x14ac:dyDescent="0.2">
      <c r="A1428"/>
      <c r="B1428"/>
      <c r="C1428"/>
      <c r="F1428"/>
      <c r="G1428"/>
      <c r="L1428"/>
      <c r="M1428"/>
      <c r="N1428"/>
      <c r="O1428"/>
    </row>
    <row r="1429" spans="1:15" x14ac:dyDescent="0.2">
      <c r="A1429"/>
      <c r="B1429"/>
      <c r="C1429"/>
      <c r="F1429"/>
      <c r="G1429"/>
      <c r="I1429"/>
      <c r="L1429"/>
      <c r="M1429"/>
      <c r="N1429"/>
      <c r="O1429"/>
    </row>
    <row r="1430" spans="1:15" x14ac:dyDescent="0.2">
      <c r="A1430"/>
      <c r="B1430"/>
      <c r="C1430"/>
      <c r="F1430"/>
      <c r="G1430"/>
      <c r="H1430"/>
      <c r="I1430"/>
      <c r="L1430"/>
      <c r="M1430"/>
      <c r="N1430"/>
      <c r="O1430"/>
    </row>
    <row r="1431" spans="1:15" x14ac:dyDescent="0.2">
      <c r="A1431"/>
      <c r="B1431"/>
      <c r="C1431"/>
      <c r="F1431"/>
      <c r="G1431"/>
      <c r="L1431"/>
      <c r="M1431"/>
      <c r="N1431"/>
      <c r="O1431"/>
    </row>
    <row r="1432" spans="1:15" x14ac:dyDescent="0.2">
      <c r="A1432"/>
      <c r="B1432"/>
      <c r="C1432"/>
      <c r="F1432"/>
      <c r="G1432"/>
      <c r="I1432"/>
      <c r="L1432"/>
      <c r="M1432"/>
      <c r="N1432"/>
      <c r="O1432"/>
    </row>
    <row r="1433" spans="1:15" x14ac:dyDescent="0.2">
      <c r="A1433"/>
      <c r="B1433"/>
      <c r="C1433"/>
      <c r="F1433"/>
      <c r="G1433"/>
      <c r="H1433"/>
      <c r="J1433"/>
      <c r="K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H1437"/>
      <c r="I1437"/>
      <c r="L1437"/>
      <c r="M1437"/>
      <c r="N1437"/>
      <c r="O1437"/>
    </row>
    <row r="1438" spans="1:15" x14ac:dyDescent="0.2">
      <c r="A1438"/>
      <c r="B1438"/>
      <c r="C1438"/>
      <c r="F1438"/>
      <c r="G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N1440"/>
      <c r="O1440"/>
    </row>
    <row r="1441" spans="1:15" x14ac:dyDescent="0.2">
      <c r="A1441"/>
      <c r="B1441"/>
      <c r="C1441"/>
      <c r="F1441"/>
      <c r="G1441"/>
      <c r="J1441"/>
      <c r="K1441"/>
      <c r="L1441"/>
      <c r="M1441"/>
      <c r="N1441"/>
      <c r="O1441"/>
    </row>
    <row r="1442" spans="1:15" x14ac:dyDescent="0.2">
      <c r="A1442"/>
      <c r="B1442"/>
      <c r="C1442"/>
      <c r="F1442"/>
      <c r="G1442"/>
      <c r="H1442"/>
      <c r="J1442"/>
      <c r="K1442"/>
      <c r="L1442"/>
      <c r="M1442"/>
      <c r="N1442"/>
      <c r="O1442"/>
    </row>
    <row r="1443" spans="1:15" x14ac:dyDescent="0.2">
      <c r="A1443"/>
      <c r="B1443"/>
      <c r="C1443"/>
      <c r="F1443"/>
      <c r="G1443"/>
      <c r="L1443"/>
      <c r="M1443"/>
      <c r="N1443"/>
      <c r="O1443"/>
    </row>
    <row r="1444" spans="1:15" x14ac:dyDescent="0.2">
      <c r="A1444"/>
      <c r="B1444"/>
      <c r="C1444"/>
      <c r="F1444"/>
      <c r="G1444"/>
      <c r="H1444"/>
      <c r="I1444"/>
      <c r="J1444"/>
      <c r="K1444"/>
      <c r="L1444"/>
      <c r="M1444"/>
      <c r="N1444"/>
      <c r="O1444"/>
    </row>
    <row r="1445" spans="1:15" x14ac:dyDescent="0.2">
      <c r="A1445"/>
      <c r="B1445"/>
      <c r="C1445"/>
      <c r="F1445"/>
      <c r="G1445"/>
      <c r="H1445"/>
      <c r="J1445"/>
      <c r="K1445"/>
      <c r="M1445"/>
      <c r="N1445"/>
      <c r="O1445"/>
    </row>
    <row r="1446" spans="1:15" x14ac:dyDescent="0.2">
      <c r="A1446"/>
      <c r="B1446"/>
      <c r="C1446"/>
      <c r="F1446"/>
      <c r="G1446"/>
      <c r="H1446"/>
      <c r="J1446"/>
      <c r="K1446"/>
      <c r="L1446"/>
      <c r="M1446"/>
      <c r="N1446"/>
      <c r="O1446"/>
    </row>
    <row r="1447" spans="1:15" x14ac:dyDescent="0.2">
      <c r="A1447"/>
      <c r="B1447"/>
      <c r="C1447"/>
      <c r="F1447"/>
      <c r="G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J1449"/>
      <c r="K1449"/>
      <c r="L1449"/>
      <c r="M1449"/>
      <c r="N1449"/>
      <c r="O1449"/>
    </row>
    <row r="1450" spans="1:15" x14ac:dyDescent="0.2">
      <c r="A1450"/>
      <c r="B1450"/>
      <c r="C1450"/>
      <c r="F1450"/>
      <c r="G1450"/>
      <c r="H1450"/>
      <c r="I1450"/>
      <c r="J1450"/>
      <c r="K1450"/>
      <c r="L1450"/>
      <c r="M1450"/>
      <c r="N1450"/>
      <c r="O1450"/>
    </row>
    <row r="1451" spans="1:15" x14ac:dyDescent="0.2">
      <c r="A1451"/>
      <c r="B1451"/>
      <c r="C1451"/>
      <c r="F1451"/>
      <c r="G1451"/>
      <c r="J1451"/>
      <c r="L1451"/>
      <c r="M1451"/>
      <c r="N1451"/>
      <c r="O1451"/>
    </row>
    <row r="1452" spans="1:15" x14ac:dyDescent="0.2">
      <c r="A1452"/>
      <c r="B1452"/>
      <c r="C1452"/>
      <c r="F1452"/>
      <c r="G1452"/>
      <c r="I1452"/>
      <c r="L1452"/>
      <c r="N1452"/>
      <c r="O1452"/>
    </row>
    <row r="1453" spans="1:15" x14ac:dyDescent="0.2">
      <c r="A1453"/>
      <c r="B1453"/>
      <c r="C1453"/>
      <c r="F1453"/>
      <c r="G1453"/>
      <c r="L1453"/>
      <c r="M1453"/>
      <c r="N1453"/>
      <c r="O1453"/>
    </row>
    <row r="1454" spans="1:15" x14ac:dyDescent="0.2">
      <c r="A1454"/>
      <c r="B1454"/>
      <c r="C1454"/>
      <c r="F1454"/>
      <c r="G1454"/>
      <c r="H1454"/>
      <c r="J1454"/>
      <c r="K1454"/>
      <c r="L1454"/>
      <c r="M1454"/>
      <c r="N1454"/>
      <c r="O1454"/>
    </row>
    <row r="1455" spans="1:15" x14ac:dyDescent="0.2">
      <c r="A1455"/>
      <c r="B1455"/>
      <c r="C1455"/>
      <c r="F1455"/>
      <c r="G1455"/>
      <c r="H1455"/>
      <c r="J1455"/>
      <c r="K1455"/>
      <c r="L1455"/>
      <c r="M1455"/>
      <c r="N1455"/>
      <c r="O1455"/>
    </row>
    <row r="1456" spans="1:15" x14ac:dyDescent="0.2">
      <c r="A1456"/>
      <c r="B1456"/>
      <c r="C1456"/>
      <c r="F1456"/>
      <c r="G1456"/>
      <c r="J1456"/>
      <c r="K1456"/>
      <c r="L1456"/>
      <c r="M1456"/>
      <c r="N1456"/>
      <c r="O1456"/>
    </row>
    <row r="1457" spans="1:15" x14ac:dyDescent="0.2">
      <c r="A1457"/>
      <c r="B1457"/>
      <c r="C1457"/>
      <c r="F1457"/>
      <c r="G1457"/>
      <c r="H1457"/>
      <c r="I1457"/>
      <c r="L1457"/>
      <c r="M1457"/>
      <c r="N1457"/>
      <c r="O1457"/>
    </row>
    <row r="1458" spans="1:15" x14ac:dyDescent="0.2">
      <c r="A1458"/>
      <c r="B1458"/>
      <c r="C1458"/>
      <c r="F1458"/>
      <c r="G1458"/>
      <c r="H1458"/>
      <c r="L1458"/>
      <c r="M1458"/>
      <c r="N1458"/>
      <c r="O1458"/>
    </row>
    <row r="1459" spans="1:15" x14ac:dyDescent="0.2">
      <c r="A1459"/>
      <c r="B1459"/>
      <c r="C1459"/>
      <c r="F1459"/>
      <c r="G1459"/>
      <c r="H1459"/>
      <c r="I1459"/>
      <c r="L1459"/>
      <c r="N1459"/>
      <c r="O1459"/>
    </row>
    <row r="1460" spans="1:15" x14ac:dyDescent="0.2">
      <c r="A1460"/>
      <c r="B1460"/>
      <c r="C1460"/>
      <c r="F1460"/>
      <c r="G1460"/>
      <c r="I1460"/>
      <c r="L1460"/>
      <c r="M1460"/>
      <c r="N1460"/>
      <c r="O1460"/>
    </row>
    <row r="1461" spans="1:15" x14ac:dyDescent="0.2">
      <c r="A1461"/>
      <c r="B1461"/>
      <c r="C1461"/>
      <c r="F1461"/>
      <c r="G1461"/>
      <c r="L1461"/>
      <c r="M1461"/>
      <c r="N1461"/>
      <c r="O1461"/>
    </row>
    <row r="1462" spans="1:15" x14ac:dyDescent="0.2">
      <c r="A1462"/>
      <c r="B1462"/>
      <c r="C1462"/>
      <c r="F1462"/>
      <c r="G1462"/>
      <c r="L1462"/>
      <c r="M1462"/>
      <c r="N1462"/>
      <c r="O1462"/>
    </row>
    <row r="1463" spans="1:15" x14ac:dyDescent="0.2">
      <c r="A1463"/>
      <c r="B1463"/>
      <c r="C1463"/>
      <c r="F1463"/>
      <c r="G1463"/>
      <c r="H1463"/>
      <c r="I1463"/>
      <c r="L1463"/>
      <c r="M1463"/>
      <c r="N1463"/>
      <c r="O1463"/>
    </row>
    <row r="1464" spans="1:15" x14ac:dyDescent="0.2">
      <c r="A1464"/>
      <c r="B1464"/>
      <c r="C1464"/>
      <c r="F1464"/>
      <c r="G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I1468"/>
      <c r="L1468"/>
      <c r="M1468"/>
      <c r="N1468"/>
      <c r="O1468"/>
    </row>
    <row r="1469" spans="1:15" x14ac:dyDescent="0.2">
      <c r="A1469"/>
      <c r="B1469"/>
      <c r="C1469"/>
      <c r="F1469"/>
      <c r="G1469"/>
      <c r="H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J1472"/>
      <c r="K1472"/>
      <c r="L1472"/>
      <c r="M1472"/>
      <c r="N1472"/>
      <c r="O1472"/>
    </row>
    <row r="1473" spans="1:15" x14ac:dyDescent="0.2">
      <c r="A1473"/>
      <c r="B1473"/>
      <c r="C1473"/>
      <c r="F1473"/>
      <c r="G1473"/>
      <c r="H1473"/>
      <c r="I1473"/>
      <c r="L1473"/>
      <c r="M1473"/>
      <c r="N1473"/>
      <c r="O1473"/>
    </row>
    <row r="1474" spans="1:15" x14ac:dyDescent="0.2">
      <c r="A1474"/>
      <c r="B1474"/>
      <c r="C1474"/>
      <c r="F1474"/>
      <c r="G1474"/>
      <c r="I1474"/>
      <c r="L1474"/>
      <c r="M1474"/>
      <c r="N1474"/>
      <c r="O1474"/>
    </row>
    <row r="1475" spans="1:15" x14ac:dyDescent="0.2">
      <c r="A1475"/>
      <c r="B1475"/>
      <c r="C1475"/>
      <c r="F1475"/>
      <c r="G1475"/>
      <c r="H1475"/>
      <c r="I1475"/>
      <c r="J1475"/>
      <c r="K1475"/>
      <c r="L1475"/>
      <c r="M1475"/>
      <c r="N1475"/>
      <c r="O1475"/>
    </row>
    <row r="1476" spans="1:15" x14ac:dyDescent="0.2">
      <c r="A1476"/>
      <c r="B1476"/>
      <c r="C1476"/>
      <c r="F1476"/>
      <c r="G1476"/>
      <c r="I1476"/>
      <c r="L1476"/>
      <c r="M1476"/>
      <c r="N1476"/>
      <c r="O1476"/>
    </row>
    <row r="1477" spans="1:15" x14ac:dyDescent="0.2">
      <c r="A1477"/>
      <c r="B1477"/>
      <c r="C1477"/>
      <c r="F1477"/>
      <c r="G1477"/>
      <c r="L1477"/>
      <c r="M1477"/>
      <c r="N1477"/>
      <c r="O1477"/>
    </row>
    <row r="1478" spans="1:15" x14ac:dyDescent="0.2">
      <c r="A1478"/>
      <c r="B1478"/>
      <c r="C1478"/>
      <c r="F1478"/>
      <c r="G1478"/>
      <c r="H1478"/>
      <c r="I1478"/>
      <c r="L1478"/>
      <c r="M1478"/>
      <c r="N1478"/>
      <c r="O1478"/>
    </row>
    <row r="1479" spans="1:15" x14ac:dyDescent="0.2">
      <c r="A1479"/>
      <c r="B1479"/>
      <c r="C1479"/>
      <c r="F1479"/>
      <c r="G1479"/>
      <c r="H1479"/>
      <c r="I1479"/>
      <c r="L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J1484"/>
      <c r="K1484"/>
      <c r="L1484"/>
      <c r="M1484"/>
      <c r="N1484"/>
      <c r="O1484"/>
    </row>
    <row r="1485" spans="1:15" x14ac:dyDescent="0.2">
      <c r="A1485"/>
      <c r="B1485"/>
      <c r="C1485"/>
      <c r="F1485"/>
      <c r="G1485"/>
      <c r="H1485"/>
      <c r="I1485"/>
      <c r="L1485"/>
      <c r="M1485"/>
      <c r="N1485"/>
      <c r="O1485"/>
    </row>
    <row r="1486" spans="1:15" x14ac:dyDescent="0.2">
      <c r="A1486"/>
      <c r="B1486"/>
      <c r="C1486"/>
      <c r="F1486"/>
      <c r="G1486"/>
      <c r="H1486"/>
      <c r="I1486"/>
      <c r="L1486"/>
      <c r="M1486"/>
      <c r="N1486"/>
      <c r="O1486"/>
    </row>
    <row r="1487" spans="1:15" x14ac:dyDescent="0.2">
      <c r="A1487"/>
      <c r="B1487"/>
      <c r="C1487"/>
      <c r="F1487"/>
      <c r="G1487"/>
      <c r="H1487"/>
      <c r="L1487"/>
      <c r="M1487"/>
      <c r="N1487"/>
      <c r="O1487"/>
    </row>
    <row r="1488" spans="1:15" x14ac:dyDescent="0.2">
      <c r="A1488"/>
      <c r="B1488"/>
      <c r="C1488"/>
      <c r="F1488"/>
      <c r="G1488"/>
      <c r="H1488"/>
      <c r="I1488"/>
      <c r="L1488"/>
      <c r="M1488"/>
      <c r="N1488"/>
      <c r="O1488"/>
    </row>
    <row r="1489" spans="1:15" x14ac:dyDescent="0.2">
      <c r="A1489"/>
      <c r="B1489"/>
      <c r="C1489"/>
      <c r="F1489"/>
      <c r="G1489"/>
      <c r="H1489"/>
      <c r="I1489"/>
      <c r="L1489"/>
      <c r="N1489"/>
      <c r="O1489"/>
    </row>
    <row r="1490" spans="1:15" x14ac:dyDescent="0.2">
      <c r="A1490"/>
      <c r="B1490"/>
      <c r="C1490"/>
      <c r="F1490"/>
      <c r="G1490"/>
      <c r="H1490"/>
      <c r="I1490"/>
      <c r="L1490"/>
      <c r="M1490"/>
      <c r="N1490"/>
      <c r="O1490"/>
    </row>
    <row r="1491" spans="1:15" x14ac:dyDescent="0.2">
      <c r="A1491"/>
      <c r="B1491"/>
      <c r="C1491"/>
      <c r="F1491"/>
      <c r="G1491"/>
      <c r="H1491"/>
      <c r="I1491"/>
      <c r="J1491"/>
      <c r="K1491"/>
      <c r="L1491"/>
      <c r="M1491"/>
      <c r="N1491"/>
      <c r="O1491"/>
    </row>
    <row r="1492" spans="1:15" x14ac:dyDescent="0.2">
      <c r="A1492"/>
      <c r="B1492"/>
      <c r="C1492"/>
      <c r="F1492"/>
      <c r="G1492"/>
      <c r="H1492"/>
      <c r="J1492"/>
      <c r="K1492"/>
      <c r="L1492"/>
      <c r="M1492"/>
      <c r="N1492"/>
      <c r="O1492"/>
    </row>
    <row r="1493" spans="1:15" x14ac:dyDescent="0.2">
      <c r="A1493"/>
      <c r="B1493"/>
      <c r="C1493"/>
      <c r="F1493"/>
      <c r="G1493"/>
      <c r="L1493"/>
      <c r="M1493"/>
      <c r="N1493"/>
      <c r="O1493"/>
    </row>
    <row r="1494" spans="1:15" x14ac:dyDescent="0.2">
      <c r="A1494"/>
      <c r="B1494"/>
      <c r="C1494"/>
      <c r="F1494"/>
      <c r="G1494"/>
      <c r="H1494"/>
      <c r="I1494"/>
      <c r="L1494"/>
      <c r="M1494"/>
      <c r="N1494"/>
      <c r="O1494"/>
    </row>
    <row r="1495" spans="1:15" x14ac:dyDescent="0.2">
      <c r="A1495"/>
      <c r="B1495"/>
      <c r="C1495"/>
      <c r="F1495"/>
      <c r="G1495"/>
      <c r="M1495"/>
      <c r="N1495"/>
      <c r="O1495"/>
    </row>
    <row r="1496" spans="1:15" x14ac:dyDescent="0.2">
      <c r="A1496"/>
      <c r="B1496"/>
      <c r="C1496"/>
      <c r="F1496"/>
      <c r="G1496"/>
      <c r="L1496"/>
      <c r="M1496"/>
      <c r="N1496"/>
      <c r="O1496"/>
    </row>
    <row r="1497" spans="1:15" x14ac:dyDescent="0.2">
      <c r="A1497"/>
      <c r="B1497"/>
      <c r="C1497"/>
      <c r="F1497"/>
      <c r="G1497"/>
      <c r="M1497"/>
      <c r="N1497"/>
      <c r="O1497"/>
    </row>
    <row r="1498" spans="1:15" x14ac:dyDescent="0.2">
      <c r="A1498"/>
      <c r="B1498"/>
      <c r="C1498"/>
      <c r="F1498"/>
      <c r="G1498"/>
      <c r="L1498"/>
      <c r="M1498"/>
      <c r="N1498"/>
      <c r="O1498"/>
    </row>
    <row r="1499" spans="1:15" x14ac:dyDescent="0.2">
      <c r="A1499"/>
      <c r="B1499"/>
      <c r="C1499"/>
      <c r="F1499"/>
      <c r="G1499"/>
      <c r="H1499"/>
      <c r="I1499"/>
      <c r="L1499"/>
      <c r="N1499"/>
      <c r="O1499"/>
    </row>
    <row r="1500" spans="1:15" x14ac:dyDescent="0.2">
      <c r="A1500"/>
      <c r="B1500"/>
      <c r="C1500"/>
      <c r="F1500"/>
      <c r="G1500"/>
      <c r="L1500"/>
      <c r="M1500"/>
      <c r="N1500"/>
      <c r="O1500"/>
    </row>
    <row r="1501" spans="1:15" x14ac:dyDescent="0.2">
      <c r="A1501"/>
      <c r="B1501"/>
      <c r="C1501"/>
      <c r="F1501"/>
      <c r="G1501"/>
      <c r="J1501"/>
      <c r="K1501"/>
      <c r="L1501"/>
      <c r="M1501"/>
      <c r="N1501"/>
      <c r="O1501"/>
    </row>
    <row r="1502" spans="1:15" x14ac:dyDescent="0.2">
      <c r="A1502"/>
      <c r="B1502"/>
      <c r="C1502"/>
      <c r="F1502"/>
      <c r="G1502"/>
      <c r="H1502"/>
      <c r="I1502"/>
      <c r="L1502"/>
      <c r="N1502"/>
      <c r="O1502"/>
    </row>
    <row r="1503" spans="1:15" x14ac:dyDescent="0.2">
      <c r="A1503"/>
      <c r="B1503"/>
      <c r="C1503"/>
      <c r="F1503"/>
      <c r="G1503"/>
      <c r="H1503"/>
      <c r="I1503"/>
      <c r="L1503"/>
      <c r="M1503"/>
      <c r="N1503"/>
      <c r="O1503"/>
    </row>
    <row r="1504" spans="1:15" x14ac:dyDescent="0.2">
      <c r="A1504"/>
      <c r="B1504"/>
      <c r="C1504"/>
      <c r="F1504"/>
      <c r="G1504"/>
      <c r="H1504"/>
      <c r="I1504"/>
      <c r="L1504"/>
      <c r="M1504"/>
      <c r="N1504"/>
      <c r="O1504"/>
    </row>
    <row r="1505" spans="1:15" x14ac:dyDescent="0.2">
      <c r="A1505"/>
      <c r="B1505"/>
      <c r="C1505"/>
      <c r="F1505"/>
      <c r="G1505"/>
      <c r="L1505"/>
      <c r="M1505"/>
      <c r="N1505"/>
      <c r="O1505"/>
    </row>
    <row r="1506" spans="1:15" x14ac:dyDescent="0.2">
      <c r="A1506"/>
      <c r="B1506"/>
      <c r="C1506"/>
      <c r="F1506"/>
      <c r="G1506"/>
      <c r="H1506"/>
      <c r="I1506"/>
      <c r="L1506"/>
      <c r="M1506"/>
      <c r="N1506"/>
      <c r="O1506"/>
    </row>
    <row r="1507" spans="1:15" x14ac:dyDescent="0.2">
      <c r="A1507"/>
      <c r="B1507"/>
      <c r="C1507"/>
      <c r="F1507"/>
      <c r="G1507"/>
      <c r="H1507"/>
      <c r="I1507"/>
      <c r="L1507"/>
      <c r="M1507"/>
      <c r="N1507"/>
      <c r="O1507"/>
    </row>
    <row r="1508" spans="1:15" x14ac:dyDescent="0.2">
      <c r="A1508"/>
      <c r="B1508"/>
      <c r="C1508"/>
      <c r="F1508"/>
      <c r="G1508"/>
      <c r="H1508"/>
      <c r="L1508"/>
      <c r="M1508"/>
      <c r="N1508"/>
      <c r="O1508"/>
    </row>
    <row r="1509" spans="1:15" x14ac:dyDescent="0.2">
      <c r="A1509"/>
      <c r="B1509"/>
      <c r="C1509"/>
      <c r="F1509"/>
      <c r="G1509"/>
      <c r="L1509"/>
      <c r="M1509"/>
      <c r="N1509"/>
      <c r="O1509"/>
    </row>
    <row r="1510" spans="1:15" x14ac:dyDescent="0.2">
      <c r="A1510"/>
      <c r="B1510"/>
      <c r="C1510"/>
      <c r="F1510"/>
      <c r="G1510"/>
      <c r="M1510"/>
      <c r="N1510"/>
      <c r="O1510"/>
    </row>
    <row r="1511" spans="1:15" x14ac:dyDescent="0.2">
      <c r="A1511"/>
      <c r="B1511"/>
      <c r="C1511"/>
      <c r="F1511"/>
      <c r="G1511"/>
      <c r="H1511"/>
      <c r="I1511"/>
      <c r="L1511"/>
      <c r="M1511"/>
      <c r="N1511"/>
      <c r="O1511"/>
    </row>
    <row r="1512" spans="1:15" x14ac:dyDescent="0.2">
      <c r="A1512"/>
      <c r="B1512"/>
      <c r="C1512"/>
      <c r="F1512"/>
      <c r="G1512"/>
      <c r="I1512"/>
      <c r="L1512"/>
      <c r="M1512"/>
      <c r="N1512"/>
      <c r="O1512"/>
    </row>
    <row r="1513" spans="1:15" x14ac:dyDescent="0.2">
      <c r="A1513"/>
      <c r="B1513"/>
      <c r="C1513"/>
      <c r="F1513"/>
      <c r="G1513"/>
      <c r="H1513"/>
      <c r="I1513"/>
      <c r="L1513"/>
      <c r="M1513"/>
      <c r="N1513"/>
      <c r="O1513"/>
    </row>
    <row r="1514" spans="1:15" x14ac:dyDescent="0.2">
      <c r="A1514"/>
      <c r="B1514"/>
      <c r="C1514"/>
      <c r="F1514"/>
      <c r="G1514"/>
      <c r="H1514"/>
      <c r="J1514"/>
      <c r="K1514"/>
      <c r="L1514"/>
      <c r="M1514"/>
      <c r="N1514"/>
      <c r="O1514"/>
    </row>
    <row r="1515" spans="1:15" x14ac:dyDescent="0.2">
      <c r="A1515"/>
      <c r="B1515"/>
      <c r="C1515"/>
      <c r="F1515"/>
      <c r="G1515"/>
      <c r="H1515"/>
      <c r="I1515"/>
      <c r="L1515"/>
      <c r="M1515"/>
      <c r="N1515"/>
      <c r="O1515"/>
    </row>
    <row r="1516" spans="1:15" x14ac:dyDescent="0.2">
      <c r="A1516"/>
      <c r="B1516"/>
      <c r="C1516"/>
      <c r="F1516"/>
      <c r="G1516"/>
      <c r="L1516"/>
      <c r="M1516"/>
      <c r="N1516"/>
      <c r="O1516"/>
    </row>
    <row r="1517" spans="1:15" x14ac:dyDescent="0.2">
      <c r="A1517"/>
      <c r="B1517"/>
      <c r="C1517"/>
      <c r="F1517"/>
      <c r="G1517"/>
      <c r="H1517"/>
      <c r="I1517"/>
      <c r="L1517"/>
      <c r="M1517"/>
      <c r="N1517"/>
      <c r="O1517"/>
    </row>
    <row r="1518" spans="1:15" x14ac:dyDescent="0.2">
      <c r="A1518"/>
      <c r="B1518"/>
      <c r="C1518"/>
      <c r="F1518"/>
      <c r="G1518"/>
      <c r="H1518"/>
      <c r="I1518"/>
      <c r="L1518"/>
      <c r="N1518"/>
      <c r="O1518"/>
    </row>
    <row r="1519" spans="1:15" x14ac:dyDescent="0.2">
      <c r="A1519"/>
      <c r="B1519"/>
      <c r="C1519"/>
      <c r="F1519"/>
      <c r="G1519"/>
      <c r="L1519"/>
      <c r="M1519"/>
      <c r="N1519"/>
      <c r="O1519"/>
    </row>
    <row r="1520" spans="1:15" x14ac:dyDescent="0.2">
      <c r="A1520"/>
      <c r="B1520"/>
      <c r="C1520"/>
      <c r="F1520"/>
      <c r="G1520"/>
      <c r="L1520"/>
      <c r="M1520"/>
      <c r="N1520"/>
      <c r="O1520"/>
    </row>
    <row r="1521" spans="1:15" x14ac:dyDescent="0.2">
      <c r="A1521"/>
      <c r="B1521"/>
      <c r="C1521"/>
      <c r="F1521"/>
      <c r="G1521"/>
      <c r="H1521"/>
      <c r="J1521"/>
      <c r="K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H1524"/>
      <c r="I1524"/>
      <c r="L1524"/>
      <c r="M1524"/>
      <c r="N1524"/>
      <c r="O1524"/>
    </row>
    <row r="1525" spans="1:15" x14ac:dyDescent="0.2">
      <c r="A1525"/>
      <c r="B1525"/>
      <c r="C1525"/>
      <c r="F1525"/>
      <c r="G1525"/>
      <c r="H1525"/>
      <c r="I1525"/>
      <c r="L1525"/>
      <c r="M1525"/>
      <c r="N1525"/>
      <c r="O1525"/>
    </row>
    <row r="1526" spans="1:15" x14ac:dyDescent="0.2">
      <c r="A1526"/>
      <c r="B1526"/>
      <c r="C1526"/>
      <c r="F1526"/>
      <c r="G1526"/>
      <c r="I1526"/>
      <c r="L1526"/>
      <c r="M1526"/>
      <c r="N1526"/>
      <c r="O1526"/>
    </row>
    <row r="1527" spans="1:15" x14ac:dyDescent="0.2">
      <c r="A1527"/>
      <c r="B1527"/>
      <c r="C1527"/>
      <c r="F1527"/>
      <c r="G1527"/>
      <c r="I1527"/>
      <c r="L1527"/>
      <c r="M1527"/>
      <c r="N1527"/>
      <c r="O1527"/>
    </row>
    <row r="1528" spans="1:15" x14ac:dyDescent="0.2">
      <c r="A1528"/>
      <c r="B1528"/>
      <c r="C1528"/>
      <c r="F1528"/>
      <c r="G1528"/>
      <c r="L1528"/>
      <c r="M1528"/>
      <c r="N1528"/>
      <c r="O1528"/>
    </row>
    <row r="1529" spans="1:15" x14ac:dyDescent="0.2">
      <c r="A1529"/>
      <c r="B1529"/>
      <c r="C1529"/>
      <c r="F1529"/>
      <c r="G1529"/>
      <c r="H1529"/>
      <c r="I1529"/>
      <c r="L1529"/>
      <c r="M1529"/>
      <c r="N1529"/>
      <c r="O1529"/>
    </row>
    <row r="1530" spans="1:15" x14ac:dyDescent="0.2">
      <c r="A1530"/>
      <c r="B1530"/>
      <c r="C1530"/>
      <c r="F1530"/>
      <c r="G1530"/>
      <c r="J1530"/>
      <c r="K1530"/>
      <c r="L1530"/>
      <c r="M1530"/>
      <c r="N1530"/>
      <c r="O1530"/>
    </row>
    <row r="1531" spans="1:15" x14ac:dyDescent="0.2">
      <c r="A1531"/>
      <c r="B1531"/>
      <c r="C1531"/>
      <c r="F1531"/>
      <c r="G1531"/>
      <c r="M1531"/>
      <c r="N1531"/>
      <c r="O1531"/>
    </row>
    <row r="1532" spans="1:15" x14ac:dyDescent="0.2">
      <c r="A1532"/>
      <c r="B1532"/>
      <c r="C1532"/>
      <c r="F1532"/>
      <c r="G1532"/>
      <c r="L1532"/>
      <c r="M1532"/>
      <c r="N1532"/>
      <c r="O1532"/>
    </row>
    <row r="1533" spans="1:15" x14ac:dyDescent="0.2">
      <c r="A1533"/>
      <c r="B1533"/>
      <c r="C1533"/>
      <c r="F1533"/>
      <c r="G1533"/>
      <c r="L1533"/>
      <c r="M1533"/>
      <c r="N1533"/>
      <c r="O1533"/>
    </row>
    <row r="1534" spans="1:15" x14ac:dyDescent="0.2">
      <c r="A1534"/>
      <c r="B1534"/>
      <c r="C1534"/>
      <c r="F1534"/>
      <c r="G1534"/>
      <c r="H1534"/>
      <c r="I1534"/>
      <c r="J1534"/>
      <c r="K1534"/>
      <c r="L1534"/>
      <c r="M1534"/>
      <c r="N1534"/>
      <c r="O1534"/>
    </row>
    <row r="1535" spans="1:15" x14ac:dyDescent="0.2">
      <c r="A1535"/>
      <c r="B1535"/>
      <c r="C1535"/>
      <c r="F1535"/>
      <c r="G1535"/>
      <c r="I1535"/>
      <c r="L1535"/>
      <c r="M1535"/>
      <c r="N1535"/>
      <c r="O1535"/>
    </row>
    <row r="1536" spans="1:15" x14ac:dyDescent="0.2">
      <c r="A1536"/>
      <c r="B1536"/>
      <c r="C1536"/>
      <c r="F1536"/>
      <c r="G1536"/>
      <c r="I1536"/>
      <c r="L1536"/>
      <c r="M1536"/>
      <c r="N1536"/>
      <c r="O1536"/>
    </row>
    <row r="1537" spans="1:15" x14ac:dyDescent="0.2">
      <c r="A1537"/>
      <c r="B1537"/>
      <c r="C1537"/>
      <c r="F1537"/>
      <c r="G1537"/>
      <c r="N1537"/>
      <c r="O1537"/>
    </row>
    <row r="1538" spans="1:15" x14ac:dyDescent="0.2">
      <c r="A1538"/>
      <c r="B1538"/>
      <c r="C1538"/>
      <c r="F1538"/>
      <c r="G1538"/>
      <c r="H1538"/>
      <c r="I1538"/>
      <c r="L1538"/>
      <c r="M1538"/>
      <c r="N1538"/>
      <c r="O1538"/>
    </row>
    <row r="1539" spans="1:15" x14ac:dyDescent="0.2">
      <c r="A1539"/>
      <c r="B1539"/>
      <c r="C1539"/>
      <c r="F1539"/>
      <c r="G1539"/>
      <c r="H1539"/>
      <c r="L1539"/>
      <c r="M1539"/>
      <c r="N1539"/>
      <c r="O1539"/>
    </row>
    <row r="1540" spans="1:15" x14ac:dyDescent="0.2">
      <c r="A1540"/>
      <c r="B1540"/>
      <c r="C1540"/>
      <c r="F1540"/>
      <c r="G1540"/>
      <c r="L1540"/>
      <c r="M1540"/>
      <c r="N1540"/>
      <c r="O1540"/>
    </row>
    <row r="1541" spans="1:15" x14ac:dyDescent="0.2">
      <c r="A1541"/>
      <c r="B1541"/>
      <c r="C1541"/>
      <c r="F1541"/>
      <c r="G1541"/>
      <c r="H1541"/>
      <c r="J1541"/>
      <c r="K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L1549"/>
      <c r="M1549"/>
      <c r="N1549"/>
      <c r="O1549"/>
    </row>
    <row r="1550" spans="1:15" x14ac:dyDescent="0.2">
      <c r="A1550"/>
      <c r="B1550"/>
      <c r="C1550"/>
      <c r="F1550"/>
      <c r="G1550"/>
      <c r="H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I1556"/>
      <c r="L1556"/>
      <c r="M1556"/>
      <c r="N1556"/>
      <c r="O1556"/>
    </row>
    <row r="1557" spans="1:15" x14ac:dyDescent="0.2">
      <c r="A1557"/>
      <c r="B1557"/>
      <c r="C1557"/>
      <c r="F1557"/>
      <c r="G1557"/>
      <c r="M1557"/>
      <c r="N1557"/>
      <c r="O1557"/>
    </row>
    <row r="1558" spans="1:15" x14ac:dyDescent="0.2">
      <c r="A1558"/>
      <c r="B1558"/>
      <c r="C1558"/>
      <c r="F1558"/>
      <c r="G1558"/>
      <c r="L1558"/>
      <c r="M1558"/>
      <c r="N1558"/>
      <c r="O1558"/>
    </row>
    <row r="1559" spans="1:15" x14ac:dyDescent="0.2">
      <c r="A1559"/>
      <c r="B1559"/>
      <c r="C1559"/>
      <c r="F1559"/>
      <c r="G1559"/>
      <c r="H1559"/>
      <c r="I1559"/>
      <c r="J1559"/>
      <c r="K1559"/>
      <c r="L1559"/>
      <c r="M1559"/>
      <c r="N1559"/>
      <c r="O1559"/>
    </row>
    <row r="1560" spans="1:15" x14ac:dyDescent="0.2">
      <c r="A1560"/>
      <c r="B1560"/>
      <c r="C1560"/>
      <c r="F1560"/>
      <c r="G1560"/>
      <c r="H1560"/>
      <c r="I1560"/>
      <c r="L1560"/>
      <c r="M1560"/>
      <c r="N1560"/>
      <c r="O1560"/>
    </row>
    <row r="1561" spans="1:15" x14ac:dyDescent="0.2">
      <c r="A1561"/>
      <c r="B1561"/>
      <c r="C1561"/>
      <c r="F1561"/>
      <c r="G1561"/>
      <c r="L1561"/>
      <c r="M1561"/>
      <c r="N1561"/>
      <c r="O1561"/>
    </row>
    <row r="1562" spans="1:15" x14ac:dyDescent="0.2">
      <c r="A1562"/>
      <c r="B1562"/>
      <c r="C1562"/>
      <c r="F1562"/>
      <c r="G1562"/>
      <c r="J1562"/>
      <c r="K1562"/>
      <c r="L1562"/>
      <c r="M1562"/>
      <c r="N1562"/>
      <c r="O1562"/>
    </row>
    <row r="1563" spans="1:15" x14ac:dyDescent="0.2">
      <c r="A1563"/>
      <c r="B1563"/>
      <c r="C1563"/>
      <c r="F1563"/>
      <c r="G1563"/>
      <c r="H1563"/>
      <c r="J1563"/>
      <c r="K1563"/>
      <c r="L1563"/>
      <c r="M1563"/>
      <c r="N1563"/>
      <c r="O1563"/>
    </row>
    <row r="1564" spans="1:15" x14ac:dyDescent="0.2">
      <c r="A1564"/>
      <c r="B1564"/>
      <c r="C1564"/>
      <c r="F1564"/>
      <c r="G1564"/>
      <c r="H1564"/>
      <c r="L1564"/>
      <c r="M1564"/>
      <c r="N1564"/>
      <c r="O1564"/>
    </row>
    <row r="1565" spans="1:15" x14ac:dyDescent="0.2">
      <c r="A1565"/>
      <c r="B1565"/>
      <c r="C1565"/>
      <c r="F1565"/>
      <c r="G1565"/>
      <c r="H1565"/>
      <c r="I1565"/>
      <c r="J1565"/>
      <c r="K1565"/>
      <c r="L1565"/>
      <c r="M1565"/>
      <c r="N1565"/>
      <c r="O1565"/>
    </row>
    <row r="1566" spans="1:15" x14ac:dyDescent="0.2">
      <c r="A1566"/>
      <c r="B1566"/>
      <c r="C1566"/>
      <c r="F1566"/>
      <c r="G1566"/>
      <c r="H1566"/>
      <c r="J1566"/>
      <c r="K1566"/>
      <c r="L1566"/>
      <c r="M1566"/>
      <c r="N1566"/>
      <c r="O1566"/>
    </row>
    <row r="1567" spans="1:15" x14ac:dyDescent="0.2">
      <c r="A1567"/>
      <c r="B1567"/>
      <c r="C1567"/>
      <c r="F1567"/>
      <c r="G1567"/>
      <c r="L1567"/>
      <c r="M1567"/>
      <c r="N1567"/>
      <c r="O1567"/>
    </row>
    <row r="1568" spans="1:15" x14ac:dyDescent="0.2">
      <c r="A1568"/>
      <c r="B1568"/>
      <c r="C1568"/>
      <c r="F1568"/>
      <c r="G1568"/>
      <c r="H1568"/>
      <c r="J1568"/>
      <c r="K1568"/>
      <c r="L1568"/>
      <c r="M1568"/>
      <c r="N1568"/>
      <c r="O1568"/>
    </row>
    <row r="1569" spans="1:15" x14ac:dyDescent="0.2">
      <c r="A1569"/>
      <c r="B1569"/>
      <c r="C1569"/>
      <c r="F1569"/>
      <c r="G1569"/>
      <c r="H1569"/>
      <c r="L1569"/>
      <c r="M1569"/>
      <c r="N1569"/>
      <c r="O1569"/>
    </row>
    <row r="1570" spans="1:15" x14ac:dyDescent="0.2">
      <c r="A1570"/>
      <c r="B1570"/>
      <c r="C1570"/>
      <c r="F1570"/>
      <c r="G1570"/>
      <c r="H1570"/>
      <c r="I1570"/>
      <c r="L1570"/>
      <c r="M1570"/>
      <c r="N1570"/>
      <c r="O1570"/>
    </row>
    <row r="1571" spans="1:15" x14ac:dyDescent="0.2">
      <c r="A1571"/>
      <c r="B1571"/>
      <c r="C1571"/>
      <c r="F1571"/>
      <c r="G1571"/>
      <c r="J1571"/>
      <c r="K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H1576"/>
      <c r="I1576"/>
      <c r="L1576"/>
      <c r="M1576"/>
      <c r="N1576"/>
      <c r="O1576"/>
    </row>
    <row r="1577" spans="1:15" x14ac:dyDescent="0.2">
      <c r="A1577"/>
      <c r="B1577"/>
      <c r="C1577"/>
      <c r="F1577"/>
      <c r="G1577"/>
      <c r="I1577"/>
      <c r="L1577"/>
      <c r="M1577"/>
      <c r="N1577"/>
      <c r="O1577"/>
    </row>
    <row r="1578" spans="1:15" x14ac:dyDescent="0.2">
      <c r="A1578"/>
      <c r="B1578"/>
      <c r="C1578"/>
      <c r="F1578"/>
      <c r="G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I1582"/>
      <c r="L1582"/>
      <c r="M1582"/>
      <c r="N1582"/>
      <c r="O1582"/>
    </row>
    <row r="1583" spans="1:15" x14ac:dyDescent="0.2">
      <c r="A1583"/>
      <c r="B1583"/>
      <c r="C1583"/>
      <c r="F1583"/>
      <c r="G1583"/>
      <c r="I1583"/>
      <c r="L1583"/>
      <c r="M1583"/>
      <c r="N1583"/>
      <c r="O1583"/>
    </row>
    <row r="1584" spans="1:15" x14ac:dyDescent="0.2">
      <c r="A1584"/>
      <c r="B1584"/>
      <c r="C1584"/>
      <c r="F1584"/>
      <c r="G1584"/>
      <c r="H1584"/>
      <c r="I1584"/>
      <c r="L1584"/>
      <c r="M1584"/>
      <c r="N1584"/>
      <c r="O1584"/>
    </row>
    <row r="1585" spans="1:15" x14ac:dyDescent="0.2">
      <c r="A1585"/>
      <c r="B1585"/>
      <c r="C1585"/>
      <c r="F1585"/>
      <c r="G1585"/>
      <c r="J1585"/>
      <c r="K1585"/>
      <c r="L1585"/>
      <c r="M1585"/>
      <c r="N1585"/>
      <c r="O1585"/>
    </row>
    <row r="1586" spans="1:15" x14ac:dyDescent="0.2">
      <c r="A1586"/>
      <c r="B1586"/>
      <c r="C1586"/>
      <c r="F1586"/>
      <c r="G1586"/>
      <c r="H1586"/>
      <c r="I1586"/>
      <c r="L1586"/>
      <c r="M1586"/>
      <c r="N1586"/>
      <c r="O1586"/>
    </row>
    <row r="1587" spans="1:15" x14ac:dyDescent="0.2">
      <c r="A1587"/>
      <c r="B1587"/>
      <c r="C1587"/>
      <c r="F1587"/>
      <c r="G1587"/>
      <c r="L1587"/>
      <c r="M1587"/>
      <c r="N1587"/>
      <c r="O1587"/>
    </row>
    <row r="1588" spans="1:15" x14ac:dyDescent="0.2">
      <c r="A1588"/>
      <c r="B1588"/>
      <c r="C1588"/>
      <c r="F1588"/>
      <c r="G1588"/>
      <c r="H1588"/>
      <c r="I1588"/>
      <c r="L1588"/>
      <c r="M1588"/>
      <c r="N1588"/>
      <c r="O1588"/>
    </row>
    <row r="1589" spans="1:15" x14ac:dyDescent="0.2">
      <c r="A1589"/>
      <c r="B1589"/>
      <c r="C1589"/>
      <c r="F1589"/>
      <c r="G1589"/>
      <c r="H1589"/>
      <c r="J1589"/>
      <c r="K1589"/>
      <c r="L1589"/>
      <c r="M1589"/>
      <c r="N1589"/>
      <c r="O1589"/>
    </row>
    <row r="1590" spans="1:15" x14ac:dyDescent="0.2">
      <c r="A1590"/>
      <c r="B1590"/>
      <c r="C1590"/>
      <c r="F1590"/>
      <c r="G1590"/>
      <c r="H1590"/>
      <c r="I1590"/>
      <c r="L1590"/>
      <c r="M1590"/>
      <c r="N1590"/>
      <c r="O1590"/>
    </row>
    <row r="1591" spans="1:15" x14ac:dyDescent="0.2">
      <c r="A1591"/>
      <c r="B1591"/>
      <c r="C1591"/>
      <c r="F1591"/>
      <c r="G1591"/>
      <c r="H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I1597"/>
      <c r="L1597"/>
      <c r="M1597"/>
      <c r="N1597"/>
      <c r="O1597"/>
    </row>
    <row r="1598" spans="1:15" x14ac:dyDescent="0.2">
      <c r="A1598"/>
      <c r="B1598"/>
      <c r="C1598"/>
      <c r="F1598"/>
      <c r="G1598"/>
      <c r="H1598"/>
      <c r="I1598"/>
      <c r="L1598"/>
      <c r="N1598"/>
      <c r="O1598"/>
    </row>
    <row r="1599" spans="1:15" x14ac:dyDescent="0.2">
      <c r="A1599"/>
      <c r="B1599"/>
      <c r="C1599"/>
      <c r="F1599"/>
      <c r="G1599"/>
      <c r="H1599"/>
      <c r="I1599"/>
      <c r="L1599"/>
      <c r="M1599"/>
      <c r="N1599"/>
      <c r="O1599"/>
    </row>
    <row r="1600" spans="1:15" x14ac:dyDescent="0.2">
      <c r="A1600"/>
      <c r="B1600"/>
      <c r="C1600"/>
      <c r="F1600"/>
      <c r="G1600"/>
      <c r="H1600"/>
      <c r="I1600"/>
      <c r="L1600"/>
      <c r="N1600"/>
      <c r="O1600"/>
    </row>
    <row r="1601" spans="1:15" x14ac:dyDescent="0.2">
      <c r="A1601"/>
      <c r="B1601"/>
      <c r="C1601"/>
      <c r="F1601"/>
      <c r="G1601"/>
      <c r="I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I1605"/>
      <c r="L1605"/>
      <c r="M1605"/>
      <c r="N1605"/>
      <c r="O1605"/>
    </row>
    <row r="1606" spans="1:15" x14ac:dyDescent="0.2">
      <c r="A1606"/>
      <c r="B1606"/>
      <c r="C1606"/>
      <c r="F1606"/>
      <c r="G1606"/>
      <c r="H1606"/>
      <c r="I1606"/>
      <c r="L1606"/>
      <c r="M1606"/>
      <c r="N1606"/>
      <c r="O1606"/>
    </row>
    <row r="1607" spans="1:15" x14ac:dyDescent="0.2">
      <c r="A1607"/>
      <c r="B1607"/>
      <c r="C1607"/>
      <c r="F1607"/>
      <c r="G1607"/>
      <c r="L1607"/>
      <c r="M1607"/>
      <c r="N1607"/>
      <c r="O1607"/>
    </row>
    <row r="1608" spans="1:15" x14ac:dyDescent="0.2">
      <c r="A1608"/>
      <c r="B1608"/>
      <c r="C1608"/>
      <c r="F1608"/>
      <c r="G1608"/>
      <c r="H1608"/>
      <c r="I1608"/>
      <c r="L1608"/>
      <c r="M1608"/>
      <c r="N1608"/>
      <c r="O1608"/>
    </row>
    <row r="1609" spans="1:15" x14ac:dyDescent="0.2">
      <c r="A1609"/>
      <c r="B1609"/>
      <c r="C1609"/>
      <c r="F1609"/>
      <c r="G1609"/>
      <c r="J1609"/>
      <c r="K1609"/>
      <c r="L1609"/>
      <c r="M1609"/>
      <c r="N1609"/>
      <c r="O1609"/>
    </row>
    <row r="1610" spans="1:15" x14ac:dyDescent="0.2">
      <c r="A1610"/>
      <c r="B1610"/>
      <c r="C1610"/>
      <c r="F1610"/>
      <c r="G1610"/>
      <c r="I1610"/>
      <c r="L1610"/>
      <c r="M1610"/>
      <c r="N1610"/>
      <c r="O1610"/>
    </row>
    <row r="1611" spans="1:15" x14ac:dyDescent="0.2">
      <c r="A1611"/>
      <c r="B1611"/>
      <c r="C1611"/>
      <c r="F1611"/>
      <c r="G1611"/>
      <c r="H1611"/>
      <c r="I1611"/>
      <c r="L1611"/>
      <c r="N1611"/>
      <c r="O1611"/>
    </row>
    <row r="1612" spans="1:15" x14ac:dyDescent="0.2">
      <c r="A1612"/>
      <c r="B1612"/>
      <c r="C1612"/>
      <c r="F1612"/>
      <c r="G1612"/>
      <c r="M1612"/>
      <c r="N1612"/>
      <c r="O1612"/>
    </row>
    <row r="1613" spans="1:15" x14ac:dyDescent="0.2">
      <c r="A1613"/>
      <c r="B1613"/>
      <c r="C1613"/>
      <c r="F1613"/>
      <c r="G1613"/>
      <c r="M1613"/>
      <c r="N1613"/>
      <c r="O1613"/>
    </row>
    <row r="1614" spans="1:15" x14ac:dyDescent="0.2">
      <c r="A1614"/>
      <c r="B1614"/>
      <c r="C1614"/>
      <c r="F1614"/>
      <c r="G1614"/>
      <c r="H1614"/>
      <c r="I1614"/>
      <c r="L1614"/>
      <c r="N1614"/>
      <c r="O1614"/>
    </row>
    <row r="1615" spans="1:15" x14ac:dyDescent="0.2">
      <c r="A1615"/>
      <c r="B1615"/>
      <c r="C1615"/>
      <c r="F1615"/>
      <c r="G1615"/>
      <c r="H1615"/>
      <c r="I1615"/>
      <c r="L1615"/>
      <c r="M1615"/>
      <c r="N1615"/>
      <c r="O1615"/>
    </row>
    <row r="1616" spans="1:15" x14ac:dyDescent="0.2">
      <c r="A1616"/>
      <c r="B1616"/>
      <c r="C1616"/>
      <c r="F1616"/>
      <c r="G1616"/>
      <c r="H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H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I1622"/>
      <c r="L1622"/>
      <c r="M1622"/>
      <c r="N1622"/>
      <c r="O1622"/>
    </row>
    <row r="1623" spans="1:15" x14ac:dyDescent="0.2">
      <c r="A1623"/>
      <c r="B1623"/>
      <c r="C1623"/>
      <c r="F1623"/>
      <c r="G1623"/>
      <c r="H1623"/>
      <c r="J1623"/>
      <c r="L1623"/>
      <c r="M1623"/>
      <c r="N1623"/>
      <c r="O1623"/>
    </row>
    <row r="1624" spans="1:15" x14ac:dyDescent="0.2">
      <c r="A1624"/>
      <c r="B1624"/>
      <c r="C1624"/>
      <c r="F1624"/>
      <c r="G1624"/>
      <c r="L1624"/>
      <c r="M1624"/>
      <c r="N1624"/>
      <c r="O1624"/>
    </row>
    <row r="1625" spans="1:15" x14ac:dyDescent="0.2">
      <c r="A1625"/>
      <c r="B1625"/>
      <c r="C1625"/>
      <c r="F1625"/>
      <c r="G1625"/>
      <c r="H1625"/>
      <c r="J1625"/>
      <c r="K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H1633"/>
      <c r="J1633"/>
      <c r="K1633"/>
      <c r="L1633"/>
      <c r="M1633"/>
      <c r="N1633"/>
      <c r="O1633"/>
    </row>
    <row r="1634" spans="1:15" x14ac:dyDescent="0.2">
      <c r="A1634"/>
      <c r="B1634"/>
      <c r="C1634"/>
      <c r="F1634"/>
      <c r="G1634"/>
      <c r="I1634"/>
      <c r="L1634"/>
      <c r="M1634"/>
      <c r="N1634"/>
      <c r="O1634"/>
    </row>
    <row r="1635" spans="1:15" x14ac:dyDescent="0.2">
      <c r="A1635"/>
      <c r="B1635"/>
      <c r="C1635"/>
      <c r="F1635"/>
      <c r="G1635"/>
      <c r="J1635"/>
      <c r="K1635"/>
      <c r="L1635"/>
      <c r="M1635"/>
      <c r="N1635"/>
      <c r="O1635"/>
    </row>
    <row r="1636" spans="1:15" x14ac:dyDescent="0.2">
      <c r="A1636"/>
      <c r="B1636"/>
      <c r="C1636"/>
      <c r="F1636"/>
      <c r="G1636"/>
      <c r="L1636"/>
      <c r="M1636"/>
      <c r="N1636"/>
      <c r="O1636"/>
    </row>
    <row r="1637" spans="1:15" x14ac:dyDescent="0.2">
      <c r="A1637"/>
      <c r="B1637"/>
      <c r="C1637"/>
      <c r="F1637"/>
      <c r="G1637"/>
      <c r="H1637"/>
      <c r="I1637"/>
      <c r="L1637"/>
      <c r="N1637"/>
      <c r="O1637"/>
    </row>
    <row r="1638" spans="1:15" x14ac:dyDescent="0.2">
      <c r="A1638"/>
      <c r="B1638"/>
      <c r="C1638"/>
      <c r="F1638"/>
      <c r="G1638"/>
      <c r="I1638"/>
      <c r="L1638"/>
      <c r="M1638"/>
      <c r="N1638"/>
      <c r="O1638"/>
    </row>
    <row r="1639" spans="1:15" x14ac:dyDescent="0.2">
      <c r="A1639"/>
      <c r="B1639"/>
      <c r="C1639"/>
      <c r="F1639"/>
      <c r="G1639"/>
      <c r="I1639"/>
      <c r="L1639"/>
      <c r="M1639"/>
      <c r="N1639"/>
      <c r="O1639"/>
    </row>
    <row r="1640" spans="1:15" x14ac:dyDescent="0.2">
      <c r="A1640"/>
      <c r="B1640"/>
      <c r="C1640"/>
      <c r="F1640"/>
      <c r="G1640"/>
      <c r="H1640"/>
      <c r="I1640"/>
      <c r="L1640"/>
      <c r="N1640"/>
      <c r="O1640"/>
    </row>
    <row r="1641" spans="1:15" x14ac:dyDescent="0.2">
      <c r="A1641"/>
      <c r="B1641"/>
      <c r="C1641"/>
      <c r="F1641"/>
      <c r="G1641"/>
      <c r="H1641"/>
      <c r="I1641"/>
      <c r="L1641"/>
      <c r="M1641"/>
      <c r="N1641"/>
      <c r="O1641"/>
    </row>
    <row r="1642" spans="1:15" x14ac:dyDescent="0.2">
      <c r="A1642"/>
      <c r="B1642"/>
      <c r="C1642"/>
      <c r="F1642"/>
      <c r="G1642"/>
      <c r="I1642"/>
      <c r="L1642"/>
      <c r="M1642"/>
      <c r="N1642"/>
      <c r="O1642"/>
    </row>
    <row r="1643" spans="1:15" x14ac:dyDescent="0.2">
      <c r="A1643"/>
      <c r="B1643"/>
      <c r="C1643"/>
      <c r="F1643"/>
      <c r="G1643"/>
      <c r="J1643"/>
      <c r="K1643"/>
      <c r="M1643"/>
      <c r="N1643"/>
      <c r="O1643"/>
    </row>
    <row r="1644" spans="1:15" x14ac:dyDescent="0.2">
      <c r="A1644"/>
      <c r="B1644"/>
      <c r="C1644"/>
      <c r="F1644"/>
      <c r="G1644"/>
      <c r="H1644"/>
      <c r="I1644"/>
      <c r="L1644"/>
      <c r="M1644"/>
      <c r="N1644"/>
      <c r="O1644"/>
    </row>
    <row r="1645" spans="1:15" x14ac:dyDescent="0.2">
      <c r="A1645"/>
      <c r="B1645"/>
      <c r="C1645"/>
      <c r="F1645"/>
      <c r="G1645"/>
      <c r="I1645"/>
      <c r="L1645"/>
      <c r="M1645"/>
      <c r="N1645"/>
      <c r="O1645"/>
    </row>
    <row r="1646" spans="1:15" x14ac:dyDescent="0.2">
      <c r="A1646"/>
      <c r="B1646"/>
      <c r="C1646"/>
      <c r="F1646"/>
      <c r="G1646"/>
      <c r="I1646"/>
      <c r="L1646"/>
      <c r="M1646"/>
      <c r="N1646"/>
      <c r="O1646"/>
    </row>
    <row r="1647" spans="1:15" x14ac:dyDescent="0.2">
      <c r="A1647"/>
      <c r="B1647"/>
      <c r="C1647"/>
      <c r="F1647"/>
      <c r="G1647"/>
      <c r="H1647"/>
      <c r="I1647"/>
      <c r="L1647"/>
      <c r="N1647"/>
      <c r="O1647"/>
    </row>
    <row r="1648" spans="1:15" x14ac:dyDescent="0.2">
      <c r="A1648"/>
      <c r="B1648"/>
      <c r="C1648"/>
      <c r="F1648"/>
      <c r="G1648"/>
      <c r="H1648"/>
      <c r="I1648"/>
      <c r="L1648"/>
      <c r="M1648"/>
      <c r="N1648"/>
      <c r="O1648"/>
    </row>
    <row r="1649" spans="1:15" x14ac:dyDescent="0.2">
      <c r="A1649"/>
      <c r="B1649"/>
      <c r="C1649"/>
      <c r="F1649"/>
      <c r="G1649"/>
      <c r="I1649"/>
      <c r="L1649"/>
      <c r="M1649"/>
      <c r="N1649"/>
      <c r="O1649"/>
    </row>
    <row r="1650" spans="1:15" x14ac:dyDescent="0.2">
      <c r="A1650"/>
      <c r="B1650"/>
      <c r="C1650"/>
      <c r="F1650"/>
      <c r="G1650"/>
      <c r="I1650"/>
      <c r="L1650"/>
      <c r="M1650"/>
      <c r="N1650"/>
      <c r="O1650"/>
    </row>
    <row r="1651" spans="1:15" x14ac:dyDescent="0.2">
      <c r="A1651"/>
      <c r="B1651"/>
      <c r="C1651"/>
      <c r="F1651"/>
      <c r="G1651"/>
      <c r="L1651"/>
      <c r="M1651"/>
      <c r="N1651"/>
      <c r="O1651"/>
    </row>
    <row r="1652" spans="1:15" x14ac:dyDescent="0.2">
      <c r="A1652"/>
      <c r="B1652"/>
      <c r="C1652"/>
      <c r="F1652"/>
      <c r="G1652"/>
      <c r="L1652"/>
      <c r="M1652"/>
      <c r="N1652"/>
      <c r="O1652"/>
    </row>
    <row r="1653" spans="1:15" x14ac:dyDescent="0.2">
      <c r="A1653"/>
      <c r="B1653"/>
      <c r="C1653"/>
      <c r="F1653"/>
      <c r="G1653"/>
      <c r="H1653"/>
      <c r="L1653"/>
      <c r="M1653"/>
      <c r="N1653"/>
      <c r="O1653"/>
    </row>
    <row r="1654" spans="1:15" x14ac:dyDescent="0.2">
      <c r="A1654"/>
      <c r="B1654"/>
      <c r="C1654"/>
      <c r="F1654"/>
      <c r="G1654"/>
      <c r="H1654"/>
      <c r="I1654"/>
      <c r="L1654"/>
      <c r="M1654"/>
      <c r="N1654"/>
      <c r="O1654"/>
    </row>
    <row r="1655" spans="1:15" x14ac:dyDescent="0.2">
      <c r="A1655"/>
      <c r="B1655"/>
      <c r="C1655"/>
      <c r="F1655"/>
      <c r="G1655"/>
      <c r="L1655"/>
      <c r="M1655"/>
      <c r="N1655"/>
      <c r="O1655"/>
    </row>
    <row r="1656" spans="1:15" x14ac:dyDescent="0.2">
      <c r="A1656"/>
      <c r="B1656"/>
      <c r="C1656"/>
      <c r="F1656"/>
      <c r="G1656"/>
      <c r="H1656"/>
      <c r="I1656"/>
      <c r="L1656"/>
      <c r="M1656"/>
      <c r="N1656"/>
      <c r="O1656"/>
    </row>
    <row r="1657" spans="1:15" x14ac:dyDescent="0.2">
      <c r="A1657"/>
      <c r="B1657"/>
      <c r="C1657"/>
      <c r="F1657"/>
      <c r="G1657"/>
      <c r="H1657"/>
      <c r="I1657"/>
      <c r="L1657"/>
      <c r="M1657"/>
      <c r="N1657"/>
      <c r="O1657"/>
    </row>
    <row r="1658" spans="1:15" x14ac:dyDescent="0.2">
      <c r="A1658"/>
      <c r="B1658"/>
      <c r="C1658"/>
      <c r="F1658"/>
      <c r="G1658"/>
      <c r="L1658"/>
      <c r="M1658"/>
      <c r="N1658"/>
      <c r="O1658"/>
    </row>
    <row r="1659" spans="1:15" x14ac:dyDescent="0.2">
      <c r="A1659"/>
      <c r="B1659"/>
      <c r="C1659"/>
      <c r="F1659"/>
      <c r="G1659"/>
      <c r="I1659"/>
      <c r="L1659"/>
      <c r="M1659"/>
      <c r="N1659"/>
      <c r="O1659"/>
    </row>
    <row r="1660" spans="1:15" x14ac:dyDescent="0.2">
      <c r="A1660"/>
      <c r="B1660"/>
      <c r="C1660"/>
      <c r="F1660"/>
      <c r="G1660"/>
      <c r="I1660"/>
      <c r="L1660"/>
      <c r="M1660"/>
      <c r="N1660"/>
      <c r="O1660"/>
    </row>
    <row r="1661" spans="1:15" x14ac:dyDescent="0.2">
      <c r="A1661"/>
      <c r="B1661"/>
      <c r="C1661"/>
      <c r="F1661"/>
      <c r="G1661"/>
      <c r="H1661"/>
      <c r="I1661"/>
      <c r="L1661"/>
      <c r="M1661"/>
      <c r="N1661"/>
      <c r="O1661"/>
    </row>
    <row r="1662" spans="1:15" x14ac:dyDescent="0.2">
      <c r="A1662"/>
      <c r="B1662"/>
      <c r="C1662"/>
      <c r="F1662"/>
      <c r="G1662"/>
      <c r="H1662"/>
      <c r="I1662"/>
      <c r="L1662"/>
      <c r="M1662"/>
      <c r="N1662"/>
      <c r="O1662"/>
    </row>
    <row r="1663" spans="1:15" x14ac:dyDescent="0.2">
      <c r="A1663"/>
      <c r="B1663"/>
      <c r="C1663"/>
      <c r="F1663"/>
      <c r="G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J1680"/>
      <c r="K1680"/>
      <c r="L1680"/>
      <c r="M1680"/>
      <c r="N1680"/>
      <c r="O1680"/>
    </row>
    <row r="1681" spans="1:15" x14ac:dyDescent="0.2">
      <c r="A1681"/>
      <c r="B1681"/>
      <c r="C1681"/>
      <c r="F1681"/>
      <c r="G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J1686"/>
      <c r="K1686"/>
      <c r="L1686"/>
      <c r="M1686"/>
      <c r="N1686"/>
      <c r="O1686"/>
    </row>
    <row r="1687" spans="1:15" x14ac:dyDescent="0.2">
      <c r="A1687"/>
      <c r="B1687"/>
      <c r="C1687"/>
      <c r="F1687"/>
      <c r="G1687"/>
      <c r="H1687"/>
      <c r="L1687"/>
      <c r="M1687"/>
      <c r="N1687"/>
      <c r="O1687"/>
    </row>
    <row r="1688" spans="1:15" x14ac:dyDescent="0.2">
      <c r="A1688"/>
      <c r="B1688"/>
      <c r="C1688"/>
      <c r="F1688"/>
      <c r="G1688"/>
      <c r="H1688"/>
      <c r="J1688"/>
      <c r="K1688"/>
      <c r="L1688"/>
      <c r="M1688"/>
      <c r="N1688"/>
      <c r="O1688"/>
    </row>
    <row r="1689" spans="1:15" x14ac:dyDescent="0.2">
      <c r="A1689"/>
      <c r="B1689"/>
      <c r="C1689"/>
      <c r="F1689"/>
      <c r="G1689"/>
      <c r="H1689"/>
      <c r="L1689"/>
      <c r="M1689"/>
      <c r="N1689"/>
      <c r="O1689"/>
    </row>
    <row r="1690" spans="1:15" x14ac:dyDescent="0.2">
      <c r="A1690"/>
      <c r="B1690"/>
      <c r="C1690"/>
      <c r="F1690"/>
      <c r="G1690"/>
      <c r="H1690"/>
      <c r="J1690"/>
      <c r="K1690"/>
      <c r="L1690"/>
      <c r="M1690"/>
      <c r="N1690"/>
      <c r="O1690"/>
    </row>
    <row r="1691" spans="1:15" x14ac:dyDescent="0.2">
      <c r="A1691"/>
      <c r="B1691"/>
      <c r="C1691"/>
      <c r="F1691"/>
      <c r="G1691"/>
      <c r="I1691"/>
      <c r="L1691"/>
      <c r="M1691"/>
      <c r="N1691"/>
      <c r="O1691"/>
    </row>
    <row r="1692" spans="1:15" x14ac:dyDescent="0.2">
      <c r="A1692"/>
      <c r="B1692"/>
      <c r="C1692"/>
      <c r="F1692"/>
      <c r="G1692"/>
      <c r="I1692"/>
      <c r="L1692"/>
      <c r="M1692"/>
      <c r="N1692"/>
      <c r="O1692"/>
    </row>
    <row r="1693" spans="1:15" x14ac:dyDescent="0.2">
      <c r="A1693"/>
      <c r="B1693"/>
      <c r="C1693"/>
      <c r="F1693"/>
      <c r="G1693"/>
      <c r="H1693"/>
      <c r="L1693"/>
      <c r="M1693"/>
      <c r="N1693"/>
      <c r="O1693"/>
    </row>
    <row r="1694" spans="1:15" x14ac:dyDescent="0.2">
      <c r="A1694"/>
      <c r="B1694"/>
      <c r="C1694"/>
      <c r="F1694"/>
      <c r="G1694"/>
      <c r="H1694"/>
      <c r="I1694"/>
      <c r="L1694"/>
      <c r="M1694"/>
      <c r="N1694"/>
      <c r="O1694"/>
    </row>
    <row r="1695" spans="1:15" x14ac:dyDescent="0.2">
      <c r="A1695"/>
      <c r="B1695"/>
      <c r="C1695"/>
      <c r="F1695"/>
      <c r="G1695"/>
      <c r="H1695"/>
      <c r="I1695"/>
      <c r="L1695"/>
      <c r="M1695"/>
      <c r="N1695"/>
      <c r="O1695"/>
    </row>
    <row r="1696" spans="1:15" x14ac:dyDescent="0.2">
      <c r="A1696"/>
      <c r="B1696"/>
      <c r="C1696"/>
      <c r="F1696"/>
      <c r="G1696"/>
      <c r="I1696"/>
      <c r="L1696"/>
      <c r="M1696"/>
      <c r="N1696"/>
      <c r="O1696"/>
    </row>
    <row r="1697" spans="1:15" x14ac:dyDescent="0.2">
      <c r="A1697"/>
      <c r="B1697"/>
      <c r="C1697"/>
      <c r="F1697"/>
      <c r="G1697"/>
      <c r="I1697"/>
      <c r="L1697"/>
      <c r="M1697"/>
      <c r="N1697"/>
      <c r="O1697"/>
    </row>
    <row r="1698" spans="1:15" x14ac:dyDescent="0.2">
      <c r="A1698"/>
      <c r="B1698"/>
      <c r="C1698"/>
      <c r="F1698"/>
      <c r="G1698"/>
      <c r="H1698"/>
      <c r="I1698"/>
      <c r="L1698"/>
      <c r="M1698"/>
      <c r="N1698"/>
      <c r="O1698"/>
    </row>
    <row r="1699" spans="1:15" x14ac:dyDescent="0.2">
      <c r="A1699"/>
      <c r="B1699"/>
      <c r="C1699"/>
      <c r="F1699"/>
      <c r="G1699"/>
      <c r="H1699"/>
      <c r="I1699"/>
      <c r="L1699"/>
      <c r="N1699"/>
      <c r="O1699"/>
    </row>
    <row r="1700" spans="1:15" x14ac:dyDescent="0.2">
      <c r="A1700"/>
      <c r="B1700"/>
      <c r="C1700"/>
      <c r="F1700"/>
      <c r="G1700"/>
      <c r="H1700"/>
      <c r="I1700"/>
      <c r="L1700"/>
      <c r="M1700"/>
      <c r="N1700"/>
      <c r="O1700"/>
    </row>
    <row r="1701" spans="1:15" x14ac:dyDescent="0.2">
      <c r="A1701"/>
      <c r="B1701"/>
      <c r="C1701"/>
      <c r="F1701"/>
      <c r="G1701"/>
      <c r="H1701"/>
      <c r="I1701"/>
      <c r="L1701"/>
      <c r="N1701"/>
      <c r="O1701"/>
    </row>
    <row r="1702" spans="1:15" x14ac:dyDescent="0.2">
      <c r="A1702"/>
      <c r="B1702"/>
      <c r="C1702"/>
      <c r="F1702"/>
      <c r="G1702"/>
      <c r="L1702"/>
      <c r="M1702"/>
      <c r="N1702"/>
      <c r="O1702"/>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6" t="s">
        <v>100</v>
      </c>
      <c r="N2" s="596"/>
      <c r="O2" s="596"/>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7" t="s">
        <v>101</v>
      </c>
      <c r="N3" s="598"/>
      <c r="O3" s="599"/>
      <c r="P3" s="103"/>
      <c r="Q3" s="103"/>
    </row>
    <row r="4" spans="1:18" ht="15" x14ac:dyDescent="0.25">
      <c r="B4" s="113" t="s">
        <v>25</v>
      </c>
      <c r="C4" s="60"/>
      <c r="D4" s="37"/>
      <c r="E4" s="37"/>
      <c r="F4" s="37"/>
      <c r="G4" s="37"/>
      <c r="H4" s="37"/>
      <c r="I4" s="37"/>
      <c r="J4" s="37"/>
      <c r="K4" s="37"/>
      <c r="L4" s="37"/>
      <c r="M4" s="600" t="s">
        <v>136</v>
      </c>
      <c r="N4" s="601"/>
      <c r="O4" s="602"/>
      <c r="P4" s="85"/>
    </row>
    <row r="5" spans="1:18" x14ac:dyDescent="0.2">
      <c r="B5" s="114" t="s">
        <v>26</v>
      </c>
      <c r="C5" s="54">
        <f>Main!D3</f>
        <v>0</v>
      </c>
      <c r="D5" s="37"/>
      <c r="E5" s="37"/>
      <c r="F5" s="37"/>
      <c r="G5" s="37"/>
      <c r="H5" s="37"/>
      <c r="I5" s="52" t="s">
        <v>4</v>
      </c>
      <c r="J5" s="37" t="e">
        <f>Main!D5</f>
        <v>#N/A</v>
      </c>
      <c r="L5" s="37"/>
      <c r="M5" s="603" t="s">
        <v>135</v>
      </c>
      <c r="N5" s="604"/>
      <c r="O5" s="605"/>
      <c r="P5" s="129"/>
    </row>
    <row r="6" spans="1:18" ht="13.5" thickBot="1" x14ac:dyDescent="0.25">
      <c r="B6" s="114" t="s">
        <v>3</v>
      </c>
      <c r="C6" s="55" t="e">
        <f>Main!D6</f>
        <v>#N/A</v>
      </c>
      <c r="D6" s="37"/>
      <c r="E6" s="37"/>
      <c r="F6" s="37"/>
      <c r="G6" s="37"/>
      <c r="H6" s="37"/>
      <c r="I6" s="52" t="s">
        <v>5</v>
      </c>
      <c r="J6" s="51">
        <f>Main!D16</f>
        <v>0</v>
      </c>
      <c r="L6" s="37"/>
      <c r="M6" s="606" t="str">
        <f>IF(MaxMode,"","In 1/2 Tolerance")</f>
        <v>In 1/2 Tolerance</v>
      </c>
      <c r="N6" s="607"/>
      <c r="O6" s="608"/>
      <c r="P6" s="86"/>
    </row>
    <row r="7" spans="1:18" ht="13.5" thickBot="1" x14ac:dyDescent="0.25">
      <c r="B7" s="114" t="s">
        <v>27</v>
      </c>
      <c r="C7" s="55" t="str">
        <f>Main!D7</f>
        <v>Jeff Hall</v>
      </c>
      <c r="D7" s="37"/>
      <c r="E7" s="37"/>
      <c r="F7" s="37"/>
      <c r="G7" s="37"/>
      <c r="H7" s="37"/>
      <c r="I7" s="57" t="s">
        <v>154</v>
      </c>
      <c r="J7" s="594">
        <f>Main!$D$30</f>
        <v>0</v>
      </c>
      <c r="K7" s="595"/>
      <c r="L7" s="100"/>
      <c r="M7" s="593" t="s">
        <v>134</v>
      </c>
      <c r="N7" s="593"/>
      <c r="O7" s="593"/>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bYeMiPPTqR57TaaI+20VhNhovvkN37mJqUpxFnkDm3cdJnv/HMSPPggh1N3e5Vsk4KdgBa8cdEVxcazFerz21g==" saltValue="LGINzT7wq99EoYgvhF1E1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t="e">
        <f>Main!D5</f>
        <v>#N/A</v>
      </c>
      <c r="M5" s="610" t="s">
        <v>135</v>
      </c>
      <c r="N5" s="611"/>
      <c r="O5" s="612"/>
    </row>
    <row r="6" spans="1:17" ht="13.5" thickBot="1" x14ac:dyDescent="0.25">
      <c r="B6" s="114" t="s">
        <v>3</v>
      </c>
      <c r="C6" s="55" t="e">
        <f>Main!D6</f>
        <v>#N/A</v>
      </c>
      <c r="D6" s="37"/>
      <c r="E6" s="37"/>
      <c r="F6" s="37"/>
      <c r="G6" s="37"/>
      <c r="H6" s="37"/>
      <c r="I6" s="52" t="s">
        <v>5</v>
      </c>
      <c r="J6" s="39">
        <f>Main!D16</f>
        <v>0</v>
      </c>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AoFpWFs2dIYc2wHQaPqLwbengYC+neZxVuiph7pKUCXS20kzsMUL4PN4tmwExU3bl3VaBGZ7rzVpiE9S/l6HCQ==" saltValue="eHRSGh0v65xuMRVRnGK/l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9" t="s">
        <v>100</v>
      </c>
      <c r="N2" s="609"/>
      <c r="O2" s="609"/>
      <c r="P2" s="291" t="str">
        <f>IF(Main!$E$30="","A10",ADDRESS(13+Standards_Info!W2+(MATCH(Main!$E$30,Data_Sheet!$A$14:$A$903,0)),1,4))</f>
        <v>A10</v>
      </c>
      <c r="Q2" s="291">
        <f>VALUE(MID(P2, 2, LEN(P2)-1))</f>
        <v>10</v>
      </c>
    </row>
    <row r="3" spans="1:17" ht="15" x14ac:dyDescent="0.25">
      <c r="B3" s="126" t="s">
        <v>0</v>
      </c>
      <c r="C3" s="3"/>
      <c r="M3" s="597" t="s">
        <v>101</v>
      </c>
      <c r="N3" s="598"/>
      <c r="O3" s="599"/>
      <c r="P3" s="40"/>
    </row>
    <row r="4" spans="1:17" ht="15" x14ac:dyDescent="0.25">
      <c r="B4" s="113" t="s">
        <v>25</v>
      </c>
      <c r="C4" s="4"/>
      <c r="M4" s="600" t="s">
        <v>136</v>
      </c>
      <c r="N4" s="601"/>
      <c r="O4" s="602"/>
    </row>
    <row r="5" spans="1:17" x14ac:dyDescent="0.2">
      <c r="B5" s="114" t="s">
        <v>26</v>
      </c>
      <c r="C5" s="54">
        <f>Main!D3</f>
        <v>0</v>
      </c>
      <c r="D5" s="37"/>
      <c r="E5" s="37"/>
      <c r="F5" s="37"/>
      <c r="G5" s="37"/>
      <c r="H5" s="37"/>
      <c r="I5" s="52" t="s">
        <v>4</v>
      </c>
      <c r="J5" s="37" t="e">
        <f>Main!D5</f>
        <v>#N/A</v>
      </c>
      <c r="L5" s="37"/>
      <c r="M5" s="603" t="s">
        <v>135</v>
      </c>
      <c r="N5" s="604"/>
      <c r="O5" s="605"/>
    </row>
    <row r="6" spans="1:17" ht="13.5" thickBot="1" x14ac:dyDescent="0.25">
      <c r="B6" s="114" t="s">
        <v>3</v>
      </c>
      <c r="C6" s="55" t="e">
        <f>Main!D6</f>
        <v>#N/A</v>
      </c>
      <c r="D6" s="37"/>
      <c r="E6" s="37"/>
      <c r="F6" s="37"/>
      <c r="G6" s="37"/>
      <c r="H6" s="37"/>
      <c r="I6" s="52" t="s">
        <v>5</v>
      </c>
      <c r="J6" s="51">
        <f>Main!D16</f>
        <v>0</v>
      </c>
      <c r="L6" s="37"/>
      <c r="M6" s="606" t="str">
        <f>IF(MaxMode,"","In 1/2 Tolerance")</f>
        <v>In 1/2 Tolerance</v>
      </c>
      <c r="N6" s="607"/>
      <c r="O6" s="608"/>
    </row>
    <row r="7" spans="1:17" ht="13.5" thickBot="1" x14ac:dyDescent="0.25">
      <c r="B7" s="114" t="s">
        <v>27</v>
      </c>
      <c r="C7" s="55" t="str">
        <f>Main!D7</f>
        <v>Jeff Hall</v>
      </c>
      <c r="D7" s="37"/>
      <c r="E7" s="37"/>
      <c r="F7" s="37"/>
      <c r="G7" s="37"/>
      <c r="H7" s="37"/>
      <c r="I7" s="57" t="s">
        <v>154</v>
      </c>
      <c r="J7" s="594">
        <f>Main!$D$30</f>
        <v>0</v>
      </c>
      <c r="K7" s="595"/>
      <c r="L7" s="100"/>
      <c r="M7" s="593" t="s">
        <v>134</v>
      </c>
      <c r="N7" s="593"/>
      <c r="O7" s="593"/>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n4svRb5V9A6FeGQA0BoKKYHiqu1IA3QAtoR1SnDqfJQF+D5svB+2ua77Nn3g1ycd96+gdC8Sb6nXIHrOheibeA==" saltValue="DyexNzdk9P3rzAxnhhBVCA=="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5" sqref="U25"/>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3"/>
    </row>
    <row r="34" spans="1:14" x14ac:dyDescent="0.25">
      <c r="A34" s="18"/>
      <c r="B34" s="18"/>
      <c r="D34" s="614"/>
      <c r="E34" s="614"/>
      <c r="F34" s="614"/>
      <c r="G34" s="614"/>
      <c r="H34" s="614"/>
      <c r="I34" s="614"/>
      <c r="J34" s="614"/>
      <c r="K34" s="614"/>
      <c r="L34" s="614"/>
      <c r="M34" s="614"/>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5" t="s">
        <v>20</v>
      </c>
      <c r="D37" s="615"/>
      <c r="E37" s="615"/>
      <c r="F37" s="615"/>
      <c r="G37" s="615"/>
      <c r="H37" s="615"/>
      <c r="I37" s="615"/>
      <c r="J37" s="615"/>
      <c r="K37" s="615"/>
      <c r="L37" s="615"/>
      <c r="M37" s="615"/>
    </row>
    <row r="38" spans="1:14" x14ac:dyDescent="0.25">
      <c r="A38" s="18"/>
      <c r="B38" s="18"/>
      <c r="C38" s="615"/>
      <c r="D38" s="615"/>
      <c r="E38" s="615"/>
      <c r="F38" s="615"/>
      <c r="G38" s="615"/>
      <c r="H38" s="615"/>
      <c r="I38" s="615"/>
      <c r="J38" s="615"/>
      <c r="K38" s="615"/>
      <c r="L38" s="615"/>
      <c r="M38" s="615"/>
    </row>
    <row r="39" spans="1:14" x14ac:dyDescent="0.25">
      <c r="A39" s="18"/>
      <c r="B39" s="18"/>
      <c r="C39" s="615"/>
      <c r="D39" s="615"/>
      <c r="E39" s="615"/>
      <c r="F39" s="615"/>
      <c r="G39" s="615"/>
      <c r="H39" s="615"/>
      <c r="I39" s="615"/>
      <c r="J39" s="615"/>
      <c r="K39" s="615"/>
      <c r="L39" s="615"/>
      <c r="M39" s="615"/>
    </row>
    <row r="40" spans="1:14" x14ac:dyDescent="0.25">
      <c r="A40" s="18"/>
      <c r="B40" s="18"/>
      <c r="C40" s="615"/>
      <c r="D40" s="615"/>
      <c r="E40" s="615"/>
      <c r="F40" s="615"/>
      <c r="G40" s="615"/>
      <c r="H40" s="615"/>
      <c r="I40" s="615"/>
      <c r="J40" s="615"/>
      <c r="K40" s="615"/>
      <c r="L40" s="615"/>
      <c r="M40" s="615"/>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iowDBRBfSUawxG5FQqURNUUPeTDcE9QYdqH3/TBUYB6hfRjIE3U69JhAxuoYxYNandTjlaNHUbxxCGWwBZBhw==" saltValue="R0SLcYSPrYoURuqLjGGdIg==" spinCount="100000" sheet="1" objects="1" scenarios="1" selectLockedCells="1" autoFilter="0"/>
  <mergeCells count="2">
    <mergeCell ref="D32:M34"/>
    <mergeCell ref="C37:M40"/>
  </mergeCells>
  <phoneticPr fontId="20"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E25" sqref="E25:H25"/>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6" t="s">
        <v>276</v>
      </c>
      <c r="I28" s="616"/>
      <c r="J28" s="616"/>
      <c r="K28" s="616"/>
      <c r="L28" s="616"/>
      <c r="M28" s="616"/>
      <c r="N28" s="616"/>
      <c r="O28" s="616"/>
      <c r="P28" s="616"/>
      <c r="Q28" s="616"/>
      <c r="R28" s="616"/>
    </row>
    <row r="29" spans="1:20" x14ac:dyDescent="0.2">
      <c r="A29" s="622" t="s">
        <v>34</v>
      </c>
      <c r="B29" s="623"/>
      <c r="C29" s="47" t="str">
        <f>IF(Main!D48="","",Main!D48)</f>
        <v/>
      </c>
      <c r="D29" s="47" t="str">
        <f>IF(Main!E48="","",Main!E48)</f>
        <v/>
      </c>
      <c r="E29" s="47" t="str">
        <f>IF(Main!F48="","",Main!F48)</f>
        <v/>
      </c>
      <c r="F29" s="47" t="str">
        <f>IF(Main!G48="","",Main!G48)</f>
        <v/>
      </c>
      <c r="G29" s="259"/>
      <c r="H29" s="256" t="s">
        <v>277</v>
      </c>
      <c r="I29" s="112" t="str">
        <f>IF(Main!N47="","",Main!N47)</f>
        <v>Periodic</v>
      </c>
      <c r="J29" s="624" t="s">
        <v>278</v>
      </c>
      <c r="K29" s="625"/>
      <c r="L29" s="112" t="str">
        <f>IF(Main!R47="","",Main!R47)</f>
        <v>Air</v>
      </c>
    </row>
    <row r="30" spans="1:20" x14ac:dyDescent="0.2">
      <c r="A30" s="622" t="s">
        <v>35</v>
      </c>
      <c r="B30" s="623"/>
      <c r="C30" s="48" t="str">
        <f>IF(Main!D49="","",Main!D49)</f>
        <v/>
      </c>
      <c r="D30" s="48" t="str">
        <f>IF(Main!E49="","",Main!E49)</f>
        <v/>
      </c>
      <c r="E30" s="48" t="str">
        <f>IF(Main!F49="","",Main!F49)</f>
        <v/>
      </c>
      <c r="F30" s="48" t="str">
        <f>IF(Main!G49="","",Main!G49)</f>
        <v/>
      </c>
      <c r="G30" s="261"/>
      <c r="H30" s="617" t="s">
        <v>264</v>
      </c>
      <c r="I30" s="617"/>
      <c r="J30" s="626" t="s">
        <v>309</v>
      </c>
      <c r="K30" s="627"/>
      <c r="L30" s="628"/>
      <c r="M30" s="254"/>
      <c r="O30" s="618" t="s">
        <v>312</v>
      </c>
      <c r="P30" s="619"/>
      <c r="Q30" s="620"/>
      <c r="T30" s="37"/>
    </row>
    <row r="31" spans="1:20" x14ac:dyDescent="0.2">
      <c r="A31" s="622" t="s">
        <v>36</v>
      </c>
      <c r="B31" s="623"/>
      <c r="C31" s="48" t="str">
        <f>IF(Main!D50="","",Main!D50)</f>
        <v/>
      </c>
      <c r="D31" s="48" t="str">
        <f>IF(Main!E50="","",Main!E50)</f>
        <v/>
      </c>
      <c r="E31" s="48" t="str">
        <f>IF(Main!F50="","",Main!F50)</f>
        <v/>
      </c>
      <c r="F31" s="48" t="str">
        <f>IF(Main!G50="","",Main!G50)</f>
        <v/>
      </c>
      <c r="G31" s="261"/>
      <c r="H31" s="242" t="s">
        <v>279</v>
      </c>
      <c r="I31" s="244" t="str">
        <f>IF(Main!N49="","",Main!N49)</f>
        <v/>
      </c>
      <c r="J31" s="641" t="s">
        <v>317</v>
      </c>
      <c r="K31" s="642"/>
      <c r="L31" s="643"/>
      <c r="M31" s="255" t="str">
        <f>IF(Main!S49="","",Main!S49)</f>
        <v>N/A</v>
      </c>
      <c r="O31" s="508" t="s">
        <v>319</v>
      </c>
      <c r="P31" s="509"/>
      <c r="Q31" s="621"/>
      <c r="R31" s="56" t="str">
        <f>IF(Main!X49="","",Main!X49)</f>
        <v>N/A</v>
      </c>
      <c r="T31" s="37"/>
    </row>
    <row r="32" spans="1:20" ht="12.75" customHeight="1" x14ac:dyDescent="0.2">
      <c r="A32" s="622" t="s">
        <v>37</v>
      </c>
      <c r="B32" s="623"/>
      <c r="C32" s="47" t="str">
        <f>IF(Main!D51="","",Main!D51)</f>
        <v/>
      </c>
      <c r="D32" s="47" t="str">
        <f>IF(Main!E51="","",Main!E51)</f>
        <v/>
      </c>
      <c r="E32" s="47" t="str">
        <f>IF(Main!F51="","",Main!F51)</f>
        <v/>
      </c>
      <c r="F32" s="47" t="str">
        <f>IF(Main!G51="","",Main!G51)</f>
        <v/>
      </c>
      <c r="G32" s="259"/>
      <c r="H32" s="242" t="s">
        <v>295</v>
      </c>
      <c r="I32" s="244" t="str">
        <f>IF(Main!N50="","",Main!N50)</f>
        <v/>
      </c>
      <c r="J32" s="632" t="s">
        <v>267</v>
      </c>
      <c r="K32" s="633"/>
      <c r="L32" s="634"/>
      <c r="M32" s="250"/>
      <c r="O32" s="632" t="s">
        <v>267</v>
      </c>
      <c r="P32" s="633"/>
      <c r="Q32" s="634"/>
      <c r="T32" s="37"/>
    </row>
    <row r="33" spans="1:20" ht="12.75" customHeight="1" x14ac:dyDescent="0.2">
      <c r="A33" s="622" t="s">
        <v>280</v>
      </c>
      <c r="B33" s="623"/>
      <c r="C33" s="47" t="str">
        <f>IF(Main!D52="","",Main!D52)</f>
        <v/>
      </c>
      <c r="D33" s="47" t="str">
        <f>IF(Main!E52="","",Main!E52)</f>
        <v/>
      </c>
      <c r="E33" s="47" t="str">
        <f>IF(Main!F52="","",Main!F52)</f>
        <v/>
      </c>
      <c r="F33" s="47" t="str">
        <f>IF(Main!G52="","",Main!G52)</f>
        <v/>
      </c>
      <c r="G33" s="259"/>
      <c r="H33" s="242" t="s">
        <v>281</v>
      </c>
      <c r="I33" s="244" t="str">
        <f>IF(Main!N51="","",Main!N51)</f>
        <v/>
      </c>
      <c r="J33" s="629" t="s">
        <v>318</v>
      </c>
      <c r="K33" s="630"/>
      <c r="L33" s="631"/>
      <c r="M33" s="249" t="str">
        <f>IF(Main!S51="","",Main!S51)</f>
        <v/>
      </c>
      <c r="O33" s="629" t="s">
        <v>320</v>
      </c>
      <c r="P33" s="630"/>
      <c r="Q33" s="631"/>
      <c r="R33" s="56" t="str">
        <f>IF(Main!X51="","",Main!X51)</f>
        <v/>
      </c>
      <c r="T33" s="37"/>
    </row>
    <row r="34" spans="1:20" ht="12.75" customHeight="1" x14ac:dyDescent="0.2">
      <c r="A34" s="622" t="s">
        <v>38</v>
      </c>
      <c r="B34" s="623"/>
      <c r="C34" s="49" t="str">
        <f>IF(Main!D53="","",Main!D53)</f>
        <v/>
      </c>
      <c r="D34" s="49" t="str">
        <f>IF(Main!E53="","",Main!E53)</f>
        <v/>
      </c>
      <c r="E34" s="49" t="str">
        <f>IF(Main!F53="","",Main!F53)</f>
        <v/>
      </c>
      <c r="F34" s="49" t="str">
        <f>IF(Main!G53="","",Main!G53)</f>
        <v/>
      </c>
      <c r="G34" s="262"/>
      <c r="H34" s="242" t="s">
        <v>282</v>
      </c>
      <c r="I34" s="241" t="str">
        <f>IF(Main!N52="","",Main!N52)</f>
        <v/>
      </c>
      <c r="J34" s="632" t="s">
        <v>267</v>
      </c>
      <c r="K34" s="633"/>
      <c r="L34" s="634"/>
      <c r="O34" s="632" t="s">
        <v>267</v>
      </c>
      <c r="P34" s="633"/>
      <c r="Q34" s="634"/>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5" t="s">
        <v>321</v>
      </c>
      <c r="K35" s="636"/>
      <c r="L35" s="637"/>
      <c r="M35" s="257" t="str">
        <f>IF(Main!S53="","",Main!S53)</f>
        <v/>
      </c>
      <c r="O35" s="635" t="s">
        <v>322</v>
      </c>
      <c r="P35" s="636"/>
      <c r="Q35" s="637"/>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8"/>
      <c r="K36" s="639"/>
      <c r="L36" s="640"/>
      <c r="M36" s="253"/>
      <c r="O36" s="638"/>
      <c r="P36" s="639"/>
      <c r="Q36" s="640"/>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A8zZCtSPUs2qZgxNHtpiKeHLD3UIRHSzQitdmXXne2xDoa9JrdeOSs6B2vIRcy6uo6odFp3YRkeUmUt2xCPBbA==" saltValue="LPM/tifie6N61mdWx3W5WQ=="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Pv5pbm1r5fk4//okOTnN6h6ApmJ1bRJshpJmgeFoQ3B9xdCkzn53awjEBOwJ2zQU2HUE2p1CnlVkShEWxcw+rQ==" saltValue="RfJNtOCTrhOl0u7h85FwK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4" t="s">
        <v>145</v>
      </c>
      <c r="G1" s="581" t="s">
        <v>65</v>
      </c>
      <c r="H1" s="581"/>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Ol93Xf/v0ntPlmt1550l8LzAX/aME7ZNKA7aapkb73G0hQ8wejhmWPcgn37MKOMYYfqIGRYqO9MxQb4IWSf7OQ==" saltValue="2nnwXgs5y90//N9RbySU3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2026-03-02T03:29:03Z</cp:lastPrinted>
  <dcterms:created xsi:type="dcterms:W3CDTF">2005-05-27T19:03:57Z</dcterms:created>
  <dcterms:modified xsi:type="dcterms:W3CDTF">2026-03-03T20:25:53Z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