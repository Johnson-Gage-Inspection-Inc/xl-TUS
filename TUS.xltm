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6C7C53A-A81A-478B-99AF-378DC17D532E}"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61" i="8" l="1"/>
  <c r="N60" i="8"/>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c r="L8" i="70" a="1"/>
  <c r="L8" i="70" s="1"/>
  <c r="L9" i="70" a="1"/>
  <c r="L9" i="70"/>
  <c r="L10" i="70" a="1"/>
  <c r="L10" i="70" s="1"/>
  <c r="L11" i="70" a="1"/>
  <c r="L11" i="70" s="1"/>
  <c r="L12" i="70" a="1"/>
  <c r="L12" i="70"/>
  <c r="L13" i="70" a="1"/>
  <c r="L13" i="70" s="1"/>
  <c r="L14" i="70" a="1"/>
  <c r="L14" i="70"/>
  <c r="L15" i="70" a="1"/>
  <c r="L15" i="70" s="1"/>
  <c r="L16" i="70" a="1"/>
  <c r="L16" i="70" s="1"/>
  <c r="L17" i="70" a="1"/>
  <c r="L17" i="70" s="1"/>
  <c r="L18" i="70" a="1"/>
  <c r="L18" i="70" s="1"/>
  <c r="L19" i="70" a="1"/>
  <c r="L19" i="70" s="1"/>
  <c r="L20" i="70" a="1"/>
  <c r="L20" i="70"/>
  <c r="L21" i="70" a="1"/>
  <c r="L21" i="70" s="1"/>
  <c r="L22" i="70" a="1"/>
  <c r="L22" i="70" s="1"/>
  <c r="L23" i="70" a="1"/>
  <c r="L23" i="70" s="1"/>
  <c r="L24" i="70" a="1"/>
  <c r="L24" i="70" s="1"/>
  <c r="L25" i="70" a="1"/>
  <c r="L25" i="70" s="1"/>
  <c r="L26" i="70" a="1"/>
  <c r="L26" i="70"/>
  <c r="L27" i="70" a="1"/>
  <c r="L27" i="70" s="1"/>
  <c r="L28" i="70" a="1"/>
  <c r="L28" i="70"/>
  <c r="M13" i="70" a="1"/>
  <c r="M13" i="70"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K4" i="95" s="1"/>
  <c r="J5" i="95"/>
  <c r="J6" i="95"/>
  <c r="J7" i="95"/>
  <c r="J8" i="95"/>
  <c r="K8" i="95" s="1"/>
  <c r="J9" i="95"/>
  <c r="J10" i="95"/>
  <c r="J11" i="95"/>
  <c r="J12" i="95"/>
  <c r="K12" i="95" s="1"/>
  <c r="J13" i="95"/>
  <c r="K13" i="95" s="1"/>
  <c r="J14" i="95"/>
  <c r="K14" i="95" s="1"/>
  <c r="J15" i="95"/>
  <c r="K15" i="95" s="1"/>
  <c r="J16" i="95"/>
  <c r="J17" i="95"/>
  <c r="K17" i="95" s="1"/>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J38" i="95"/>
  <c r="K38" i="95" s="1"/>
  <c r="J39" i="95"/>
  <c r="J40" i="95"/>
  <c r="K40" i="95" s="1"/>
  <c r="J41" i="95"/>
  <c r="K41" i="95" s="1"/>
  <c r="J42" i="95"/>
  <c r="K42" i="95" s="1"/>
  <c r="J43" i="95"/>
  <c r="K43" i="95" s="1"/>
  <c r="J44" i="95"/>
  <c r="K44" i="95" s="1"/>
  <c r="J45" i="95"/>
  <c r="K45" i="95" s="1"/>
  <c r="J46" i="95"/>
  <c r="K46" i="95" s="1"/>
  <c r="J47" i="95"/>
  <c r="K47" i="95" s="1"/>
  <c r="J48" i="95"/>
  <c r="J49" i="95"/>
  <c r="J50" i="95"/>
  <c r="K50" i="95" s="1"/>
  <c r="J51" i="95"/>
  <c r="J52" i="95"/>
  <c r="J53" i="95"/>
  <c r="K53" i="95" s="1"/>
  <c r="J54" i="95"/>
  <c r="K54" i="95" s="1"/>
  <c r="J55" i="95"/>
  <c r="K55" i="95" s="1"/>
  <c r="J56" i="95"/>
  <c r="K56" i="95" s="1"/>
  <c r="J57" i="95"/>
  <c r="K57" i="95" s="1"/>
  <c r="J58" i="95"/>
  <c r="K58" i="95" s="1"/>
  <c r="J59" i="95"/>
  <c r="K59" i="95" s="1"/>
  <c r="J60" i="95"/>
  <c r="K60" i="95" s="1"/>
  <c r="J61" i="95"/>
  <c r="K61" i="95" s="1"/>
  <c r="J62" i="95"/>
  <c r="K62" i="95" s="1"/>
  <c r="J63" i="95"/>
  <c r="J64" i="95"/>
  <c r="K64" i="95" s="1"/>
  <c r="J65" i="95"/>
  <c r="K65" i="95" s="1"/>
  <c r="J66" i="95"/>
  <c r="J67" i="95"/>
  <c r="J68" i="95"/>
  <c r="J69" i="95"/>
  <c r="J70" i="95"/>
  <c r="J71" i="95"/>
  <c r="J72" i="95"/>
  <c r="J73" i="95"/>
  <c r="J74" i="95"/>
  <c r="J75" i="95"/>
  <c r="J76" i="95"/>
  <c r="K76" i="95" s="1"/>
  <c r="J77" i="95"/>
  <c r="K77" i="95" s="1"/>
  <c r="J78" i="95"/>
  <c r="K78" i="95" s="1"/>
  <c r="J79" i="95"/>
  <c r="K79" i="95" s="1"/>
  <c r="J80" i="95"/>
  <c r="J81" i="95"/>
  <c r="J82" i="95"/>
  <c r="J83" i="95"/>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K102" i="95" s="1"/>
  <c r="J103" i="95"/>
  <c r="J104" i="95"/>
  <c r="J105" i="95"/>
  <c r="J106" i="95"/>
  <c r="K106" i="95" s="1"/>
  <c r="J107" i="95"/>
  <c r="K107" i="95" s="1"/>
  <c r="J108" i="95"/>
  <c r="K108" i="95" s="1"/>
  <c r="J109" i="95"/>
  <c r="K109" i="95" s="1"/>
  <c r="J110" i="95"/>
  <c r="K110" i="95" s="1"/>
  <c r="J111" i="95"/>
  <c r="K111" i="95" s="1"/>
  <c r="J112" i="95"/>
  <c r="J113" i="95"/>
  <c r="J114" i="95"/>
  <c r="J115" i="95"/>
  <c r="J116" i="95"/>
  <c r="J117" i="95"/>
  <c r="J118" i="95"/>
  <c r="J119" i="95"/>
  <c r="J120" i="95"/>
  <c r="J121" i="95"/>
  <c r="K121" i="95" s="1"/>
  <c r="J122" i="95"/>
  <c r="K122" i="95" s="1"/>
  <c r="J123" i="95"/>
  <c r="K123" i="95" s="1"/>
  <c r="J124" i="95"/>
  <c r="K124" i="95" s="1"/>
  <c r="J125" i="95"/>
  <c r="K125" i="95" s="1"/>
  <c r="J126" i="95"/>
  <c r="K126" i="95" s="1"/>
  <c r="J127" i="95"/>
  <c r="J128" i="95"/>
  <c r="J129" i="95"/>
  <c r="J130" i="95"/>
  <c r="J131" i="95"/>
  <c r="J132" i="95"/>
  <c r="K132" i="95" s="1"/>
  <c r="J133" i="95"/>
  <c r="K133" i="95" s="1"/>
  <c r="J134" i="95"/>
  <c r="K134" i="95" s="1"/>
  <c r="J135" i="95"/>
  <c r="K135" i="95" s="1"/>
  <c r="J136" i="95"/>
  <c r="K136" i="95" s="1"/>
  <c r="J137" i="95"/>
  <c r="K137" i="95" s="1"/>
  <c r="J138" i="95"/>
  <c r="K138" i="95" s="1"/>
  <c r="J139" i="95"/>
  <c r="J140" i="95"/>
  <c r="K140" i="95" s="1"/>
  <c r="J141" i="95"/>
  <c r="K141" i="95" s="1"/>
  <c r="J142" i="95"/>
  <c r="K142" i="95" s="1"/>
  <c r="J143" i="95"/>
  <c r="K143" i="95" s="1"/>
  <c r="J144" i="95"/>
  <c r="J145" i="95"/>
  <c r="J146" i="95"/>
  <c r="J147" i="95"/>
  <c r="J148" i="95"/>
  <c r="J149" i="95"/>
  <c r="J150" i="95"/>
  <c r="J151" i="95"/>
  <c r="K151" i="95" s="1"/>
  <c r="J152" i="95"/>
  <c r="K152" i="95" s="1"/>
  <c r="J153" i="95"/>
  <c r="K153" i="95" s="1"/>
  <c r="J154" i="95"/>
  <c r="K154" i="95" s="1"/>
  <c r="J155" i="95"/>
  <c r="K155" i="95" s="1"/>
  <c r="J156" i="95"/>
  <c r="K156" i="95" s="1"/>
  <c r="J157" i="95"/>
  <c r="K157" i="95" s="1"/>
  <c r="J158" i="95"/>
  <c r="K158" i="95" s="1"/>
  <c r="J159" i="95"/>
  <c r="J160" i="95"/>
  <c r="K160" i="95" s="1"/>
  <c r="J161" i="95"/>
  <c r="K161" i="95" s="1"/>
  <c r="J162" i="95"/>
  <c r="J163" i="95"/>
  <c r="J164" i="95"/>
  <c r="J165" i="95"/>
  <c r="J166" i="95"/>
  <c r="J167" i="95"/>
  <c r="J168" i="95"/>
  <c r="J169" i="95"/>
  <c r="J170" i="95"/>
  <c r="J171" i="95"/>
  <c r="J172" i="95"/>
  <c r="K172" i="95" s="1"/>
  <c r="J173" i="95"/>
  <c r="K173" i="95" s="1"/>
  <c r="J174" i="95"/>
  <c r="K174" i="95" s="1"/>
  <c r="J175" i="95"/>
  <c r="K175" i="95" s="1"/>
  <c r="J176" i="95"/>
  <c r="J177" i="95"/>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J199" i="95"/>
  <c r="J200" i="95"/>
  <c r="K200" i="95" s="1"/>
  <c r="J201" i="95"/>
  <c r="K201" i="95" s="1"/>
  <c r="J202" i="95"/>
  <c r="K202" i="95" s="1"/>
  <c r="J203" i="95"/>
  <c r="K203" i="95" s="1"/>
  <c r="J204" i="95"/>
  <c r="K204" i="95" s="1"/>
  <c r="J205" i="95"/>
  <c r="K205" i="95" s="1"/>
  <c r="J206" i="95"/>
  <c r="K206" i="95" s="1"/>
  <c r="J207" i="95"/>
  <c r="K207" i="95" s="1"/>
  <c r="J208" i="95"/>
  <c r="J209" i="95"/>
  <c r="J210" i="95"/>
  <c r="J211" i="95"/>
  <c r="J212" i="95"/>
  <c r="J213" i="95"/>
  <c r="J214" i="95"/>
  <c r="J215" i="95"/>
  <c r="J216" i="95"/>
  <c r="J217" i="95"/>
  <c r="K217" i="95" s="1"/>
  <c r="J218" i="95"/>
  <c r="K218" i="95" s="1"/>
  <c r="J219" i="95"/>
  <c r="K219" i="95" s="1"/>
  <c r="J220" i="95"/>
  <c r="K220" i="95" s="1"/>
  <c r="J221" i="95"/>
  <c r="J222" i="95"/>
  <c r="K222" i="95" s="1"/>
  <c r="J223" i="95"/>
  <c r="J224" i="95"/>
  <c r="J225" i="95"/>
  <c r="J226" i="95"/>
  <c r="J227" i="95"/>
  <c r="J228" i="95"/>
  <c r="K228" i="95" s="1"/>
  <c r="J229" i="95"/>
  <c r="K229" i="95" s="1"/>
  <c r="J230" i="95"/>
  <c r="K230" i="95" s="1"/>
  <c r="J231" i="95"/>
  <c r="J232" i="95"/>
  <c r="K232" i="95" s="1"/>
  <c r="J233" i="95"/>
  <c r="K233" i="95" s="1"/>
  <c r="J234" i="95"/>
  <c r="K234" i="95" s="1"/>
  <c r="J235" i="95"/>
  <c r="J236" i="95"/>
  <c r="K236" i="95" s="1"/>
  <c r="J237" i="95"/>
  <c r="K237" i="95" s="1"/>
  <c r="J238" i="95"/>
  <c r="K238" i="95" s="1"/>
  <c r="J239" i="95"/>
  <c r="K239" i="95" s="1"/>
  <c r="J240" i="95"/>
  <c r="J241" i="95"/>
  <c r="J242" i="95"/>
  <c r="J243" i="95"/>
  <c r="J244" i="95"/>
  <c r="J245" i="95"/>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J264" i="95"/>
  <c r="J265" i="95"/>
  <c r="J266" i="95"/>
  <c r="J267" i="95"/>
  <c r="J268" i="95"/>
  <c r="K268" i="95" s="1"/>
  <c r="J269" i="95"/>
  <c r="K269" i="95" s="1"/>
  <c r="J270" i="95"/>
  <c r="K270" i="95" s="1"/>
  <c r="J271" i="95"/>
  <c r="K271" i="95" s="1"/>
  <c r="J272" i="95"/>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J295" i="95"/>
  <c r="K295" i="95" s="1"/>
  <c r="J296" i="95"/>
  <c r="K296" i="95" s="1"/>
  <c r="J297" i="95"/>
  <c r="K297" i="95" s="1"/>
  <c r="J298" i="95"/>
  <c r="K298" i="95" s="1"/>
  <c r="J299" i="95"/>
  <c r="K299" i="95" s="1"/>
  <c r="J300" i="95"/>
  <c r="K300" i="95" s="1"/>
  <c r="J301" i="95"/>
  <c r="K301" i="95" s="1"/>
  <c r="J302" i="95"/>
  <c r="K302" i="95" s="1"/>
  <c r="J303" i="95"/>
  <c r="K303" i="95" s="1"/>
  <c r="J304" i="95"/>
  <c r="J305" i="95"/>
  <c r="J306" i="95"/>
  <c r="J307" i="95"/>
  <c r="J308" i="95"/>
  <c r="J309" i="95"/>
  <c r="J310" i="95"/>
  <c r="J311" i="95"/>
  <c r="J312" i="95"/>
  <c r="J313" i="95"/>
  <c r="K313" i="95" s="1"/>
  <c r="J314" i="95"/>
  <c r="K314" i="95" s="1"/>
  <c r="J315" i="95"/>
  <c r="K315" i="95" s="1"/>
  <c r="J316" i="95"/>
  <c r="K316" i="95" s="1"/>
  <c r="J317" i="95"/>
  <c r="K317" i="95" s="1"/>
  <c r="J318" i="95"/>
  <c r="K318" i="95" s="1"/>
  <c r="J319" i="95"/>
  <c r="J320" i="95"/>
  <c r="J321" i="95"/>
  <c r="J322" i="95"/>
  <c r="J323" i="95"/>
  <c r="J324" i="95"/>
  <c r="K324" i="95" s="1"/>
  <c r="J325" i="95"/>
  <c r="K325" i="95" s="1"/>
  <c r="J326" i="95"/>
  <c r="K326" i="95" s="1"/>
  <c r="J327" i="95"/>
  <c r="K327" i="95" s="1"/>
  <c r="J328" i="95"/>
  <c r="K328" i="95" s="1"/>
  <c r="J329" i="95"/>
  <c r="K329" i="95" s="1"/>
  <c r="J330" i="95"/>
  <c r="K330" i="95" s="1"/>
  <c r="J331" i="95"/>
  <c r="J332" i="95"/>
  <c r="K332" i="95" s="1"/>
  <c r="J333" i="95"/>
  <c r="K333" i="95" s="1"/>
  <c r="J334" i="95"/>
  <c r="K334" i="95" s="1"/>
  <c r="J335" i="95"/>
  <c r="K335" i="95" s="1"/>
  <c r="J336" i="95"/>
  <c r="J337" i="95"/>
  <c r="J338" i="95"/>
  <c r="J339" i="95"/>
  <c r="J340" i="95"/>
  <c r="J341" i="95"/>
  <c r="J342" i="95"/>
  <c r="J343" i="95"/>
  <c r="K343" i="95" s="1"/>
  <c r="J344" i="95"/>
  <c r="K344" i="95" s="1"/>
  <c r="J345" i="95"/>
  <c r="K345" i="95" s="1"/>
  <c r="J346" i="95"/>
  <c r="K346" i="95" s="1"/>
  <c r="J347" i="95"/>
  <c r="K347" i="95" s="1"/>
  <c r="J348" i="95"/>
  <c r="K348" i="95" s="1"/>
  <c r="J349" i="95"/>
  <c r="K349" i="95" s="1"/>
  <c r="J350" i="95"/>
  <c r="K350" i="95" s="1"/>
  <c r="J351" i="95"/>
  <c r="J352" i="95"/>
  <c r="K352" i="95" s="1"/>
  <c r="J353" i="95"/>
  <c r="K353" i="95" s="1"/>
  <c r="J354" i="95"/>
  <c r="J355" i="95"/>
  <c r="J356" i="95"/>
  <c r="J357" i="95"/>
  <c r="J358" i="95"/>
  <c r="J359" i="95"/>
  <c r="J360" i="95"/>
  <c r="J361" i="95"/>
  <c r="J362" i="95"/>
  <c r="J363" i="95"/>
  <c r="J364" i="95"/>
  <c r="K364" i="95" s="1"/>
  <c r="J365" i="95"/>
  <c r="K365" i="95" s="1"/>
  <c r="J366" i="95"/>
  <c r="K366" i="95" s="1"/>
  <c r="J367" i="95"/>
  <c r="K367" i="95" s="1"/>
  <c r="J368" i="95"/>
  <c r="J369" i="95"/>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J392" i="95"/>
  <c r="K392" i="95" s="1"/>
  <c r="J393" i="95"/>
  <c r="K393" i="95" s="1"/>
  <c r="J394" i="95"/>
  <c r="K394" i="95" s="1"/>
  <c r="J395" i="95"/>
  <c r="K395" i="95" s="1"/>
  <c r="J396" i="95"/>
  <c r="K396" i="95" s="1"/>
  <c r="J397" i="95"/>
  <c r="K397" i="95" s="1"/>
  <c r="J398" i="95"/>
  <c r="K398" i="95" s="1"/>
  <c r="J399" i="95"/>
  <c r="K399" i="95" s="1"/>
  <c r="J400" i="95"/>
  <c r="J401" i="95"/>
  <c r="J402" i="95"/>
  <c r="J403" i="95"/>
  <c r="J404" i="95"/>
  <c r="J405" i="95"/>
  <c r="J406" i="95"/>
  <c r="J407" i="95"/>
  <c r="J408" i="95"/>
  <c r="J409" i="95"/>
  <c r="K409" i="95" s="1"/>
  <c r="J410" i="95"/>
  <c r="K410" i="95" s="1"/>
  <c r="J411" i="95"/>
  <c r="K411" i="95" s="1"/>
  <c r="J412" i="95"/>
  <c r="K412" i="95" s="1"/>
  <c r="J413" i="95"/>
  <c r="K413" i="95" s="1"/>
  <c r="J414" i="95"/>
  <c r="K414" i="95" s="1"/>
  <c r="J415" i="95"/>
  <c r="J416" i="95"/>
  <c r="J417" i="95"/>
  <c r="J418" i="95"/>
  <c r="J419" i="95"/>
  <c r="K419" i="95" s="1"/>
  <c r="J420" i="95"/>
  <c r="K420" i="95" s="1"/>
  <c r="K2" i="95"/>
  <c r="K3" i="95"/>
  <c r="K5" i="95"/>
  <c r="K6" i="95"/>
  <c r="K7" i="95"/>
  <c r="K9" i="95"/>
  <c r="K10" i="95"/>
  <c r="K11" i="95"/>
  <c r="K16" i="95"/>
  <c r="K31" i="95"/>
  <c r="K32" i="95"/>
  <c r="K33" i="95"/>
  <c r="K34" i="95"/>
  <c r="K35" i="95"/>
  <c r="K36" i="95"/>
  <c r="K37" i="95"/>
  <c r="K39" i="95"/>
  <c r="K48" i="95"/>
  <c r="K49" i="95"/>
  <c r="K51" i="95"/>
  <c r="K52" i="95"/>
  <c r="K63" i="95"/>
  <c r="K66" i="95"/>
  <c r="K67" i="95"/>
  <c r="K68" i="95"/>
  <c r="K69" i="95"/>
  <c r="K70" i="95"/>
  <c r="K71" i="95"/>
  <c r="K72" i="95"/>
  <c r="K73" i="95"/>
  <c r="K74" i="95"/>
  <c r="K75" i="95"/>
  <c r="K80" i="95"/>
  <c r="K81" i="95"/>
  <c r="K82" i="95"/>
  <c r="K83" i="95"/>
  <c r="K95" i="95"/>
  <c r="K96" i="95"/>
  <c r="K97" i="95"/>
  <c r="K98" i="95"/>
  <c r="K99" i="95"/>
  <c r="K100" i="95"/>
  <c r="K101" i="95"/>
  <c r="K103" i="95"/>
  <c r="K104" i="95"/>
  <c r="K105" i="95"/>
  <c r="K112" i="95"/>
  <c r="K113" i="95"/>
  <c r="K114" i="95"/>
  <c r="K115" i="95"/>
  <c r="K116" i="95"/>
  <c r="K117" i="95"/>
  <c r="K118" i="95"/>
  <c r="K119" i="95"/>
  <c r="K120" i="95"/>
  <c r="K127" i="95"/>
  <c r="K128" i="95"/>
  <c r="K129" i="95"/>
  <c r="K130" i="95"/>
  <c r="K131" i="95"/>
  <c r="K139" i="95"/>
  <c r="K144" i="95"/>
  <c r="K145" i="95"/>
  <c r="K146" i="95"/>
  <c r="K147" i="95"/>
  <c r="K148" i="95"/>
  <c r="K149" i="95"/>
  <c r="K150" i="95"/>
  <c r="K159" i="95"/>
  <c r="K162" i="95"/>
  <c r="K163" i="95"/>
  <c r="K164" i="95"/>
  <c r="K165" i="95"/>
  <c r="K166" i="95"/>
  <c r="K167" i="95"/>
  <c r="K168" i="95"/>
  <c r="K169" i="95"/>
  <c r="K170" i="95"/>
  <c r="K171" i="95"/>
  <c r="K176" i="95"/>
  <c r="K177" i="95"/>
  <c r="K191" i="95"/>
  <c r="K192" i="95"/>
  <c r="K193" i="95"/>
  <c r="K194" i="95"/>
  <c r="K195" i="95"/>
  <c r="K196" i="95"/>
  <c r="K197" i="95"/>
  <c r="K198" i="95"/>
  <c r="K199" i="95"/>
  <c r="K208" i="95"/>
  <c r="K209" i="95"/>
  <c r="K210" i="95"/>
  <c r="K211" i="95"/>
  <c r="K212" i="95"/>
  <c r="K213" i="95"/>
  <c r="K214" i="95"/>
  <c r="K215" i="95"/>
  <c r="K216" i="95"/>
  <c r="K223" i="95"/>
  <c r="K224" i="95"/>
  <c r="K225" i="95"/>
  <c r="K226" i="95"/>
  <c r="K227" i="95"/>
  <c r="K231" i="95"/>
  <c r="K235" i="95"/>
  <c r="K240" i="95"/>
  <c r="K241" i="95"/>
  <c r="K242" i="95"/>
  <c r="K243" i="95"/>
  <c r="K244" i="95"/>
  <c r="K245" i="95"/>
  <c r="K255" i="95"/>
  <c r="K257" i="95"/>
  <c r="K258" i="95"/>
  <c r="K259" i="95"/>
  <c r="K260" i="95"/>
  <c r="K261" i="95"/>
  <c r="K262" i="95"/>
  <c r="K263" i="95"/>
  <c r="K264" i="95"/>
  <c r="K265" i="95"/>
  <c r="K266" i="95"/>
  <c r="K267" i="95"/>
  <c r="K272" i="95"/>
  <c r="K287" i="95"/>
  <c r="K288" i="95"/>
  <c r="K289" i="95"/>
  <c r="K290" i="95"/>
  <c r="K291" i="95"/>
  <c r="K292" i="95"/>
  <c r="K293" i="95"/>
  <c r="K294" i="95"/>
  <c r="K304" i="95"/>
  <c r="K305" i="95"/>
  <c r="K306" i="95"/>
  <c r="K307" i="95"/>
  <c r="K308" i="95"/>
  <c r="K309" i="95"/>
  <c r="K310" i="95"/>
  <c r="K311" i="95"/>
  <c r="K312" i="95"/>
  <c r="K322" i="95"/>
  <c r="K323" i="95"/>
  <c r="K331" i="95"/>
  <c r="K336" i="95"/>
  <c r="K337" i="95"/>
  <c r="K338" i="95"/>
  <c r="K339" i="95"/>
  <c r="K340" i="95"/>
  <c r="K341" i="95"/>
  <c r="K342" i="95"/>
  <c r="K351" i="95"/>
  <c r="K354" i="95"/>
  <c r="K355" i="95"/>
  <c r="K356" i="95"/>
  <c r="K357" i="95"/>
  <c r="K358" i="95"/>
  <c r="K359" i="95"/>
  <c r="K360" i="95"/>
  <c r="K361" i="95"/>
  <c r="K362" i="95"/>
  <c r="K363" i="95"/>
  <c r="K368" i="95"/>
  <c r="K369" i="95"/>
  <c r="K383" i="95"/>
  <c r="K384" i="95"/>
  <c r="K385" i="95"/>
  <c r="K386" i="95"/>
  <c r="K387" i="95"/>
  <c r="K388" i="95"/>
  <c r="K389" i="95"/>
  <c r="K390" i="95"/>
  <c r="K391" i="95"/>
  <c r="K400" i="95"/>
  <c r="K401" i="95"/>
  <c r="K402" i="95"/>
  <c r="K403" i="95"/>
  <c r="K404" i="95"/>
  <c r="K405" i="95"/>
  <c r="K406" i="95"/>
  <c r="K407" i="95"/>
  <c r="K408" i="95"/>
  <c r="K415" i="95"/>
  <c r="K416" i="95"/>
  <c r="K417" i="95"/>
  <c r="K418" i="95"/>
  <c r="L2" i="95"/>
  <c r="L3" i="95"/>
  <c r="L4" i="95"/>
  <c r="M4" i="95" s="1"/>
  <c r="L5" i="95"/>
  <c r="L6" i="95"/>
  <c r="M6" i="95" s="1"/>
  <c r="L7" i="95"/>
  <c r="M7" i="95" s="1"/>
  <c r="L8" i="95"/>
  <c r="M8" i="95" s="1"/>
  <c r="L9" i="95"/>
  <c r="M9" i="95" s="1"/>
  <c r="L10" i="95"/>
  <c r="M10" i="95" s="1"/>
  <c r="L11" i="95"/>
  <c r="L12" i="95"/>
  <c r="M12" i="95" s="1"/>
  <c r="L13" i="95"/>
  <c r="M13" i="95" s="1"/>
  <c r="L14" i="95"/>
  <c r="L15" i="95"/>
  <c r="L16" i="95"/>
  <c r="L17" i="95"/>
  <c r="M17" i="95" s="1"/>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L32" i="95"/>
  <c r="L33" i="95"/>
  <c r="L34" i="95"/>
  <c r="L35" i="95"/>
  <c r="L36" i="95"/>
  <c r="L37" i="95"/>
  <c r="M37" i="95" s="1"/>
  <c r="L38" i="95"/>
  <c r="M38" i="95" s="1"/>
  <c r="L39" i="95"/>
  <c r="M39" i="95" s="1"/>
  <c r="L40" i="95"/>
  <c r="M40" i="95" s="1"/>
  <c r="L41" i="95"/>
  <c r="M41" i="95" s="1"/>
  <c r="L42" i="95"/>
  <c r="M42" i="95" s="1"/>
  <c r="L43" i="95"/>
  <c r="M43" i="95" s="1"/>
  <c r="L44" i="95"/>
  <c r="M44" i="95" s="1"/>
  <c r="L45" i="95"/>
  <c r="M45" i="95" s="1"/>
  <c r="L46" i="95"/>
  <c r="M46" i="95" s="1"/>
  <c r="L47" i="95"/>
  <c r="L48" i="95"/>
  <c r="L49" i="95"/>
  <c r="L50" i="95"/>
  <c r="L51" i="95"/>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L64" i="95"/>
  <c r="M64" i="95" s="1"/>
  <c r="L65" i="95"/>
  <c r="M65" i="95" s="1"/>
  <c r="L66" i="95"/>
  <c r="L67" i="95"/>
  <c r="L68" i="95"/>
  <c r="L69" i="95"/>
  <c r="L70" i="95"/>
  <c r="M70" i="95" s="1"/>
  <c r="L71" i="95"/>
  <c r="M71" i="95" s="1"/>
  <c r="L72" i="95"/>
  <c r="M72" i="95" s="1"/>
  <c r="L73" i="95"/>
  <c r="M73" i="95" s="1"/>
  <c r="L74" i="95"/>
  <c r="L75" i="95"/>
  <c r="L76" i="95"/>
  <c r="L77" i="95"/>
  <c r="L78" i="95"/>
  <c r="L79" i="95"/>
  <c r="L80" i="95"/>
  <c r="L81" i="95"/>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L96" i="95"/>
  <c r="L97" i="95"/>
  <c r="L98" i="95"/>
  <c r="L99" i="95"/>
  <c r="L100" i="95"/>
  <c r="L101" i="95"/>
  <c r="L102" i="95"/>
  <c r="M102" i="95" s="1"/>
  <c r="L103" i="95"/>
  <c r="M103" i="95" s="1"/>
  <c r="L104" i="95"/>
  <c r="M104" i="95" s="1"/>
  <c r="L105" i="95"/>
  <c r="M105" i="95" s="1"/>
  <c r="L106" i="95"/>
  <c r="L107" i="95"/>
  <c r="M107" i="95" s="1"/>
  <c r="L108" i="95"/>
  <c r="M108" i="95" s="1"/>
  <c r="L109" i="95"/>
  <c r="M109" i="95" s="1"/>
  <c r="L110" i="95"/>
  <c r="M110" i="95" s="1"/>
  <c r="L111" i="95"/>
  <c r="L112" i="95"/>
  <c r="L113" i="95"/>
  <c r="L114" i="95"/>
  <c r="L115" i="95"/>
  <c r="L116" i="95"/>
  <c r="M116" i="95" s="1"/>
  <c r="L117" i="95"/>
  <c r="M117" i="95" s="1"/>
  <c r="L118" i="95"/>
  <c r="M118" i="95" s="1"/>
  <c r="L119" i="95"/>
  <c r="M119" i="95" s="1"/>
  <c r="L120" i="95"/>
  <c r="M120" i="95" s="1"/>
  <c r="L121" i="95"/>
  <c r="M121" i="95" s="1"/>
  <c r="L122" i="95"/>
  <c r="M122" i="95" s="1"/>
  <c r="L123" i="95"/>
  <c r="M123" i="95" s="1"/>
  <c r="L124" i="95"/>
  <c r="M124" i="95" s="1"/>
  <c r="L125" i="95"/>
  <c r="L126" i="95"/>
  <c r="M126" i="95" s="1"/>
  <c r="L127" i="95"/>
  <c r="L128" i="95"/>
  <c r="M128" i="95" s="1"/>
  <c r="L129" i="95"/>
  <c r="M129" i="95" s="1"/>
  <c r="L130" i="95"/>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L144" i="95"/>
  <c r="L145" i="95"/>
  <c r="L146" i="95"/>
  <c r="L147" i="95"/>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L160" i="95"/>
  <c r="L161" i="95"/>
  <c r="L162" i="95"/>
  <c r="L163" i="95"/>
  <c r="L164" i="95"/>
  <c r="L165" i="95"/>
  <c r="L166" i="95"/>
  <c r="M166" i="95" s="1"/>
  <c r="L167" i="95"/>
  <c r="M167" i="95" s="1"/>
  <c r="L168" i="95"/>
  <c r="M168" i="95" s="1"/>
  <c r="L169" i="95"/>
  <c r="M169" i="95" s="1"/>
  <c r="L170" i="95"/>
  <c r="L171" i="95"/>
  <c r="L172" i="95"/>
  <c r="L173" i="95"/>
  <c r="M173" i="95" s="1"/>
  <c r="L174" i="95"/>
  <c r="M174" i="95" s="1"/>
  <c r="L175" i="95"/>
  <c r="L176" i="95"/>
  <c r="M176" i="95" s="1"/>
  <c r="L177" i="95"/>
  <c r="L178" i="95"/>
  <c r="L179" i="95"/>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L192" i="95"/>
  <c r="L193" i="95"/>
  <c r="L194" i="95"/>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L207" i="95"/>
  <c r="L208" i="95"/>
  <c r="L209" i="95"/>
  <c r="L210" i="95"/>
  <c r="L211" i="95"/>
  <c r="L212" i="95"/>
  <c r="M212" i="95" s="1"/>
  <c r="L213" i="95"/>
  <c r="M213" i="95" s="1"/>
  <c r="L214" i="95"/>
  <c r="M214" i="95" s="1"/>
  <c r="L215" i="95"/>
  <c r="M215" i="95" s="1"/>
  <c r="L216" i="95"/>
  <c r="M216" i="95" s="1"/>
  <c r="L217" i="95"/>
  <c r="M217" i="95" s="1"/>
  <c r="L218" i="95"/>
  <c r="L219" i="95"/>
  <c r="M219" i="95" s="1"/>
  <c r="L220" i="95"/>
  <c r="M220" i="95" s="1"/>
  <c r="L221" i="95"/>
  <c r="M221" i="95" s="1"/>
  <c r="L222" i="95"/>
  <c r="M222" i="95" s="1"/>
  <c r="L223" i="95"/>
  <c r="L224" i="95"/>
  <c r="L225" i="95"/>
  <c r="L226" i="95"/>
  <c r="L227" i="95"/>
  <c r="L228" i="95"/>
  <c r="L229" i="95"/>
  <c r="L230" i="95"/>
  <c r="M230" i="95" s="1"/>
  <c r="L231" i="95"/>
  <c r="M231" i="95" s="1"/>
  <c r="L232" i="95"/>
  <c r="M232" i="95" s="1"/>
  <c r="L233" i="95"/>
  <c r="M233" i="95" s="1"/>
  <c r="L234" i="95"/>
  <c r="L235" i="95"/>
  <c r="L236" i="95"/>
  <c r="M236" i="95" s="1"/>
  <c r="L237" i="95"/>
  <c r="L238" i="95"/>
  <c r="L239" i="95"/>
  <c r="L240" i="95"/>
  <c r="L241" i="95"/>
  <c r="L242" i="95"/>
  <c r="L243" i="95"/>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L256" i="95"/>
  <c r="L257" i="95"/>
  <c r="L258" i="95"/>
  <c r="L259" i="95"/>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L272" i="95"/>
  <c r="L273" i="95"/>
  <c r="L274" i="95"/>
  <c r="L275" i="95"/>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L288" i="95"/>
  <c r="L289" i="95"/>
  <c r="L290" i="95"/>
  <c r="L291" i="95"/>
  <c r="L292" i="95"/>
  <c r="L293" i="95"/>
  <c r="L294" i="95"/>
  <c r="M294" i="95" s="1"/>
  <c r="L295" i="95"/>
  <c r="M295" i="95" s="1"/>
  <c r="L296" i="95"/>
  <c r="M296" i="95" s="1"/>
  <c r="L297" i="95"/>
  <c r="M297" i="95" s="1"/>
  <c r="L298" i="95"/>
  <c r="L299" i="95"/>
  <c r="L300" i="95"/>
  <c r="L301" i="95"/>
  <c r="L302" i="95"/>
  <c r="L303" i="95"/>
  <c r="L304" i="95"/>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L320" i="95"/>
  <c r="L321" i="95"/>
  <c r="L322" i="95"/>
  <c r="L323" i="95"/>
  <c r="L324" i="95"/>
  <c r="L325" i="95"/>
  <c r="L326" i="95"/>
  <c r="M326" i="95" s="1"/>
  <c r="L327" i="95"/>
  <c r="M327" i="95" s="1"/>
  <c r="L328" i="95"/>
  <c r="M328" i="95" s="1"/>
  <c r="L329" i="95"/>
  <c r="M329" i="95" s="1"/>
  <c r="L330" i="95"/>
  <c r="M330" i="95" s="1"/>
  <c r="L331" i="95"/>
  <c r="M331" i="95" s="1"/>
  <c r="L332" i="95"/>
  <c r="M332" i="95" s="1"/>
  <c r="L333" i="95"/>
  <c r="M333" i="95" s="1"/>
  <c r="L334" i="95"/>
  <c r="M334" i="95" s="1"/>
  <c r="L335" i="95"/>
  <c r="L336" i="95"/>
  <c r="L337" i="95"/>
  <c r="L338" i="95"/>
  <c r="L339" i="95"/>
  <c r="L340" i="95"/>
  <c r="M340" i="95" s="1"/>
  <c r="L341" i="95"/>
  <c r="M341" i="95" s="1"/>
  <c r="L342" i="95"/>
  <c r="M342" i="95" s="1"/>
  <c r="L343" i="95"/>
  <c r="M343" i="95" s="1"/>
  <c r="L344" i="95"/>
  <c r="M344" i="95" s="1"/>
  <c r="L345" i="95"/>
  <c r="L346" i="95"/>
  <c r="L347" i="95"/>
  <c r="L348" i="95"/>
  <c r="M348" i="95" s="1"/>
  <c r="L349" i="95"/>
  <c r="L350" i="95"/>
  <c r="M350" i="95" s="1"/>
  <c r="L351" i="95"/>
  <c r="L352" i="95"/>
  <c r="L353" i="95"/>
  <c r="M353" i="95" s="1"/>
  <c r="L354" i="95"/>
  <c r="L355" i="95"/>
  <c r="L356" i="95"/>
  <c r="L357" i="95"/>
  <c r="L358" i="95"/>
  <c r="M358" i="95" s="1"/>
  <c r="L359" i="95"/>
  <c r="M359" i="95" s="1"/>
  <c r="L360" i="95"/>
  <c r="M360" i="95" s="1"/>
  <c r="L361" i="95"/>
  <c r="M361" i="95" s="1"/>
  <c r="L362" i="95"/>
  <c r="M362" i="95" s="1"/>
  <c r="L363" i="95"/>
  <c r="L364" i="95"/>
  <c r="M364" i="95" s="1"/>
  <c r="L365" i="95"/>
  <c r="M365" i="95" s="1"/>
  <c r="L366" i="95"/>
  <c r="L367" i="95"/>
  <c r="L368" i="95"/>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L384" i="95"/>
  <c r="L385" i="95"/>
  <c r="L386" i="95"/>
  <c r="L387" i="95"/>
  <c r="L388" i="95"/>
  <c r="L389" i="95"/>
  <c r="L390" i="95"/>
  <c r="M390" i="95" s="1"/>
  <c r="L391" i="95"/>
  <c r="M391" i="95" s="1"/>
  <c r="L392" i="95"/>
  <c r="M392" i="95" s="1"/>
  <c r="L393" i="95"/>
  <c r="M393" i="95" s="1"/>
  <c r="L394" i="95"/>
  <c r="M394" i="95" s="1"/>
  <c r="L395" i="95"/>
  <c r="M395" i="95" s="1"/>
  <c r="L396" i="95"/>
  <c r="M396" i="95" s="1"/>
  <c r="L397" i="95"/>
  <c r="M397" i="95" s="1"/>
  <c r="L398" i="95"/>
  <c r="M398" i="95" s="1"/>
  <c r="L399" i="95"/>
  <c r="L400" i="95"/>
  <c r="L401" i="95"/>
  <c r="L402" i="95"/>
  <c r="L403" i="95"/>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L416" i="95"/>
  <c r="M416" i="95" s="1"/>
  <c r="L417" i="95"/>
  <c r="M417" i="95" s="1"/>
  <c r="L418" i="95"/>
  <c r="L419" i="95"/>
  <c r="L420" i="95"/>
  <c r="M2" i="95"/>
  <c r="M3" i="95"/>
  <c r="M5" i="95"/>
  <c r="M11" i="95"/>
  <c r="M14" i="95"/>
  <c r="M15" i="95"/>
  <c r="M16" i="95"/>
  <c r="M31" i="95"/>
  <c r="M32" i="95"/>
  <c r="M33" i="95"/>
  <c r="M34" i="95"/>
  <c r="M35" i="95"/>
  <c r="M36" i="95"/>
  <c r="M47" i="95"/>
  <c r="M48" i="95"/>
  <c r="M49" i="95"/>
  <c r="M50" i="95"/>
  <c r="M51" i="95"/>
  <c r="M63" i="95"/>
  <c r="M66" i="95"/>
  <c r="M67" i="95"/>
  <c r="M68" i="95"/>
  <c r="M69" i="95"/>
  <c r="M74" i="95"/>
  <c r="M75" i="95"/>
  <c r="M76" i="95"/>
  <c r="M77" i="95"/>
  <c r="M78" i="95"/>
  <c r="M79" i="95"/>
  <c r="M80" i="95"/>
  <c r="M81" i="95"/>
  <c r="M95" i="95"/>
  <c r="M96" i="95"/>
  <c r="M97" i="95"/>
  <c r="M98" i="95"/>
  <c r="M99" i="95"/>
  <c r="M100" i="95"/>
  <c r="M101" i="95"/>
  <c r="M106" i="95"/>
  <c r="M111" i="95"/>
  <c r="M112" i="95"/>
  <c r="M113" i="95"/>
  <c r="M114" i="95"/>
  <c r="M115" i="95"/>
  <c r="M125" i="95"/>
  <c r="M127" i="95"/>
  <c r="M130" i="95"/>
  <c r="M143" i="95"/>
  <c r="M144" i="95"/>
  <c r="M145" i="95"/>
  <c r="M146" i="95"/>
  <c r="M147" i="95"/>
  <c r="M159" i="95"/>
  <c r="M160" i="95"/>
  <c r="M161" i="95"/>
  <c r="M162" i="95"/>
  <c r="M163" i="95"/>
  <c r="M164" i="95"/>
  <c r="M165" i="95"/>
  <c r="M170" i="95"/>
  <c r="M171" i="95"/>
  <c r="M172" i="95"/>
  <c r="M175" i="95"/>
  <c r="M177" i="95"/>
  <c r="M178" i="95"/>
  <c r="M179" i="95"/>
  <c r="M191" i="95"/>
  <c r="M192" i="95"/>
  <c r="M193" i="95"/>
  <c r="M194" i="95"/>
  <c r="M206" i="95"/>
  <c r="M207" i="95"/>
  <c r="M208" i="95"/>
  <c r="M209" i="95"/>
  <c r="M210" i="95"/>
  <c r="M211" i="95"/>
  <c r="M218" i="95"/>
  <c r="M223" i="95"/>
  <c r="M224" i="95"/>
  <c r="M225" i="95"/>
  <c r="M226" i="95"/>
  <c r="M227" i="95"/>
  <c r="M228" i="95"/>
  <c r="M229" i="95"/>
  <c r="M234" i="95"/>
  <c r="M235" i="95"/>
  <c r="M237" i="95"/>
  <c r="M238" i="95"/>
  <c r="M239" i="95"/>
  <c r="M240" i="95"/>
  <c r="M241" i="95"/>
  <c r="M242" i="95"/>
  <c r="M243" i="95"/>
  <c r="M255" i="95"/>
  <c r="M256" i="95"/>
  <c r="M257" i="95"/>
  <c r="M258" i="95"/>
  <c r="M259" i="95"/>
  <c r="M271" i="95"/>
  <c r="M272" i="95"/>
  <c r="M273" i="95"/>
  <c r="M274" i="95"/>
  <c r="M275" i="95"/>
  <c r="M287" i="95"/>
  <c r="M288" i="95"/>
  <c r="M289" i="95"/>
  <c r="M290" i="95"/>
  <c r="M291" i="95"/>
  <c r="M292" i="95"/>
  <c r="M293" i="95"/>
  <c r="M298" i="95"/>
  <c r="M299" i="95"/>
  <c r="M300" i="95"/>
  <c r="M301" i="95"/>
  <c r="M302" i="95"/>
  <c r="M303" i="95"/>
  <c r="M304" i="95"/>
  <c r="M319" i="95"/>
  <c r="M320" i="95"/>
  <c r="M321" i="95"/>
  <c r="M322" i="95"/>
  <c r="M323" i="95"/>
  <c r="M324" i="95"/>
  <c r="M325" i="95"/>
  <c r="M335" i="95"/>
  <c r="M336" i="95"/>
  <c r="M337" i="95"/>
  <c r="M338" i="95"/>
  <c r="M339" i="95"/>
  <c r="M345" i="95"/>
  <c r="M346" i="95"/>
  <c r="M347" i="95"/>
  <c r="M349" i="95"/>
  <c r="M351" i="95"/>
  <c r="M352" i="95"/>
  <c r="M354" i="95"/>
  <c r="M355" i="95"/>
  <c r="M356" i="95"/>
  <c r="M357" i="95"/>
  <c r="M363" i="95"/>
  <c r="M366" i="95"/>
  <c r="M367" i="95"/>
  <c r="M368" i="95"/>
  <c r="M383" i="95"/>
  <c r="M384" i="95"/>
  <c r="M385" i="95"/>
  <c r="M386" i="95"/>
  <c r="M387" i="95"/>
  <c r="M388" i="95"/>
  <c r="M389" i="95"/>
  <c r="M399" i="95"/>
  <c r="M400" i="95"/>
  <c r="M401" i="95"/>
  <c r="M402" i="95"/>
  <c r="M403" i="95"/>
  <c r="M415" i="95"/>
  <c r="M418" i="95"/>
  <c r="M419" i="95"/>
  <c r="M420" i="95"/>
  <c r="D47" i="8"/>
  <c r="R2" i="74"/>
  <c r="F2" i="74" s="1" a="1"/>
  <c r="F2" i="74" s="1"/>
  <c r="D14" i="8"/>
  <c r="D13" i="8"/>
  <c r="D12" i="8"/>
  <c r="D11" i="8" a="1"/>
  <c r="D11" i="8" s="1"/>
  <c r="K2" i="70"/>
  <c r="I47" i="8"/>
  <c r="H47" i="8"/>
  <c r="G47" i="8"/>
  <c r="F47" i="8"/>
  <c r="M19" i="70" s="1" a="1"/>
  <c r="M19" i="70" s="1"/>
  <c r="E47" i="8"/>
  <c r="G1" i="8" a="1"/>
  <c r="M5" i="70" l="1" a="1"/>
  <c r="M5" i="70" s="1"/>
  <c r="M20" i="70" a="1"/>
  <c r="M20" i="70" s="1"/>
  <c r="M18" i="70" a="1"/>
  <c r="M18" i="70" s="1"/>
  <c r="M17" i="70" a="1"/>
  <c r="M17" i="70" s="1"/>
  <c r="M16" i="70" a="1"/>
  <c r="M16" i="70" s="1"/>
  <c r="M15" i="70" a="1"/>
  <c r="M15" i="70" s="1"/>
  <c r="M14" i="70" a="1"/>
  <c r="M14" i="70" s="1"/>
  <c r="M22" i="70" a="1"/>
  <c r="M22" i="70" s="1"/>
  <c r="M6" i="70" a="1"/>
  <c r="M6" i="70" s="1"/>
  <c r="M28" i="70" a="1"/>
  <c r="M28" i="70" s="1"/>
  <c r="M12" i="70" a="1"/>
  <c r="M12" i="70" s="1"/>
  <c r="M27" i="70" a="1"/>
  <c r="M27" i="70" s="1"/>
  <c r="M11" i="70" a="1"/>
  <c r="M11" i="70" s="1"/>
  <c r="M26" i="70" a="1"/>
  <c r="M26" i="70" s="1"/>
  <c r="M10" i="70" a="1"/>
  <c r="M10" i="70" s="1"/>
  <c r="M25" i="70" a="1"/>
  <c r="M25" i="70" s="1"/>
  <c r="M9" i="70" a="1"/>
  <c r="M9" i="70" s="1"/>
  <c r="M24" i="70" a="1"/>
  <c r="M24" i="70" s="1"/>
  <c r="M8" i="70" a="1"/>
  <c r="M8" i="70" s="1"/>
  <c r="M23" i="70" a="1"/>
  <c r="M23" i="70" s="1"/>
  <c r="M7" i="70" a="1"/>
  <c r="M7" i="70" s="1"/>
  <c r="M21" i="70" a="1"/>
  <c r="M21" i="70" s="1"/>
  <c r="K221" i="95"/>
  <c r="G2" i="100" a="1"/>
  <c r="G2" i="100" s="1"/>
  <c r="G1" i="8"/>
  <c r="L2" i="70" a="1"/>
  <c r="L2" i="70" s="1"/>
  <c r="M2" i="70" l="1" a="1"/>
  <c r="M2" i="70" s="1"/>
  <c r="N20" i="70" s="1"/>
  <c r="N13" i="70" l="1"/>
  <c r="N5" i="70"/>
  <c r="N19" i="70"/>
  <c r="N22" i="70"/>
  <c r="N8" i="70"/>
  <c r="N14" i="70"/>
  <c r="N28" i="70"/>
  <c r="N24" i="70"/>
  <c r="N16" i="70"/>
  <c r="N27" i="70"/>
  <c r="N12" i="70"/>
  <c r="N25" i="70"/>
  <c r="N17" i="70"/>
  <c r="N11" i="70"/>
  <c r="N7" i="70"/>
  <c r="N6" i="70"/>
  <c r="N10" i="70"/>
  <c r="N18" i="70"/>
  <c r="N26" i="70"/>
  <c r="N9" i="70"/>
  <c r="N23" i="70"/>
  <c r="N15" i="70"/>
  <c r="N2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C23" i="5" s="1" a="1"/>
  <c r="C23" i="5" s="1"/>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5" i="78" l="1"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P5" i="8" l="1" a="1"/>
  <c r="P5" i="8" s="1"/>
  <c r="L6" i="8"/>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<sst xmlns="http://schemas.openxmlformats.org/spreadsheetml/2006/main" count="1283" uniqueCount="751">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</sst>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19" formatCode="m/d/yyyy"/>
    </dxf>
    <dxf>
      <numFmt numFmtId="2" formatCode="0.00"/>
    </dxf>
    <dxf>
      <numFmt numFmtId="184" formatCode="[$-F400]h:mm:ss\ AM/P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2"/>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6fKSPh53j6PkBpTO7404hVu08mz5e7BCzqkx8ETx7Tqh411/3BsGKnLECof1OFqYOwaXtgiMfUQeN4N+NaTxrw==" saltValue="sy065xePsmh21dVjQf4zM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37" activePane="bottomLeft" state="frozen"/>
      <selection pane="bottomLeft" activeCell="N61" sqref="N61"/>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512" t="s">
        <v>49</v>
      </c>
      <c r="D1" s="513"/>
      <c r="E1" s="513"/>
      <c r="F1" s="513"/>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4" t="s">
        <v>99</v>
      </c>
      <c r="K3" s="515"/>
      <c r="L3" s="516"/>
      <c r="M3" s="301"/>
      <c r="N3" s="530" t="s">
        <v>88</v>
      </c>
      <c r="O3" s="530"/>
      <c r="P3" s="530"/>
      <c r="Q3" s="530"/>
      <c r="R3" s="530"/>
      <c r="S3" s="530"/>
    </row>
    <row r="4" spans="1:19" s="278" customFormat="1" x14ac:dyDescent="0.2">
      <c r="A4" s="319"/>
      <c r="B4" s="141"/>
      <c r="C4" s="142" t="s">
        <v>188</v>
      </c>
      <c r="D4" s="285" t="str">
        <f>IF(Condition="","",Condition)</f>
        <v/>
      </c>
      <c r="E4" s="301"/>
      <c r="F4" s="301"/>
      <c r="G4" s="301"/>
      <c r="H4" s="301"/>
      <c r="I4" s="301"/>
      <c r="J4" s="519" t="s">
        <v>1</v>
      </c>
      <c r="K4" s="520"/>
      <c r="L4" s="143">
        <f>MAX(Survey[Deviations])</f>
        <v>0</v>
      </c>
      <c r="M4" s="301"/>
      <c r="N4" s="144" t="s">
        <v>87</v>
      </c>
      <c r="O4" s="145" t="s">
        <v>86</v>
      </c>
      <c r="P4" s="517" t="s">
        <v>97</v>
      </c>
      <c r="Q4" s="518"/>
      <c r="R4" s="144" t="s">
        <v>129</v>
      </c>
      <c r="S4" s="144" t="s">
        <v>133</v>
      </c>
    </row>
    <row r="5" spans="1:19" s="278" customFormat="1" x14ac:dyDescent="0.2">
      <c r="A5" s="319"/>
      <c r="B5" s="141"/>
      <c r="C5" s="142" t="s">
        <v>41</v>
      </c>
      <c r="D5" s="534" t="e">
        <f>companyName</f>
        <v>#N/A</v>
      </c>
      <c r="E5" s="535"/>
      <c r="F5" s="535"/>
      <c r="G5" s="535"/>
      <c r="H5" s="536"/>
      <c r="I5" s="286"/>
      <c r="J5" s="519" t="s">
        <v>2</v>
      </c>
      <c r="K5" s="520"/>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31" t="e">
        <f>VLOOKUP("assetName",WorkItemDetails[],2,FALSE)</f>
        <v>#N/A</v>
      </c>
      <c r="E6" s="532"/>
      <c r="F6" s="532"/>
      <c r="G6" s="532"/>
      <c r="H6" s="533"/>
      <c r="J6" s="519" t="s">
        <v>98</v>
      </c>
      <c r="K6" s="520"/>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28" t="str">
        <f>IFERROR(VLOOKUP("PoNumber",WorkItemDetails[],2,FALSE),"")</f>
        <v/>
      </c>
      <c r="L13" s="529"/>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37"/>
      <c r="L14" s="538"/>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23"/>
      <c r="L15" s="524"/>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485" t="s">
        <v>151</v>
      </c>
      <c r="K16" s="486"/>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485" t="s">
        <v>152</v>
      </c>
      <c r="K17" s="486"/>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539" t="s">
        <v>19</v>
      </c>
      <c r="H18" s="540"/>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21" t="str">
        <f>IF(K15="Salt",0, IF(OR(K15="Hot",K15="SIM Load Hot"),IF(OR(D26="",D28=""),"N/A",IF(ISBLANK(D26),"N/A",D28-D26)),"N/A"))</f>
        <v>N/A</v>
      </c>
      <c r="H19" s="522"/>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25" t="s">
        <v>441</v>
      </c>
      <c r="C20" s="526"/>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02" t="s">
        <v>301</v>
      </c>
      <c r="H23" s="503"/>
      <c r="I23" s="503"/>
      <c r="J23" s="503"/>
      <c r="K23" s="504"/>
      <c r="L23" s="302"/>
      <c r="M23" s="301"/>
      <c r="N23" s="405">
        <v>19</v>
      </c>
      <c r="O23" s="146"/>
      <c r="P23" s="458" t="str">
        <v/>
      </c>
      <c r="Q23" s="459"/>
      <c r="R23" s="457" t="e">
        <v>#VALUE!</v>
      </c>
      <c r="S23" s="147" t="str">
        <v/>
      </c>
      <c r="T23" s="431"/>
      <c r="U23" s="286" t="s">
        <v>419</v>
      </c>
      <c r="V23" s="286">
        <f>V20+V21</f>
        <v>40</v>
      </c>
    </row>
    <row r="24" spans="2:22" s="278" customFormat="1" x14ac:dyDescent="0.2">
      <c r="B24" s="525" t="s">
        <v>328</v>
      </c>
      <c r="C24" s="527"/>
      <c r="D24" s="282">
        <v>1</v>
      </c>
      <c r="E24" s="301"/>
      <c r="F24" s="160" t="s">
        <v>95</v>
      </c>
      <c r="G24" s="505"/>
      <c r="H24" s="506"/>
      <c r="I24" s="506"/>
      <c r="J24" s="506"/>
      <c r="K24" s="507"/>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05"/>
      <c r="H25" s="506"/>
      <c r="I25" s="506"/>
      <c r="J25" s="506"/>
      <c r="K25" s="507"/>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00" t="str">
        <f>IF(ISBLANK(D6),"",IF(CheckRec="x","CHECK INSTRUMENT CAL DATES!!!!             CHECK INSTRUMENT CAL DATES!!!!",""))</f>
        <v/>
      </c>
      <c r="I27" s="501"/>
      <c r="J27" s="501"/>
      <c r="K27" s="501"/>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00"/>
      <c r="I28" s="501"/>
      <c r="J28" s="501"/>
      <c r="K28" s="501"/>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14" t="s">
        <v>48</v>
      </c>
      <c r="C34" s="515"/>
      <c r="D34" s="515"/>
      <c r="E34" s="515"/>
      <c r="F34" s="515"/>
      <c r="G34" s="515"/>
      <c r="H34" s="515"/>
      <c r="I34" s="515"/>
      <c r="J34" s="515"/>
      <c r="K34" s="515"/>
      <c r="L34" s="516"/>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482" t="s">
        <v>33</v>
      </c>
      <c r="E46" s="483"/>
      <c r="F46" s="483"/>
      <c r="G46" s="483"/>
      <c r="H46" s="483"/>
      <c r="I46" s="484"/>
      <c r="J46" s="345"/>
      <c r="K46" s="345"/>
      <c r="L46" s="345"/>
      <c r="M46" s="508" t="s">
        <v>259</v>
      </c>
      <c r="N46" s="509"/>
      <c r="O46" s="510"/>
      <c r="P46" s="511"/>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489" t="s">
        <v>262</v>
      </c>
      <c r="Q47" s="489"/>
      <c r="R47" s="385" t="s">
        <v>263</v>
      </c>
      <c r="T47" s="305"/>
      <c r="U47" s="305"/>
    </row>
    <row r="48" spans="1:24" x14ac:dyDescent="0.2">
      <c r="A48" s="319"/>
      <c r="B48" s="343"/>
      <c r="C48" s="383" t="s">
        <v>34</v>
      </c>
      <c r="D48" s="288"/>
      <c r="E48" s="288"/>
      <c r="F48" s="288"/>
      <c r="G48" s="288"/>
      <c r="H48" s="288"/>
      <c r="I48" s="288"/>
      <c r="J48" s="345"/>
      <c r="K48" s="345"/>
      <c r="L48" s="345"/>
      <c r="M48" s="490" t="s">
        <v>264</v>
      </c>
      <c r="N48" s="490"/>
      <c r="O48" s="347"/>
      <c r="P48" s="491" t="s">
        <v>309</v>
      </c>
      <c r="Q48" s="492"/>
      <c r="R48" s="493"/>
      <c r="S48" s="468" t="b">
        <f>_xlfn.REGEXTEST(TRIM(Class),"^[0-9][AC]",1)</f>
        <v>0</v>
      </c>
      <c r="T48" s="306"/>
      <c r="U48" s="491" t="s">
        <v>312</v>
      </c>
      <c r="V48" s="492"/>
      <c r="W48" s="493"/>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4" t="s">
        <v>314</v>
      </c>
      <c r="Q49" s="495"/>
      <c r="R49" s="496"/>
      <c r="S49" s="386" t="str">
        <f>IF($S$48, IF(MAX(Survey[RawTemp])&lt;=HalfTolMax,"Yes","No"), "N/A")</f>
        <v>N/A</v>
      </c>
      <c r="T49" s="307"/>
      <c r="U49" s="494" t="s">
        <v>313</v>
      </c>
      <c r="V49" s="495"/>
      <c r="W49" s="496"/>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97" t="s">
        <v>267</v>
      </c>
      <c r="Q50" s="498"/>
      <c r="R50" s="499"/>
      <c r="S50" s="348"/>
      <c r="T50" s="308"/>
      <c r="U50" s="497" t="s">
        <v>267</v>
      </c>
      <c r="V50" s="498"/>
      <c r="W50" s="499"/>
      <c r="X50" s="305"/>
    </row>
    <row r="51" spans="3:24" x14ac:dyDescent="0.2">
      <c r="C51" s="382" t="s">
        <v>54</v>
      </c>
      <c r="D51" s="288"/>
      <c r="E51" s="288"/>
      <c r="F51" s="288"/>
      <c r="G51" s="288"/>
      <c r="H51" s="288"/>
      <c r="I51" s="288"/>
      <c r="J51" s="345"/>
      <c r="K51" s="349"/>
      <c r="L51" s="345"/>
      <c r="M51" s="369" t="s">
        <v>268</v>
      </c>
      <c r="N51" s="298" t="str">
        <f>IF(Derivative="","",Derivative)</f>
        <v/>
      </c>
      <c r="O51" s="301"/>
      <c r="P51" s="494" t="s">
        <v>310</v>
      </c>
      <c r="Q51" s="495"/>
      <c r="R51" s="496"/>
      <c r="S51" s="386"/>
      <c r="T51" s="309"/>
      <c r="U51" s="494" t="s">
        <v>315</v>
      </c>
      <c r="V51" s="495"/>
      <c r="W51" s="496"/>
      <c r="X51" s="386"/>
    </row>
    <row r="52" spans="3:24" x14ac:dyDescent="0.2">
      <c r="C52" s="382" t="s">
        <v>274</v>
      </c>
      <c r="D52" s="288"/>
      <c r="E52" s="288"/>
      <c r="F52" s="288"/>
      <c r="G52" s="288"/>
      <c r="H52" s="288"/>
      <c r="I52" s="288"/>
      <c r="J52" s="345"/>
      <c r="K52" s="349"/>
      <c r="L52" s="345"/>
      <c r="M52" s="369" t="s">
        <v>269</v>
      </c>
      <c r="N52" s="298" t="str">
        <f>IF(Other1="","",Other1)</f>
        <v/>
      </c>
      <c r="O52" s="315"/>
      <c r="P52" s="497" t="s">
        <v>267</v>
      </c>
      <c r="Q52" s="498"/>
      <c r="R52" s="499"/>
      <c r="S52" s="348"/>
      <c r="T52" s="310"/>
      <c r="U52" s="497" t="s">
        <v>267</v>
      </c>
      <c r="V52" s="498"/>
      <c r="W52" s="499"/>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41" t="s">
        <v>311</v>
      </c>
      <c r="Q53" s="542"/>
      <c r="R53" s="543"/>
      <c r="S53" s="386"/>
      <c r="T53" s="311"/>
      <c r="U53" s="541" t="s">
        <v>316</v>
      </c>
      <c r="V53" s="542"/>
      <c r="W53" s="543"/>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4"/>
      <c r="Q54" s="545"/>
      <c r="R54" s="546"/>
      <c r="S54" s="352"/>
      <c r="T54" s="312"/>
      <c r="U54" s="544"/>
      <c r="V54" s="545"/>
      <c r="W54" s="546"/>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482" t="s">
        <v>146</v>
      </c>
      <c r="D58" s="483"/>
      <c r="E58" s="483"/>
      <c r="F58" s="483"/>
      <c r="G58" s="483"/>
      <c r="H58" s="483"/>
      <c r="I58" s="483"/>
      <c r="J58" s="483"/>
      <c r="K58" s="487"/>
      <c r="L58" s="488"/>
      <c r="M58" s="305"/>
      <c r="N58" s="305"/>
      <c r="O58" s="305"/>
      <c r="P58" s="301"/>
      <c r="Q58" s="455"/>
      <c r="S58" s="305"/>
      <c r="T58" s="305"/>
      <c r="U58" s="305"/>
      <c r="V58" s="453"/>
    </row>
    <row r="59" spans="3:24" x14ac:dyDescent="0.2">
      <c r="C59" s="482" t="s">
        <v>149</v>
      </c>
      <c r="D59" s="483"/>
      <c r="E59" s="483"/>
      <c r="F59" s="483"/>
      <c r="G59" s="483"/>
      <c r="H59" s="483"/>
      <c r="I59" s="483"/>
      <c r="J59" s="483"/>
      <c r="K59" s="483"/>
      <c r="L59" s="484"/>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&amp;E60&amp;Unit&amp; " AND OVEN SETPOINT RAISED UNTIL HIGH LIMIT SYSTEM ACTIVATED AT " &amp;K60&amp;Unit&amp; "."</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&amp;E61&amp;Unit&amp; " AND HIGH LIMIT SETPOINT LOWERED UNTIL ACTIVATION AT " &amp;J61&amp;Unit&amp; "."</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disablePrompts="1"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mwjTSiTpDI0FvMR4SFt8BKBF4jMft2Xg1cTRPnGaCLlHf+tjDsdqTvBDb4KunyiJmiBycSy2gyfxXoAl7PZvPA==" saltValue="+42NQumerVLgEObzqVd+Jw=="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jWPS82M4SZN3Kng2NcBGH0megFc2h1Ma1QIGDgfwyi3rSmZWuvjG1oliNmy/Nvm8Q0/bvBXL2smwoOI6Tfkpbw==" saltValue="OGgR85HTU0I0nm6CshbAM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zc4ABsa7thhj1/vKRFrFyWzfL/ilK8PizUSfJvEkYuSGQbE1yJbaHwmWrb/Ntke8CqAjK5jMjvI+XVcDCq0cQw==" saltValue="s1Hp+Zxo0cEOXXuy9UB6E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71" t="s">
        <v>108</v>
      </c>
      <c r="E1" s="571"/>
      <c r="F1" s="571"/>
      <c r="G1" s="571"/>
      <c r="H1" s="571"/>
      <c r="I1" s="571"/>
      <c r="J1" s="571"/>
      <c r="K1" s="571"/>
      <c r="L1" s="571"/>
      <c r="M1" s="571"/>
    </row>
    <row r="2" spans="1:18" ht="23.25" customHeight="1" x14ac:dyDescent="0.3">
      <c r="C2" s="230"/>
      <c r="D2" s="230" t="s">
        <v>255</v>
      </c>
      <c r="E2" s="230"/>
      <c r="F2" s="230"/>
      <c r="G2" s="230"/>
      <c r="H2" s="230"/>
      <c r="I2" s="230"/>
      <c r="J2" s="230"/>
      <c r="K2" s="230"/>
      <c r="L2" s="230"/>
      <c r="M2" s="230"/>
    </row>
    <row r="3" spans="1:18" ht="23.25" x14ac:dyDescent="0.35">
      <c r="C3" s="572"/>
      <c r="D3" s="572"/>
      <c r="E3" s="572"/>
      <c r="F3" s="572"/>
      <c r="G3" s="572"/>
      <c r="H3" s="572"/>
      <c r="I3" s="572"/>
      <c r="J3" s="572"/>
      <c r="K3" s="572"/>
      <c r="L3" s="572"/>
      <c r="M3" s="572"/>
    </row>
    <row r="4" spans="1:18" ht="23.25" x14ac:dyDescent="0.35">
      <c r="C4" s="214"/>
      <c r="D4" s="214"/>
      <c r="E4" s="214"/>
      <c r="F4" s="214"/>
      <c r="G4" s="214"/>
      <c r="H4" s="214"/>
      <c r="I4" s="214"/>
      <c r="J4" s="214"/>
      <c r="K4" s="214"/>
      <c r="L4" s="214"/>
      <c r="M4" s="214"/>
    </row>
    <row r="5" spans="1:18" ht="23.25" x14ac:dyDescent="0.35">
      <c r="C5" s="568" t="s">
        <v>6</v>
      </c>
      <c r="D5" s="568"/>
      <c r="E5" s="568"/>
      <c r="F5" s="568"/>
      <c r="G5" s="568"/>
      <c r="H5" s="568"/>
      <c r="I5" s="568"/>
      <c r="J5" s="568"/>
      <c r="K5" s="568"/>
      <c r="L5" s="568"/>
      <c r="M5" s="568"/>
    </row>
    <row r="6" spans="1:18" ht="23.25" x14ac:dyDescent="0.35">
      <c r="C6" s="215"/>
      <c r="D6" s="215"/>
      <c r="E6" s="588" t="str">
        <f>IFERROR(CONCATENATE("Report Number: ", WorkItemNumber),"")</f>
        <v/>
      </c>
      <c r="F6" s="588"/>
      <c r="G6" s="588"/>
      <c r="H6" s="588"/>
      <c r="I6" s="588"/>
      <c r="J6" s="588"/>
      <c r="K6" s="588"/>
      <c r="L6" s="215"/>
      <c r="M6" s="215"/>
    </row>
    <row r="7" spans="1:18" ht="18.75" customHeight="1" x14ac:dyDescent="0.3">
      <c r="G7" s="569"/>
      <c r="H7" s="569"/>
      <c r="I7" s="192"/>
      <c r="R7" t="str">
        <f>CONCATENATE("Page ",Main!L9," of ",Main!L10)</f>
        <v xml:space="preserve">Page  of </v>
      </c>
    </row>
    <row r="8" spans="1:18" ht="18" customHeight="1" x14ac:dyDescent="0.25">
      <c r="G8" s="581"/>
      <c r="H8" s="581"/>
      <c r="J8" s="79"/>
      <c r="K8" s="216" t="s">
        <v>252</v>
      </c>
      <c r="L8" s="592">
        <f>FormNumber</f>
        <v>0</v>
      </c>
      <c r="M8" s="592"/>
      <c r="N8" s="592"/>
      <c r="O8" s="592"/>
    </row>
    <row r="9" spans="1:18" ht="18" customHeight="1" x14ac:dyDescent="0.25">
      <c r="A9" s="216" t="s">
        <v>209</v>
      </c>
      <c r="B9" s="33" t="e">
        <f>Main!D5</f>
        <v>#N/A</v>
      </c>
      <c r="J9" s="79"/>
      <c r="K9" s="216" t="s">
        <v>253</v>
      </c>
      <c r="L9" s="583" t="str">
        <f>"JGI WP4100, "&amp;CalMethod</f>
        <v xml:space="preserve">JGI WP4100, </v>
      </c>
      <c r="M9" s="583"/>
      <c r="N9" s="583"/>
      <c r="O9" s="583"/>
    </row>
    <row r="10" spans="1:18" ht="18" customHeight="1" x14ac:dyDescent="0.25">
      <c r="A10" s="87"/>
      <c r="B10" s="211" t="str" cm="1">
        <f t="array" ref="B10">IFZERO('Customer Table'!R2,"")</f>
        <v/>
      </c>
      <c r="J10" s="79"/>
      <c r="K10" s="216"/>
      <c r="L10" s="583"/>
      <c r="M10" s="583"/>
      <c r="N10" s="583"/>
      <c r="O10" s="583"/>
    </row>
    <row r="11" spans="1:18" ht="18" customHeight="1" x14ac:dyDescent="0.25">
      <c r="A11" s="87"/>
      <c r="B11" s="211" t="str" cm="1">
        <f t="array" ref="B11">IFZERO('Customer Table'!S2,"")</f>
        <v/>
      </c>
      <c r="J11" s="79"/>
      <c r="K11" s="216" t="s">
        <v>254</v>
      </c>
      <c r="L11" s="592">
        <f>TolSource</f>
        <v>0</v>
      </c>
      <c r="M11" s="592"/>
      <c r="N11" s="592"/>
      <c r="O11" s="59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5">
        <f>Class</f>
        <v>0</v>
      </c>
      <c r="C18" s="575"/>
      <c r="D18" s="575"/>
      <c r="E18" s="575"/>
      <c r="G18" s="216" t="s">
        <v>219</v>
      </c>
      <c r="H18" s="220">
        <f>CubicFeet</f>
        <v>0</v>
      </c>
      <c r="M18" s="216" t="s">
        <v>223</v>
      </c>
      <c r="N18" s="220" t="str">
        <f>Main!G18</f>
        <v>ACCEPTED</v>
      </c>
      <c r="O18" s="195"/>
    </row>
    <row r="19" spans="1:19" ht="18" customHeight="1" x14ac:dyDescent="0.25">
      <c r="A19" s="206"/>
      <c r="B19" s="576"/>
      <c r="C19" s="576"/>
      <c r="D19" s="576"/>
      <c r="E19" s="57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2" t="s">
        <v>237</v>
      </c>
      <c r="D27" s="582"/>
      <c r="E27" s="582"/>
      <c r="F27" s="582"/>
      <c r="G27" s="582"/>
      <c r="H27" s="582"/>
      <c r="I27" s="582"/>
      <c r="J27" s="582"/>
      <c r="K27" s="582"/>
      <c r="L27" s="582"/>
      <c r="M27" s="582"/>
      <c r="N27" s="196"/>
      <c r="O27" s="197"/>
    </row>
    <row r="28" spans="1:19" ht="8.1" customHeight="1" x14ac:dyDescent="0.2"/>
    <row r="29" spans="1:19" ht="18" customHeight="1" x14ac:dyDescent="0.2">
      <c r="A29" s="578" t="s">
        <v>207</v>
      </c>
      <c r="B29" s="579"/>
      <c r="C29" s="580"/>
      <c r="D29" s="578" t="s">
        <v>238</v>
      </c>
      <c r="E29" s="579"/>
      <c r="F29" s="579"/>
      <c r="G29" s="580"/>
      <c r="H29" s="578" t="s">
        <v>208</v>
      </c>
      <c r="I29" s="579"/>
      <c r="J29" s="579"/>
      <c r="K29" s="580"/>
      <c r="L29" s="578" t="s">
        <v>194</v>
      </c>
      <c r="M29" s="579"/>
      <c r="N29" s="579"/>
      <c r="O29" s="580"/>
    </row>
    <row r="30" spans="1:19" ht="18" customHeight="1" x14ac:dyDescent="0.2">
      <c r="A30" s="212"/>
      <c r="B30" s="202" t="s">
        <v>435</v>
      </c>
      <c r="C30" s="213"/>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5" t="s">
        <v>239</v>
      </c>
      <c r="B32" s="570" t="s">
        <v>240</v>
      </c>
      <c r="C32" s="570"/>
      <c r="D32" s="235" t="s">
        <v>203</v>
      </c>
      <c r="E32" s="235" t="s">
        <v>202</v>
      </c>
      <c r="F32" s="235" t="s">
        <v>241</v>
      </c>
      <c r="G32" s="79"/>
      <c r="H32" s="79"/>
      <c r="I32" s="235" t="s">
        <v>239</v>
      </c>
      <c r="J32" s="570" t="s">
        <v>240</v>
      </c>
      <c r="K32" s="570"/>
      <c r="L32" s="235" t="s">
        <v>203</v>
      </c>
      <c r="M32" s="235" t="s">
        <v>202</v>
      </c>
      <c r="N32" s="235" t="s">
        <v>241</v>
      </c>
    </row>
    <row r="33" spans="1:14" ht="18" customHeight="1" x14ac:dyDescent="0.2">
      <c r="A33" s="236" t="str">
        <f>IF(B33="","",1)</f>
        <v/>
      </c>
      <c r="B33" s="569" t="str">
        <f>IF(Main!O5="","",Main!O5)</f>
        <v/>
      </c>
      <c r="C33" s="569"/>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9" t="str">
        <f>IF(Main!O25="","",Main!O25)</f>
        <v/>
      </c>
      <c r="K33" s="569"/>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9" t="str">
        <f>IF(Main!O6="","",Main!O6)</f>
        <v/>
      </c>
      <c r="C34" s="569"/>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9" t="str">
        <f>IF(Main!O26="","",Main!O26)</f>
        <v/>
      </c>
      <c r="K34" s="569"/>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9" t="str">
        <f>IF(Main!O7="","",Main!O7)</f>
        <v/>
      </c>
      <c r="C35" s="569"/>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9" t="str">
        <f>IF(Main!O27="","",Main!O27)</f>
        <v/>
      </c>
      <c r="K35" s="569"/>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9" t="str">
        <f>IF(Main!O8="","",Main!O8)</f>
        <v/>
      </c>
      <c r="C36" s="569"/>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9" t="str">
        <f>IF(Main!O28="","",Main!O28)</f>
        <v/>
      </c>
      <c r="K36" s="569"/>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9" t="str">
        <f>IF(Main!O9="","",Main!O9)</f>
        <v/>
      </c>
      <c r="C37" s="569"/>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9" t="str">
        <f>IF(Main!O29="","",Main!O29)</f>
        <v/>
      </c>
      <c r="K37" s="569"/>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9" t="str">
        <f>IF(Main!O10="","",Main!O10)</f>
        <v/>
      </c>
      <c r="C38" s="569"/>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9" t="str">
        <f>IF(Main!O30="","",Main!O30)</f>
        <v/>
      </c>
      <c r="K38" s="569"/>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9" t="str">
        <f>IF(Main!O11="","",Main!O11)</f>
        <v/>
      </c>
      <c r="C39" s="569"/>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9" t="str">
        <f>IF(Main!O31="","",Main!O31)</f>
        <v/>
      </c>
      <c r="K39" s="569"/>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9" t="str">
        <f>IF(Main!O12="","",Main!O12)</f>
        <v/>
      </c>
      <c r="C40" s="569"/>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9" t="str">
        <f>IF(Main!O32="","",Main!O32)</f>
        <v/>
      </c>
      <c r="K40" s="569"/>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9" t="str">
        <f>IF(Main!O13="","",Main!O13)</f>
        <v/>
      </c>
      <c r="C41" s="569"/>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9" t="str">
        <f>IF(Main!O33="","",Main!O33)</f>
        <v/>
      </c>
      <c r="K41" s="569"/>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9" t="str">
        <f>IF(Main!O14="","",Main!O14)</f>
        <v/>
      </c>
      <c r="C42" s="569"/>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9" t="str">
        <f>IF(Main!O34="","",Main!O34)</f>
        <v/>
      </c>
      <c r="K42" s="569"/>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9" t="str">
        <f>IF(Main!O15="","",Main!O15)</f>
        <v/>
      </c>
      <c r="C43" s="569"/>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9" t="str">
        <f>IF(Main!O35="","",Main!O35)</f>
        <v/>
      </c>
      <c r="K43" s="569"/>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9" t="str">
        <f>IF(Main!O16="","",Main!O16)</f>
        <v/>
      </c>
      <c r="C44" s="569"/>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9" t="str">
        <f>IF(Main!O36="","",Main!O36)</f>
        <v/>
      </c>
      <c r="K44" s="569"/>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9" t="str">
        <f>IF(Main!O17="","",Main!O17)</f>
        <v/>
      </c>
      <c r="C45" s="569"/>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9" t="str">
        <f>IF(Main!O37="","",Main!O37)</f>
        <v/>
      </c>
      <c r="K45" s="569"/>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9" t="str">
        <f>IF(Main!O18="","",Main!O18)</f>
        <v/>
      </c>
      <c r="C46" s="569"/>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9" t="str">
        <f>IF(Main!O38="","",Main!O38)</f>
        <v/>
      </c>
      <c r="K46" s="569"/>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9" t="str">
        <f>IF(Main!O19="","",Main!O19)</f>
        <v/>
      </c>
      <c r="C47" s="569"/>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9" t="str">
        <f>IF(Main!O39="","",Main!O39)</f>
        <v/>
      </c>
      <c r="K47" s="569"/>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9" t="str">
        <f>IF(Main!O20="","",Main!O20)</f>
        <v/>
      </c>
      <c r="C48" s="569"/>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9" t="str">
        <f>IF(Main!O40="","",Main!O40)</f>
        <v/>
      </c>
      <c r="K48" s="569"/>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9" t="str">
        <f>IF(Main!O21="","",Main!O21)</f>
        <v/>
      </c>
      <c r="C49" s="569"/>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9" t="str">
        <f>IF(Main!O41="","",Main!O41)</f>
        <v/>
      </c>
      <c r="K49" s="569"/>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9" t="str">
        <f>IF(Main!O22="","",Main!O22)</f>
        <v/>
      </c>
      <c r="C50" s="569"/>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9" t="str">
        <f>IF(Main!O42="","",Main!O42)</f>
        <v/>
      </c>
      <c r="K50" s="569"/>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9" t="str">
        <f>IF(Main!O23="","",Main!O23)</f>
        <v/>
      </c>
      <c r="C51" s="569"/>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9" t="str">
        <f>IF(Main!O43="","",Main!O43)</f>
        <v/>
      </c>
      <c r="K51" s="569"/>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9" t="str">
        <f>IF(Main!O24="","",Main!O24)</f>
        <v/>
      </c>
      <c r="C52" s="569"/>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9" t="str">
        <f>IF(Main!O44="","",Main!O44)</f>
        <v/>
      </c>
      <c r="K52" s="569"/>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4" t="s">
        <v>242</v>
      </c>
      <c r="C53" s="574"/>
      <c r="D53" s="574"/>
      <c r="E53" s="574"/>
      <c r="F53" s="574"/>
      <c r="G53" s="574"/>
      <c r="H53" s="574"/>
      <c r="I53" s="574"/>
      <c r="J53" s="574"/>
      <c r="K53" s="574"/>
      <c r="L53" s="574"/>
      <c r="M53" s="574"/>
      <c r="N53" s="574"/>
    </row>
    <row r="54" spans="1:21" ht="18" customHeight="1" x14ac:dyDescent="0.25">
      <c r="A54" s="238" t="s">
        <v>243</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6"/>
      <c r="B55" s="583"/>
      <c r="C55" s="583"/>
      <c r="D55" s="583"/>
      <c r="E55" s="583"/>
      <c r="F55" s="583"/>
      <c r="G55" s="583"/>
      <c r="H55" s="583"/>
      <c r="I55" s="583"/>
      <c r="J55" s="583"/>
      <c r="K55" s="583"/>
      <c r="L55" s="583"/>
      <c r="M55" s="583"/>
      <c r="N55" s="583"/>
      <c r="O55" s="583"/>
    </row>
    <row r="56" spans="1:21" ht="18" customHeight="1" x14ac:dyDescent="0.25">
      <c r="A56" s="76"/>
      <c r="B56" s="583"/>
      <c r="C56" s="583"/>
      <c r="D56" s="583"/>
      <c r="E56" s="583"/>
      <c r="F56" s="583"/>
      <c r="G56" s="583"/>
      <c r="H56" s="583"/>
      <c r="I56" s="583"/>
      <c r="J56" s="583"/>
      <c r="K56" s="583"/>
      <c r="L56" s="583"/>
      <c r="M56" s="583"/>
      <c r="N56" s="583"/>
      <c r="O56" s="583"/>
    </row>
    <row r="57" spans="1:21" ht="18" customHeight="1" x14ac:dyDescent="0.25">
      <c r="A57" s="76"/>
      <c r="B57" s="583"/>
      <c r="C57" s="583"/>
      <c r="D57" s="583"/>
      <c r="E57" s="583"/>
      <c r="F57" s="583"/>
      <c r="G57" s="583"/>
      <c r="H57" s="583"/>
      <c r="I57" s="583"/>
      <c r="J57" s="583"/>
      <c r="K57" s="583"/>
      <c r="L57" s="583"/>
      <c r="M57" s="583"/>
      <c r="N57" s="583"/>
      <c r="O57" s="583"/>
    </row>
    <row r="58" spans="1:21" ht="18" customHeight="1" x14ac:dyDescent="0.25">
      <c r="A58" s="76"/>
      <c r="B58" s="583"/>
      <c r="C58" s="583"/>
      <c r="D58" s="583"/>
      <c r="E58" s="583"/>
      <c r="F58" s="583"/>
      <c r="G58" s="583"/>
      <c r="H58" s="583"/>
      <c r="I58" s="583"/>
      <c r="J58" s="583"/>
      <c r="K58" s="583"/>
      <c r="L58" s="583"/>
      <c r="M58" s="583"/>
      <c r="N58" s="583"/>
      <c r="O58" s="583"/>
    </row>
    <row r="59" spans="1:21" ht="18" customHeight="1" x14ac:dyDescent="0.25">
      <c r="A59" s="76"/>
      <c r="B59" s="583"/>
      <c r="C59" s="583"/>
      <c r="D59" s="583"/>
      <c r="E59" s="583"/>
      <c r="F59" s="583"/>
      <c r="G59" s="583"/>
      <c r="H59" s="583"/>
      <c r="I59" s="583"/>
      <c r="J59" s="583"/>
      <c r="K59" s="583"/>
      <c r="L59" s="583"/>
      <c r="M59" s="583"/>
      <c r="N59" s="583"/>
      <c r="O59" s="583"/>
    </row>
    <row r="60" spans="1:21" ht="18" customHeight="1" x14ac:dyDescent="0.2">
      <c r="A60" s="573" t="s">
        <v>251</v>
      </c>
      <c r="B60" s="573"/>
      <c r="C60" s="573"/>
      <c r="D60" s="573"/>
      <c r="E60" s="573"/>
      <c r="F60" s="573"/>
      <c r="G60" s="573"/>
      <c r="H60" s="573"/>
      <c r="I60" s="573"/>
      <c r="J60" s="573"/>
      <c r="K60" s="573"/>
      <c r="L60" s="573"/>
      <c r="M60" s="573"/>
      <c r="N60" s="573"/>
      <c r="O60" s="573"/>
    </row>
    <row r="61" spans="1:21" ht="18" customHeight="1" x14ac:dyDescent="0.2">
      <c r="A61" s="577" t="s">
        <v>244</v>
      </c>
      <c r="B61" s="577"/>
      <c r="C61" s="577"/>
      <c r="D61" s="577"/>
      <c r="E61" s="577"/>
      <c r="F61" s="591" t="s">
        <v>245</v>
      </c>
      <c r="G61" s="591"/>
      <c r="H61" s="591"/>
      <c r="I61" s="591" t="s">
        <v>246</v>
      </c>
      <c r="J61" s="591"/>
      <c r="K61" s="591" t="s">
        <v>247</v>
      </c>
      <c r="L61" s="591"/>
      <c r="M61" s="591" t="s">
        <v>248</v>
      </c>
      <c r="N61" s="591"/>
      <c r="O61" s="591"/>
      <c r="R61" s="37" t="s">
        <v>335</v>
      </c>
      <c r="T61" s="37" t="s">
        <v>336</v>
      </c>
      <c r="U61" s="37"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7" t="s">
        <v>439</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ReUTrX9EQrfLR2V9N6dgrh8qOqNtVDa5bEB59suZw1eXO0Ce8zymO47HuZe4gf6ubYlzuPemC2Tme+64FEzBtg==" saltValue="r9v1aaxkLiZNGiB6Ipww9w=="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MnizLu4a6OQE4eHaDX8CoSefxLh+izf4yIw3NluXG79hsBf7+mC9Bs+pe5dC81V5fqtN4PcusnwGVt6gjmTTmw==" saltValue="5dTAYE2CNfs6RFgphhFHE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1aY74XavQwRNDNLokZeUoPEAdn6Rcnp7KuUE+EMBwQWPxPOzVXQq4djQXQkifsZXfQd7NIAk4iJsSbiARCG82A==" saltValue="zctSi31vqILkxrphw3B5t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6KPwI2gTaF+XRoAa93KoyDa9dsuR3YXmQheiDKo9nzfUwu+ZoF2w7HaqOTn1Wqf/1Q1dAF6QSJzuY0IRFZ3Edg==" saltValue="PV5itpOhDsfTt9xpZGbDs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6xp3MCy52+0SmcZ4fr33kDND9LloWvs/dkZQMsWL3EX3LevDl8cxB+pgRo82lxglhjmP21ciNMMam7Z+PGH0sA==" saltValue="kVCSxxO56o+VyJbs6M9CAQ==" spinCount="100000" sheet="1" objects="1" scenarios="1" selectLockedCells="1" autoFilter="0"/>
  <mergeCells count="2">
    <mergeCell ref="D32:M34"/>
    <mergeCell ref="C37:M40"/>
  </mergeCells>
  <phoneticPr fontId="20"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6" t="s">
        <v>276</v>
      </c>
      <c r="I28" s="616"/>
      <c r="J28" s="616"/>
      <c r="K28" s="616"/>
      <c r="L28" s="616"/>
      <c r="M28" s="616"/>
      <c r="N28" s="616"/>
      <c r="O28" s="616"/>
      <c r="P28" s="616"/>
      <c r="Q28" s="616"/>
      <c r="R28" s="616"/>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24" t="s">
        <v>278</v>
      </c>
      <c r="K29" s="625"/>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17" t="s">
        <v>264</v>
      </c>
      <c r="I30" s="617"/>
      <c r="J30" s="626" t="s">
        <v>309</v>
      </c>
      <c r="K30" s="627"/>
      <c r="L30" s="628"/>
      <c r="M30" s="254"/>
      <c r="O30" s="618" t="s">
        <v>312</v>
      </c>
      <c r="P30" s="619"/>
      <c r="Q30" s="620"/>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41" t="s">
        <v>317</v>
      </c>
      <c r="K31" s="642"/>
      <c r="L31" s="643"/>
      <c r="M31" s="255" t="str">
        <f>IF(Main!S49="","",Main!S49)</f>
        <v>N/A</v>
      </c>
      <c r="O31" s="508" t="s">
        <v>319</v>
      </c>
      <c r="P31" s="509"/>
      <c r="Q31" s="621"/>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32" t="s">
        <v>267</v>
      </c>
      <c r="K32" s="633"/>
      <c r="L32" s="634"/>
      <c r="M32" s="250"/>
      <c r="O32" s="632" t="s">
        <v>267</v>
      </c>
      <c r="P32" s="633"/>
      <c r="Q32" s="634"/>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29" t="s">
        <v>318</v>
      </c>
      <c r="K33" s="630"/>
      <c r="L33" s="631"/>
      <c r="M33" s="249" t="str">
        <f>IF(Main!S51="","",Main!S51)</f>
        <v/>
      </c>
      <c r="O33" s="629" t="s">
        <v>320</v>
      </c>
      <c r="P33" s="630"/>
      <c r="Q33" s="631"/>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32" t="s">
        <v>267</v>
      </c>
      <c r="K34" s="633"/>
      <c r="L34" s="634"/>
      <c r="O34" s="632" t="s">
        <v>267</v>
      </c>
      <c r="P34" s="633"/>
      <c r="Q34" s="634"/>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5" t="s">
        <v>321</v>
      </c>
      <c r="K35" s="636"/>
      <c r="L35" s="637"/>
      <c r="M35" s="257" t="str">
        <f>IF(Main!S53="","",Main!S53)</f>
        <v/>
      </c>
      <c r="O35" s="635" t="s">
        <v>322</v>
      </c>
      <c r="P35" s="636"/>
      <c r="Q35" s="637"/>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8"/>
      <c r="K36" s="639"/>
      <c r="L36" s="640"/>
      <c r="M36" s="253"/>
      <c r="O36" s="638"/>
      <c r="P36" s="639"/>
      <c r="Q36" s="640"/>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ZPkDxMeNfIRWX9ICHzlzFTfn3+jyinDJ58tE7RHquTDtP34zGRR1XN0WD+kvVWu8t5XVhGxr0aaNW2lt9a6SdA==" saltValue="124GyxxQSrnuo6PmDnJhY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QnGptXlykVvKV1pMNhRpbuK+gqXVUUZ/FHVexm/cr8XBUZ7hRyGhTnHEpF12TIT+2IUw9PHPbWwUdSq3kmn20w==" saltValue="rriFYUQrgSxNWrfCloO5y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4" t="s">
        <v>145</v>
      </c>
      <c r="G1" s="581" t="s">
        <v>65</v>
      </c>
      <c r="H1" s="581"/>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28QBKT1FeHnq4cNwoyFjPDKQxDGLkTaEZk19tY78a/AVEsXpBhGxeZ6ENVWIVzuSzZfV9DmH9SzasR/Og1di5Q==" saltValue="zX3DiCza9X/xn1nQzCAtV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2026-03-04T17:48:17Z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