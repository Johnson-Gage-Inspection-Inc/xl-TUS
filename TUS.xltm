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2.xml" ContentType="application/vnd.openxmlformats-officedocument.spreadsheetml.queryTable+xml"/>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DFE9FA02-A38D-48BF-BEE7-E88C0FF2B67D}"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19" hidden="1">DaqbookServiceRecords!$A$1:$B$2</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WireOffsets!$A$1:$C$129</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3"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K3" i="95" s="1"/>
  <c r="J4" i="95"/>
  <c r="K4" i="95" s="1"/>
  <c r="J5" i="95"/>
  <c r="J6" i="95"/>
  <c r="J7" i="95"/>
  <c r="K7" i="95" s="1"/>
  <c r="J8" i="95"/>
  <c r="J9" i="95"/>
  <c r="J10" i="95"/>
  <c r="J11" i="95"/>
  <c r="J12" i="95"/>
  <c r="J13" i="95"/>
  <c r="J14" i="95"/>
  <c r="K14" i="95" s="1"/>
  <c r="J15" i="95"/>
  <c r="K15" i="95" s="1"/>
  <c r="J16" i="95"/>
  <c r="K16" i="95" s="1"/>
  <c r="J17" i="95"/>
  <c r="J18" i="95"/>
  <c r="K18" i="95" s="1"/>
  <c r="J19" i="95"/>
  <c r="K19" i="95" s="1"/>
  <c r="J20" i="95"/>
  <c r="K20" i="95" s="1"/>
  <c r="J21" i="95"/>
  <c r="J22" i="95"/>
  <c r="K22" i="95" s="1"/>
  <c r="J23" i="95"/>
  <c r="K23" i="95" s="1"/>
  <c r="J24" i="95"/>
  <c r="K24" i="95" s="1"/>
  <c r="J25" i="95"/>
  <c r="K25" i="95" s="1"/>
  <c r="J26" i="95"/>
  <c r="J27" i="95"/>
  <c r="K27" i="95" s="1"/>
  <c r="J28" i="95"/>
  <c r="K28" i="95" s="1"/>
  <c r="J29" i="95"/>
  <c r="K29" i="95" s="1"/>
  <c r="J30" i="95"/>
  <c r="K30" i="95" s="1"/>
  <c r="J31" i="95"/>
  <c r="J32" i="95"/>
  <c r="J33" i="95"/>
  <c r="J34" i="95"/>
  <c r="J35" i="95"/>
  <c r="J36" i="95"/>
  <c r="K36" i="95" s="1"/>
  <c r="J37" i="95"/>
  <c r="J38" i="95"/>
  <c r="K38" i="95" s="1"/>
  <c r="J39" i="95"/>
  <c r="K39" i="95" s="1"/>
  <c r="J40" i="95"/>
  <c r="J41" i="95"/>
  <c r="K41" i="95" s="1"/>
  <c r="J42" i="95"/>
  <c r="K42" i="95" s="1"/>
  <c r="J43" i="95"/>
  <c r="K43" i="95" s="1"/>
  <c r="J44" i="95"/>
  <c r="K44" i="95" s="1"/>
  <c r="J45" i="95"/>
  <c r="K45" i="95" s="1"/>
  <c r="J46" i="95"/>
  <c r="K46" i="95" s="1"/>
  <c r="J47" i="95"/>
  <c r="K47" i="95" s="1"/>
  <c r="J48" i="95"/>
  <c r="K48" i="95" s="1"/>
  <c r="J49" i="95"/>
  <c r="J50" i="95"/>
  <c r="K50" i="95" s="1"/>
  <c r="J51" i="95"/>
  <c r="K51" i="95" s="1"/>
  <c r="J52" i="95"/>
  <c r="K52" i="95" s="1"/>
  <c r="J53" i="95"/>
  <c r="J54" i="95"/>
  <c r="K54" i="95" s="1"/>
  <c r="J55" i="95"/>
  <c r="K55" i="95" s="1"/>
  <c r="J56" i="95"/>
  <c r="K56" i="95" s="1"/>
  <c r="J57" i="95"/>
  <c r="K57" i="95" s="1"/>
  <c r="J58" i="95"/>
  <c r="J59" i="95"/>
  <c r="K59" i="95" s="1"/>
  <c r="J60" i="95"/>
  <c r="K60" i="95" s="1"/>
  <c r="J61" i="95"/>
  <c r="K61" i="95" s="1"/>
  <c r="J62" i="95"/>
  <c r="K62" i="95" s="1"/>
  <c r="J63" i="95"/>
  <c r="J64" i="95"/>
  <c r="J65" i="95"/>
  <c r="J66" i="95"/>
  <c r="J67" i="95"/>
  <c r="J68" i="95"/>
  <c r="K68" i="95" s="1"/>
  <c r="J69" i="95"/>
  <c r="J70" i="95"/>
  <c r="J71" i="95"/>
  <c r="J72" i="95"/>
  <c r="J73" i="95"/>
  <c r="J74" i="95"/>
  <c r="J75" i="95"/>
  <c r="J76" i="95"/>
  <c r="J77" i="95"/>
  <c r="J78" i="95"/>
  <c r="K78" i="95" s="1"/>
  <c r="J79" i="95"/>
  <c r="K79" i="95" s="1"/>
  <c r="J80" i="95"/>
  <c r="K80" i="95" s="1"/>
  <c r="J81" i="95"/>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K97" i="95" s="1"/>
  <c r="J98" i="95"/>
  <c r="J99" i="95"/>
  <c r="J100" i="95"/>
  <c r="K100" i="95" s="1"/>
  <c r="J101" i="95"/>
  <c r="J102" i="95"/>
  <c r="J103" i="95"/>
  <c r="J104" i="95"/>
  <c r="J105" i="95"/>
  <c r="J106" i="95"/>
  <c r="K106" i="95" s="1"/>
  <c r="J107" i="95"/>
  <c r="K107" i="95" s="1"/>
  <c r="J108" i="95"/>
  <c r="K108" i="95" s="1"/>
  <c r="J109" i="95"/>
  <c r="J110" i="95"/>
  <c r="K110" i="95" s="1"/>
  <c r="J111" i="95"/>
  <c r="K111" i="95" s="1"/>
  <c r="J112" i="95"/>
  <c r="K112" i="95" s="1"/>
  <c r="J113" i="95"/>
  <c r="J114" i="95"/>
  <c r="J115" i="95"/>
  <c r="J116" i="95"/>
  <c r="J117" i="95"/>
  <c r="J118" i="95"/>
  <c r="J119" i="95"/>
  <c r="K119" i="95" s="1"/>
  <c r="J120" i="95"/>
  <c r="J121" i="95"/>
  <c r="J122" i="95"/>
  <c r="J123" i="95"/>
  <c r="K123" i="95" s="1"/>
  <c r="J124" i="95"/>
  <c r="K124" i="95" s="1"/>
  <c r="J125" i="95"/>
  <c r="K125" i="95" s="1"/>
  <c r="J126" i="95"/>
  <c r="K126" i="95" s="1"/>
  <c r="J127" i="95"/>
  <c r="J128" i="95"/>
  <c r="J129" i="95"/>
  <c r="K129" i="95" s="1"/>
  <c r="J130" i="95"/>
  <c r="J131" i="95"/>
  <c r="K131" i="95" s="1"/>
  <c r="J132" i="95"/>
  <c r="K132" i="95" s="1"/>
  <c r="J133" i="95"/>
  <c r="J134" i="95"/>
  <c r="K134" i="95" s="1"/>
  <c r="J135" i="95"/>
  <c r="K135" i="95" s="1"/>
  <c r="J136" i="95"/>
  <c r="J137" i="95"/>
  <c r="J138" i="95"/>
  <c r="K138" i="95" s="1"/>
  <c r="J139" i="95"/>
  <c r="K139" i="95" s="1"/>
  <c r="J140" i="95"/>
  <c r="K140" i="95" s="1"/>
  <c r="J141" i="95"/>
  <c r="J142" i="95"/>
  <c r="K142" i="95" s="1"/>
  <c r="J143" i="95"/>
  <c r="K143" i="95" s="1"/>
  <c r="J144" i="95"/>
  <c r="K144" i="95" s="1"/>
  <c r="J145" i="95"/>
  <c r="J146" i="95"/>
  <c r="J147" i="95"/>
  <c r="J148" i="95"/>
  <c r="J149" i="95"/>
  <c r="J150" i="95"/>
  <c r="K150" i="95" s="1"/>
  <c r="J151" i="95"/>
  <c r="K151" i="95" s="1"/>
  <c r="J152" i="95"/>
  <c r="K152" i="95" s="1"/>
  <c r="J153" i="95"/>
  <c r="K153" i="95" s="1"/>
  <c r="J154" i="95"/>
  <c r="K154" i="95" s="1"/>
  <c r="J155" i="95"/>
  <c r="K155" i="95" s="1"/>
  <c r="J156" i="95"/>
  <c r="K156" i="95" s="1"/>
  <c r="J157" i="95"/>
  <c r="K157" i="95" s="1"/>
  <c r="J158" i="95"/>
  <c r="K158" i="95" s="1"/>
  <c r="J159" i="95"/>
  <c r="J160" i="95"/>
  <c r="J161" i="95"/>
  <c r="J162" i="95"/>
  <c r="J163" i="95"/>
  <c r="J164" i="95"/>
  <c r="K164" i="95" s="1"/>
  <c r="J165" i="95"/>
  <c r="J166" i="95"/>
  <c r="J167" i="95"/>
  <c r="J168" i="95"/>
  <c r="J169" i="95"/>
  <c r="J170" i="95"/>
  <c r="K170" i="95" s="1"/>
  <c r="J171" i="95"/>
  <c r="K171" i="95" s="1"/>
  <c r="J172" i="95"/>
  <c r="K172" i="95" s="1"/>
  <c r="J173" i="95"/>
  <c r="K173" i="95" s="1"/>
  <c r="J174" i="95"/>
  <c r="K174" i="95" s="1"/>
  <c r="J175" i="95"/>
  <c r="K175" i="95" s="1"/>
  <c r="J176" i="95"/>
  <c r="K176" i="95" s="1"/>
  <c r="J177" i="95"/>
  <c r="J178" i="95"/>
  <c r="K178" i="95" s="1"/>
  <c r="J179" i="95"/>
  <c r="K179" i="95" s="1"/>
  <c r="J180" i="95"/>
  <c r="K180" i="95" s="1"/>
  <c r="J181" i="95"/>
  <c r="J182" i="95"/>
  <c r="K182" i="95" s="1"/>
  <c r="J183" i="95"/>
  <c r="K183" i="95" s="1"/>
  <c r="J184" i="95"/>
  <c r="K184" i="95" s="1"/>
  <c r="J185" i="95"/>
  <c r="K185" i="95" s="1"/>
  <c r="J186" i="95"/>
  <c r="K186" i="95" s="1"/>
  <c r="J187" i="95"/>
  <c r="K187" i="95" s="1"/>
  <c r="J188" i="95"/>
  <c r="K188" i="95" s="1"/>
  <c r="J189" i="95"/>
  <c r="K189" i="95" s="1"/>
  <c r="J190" i="95"/>
  <c r="K190" i="95" s="1"/>
  <c r="J191" i="95"/>
  <c r="J192" i="95"/>
  <c r="J193" i="95"/>
  <c r="J194" i="95"/>
  <c r="J195" i="95"/>
  <c r="J196" i="95"/>
  <c r="K196" i="95" s="1"/>
  <c r="J197" i="95"/>
  <c r="J198" i="95"/>
  <c r="J199" i="95"/>
  <c r="J200" i="95"/>
  <c r="J201" i="95"/>
  <c r="J202" i="95"/>
  <c r="J203" i="95"/>
  <c r="J204" i="95"/>
  <c r="J205" i="95"/>
  <c r="J206" i="95"/>
  <c r="K206" i="95" s="1"/>
  <c r="J207" i="95"/>
  <c r="K207" i="95" s="1"/>
  <c r="J208" i="95"/>
  <c r="K208" i="95" s="1"/>
  <c r="J209" i="95"/>
  <c r="J210" i="95"/>
  <c r="J211" i="95"/>
  <c r="J212" i="95"/>
  <c r="J213" i="95"/>
  <c r="J214" i="95"/>
  <c r="J215" i="95"/>
  <c r="K215" i="95" s="1"/>
  <c r="J216" i="95"/>
  <c r="J217" i="95"/>
  <c r="J218" i="95"/>
  <c r="K218" i="95" s="1"/>
  <c r="J219" i="95"/>
  <c r="K219" i="95" s="1"/>
  <c r="J220" i="95"/>
  <c r="K220" i="95" s="1"/>
  <c r="J221" i="95"/>
  <c r="K221" i="95" s="1"/>
  <c r="J222" i="95"/>
  <c r="J223" i="95"/>
  <c r="K223" i="95" s="1"/>
  <c r="J224" i="95"/>
  <c r="J225" i="95"/>
  <c r="K225" i="95" s="1"/>
  <c r="J226" i="95"/>
  <c r="J227" i="95"/>
  <c r="K227" i="95" s="1"/>
  <c r="J228" i="95"/>
  <c r="K228" i="95" s="1"/>
  <c r="J229" i="95"/>
  <c r="J230" i="95"/>
  <c r="J231" i="95"/>
  <c r="J232" i="95"/>
  <c r="J233" i="95"/>
  <c r="J234" i="95"/>
  <c r="J235" i="95"/>
  <c r="J236" i="95"/>
  <c r="J237" i="95"/>
  <c r="J238" i="95"/>
  <c r="K238" i="95" s="1"/>
  <c r="J239" i="95"/>
  <c r="K239" i="95" s="1"/>
  <c r="J240" i="95"/>
  <c r="K240" i="95" s="1"/>
  <c r="J241" i="95"/>
  <c r="J242" i="95"/>
  <c r="J243" i="95"/>
  <c r="J244" i="95"/>
  <c r="K244" i="95" s="1"/>
  <c r="J245" i="95"/>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K260" i="95" s="1"/>
  <c r="J261" i="95"/>
  <c r="J262" i="95"/>
  <c r="J263" i="95"/>
  <c r="J264" i="95"/>
  <c r="J265" i="95"/>
  <c r="J266" i="95"/>
  <c r="K266" i="95" s="1"/>
  <c r="J267" i="95"/>
  <c r="K267" i="95" s="1"/>
  <c r="J268" i="95"/>
  <c r="K268" i="95" s="1"/>
  <c r="J269" i="95"/>
  <c r="K269" i="95" s="1"/>
  <c r="J270" i="95"/>
  <c r="K270" i="95" s="1"/>
  <c r="J271" i="95"/>
  <c r="K271" i="95" s="1"/>
  <c r="J272" i="95"/>
  <c r="K272" i="95" s="1"/>
  <c r="J273" i="95"/>
  <c r="J274" i="95"/>
  <c r="K274" i="95" s="1"/>
  <c r="J275" i="95"/>
  <c r="K275" i="95" s="1"/>
  <c r="J276" i="95"/>
  <c r="K276" i="95" s="1"/>
  <c r="J277" i="95"/>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J290" i="95"/>
  <c r="J291" i="95"/>
  <c r="J292" i="95"/>
  <c r="K292" i="95" s="1"/>
  <c r="J293" i="95"/>
  <c r="J294" i="95"/>
  <c r="J295" i="95"/>
  <c r="J296" i="95"/>
  <c r="J297" i="95"/>
  <c r="J298" i="95"/>
  <c r="J299" i="95"/>
  <c r="J300" i="95"/>
  <c r="J301" i="95"/>
  <c r="J302" i="95"/>
  <c r="K302" i="95" s="1"/>
  <c r="J303" i="95"/>
  <c r="K303" i="95" s="1"/>
  <c r="J304" i="95"/>
  <c r="K304" i="95" s="1"/>
  <c r="J305" i="95"/>
  <c r="J306" i="95"/>
  <c r="J307" i="95"/>
  <c r="J308" i="95"/>
  <c r="J309" i="95"/>
  <c r="J310" i="95"/>
  <c r="K310" i="95" s="1"/>
  <c r="J311" i="95"/>
  <c r="K311" i="95" s="1"/>
  <c r="J312" i="95"/>
  <c r="K312" i="95" s="1"/>
  <c r="J313" i="95"/>
  <c r="K313" i="95" s="1"/>
  <c r="J314" i="95"/>
  <c r="K314" i="95" s="1"/>
  <c r="J315" i="95"/>
  <c r="K315" i="95" s="1"/>
  <c r="J316" i="95"/>
  <c r="K316" i="95" s="1"/>
  <c r="J317" i="95"/>
  <c r="K317" i="95" s="1"/>
  <c r="J318" i="95"/>
  <c r="J319" i="95"/>
  <c r="J320" i="95"/>
  <c r="J321" i="95"/>
  <c r="J322" i="95"/>
  <c r="J323" i="95"/>
  <c r="K323" i="95" s="1"/>
  <c r="J324" i="95"/>
  <c r="J325" i="95"/>
  <c r="J326" i="95"/>
  <c r="J327" i="95"/>
  <c r="J328" i="95"/>
  <c r="J329" i="95"/>
  <c r="J330" i="95"/>
  <c r="J331" i="95"/>
  <c r="J332" i="95"/>
  <c r="J333" i="95"/>
  <c r="J334" i="95"/>
  <c r="K334" i="95" s="1"/>
  <c r="J335" i="95"/>
  <c r="K335" i="95" s="1"/>
  <c r="J336" i="95"/>
  <c r="K336" i="95" s="1"/>
  <c r="J337" i="95"/>
  <c r="J338" i="95"/>
  <c r="J339" i="95"/>
  <c r="J340" i="95"/>
  <c r="K340" i="95" s="1"/>
  <c r="J341" i="95"/>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J355" i="95"/>
  <c r="J356" i="95"/>
  <c r="K356" i="95" s="1"/>
  <c r="J357" i="95"/>
  <c r="J358" i="95"/>
  <c r="J359" i="95"/>
  <c r="J360" i="95"/>
  <c r="K360" i="95" s="1"/>
  <c r="J361" i="95"/>
  <c r="K361" i="95" s="1"/>
  <c r="J362" i="95"/>
  <c r="K362" i="95" s="1"/>
  <c r="J363" i="95"/>
  <c r="K363" i="95" s="1"/>
  <c r="J364" i="95"/>
  <c r="K364" i="95" s="1"/>
  <c r="J365" i="95"/>
  <c r="K365" i="95" s="1"/>
  <c r="J366" i="95"/>
  <c r="K366" i="95" s="1"/>
  <c r="J367" i="95"/>
  <c r="K367" i="95" s="1"/>
  <c r="J368" i="95"/>
  <c r="K368" i="95" s="1"/>
  <c r="J369" i="95"/>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K388" i="95" s="1"/>
  <c r="J389" i="95"/>
  <c r="J390" i="95"/>
  <c r="J391" i="95"/>
  <c r="J392" i="95"/>
  <c r="J393" i="95"/>
  <c r="J394" i="95"/>
  <c r="J395" i="95"/>
  <c r="J396" i="95"/>
  <c r="J397" i="95"/>
  <c r="J398" i="95"/>
  <c r="K398" i="95" s="1"/>
  <c r="J399" i="95"/>
  <c r="K399" i="95" s="1"/>
  <c r="J400" i="95"/>
  <c r="K400" i="95" s="1"/>
  <c r="J401" i="95"/>
  <c r="J402" i="95"/>
  <c r="J403" i="95"/>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K419" i="95" s="1"/>
  <c r="J420" i="95"/>
  <c r="K420" i="95" s="1"/>
  <c r="K2" i="95"/>
  <c r="K5" i="95"/>
  <c r="K6" i="95"/>
  <c r="K8" i="95"/>
  <c r="K9" i="95"/>
  <c r="K10" i="95"/>
  <c r="K11" i="95"/>
  <c r="K12" i="95"/>
  <c r="K13" i="95"/>
  <c r="K17" i="95"/>
  <c r="K21" i="95"/>
  <c r="K26" i="95"/>
  <c r="K31" i="95"/>
  <c r="K32" i="95"/>
  <c r="K33" i="95"/>
  <c r="K34" i="95"/>
  <c r="K35" i="95"/>
  <c r="K37" i="95"/>
  <c r="K40" i="95"/>
  <c r="K49" i="95"/>
  <c r="K53" i="95"/>
  <c r="K58" i="95"/>
  <c r="K63" i="95"/>
  <c r="K64" i="95"/>
  <c r="K65" i="95"/>
  <c r="K66" i="95"/>
  <c r="K67" i="95"/>
  <c r="K69" i="95"/>
  <c r="K70" i="95"/>
  <c r="K71" i="95"/>
  <c r="K72" i="95"/>
  <c r="K73" i="95"/>
  <c r="K74" i="95"/>
  <c r="K75" i="95"/>
  <c r="K76" i="95"/>
  <c r="K77" i="95"/>
  <c r="K81" i="95"/>
  <c r="K95" i="95"/>
  <c r="K96" i="95"/>
  <c r="K98" i="95"/>
  <c r="K99" i="95"/>
  <c r="K101" i="95"/>
  <c r="K102" i="95"/>
  <c r="K103" i="95"/>
  <c r="K104" i="95"/>
  <c r="K105" i="95"/>
  <c r="K109" i="95"/>
  <c r="K113" i="95"/>
  <c r="K114" i="95"/>
  <c r="K115" i="95"/>
  <c r="K116" i="95"/>
  <c r="K117" i="95"/>
  <c r="K118" i="95"/>
  <c r="K120" i="95"/>
  <c r="K121" i="95"/>
  <c r="K122" i="95"/>
  <c r="K127" i="95"/>
  <c r="K128" i="95"/>
  <c r="K130" i="95"/>
  <c r="K133" i="95"/>
  <c r="K136" i="95"/>
  <c r="K137" i="95"/>
  <c r="K141" i="95"/>
  <c r="K145" i="95"/>
  <c r="K146" i="95"/>
  <c r="K147" i="95"/>
  <c r="K148" i="95"/>
  <c r="K149" i="95"/>
  <c r="K159" i="95"/>
  <c r="K160" i="95"/>
  <c r="K161" i="95"/>
  <c r="K162" i="95"/>
  <c r="K163" i="95"/>
  <c r="K165" i="95"/>
  <c r="K166" i="95"/>
  <c r="K167" i="95"/>
  <c r="K168" i="95"/>
  <c r="K169" i="95"/>
  <c r="K177" i="95"/>
  <c r="K181" i="95"/>
  <c r="K191" i="95"/>
  <c r="K192" i="95"/>
  <c r="K193" i="95"/>
  <c r="K194" i="95"/>
  <c r="K195" i="95"/>
  <c r="K197" i="95"/>
  <c r="K198" i="95"/>
  <c r="K199" i="95"/>
  <c r="K200" i="95"/>
  <c r="K201" i="95"/>
  <c r="K202" i="95"/>
  <c r="K203" i="95"/>
  <c r="K204" i="95"/>
  <c r="K205" i="95"/>
  <c r="K212" i="95"/>
  <c r="K213" i="95"/>
  <c r="K214" i="95"/>
  <c r="K216" i="95"/>
  <c r="K217" i="95"/>
  <c r="K224" i="95"/>
  <c r="K226" i="95"/>
  <c r="K229" i="95"/>
  <c r="K230" i="95"/>
  <c r="K231" i="95"/>
  <c r="K232" i="95"/>
  <c r="K233" i="95"/>
  <c r="K234" i="95"/>
  <c r="K235" i="95"/>
  <c r="K236" i="95"/>
  <c r="K237" i="95"/>
  <c r="K241" i="95"/>
  <c r="K242" i="95"/>
  <c r="K243" i="95"/>
  <c r="K245" i="95"/>
  <c r="K255" i="95"/>
  <c r="K257" i="95"/>
  <c r="K258" i="95"/>
  <c r="K259" i="95"/>
  <c r="K261" i="95"/>
  <c r="K262" i="95"/>
  <c r="K263" i="95"/>
  <c r="K264" i="95"/>
  <c r="K265" i="95"/>
  <c r="K273" i="95"/>
  <c r="K277" i="95"/>
  <c r="K287" i="95"/>
  <c r="K288" i="95"/>
  <c r="K289" i="95"/>
  <c r="K290" i="95"/>
  <c r="K291" i="95"/>
  <c r="K293" i="95"/>
  <c r="K294" i="95"/>
  <c r="K295" i="95"/>
  <c r="K296" i="95"/>
  <c r="K297" i="95"/>
  <c r="K298" i="95"/>
  <c r="K299" i="95"/>
  <c r="K300" i="95"/>
  <c r="K301" i="95"/>
  <c r="K305" i="95"/>
  <c r="K306" i="95"/>
  <c r="K307" i="95"/>
  <c r="K308" i="95"/>
  <c r="K309" i="95"/>
  <c r="K322" i="95"/>
  <c r="K325" i="95"/>
  <c r="K326" i="95"/>
  <c r="K327" i="95"/>
  <c r="K328" i="95"/>
  <c r="K329" i="95"/>
  <c r="K330" i="95"/>
  <c r="K331" i="95"/>
  <c r="K332" i="95"/>
  <c r="K333" i="95"/>
  <c r="K337" i="95"/>
  <c r="K338" i="95"/>
  <c r="K339" i="95"/>
  <c r="K341" i="95"/>
  <c r="K351" i="95"/>
  <c r="K352" i="95"/>
  <c r="K353" i="95"/>
  <c r="K354" i="95"/>
  <c r="K355" i="95"/>
  <c r="K357" i="95"/>
  <c r="K358" i="95"/>
  <c r="K359" i="95"/>
  <c r="K369" i="95"/>
  <c r="K383" i="95"/>
  <c r="K384" i="95"/>
  <c r="K385" i="95"/>
  <c r="K386" i="95"/>
  <c r="K387" i="95"/>
  <c r="K389" i="95"/>
  <c r="K390" i="95"/>
  <c r="K391" i="95"/>
  <c r="K392" i="95"/>
  <c r="K393" i="95"/>
  <c r="K394" i="95"/>
  <c r="K395" i="95"/>
  <c r="K396" i="95"/>
  <c r="K397" i="95"/>
  <c r="K401" i="95"/>
  <c r="K402" i="95"/>
  <c r="K403" i="95"/>
  <c r="K415" i="95"/>
  <c r="K416" i="95"/>
  <c r="K417" i="95"/>
  <c r="K418" i="95"/>
  <c r="L2" i="95"/>
  <c r="L3" i="95"/>
  <c r="L4" i="95"/>
  <c r="L5" i="95"/>
  <c r="L6" i="95"/>
  <c r="M6" i="95" s="1"/>
  <c r="L7" i="95"/>
  <c r="M7" i="95" s="1"/>
  <c r="L8" i="95"/>
  <c r="M8" i="95" s="1"/>
  <c r="L9" i="95"/>
  <c r="M9" i="95" s="1"/>
  <c r="L10" i="95"/>
  <c r="M10" i="95" s="1"/>
  <c r="L11" i="95"/>
  <c r="L12" i="95"/>
  <c r="L13" i="95"/>
  <c r="L14" i="95"/>
  <c r="L15" i="95"/>
  <c r="L16" i="95"/>
  <c r="L17" i="95"/>
  <c r="M17" i="95" s="1"/>
  <c r="L18" i="95"/>
  <c r="L19" i="95"/>
  <c r="M19" i="95" s="1"/>
  <c r="L20" i="95"/>
  <c r="M20" i="95" s="1"/>
  <c r="L21" i="95"/>
  <c r="M21" i="95" s="1"/>
  <c r="L22" i="95"/>
  <c r="M22" i="95" s="1"/>
  <c r="L23" i="95"/>
  <c r="M23" i="95" s="1"/>
  <c r="L24" i="95"/>
  <c r="M24" i="95" s="1"/>
  <c r="L25" i="95"/>
  <c r="L26" i="95"/>
  <c r="L27" i="95"/>
  <c r="L28" i="95"/>
  <c r="L29" i="95"/>
  <c r="M29" i="95" s="1"/>
  <c r="L30" i="95"/>
  <c r="M30" i="95" s="1"/>
  <c r="L31" i="95"/>
  <c r="M31" i="95" s="1"/>
  <c r="L32" i="95"/>
  <c r="M32" i="95" s="1"/>
  <c r="L33" i="95"/>
  <c r="L34" i="95"/>
  <c r="M34" i="95" s="1"/>
  <c r="L35" i="95"/>
  <c r="M35" i="95" s="1"/>
  <c r="L36" i="95"/>
  <c r="M36" i="95" s="1"/>
  <c r="L37" i="95"/>
  <c r="M37" i="95" s="1"/>
  <c r="L38" i="95"/>
  <c r="M38" i="95" s="1"/>
  <c r="L39" i="95"/>
  <c r="M39" i="95" s="1"/>
  <c r="L40" i="95"/>
  <c r="M40" i="95" s="1"/>
  <c r="L41" i="95"/>
  <c r="M41" i="95" s="1"/>
  <c r="L42" i="95"/>
  <c r="M42" i="95" s="1"/>
  <c r="L43" i="95"/>
  <c r="M43" i="95" s="1"/>
  <c r="L44" i="95"/>
  <c r="M44" i="95" s="1"/>
  <c r="L45" i="95"/>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L58" i="95"/>
  <c r="L59" i="95"/>
  <c r="L60" i="95"/>
  <c r="L61" i="95"/>
  <c r="L62" i="95"/>
  <c r="M62" i="95" s="1"/>
  <c r="L63" i="95"/>
  <c r="L64" i="95"/>
  <c r="L65" i="95"/>
  <c r="L66" i="95"/>
  <c r="L67" i="95"/>
  <c r="L68" i="95"/>
  <c r="L69" i="95"/>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M81" i="95" s="1"/>
  <c r="L82" i="95"/>
  <c r="M82" i="95" s="1"/>
  <c r="L83" i="95"/>
  <c r="M83" i="95" s="1"/>
  <c r="L84" i="95"/>
  <c r="M84" i="95" s="1"/>
  <c r="L85" i="95"/>
  <c r="M85" i="95" s="1"/>
  <c r="L86" i="95"/>
  <c r="M86" i="95" s="1"/>
  <c r="L87" i="95"/>
  <c r="M87" i="95" s="1"/>
  <c r="L88" i="95"/>
  <c r="M88" i="95" s="1"/>
  <c r="L89" i="95"/>
  <c r="L90" i="95"/>
  <c r="L91" i="95"/>
  <c r="L92" i="95"/>
  <c r="L93" i="95"/>
  <c r="L94" i="95"/>
  <c r="M94" i="95" s="1"/>
  <c r="L95" i="95"/>
  <c r="L96" i="95"/>
  <c r="L97" i="95"/>
  <c r="L98" i="95"/>
  <c r="M98" i="95" s="1"/>
  <c r="L99" i="95"/>
  <c r="M99" i="95" s="1"/>
  <c r="L100" i="95"/>
  <c r="L101" i="95"/>
  <c r="M101" i="95" s="1"/>
  <c r="L102" i="95"/>
  <c r="L103" i="95"/>
  <c r="L104" i="95"/>
  <c r="M104" i="95" s="1"/>
  <c r="L105" i="95"/>
  <c r="M105" i="95" s="1"/>
  <c r="L106" i="95"/>
  <c r="M106" i="95" s="1"/>
  <c r="L107" i="95"/>
  <c r="L108" i="95"/>
  <c r="L109" i="95"/>
  <c r="L110" i="95"/>
  <c r="L111" i="95"/>
  <c r="L112" i="95"/>
  <c r="L113" i="95"/>
  <c r="M113" i="95" s="1"/>
  <c r="L114" i="95"/>
  <c r="L115" i="95"/>
  <c r="M115" i="95" s="1"/>
  <c r="L116" i="95"/>
  <c r="M116" i="95" s="1"/>
  <c r="L117" i="95"/>
  <c r="M117" i="95" s="1"/>
  <c r="L118" i="95"/>
  <c r="M118" i="95" s="1"/>
  <c r="L119" i="95"/>
  <c r="M119" i="95" s="1"/>
  <c r="L120" i="95"/>
  <c r="M120" i="95" s="1"/>
  <c r="L121" i="95"/>
  <c r="L122" i="95"/>
  <c r="L123" i="95"/>
  <c r="L124" i="95"/>
  <c r="L125" i="95"/>
  <c r="L126" i="95"/>
  <c r="M126" i="95" s="1"/>
  <c r="L127" i="95"/>
  <c r="M127" i="95" s="1"/>
  <c r="L128" i="95"/>
  <c r="L129" i="95"/>
  <c r="L130" i="95"/>
  <c r="M130" i="95" s="1"/>
  <c r="L131" i="95"/>
  <c r="M131" i="95" s="1"/>
  <c r="L132" i="95"/>
  <c r="M132" i="95" s="1"/>
  <c r="L133" i="95"/>
  <c r="M133" i="95" s="1"/>
  <c r="L134" i="95"/>
  <c r="M134" i="95" s="1"/>
  <c r="L135" i="95"/>
  <c r="M135" i="95" s="1"/>
  <c r="L136" i="95"/>
  <c r="M136" i="95" s="1"/>
  <c r="L137" i="95"/>
  <c r="M137" i="95" s="1"/>
  <c r="L138" i="95"/>
  <c r="M138" i="95" s="1"/>
  <c r="L139" i="95"/>
  <c r="L140" i="95"/>
  <c r="L141" i="95"/>
  <c r="M141" i="95" s="1"/>
  <c r="L142" i="95"/>
  <c r="M142" i="95" s="1"/>
  <c r="L143" i="95"/>
  <c r="M143" i="95" s="1"/>
  <c r="L144" i="95"/>
  <c r="M144" i="95" s="1"/>
  <c r="L145" i="95"/>
  <c r="M145" i="95" s="1"/>
  <c r="L146" i="95"/>
  <c r="M146" i="95" s="1"/>
  <c r="L147" i="95"/>
  <c r="M147" i="95" s="1"/>
  <c r="L148" i="95"/>
  <c r="M148" i="95" s="1"/>
  <c r="L149" i="95"/>
  <c r="M149" i="95" s="1"/>
  <c r="L150" i="95"/>
  <c r="M150" i="95" s="1"/>
  <c r="L151" i="95"/>
  <c r="M151" i="95" s="1"/>
  <c r="L152" i="95"/>
  <c r="M152" i="95" s="1"/>
  <c r="L153" i="95"/>
  <c r="L154" i="95"/>
  <c r="L155" i="95"/>
  <c r="L156" i="95"/>
  <c r="L157" i="95"/>
  <c r="L158" i="95"/>
  <c r="M158" i="95" s="1"/>
  <c r="L159" i="95"/>
  <c r="L160" i="95"/>
  <c r="L161" i="95"/>
  <c r="M161" i="95" s="1"/>
  <c r="L162" i="95"/>
  <c r="M162" i="95" s="1"/>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M173" i="95" s="1"/>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L186" i="95"/>
  <c r="L187" i="95"/>
  <c r="L188" i="95"/>
  <c r="L189" i="95"/>
  <c r="L190" i="95"/>
  <c r="M190" i="95" s="1"/>
  <c r="L191" i="95"/>
  <c r="L192" i="95"/>
  <c r="L193" i="95"/>
  <c r="L194" i="95"/>
  <c r="L195" i="95"/>
  <c r="L196" i="95"/>
  <c r="L197" i="95"/>
  <c r="L198" i="95"/>
  <c r="L199" i="95"/>
  <c r="L200" i="95"/>
  <c r="M200" i="95" s="1"/>
  <c r="L201" i="95"/>
  <c r="M201" i="95" s="1"/>
  <c r="L202" i="95"/>
  <c r="M202" i="95" s="1"/>
  <c r="L203" i="95"/>
  <c r="L204" i="95"/>
  <c r="L205" i="95"/>
  <c r="M205" i="95" s="1"/>
  <c r="L206" i="95"/>
  <c r="M206" i="95" s="1"/>
  <c r="L207" i="95"/>
  <c r="M207" i="95" s="1"/>
  <c r="L208" i="95"/>
  <c r="M208" i="95" s="1"/>
  <c r="L209" i="95"/>
  <c r="M209" i="95" s="1"/>
  <c r="L210" i="95"/>
  <c r="M210" i="95" s="1"/>
  <c r="L211" i="95"/>
  <c r="M211" i="95" s="1"/>
  <c r="L212" i="95"/>
  <c r="M212" i="95" s="1"/>
  <c r="L213" i="95"/>
  <c r="M213" i="95" s="1"/>
  <c r="L214" i="95"/>
  <c r="M214" i="95" s="1"/>
  <c r="L215" i="95"/>
  <c r="M215" i="95" s="1"/>
  <c r="L216" i="95"/>
  <c r="M216" i="95" s="1"/>
  <c r="L217" i="95"/>
  <c r="L218" i="95"/>
  <c r="L219" i="95"/>
  <c r="L220" i="95"/>
  <c r="L221" i="95"/>
  <c r="L222" i="95"/>
  <c r="M222" i="95" s="1"/>
  <c r="L223" i="95"/>
  <c r="L224" i="95"/>
  <c r="L225" i="95"/>
  <c r="L226" i="95"/>
  <c r="L227" i="95"/>
  <c r="L228" i="95"/>
  <c r="L229" i="95"/>
  <c r="M229" i="95" s="1"/>
  <c r="L230" i="95"/>
  <c r="M230" i="95" s="1"/>
  <c r="L231" i="95"/>
  <c r="M231" i="95" s="1"/>
  <c r="L232" i="95"/>
  <c r="M232" i="95" s="1"/>
  <c r="L233" i="95"/>
  <c r="M233" i="95" s="1"/>
  <c r="L234" i="95"/>
  <c r="M234" i="95" s="1"/>
  <c r="L235" i="95"/>
  <c r="L236" i="95"/>
  <c r="M236" i="95" s="1"/>
  <c r="L237" i="95"/>
  <c r="L238" i="95"/>
  <c r="L239" i="95"/>
  <c r="L240" i="95"/>
  <c r="L241" i="95"/>
  <c r="M241" i="95" s="1"/>
  <c r="L242" i="95"/>
  <c r="L243" i="95"/>
  <c r="M243" i="95" s="1"/>
  <c r="L244" i="95"/>
  <c r="L245" i="95"/>
  <c r="M245" i="95" s="1"/>
  <c r="L246" i="95"/>
  <c r="M246" i="95" s="1"/>
  <c r="L247" i="95"/>
  <c r="M247" i="95" s="1"/>
  <c r="L248" i="95"/>
  <c r="M248" i="95" s="1"/>
  <c r="L249" i="95"/>
  <c r="L250" i="95"/>
  <c r="L251" i="95"/>
  <c r="M251" i="95" s="1"/>
  <c r="L252" i="95"/>
  <c r="L253" i="95"/>
  <c r="L254" i="95"/>
  <c r="M254" i="95" s="1"/>
  <c r="L255" i="95"/>
  <c r="M255" i="95" s="1"/>
  <c r="L256" i="95"/>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L268" i="95"/>
  <c r="L269" i="95"/>
  <c r="L270" i="95"/>
  <c r="L271" i="95"/>
  <c r="M271" i="95" s="1"/>
  <c r="L272" i="95"/>
  <c r="M272" i="95" s="1"/>
  <c r="L273" i="95"/>
  <c r="M273" i="95" s="1"/>
  <c r="L274" i="95"/>
  <c r="M274" i="95" s="1"/>
  <c r="L275" i="95"/>
  <c r="M275" i="95" s="1"/>
  <c r="L276" i="95"/>
  <c r="M276" i="95" s="1"/>
  <c r="L277" i="95"/>
  <c r="M277" i="95" s="1"/>
  <c r="L278" i="95"/>
  <c r="M278" i="95" s="1"/>
  <c r="L279" i="95"/>
  <c r="M279" i="95" s="1"/>
  <c r="L280" i="95"/>
  <c r="M280" i="95" s="1"/>
  <c r="L281" i="95"/>
  <c r="L282" i="95"/>
  <c r="L283" i="95"/>
  <c r="L284" i="95"/>
  <c r="L285" i="95"/>
  <c r="L286" i="95"/>
  <c r="M286" i="95" s="1"/>
  <c r="L287" i="95"/>
  <c r="L288" i="95"/>
  <c r="L289" i="95"/>
  <c r="L290" i="95"/>
  <c r="L291" i="95"/>
  <c r="L292" i="95"/>
  <c r="L293" i="95"/>
  <c r="M293" i="95" s="1"/>
  <c r="L294" i="95"/>
  <c r="M294" i="95" s="1"/>
  <c r="L295" i="95"/>
  <c r="M295" i="95" s="1"/>
  <c r="L296" i="95"/>
  <c r="M296" i="95" s="1"/>
  <c r="L297" i="95"/>
  <c r="M297" i="95" s="1"/>
  <c r="L298" i="95"/>
  <c r="M298" i="95" s="1"/>
  <c r="L299" i="95"/>
  <c r="M299" i="95" s="1"/>
  <c r="L300" i="95"/>
  <c r="M300" i="95" s="1"/>
  <c r="L301" i="95"/>
  <c r="M301" i="95" s="1"/>
  <c r="L302" i="95"/>
  <c r="M302" i="95" s="1"/>
  <c r="L303" i="95"/>
  <c r="M303" i="95" s="1"/>
  <c r="L304" i="95"/>
  <c r="M304" i="95" s="1"/>
  <c r="L305" i="95"/>
  <c r="M305" i="95" s="1"/>
  <c r="L306" i="95"/>
  <c r="M306" i="95" s="1"/>
  <c r="L307" i="95"/>
  <c r="M307" i="95" s="1"/>
  <c r="L308" i="95"/>
  <c r="M308" i="95" s="1"/>
  <c r="L309" i="95"/>
  <c r="M309" i="95" s="1"/>
  <c r="L310" i="95"/>
  <c r="M310" i="95" s="1"/>
  <c r="L311" i="95"/>
  <c r="M311" i="95" s="1"/>
  <c r="L312" i="95"/>
  <c r="M312" i="95" s="1"/>
  <c r="L313" i="95"/>
  <c r="L314" i="95"/>
  <c r="L315" i="95"/>
  <c r="L316" i="95"/>
  <c r="L317" i="95"/>
  <c r="L318" i="95"/>
  <c r="M318" i="95" s="1"/>
  <c r="L319" i="95"/>
  <c r="L320" i="95"/>
  <c r="L321" i="95"/>
  <c r="L322" i="95"/>
  <c r="L323" i="95"/>
  <c r="L324" i="95"/>
  <c r="M324" i="95" s="1"/>
  <c r="L325" i="95"/>
  <c r="L326" i="95"/>
  <c r="L327" i="95"/>
  <c r="L328" i="95"/>
  <c r="M328" i="95" s="1"/>
  <c r="L329" i="95"/>
  <c r="M329" i="95" s="1"/>
  <c r="L330" i="95"/>
  <c r="M330" i="95" s="1"/>
  <c r="L331" i="95"/>
  <c r="L332" i="95"/>
  <c r="L333" i="95"/>
  <c r="L334" i="95"/>
  <c r="L335" i="95"/>
  <c r="L336" i="95"/>
  <c r="L337" i="95"/>
  <c r="M337" i="95" s="1"/>
  <c r="L338" i="95"/>
  <c r="M338" i="95" s="1"/>
  <c r="L339" i="95"/>
  <c r="M339" i="95" s="1"/>
  <c r="L340" i="95"/>
  <c r="M340" i="95" s="1"/>
  <c r="L341" i="95"/>
  <c r="M341" i="95" s="1"/>
  <c r="L342" i="95"/>
  <c r="M342" i="95" s="1"/>
  <c r="L343" i="95"/>
  <c r="M343" i="95" s="1"/>
  <c r="L344" i="95"/>
  <c r="M344" i="95" s="1"/>
  <c r="L345" i="95"/>
  <c r="M345" i="95" s="1"/>
  <c r="L346" i="95"/>
  <c r="L347" i="95"/>
  <c r="M347" i="95" s="1"/>
  <c r="L348" i="95"/>
  <c r="L349" i="95"/>
  <c r="L350" i="95"/>
  <c r="M350" i="95" s="1"/>
  <c r="L351" i="95"/>
  <c r="L352" i="95"/>
  <c r="L353" i="95"/>
  <c r="L354" i="95"/>
  <c r="L355" i="95"/>
  <c r="L356" i="95"/>
  <c r="L357" i="95"/>
  <c r="L358" i="95"/>
  <c r="L359" i="95"/>
  <c r="L360" i="95"/>
  <c r="M360" i="95" s="1"/>
  <c r="L361" i="95"/>
  <c r="M361" i="95" s="1"/>
  <c r="L362" i="95"/>
  <c r="M362" i="95" s="1"/>
  <c r="L363" i="95"/>
  <c r="L364" i="95"/>
  <c r="M364" i="95" s="1"/>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L378" i="95"/>
  <c r="L379" i="95"/>
  <c r="L380" i="95"/>
  <c r="L381" i="95"/>
  <c r="L382" i="95"/>
  <c r="M382" i="95" s="1"/>
  <c r="L383" i="95"/>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L410" i="95"/>
  <c r="L411" i="95"/>
  <c r="L412" i="95"/>
  <c r="L413" i="95"/>
  <c r="L414" i="95"/>
  <c r="M414" i="95" s="1"/>
  <c r="L415" i="95"/>
  <c r="L416" i="95"/>
  <c r="L417" i="95"/>
  <c r="L418" i="95"/>
  <c r="L419" i="95"/>
  <c r="L420" i="95"/>
  <c r="M2" i="95"/>
  <c r="M3" i="95"/>
  <c r="M4" i="95"/>
  <c r="M5" i="95"/>
  <c r="M11" i="95"/>
  <c r="M12" i="95"/>
  <c r="M13" i="95"/>
  <c r="M14" i="95"/>
  <c r="M15" i="95"/>
  <c r="M16" i="95"/>
  <c r="M18" i="95"/>
  <c r="M25" i="95"/>
  <c r="M26" i="95"/>
  <c r="M27" i="95"/>
  <c r="M28" i="95"/>
  <c r="M33" i="95"/>
  <c r="M45" i="95"/>
  <c r="M57" i="95"/>
  <c r="M58" i="95"/>
  <c r="M59" i="95"/>
  <c r="M60" i="95"/>
  <c r="M61" i="95"/>
  <c r="M63" i="95"/>
  <c r="M64" i="95"/>
  <c r="M65" i="95"/>
  <c r="M66" i="95"/>
  <c r="M67" i="95"/>
  <c r="M68" i="95"/>
  <c r="M69" i="95"/>
  <c r="M89" i="95"/>
  <c r="M90" i="95"/>
  <c r="M91" i="95"/>
  <c r="M92" i="95"/>
  <c r="M93" i="95"/>
  <c r="M95" i="95"/>
  <c r="M96" i="95"/>
  <c r="M97" i="95"/>
  <c r="M100" i="95"/>
  <c r="M102" i="95"/>
  <c r="M103" i="95"/>
  <c r="M107" i="95"/>
  <c r="M108" i="95"/>
  <c r="M109" i="95"/>
  <c r="M110" i="95"/>
  <c r="M111" i="95"/>
  <c r="M112" i="95"/>
  <c r="M114" i="95"/>
  <c r="M121" i="95"/>
  <c r="M122" i="95"/>
  <c r="M123" i="95"/>
  <c r="M124" i="95"/>
  <c r="M125" i="95"/>
  <c r="M128" i="95"/>
  <c r="M129" i="95"/>
  <c r="M139" i="95"/>
  <c r="M140" i="95"/>
  <c r="M153" i="95"/>
  <c r="M154" i="95"/>
  <c r="M155" i="95"/>
  <c r="M156" i="95"/>
  <c r="M157" i="95"/>
  <c r="M159" i="95"/>
  <c r="M160" i="95"/>
  <c r="M185" i="95"/>
  <c r="M186" i="95"/>
  <c r="M187" i="95"/>
  <c r="M188" i="95"/>
  <c r="M189" i="95"/>
  <c r="M191" i="95"/>
  <c r="M192" i="95"/>
  <c r="M193" i="95"/>
  <c r="M194" i="95"/>
  <c r="M195" i="95"/>
  <c r="M196" i="95"/>
  <c r="M197" i="95"/>
  <c r="M198" i="95"/>
  <c r="M199" i="95"/>
  <c r="M203" i="95"/>
  <c r="M204" i="95"/>
  <c r="M217" i="95"/>
  <c r="M218" i="95"/>
  <c r="M219" i="95"/>
  <c r="M220" i="95"/>
  <c r="M221" i="95"/>
  <c r="M223" i="95"/>
  <c r="M224" i="95"/>
  <c r="M225" i="95"/>
  <c r="M226" i="95"/>
  <c r="M227" i="95"/>
  <c r="M228" i="95"/>
  <c r="M235" i="95"/>
  <c r="M237" i="95"/>
  <c r="M238" i="95"/>
  <c r="M239" i="95"/>
  <c r="M240" i="95"/>
  <c r="M242" i="95"/>
  <c r="M244" i="95"/>
  <c r="M249" i="95"/>
  <c r="M250" i="95"/>
  <c r="M252" i="95"/>
  <c r="M253" i="95"/>
  <c r="M256" i="95"/>
  <c r="M267" i="95"/>
  <c r="M268" i="95"/>
  <c r="M269" i="95"/>
  <c r="M270" i="95"/>
  <c r="M281" i="95"/>
  <c r="M282" i="95"/>
  <c r="M283" i="95"/>
  <c r="M284" i="95"/>
  <c r="M285" i="95"/>
  <c r="M287" i="95"/>
  <c r="M288" i="95"/>
  <c r="M289" i="95"/>
  <c r="M290" i="95"/>
  <c r="M291" i="95"/>
  <c r="M292" i="95"/>
  <c r="M313" i="95"/>
  <c r="M314" i="95"/>
  <c r="M315" i="95"/>
  <c r="M316" i="95"/>
  <c r="M317" i="95"/>
  <c r="M319" i="95"/>
  <c r="M320" i="95"/>
  <c r="M321" i="95"/>
  <c r="M322" i="95"/>
  <c r="M323" i="95"/>
  <c r="M325" i="95"/>
  <c r="M326" i="95"/>
  <c r="M327" i="95"/>
  <c r="M331" i="95"/>
  <c r="M332" i="95"/>
  <c r="M333" i="95"/>
  <c r="M334" i="95"/>
  <c r="M335" i="95"/>
  <c r="M336" i="95"/>
  <c r="M346" i="95"/>
  <c r="M348" i="95"/>
  <c r="M349" i="95"/>
  <c r="M351" i="95"/>
  <c r="M352" i="95"/>
  <c r="M353" i="95"/>
  <c r="M354" i="95"/>
  <c r="M355" i="95"/>
  <c r="M356" i="95"/>
  <c r="M357" i="95"/>
  <c r="M358" i="95"/>
  <c r="M359" i="95"/>
  <c r="M363" i="95"/>
  <c r="M377" i="95"/>
  <c r="M378" i="95"/>
  <c r="M379" i="95"/>
  <c r="M380" i="95"/>
  <c r="M381" i="95"/>
  <c r="M383" i="95"/>
  <c r="M409" i="95"/>
  <c r="M410" i="95"/>
  <c r="M411" i="95"/>
  <c r="M412" i="95"/>
  <c r="M413" i="95"/>
  <c r="M415" i="95"/>
  <c r="M416" i="95"/>
  <c r="M417" i="95"/>
  <c r="M418" i="95"/>
  <c r="M419" i="95"/>
  <c r="M420"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c r="L6" i="70" a="1"/>
  <c r="L6" i="70"/>
  <c r="L7" i="70" a="1"/>
  <c r="L7" i="70"/>
  <c r="L8" i="70" a="1"/>
  <c r="L8" i="70"/>
  <c r="L9" i="70" a="1"/>
  <c r="L9" i="70"/>
  <c r="L10" i="70" a="1"/>
  <c r="L10" i="70"/>
  <c r="L11" i="70" a="1"/>
  <c r="L11" i="70" s="1"/>
  <c r="L12" i="70" a="1"/>
  <c r="L12" i="70" s="1"/>
  <c r="L13" i="70" a="1"/>
  <c r="L13" i="70" s="1"/>
  <c r="L14" i="70" a="1"/>
  <c r="L14" i="70"/>
  <c r="L15" i="70" a="1"/>
  <c r="L15" i="70" s="1"/>
  <c r="L16" i="70" a="1"/>
  <c r="L16" i="70" s="1"/>
  <c r="L17" i="70" a="1"/>
  <c r="L17" i="70"/>
  <c r="L18" i="70" a="1"/>
  <c r="L18" i="70" s="1"/>
  <c r="L19" i="70" a="1"/>
  <c r="L19" i="70"/>
  <c r="L20" i="70" a="1"/>
  <c r="L20" i="70" s="1"/>
  <c r="L21" i="70" a="1"/>
  <c r="L21" i="70"/>
  <c r="L22" i="70" a="1"/>
  <c r="L22" i="70"/>
  <c r="L23" i="70" a="1"/>
  <c r="L23" i="70" s="1"/>
  <c r="L24" i="70" a="1"/>
  <c r="L24" i="70"/>
  <c r="L25" i="70" a="1"/>
  <c r="L25" i="70" s="1"/>
  <c r="L26" i="70" a="1"/>
  <c r="L26" i="70"/>
  <c r="L27" i="70" a="1"/>
  <c r="L27" i="70"/>
  <c r="L28" i="70" a="1"/>
  <c r="L28" i="70" s="1"/>
  <c r="D47" i="8"/>
  <c r="M5" i="70" s="1" a="1"/>
  <c r="M5" i="70" s="1"/>
  <c r="K2" i="70"/>
  <c r="I47" i="8"/>
  <c r="H47" i="8"/>
  <c r="G47" i="8"/>
  <c r="F47" i="8"/>
  <c r="E47" i="8"/>
  <c r="G1" i="8" a="1"/>
  <c r="K318" i="95" l="1"/>
  <c r="K222" i="95"/>
  <c r="K324" i="95"/>
  <c r="M19" i="70" a="1"/>
  <c r="M19" i="70" s="1"/>
  <c r="M17" i="70" a="1"/>
  <c r="M17" i="70" s="1"/>
  <c r="M16" i="70" a="1"/>
  <c r="M16" i="70" s="1"/>
  <c r="M18" i="70" a="1"/>
  <c r="M18" i="70" s="1"/>
  <c r="M15" i="70" a="1"/>
  <c r="M15" i="70" s="1"/>
  <c r="M14" i="70" a="1"/>
  <c r="M14" i="70" s="1"/>
  <c r="M27" i="70" a="1"/>
  <c r="M27" i="70" s="1"/>
  <c r="M26" i="70" a="1"/>
  <c r="M26" i="70" s="1"/>
  <c r="M20" i="70" a="1"/>
  <c r="M20" i="70" s="1"/>
  <c r="M25" i="70" a="1"/>
  <c r="M25" i="70" s="1"/>
  <c r="M9" i="70" a="1"/>
  <c r="M9" i="70" s="1"/>
  <c r="M24" i="70" a="1"/>
  <c r="M24" i="70" s="1"/>
  <c r="M8" i="70" a="1"/>
  <c r="M8" i="70" s="1"/>
  <c r="M23" i="70" a="1"/>
  <c r="M23" i="70" s="1"/>
  <c r="M7" i="70" a="1"/>
  <c r="M7" i="70" s="1"/>
  <c r="M28" i="70" a="1"/>
  <c r="M28" i="70" s="1"/>
  <c r="M11" i="70" a="1"/>
  <c r="M11" i="70" s="1"/>
  <c r="M10" i="70" a="1"/>
  <c r="M10" i="70" s="1"/>
  <c r="M22" i="70" a="1"/>
  <c r="M22" i="70" s="1"/>
  <c r="M6" i="70" a="1"/>
  <c r="M6" i="70" s="1"/>
  <c r="M13" i="70" a="1"/>
  <c r="M13" i="70" s="1"/>
  <c r="M12" i="70" a="1"/>
  <c r="M12" i="70" s="1"/>
  <c r="M21" i="70" a="1"/>
  <c r="M21" i="70" s="1"/>
  <c r="G1" i="8"/>
  <c r="L2" i="70" a="1"/>
  <c r="L2" i="70" s="1"/>
  <c r="M2" i="70" l="1" a="1"/>
  <c r="M2" i="70" s="1"/>
  <c r="N17" i="70" s="1"/>
  <c r="N5" i="70" l="1"/>
  <c r="N19" i="70"/>
  <c r="N27" i="70"/>
  <c r="N11" i="70"/>
  <c r="N16" i="70"/>
  <c r="N22" i="70"/>
  <c r="N14" i="70"/>
  <c r="N25" i="70"/>
  <c r="N8" i="70"/>
  <c r="N13" i="70"/>
  <c r="N20" i="70"/>
  <c r="N9" i="70"/>
  <c r="N7" i="70"/>
  <c r="N10" i="70"/>
  <c r="N15" i="70"/>
  <c r="N24" i="70"/>
  <c r="N28" i="70"/>
  <c r="N6" i="70"/>
  <c r="N12" i="70"/>
  <c r="N26" i="70"/>
  <c r="N18" i="70"/>
  <c r="N23" i="70"/>
  <c r="N21" i="70"/>
  <c r="G2" i="100" a="1"/>
  <c r="Q5" i="70" l="1" a="1"/>
  <c r="Q5" i="70" s="1"/>
  <c r="R5" i="70" a="1"/>
  <c r="R5" i="70" s="1"/>
  <c r="G2" i="100"/>
  <c r="I2" i="100" s="1" a="1"/>
  <c r="I2" i="100" s="1"/>
  <c r="Z2" i="78" l="1" a="1"/>
  <c r="Z2" i="78" l="1"/>
  <c r="AC2" i="78" s="1" a="1"/>
  <c r="AC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O27" i="78" s="1"/>
  <c r="Q28" i="78"/>
  <c r="P28" i="78" s="1"/>
  <c r="Q29" i="78"/>
  <c r="O29" i="78" s="1" a="1"/>
  <c r="O29" i="78" s="1"/>
  <c r="Q30" i="78"/>
  <c r="O30" i="78" s="1" a="1"/>
  <c r="O30" i="78" s="1"/>
  <c r="Q31" i="78"/>
  <c r="O31" i="78" s="1" a="1"/>
  <c r="O31" i="78" s="1"/>
  <c r="Q32" i="78"/>
  <c r="P32" i="78" s="1"/>
  <c r="Q33" i="78"/>
  <c r="P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R4" i="78" l="1"/>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O33" i="78" a="1"/>
  <c r="O33" i="78" s="1"/>
  <c r="O32" i="78" a="1"/>
  <c r="O32" i="78" s="1"/>
  <c r="P31" i="78"/>
  <c r="P34" i="78"/>
  <c r="P30" i="78"/>
  <c r="P29" i="78"/>
  <c r="O28" i="78" a="1"/>
  <c r="O28" i="78" s="1"/>
  <c r="O23" i="78" a="1"/>
  <c r="O23" i="78" s="1"/>
  <c r="P40" i="78"/>
  <c r="P39" i="78"/>
  <c r="O26" i="78" a="1"/>
  <c r="O26" i="78" s="1"/>
  <c r="P37" i="78"/>
  <c r="O25" i="78" a="1"/>
  <c r="O25" i="78" s="1"/>
  <c r="P41" i="78"/>
  <c r="P38" i="78"/>
  <c r="P36" i="78"/>
  <c r="O24" i="78" a="1"/>
  <c r="O24" i="78" s="1"/>
  <c r="P35" i="78"/>
  <c r="I2" i="78" a="1"/>
  <c r="D17" i="21" a="1"/>
  <c r="D17" i="21" s="1"/>
  <c r="D18" i="21" a="1"/>
  <c r="D18" i="21" s="1"/>
  <c r="D19" i="21" a="1"/>
  <c r="D19" i="21" s="1"/>
  <c r="D20" i="21" a="1"/>
  <c r="D20" i="21" s="1"/>
  <c r="D21" i="21" a="1"/>
  <c r="D21" i="21" s="1"/>
  <c r="D22" i="21" a="1"/>
  <c r="D22" i="21" s="1"/>
  <c r="D23" i="21" a="1"/>
  <c r="D23" i="21" s="1"/>
  <c r="F55" i="8"/>
  <c r="G55" i="8"/>
  <c r="H55" i="8"/>
  <c r="I55" i="8"/>
  <c r="S6" i="78" l="1"/>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G2" i="74" a="1"/>
  <c r="G2" i="74" s="1"/>
  <c r="H2" i="74" s="1"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2" i="78" a="1"/>
  <c r="O5"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H3" i="74" a="1"/>
  <c r="H3" i="74"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0" i="78" a="1"/>
  <c r="O22" i="78" a="1"/>
  <c r="O21" i="78" a="1"/>
  <c r="O17" i="78" a="1"/>
  <c r="O18" i="78" a="1"/>
  <c r="O16" i="78" a="1"/>
  <c r="O15" i="78" a="1"/>
  <c r="O14" i="78" a="1"/>
  <c r="O13" i="78" a="1"/>
  <c r="O19" i="78" a="1"/>
  <c r="O12" i="78" a="1"/>
  <c r="O8" i="78" a="1"/>
  <c r="O7" i="78" a="1"/>
  <c r="O4" i="78" a="1"/>
  <c r="O10" i="78" a="1"/>
  <c r="O6" i="78" a="1"/>
  <c r="O9" i="78" a="1"/>
  <c r="O11"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I10" i="4" l="1" a="1"/>
  <c r="I10" i="4" s="1"/>
  <c r="F10" i="4" a="1"/>
  <c r="F10" i="4" s="1"/>
  <c r="C10" i="4" a="1"/>
  <c r="C10" i="4" s="1"/>
  <c r="A10" i="4"/>
  <c r="L10" i="4" s="1" a="1"/>
  <c r="L10" i="4" s="1"/>
  <c r="A22" i="4" a="1"/>
  <c r="E6" i="26"/>
  <c r="K10" i="4" l="1"/>
  <c r="A22" i="4"/>
  <c r="C22" i="4" s="1" a="1"/>
  <c r="C22" i="4" s="1"/>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L22" i="4" l="1"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1"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2"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3"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4"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<sst xmlns="http://schemas.openxmlformats.org/spreadsheetml/2006/main" count="1280" uniqueCount="749">
  <si>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</si>
  <si>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</si>
  <si>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</si>
  <si>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</si>
  <si>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</si>
  <si>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</si>
  <si>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</si>
  <si>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</si>
  <si>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</si>
  <si>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</si>
  <si>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</si>
  <si>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</si>
  <si>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</si>
  <si>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</si>
  <si>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</si>
  <si>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</si>
  <si>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</si>
  <si>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</si>
  <si>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</si>
  <si>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</si>
  <si>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</si>
  <si>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</si>
  <si>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</si>
  <si>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</si>
  <si>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</si>
  <si>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</si>
  <si>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</si>
  <si>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</si>
  <si>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</si>
  <si>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</si>
  <si>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</si>
  <si>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</si>
  <si>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</si>
  <si>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</si>
  <si>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</si>
  <si>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</si>
  <si>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</si>
  <si>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</si>
  <si>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</si>
  <si>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</si>
  <si>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</si>
  <si>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</si>
  <si>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</si>
  <si>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</si>
  <si>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</si>
  <si>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</si>
  <si>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</si>
  <si>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</si>
  <si>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</si>
  <si>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</si>
  <si>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</si>
  <si>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</si>
  <si>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</si>
  <si>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</si>
  <si>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</si>
  <si>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</si>
  <si>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</si>
  <si>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</si>
  <si>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</si>
  <si>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</si>
  <si>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</si>
  <si>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</si>
  <si>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</si>
  <si>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</si>
  <si>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</si>
  <si>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</si>
  <si>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</si>
  <si>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</si>
  <si>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</si>
  <si>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</si>
  <si>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</si>
  <si>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</si>
  <si>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</si>
  <si>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</si>
  <si>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</si>
  <si>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</si>
  <si>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</si>
  <si>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</si>
  <si>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</si>
  <si>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</si>
  <si>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</si>
  <si>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</si>
  <si>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</si>
  <si>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</si>
  <si>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</si>
  <si>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</si>
  <si>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</si>
  <si>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</si>
  <si>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</si>
  <si>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</si>
  <si>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</si>
  <si>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</si>
  <si>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</si>
  <si>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</si>
  <si>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</si>
  <si>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</si>
  <si>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</si>
  <si>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</si>
  <si>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</si>
  <si>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</si>
  <si>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</si>
  <si>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</si>
  <si>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</si>
  <si>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</si>
  <si>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</si>
  <si>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</si>
  <si>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</si>
  <si>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</si>
  <si>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</si>
  <si>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</si>
  <si>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</si>
  <si>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</si>
  <si>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</si>
  <si>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</si>
  <si>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</si>
  <si>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</si>
  <si>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</si>
  <si>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</si>
  <si>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</si>
  <si>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</si>
  <si>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</si>
  <si>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</si>
  <si>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</si>
  <si>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</si>
  <si>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</si>
  <si>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</si>
  <si>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</si>
  <si>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</si>
  <si>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</si>
  <si>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</si>
  <si>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</si>
  <si>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</si>
  <si>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</si>
  <si>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</si>
  <si>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</si>
  <si>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</si>
  <si>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</si>
  <si>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</si>
  <si>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</si>
  <si>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</si>
  <si>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</si>
  <si>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</si>
  <si>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</si>
  <si>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</si>
  <si>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</si>
  <si>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</si>
  <si>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</si>
  <si>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</si>
  <si>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</si>
  <si>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</si>
  <si>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</si>
  <si>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</si>
  <si>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</si>
  <si>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</si>
  <si>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</si>
  <si>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</si>
  <si>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</si>
  <si>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</si>
  <si>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</si>
  <si>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</si>
  <si>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</si>
  <si>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</si>
  <si>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</si>
  <si>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</si>
  <si>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</si>
  <si>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</si>
  <si>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</si>
  <si>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</si>
  <si>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</si>
  <si>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</si>
  <si>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</si>
  <si>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</si>
  <si>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</si>
  <si>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</si>
  <si>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</si>
  <si>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</si>
  <si>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</si>
  <si>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</si>
  <si>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</si>
  <si>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</si>
  <si>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</si>
  <si>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</si>
  <si>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</si>
  <si>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</si>
  <si>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</si>
  <si>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</si>
  <si>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</si>
  <si>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</si>
  <si>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</si>
  <si>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</si>
  <si>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</si>
  <si>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</si>
  <si>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</si>
  <si>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</si>
  <si>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</si>
  <si>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</si>
  <si>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</si>
  <si>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</si>
  <si>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</si>
  <si>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</si>
  <si>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</si>
  <si>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</si>
  <si>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</si>
  <si>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</si>
  <si>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</si>
  <si>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</si>
  <si>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</si>
  <si>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</si>
  <si>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</si>
  <si>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</si>
  <si>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</si>
  <si>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</si>
  <si>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</si>
  <si>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</si>
  <si>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</si>
  <si>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</si>
  <si>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</si>
  <si>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</si>
  <si>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</si>
  <si>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</si>
  <si>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</si>
  <si>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</si>
  <si>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</si>
  <si>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</si>
  <si>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</si>
  <si>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</si>
  <si>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</si>
  <si>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</si>
  <si>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</si>
  <si>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</si>
  <si>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</si>
  <si>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</si>
  <si>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</si>
  <si>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</si>
  <si>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</si>
  <si>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</si>
  <si>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</si>
  <si>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</si>
  <si>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</si>
  <si>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</si>
  <si>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</si>
  <si>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</si>
  <si>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</si>
  <si>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</si>
  <si>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</si>
  <si>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</si>
  <si>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</si>
  <si>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</si>
  <si>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</si>
  <si>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</si>
  <si>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</si>
  <si>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</si>
  <si>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</si>
  <si>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</si>
  <si>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</si>
  <si>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</si>
  <si>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</si>
  <si>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</si>
  <si>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</si>
  <si>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</si>
  <si>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</si>
  <si>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</si>
  <si>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</si>
  <si>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</si>
  <si>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</si>
  <si>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</si>
  <si>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</si>
  <si>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</si>
  <si>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</si>
  <si>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</si>
  <si>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</si>
  <si>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</si>
  <si>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</si>
  <si>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</si>
  <si>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</si>
  <si>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</si>
  <si>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</si>
  <si>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</si>
  <si>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</si>
  <si>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</si>
  <si>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</si>
  <si>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</si>
  <si>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</si>
  <si>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</si>
  <si>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</si>
  <si>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</si>
  <si>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</si>
  <si>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</si>
  <si>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</si>
  <si>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</si>
  <si>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</si>
  <si>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</si>
  <si>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</si>
  <si>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</si>
  <si>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</si>
  <si>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</si>
  <si>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</si>
  <si>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</si>
  <si>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</si>
  <si>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</si>
  <si>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</si>
  <si>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</si>
  <si>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</si>
  <si>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</si>
  <si>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</si>
  <si>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</si>
  <si>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</si>
  <si>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</si>
  <si>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</si>
  <si>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</si>
  <si>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</si>
  <si>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</si>
  <si>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</si>
  <si>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</si>
  <si>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</si>
  <si>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</si>
  <si>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</si>
  <si>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</si>
  <si>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</si>
  <si>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</si>
  <si>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</si>
  <si>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</si>
  <si>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</si>
  <si>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</si>
  <si>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</si>
  <si>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</si>
  <si>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</si>
  <si>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</si>
  <si>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</si>
  <si>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</si>
  <si>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</si>
  <si>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</si>
  <si>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</si>
  <si>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</si>
  <si>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</si>
  <si>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</si>
  <si>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</si>
  <si>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</si>
  <si>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</si>
  <si>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</si>
  <si>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</si>
  <si>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</si>
  <si>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</si>
  <si>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</si>
  <si>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</si>
  <si>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</si>
  <si>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</si>
  <si>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</si>
  <si>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</si>
  <si>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</si>
  <si>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</si>
  <si>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</si>
  <si>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</si>
  <si>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</si>
  <si>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</si>
  <si>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</si>
  <si>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</si>
  <si>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</si>
  <si>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</si>
  <si>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</si>
  <si>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</si>
  <si>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</si>
  <si>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</si>
  <si>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</si>
  <si>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</si>
  <si>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</si>
  <si>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</si>
  <si>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</si>
  <si>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</si>
  <si>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</si>
  <si>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</si>
  <si>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</si>
  <si>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</si>
  <si>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</si>
  <si>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</si>
  <si>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</si>
  <si>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</si>
  <si>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</si>
  <si>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</si>
  <si>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</si>
  <si>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</si>
  <si>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</si>
  <si>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</si>
  <si>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</si>
  <si>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</si>
  <si>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</si>
  <si>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</si>
  <si>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</si>
  <si>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</si>
  <si>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</si>
  <si>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</si>
  <si>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</si>
  <si>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</si>
  <si>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</si>
  <si>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</si>
  <si>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</si>
  <si>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</si>
  <si>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</si>
  <si>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</si>
  <si>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</si>
  <si>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</si>
  <si>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</si>
  <si>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</si>
  <si>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</si>
  <si>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</si>
  <si>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</si>
  <si>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</si>
  <si>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</si>
  <si>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</si>
  <si>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</si>
  <si>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</si>
  <si>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</si>
  <si>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</si>
  <si>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</si>
  <si>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</si>
  <si>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</si>
  <si>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</si>
  <si>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</si>
  <si>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</si>
  <si>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</si>
  <si>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</si>
  <si>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</si>
  <si>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</si>
  <si>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</si>
  <si>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</si>
  <si>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</si>
  <si>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</si>
  <si>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</si>
  <si>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</si>
  <si>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</si>
  <si>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</si>
  <si>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</si>
  <si>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</si>
  <si>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</si>
  <si>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</si>
  <si>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</si>
  <si>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</si>
  <si>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</si>
  <si>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</si>
  <si>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</si>
  <si>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</si>
  <si>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</si>
  <si>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</si>
  <si>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</si>
  <si>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</si>
  <si>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</si>
  <si>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</si>
  <si>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</si>
  <si>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</si>
  <si>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</si>
  <si>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</si>
  <si>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</si>
  <si>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</si>
  <si>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</si>
  <si>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</si>
  <si>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</si>
  <si>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</si>
  <si>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</si>
  <si>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</si>
  <si>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</si>
  <si>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</si>
  <si>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</si>
  <si>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</si>
  <si>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</si>
  <si>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</si>
  <si>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</si>
  <si>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</si>
  <si>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</si>
  <si>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</si>
  <si>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</si>
  <si>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</si>
  <si>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</si>
  <si>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</si>
  <si>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</si>
  <si>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</si>
  <si>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</si>
  <si>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</si>
  <si>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</si>
  <si>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</si>
  <si>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</si>
  <si>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</si>
  <si>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</si>
  <si>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</si>
  <si>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</si>
  <si>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</si>
  <si>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</si>
  <si>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</si>
  <si>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</si>
  <si>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</si>
  <si>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</si>
  <si>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</si>
  <si>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</si>
  <si>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</si>
  <si>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</si>
  <si>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</si>
  <si>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</si>
  <si>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</si>
  <si>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</si>
  <si>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</si>
  <si>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</si>
  <si>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</si>
  <si>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</si>
  <si>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</si>
  <si>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</si>
  <si>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</si>
  <si>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</si>
  <si>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</si>
  <si>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</si>
  <si>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</si>
  <si>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</si>
  <si>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</si>
  <si>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</si>
  <si>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</si>
  <si>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</si>
  <si>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</si>
  <si>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</si>
  <si>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</si>
  <si>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</si>
  <si>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</si>
  <si>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</si>
  <si>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</si>
  <si>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</si>
  <si>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</si>
  <si>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</si>
  <si>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</si>
  <si>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</si>
  <si>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</si>
  <si>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</si>
  <si>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</si>
  <si>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</si>
  <si>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</si>
  <si>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</si>
  <si>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</si>
  <si>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</si>
  <si>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</si>
  <si>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</si>
  <si>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</si>
  <si>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</si>
  <si>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</si>
  <si>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</si>
  <si>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</si>
  <si>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</si>
  <si>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</si>
  <si>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</si>
  <si>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</si>
  <si>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</si>
  <si>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</si>
  <si>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</si>
  <si>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</si>
  <si>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</si>
  <si>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</si>
  <si>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</si>
  <si>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</si>
  <si>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</si>
  <si>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</si>
  <si>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</si>
  <si>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</si>
  <si>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</si>
  <si>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</si>
  <si>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</si>
  <si>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</si>
  <si>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</si>
  <si>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</si>
  <si>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</si>
  <si>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</si>
  <si>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</si>
  <si>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</si>
  <si>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</si>
  <si>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</si>
  <si>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</si>
  <si>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</si>
  <si>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</si>
  <si>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</si>
  <si>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</si>
  <si>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</si>
  <si>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</si>
  <si>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</si>
  <si>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</si>
  <si>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</si>
  <si>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</si>
  <si>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</si>
  <si>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</si>
  <si>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</si>
  <si>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</si>
  <si>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</si>
  <si>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</si>
  <si>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</si>
  <si>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</si>
  <si>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</si>
  <si>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</si>
  <si>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</si>
  <si>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</si>
  <si>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</si>
  <si>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</si>
  <si>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</si>
  <si>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</si>
  <si>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</si>
  <si>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</si>
  <si>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</si>
  <si>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</si>
  <si>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</si>
  <si>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</si>
  <si>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</si>
  <si>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</si>
  <si>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</si>
  <si>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</si>
  <si>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</si>
  <si>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</si>
  <si>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</si>
  <si>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</si>
  <si>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</si>
  <si>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</si>
  <si>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</si>
  <si>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</si>
  <si>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</si>
  <si>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</si>
  <si>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</si>
  <si>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</si>
  <si>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</si>
  <si>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</si>
  <si>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</si>
  <si>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</si>
  <si>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</si>
  <si>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</si>
  <si>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</si>
  <si>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</si>
  <si>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</si>
  <si>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</si>
  <si>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</si>
  <si>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</si>
  <si>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</si>
  <si>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</si>
  <si>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</si>
  <si>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</si>
  <si>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</si>
  <si>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</si>
  <si>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</si>
  <si>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</si>
  <si>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</si>
  <si>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</si>
  <si>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</si>
  <si>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</si>
  <si>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</si>
  <si>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</si>
  <si>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</si>
  <si>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</si>
  <si>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</si>
  <si>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</si>
  <si>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</si>
  <si>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</si>
  <si>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</si>
  <si>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</si>
  <si>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</si>
  <si>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</si>
  <si>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</si>
  <si>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</si>
  <si>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</si>
  <si>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</si>
  <si>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</si>
  <si>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</si>
  <si>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</si>
  <si>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</si>
  <si>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</si>
  <si>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</si>
  <si>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</si>
  <si>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</si>
  <si>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</si>
  <si>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</si>
  <si>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</si>
  <si>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</si>
  <si>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</si>
  <si>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</si>
  <si>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</si>
  <si>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</si>
  <si>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</si>
  <si>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</si>
  <si>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</si>
  <si>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</si>
  <si>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</si>
  <si>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</si>
  <si>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</si>
  <si>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</si>
  <si>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</si>
  <si>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</si>
  <si>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</si>
  <si>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</si>
  <si>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</si>
  <si>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</si>
  <si>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</si>
  <si>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</si>
  <si>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</si>
  <si>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</si>
  <si>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</si>
  <si>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</si>
  <si>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</si>
  <si>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</si>
  <si>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</si>
  <si>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</si>
  <si>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</si>
  <si>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</si>
  <si>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</si>
  <si>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</si>
  <si>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</si>
  <si>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</si>
  <si>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</si>
  <si>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</si>
  <si>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</si>
  <si>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</si>
  <si>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</si>
  <si>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</si>
  <si>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</si>
  <si>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</si>
  <si>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</si>
  <si>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</si>
  <si>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</si>
  <si>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</si>
  <si>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</si>
  <si>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</si>
  <si>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</si>
  <si>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</si>
  <si>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</si>
  <si>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</si>
  <si>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</si>
  <si>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</si>
  <si>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</si>
  <si>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</si>
  <si>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</si>
  <si>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</si>
  <si>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</si>
  <si>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</si>
  <si>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</si>
  <si>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</si>
  <si>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</si>
  <si>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</si>
  <si>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</si>
  <si>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</si>
  <si>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</si>
  <si>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</si>
  <si>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</si>
  <si>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</si>
  <si>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</si>
  <si>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</si>
  <si>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</si>
  <si>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</si>
  <si>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</si>
  <si>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</si>
  <si>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</si>
  <si>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Daqbook Compatability</t>
  </si>
  <si>
    <t>Ver. 02.24.26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</si>
</sst>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8">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2" formatCode="0.00"/>
    </dxf>
    <dxf>
      <numFmt numFmtId="184" formatCode="[$-F400]h:mm:ss\ AM/PM"/>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3"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4"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0" xr16:uid="{25D6EE5A-7E90-4165-8E5C-DCB253FB5FDD}" autoFormatId="16" applyNumberFormats="0" applyBorderFormats="0" applyFontFormats="0" applyPatternFormats="0" applyAlignmentFormats="0" applyWidthHeightFormats="0">
  <queryTableRefresh nextId="6"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2" dataDxfId="201">
  <autoFilter ref="A4:N28" xr:uid="{2F912760-816C-4002-B982-1183C623C4D4}"/>
  <tableColumns count="14">
    <tableColumn id="1" xr3:uid="{4CB1C976-73DA-4579-B7F8-9D891581EA5A}" uniqueName="1" name="asset_id" queryTableFieldId="1" dataDxfId="200"/>
    <tableColumn id="2" xr3:uid="{D07D770F-21F7-425E-8CCA-AA85FFD513A3}" uniqueName="2" name="serial_number" queryTableFieldId="2" dataDxfId="199"/>
    <tableColumn id="3" xr3:uid="{D963BD5C-EE98-4CDD-ABAE-5315BBDA1135}" uniqueName="3" name="asset_tag" queryTableFieldId="3" dataDxfId="198"/>
    <tableColumn id="4" xr3:uid="{44F03B5B-6C09-4D5C-B2E2-D809B4EDF2B0}" uniqueName="4" name="custom_order_number" queryTableFieldId="4" dataDxfId="197"/>
    <tableColumn id="5" xr3:uid="{412A70E1-7452-417E-A3A9-BD3499EBD33C}" uniqueName="5" name="service_date" queryTableFieldId="5" dataDxfId="65"/>
    <tableColumn id="7" xr3:uid="{297A4F29-F6E9-4BD3-A7A2-5F1039480BAE}" uniqueName="7" name="certificate_number" queryTableFieldId="7" dataDxfId="196"/>
    <tableColumn id="6" xr3:uid="{7231074C-78F5-4F41-8E96-7068B6555E6F}" uniqueName="6" name="traceability_number" queryTableFieldId="61" dataDxfId="195"/>
    <tableColumn id="8" xr3:uid="{7C740CB9-37DA-435E-A87E-AF050E31623C}" uniqueName="8" name="wire_roll_cert_number" queryTableFieldId="8" dataDxfId="194"/>
    <tableColumn id="10" xr3:uid="{D46DFD3D-4FFF-4C46-B438-38B7E2ADB9AB}" uniqueName="10" name="Daqbook Compatability" queryTableFieldId="81" dataDxfId="193">
      <calculatedColumnFormula>LOOKUP(WireSets[[#This Row],[type]],Table6[])</calculatedColumnFormula>
    </tableColumn>
    <tableColumn id="9" xr3:uid="{5B17E9FC-0D68-4EA9-9145-B5DC8FAF5A93}" uniqueName="9" name="type" queryTableFieldId="9" dataDxfId="192"/>
    <tableColumn id="11" xr3:uid="{2D3288D5-A49B-43E9-9125-CE335E115BBC}" uniqueName="11" name="daqbook_ok" queryTableFieldId="82" dataDxfId="191">
      <calculatedColumnFormula>IF(ISNA($K$2), TRUE, $K$2=WireSets[[#This Row],[Daqbook Compatability]])</calculatedColumnFormula>
    </tableColumn>
    <tableColumn id="19" xr3:uid="{D7BFED31-BD3B-42D0-93A4-626A2F893B49}" uniqueName="19" name="sn_ok" queryTableFieldId="79" dataDxfId="190">
      <calculatedColumnFormula array="1">OR(WireSets[[#This Row],[serial_number]]=WireSetSNs)</calculatedColumnFormula>
    </tableColumn>
    <tableColumn id="20" xr3:uid="{705A1FB0-77C3-4452-9B89-35050DBC2A13}" uniqueName="20" name="type_ok" queryTableFieldId="80" dataDxfId="189">
      <calculatedColumnFormula array="1">OR(WireSets[[#This Row],[type]]=types)</calculatedColumnFormula>
    </tableColumn>
    <tableColumn id="18" xr3:uid="{18FA8DFB-3DBF-4BA4-B0A1-320CC710CE67}" uniqueName="18" name="FILTER" queryTableFieldId="78" dataDxfId="188">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29" tableType="queryTable" totalsRowShown="0">
  <autoFilter ref="A1:C129" xr:uid="{DD841DB9-A242-4050-A7E6-984852778526}"/>
  <tableColumns count="3">
    <tableColumn id="1" xr3:uid="{783036AE-6148-4673-A2B5-A0A0BAA87B07}" uniqueName="1" name="traceability_no" queryTableFieldId="9" dataDxfId="187"/>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64"/>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3"/>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1">
  <autoFilter ref="A3:C8" xr:uid="{5AC13131-9A1C-4C12-B4F9-A393708ED370}"/>
  <tableColumns count="3">
    <tableColumn id="1" xr3:uid="{97181276-3609-45C8-AD82-B2880A7AEDE4}" name="Min" dataDxfId="160"/>
    <tableColumn id="2" xr3:uid="{FCA9B2A8-03BC-4152-9483-74D5E30011E8}" name="Max" dataDxfId="159"/>
    <tableColumn id="3" xr3:uid="{53EFB432-094F-4AB8-B706-DACB84CFAD58}" name="CMC" dataDxfId="158"/>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57"/>
    <tableColumn id="40" xr3:uid="{1FD78DD8-6141-4BCC-8B64-71669B160E7A}" uniqueName="40" name="ClientCompanyId" queryTableFieldId="165" dataDxfId="156"/>
    <tableColumn id="41" xr3:uid="{5BCE0CCA-D40E-445A-B69F-BF9E8EC302E6}" uniqueName="41" name="Furnace" queryTableFieldId="166"/>
    <tableColumn id="42" xr3:uid="{FE44BF6E-7160-4F10-BB7C-5C6B8F55C8DB}" uniqueName="42" name="FormNumber" queryTableFieldId="167" dataDxfId="155"/>
    <tableColumn id="43" xr3:uid="{EC576AA5-7F07-4B99-BBD1-C006A3FF4861}" uniqueName="43" name="CalibrationMethod" queryTableFieldId="168" dataDxfId="154"/>
    <tableColumn id="44" xr3:uid="{11784700-CE79-4C3A-B181-67F89C94AC89}" uniqueName="44" name="ToleranceSource" queryTableFieldId="169" dataDxfId="153"/>
    <tableColumn id="45" xr3:uid="{F8D57A3B-9D48-4C00-8E7C-AC29615D88F6}" uniqueName="45" name="Item" queryTableFieldId="170" dataDxfId="152"/>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1"/>
    <tableColumn id="51" xr3:uid="{5B79DBE7-7CAB-41DA-AF62-362ADDE2AED9}" uniqueName="51" name="WorkingZoneSize" queryTableFieldId="176" dataDxfId="150"/>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49"/>
    <tableColumn id="63" xr3:uid="{478884C5-ACFA-42A0-A5A5-3FD7354DF395}" uniqueName="63" name="TestLocation" queryTableFieldId="188" dataDxfId="148"/>
    <tableColumn id="64" xr3:uid="{8742E83A-8953-4A6F-B342-02A544F42A3E}" uniqueName="64" name="OvenLocation" queryTableFieldId="189" dataDxfId="147"/>
    <tableColumn id="65" xr3:uid="{D2C69FD9-EF22-4D46-9BCA-A04DCD92EC4B}" uniqueName="65" name="Condition" queryTableFieldId="190" dataDxfId="146"/>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5"/>
    <tableColumn id="73" xr3:uid="{5C1EA854-4A8F-420A-8A21-EED95DA3A02D}" uniqueName="73" name="LagLimit" queryTableFieldId="198" dataDxfId="144"/>
    <tableColumn id="74" xr3:uid="{E0D578AE-61B1-4F16-BC5A-DF5388800162}" uniqueName="74" name="RecoveryLimit" queryTableFieldId="199" dataDxfId="143"/>
    <tableColumn id="1" xr3:uid="{E73E2F68-A739-4CAB-8F93-6AB74074AA35}" uniqueName="1" name="SAT Tol" queryTableFieldId="20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2"/>
    <tableColumn id="8" xr3:uid="{6A970319-4DB4-4470-AD18-810376DE6248}" uniqueName="8" name="Flags" queryTableFieldId="8" dataDxfId="141"/>
    <tableColumn id="10" xr3:uid="{C036645E-37FD-4D8C-A495-9B7CD74F1924}" uniqueName="10" name="TolMinText" queryTableFieldId="10" dataDxfId="140">
      <calculatedColumnFormula>TEXT(UUTRangeTol[[#This Row],[TolMin]],SUBSTITUTE(UUTRangeTol[[#This Row],[TolResolution]],"1","0"))&amp;UUTRangeTol[[#This Row],[Unit]]</calculatedColumnFormula>
    </tableColumn>
    <tableColumn id="11" xr3:uid="{7185F013-BA2C-4D79-99A0-8DCC297E6118}" uniqueName="11" name="TolMaxText" queryTableFieldId="11" dataDxfId="139">
      <calculatedColumnFormula>TEXT(UUTRangeTol[[#This Row],[TolMax]],SUBSTITUTE(UUTRangeTol[[#This Row],[TolResolution]],"1","0"))&amp;UUTRangeTol[[#This Row],[Unit]]</calculatedColumnFormula>
    </tableColumn>
    <tableColumn id="12" xr3:uid="{EE0701A7-578C-482F-B1ED-DBCB9E95A0C6}" uniqueName="12" name="TolText" queryTableFieldId="12" dataDxfId="138">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37">
      <calculatedColumnFormula>UUTRangeTol[[#This Row],[RangeMax]]&amp;UUTRangeTol[[#This Row],[Unit]]</calculatedColumnFormula>
    </tableColumn>
    <tableColumn id="14" xr3:uid="{EF348E52-D936-44CC-A058-66DD7A780488}" uniqueName="14" name="RangeText" queryTableFieldId="14" dataDxfId="136">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5"/>
    <tableColumn id="2" xr3:uid="{4984B315-F281-4FCE-B730-0C7B248AA955}" uniqueName="2" name="nominal_temp" queryTableFieldId="2" dataDxfId="134"/>
    <tableColumn id="3" xr3:uid="{53D53435-D3FD-453C-A000-9DEF29CF77CD}" uniqueName="3" name="offset" queryTableFieldId="3" dataDxfId="133"/>
    <tableColumn id="4" xr3:uid="{71EBF38C-C2D5-457A-8BC4-1C726B409693}" uniqueName="4" name="probe_serial_number" queryTableFieldId="4" dataDxfId="132"/>
    <tableColumn id="5" xr3:uid="{264E3CB0-FEA8-40F6-AC5D-D574DD8CF263}" uniqueName="5" name="SBP_Set" queryTableFieldId="5" dataDxfId="131">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07"/>
    <tableColumn id="2" xr3:uid="{18C84E6F-0395-44B7-82E8-3E3C3338D295}" name="TUS Tol" dataDxfId="206" totalsRowDxfId="205"/>
    <tableColumn id="5" xr3:uid="{DB50C328-B2A6-44C5-853C-318053CB9F8D}" name="SAT Multiplier" dataDxfId="204" totalsRowDxfId="203"/>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0" dataDxfId="129" tableBorderDxfId="128">
  <autoFilter ref="AG2:AS3" xr:uid="{B114758F-16E1-4C54-AA0B-E7F64DE85242}"/>
  <tableColumns count="13">
    <tableColumn id="1" xr3:uid="{0D0312AF-C987-4CC8-97F8-A45434AD138A}" name="Time" dataDxfId="127" dataCellStyle="Normal 3"/>
    <tableColumn id="2" xr3:uid="{E5CD88A1-1988-41C9-8D07-30908E60C0B6}" name="29" dataDxfId="126" dataCellStyle="Normal 3"/>
    <tableColumn id="3" xr3:uid="{52334E52-C590-4A01-82BC-CCC9DA2C2817}" name="30" dataDxfId="125" dataCellStyle="Normal 3"/>
    <tableColumn id="4" xr3:uid="{145DAD22-055B-47E2-958D-C0E0B68ECCC8}" name="31" dataDxfId="124" dataCellStyle="Normal 3"/>
    <tableColumn id="5" xr3:uid="{09C3BF4E-C2AE-4497-AAA2-CF5A8A70B030}" name="32" dataDxfId="123" dataCellStyle="Normal 3"/>
    <tableColumn id="6" xr3:uid="{E9F444F5-7F75-4B80-BC2D-E9E92BB7C32D}" name="33" dataDxfId="122" dataCellStyle="Normal 3"/>
    <tableColumn id="7" xr3:uid="{C42F56B6-C38E-41DC-811A-50AF69D04B80}" name="34" dataDxfId="121" dataCellStyle="Normal 3"/>
    <tableColumn id="8" xr3:uid="{1930235F-D2C0-482D-8CC0-6B3AC765E7EA}" name="35" dataDxfId="120" dataCellStyle="Normal 3"/>
    <tableColumn id="9" xr3:uid="{6FCF613B-A86F-4DC6-9CC5-0A1E44E3DFE0}" name="36" dataDxfId="119" dataCellStyle="Normal 3"/>
    <tableColumn id="10" xr3:uid="{19EA3429-FD7E-4BA0-96B7-70F520D9FE0F}" name="37" dataDxfId="118" dataCellStyle="Normal 3"/>
    <tableColumn id="11" xr3:uid="{A5D0DAE1-1017-4DE3-AEA6-1BAF97E0FBDC}" name="38" dataDxfId="117" dataCellStyle="Normal 3"/>
    <tableColumn id="12" xr3:uid="{ABC8E507-1120-436F-9E9F-E3A8852E2E1A}" name="39" dataDxfId="116"/>
    <tableColumn id="13" xr3:uid="{C69AC669-10C2-4E64-9F60-B4AA135FB3DF}" name="40" dataDxfId="115"/>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4" tableBorderDxfId="113">
  <autoFilter ref="Q2:AE3" xr:uid="{6D9D14EA-1966-4240-9028-DABDD72BB7BC}"/>
  <tableColumns count="15">
    <tableColumn id="1" xr3:uid="{F199066A-0899-4173-8784-FC618D5EFA3C}" name="Time" dataDxfId="112" dataCellStyle="Normal 3"/>
    <tableColumn id="2" xr3:uid="{DB040280-BEC7-49AA-A925-A050027B33E3}" name="15" dataDxfId="111" dataCellStyle="Normal 3"/>
    <tableColumn id="3" xr3:uid="{5D74EEBF-1FB4-4DF9-8EDD-C656F929ADA2}" name="16" dataDxfId="110" dataCellStyle="Normal 3"/>
    <tableColumn id="4" xr3:uid="{B1176DF8-22B4-4741-A534-22D0C72EF1F0}" name="17" dataDxfId="109" dataCellStyle="Normal 3"/>
    <tableColumn id="5" xr3:uid="{1E29EA65-5182-4B3E-817F-0D30B2884EC7}" name="18" dataDxfId="108" dataCellStyle="Normal 3"/>
    <tableColumn id="6" xr3:uid="{AF53AEFB-F310-4F08-91BC-82FB0F484ECA}" name="19" dataDxfId="107" dataCellStyle="Normal 3"/>
    <tableColumn id="7" xr3:uid="{EE472F61-D1B5-43CF-A661-FA1D47001C17}" name="20" dataDxfId="106" dataCellStyle="Normal 3"/>
    <tableColumn id="8" xr3:uid="{841D54C1-AB74-4CB1-8C7F-C38D11EFAD3F}" name="21" dataDxfId="105" dataCellStyle="Normal 3"/>
    <tableColumn id="9" xr3:uid="{F1FB485B-DEAA-4958-8C40-80934EA1437F}" name="22" dataDxfId="104" dataCellStyle="Normal 3"/>
    <tableColumn id="10" xr3:uid="{5C552A76-BD54-46C5-93AD-8F25289FA051}" name="23" dataDxfId="103" dataCellStyle="Normal 3"/>
    <tableColumn id="11" xr3:uid="{B20FA5F1-0522-49D0-9B5A-34570A8AE6EA}" name="24" dataDxfId="102" dataCellStyle="Normal 3"/>
    <tableColumn id="12" xr3:uid="{0BC87A98-B9AC-4CD6-9F9B-D04190073E2A}" name="25" dataDxfId="101"/>
    <tableColumn id="13" xr3:uid="{D62EA80B-BBE3-4A29-89AB-EE04C6E03547}" name="26" dataDxfId="100"/>
    <tableColumn id="14" xr3:uid="{6D7DE537-763F-40F1-AC16-33F228CBC8D1}" name="27" dataDxfId="99"/>
    <tableColumn id="15" xr3:uid="{F8FA9620-DB21-4BAE-8D97-FF38B70679C9}" name="28" dataDxfId="9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7" dataDxfId="96" tableBorderDxfId="95">
  <autoFilter ref="A2:O3" xr:uid="{73A9D9BA-FF58-4A3F-98F7-9A835492E25D}"/>
  <tableColumns count="15">
    <tableColumn id="1" xr3:uid="{73B888B4-4146-4E26-9B39-0FC537A113C8}" name="Time" dataDxfId="94" dataCellStyle="Normal 3"/>
    <tableColumn id="2" xr3:uid="{6F1EF879-7C87-4A56-A394-30C6E5BDB32A}" name="1" dataDxfId="93" dataCellStyle="Normal 3"/>
    <tableColumn id="3" xr3:uid="{B2FA8A6A-D50A-41E8-942A-379C757B6A2B}" name="2" dataDxfId="92" dataCellStyle="Normal 3"/>
    <tableColumn id="4" xr3:uid="{F92FE975-D84B-4B73-B49D-3B746FAA3D21}" name="3" dataDxfId="91" dataCellStyle="Normal 3"/>
    <tableColumn id="5" xr3:uid="{7820E0E9-F621-4361-A572-234B3CB7F864}" name="4" dataDxfId="90" dataCellStyle="Normal 3"/>
    <tableColumn id="6" xr3:uid="{A46C0BCA-2139-4CD3-B02F-C4D3F8E65309}" name="5" dataDxfId="89" dataCellStyle="Normal 3"/>
    <tableColumn id="7" xr3:uid="{334BDF50-1D79-41BC-BA09-7B69018332AE}" name="6" dataDxfId="88" dataCellStyle="Normal 3"/>
    <tableColumn id="8" xr3:uid="{6C11BC6A-3E21-4CDE-9CD4-C8EBCF50B6DB}" name="7" dataDxfId="87" dataCellStyle="Normal 3"/>
    <tableColumn id="9" xr3:uid="{1EEEA607-5177-4C19-A1BC-B12D19FF055B}" name="8" dataDxfId="86" dataCellStyle="Normal 3"/>
    <tableColumn id="10" xr3:uid="{ACF909CE-C221-4157-9298-18F2C140C147}" name="9" dataDxfId="85" dataCellStyle="Normal 3"/>
    <tableColumn id="11" xr3:uid="{182688D3-AD0D-4518-A7FE-0C281ABCDF76}" name="10" dataDxfId="84" dataCellStyle="Normal 3"/>
    <tableColumn id="12" xr3:uid="{54AFFA30-00C2-440A-92A2-139F62F751BE}" name="11" dataDxfId="83"/>
    <tableColumn id="13" xr3:uid="{DCF0B43C-F320-4031-91C6-8514285AF6CA}" name="12" dataDxfId="82"/>
    <tableColumn id="14" xr3:uid="{53A56FC8-0536-4D94-A335-FFCBCBEAF45E}" name="13" dataDxfId="81"/>
    <tableColumn id="15" xr3:uid="{F49FEB6E-05C2-4E90-A6CE-A0C9C694642A}" name="14" dataDxfId="80"/>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1" tableType="queryTable" totalsRowShown="0" headerRowDxfId="79" dataDxfId="78">
  <autoFilter ref="A1:O1701" xr:uid="{7FFB3A25-33B3-41D4-A4EC-161ECACD71F3}"/>
  <tableColumns count="15">
    <tableColumn id="1" xr3:uid="{11D744F1-EDFB-47DE-B384-CF9869615081}" uniqueName="1" name="company_name" queryTableFieldId="80"/>
    <tableColumn id="2" xr3:uid="{39B8308C-AB2D-4935-AB6D-60659663F9DB}" uniqueName="2" name="Address1" queryTableFieldId="81" dataDxfId="77"/>
    <tableColumn id="3" xr3:uid="{5F5E8FED-27C7-498A-86F2-8DE1BF0A773A}" uniqueName="3" name="Address2" queryTableFieldId="82" dataDxfId="76"/>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5"/>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4" dataDxfId="73">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dataDxfId="72"/>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1"/>
    <tableColumn id="3" xr3:uid="{A4F2902A-51C9-47F2-ABB5-33476BF6B798}" uniqueName="3" name="login_email" queryTableFieldId="5"/>
    <tableColumn id="4" xr3:uid="{93F361AC-D356-4A7B-A6F2-34FB0F71E2F6}" uniqueName="4" name="IsPyro" queryTableFieldId="7" dataDxfId="70"/>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9" dataDxfId="68" headerRowCellStyle="Normal 2" dataCellStyle="Normal 2">
  <autoFilter ref="U11:V25" xr:uid="{DCCFF26E-EC5C-4962-98DB-A7DA1F3C8CE2}"/>
  <tableColumns count="2">
    <tableColumn id="1" xr3:uid="{DFC40837-B092-4826-9847-4A23BE22020F}" name="4" dataDxfId="67" dataCellStyle="Normal 2"/>
    <tableColumn id="2" xr3:uid="{0711DB07-19DA-4D5E-A417-C242A0304453}" name="10" dataDxfId="6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printerSettings" Target="../printerSettings/printerSettings2.bin"/><Relationship Id="rId4" Type="http://schemas.openxmlformats.org/officeDocument/2006/relationships/table" Target="../tables/table10.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E1" workbookViewId="0">
      <selection activeCell="S24" sqref="S24"/>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8554687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6" t="s">
        <v>744</v>
      </c>
      <c r="L1" s="476" t="s">
        <v>739</v>
      </c>
      <c r="M1" s="477"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747</v>
      </c>
      <c r="J4"/>
      <c r="K4" s="37" t="s">
        <v>746</v>
      </c>
      <c r="L4" s="37" t="s">
        <v>741</v>
      </c>
      <c r="M4" s="37" t="s">
        <v>742</v>
      </c>
      <c r="N4" s="37" t="s">
        <v>738</v>
      </c>
      <c r="S4" t="s">
        <v>331</v>
      </c>
      <c r="T4" t="s">
        <v>331</v>
      </c>
    </row>
    <row r="5" spans="1:20" x14ac:dyDescent="0.2">
      <c r="A5"/>
      <c r="B5"/>
      <c r="C5"/>
      <c r="D5"/>
      <c r="E5" s="478"/>
      <c r="F5"/>
      <c r="G5"/>
      <c r="H5"/>
      <c r="I5" t="str">
        <f>LOOKUP(WireSets[[#This Row],[type]],Table6[])</f>
        <v>J</v>
      </c>
      <c r="J5"/>
      <c r="K5" t="b">
        <f>IF(ISNA($K$2), TRUE, $K$2=WireSets[[#This Row],[Daqbook Compatability]])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8"/>
      <c r="F6"/>
      <c r="G6"/>
      <c r="H6"/>
      <c r="I6" t="str">
        <f>LOOKUP(WireSets[[#This Row],[type]],Table6[])</f>
        <v>J</v>
      </c>
      <c r="J6"/>
      <c r="K6" t="b">
        <f>IF(ISNA($K$2), TRUE, $K$2=WireSets[[#This Row],[Daqbook Compatability]])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8"/>
      <c r="F7"/>
      <c r="G7"/>
      <c r="H7"/>
      <c r="I7" t="str">
        <f>LOOKUP(WireSets[[#This Row],[type]],Table6[])</f>
        <v>J</v>
      </c>
      <c r="J7"/>
      <c r="K7" t="b">
        <f>IF(ISNA($K$2), TRUE, $K$2=WireSets[[#This Row],[Daqbook Compatability]])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8"/>
      <c r="F8"/>
      <c r="G8"/>
      <c r="H8"/>
      <c r="I8" t="str">
        <f>LOOKUP(WireSets[[#This Row],[type]],Table6[])</f>
        <v>J</v>
      </c>
      <c r="J8"/>
      <c r="K8" t="b">
        <f>IF(ISNA($K$2), TRUE, $K$2=WireSets[[#This Row],[Daqbook Compatability]])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8"/>
      <c r="F9"/>
      <c r="G9"/>
      <c r="H9"/>
      <c r="I9" t="str">
        <f>LOOKUP(WireSets[[#This Row],[type]],Table6[])</f>
        <v>J</v>
      </c>
      <c r="J9"/>
      <c r="K9" t="b">
        <f>IF(ISNA($K$2), TRUE, $K$2=WireSets[[#This Row],[Daqbook Compatability]])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8"/>
      <c r="F10"/>
      <c r="I10" t="str">
        <f>LOOKUP(WireSets[[#This Row],[type]],Table6[])</f>
        <v>J</v>
      </c>
      <c r="J10"/>
      <c r="K10" t="b">
        <f>IF(ISNA($K$2), TRUE, $K$2=WireSets[[#This Row],[Daqbook Compatability]])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8"/>
      <c r="F11"/>
      <c r="G11"/>
      <c r="H11"/>
      <c r="I11" t="str">
        <f>LOOKUP(WireSets[[#This Row],[type]],Table6[])</f>
        <v>J</v>
      </c>
      <c r="J11"/>
      <c r="K11" t="b">
        <f>IF(ISNA($K$2), TRUE, $K$2=WireSets[[#This Row],[Daqbook Compatability]])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8"/>
      <c r="F12"/>
      <c r="G12"/>
      <c r="H12"/>
      <c r="I12" t="str">
        <f>LOOKUP(WireSets[[#This Row],[type]],Table6[])</f>
        <v>J</v>
      </c>
      <c r="J12"/>
      <c r="K12" t="b">
        <f>IF(ISNA($K$2), TRUE, $K$2=WireSets[[#This Row],[Daqbook Compatability]])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8"/>
      <c r="F13"/>
      <c r="G13"/>
      <c r="H13"/>
      <c r="I13" t="str">
        <f>LOOKUP(WireSets[[#This Row],[type]],Table6[])</f>
        <v>J</v>
      </c>
      <c r="J13"/>
      <c r="K13" t="b">
        <f>IF(ISNA($K$2), TRUE, $K$2=WireSets[[#This Row],[Daqbook Compatability]])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8"/>
      <c r="F14"/>
      <c r="G14"/>
      <c r="H14"/>
      <c r="I14" t="str">
        <f>LOOKUP(WireSets[[#This Row],[type]],Table6[])</f>
        <v>K</v>
      </c>
      <c r="J14"/>
      <c r="K14" t="b">
        <f>IF(ISNA($K$2), TRUE, $K$2=WireSets[[#This Row],[Daqbook Compatability]])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8"/>
      <c r="F15"/>
      <c r="G15"/>
      <c r="H15"/>
      <c r="I15" t="str">
        <f>LOOKUP(WireSets[[#This Row],[type]],Table6[])</f>
        <v>K</v>
      </c>
      <c r="J15"/>
      <c r="K15" t="b">
        <f>IF(ISNA($K$2), TRUE, $K$2=WireSets[[#This Row],[Daqbook Compatability]])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8"/>
      <c r="F16"/>
      <c r="G16"/>
      <c r="H16"/>
      <c r="I16" t="str">
        <f>LOOKUP(WireSets[[#This Row],[type]],Table6[])</f>
        <v>K</v>
      </c>
      <c r="J16"/>
      <c r="K16" t="b">
        <f>IF(ISNA($K$2), TRUE, $K$2=WireSets[[#This Row],[Daqbook Compatability]])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8"/>
      <c r="F17"/>
      <c r="G17"/>
      <c r="H17"/>
      <c r="I17" t="str">
        <f>LOOKUP(WireSets[[#This Row],[type]],Table6[])</f>
        <v>K</v>
      </c>
      <c r="J17" s="37"/>
      <c r="K17" s="37" t="b">
        <f>IF(ISNA($K$2), TRUE, $K$2=WireSets[[#This Row],[Daqbook Compatability]])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8"/>
      <c r="F18"/>
      <c r="G18"/>
      <c r="H18"/>
      <c r="I18" t="str">
        <f>LOOKUP(WireSets[[#This Row],[type]],Table6[])</f>
        <v>K</v>
      </c>
      <c r="J18" s="37"/>
      <c r="K18" s="37" t="b">
        <f>IF(ISNA($K$2), TRUE, $K$2=WireSets[[#This Row],[Daqbook Compatability]])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8"/>
      <c r="F19"/>
      <c r="G19"/>
      <c r="H19"/>
      <c r="I19" t="str">
        <f>LOOKUP(WireSets[[#This Row],[type]],Table6[])</f>
        <v>K</v>
      </c>
      <c r="J19"/>
      <c r="K19" t="b">
        <f>IF(ISNA($K$2), TRUE, $K$2=WireSets[[#This Row],[Daqbook Compatability]])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8"/>
      <c r="F20"/>
      <c r="G20"/>
      <c r="H20"/>
      <c r="I20" t="str">
        <f>LOOKUP(WireSets[[#This Row],[type]],Table6[])</f>
        <v>K</v>
      </c>
      <c r="J20"/>
      <c r="K20" t="b">
        <f>IF(ISNA($K$2), TRUE, $K$2=WireSets[[#This Row],[Daqbook Compatability]])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8"/>
      <c r="F21"/>
      <c r="G21"/>
      <c r="H21"/>
      <c r="I21" t="str">
        <f>LOOKUP(WireSets[[#This Row],[type]],Table6[])</f>
        <v>K</v>
      </c>
      <c r="J21"/>
      <c r="K21" t="b">
        <f>IF(ISNA($K$2), TRUE, $K$2=WireSets[[#This Row],[Daqbook Compatability]])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8"/>
      <c r="F22"/>
      <c r="G22"/>
      <c r="H22"/>
      <c r="I22" t="str">
        <f>LOOKUP(WireSets[[#This Row],[type]],Table6[])</f>
        <v>K</v>
      </c>
      <c r="J22"/>
      <c r="K22" t="b">
        <f>IF(ISNA($K$2), TRUE, $K$2=WireSets[[#This Row],[Daqbook Compatability]])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8"/>
      <c r="F23"/>
      <c r="G23"/>
      <c r="H23"/>
      <c r="I23" t="str">
        <f>LOOKUP(WireSets[[#This Row],[type]],Table6[])</f>
        <v>K</v>
      </c>
      <c r="J23"/>
      <c r="K23" t="b">
        <f>IF(ISNA($K$2), TRUE, $K$2=WireSets[[#This Row],[Daqbook Compatability]])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8"/>
      <c r="F24"/>
      <c r="G24"/>
      <c r="H24"/>
      <c r="I24" t="str">
        <f>LOOKUP(WireSets[[#This Row],[type]],Table6[])</f>
        <v>N</v>
      </c>
      <c r="J24"/>
      <c r="K24" t="b">
        <f>IF(ISNA($K$2), TRUE, $K$2=WireSets[[#This Row],[Daqbook Compatability]])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8"/>
      <c r="F25"/>
      <c r="G25"/>
      <c r="H25"/>
      <c r="I25" t="str">
        <f>LOOKUP(WireSets[[#This Row],[type]],Table6[])</f>
        <v>N</v>
      </c>
      <c r="J25"/>
      <c r="K25" t="b">
        <f>IF(ISNA($K$2), TRUE, $K$2=WireSets[[#This Row],[Daqbook Compatability]])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8"/>
      <c r="F26"/>
      <c r="G26"/>
      <c r="H26"/>
      <c r="I26" t="str">
        <f>LOOKUP(WireSets[[#This Row],[type]],Table6[])</f>
        <v>N</v>
      </c>
      <c r="J26"/>
      <c r="K26" t="b">
        <f>IF(ISNA($K$2), TRUE, $K$2=WireSets[[#This Row],[Daqbook Compatability]])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8"/>
      <c r="F27"/>
      <c r="G27"/>
      <c r="H27"/>
      <c r="I27" t="str">
        <f>LOOKUP(WireSets[[#This Row],[type]],Table6[])</f>
        <v>N</v>
      </c>
      <c r="J27"/>
      <c r="K27" t="b">
        <f>IF(ISNA($K$2), TRUE, $K$2=WireSets[[#This Row],[Daqbook Compatability]])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8"/>
      <c r="F28"/>
      <c r="G28"/>
      <c r="H28"/>
      <c r="I28" t="str">
        <f>LOOKUP(WireSets[[#This Row],[type]],Table6[])</f>
        <v>N</v>
      </c>
      <c r="J28"/>
      <c r="K28" t="b">
        <f>IF(ISNA($K$2), TRUE, $K$2=WireSets[[#This Row],[Daqbook Compatability]])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29"/>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440</v>
      </c>
    </row>
    <row r="2" spans="1:8" x14ac:dyDescent="0.2">
      <c r="A2"/>
      <c r="B2"/>
      <c r="C2"/>
      <c r="E2" t="str" cm="1">
        <f t="array" ref="E2:E27">_xlfn._xlws.SORT(_xlfn.UNIQUE(AllWireOffsets[traceability_no]))</f>
        <v>065908I</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065908M</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065908N</v>
      </c>
      <c r="G4" t="str">
        <v/>
      </c>
    </row>
    <row r="5" spans="1:8" x14ac:dyDescent="0.2">
      <c r="A5"/>
      <c r="B5"/>
      <c r="C5"/>
      <c r="E5" t="str">
        <v>065908O</v>
      </c>
      <c r="G5" t="str">
        <v/>
      </c>
    </row>
    <row r="6" spans="1:8" x14ac:dyDescent="0.2">
      <c r="A6"/>
      <c r="B6"/>
      <c r="C6"/>
      <c r="E6" t="str">
        <v>072513C</v>
      </c>
      <c r="G6" t="str">
        <v/>
      </c>
    </row>
    <row r="7" spans="1:8" x14ac:dyDescent="0.2">
      <c r="A7"/>
      <c r="B7"/>
      <c r="C7"/>
      <c r="E7" t="str">
        <v>072513E</v>
      </c>
      <c r="G7" t="str">
        <v/>
      </c>
    </row>
    <row r="8" spans="1:8" x14ac:dyDescent="0.2">
      <c r="A8"/>
      <c r="B8"/>
      <c r="C8"/>
      <c r="E8" t="str">
        <v>072513F</v>
      </c>
    </row>
    <row r="9" spans="1:8" x14ac:dyDescent="0.2">
      <c r="A9"/>
      <c r="B9"/>
      <c r="C9"/>
      <c r="E9" t="str">
        <v>072513G</v>
      </c>
    </row>
    <row r="10" spans="1:8" x14ac:dyDescent="0.2">
      <c r="A10"/>
      <c r="B10"/>
      <c r="C10"/>
      <c r="E10" t="str">
        <v>072513H</v>
      </c>
    </row>
    <row r="11" spans="1:8" x14ac:dyDescent="0.2">
      <c r="A11"/>
      <c r="B11"/>
      <c r="C11"/>
      <c r="E11" t="str">
        <v>072513I</v>
      </c>
    </row>
    <row r="12" spans="1:8" x14ac:dyDescent="0.2">
      <c r="A12"/>
      <c r="B12"/>
      <c r="C12"/>
      <c r="E12" t="str">
        <v>072513K</v>
      </c>
    </row>
    <row r="13" spans="1:8" x14ac:dyDescent="0.2">
      <c r="A13"/>
      <c r="B13"/>
      <c r="C13"/>
      <c r="E13" t="str">
        <v>072513L</v>
      </c>
    </row>
    <row r="14" spans="1:8" x14ac:dyDescent="0.2">
      <c r="A14"/>
      <c r="B14"/>
      <c r="C14"/>
      <c r="E14" t="str">
        <v>072513M</v>
      </c>
    </row>
    <row r="15" spans="1:8" x14ac:dyDescent="0.2">
      <c r="A15"/>
      <c r="B15"/>
      <c r="C15"/>
      <c r="E15" t="str">
        <v>072513N</v>
      </c>
    </row>
    <row r="16" spans="1:8" x14ac:dyDescent="0.2">
      <c r="A16"/>
      <c r="B16"/>
      <c r="C16"/>
      <c r="E16" t="str">
        <v>074618A</v>
      </c>
      <c r="G16" s="37"/>
    </row>
    <row r="17" spans="1:5" x14ac:dyDescent="0.2">
      <c r="A17"/>
      <c r="B17"/>
      <c r="C17"/>
      <c r="E17" t="str">
        <v>074618B</v>
      </c>
    </row>
    <row r="18" spans="1:5" x14ac:dyDescent="0.2">
      <c r="A18"/>
      <c r="B18"/>
      <c r="C18"/>
      <c r="E18" t="str">
        <v>081197C</v>
      </c>
    </row>
    <row r="19" spans="1:5" x14ac:dyDescent="0.2">
      <c r="A19"/>
      <c r="B19"/>
      <c r="C19"/>
      <c r="E19" t="str">
        <v>081197D</v>
      </c>
    </row>
    <row r="20" spans="1:5" x14ac:dyDescent="0.2">
      <c r="A20"/>
      <c r="B20"/>
      <c r="C20"/>
      <c r="E20" t="str">
        <v>081197E</v>
      </c>
    </row>
    <row r="21" spans="1:5" x14ac:dyDescent="0.2">
      <c r="A21"/>
      <c r="B21"/>
      <c r="C21"/>
      <c r="E21" t="str">
        <v>081197F</v>
      </c>
    </row>
    <row r="22" spans="1:5" x14ac:dyDescent="0.2">
      <c r="A22"/>
      <c r="B22"/>
      <c r="C22"/>
      <c r="E22" t="str">
        <v>081197G</v>
      </c>
    </row>
    <row r="23" spans="1:5" x14ac:dyDescent="0.2">
      <c r="A23"/>
      <c r="B23"/>
      <c r="C23"/>
      <c r="E23" t="str">
        <v>081197I</v>
      </c>
    </row>
    <row r="24" spans="1:5" x14ac:dyDescent="0.2">
      <c r="A24"/>
      <c r="B24"/>
      <c r="C24"/>
      <c r="E24" t="str">
        <v>081197J</v>
      </c>
    </row>
    <row r="25" spans="1:5" x14ac:dyDescent="0.2">
      <c r="A25"/>
      <c r="B25"/>
      <c r="C25"/>
      <c r="E25" t="str">
        <v>081197K</v>
      </c>
    </row>
    <row r="26" spans="1:5" x14ac:dyDescent="0.2">
      <c r="A26"/>
      <c r="B26"/>
      <c r="C26"/>
      <c r="E26" t="str">
        <v>081197S</v>
      </c>
    </row>
    <row r="27" spans="1:5" x14ac:dyDescent="0.2">
      <c r="A27"/>
      <c r="B27"/>
      <c r="C27"/>
      <c r="E27" t="str">
        <v>081197T</v>
      </c>
    </row>
    <row r="28" spans="1:5" x14ac:dyDescent="0.2">
      <c r="A28"/>
      <c r="B28"/>
      <c r="C28"/>
    </row>
    <row r="29" spans="1:5" x14ac:dyDescent="0.2">
      <c r="A29"/>
      <c r="B29"/>
      <c r="C29"/>
    </row>
    <row r="30" spans="1:5" x14ac:dyDescent="0.2">
      <c r="A30"/>
      <c r="B30"/>
      <c r="C30"/>
    </row>
    <row r="31" spans="1:5" x14ac:dyDescent="0.2">
      <c r="A31"/>
      <c r="B31"/>
      <c r="C31"/>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5" t="s">
        <v>390</v>
      </c>
      <c r="K1" s="546"/>
      <c r="M1" s="403" t="s">
        <v>385</v>
      </c>
      <c r="N1" s="404" t="s">
        <v>389</v>
      </c>
      <c r="O1" s="404" t="s">
        <v>380</v>
      </c>
      <c r="P1" s="404" t="s">
        <v>14</v>
      </c>
      <c r="Q1" s="457" t="s">
        <v>444</v>
      </c>
      <c r="R1" s="457" t="s">
        <v>202</v>
      </c>
      <c r="S1" s="457" t="s">
        <v>203</v>
      </c>
      <c r="T1" s="457"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C1705"/>
  <sheetViews>
    <sheetView topLeftCell="P1" workbookViewId="0">
      <selection activeCell="AG12" sqref="AG1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6"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70" bestFit="1" customWidth="1"/>
    <col min="27" max="27" width="11.28515625" style="195" bestFit="1" customWidth="1"/>
    <col min="28" max="28" width="8.7109375" customWidth="1"/>
    <col min="29" max="29" width="13.5703125" style="70" bestFit="1" customWidth="1"/>
    <col min="30" max="48" width="8.7109375" customWidth="1"/>
  </cols>
  <sheetData>
    <row r="1" spans="1:29" ht="13.5" thickBot="1" x14ac:dyDescent="0.25">
      <c r="A1"/>
      <c r="B1"/>
      <c r="C1"/>
      <c r="D1"/>
      <c r="E1"/>
      <c r="F1" s="37" t="s">
        <v>326</v>
      </c>
      <c r="I1" s="465" t="s">
        <v>447</v>
      </c>
      <c r="J1" s="465" t="s">
        <v>380</v>
      </c>
      <c r="K1" s="465" t="s">
        <v>446</v>
      </c>
      <c r="M1" s="465" t="s">
        <v>447</v>
      </c>
      <c r="N1" s="465" t="s">
        <v>730</v>
      </c>
      <c r="O1" s="465" t="s">
        <v>731</v>
      </c>
      <c r="P1" s="465" t="s">
        <v>86</v>
      </c>
      <c r="Q1" s="465" t="s">
        <v>467</v>
      </c>
      <c r="R1" s="465" t="s">
        <v>727</v>
      </c>
      <c r="S1" s="465" t="s">
        <v>728</v>
      </c>
      <c r="T1" s="465" t="s">
        <v>729</v>
      </c>
      <c r="W1" s="37" t="s">
        <v>732</v>
      </c>
      <c r="X1" s="37" t="s">
        <v>737</v>
      </c>
      <c r="Z1" s="471" t="s">
        <v>732</v>
      </c>
      <c r="AA1" s="472" t="s">
        <v>736</v>
      </c>
      <c r="AB1" s="1"/>
      <c r="AC1" s="473" t="s">
        <v>735</v>
      </c>
    </row>
    <row r="2" spans="1:29" ht="13.5" thickTop="1" x14ac:dyDescent="0.2">
      <c r="A2"/>
      <c r="B2"/>
      <c r="C2"/>
      <c r="D2"/>
      <c r="E2"/>
      <c r="F2" t="str">
        <f>LEFT(AllDaqbookOffsets[[#This Row],[traceability_no]],2)</f>
        <v>J1</v>
      </c>
      <c r="I2" t="e" cm="1" vm="1">
        <f t="array" ref="I2">_xlfn._xlws.FILTER(AllDaqbookOffsets[[point]:[Offset]],AllDaqbookOffsets[AssetTag]=DaqbookAssetTag)</f>
        <v>#VALUE!</v>
      </c>
      <c r="M2">
        <v>1</v>
      </c>
      <c r="N2" s="468"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6"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70" t="str" cm="1">
        <f t="array" ref="Z2:AA300">_xlfn._xlws.SORT(_xlfn.VSTACK(WireSNs[],_xlfn.UNIQUE(SBPOffsets[[probe_serial_number]:[SBP_Set]])))</f>
        <v>06A</v>
      </c>
      <c r="AA2" s="195" t="str">
        <v>SBP Set 1</v>
      </c>
      <c r="AC2" s="70" t="str" cm="1">
        <f t="array" ref="AC2:AC300">IF(COUNTA(WireSetSNs)&gt;0,
 _xlfn.LET(
  _xlpm.data,_xlfn.ANCHORARRAY($Z$2),
  _xlpm.sn,INDEX(_xlpm.data,,1),
  _xlpm.grp, INDEX(_xlpm.data,,2),
  _xlpm.sets,  _xlfn.TOROW(WireSetSNs,1),
  _xlfn.TOCOL(IF(ISNUMBER(_xlfn.XMATCH(_xlpm.grp,_xlpm.sets)), _xlpm.sn, NA()), 3)
 ),
INDEX(_xlfn.ANCHORARRAY($Z$2),,1))</f>
        <v>06A</v>
      </c>
    </row>
    <row r="3" spans="1:29" x14ac:dyDescent="0.2">
      <c r="A3"/>
      <c r="B3"/>
      <c r="C3"/>
      <c r="D3"/>
      <c r="E3"/>
      <c r="F3" t="str">
        <f>LEFT(AllDaqbookOffsets[[#This Row],[traceability_no]],2)</f>
        <v>J1</v>
      </c>
      <c r="M3">
        <v>2</v>
      </c>
      <c r="N3" s="468"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6"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70" t="str">
        <v>06B</v>
      </c>
      <c r="AA3" s="195" t="str">
        <v>SBP Set 1</v>
      </c>
      <c r="AC3" s="70" t="str">
        <v>06B</v>
      </c>
    </row>
    <row r="4" spans="1:29" x14ac:dyDescent="0.2">
      <c r="A4"/>
      <c r="B4"/>
      <c r="C4"/>
      <c r="D4"/>
      <c r="E4"/>
      <c r="F4" t="str">
        <f>LEFT(AllDaqbookOffsets[[#This Row],[traceability_no]],2)</f>
        <v>J1</v>
      </c>
      <c r="M4">
        <v>3</v>
      </c>
      <c r="N4" s="468"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6"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70" t="str">
        <v>06C</v>
      </c>
      <c r="AA4" s="195" t="str">
        <v>SBP Set 1</v>
      </c>
      <c r="AC4" s="70" t="str">
        <v>06C</v>
      </c>
    </row>
    <row r="5" spans="1:29" x14ac:dyDescent="0.2">
      <c r="A5"/>
      <c r="B5"/>
      <c r="C5"/>
      <c r="D5"/>
      <c r="E5"/>
      <c r="F5" t="str">
        <f>LEFT(AllDaqbookOffsets[[#This Row],[traceability_no]],2)</f>
        <v>J1</v>
      </c>
      <c r="M5">
        <v>4</v>
      </c>
      <c r="N5" s="468"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6"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70" t="str">
        <v>06D</v>
      </c>
      <c r="AA5" s="195" t="str">
        <v>SBP Set 1</v>
      </c>
      <c r="AC5" s="70" t="str">
        <v>06D</v>
      </c>
    </row>
    <row r="6" spans="1:29" x14ac:dyDescent="0.2">
      <c r="A6"/>
      <c r="B6"/>
      <c r="C6"/>
      <c r="D6"/>
      <c r="E6"/>
      <c r="F6" t="str">
        <f>LEFT(AllDaqbookOffsets[[#This Row],[traceability_no]],2)</f>
        <v>J1</v>
      </c>
      <c r="M6">
        <v>5</v>
      </c>
      <c r="N6" s="468"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6"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70" t="str">
        <v>06E</v>
      </c>
      <c r="AA6" s="195" t="str">
        <v>SBP Set 1</v>
      </c>
      <c r="AC6" s="70" t="str">
        <v>06E</v>
      </c>
    </row>
    <row r="7" spans="1:29" x14ac:dyDescent="0.2">
      <c r="A7"/>
      <c r="B7"/>
      <c r="C7"/>
      <c r="D7"/>
      <c r="E7"/>
      <c r="F7" t="str">
        <f>LEFT(AllDaqbookOffsets[[#This Row],[traceability_no]],2)</f>
        <v>J1</v>
      </c>
      <c r="M7">
        <v>6</v>
      </c>
      <c r="N7" s="468"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6"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70" t="str">
        <v>06F</v>
      </c>
      <c r="AA7" s="195" t="str">
        <v>SBP Set 1</v>
      </c>
      <c r="AC7" s="70" t="str">
        <v>06F</v>
      </c>
    </row>
    <row r="8" spans="1:29" x14ac:dyDescent="0.2">
      <c r="A8"/>
      <c r="B8"/>
      <c r="C8"/>
      <c r="D8"/>
      <c r="E8"/>
      <c r="F8" t="str">
        <f>LEFT(AllDaqbookOffsets[[#This Row],[traceability_no]],2)</f>
        <v>J1</v>
      </c>
      <c r="M8">
        <v>7</v>
      </c>
      <c r="N8" s="468"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6" t="e" cm="1">
        <f t="array" ref="O8">IF(DaqbookInterp[[#This Row],[Include]],QRound(N8),NA())</f>
        <v>#N/A</v>
      </c>
      <c r="P8" t="e">
        <f>IF(DaqbookInterp[[#This Row],[Include]],Main!O11, NA())</f>
        <v>#N/A</v>
      </c>
      <c r="Q8" s="468"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70" t="str">
        <v>10A</v>
      </c>
      <c r="AA8" s="195" t="str">
        <v>SBP Set 1</v>
      </c>
      <c r="AC8" s="70" t="str">
        <v>10A</v>
      </c>
    </row>
    <row r="9" spans="1:29" x14ac:dyDescent="0.2">
      <c r="A9"/>
      <c r="B9"/>
      <c r="C9"/>
      <c r="D9"/>
      <c r="E9"/>
      <c r="F9" t="str">
        <f>LEFT(AllDaqbookOffsets[[#This Row],[traceability_no]],2)</f>
        <v>J1</v>
      </c>
      <c r="M9">
        <v>8</v>
      </c>
      <c r="N9" s="468"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6" t="e" cm="1">
        <f t="array" ref="O9">IF(DaqbookInterp[[#This Row],[Include]],QRound(N9),NA())</f>
        <v>#N/A</v>
      </c>
      <c r="P9" s="468"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70" t="str">
        <v>10B</v>
      </c>
      <c r="AA9" s="195" t="str">
        <v>SBP Set 1</v>
      </c>
      <c r="AC9" s="70" t="str">
        <v>10B</v>
      </c>
    </row>
    <row r="10" spans="1:29" x14ac:dyDescent="0.2">
      <c r="A10"/>
      <c r="B10"/>
      <c r="C10"/>
      <c r="D10"/>
      <c r="E10"/>
      <c r="F10" t="str">
        <f>LEFT(AllDaqbookOffsets[[#This Row],[traceability_no]],2)</f>
        <v>J1</v>
      </c>
      <c r="M10">
        <v>9</v>
      </c>
      <c r="N10" s="468"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6"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70" t="str">
        <v>10C</v>
      </c>
      <c r="AA10" s="195" t="str">
        <v>SBP Set 1</v>
      </c>
      <c r="AC10" s="70" t="str">
        <v>10C</v>
      </c>
    </row>
    <row r="11" spans="1:29" x14ac:dyDescent="0.2">
      <c r="A11"/>
      <c r="B11"/>
      <c r="C11"/>
      <c r="D11"/>
      <c r="E11"/>
      <c r="F11" t="str">
        <f>LEFT(AllDaqbookOffsets[[#This Row],[traceability_no]],2)</f>
        <v>J1</v>
      </c>
      <c r="M11">
        <v>10</v>
      </c>
      <c r="N11" s="468"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6" t="e" cm="1">
        <f t="array" ref="O11">IF(DaqbookInterp[[#This Row],[Include]],QRound(N11),NA())</f>
        <v>#N/A</v>
      </c>
      <c r="P11" t="e">
        <f>IF(DaqbookInterp[[#This Row],[Include]],Main!O14, NA())</f>
        <v>#N/A</v>
      </c>
      <c r="Q11" s="468"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70" t="str">
        <v>10D</v>
      </c>
      <c r="AA11" s="195" t="str">
        <v>SBP Set 1</v>
      </c>
      <c r="AC11" s="70" t="str">
        <v>10D</v>
      </c>
    </row>
    <row r="12" spans="1:29" x14ac:dyDescent="0.2">
      <c r="A12"/>
      <c r="B12"/>
      <c r="C12"/>
      <c r="D12"/>
      <c r="E12"/>
      <c r="F12" t="str">
        <f>LEFT(AllDaqbookOffsets[[#This Row],[traceability_no]],2)</f>
        <v>J1</v>
      </c>
      <c r="M12">
        <v>11</v>
      </c>
      <c r="N12" s="468"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6"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70" t="str">
        <v>10E</v>
      </c>
      <c r="AA12" s="195" t="str">
        <v>SBP Set 1</v>
      </c>
      <c r="AC12" s="70" t="str">
        <v>10E</v>
      </c>
    </row>
    <row r="13" spans="1:29" x14ac:dyDescent="0.2">
      <c r="A13"/>
      <c r="B13"/>
      <c r="C13"/>
      <c r="D13"/>
      <c r="E13"/>
      <c r="F13" t="str">
        <f>LEFT(AllDaqbookOffsets[[#This Row],[traceability_no]],2)</f>
        <v>J1</v>
      </c>
      <c r="M13">
        <v>12</v>
      </c>
      <c r="N13" s="468"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6"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70" t="str">
        <v>210A</v>
      </c>
      <c r="AA13" s="195" t="str">
        <v>SBP Set 2</v>
      </c>
      <c r="AC13" s="70" t="str">
        <v>210A</v>
      </c>
    </row>
    <row r="14" spans="1:29" x14ac:dyDescent="0.2">
      <c r="A14"/>
      <c r="B14"/>
      <c r="C14"/>
      <c r="D14"/>
      <c r="E14"/>
      <c r="F14" t="str">
        <f>LEFT(AllDaqbookOffsets[[#This Row],[traceability_no]],2)</f>
        <v>J1</v>
      </c>
      <c r="M14">
        <v>13</v>
      </c>
      <c r="N14" s="468"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6"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70" t="str">
        <v>210B</v>
      </c>
      <c r="AA14" s="195" t="str">
        <v>SBP Set 2</v>
      </c>
      <c r="AC14" s="70" t="str">
        <v>210B</v>
      </c>
    </row>
    <row r="15" spans="1:29" x14ac:dyDescent="0.2">
      <c r="A15"/>
      <c r="B15"/>
      <c r="C15"/>
      <c r="D15"/>
      <c r="E15"/>
      <c r="F15" t="str">
        <f>LEFT(AllDaqbookOffsets[[#This Row],[traceability_no]],2)</f>
        <v>J1</v>
      </c>
      <c r="M15">
        <v>14</v>
      </c>
      <c r="N15" s="468"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6"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70" t="str">
        <v>210C</v>
      </c>
      <c r="AA15" s="195" t="str">
        <v>SBP Set 2</v>
      </c>
      <c r="AC15" s="70" t="str">
        <v>210C</v>
      </c>
    </row>
    <row r="16" spans="1:29" x14ac:dyDescent="0.2">
      <c r="A16"/>
      <c r="B16"/>
      <c r="C16"/>
      <c r="D16"/>
      <c r="E16"/>
      <c r="F16" t="str">
        <f>LEFT(AllDaqbookOffsets[[#This Row],[traceability_no]],2)</f>
        <v>J1</v>
      </c>
      <c r="M16">
        <v>15</v>
      </c>
      <c r="N16" s="468"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6"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70" t="str">
        <v>210D</v>
      </c>
      <c r="AA16" s="195" t="str">
        <v>SBP Set 2</v>
      </c>
      <c r="AC16" s="70" t="str">
        <v>210D</v>
      </c>
    </row>
    <row r="17" spans="1:29" x14ac:dyDescent="0.2">
      <c r="A17"/>
      <c r="B17"/>
      <c r="C17"/>
      <c r="D17"/>
      <c r="E17"/>
      <c r="F17" t="str">
        <f>LEFT(AllDaqbookOffsets[[#This Row],[traceability_no]],2)</f>
        <v>J1</v>
      </c>
      <c r="M17">
        <v>16</v>
      </c>
      <c r="N17" s="468"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6"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70" t="str">
        <v>210E</v>
      </c>
      <c r="AA17" s="195" t="str">
        <v>SBP Set 2</v>
      </c>
      <c r="AC17" s="70" t="str">
        <v>210E</v>
      </c>
    </row>
    <row r="18" spans="1:29" x14ac:dyDescent="0.2">
      <c r="A18"/>
      <c r="B18"/>
      <c r="C18"/>
      <c r="D18"/>
      <c r="E18"/>
      <c r="F18" t="str">
        <f>LEFT(AllDaqbookOffsets[[#This Row],[traceability_no]],2)</f>
        <v>J1</v>
      </c>
      <c r="M18">
        <v>17</v>
      </c>
      <c r="N18" s="468"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6"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70" t="str">
        <v>26A</v>
      </c>
      <c r="AA18" s="195" t="str">
        <v>SBP Set 2</v>
      </c>
      <c r="AC18" s="70" t="str">
        <v>26A</v>
      </c>
    </row>
    <row r="19" spans="1:29" x14ac:dyDescent="0.2">
      <c r="A19"/>
      <c r="B19"/>
      <c r="C19"/>
      <c r="D19"/>
      <c r="E19"/>
      <c r="F19" t="str">
        <f>LEFT(AllDaqbookOffsets[[#This Row],[traceability_no]],2)</f>
        <v>J1</v>
      </c>
      <c r="M19">
        <v>18</v>
      </c>
      <c r="N19" s="468"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6"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70" t="str">
        <v>26B</v>
      </c>
      <c r="AA19" s="195" t="str">
        <v>SBP Set 2</v>
      </c>
      <c r="AC19" s="70" t="str">
        <v>26B</v>
      </c>
    </row>
    <row r="20" spans="1:29" x14ac:dyDescent="0.2">
      <c r="A20"/>
      <c r="B20"/>
      <c r="C20"/>
      <c r="D20"/>
      <c r="E20"/>
      <c r="F20" t="str">
        <f>LEFT(AllDaqbookOffsets[[#This Row],[traceability_no]],2)</f>
        <v>J1</v>
      </c>
      <c r="M20">
        <v>19</v>
      </c>
      <c r="N20" s="468"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6"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70" t="str">
        <v>26C</v>
      </c>
      <c r="AA20" s="195" t="str">
        <v>SBP Set 2</v>
      </c>
      <c r="AC20" s="70" t="str">
        <v>26C</v>
      </c>
    </row>
    <row r="21" spans="1:29" x14ac:dyDescent="0.2">
      <c r="A21"/>
      <c r="B21"/>
      <c r="C21"/>
      <c r="D21"/>
      <c r="E21"/>
      <c r="F21" t="str">
        <f>LEFT(AllDaqbookOffsets[[#This Row],[traceability_no]],2)</f>
        <v>J1</v>
      </c>
      <c r="M21">
        <v>20</v>
      </c>
      <c r="N21" s="468"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6" t="e" cm="1">
        <f t="array" ref="O21">IF(DaqbookInterp[[#This Row],[Include]],QRound(N21),NA())</f>
        <v>#N/A</v>
      </c>
      <c r="P21" s="468"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70" t="str">
        <v>26D</v>
      </c>
      <c r="AA21" s="195" t="str">
        <v>SBP Set 2</v>
      </c>
      <c r="AC21" s="70" t="str">
        <v>26D</v>
      </c>
    </row>
    <row r="22" spans="1:29" x14ac:dyDescent="0.2">
      <c r="A22"/>
      <c r="B22"/>
      <c r="C22"/>
      <c r="D22"/>
      <c r="E22"/>
      <c r="F22" t="str">
        <f>LEFT(AllDaqbookOffsets[[#This Row],[traceability_no]],2)</f>
        <v>J1</v>
      </c>
      <c r="M22">
        <v>21</v>
      </c>
      <c r="N22" s="468"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6"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70" t="str">
        <v>26E</v>
      </c>
      <c r="AA22" s="195" t="str">
        <v>SBP Set 2</v>
      </c>
      <c r="AC22" s="70" t="str">
        <v>26E</v>
      </c>
    </row>
    <row r="23" spans="1:29" x14ac:dyDescent="0.2">
      <c r="A23"/>
      <c r="B23"/>
      <c r="C23"/>
      <c r="D23"/>
      <c r="E23"/>
      <c r="F23" t="str">
        <f>LEFT(AllDaqbookOffsets[[#This Row],[traceability_no]],2)</f>
        <v>J1</v>
      </c>
      <c r="M23">
        <v>22</v>
      </c>
      <c r="N23" s="468"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6"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70" t="str">
        <v>J01</v>
      </c>
      <c r="AA23" s="195" t="str">
        <v>J01-J24</v>
      </c>
      <c r="AC23" s="70" t="str">
        <v>J01</v>
      </c>
    </row>
    <row r="24" spans="1:29" x14ac:dyDescent="0.2">
      <c r="A24"/>
      <c r="B24"/>
      <c r="C24"/>
      <c r="D24"/>
      <c r="E24"/>
      <c r="F24" t="str">
        <f>LEFT(AllDaqbookOffsets[[#This Row],[traceability_no]],2)</f>
        <v>J1</v>
      </c>
      <c r="M24">
        <v>23</v>
      </c>
      <c r="N24" s="468"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6"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70" t="str">
        <v>J02</v>
      </c>
      <c r="AA24" s="195" t="str">
        <v>J01-J24</v>
      </c>
      <c r="AC24" s="70" t="str">
        <v>J02</v>
      </c>
    </row>
    <row r="25" spans="1:29" x14ac:dyDescent="0.2">
      <c r="A25"/>
      <c r="B25"/>
      <c r="C25"/>
      <c r="D25"/>
      <c r="E25"/>
      <c r="F25" t="str">
        <f>LEFT(AllDaqbookOffsets[[#This Row],[traceability_no]],2)</f>
        <v>J1</v>
      </c>
      <c r="M25">
        <v>24</v>
      </c>
      <c r="N25" s="468"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6"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70" t="str">
        <v>J03</v>
      </c>
      <c r="AA25" s="195" t="str">
        <v>J01-J24</v>
      </c>
      <c r="AC25" s="70" t="str">
        <v>J03</v>
      </c>
    </row>
    <row r="26" spans="1:29" x14ac:dyDescent="0.2">
      <c r="A26"/>
      <c r="B26"/>
      <c r="C26"/>
      <c r="D26"/>
      <c r="E26"/>
      <c r="F26" t="str">
        <f>LEFT(AllDaqbookOffsets[[#This Row],[traceability_no]],2)</f>
        <v>J1</v>
      </c>
      <c r="M26">
        <v>25</v>
      </c>
      <c r="N26" s="468"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6"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70" t="str">
        <v>J04</v>
      </c>
      <c r="AA26" s="195" t="str">
        <v>J01-J24</v>
      </c>
      <c r="AC26" s="70" t="str">
        <v>J04</v>
      </c>
    </row>
    <row r="27" spans="1:29" x14ac:dyDescent="0.2">
      <c r="A27"/>
      <c r="B27"/>
      <c r="C27"/>
      <c r="D27"/>
      <c r="E27"/>
      <c r="F27" t="str">
        <f>LEFT(AllDaqbookOffsets[[#This Row],[traceability_no]],2)</f>
        <v>J1</v>
      </c>
      <c r="M27">
        <v>26</v>
      </c>
      <c r="N27" s="468"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6" t="e" cm="1">
        <f t="array" ref="O27">IF(DaqbookInterp[[#This Row],[Include]],QRound(N27),NA())</f>
        <v>#N/A</v>
      </c>
      <c r="P27" s="468"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70" t="str">
        <v>J05</v>
      </c>
      <c r="AA27" s="195" t="str">
        <v>J01-J24</v>
      </c>
      <c r="AC27" s="70" t="str">
        <v>J05</v>
      </c>
    </row>
    <row r="28" spans="1:29" x14ac:dyDescent="0.2">
      <c r="A28"/>
      <c r="B28"/>
      <c r="C28"/>
      <c r="D28"/>
      <c r="E28"/>
      <c r="F28" t="str">
        <f>LEFT(AllDaqbookOffsets[[#This Row],[traceability_no]],2)</f>
        <v>J1</v>
      </c>
      <c r="M28">
        <v>27</v>
      </c>
      <c r="N28" s="468"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6"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70" t="str">
        <v>J06</v>
      </c>
      <c r="AA28" s="195" t="str">
        <v>J01-J24</v>
      </c>
      <c r="AC28" s="70" t="str">
        <v>J06</v>
      </c>
    </row>
    <row r="29" spans="1:29" x14ac:dyDescent="0.2">
      <c r="A29"/>
      <c r="B29"/>
      <c r="C29"/>
      <c r="D29"/>
      <c r="E29"/>
      <c r="F29" t="str">
        <f>LEFT(AllDaqbookOffsets[[#This Row],[traceability_no]],2)</f>
        <v>J1</v>
      </c>
      <c r="M29">
        <v>28</v>
      </c>
      <c r="N29" s="468"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6"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70" t="str">
        <v>J07</v>
      </c>
      <c r="AA29" s="195" t="str">
        <v>J01-J24</v>
      </c>
      <c r="AC29" s="70" t="str">
        <v>J07</v>
      </c>
    </row>
    <row r="30" spans="1:29" x14ac:dyDescent="0.2">
      <c r="A30"/>
      <c r="B30"/>
      <c r="C30"/>
      <c r="D30"/>
      <c r="E30"/>
      <c r="F30" t="str">
        <f>LEFT(AllDaqbookOffsets[[#This Row],[traceability_no]],2)</f>
        <v>J1</v>
      </c>
      <c r="M30">
        <v>29</v>
      </c>
      <c r="N30" s="468"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6"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70" t="str">
        <v>J08</v>
      </c>
      <c r="AA30" s="195" t="str">
        <v>J01-J24</v>
      </c>
      <c r="AC30" s="70" t="str">
        <v>J08</v>
      </c>
    </row>
    <row r="31" spans="1:29" x14ac:dyDescent="0.2">
      <c r="A31"/>
      <c r="B31"/>
      <c r="C31"/>
      <c r="D31"/>
      <c r="E31"/>
      <c r="F31" t="str">
        <f>LEFT(AllDaqbookOffsets[[#This Row],[traceability_no]],2)</f>
        <v>J1</v>
      </c>
      <c r="M31">
        <v>30</v>
      </c>
      <c r="N31" s="468"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6"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70" t="str">
        <v>J09</v>
      </c>
      <c r="AA31" s="195" t="str">
        <v>J01-J24</v>
      </c>
      <c r="AC31" s="70" t="str">
        <v>J09</v>
      </c>
    </row>
    <row r="32" spans="1:29" x14ac:dyDescent="0.2">
      <c r="A32"/>
      <c r="B32"/>
      <c r="C32"/>
      <c r="D32"/>
      <c r="E32"/>
      <c r="F32" t="str">
        <f>LEFT(AllDaqbookOffsets[[#This Row],[traceability_no]],2)</f>
        <v>J1</v>
      </c>
      <c r="M32">
        <v>31</v>
      </c>
      <c r="N32" s="468"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6" t="e" cm="1">
        <f t="array" ref="O32">IF(DaqbookInterp[[#This Row],[Include]],QRound(N32),NA())</f>
        <v>#N/A</v>
      </c>
      <c r="P32" s="468"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70" t="str">
        <v>J10</v>
      </c>
      <c r="AA32" s="195" t="str">
        <v>J01-J24</v>
      </c>
      <c r="AC32" s="70" t="str">
        <v>J10</v>
      </c>
    </row>
    <row r="33" spans="1:29" x14ac:dyDescent="0.2">
      <c r="A33"/>
      <c r="B33"/>
      <c r="C33"/>
      <c r="D33"/>
      <c r="E33"/>
      <c r="F33" t="str">
        <f>LEFT(AllDaqbookOffsets[[#This Row],[traceability_no]],2)</f>
        <v>J1</v>
      </c>
      <c r="M33">
        <v>32</v>
      </c>
      <c r="N33" s="468"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6"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70" t="str">
        <v>J101</v>
      </c>
      <c r="AA33" s="195" t="str">
        <v>J101-J110</v>
      </c>
      <c r="AC33" s="70" t="str">
        <v>J101</v>
      </c>
    </row>
    <row r="34" spans="1:29" x14ac:dyDescent="0.2">
      <c r="A34"/>
      <c r="B34"/>
      <c r="C34"/>
      <c r="D34"/>
      <c r="E34"/>
      <c r="F34" t="str">
        <f>LEFT(AllDaqbookOffsets[[#This Row],[traceability_no]],2)</f>
        <v>J1</v>
      </c>
      <c r="M34">
        <v>33</v>
      </c>
      <c r="N34" s="468"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6"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70" t="str">
        <v>J102</v>
      </c>
      <c r="AA34" s="195" t="str">
        <v>J101-J110</v>
      </c>
      <c r="AC34" s="70" t="str">
        <v>J102</v>
      </c>
    </row>
    <row r="35" spans="1:29" x14ac:dyDescent="0.2">
      <c r="A35"/>
      <c r="B35"/>
      <c r="C35"/>
      <c r="D35"/>
      <c r="E35"/>
      <c r="F35" t="str">
        <f>LEFT(AllDaqbookOffsets[[#This Row],[traceability_no]],2)</f>
        <v>J1</v>
      </c>
      <c r="M35">
        <v>34</v>
      </c>
      <c r="N35" s="468"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6"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70" t="str">
        <v>J103</v>
      </c>
      <c r="AA35" s="195" t="str">
        <v>J101-J110</v>
      </c>
      <c r="AC35" s="70" t="str">
        <v>J103</v>
      </c>
    </row>
    <row r="36" spans="1:29" x14ac:dyDescent="0.2">
      <c r="A36"/>
      <c r="B36"/>
      <c r="C36"/>
      <c r="D36"/>
      <c r="E36"/>
      <c r="F36" t="str">
        <f>LEFT(AllDaqbookOffsets[[#This Row],[traceability_no]],2)</f>
        <v>J1</v>
      </c>
      <c r="M36">
        <v>35</v>
      </c>
      <c r="N36" s="468"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6"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70" t="str">
        <v>J104</v>
      </c>
      <c r="AA36" s="195" t="str">
        <v>J101-J110</v>
      </c>
      <c r="AC36" s="70" t="str">
        <v>J104</v>
      </c>
    </row>
    <row r="37" spans="1:29" x14ac:dyDescent="0.2">
      <c r="A37"/>
      <c r="B37"/>
      <c r="C37"/>
      <c r="D37"/>
      <c r="E37"/>
      <c r="F37" t="str">
        <f>LEFT(AllDaqbookOffsets[[#This Row],[traceability_no]],2)</f>
        <v>J1</v>
      </c>
      <c r="M37">
        <v>36</v>
      </c>
      <c r="N37" s="468"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6"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70" t="str">
        <v>J105</v>
      </c>
      <c r="AA37" s="195" t="str">
        <v>J101-J110</v>
      </c>
      <c r="AC37" s="70" t="str">
        <v>J105</v>
      </c>
    </row>
    <row r="38" spans="1:29" x14ac:dyDescent="0.2">
      <c r="A38"/>
      <c r="B38"/>
      <c r="C38"/>
      <c r="D38"/>
      <c r="E38"/>
      <c r="F38" t="str">
        <f>LEFT(AllDaqbookOffsets[[#This Row],[traceability_no]],2)</f>
        <v>J1</v>
      </c>
      <c r="M38">
        <v>37</v>
      </c>
      <c r="N38" s="468"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6"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70" t="str">
        <v>J106</v>
      </c>
      <c r="AA38" s="195" t="str">
        <v>J101-J110</v>
      </c>
      <c r="AC38" s="70" t="str">
        <v>J106</v>
      </c>
    </row>
    <row r="39" spans="1:29" x14ac:dyDescent="0.2">
      <c r="A39"/>
      <c r="B39"/>
      <c r="C39"/>
      <c r="D39"/>
      <c r="E39"/>
      <c r="F39" t="str">
        <f>LEFT(AllDaqbookOffsets[[#This Row],[traceability_no]],2)</f>
        <v>J1</v>
      </c>
      <c r="M39">
        <v>38</v>
      </c>
      <c r="N39" s="468"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6"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70" t="str">
        <v>J107</v>
      </c>
      <c r="AA39" s="195" t="str">
        <v>J101-J110</v>
      </c>
      <c r="AC39" s="70" t="str">
        <v>J107</v>
      </c>
    </row>
    <row r="40" spans="1:29" x14ac:dyDescent="0.2">
      <c r="A40"/>
      <c r="B40"/>
      <c r="C40"/>
      <c r="D40"/>
      <c r="E40"/>
      <c r="F40" t="str">
        <f>LEFT(AllDaqbookOffsets[[#This Row],[traceability_no]],2)</f>
        <v>J1</v>
      </c>
      <c r="M40">
        <v>39</v>
      </c>
      <c r="N40" s="468"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6"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70" t="str">
        <v>J108</v>
      </c>
      <c r="AA40" s="195" t="str">
        <v>J101-J110</v>
      </c>
      <c r="AC40" s="70" t="str">
        <v>J108</v>
      </c>
    </row>
    <row r="41" spans="1:29" x14ac:dyDescent="0.2">
      <c r="A41"/>
      <c r="B41"/>
      <c r="C41"/>
      <c r="D41"/>
      <c r="E41"/>
      <c r="F41" t="str">
        <f>LEFT(AllDaqbookOffsets[[#This Row],[traceability_no]],2)</f>
        <v>J1</v>
      </c>
      <c r="M41">
        <v>40</v>
      </c>
      <c r="N41" s="468"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6"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70" t="str">
        <v>J109</v>
      </c>
      <c r="AA41" s="195" t="str">
        <v>J101-J110</v>
      </c>
      <c r="AC41" s="70" t="str">
        <v>J109</v>
      </c>
    </row>
    <row r="42" spans="1:29" x14ac:dyDescent="0.2">
      <c r="A42"/>
      <c r="B42"/>
      <c r="C42"/>
      <c r="D42"/>
      <c r="E42"/>
      <c r="F42" t="str">
        <f>LEFT(AllDaqbookOffsets[[#This Row],[traceability_no]],2)</f>
        <v>J1</v>
      </c>
      <c r="W42" t="s">
        <v>493</v>
      </c>
      <c r="X42" t="s">
        <v>168</v>
      </c>
      <c r="Z42" s="470" t="str">
        <v>J11</v>
      </c>
      <c r="AA42" s="195" t="str">
        <v>J01-J24</v>
      </c>
      <c r="AC42" s="70" t="str">
        <v>J11</v>
      </c>
    </row>
    <row r="43" spans="1:29" x14ac:dyDescent="0.2">
      <c r="A43"/>
      <c r="B43"/>
      <c r="C43"/>
      <c r="D43"/>
      <c r="E43"/>
      <c r="F43" t="str">
        <f>LEFT(AllDaqbookOffsets[[#This Row],[traceability_no]],2)</f>
        <v>J1</v>
      </c>
      <c r="W43" t="s">
        <v>494</v>
      </c>
      <c r="X43" t="s">
        <v>168</v>
      </c>
      <c r="Z43" s="470" t="str">
        <v>J110</v>
      </c>
      <c r="AA43" s="195" t="str">
        <v>J101-J110</v>
      </c>
      <c r="AC43" s="70" t="str">
        <v>J110</v>
      </c>
    </row>
    <row r="44" spans="1:29" x14ac:dyDescent="0.2">
      <c r="A44"/>
      <c r="B44"/>
      <c r="C44"/>
      <c r="D44"/>
      <c r="E44"/>
      <c r="F44" t="str">
        <f>LEFT(AllDaqbookOffsets[[#This Row],[traceability_no]],2)</f>
        <v>J1</v>
      </c>
      <c r="W44" t="s">
        <v>495</v>
      </c>
      <c r="X44" t="s">
        <v>168</v>
      </c>
      <c r="Z44" s="470" t="str">
        <v>J111</v>
      </c>
      <c r="AA44" s="195" t="str">
        <v>J111-J120</v>
      </c>
      <c r="AC44" s="70" t="str">
        <v>J111</v>
      </c>
    </row>
    <row r="45" spans="1:29" x14ac:dyDescent="0.2">
      <c r="A45"/>
      <c r="B45"/>
      <c r="C45"/>
      <c r="D45"/>
      <c r="E45"/>
      <c r="F45" t="str">
        <f>LEFT(AllDaqbookOffsets[[#This Row],[traceability_no]],2)</f>
        <v>J1</v>
      </c>
      <c r="W45" t="s">
        <v>496</v>
      </c>
      <c r="X45" t="s">
        <v>168</v>
      </c>
      <c r="Z45" s="470" t="str">
        <v>J112</v>
      </c>
      <c r="AA45" s="195" t="str">
        <v>J111-J120</v>
      </c>
      <c r="AC45" s="70" t="str">
        <v>J112</v>
      </c>
    </row>
    <row r="46" spans="1:29" x14ac:dyDescent="0.2">
      <c r="A46"/>
      <c r="B46"/>
      <c r="C46"/>
      <c r="D46"/>
      <c r="E46"/>
      <c r="F46" t="str">
        <f>LEFT(AllDaqbookOffsets[[#This Row],[traceability_no]],2)</f>
        <v>J1</v>
      </c>
      <c r="W46" t="s">
        <v>497</v>
      </c>
      <c r="X46" t="s">
        <v>168</v>
      </c>
      <c r="Z46" s="470" t="str">
        <v>J113</v>
      </c>
      <c r="AA46" s="195" t="str">
        <v>J111-J120</v>
      </c>
      <c r="AC46" s="70" t="str">
        <v>J113</v>
      </c>
    </row>
    <row r="47" spans="1:29" x14ac:dyDescent="0.2">
      <c r="A47"/>
      <c r="B47"/>
      <c r="C47"/>
      <c r="D47"/>
      <c r="E47"/>
      <c r="F47" t="str">
        <f>LEFT(AllDaqbookOffsets[[#This Row],[traceability_no]],2)</f>
        <v>J1</v>
      </c>
      <c r="W47" t="s">
        <v>498</v>
      </c>
      <c r="X47" t="s">
        <v>168</v>
      </c>
      <c r="Z47" s="470" t="str">
        <v>J114</v>
      </c>
      <c r="AA47" s="195" t="str">
        <v>J111-J120</v>
      </c>
      <c r="AC47" s="70" t="str">
        <v>J114</v>
      </c>
    </row>
    <row r="48" spans="1:29" x14ac:dyDescent="0.2">
      <c r="A48"/>
      <c r="B48"/>
      <c r="C48"/>
      <c r="D48"/>
      <c r="E48"/>
      <c r="F48" t="str">
        <f>LEFT(AllDaqbookOffsets[[#This Row],[traceability_no]],2)</f>
        <v>J1</v>
      </c>
      <c r="W48" t="s">
        <v>499</v>
      </c>
      <c r="X48" t="s">
        <v>168</v>
      </c>
      <c r="Z48" s="470" t="str">
        <v>J115</v>
      </c>
      <c r="AA48" s="195" t="str">
        <v>J111-J120</v>
      </c>
      <c r="AC48" s="70" t="str">
        <v>J115</v>
      </c>
    </row>
    <row r="49" spans="1:29" x14ac:dyDescent="0.2">
      <c r="A49"/>
      <c r="B49"/>
      <c r="C49"/>
      <c r="D49"/>
      <c r="E49"/>
      <c r="F49" t="str">
        <f>LEFT(AllDaqbookOffsets[[#This Row],[traceability_no]],2)</f>
        <v>J1</v>
      </c>
      <c r="W49" t="s">
        <v>500</v>
      </c>
      <c r="X49" t="s">
        <v>168</v>
      </c>
      <c r="Z49" s="470" t="str">
        <v>J116</v>
      </c>
      <c r="AA49" s="195" t="str">
        <v>J111-J120</v>
      </c>
      <c r="AC49" s="70" t="str">
        <v>J116</v>
      </c>
    </row>
    <row r="50" spans="1:29" x14ac:dyDescent="0.2">
      <c r="A50"/>
      <c r="B50"/>
      <c r="C50"/>
      <c r="D50"/>
      <c r="E50"/>
      <c r="F50" t="str">
        <f>LEFT(AllDaqbookOffsets[[#This Row],[traceability_no]],2)</f>
        <v>J1</v>
      </c>
      <c r="W50" t="s">
        <v>501</v>
      </c>
      <c r="X50" t="s">
        <v>168</v>
      </c>
      <c r="Z50" s="470" t="str">
        <v>J117</v>
      </c>
      <c r="AA50" s="195" t="str">
        <v>J111-J120</v>
      </c>
      <c r="AC50" s="70" t="str">
        <v>J117</v>
      </c>
    </row>
    <row r="51" spans="1:29" x14ac:dyDescent="0.2">
      <c r="A51"/>
      <c r="B51"/>
      <c r="C51"/>
      <c r="D51"/>
      <c r="E51"/>
      <c r="F51" t="str">
        <f>LEFT(AllDaqbookOffsets[[#This Row],[traceability_no]],2)</f>
        <v>J1</v>
      </c>
      <c r="W51" t="s">
        <v>476</v>
      </c>
      <c r="X51" t="s">
        <v>165</v>
      </c>
      <c r="Z51" s="470" t="str">
        <v>J118</v>
      </c>
      <c r="AA51" s="195" t="str">
        <v>J111-J120</v>
      </c>
      <c r="AC51" s="70" t="str">
        <v>J118</v>
      </c>
    </row>
    <row r="52" spans="1:29" x14ac:dyDescent="0.2">
      <c r="A52"/>
      <c r="B52"/>
      <c r="C52"/>
      <c r="D52"/>
      <c r="E52"/>
      <c r="F52" t="str">
        <f>LEFT(AllDaqbookOffsets[[#This Row],[traceability_no]],2)</f>
        <v>J1</v>
      </c>
      <c r="W52" t="s">
        <v>502</v>
      </c>
      <c r="X52" t="s">
        <v>168</v>
      </c>
      <c r="Z52" s="470" t="str">
        <v>J119</v>
      </c>
      <c r="AA52" s="195" t="str">
        <v>J111-J120</v>
      </c>
      <c r="AC52" s="70" t="str">
        <v>J119</v>
      </c>
    </row>
    <row r="53" spans="1:29" x14ac:dyDescent="0.2">
      <c r="A53"/>
      <c r="B53"/>
      <c r="C53"/>
      <c r="D53"/>
      <c r="E53"/>
      <c r="F53" t="str">
        <f>LEFT(AllDaqbookOffsets[[#This Row],[traceability_no]],2)</f>
        <v>J1</v>
      </c>
      <c r="W53" t="s">
        <v>503</v>
      </c>
      <c r="X53" t="s">
        <v>168</v>
      </c>
      <c r="Z53" s="470" t="str">
        <v>J12</v>
      </c>
      <c r="AA53" s="195" t="str">
        <v>J01-J24</v>
      </c>
      <c r="AC53" s="70" t="str">
        <v>J12</v>
      </c>
    </row>
    <row r="54" spans="1:29" x14ac:dyDescent="0.2">
      <c r="A54"/>
      <c r="B54"/>
      <c r="C54"/>
      <c r="D54"/>
      <c r="E54"/>
      <c r="F54" t="str">
        <f>LEFT(AllDaqbookOffsets[[#This Row],[traceability_no]],2)</f>
        <v>J1</v>
      </c>
      <c r="W54" t="s">
        <v>504</v>
      </c>
      <c r="X54" t="s">
        <v>168</v>
      </c>
      <c r="Z54" s="470" t="str">
        <v>J120</v>
      </c>
      <c r="AA54" s="195" t="str">
        <v>J111-J120</v>
      </c>
      <c r="AC54" s="70" t="str">
        <v>J120</v>
      </c>
    </row>
    <row r="55" spans="1:29" x14ac:dyDescent="0.2">
      <c r="A55"/>
      <c r="B55"/>
      <c r="C55"/>
      <c r="D55"/>
      <c r="E55"/>
      <c r="F55" t="str">
        <f>LEFT(AllDaqbookOffsets[[#This Row],[traceability_no]],2)</f>
        <v>J1</v>
      </c>
      <c r="W55" t="s">
        <v>505</v>
      </c>
      <c r="X55" t="s">
        <v>168</v>
      </c>
      <c r="Z55" s="470" t="str">
        <v>J13</v>
      </c>
      <c r="AA55" s="195" t="str">
        <v>J01-J24</v>
      </c>
      <c r="AC55" s="70" t="str">
        <v>J13</v>
      </c>
    </row>
    <row r="56" spans="1:29" x14ac:dyDescent="0.2">
      <c r="A56"/>
      <c r="B56"/>
      <c r="C56"/>
      <c r="D56"/>
      <c r="E56"/>
      <c r="F56" t="str">
        <f>LEFT(AllDaqbookOffsets[[#This Row],[traceability_no]],2)</f>
        <v>J1</v>
      </c>
      <c r="W56" t="s">
        <v>506</v>
      </c>
      <c r="X56" t="s">
        <v>168</v>
      </c>
      <c r="Z56" s="470" t="str">
        <v>J14</v>
      </c>
      <c r="AA56" s="195" t="str">
        <v>J01-J24</v>
      </c>
      <c r="AC56" s="70" t="str">
        <v>J14</v>
      </c>
    </row>
    <row r="57" spans="1:29" x14ac:dyDescent="0.2">
      <c r="A57"/>
      <c r="B57"/>
      <c r="C57"/>
      <c r="D57"/>
      <c r="E57"/>
      <c r="F57" t="str">
        <f>LEFT(AllDaqbookOffsets[[#This Row],[traceability_no]],2)</f>
        <v>J1</v>
      </c>
      <c r="W57" t="s">
        <v>477</v>
      </c>
      <c r="X57" t="s">
        <v>165</v>
      </c>
      <c r="Z57" s="470" t="str">
        <v>J15</v>
      </c>
      <c r="AA57" s="195" t="str">
        <v>J01-J24</v>
      </c>
      <c r="AC57" s="70" t="str">
        <v>J15</v>
      </c>
    </row>
    <row r="58" spans="1:29" x14ac:dyDescent="0.2">
      <c r="A58"/>
      <c r="B58"/>
      <c r="C58"/>
      <c r="D58"/>
      <c r="E58"/>
      <c r="F58" t="str">
        <f>LEFT(AllDaqbookOffsets[[#This Row],[traceability_no]],2)</f>
        <v>J1</v>
      </c>
      <c r="W58" t="s">
        <v>478</v>
      </c>
      <c r="X58" t="s">
        <v>165</v>
      </c>
      <c r="Z58" s="470" t="str">
        <v>J16</v>
      </c>
      <c r="AA58" s="195" t="str">
        <v>J01-J24</v>
      </c>
      <c r="AC58" s="70" t="str">
        <v>J16</v>
      </c>
    </row>
    <row r="59" spans="1:29" x14ac:dyDescent="0.2">
      <c r="A59"/>
      <c r="B59"/>
      <c r="C59"/>
      <c r="D59"/>
      <c r="E59"/>
      <c r="F59" t="str">
        <f>LEFT(AllDaqbookOffsets[[#This Row],[traceability_no]],2)</f>
        <v>J1</v>
      </c>
      <c r="W59" t="s">
        <v>479</v>
      </c>
      <c r="X59" t="s">
        <v>165</v>
      </c>
      <c r="Z59" s="470" t="str">
        <v>J17</v>
      </c>
      <c r="AA59" s="195" t="str">
        <v>J01-J24</v>
      </c>
      <c r="AC59" s="70" t="str">
        <v>J17</v>
      </c>
    </row>
    <row r="60" spans="1:29" x14ac:dyDescent="0.2">
      <c r="A60"/>
      <c r="B60"/>
      <c r="C60"/>
      <c r="D60"/>
      <c r="E60"/>
      <c r="F60" t="str">
        <f>LEFT(AllDaqbookOffsets[[#This Row],[traceability_no]],2)</f>
        <v>J1</v>
      </c>
      <c r="W60" t="s">
        <v>507</v>
      </c>
      <c r="X60" t="s">
        <v>169</v>
      </c>
      <c r="Z60" s="470" t="str">
        <v>J18</v>
      </c>
      <c r="AA60" s="195" t="str">
        <v>J01-J24</v>
      </c>
      <c r="AC60" s="70" t="str">
        <v>J18</v>
      </c>
    </row>
    <row r="61" spans="1:29" x14ac:dyDescent="0.2">
      <c r="A61"/>
      <c r="B61"/>
      <c r="C61"/>
      <c r="D61"/>
      <c r="E61"/>
      <c r="F61" t="str">
        <f>LEFT(AllDaqbookOffsets[[#This Row],[traceability_no]],2)</f>
        <v>J1</v>
      </c>
      <c r="W61" t="s">
        <v>508</v>
      </c>
      <c r="X61" t="s">
        <v>169</v>
      </c>
      <c r="Z61" s="470" t="str">
        <v>J19</v>
      </c>
      <c r="AA61" s="195" t="str">
        <v>J01-J24</v>
      </c>
      <c r="AC61" s="70" t="str">
        <v>J19</v>
      </c>
    </row>
    <row r="62" spans="1:29" x14ac:dyDescent="0.2">
      <c r="A62"/>
      <c r="B62"/>
      <c r="C62"/>
      <c r="D62"/>
      <c r="E62"/>
      <c r="F62" t="str">
        <f>LEFT(AllDaqbookOffsets[[#This Row],[traceability_no]],2)</f>
        <v>J1</v>
      </c>
      <c r="W62" t="s">
        <v>509</v>
      </c>
      <c r="X62" t="s">
        <v>169</v>
      </c>
      <c r="Z62" s="470" t="str">
        <v>J20</v>
      </c>
      <c r="AA62" s="195" t="str">
        <v>J01-J24</v>
      </c>
      <c r="AC62" s="70" t="str">
        <v>J20</v>
      </c>
    </row>
    <row r="63" spans="1:29" x14ac:dyDescent="0.2">
      <c r="A63"/>
      <c r="B63"/>
      <c r="C63"/>
      <c r="D63"/>
      <c r="E63"/>
      <c r="F63" t="str">
        <f>LEFT(AllDaqbookOffsets[[#This Row],[traceability_no]],2)</f>
        <v>J1</v>
      </c>
      <c r="W63" t="s">
        <v>510</v>
      </c>
      <c r="X63" t="s">
        <v>169</v>
      </c>
      <c r="Z63" s="470" t="str">
        <v>J201</v>
      </c>
      <c r="AA63" s="195" t="str">
        <v>J201-J214</v>
      </c>
      <c r="AC63" s="70" t="str">
        <v>J201</v>
      </c>
    </row>
    <row r="64" spans="1:29" x14ac:dyDescent="0.2">
      <c r="A64"/>
      <c r="B64"/>
      <c r="C64"/>
      <c r="D64"/>
      <c r="E64"/>
      <c r="F64" t="str">
        <f>LEFT(AllDaqbookOffsets[[#This Row],[traceability_no]],2)</f>
        <v>J1</v>
      </c>
      <c r="W64" t="s">
        <v>511</v>
      </c>
      <c r="X64" t="s">
        <v>169</v>
      </c>
      <c r="Z64" s="470" t="str">
        <v>J202</v>
      </c>
      <c r="AA64" s="195" t="str">
        <v>J201-J214</v>
      </c>
      <c r="AC64" s="70" t="str">
        <v>J202</v>
      </c>
    </row>
    <row r="65" spans="1:29" x14ac:dyDescent="0.2">
      <c r="A65"/>
      <c r="B65"/>
      <c r="C65"/>
      <c r="D65"/>
      <c r="E65"/>
      <c r="F65" t="str">
        <f>LEFT(AllDaqbookOffsets[[#This Row],[traceability_no]],2)</f>
        <v>J1</v>
      </c>
      <c r="W65" t="s">
        <v>512</v>
      </c>
      <c r="X65" t="s">
        <v>169</v>
      </c>
      <c r="Z65" s="470" t="str">
        <v>J203</v>
      </c>
      <c r="AA65" s="195" t="str">
        <v>J201-J214</v>
      </c>
      <c r="AC65" s="70" t="str">
        <v>J203</v>
      </c>
    </row>
    <row r="66" spans="1:29" x14ac:dyDescent="0.2">
      <c r="A66"/>
      <c r="B66"/>
      <c r="C66"/>
      <c r="D66"/>
      <c r="E66"/>
      <c r="F66" t="str">
        <f>LEFT(AllDaqbookOffsets[[#This Row],[traceability_no]],2)</f>
        <v>J1</v>
      </c>
      <c r="W66" t="s">
        <v>513</v>
      </c>
      <c r="X66" t="s">
        <v>169</v>
      </c>
      <c r="Z66" s="470" t="str">
        <v>J204</v>
      </c>
      <c r="AA66" s="195" t="str">
        <v>J201-J214</v>
      </c>
      <c r="AC66" s="70" t="str">
        <v>J204</v>
      </c>
    </row>
    <row r="67" spans="1:29" x14ac:dyDescent="0.2">
      <c r="A67"/>
      <c r="B67"/>
      <c r="C67"/>
      <c r="D67"/>
      <c r="E67"/>
      <c r="F67" t="str">
        <f>LEFT(AllDaqbookOffsets[[#This Row],[traceability_no]],2)</f>
        <v>J1</v>
      </c>
      <c r="W67" t="s">
        <v>514</v>
      </c>
      <c r="X67" t="s">
        <v>169</v>
      </c>
      <c r="Z67" s="470" t="str">
        <v>J205</v>
      </c>
      <c r="AA67" s="195" t="str">
        <v>J201-J214</v>
      </c>
      <c r="AC67" s="70" t="str">
        <v>J205</v>
      </c>
    </row>
    <row r="68" spans="1:29" x14ac:dyDescent="0.2">
      <c r="A68"/>
      <c r="B68"/>
      <c r="C68"/>
      <c r="D68"/>
      <c r="E68"/>
      <c r="F68" t="str">
        <f>LEFT(AllDaqbookOffsets[[#This Row],[traceability_no]],2)</f>
        <v>J1</v>
      </c>
      <c r="W68" t="s">
        <v>515</v>
      </c>
      <c r="X68" t="s">
        <v>169</v>
      </c>
      <c r="Z68" s="470" t="str">
        <v>J206</v>
      </c>
      <c r="AA68" s="195" t="str">
        <v>J201-J214</v>
      </c>
      <c r="AC68" s="70" t="str">
        <v>J206</v>
      </c>
    </row>
    <row r="69" spans="1:29" x14ac:dyDescent="0.2">
      <c r="A69"/>
      <c r="B69"/>
      <c r="C69"/>
      <c r="D69"/>
      <c r="E69"/>
      <c r="F69" t="str">
        <f>LEFT(AllDaqbookOffsets[[#This Row],[traceability_no]],2)</f>
        <v>J1</v>
      </c>
      <c r="W69" t="s">
        <v>516</v>
      </c>
      <c r="X69" t="s">
        <v>169</v>
      </c>
      <c r="Z69" s="470" t="str">
        <v>J207</v>
      </c>
      <c r="AA69" s="195" t="str">
        <v>J201-J214</v>
      </c>
      <c r="AC69" s="70" t="str">
        <v>J207</v>
      </c>
    </row>
    <row r="70" spans="1:29" x14ac:dyDescent="0.2">
      <c r="A70"/>
      <c r="B70"/>
      <c r="C70"/>
      <c r="D70"/>
      <c r="E70"/>
      <c r="F70" t="str">
        <f>LEFT(AllDaqbookOffsets[[#This Row],[traceability_no]],2)</f>
        <v>J1</v>
      </c>
      <c r="W70" t="s">
        <v>517</v>
      </c>
      <c r="X70" t="s">
        <v>169</v>
      </c>
      <c r="Z70" s="470" t="str">
        <v>J208</v>
      </c>
      <c r="AA70" s="195" t="str">
        <v>J201-J214</v>
      </c>
      <c r="AC70" s="70" t="str">
        <v>J208</v>
      </c>
    </row>
    <row r="71" spans="1:29" x14ac:dyDescent="0.2">
      <c r="A71"/>
      <c r="B71"/>
      <c r="C71"/>
      <c r="D71"/>
      <c r="E71"/>
      <c r="F71" t="str">
        <f>LEFT(AllDaqbookOffsets[[#This Row],[traceability_no]],2)</f>
        <v>J1</v>
      </c>
      <c r="W71" t="s">
        <v>518</v>
      </c>
      <c r="X71" t="s">
        <v>169</v>
      </c>
      <c r="Z71" s="470" t="str">
        <v>J209</v>
      </c>
      <c r="AA71" s="195" t="str">
        <v>J201-J214</v>
      </c>
      <c r="AC71" s="70" t="str">
        <v>J209</v>
      </c>
    </row>
    <row r="72" spans="1:29" x14ac:dyDescent="0.2">
      <c r="A72"/>
      <c r="B72"/>
      <c r="C72"/>
      <c r="D72"/>
      <c r="E72"/>
      <c r="F72" t="str">
        <f>LEFT(AllDaqbookOffsets[[#This Row],[traceability_no]],2)</f>
        <v>J1</v>
      </c>
      <c r="W72" t="s">
        <v>519</v>
      </c>
      <c r="X72" t="s">
        <v>169</v>
      </c>
      <c r="Z72" s="470" t="str">
        <v>J21</v>
      </c>
      <c r="AA72" s="195" t="str">
        <v>J01-J24</v>
      </c>
      <c r="AC72" s="70" t="str">
        <v>J21</v>
      </c>
    </row>
    <row r="73" spans="1:29" x14ac:dyDescent="0.2">
      <c r="A73"/>
      <c r="B73"/>
      <c r="C73"/>
      <c r="D73"/>
      <c r="E73"/>
      <c r="F73" t="str">
        <f>LEFT(AllDaqbookOffsets[[#This Row],[traceability_no]],2)</f>
        <v>J1</v>
      </c>
      <c r="W73" t="s">
        <v>520</v>
      </c>
      <c r="X73" t="s">
        <v>169</v>
      </c>
      <c r="Z73" s="470" t="str">
        <v>J210</v>
      </c>
      <c r="AA73" s="195" t="str">
        <v>J201-J214</v>
      </c>
      <c r="AC73" s="70" t="str">
        <v>J210</v>
      </c>
    </row>
    <row r="74" spans="1:29" x14ac:dyDescent="0.2">
      <c r="A74"/>
      <c r="B74"/>
      <c r="C74"/>
      <c r="D74"/>
      <c r="E74"/>
      <c r="F74" t="str">
        <f>LEFT(AllDaqbookOffsets[[#This Row],[traceability_no]],2)</f>
        <v>J1</v>
      </c>
      <c r="W74" t="s">
        <v>521</v>
      </c>
      <c r="X74" t="s">
        <v>170</v>
      </c>
      <c r="Z74" s="470" t="str">
        <v>J211</v>
      </c>
      <c r="AA74" s="195" t="str">
        <v>J201-J214</v>
      </c>
      <c r="AC74" s="70" t="str">
        <v>J211</v>
      </c>
    </row>
    <row r="75" spans="1:29" x14ac:dyDescent="0.2">
      <c r="A75"/>
      <c r="B75"/>
      <c r="C75"/>
      <c r="D75"/>
      <c r="E75"/>
      <c r="F75" t="str">
        <f>LEFT(AllDaqbookOffsets[[#This Row],[traceability_no]],2)</f>
        <v>J1</v>
      </c>
      <c r="W75" t="s">
        <v>522</v>
      </c>
      <c r="X75" t="s">
        <v>170</v>
      </c>
      <c r="Z75" s="470" t="str">
        <v>J212</v>
      </c>
      <c r="AA75" s="195" t="str">
        <v>J201-J214</v>
      </c>
      <c r="AC75" s="70" t="str">
        <v>J212</v>
      </c>
    </row>
    <row r="76" spans="1:29" x14ac:dyDescent="0.2">
      <c r="A76"/>
      <c r="B76"/>
      <c r="C76"/>
      <c r="D76"/>
      <c r="E76"/>
      <c r="F76" t="str">
        <f>LEFT(AllDaqbookOffsets[[#This Row],[traceability_no]],2)</f>
        <v>J1</v>
      </c>
      <c r="W76" t="s">
        <v>523</v>
      </c>
      <c r="X76" t="s">
        <v>170</v>
      </c>
      <c r="Z76" s="470" t="str">
        <v>J213</v>
      </c>
      <c r="AA76" s="195" t="str">
        <v>J201-J214</v>
      </c>
      <c r="AC76" s="70" t="str">
        <v>J213</v>
      </c>
    </row>
    <row r="77" spans="1:29" x14ac:dyDescent="0.2">
      <c r="A77"/>
      <c r="B77"/>
      <c r="C77"/>
      <c r="D77"/>
      <c r="E77"/>
      <c r="F77" t="str">
        <f>LEFT(AllDaqbookOffsets[[#This Row],[traceability_no]],2)</f>
        <v>J1</v>
      </c>
      <c r="W77" t="s">
        <v>524</v>
      </c>
      <c r="X77" t="s">
        <v>170</v>
      </c>
      <c r="Z77" s="470" t="str">
        <v>J214</v>
      </c>
      <c r="AA77" s="195" t="str">
        <v>J201-J214</v>
      </c>
      <c r="AC77" s="70" t="str">
        <v>J214</v>
      </c>
    </row>
    <row r="78" spans="1:29" x14ac:dyDescent="0.2">
      <c r="A78"/>
      <c r="B78"/>
      <c r="C78"/>
      <c r="D78"/>
      <c r="E78"/>
      <c r="F78" t="str">
        <f>LEFT(AllDaqbookOffsets[[#This Row],[traceability_no]],2)</f>
        <v>J1</v>
      </c>
      <c r="W78" t="s">
        <v>525</v>
      </c>
      <c r="X78" t="s">
        <v>170</v>
      </c>
      <c r="Z78" s="470" t="str">
        <v>J22</v>
      </c>
      <c r="AA78" s="195" t="str">
        <v>J01-J24</v>
      </c>
      <c r="AC78" s="70" t="str">
        <v>J22</v>
      </c>
    </row>
    <row r="79" spans="1:29" x14ac:dyDescent="0.2">
      <c r="A79"/>
      <c r="B79"/>
      <c r="C79"/>
      <c r="D79"/>
      <c r="E79"/>
      <c r="F79" t="str">
        <f>LEFT(AllDaqbookOffsets[[#This Row],[traceability_no]],2)</f>
        <v>J1</v>
      </c>
      <c r="W79" t="s">
        <v>526</v>
      </c>
      <c r="X79" t="s">
        <v>170</v>
      </c>
      <c r="Z79" s="470" t="str">
        <v>J23</v>
      </c>
      <c r="AA79" s="195" t="str">
        <v>J01-J24</v>
      </c>
      <c r="AC79" s="70" t="str">
        <v>J23</v>
      </c>
    </row>
    <row r="80" spans="1:29" x14ac:dyDescent="0.2">
      <c r="A80"/>
      <c r="B80"/>
      <c r="C80"/>
      <c r="D80"/>
      <c r="E80"/>
      <c r="F80" t="str">
        <f>LEFT(AllDaqbookOffsets[[#This Row],[traceability_no]],2)</f>
        <v>J1</v>
      </c>
      <c r="W80" t="s">
        <v>527</v>
      </c>
      <c r="X80" t="s">
        <v>170</v>
      </c>
      <c r="Z80" s="470" t="str">
        <v>J24</v>
      </c>
      <c r="AA80" s="195" t="str">
        <v>J01-J24</v>
      </c>
      <c r="AC80" s="70" t="str">
        <v>J24</v>
      </c>
    </row>
    <row r="81" spans="1:29" x14ac:dyDescent="0.2">
      <c r="A81"/>
      <c r="B81"/>
      <c r="C81"/>
      <c r="D81"/>
      <c r="E81"/>
      <c r="F81" t="str">
        <f>LEFT(AllDaqbookOffsets[[#This Row],[traceability_no]],2)</f>
        <v>J1</v>
      </c>
      <c r="W81" t="s">
        <v>528</v>
      </c>
      <c r="X81" t="s">
        <v>170</v>
      </c>
      <c r="Z81" s="470" t="str">
        <v>J301</v>
      </c>
      <c r="AA81" s="195" t="str">
        <v>J301-J314</v>
      </c>
      <c r="AC81" s="70" t="str">
        <v>J301</v>
      </c>
    </row>
    <row r="82" spans="1:29" x14ac:dyDescent="0.2">
      <c r="A82"/>
      <c r="B82"/>
      <c r="C82"/>
      <c r="D82"/>
      <c r="E82"/>
      <c r="F82" t="str">
        <f>LEFT(AllDaqbookOffsets[[#This Row],[traceability_no]],2)</f>
        <v>J1</v>
      </c>
      <c r="W82" t="s">
        <v>529</v>
      </c>
      <c r="X82" t="s">
        <v>170</v>
      </c>
      <c r="Z82" s="470" t="str">
        <v>J302</v>
      </c>
      <c r="AA82" s="195" t="str">
        <v>J301-J314</v>
      </c>
      <c r="AC82" s="70" t="str">
        <v>J302</v>
      </c>
    </row>
    <row r="83" spans="1:29" x14ac:dyDescent="0.2">
      <c r="A83"/>
      <c r="B83"/>
      <c r="C83"/>
      <c r="D83"/>
      <c r="E83"/>
      <c r="F83" t="str">
        <f>LEFT(AllDaqbookOffsets[[#This Row],[traceability_no]],2)</f>
        <v>J1</v>
      </c>
      <c r="W83" t="s">
        <v>530</v>
      </c>
      <c r="X83" t="s">
        <v>170</v>
      </c>
      <c r="Z83" s="470" t="str">
        <v>J303</v>
      </c>
      <c r="AA83" s="195" t="str">
        <v>J301-J314</v>
      </c>
      <c r="AC83" s="70" t="str">
        <v>J303</v>
      </c>
    </row>
    <row r="84" spans="1:29" x14ac:dyDescent="0.2">
      <c r="A84"/>
      <c r="B84"/>
      <c r="C84"/>
      <c r="D84"/>
      <c r="E84"/>
      <c r="F84" t="str">
        <f>LEFT(AllDaqbookOffsets[[#This Row],[traceability_no]],2)</f>
        <v>J1</v>
      </c>
      <c r="W84" t="s">
        <v>531</v>
      </c>
      <c r="X84" t="s">
        <v>170</v>
      </c>
      <c r="Z84" s="470" t="str">
        <v>J304</v>
      </c>
      <c r="AA84" s="195" t="str">
        <v>J301-J314</v>
      </c>
      <c r="AC84" s="70" t="str">
        <v>J304</v>
      </c>
    </row>
    <row r="85" spans="1:29" x14ac:dyDescent="0.2">
      <c r="A85"/>
      <c r="B85"/>
      <c r="C85"/>
      <c r="D85"/>
      <c r="E85"/>
      <c r="F85" t="str">
        <f>LEFT(AllDaqbookOffsets[[#This Row],[traceability_no]],2)</f>
        <v>J1</v>
      </c>
      <c r="W85" t="s">
        <v>532</v>
      </c>
      <c r="X85" t="s">
        <v>170</v>
      </c>
      <c r="Z85" s="470" t="str">
        <v>J305</v>
      </c>
      <c r="AA85" s="195" t="str">
        <v>J301-J314</v>
      </c>
      <c r="AC85" s="70" t="str">
        <v>J305</v>
      </c>
    </row>
    <row r="86" spans="1:29" x14ac:dyDescent="0.2">
      <c r="A86"/>
      <c r="B86"/>
      <c r="C86"/>
      <c r="D86"/>
      <c r="E86"/>
      <c r="F86" t="str">
        <f>LEFT(AllDaqbookOffsets[[#This Row],[traceability_no]],2)</f>
        <v>J1</v>
      </c>
      <c r="W86" t="s">
        <v>533</v>
      </c>
      <c r="X86" t="s">
        <v>170</v>
      </c>
      <c r="Z86" s="470" t="str">
        <v>J306</v>
      </c>
      <c r="AA86" s="195" t="str">
        <v>J301-J314</v>
      </c>
      <c r="AC86" s="70" t="str">
        <v>J306</v>
      </c>
    </row>
    <row r="87" spans="1:29" x14ac:dyDescent="0.2">
      <c r="A87"/>
      <c r="B87"/>
      <c r="C87"/>
      <c r="D87"/>
      <c r="E87"/>
      <c r="F87" t="str">
        <f>LEFT(AllDaqbookOffsets[[#This Row],[traceability_no]],2)</f>
        <v>J1</v>
      </c>
      <c r="W87" t="s">
        <v>534</v>
      </c>
      <c r="X87" t="s">
        <v>170</v>
      </c>
      <c r="Z87" s="470" t="str">
        <v>J307</v>
      </c>
      <c r="AA87" s="195" t="str">
        <v>J301-J314</v>
      </c>
      <c r="AC87" s="70" t="str">
        <v>J307</v>
      </c>
    </row>
    <row r="88" spans="1:29" x14ac:dyDescent="0.2">
      <c r="A88"/>
      <c r="B88"/>
      <c r="C88"/>
      <c r="D88"/>
      <c r="E88"/>
      <c r="F88" t="str">
        <f>LEFT(AllDaqbookOffsets[[#This Row],[traceability_no]],2)</f>
        <v>J1</v>
      </c>
      <c r="W88" t="s">
        <v>535</v>
      </c>
      <c r="X88" t="s">
        <v>171</v>
      </c>
      <c r="Z88" s="470" t="str">
        <v>J308</v>
      </c>
      <c r="AA88" s="195" t="str">
        <v>J301-J314</v>
      </c>
      <c r="AC88" s="70" t="str">
        <v>J308</v>
      </c>
    </row>
    <row r="89" spans="1:29" x14ac:dyDescent="0.2">
      <c r="A89"/>
      <c r="B89"/>
      <c r="C89"/>
      <c r="D89"/>
      <c r="E89"/>
      <c r="F89" t="str">
        <f>LEFT(AllDaqbookOffsets[[#This Row],[traceability_no]],2)</f>
        <v>J1</v>
      </c>
      <c r="W89" t="s">
        <v>536</v>
      </c>
      <c r="X89" t="s">
        <v>171</v>
      </c>
      <c r="Z89" s="470" t="str">
        <v>J309</v>
      </c>
      <c r="AA89" s="195" t="str">
        <v>J301-J314</v>
      </c>
      <c r="AC89" s="70" t="str">
        <v>J309</v>
      </c>
    </row>
    <row r="90" spans="1:29" x14ac:dyDescent="0.2">
      <c r="A90"/>
      <c r="B90"/>
      <c r="C90"/>
      <c r="D90"/>
      <c r="E90"/>
      <c r="F90" t="str">
        <f>LEFT(AllDaqbookOffsets[[#This Row],[traceability_no]],2)</f>
        <v>J1</v>
      </c>
      <c r="W90" t="s">
        <v>537</v>
      </c>
      <c r="X90" t="s">
        <v>171</v>
      </c>
      <c r="Z90" s="470" t="str">
        <v>J310</v>
      </c>
      <c r="AA90" s="195" t="str">
        <v>J301-J314</v>
      </c>
      <c r="AC90" s="70" t="str">
        <v>J310</v>
      </c>
    </row>
    <row r="91" spans="1:29" x14ac:dyDescent="0.2">
      <c r="A91"/>
      <c r="B91"/>
      <c r="C91"/>
      <c r="D91"/>
      <c r="E91"/>
      <c r="F91" t="str">
        <f>LEFT(AllDaqbookOffsets[[#This Row],[traceability_no]],2)</f>
        <v>J1</v>
      </c>
      <c r="W91" t="s">
        <v>538</v>
      </c>
      <c r="X91" t="s">
        <v>171</v>
      </c>
      <c r="Z91" s="470" t="str">
        <v>J311</v>
      </c>
      <c r="AA91" s="195" t="str">
        <v>J301-J314</v>
      </c>
      <c r="AC91" s="70" t="str">
        <v>J311</v>
      </c>
    </row>
    <row r="92" spans="1:29" x14ac:dyDescent="0.2">
      <c r="A92"/>
      <c r="B92"/>
      <c r="C92"/>
      <c r="D92"/>
      <c r="E92"/>
      <c r="F92" t="str">
        <f>LEFT(AllDaqbookOffsets[[#This Row],[traceability_no]],2)</f>
        <v>J1</v>
      </c>
      <c r="W92" t="s">
        <v>539</v>
      </c>
      <c r="X92" t="s">
        <v>171</v>
      </c>
      <c r="Z92" s="470" t="str">
        <v>J312</v>
      </c>
      <c r="AA92" s="195" t="str">
        <v>J301-J314</v>
      </c>
      <c r="AC92" s="70" t="str">
        <v>J312</v>
      </c>
    </row>
    <row r="93" spans="1:29" x14ac:dyDescent="0.2">
      <c r="A93"/>
      <c r="B93"/>
      <c r="C93"/>
      <c r="D93"/>
      <c r="E93"/>
      <c r="F93" t="str">
        <f>LEFT(AllDaqbookOffsets[[#This Row],[traceability_no]],2)</f>
        <v>J1</v>
      </c>
      <c r="W93" t="s">
        <v>540</v>
      </c>
      <c r="X93" t="s">
        <v>171</v>
      </c>
      <c r="Z93" s="470" t="str">
        <v>J313</v>
      </c>
      <c r="AA93" s="195" t="str">
        <v>J301-J314</v>
      </c>
      <c r="AC93" s="70" t="str">
        <v>J313</v>
      </c>
    </row>
    <row r="94" spans="1:29" x14ac:dyDescent="0.2">
      <c r="A94"/>
      <c r="B94"/>
      <c r="C94"/>
      <c r="D94"/>
      <c r="E94"/>
      <c r="F94" t="str">
        <f>LEFT(AllDaqbookOffsets[[#This Row],[traceability_no]],2)</f>
        <v>J1</v>
      </c>
      <c r="W94" t="s">
        <v>541</v>
      </c>
      <c r="X94" t="s">
        <v>171</v>
      </c>
      <c r="Z94" s="470" t="str">
        <v>J314</v>
      </c>
      <c r="AA94" s="195" t="str">
        <v>J301-J314</v>
      </c>
      <c r="AC94" s="70" t="str">
        <v>J314</v>
      </c>
    </row>
    <row r="95" spans="1:29" x14ac:dyDescent="0.2">
      <c r="A95"/>
      <c r="B95"/>
      <c r="C95"/>
      <c r="D95"/>
      <c r="E95"/>
      <c r="F95" t="str">
        <f>LEFT(AllDaqbookOffsets[[#This Row],[traceability_no]],2)</f>
        <v>J1</v>
      </c>
      <c r="W95" t="s">
        <v>542</v>
      </c>
      <c r="X95" t="s">
        <v>171</v>
      </c>
      <c r="Z95" s="470" t="str">
        <v>J501</v>
      </c>
      <c r="AA95" s="195" t="str">
        <v>J501-J514</v>
      </c>
      <c r="AC95" s="70" t="str">
        <v>J501</v>
      </c>
    </row>
    <row r="96" spans="1:29" x14ac:dyDescent="0.2">
      <c r="A96"/>
      <c r="B96"/>
      <c r="C96"/>
      <c r="D96"/>
      <c r="E96"/>
      <c r="F96" t="str">
        <f>LEFT(AllDaqbookOffsets[[#This Row],[traceability_no]],2)</f>
        <v>J1</v>
      </c>
      <c r="W96" t="s">
        <v>543</v>
      </c>
      <c r="X96" t="s">
        <v>171</v>
      </c>
      <c r="Z96" s="470" t="str">
        <v>J502</v>
      </c>
      <c r="AA96" s="195" t="str">
        <v>J501-J514</v>
      </c>
      <c r="AC96" s="70" t="str">
        <v>J502</v>
      </c>
    </row>
    <row r="97" spans="1:29" x14ac:dyDescent="0.2">
      <c r="A97"/>
      <c r="B97"/>
      <c r="C97"/>
      <c r="D97"/>
      <c r="E97"/>
      <c r="F97" t="str">
        <f>LEFT(AllDaqbookOffsets[[#This Row],[traceability_no]],2)</f>
        <v>J1</v>
      </c>
      <c r="W97" t="s">
        <v>544</v>
      </c>
      <c r="X97" t="s">
        <v>171</v>
      </c>
      <c r="Z97" s="470" t="str">
        <v>J503</v>
      </c>
      <c r="AA97" s="195" t="str">
        <v>J501-J514</v>
      </c>
      <c r="AC97" s="70" t="str">
        <v>J503</v>
      </c>
    </row>
    <row r="98" spans="1:29" x14ac:dyDescent="0.2">
      <c r="A98"/>
      <c r="B98"/>
      <c r="C98"/>
      <c r="D98"/>
      <c r="E98"/>
      <c r="F98" t="str">
        <f>LEFT(AllDaqbookOffsets[[#This Row],[traceability_no]],2)</f>
        <v>J1</v>
      </c>
      <c r="W98" t="s">
        <v>545</v>
      </c>
      <c r="X98" t="s">
        <v>172</v>
      </c>
      <c r="Z98" s="470" t="str">
        <v>J504</v>
      </c>
      <c r="AA98" s="195" t="str">
        <v>J501-J514</v>
      </c>
      <c r="AC98" s="70" t="str">
        <v>J504</v>
      </c>
    </row>
    <row r="99" spans="1:29" x14ac:dyDescent="0.2">
      <c r="A99"/>
      <c r="B99"/>
      <c r="C99"/>
      <c r="D99"/>
      <c r="E99"/>
      <c r="F99" t="str">
        <f>LEFT(AllDaqbookOffsets[[#This Row],[traceability_no]],2)</f>
        <v>J1</v>
      </c>
      <c r="W99" t="s">
        <v>546</v>
      </c>
      <c r="X99" t="s">
        <v>172</v>
      </c>
      <c r="Z99" s="470" t="str">
        <v>J505</v>
      </c>
      <c r="AA99" s="195" t="str">
        <v>J501-J514</v>
      </c>
      <c r="AC99" s="70" t="str">
        <v>J505</v>
      </c>
    </row>
    <row r="100" spans="1:29" x14ac:dyDescent="0.2">
      <c r="A100"/>
      <c r="B100"/>
      <c r="C100"/>
      <c r="D100"/>
      <c r="E100"/>
      <c r="F100" t="str">
        <f>LEFT(AllDaqbookOffsets[[#This Row],[traceability_no]],2)</f>
        <v>J1</v>
      </c>
      <c r="W100" t="s">
        <v>547</v>
      </c>
      <c r="X100" t="s">
        <v>172</v>
      </c>
      <c r="Z100" s="470" t="str">
        <v>J506</v>
      </c>
      <c r="AA100" s="195" t="str">
        <v>J501-J514</v>
      </c>
      <c r="AC100" s="70" t="str">
        <v>J506</v>
      </c>
    </row>
    <row r="101" spans="1:29" x14ac:dyDescent="0.2">
      <c r="A101"/>
      <c r="B101"/>
      <c r="C101"/>
      <c r="D101"/>
      <c r="E101"/>
      <c r="F101" t="str">
        <f>LEFT(AllDaqbookOffsets[[#This Row],[traceability_no]],2)</f>
        <v>J1</v>
      </c>
      <c r="W101" t="s">
        <v>548</v>
      </c>
      <c r="X101" t="s">
        <v>172</v>
      </c>
      <c r="Z101" s="470" t="str">
        <v>J507</v>
      </c>
      <c r="AA101" s="195" t="str">
        <v>J501-J514</v>
      </c>
      <c r="AC101" s="70" t="str">
        <v>J507</v>
      </c>
    </row>
    <row r="102" spans="1:29" x14ac:dyDescent="0.2">
      <c r="A102"/>
      <c r="B102"/>
      <c r="C102"/>
      <c r="D102"/>
      <c r="E102"/>
      <c r="F102" t="str">
        <f>LEFT(AllDaqbookOffsets[[#This Row],[traceability_no]],2)</f>
        <v>J1</v>
      </c>
      <c r="W102" t="s">
        <v>549</v>
      </c>
      <c r="X102" t="s">
        <v>172</v>
      </c>
      <c r="Z102" s="470" t="str">
        <v>J508</v>
      </c>
      <c r="AA102" s="195" t="str">
        <v>J501-J514</v>
      </c>
      <c r="AC102" s="70" t="str">
        <v>J508</v>
      </c>
    </row>
    <row r="103" spans="1:29" x14ac:dyDescent="0.2">
      <c r="A103"/>
      <c r="B103"/>
      <c r="C103"/>
      <c r="D103"/>
      <c r="E103"/>
      <c r="F103" t="str">
        <f>LEFT(AllDaqbookOffsets[[#This Row],[traceability_no]],2)</f>
        <v>J1</v>
      </c>
      <c r="W103" t="s">
        <v>550</v>
      </c>
      <c r="X103" t="s">
        <v>172</v>
      </c>
      <c r="Z103" s="470" t="str">
        <v>J509</v>
      </c>
      <c r="AA103" s="195" t="str">
        <v>J501-J514</v>
      </c>
      <c r="AC103" s="70" t="str">
        <v>J509</v>
      </c>
    </row>
    <row r="104" spans="1:29" x14ac:dyDescent="0.2">
      <c r="A104"/>
      <c r="B104"/>
      <c r="C104"/>
      <c r="D104"/>
      <c r="E104"/>
      <c r="F104" t="str">
        <f>LEFT(AllDaqbookOffsets[[#This Row],[traceability_no]],2)</f>
        <v>J1</v>
      </c>
      <c r="W104" t="s">
        <v>551</v>
      </c>
      <c r="X104" t="s">
        <v>172</v>
      </c>
      <c r="Z104" s="470" t="str">
        <v>J510</v>
      </c>
      <c r="AA104" s="195" t="str">
        <v>J501-J514</v>
      </c>
      <c r="AC104" s="70" t="str">
        <v>J510</v>
      </c>
    </row>
    <row r="105" spans="1:29" x14ac:dyDescent="0.2">
      <c r="A105"/>
      <c r="B105"/>
      <c r="C105"/>
      <c r="D105"/>
      <c r="E105"/>
      <c r="F105" t="str">
        <f>LEFT(AllDaqbookOffsets[[#This Row],[traceability_no]],2)</f>
        <v>J1</v>
      </c>
      <c r="W105" t="s">
        <v>552</v>
      </c>
      <c r="X105" t="s">
        <v>172</v>
      </c>
      <c r="Z105" s="470" t="str">
        <v>J511</v>
      </c>
      <c r="AA105" s="195" t="str">
        <v>J501-J514</v>
      </c>
      <c r="AC105" s="70" t="str">
        <v>J511</v>
      </c>
    </row>
    <row r="106" spans="1:29" x14ac:dyDescent="0.2">
      <c r="A106"/>
      <c r="B106"/>
      <c r="C106"/>
      <c r="D106"/>
      <c r="E106"/>
      <c r="F106" t="str">
        <f>LEFT(AllDaqbookOffsets[[#This Row],[traceability_no]],2)</f>
        <v>J1</v>
      </c>
      <c r="W106" t="s">
        <v>553</v>
      </c>
      <c r="X106" t="s">
        <v>172</v>
      </c>
      <c r="Z106" s="470" t="str">
        <v>J512</v>
      </c>
      <c r="AA106" s="195" t="str">
        <v>J501-J514</v>
      </c>
      <c r="AC106" s="70" t="str">
        <v>J512</v>
      </c>
    </row>
    <row r="107" spans="1:29" x14ac:dyDescent="0.2">
      <c r="A107"/>
      <c r="B107"/>
      <c r="C107"/>
      <c r="D107"/>
      <c r="E107"/>
      <c r="F107" t="str">
        <f>LEFT(AllDaqbookOffsets[[#This Row],[traceability_no]],2)</f>
        <v>J1</v>
      </c>
      <c r="W107" t="s">
        <v>554</v>
      </c>
      <c r="X107" t="s">
        <v>172</v>
      </c>
      <c r="Z107" s="470" t="str">
        <v>J513</v>
      </c>
      <c r="AA107" s="195" t="str">
        <v>J501-J514</v>
      </c>
      <c r="AC107" s="70" t="str">
        <v>J513</v>
      </c>
    </row>
    <row r="108" spans="1:29" x14ac:dyDescent="0.2">
      <c r="A108"/>
      <c r="B108"/>
      <c r="C108"/>
      <c r="D108"/>
      <c r="E108"/>
      <c r="F108" t="str">
        <f>LEFT(AllDaqbookOffsets[[#This Row],[traceability_no]],2)</f>
        <v>J1</v>
      </c>
      <c r="W108" t="s">
        <v>555</v>
      </c>
      <c r="X108" t="s">
        <v>300</v>
      </c>
      <c r="Z108" s="470" t="str">
        <v>J514</v>
      </c>
      <c r="AA108" s="195" t="str">
        <v>J501-J514</v>
      </c>
      <c r="AC108" s="70" t="str">
        <v>J514</v>
      </c>
    </row>
    <row r="109" spans="1:29" x14ac:dyDescent="0.2">
      <c r="A109"/>
      <c r="B109"/>
      <c r="C109"/>
      <c r="D109"/>
      <c r="E109"/>
      <c r="F109" t="str">
        <f>LEFT(AllDaqbookOffsets[[#This Row],[traceability_no]],2)</f>
        <v>J1</v>
      </c>
      <c r="W109" t="s">
        <v>556</v>
      </c>
      <c r="X109" t="s">
        <v>300</v>
      </c>
      <c r="Z109" s="470" t="str">
        <v>J601</v>
      </c>
      <c r="AA109" s="195" t="str">
        <v>J601-J610</v>
      </c>
      <c r="AC109" s="70" t="str">
        <v>J601</v>
      </c>
    </row>
    <row r="110" spans="1:29" x14ac:dyDescent="0.2">
      <c r="A110"/>
      <c r="B110"/>
      <c r="C110"/>
      <c r="D110"/>
      <c r="E110"/>
      <c r="F110" t="str">
        <f>LEFT(AllDaqbookOffsets[[#This Row],[traceability_no]],2)</f>
        <v>J1</v>
      </c>
      <c r="W110" t="s">
        <v>557</v>
      </c>
      <c r="X110" t="s">
        <v>300</v>
      </c>
      <c r="Z110" s="470" t="str">
        <v>J602</v>
      </c>
      <c r="AA110" s="195" t="str">
        <v>J601-J610</v>
      </c>
      <c r="AC110" s="70" t="str">
        <v>J602</v>
      </c>
    </row>
    <row r="111" spans="1:29" x14ac:dyDescent="0.2">
      <c r="A111"/>
      <c r="B111"/>
      <c r="C111"/>
      <c r="D111"/>
      <c r="E111"/>
      <c r="F111" t="str">
        <f>LEFT(AllDaqbookOffsets[[#This Row],[traceability_no]],2)</f>
        <v>J1</v>
      </c>
      <c r="W111" t="s">
        <v>558</v>
      </c>
      <c r="X111" t="s">
        <v>300</v>
      </c>
      <c r="Z111" s="470" t="str">
        <v>J603</v>
      </c>
      <c r="AA111" s="195" t="str">
        <v>J601-J610</v>
      </c>
      <c r="AC111" s="70" t="str">
        <v>J603</v>
      </c>
    </row>
    <row r="112" spans="1:29" x14ac:dyDescent="0.2">
      <c r="A112"/>
      <c r="B112"/>
      <c r="C112"/>
      <c r="D112"/>
      <c r="E112"/>
      <c r="F112" t="str">
        <f>LEFT(AllDaqbookOffsets[[#This Row],[traceability_no]],2)</f>
        <v>J1</v>
      </c>
      <c r="W112" t="s">
        <v>559</v>
      </c>
      <c r="X112" t="s">
        <v>300</v>
      </c>
      <c r="Z112" s="470" t="str">
        <v>J604</v>
      </c>
      <c r="AA112" s="195" t="str">
        <v>J601-J610</v>
      </c>
      <c r="AC112" s="70" t="str">
        <v>J604</v>
      </c>
    </row>
    <row r="113" spans="1:29" x14ac:dyDescent="0.2">
      <c r="A113"/>
      <c r="B113"/>
      <c r="C113"/>
      <c r="D113"/>
      <c r="E113"/>
      <c r="F113" t="str">
        <f>LEFT(AllDaqbookOffsets[[#This Row],[traceability_no]],2)</f>
        <v>J1</v>
      </c>
      <c r="W113" t="s">
        <v>560</v>
      </c>
      <c r="X113" t="s">
        <v>300</v>
      </c>
      <c r="Z113" s="470" t="str">
        <v>J605</v>
      </c>
      <c r="AA113" s="195" t="str">
        <v>J601-J610</v>
      </c>
      <c r="AC113" s="70" t="str">
        <v>J605</v>
      </c>
    </row>
    <row r="114" spans="1:29" x14ac:dyDescent="0.2">
      <c r="A114"/>
      <c r="B114"/>
      <c r="C114"/>
      <c r="D114"/>
      <c r="E114"/>
      <c r="F114" t="str">
        <f>LEFT(AllDaqbookOffsets[[#This Row],[traceability_no]],2)</f>
        <v>J1</v>
      </c>
      <c r="W114" t="s">
        <v>561</v>
      </c>
      <c r="X114" t="s">
        <v>300</v>
      </c>
      <c r="Z114" s="470" t="str">
        <v>J606</v>
      </c>
      <c r="AA114" s="195" t="str">
        <v>J601-J610</v>
      </c>
      <c r="AC114" s="70" t="str">
        <v>J606</v>
      </c>
    </row>
    <row r="115" spans="1:29" x14ac:dyDescent="0.2">
      <c r="A115"/>
      <c r="B115"/>
      <c r="C115"/>
      <c r="D115"/>
      <c r="E115"/>
      <c r="F115" t="str">
        <f>LEFT(AllDaqbookOffsets[[#This Row],[traceability_no]],2)</f>
        <v>J1</v>
      </c>
      <c r="W115" t="s">
        <v>562</v>
      </c>
      <c r="X115" t="s">
        <v>300</v>
      </c>
      <c r="Z115" s="470" t="str">
        <v>J607</v>
      </c>
      <c r="AA115" s="195" t="str">
        <v>J601-J610</v>
      </c>
      <c r="AC115" s="70" t="str">
        <v>J607</v>
      </c>
    </row>
    <row r="116" spans="1:29" x14ac:dyDescent="0.2">
      <c r="A116"/>
      <c r="B116"/>
      <c r="C116"/>
      <c r="D116"/>
      <c r="E116"/>
      <c r="F116" t="str">
        <f>LEFT(AllDaqbookOffsets[[#This Row],[traceability_no]],2)</f>
        <v>J1</v>
      </c>
      <c r="W116" t="s">
        <v>563</v>
      </c>
      <c r="X116" t="s">
        <v>300</v>
      </c>
      <c r="Z116" s="470" t="str">
        <v>J608</v>
      </c>
      <c r="AA116" s="195" t="str">
        <v>J601-J610</v>
      </c>
      <c r="AC116" s="70" t="str">
        <v>J608</v>
      </c>
    </row>
    <row r="117" spans="1:29" x14ac:dyDescent="0.2">
      <c r="A117"/>
      <c r="B117"/>
      <c r="C117"/>
      <c r="D117"/>
      <c r="E117"/>
      <c r="F117" t="str">
        <f>LEFT(AllDaqbookOffsets[[#This Row],[traceability_no]],2)</f>
        <v>J1</v>
      </c>
      <c r="W117" t="s">
        <v>564</v>
      </c>
      <c r="X117" t="s">
        <v>300</v>
      </c>
      <c r="Z117" s="470" t="str">
        <v>J609</v>
      </c>
      <c r="AA117" s="195" t="str">
        <v>J601-J610</v>
      </c>
      <c r="AC117" s="70" t="str">
        <v>J609</v>
      </c>
    </row>
    <row r="118" spans="1:29" x14ac:dyDescent="0.2">
      <c r="A118"/>
      <c r="B118"/>
      <c r="C118"/>
      <c r="D118"/>
      <c r="E118"/>
      <c r="F118" t="str">
        <f>LEFT(AllDaqbookOffsets[[#This Row],[traceability_no]],2)</f>
        <v>J1</v>
      </c>
      <c r="W118" t="s">
        <v>571</v>
      </c>
      <c r="X118" t="s">
        <v>174</v>
      </c>
      <c r="Z118" s="470" t="str">
        <v>J610</v>
      </c>
      <c r="AA118" s="195" t="str">
        <v>J601-J610</v>
      </c>
      <c r="AC118" s="70" t="str">
        <v>J610</v>
      </c>
    </row>
    <row r="119" spans="1:29" x14ac:dyDescent="0.2">
      <c r="A119"/>
      <c r="B119"/>
      <c r="C119"/>
      <c r="D119"/>
      <c r="E119"/>
      <c r="F119" t="str">
        <f>LEFT(AllDaqbookOffsets[[#This Row],[traceability_no]],2)</f>
        <v>J1</v>
      </c>
      <c r="W119" t="s">
        <v>572</v>
      </c>
      <c r="X119" t="s">
        <v>174</v>
      </c>
      <c r="Z119" s="470" t="str">
        <v>J701</v>
      </c>
      <c r="AA119" s="195" t="str">
        <v>J701-J710</v>
      </c>
      <c r="AC119" s="70" t="str">
        <v>J701</v>
      </c>
    </row>
    <row r="120" spans="1:29" x14ac:dyDescent="0.2">
      <c r="A120"/>
      <c r="B120"/>
      <c r="C120"/>
      <c r="D120"/>
      <c r="E120"/>
      <c r="F120" t="str">
        <f>LEFT(AllDaqbookOffsets[[#This Row],[traceability_no]],2)</f>
        <v>J1</v>
      </c>
      <c r="W120" t="s">
        <v>573</v>
      </c>
      <c r="X120" t="s">
        <v>174</v>
      </c>
      <c r="Z120" s="470" t="str">
        <v>J702</v>
      </c>
      <c r="AA120" s="195" t="str">
        <v>J701-J710</v>
      </c>
      <c r="AC120" s="70" t="str">
        <v>J702</v>
      </c>
    </row>
    <row r="121" spans="1:29" x14ac:dyDescent="0.2">
      <c r="A121"/>
      <c r="B121"/>
      <c r="C121"/>
      <c r="D121"/>
      <c r="E121"/>
      <c r="F121" t="str">
        <f>LEFT(AllDaqbookOffsets[[#This Row],[traceability_no]],2)</f>
        <v>J1</v>
      </c>
      <c r="W121" t="s">
        <v>574</v>
      </c>
      <c r="X121" t="s">
        <v>174</v>
      </c>
      <c r="Z121" s="470" t="str">
        <v>J703</v>
      </c>
      <c r="AA121" s="195" t="str">
        <v>J701-J710</v>
      </c>
      <c r="AC121" s="70" t="str">
        <v>J703</v>
      </c>
    </row>
    <row r="122" spans="1:29" x14ac:dyDescent="0.2">
      <c r="A122"/>
      <c r="B122"/>
      <c r="C122"/>
      <c r="D122"/>
      <c r="E122"/>
      <c r="F122" t="str">
        <f>LEFT(AllDaqbookOffsets[[#This Row],[traceability_no]],2)</f>
        <v>J1</v>
      </c>
      <c r="W122" t="s">
        <v>575</v>
      </c>
      <c r="X122" t="s">
        <v>174</v>
      </c>
      <c r="Z122" s="470" t="str">
        <v>J704</v>
      </c>
      <c r="AA122" s="195" t="str">
        <v>J701-J710</v>
      </c>
      <c r="AC122" s="70" t="str">
        <v>J704</v>
      </c>
    </row>
    <row r="123" spans="1:29" x14ac:dyDescent="0.2">
      <c r="A123"/>
      <c r="B123"/>
      <c r="C123"/>
      <c r="D123"/>
      <c r="E123"/>
      <c r="F123" t="str">
        <f>LEFT(AllDaqbookOffsets[[#This Row],[traceability_no]],2)</f>
        <v>J1</v>
      </c>
      <c r="W123" t="s">
        <v>576</v>
      </c>
      <c r="X123" t="s">
        <v>174</v>
      </c>
      <c r="Z123" s="470" t="str">
        <v>J705</v>
      </c>
      <c r="AA123" s="195" t="str">
        <v>J701-J710</v>
      </c>
      <c r="AC123" s="70" t="str">
        <v>J705</v>
      </c>
    </row>
    <row r="124" spans="1:29" x14ac:dyDescent="0.2">
      <c r="A124"/>
      <c r="B124"/>
      <c r="C124"/>
      <c r="D124"/>
      <c r="E124"/>
      <c r="F124" t="str">
        <f>LEFT(AllDaqbookOffsets[[#This Row],[traceability_no]],2)</f>
        <v>J1</v>
      </c>
      <c r="W124" t="s">
        <v>577</v>
      </c>
      <c r="X124" t="s">
        <v>174</v>
      </c>
      <c r="Z124" s="470" t="str">
        <v>J706</v>
      </c>
      <c r="AA124" s="195" t="str">
        <v>J701-J710</v>
      </c>
      <c r="AC124" s="70" t="str">
        <v>J706</v>
      </c>
    </row>
    <row r="125" spans="1:29" x14ac:dyDescent="0.2">
      <c r="A125"/>
      <c r="B125"/>
      <c r="C125"/>
      <c r="D125"/>
      <c r="E125"/>
      <c r="F125" t="str">
        <f>LEFT(AllDaqbookOffsets[[#This Row],[traceability_no]],2)</f>
        <v>J1</v>
      </c>
      <c r="W125" t="s">
        <v>578</v>
      </c>
      <c r="X125" t="s">
        <v>174</v>
      </c>
      <c r="Z125" s="470" t="str">
        <v>J707</v>
      </c>
      <c r="AA125" s="195" t="str">
        <v>J701-J710</v>
      </c>
      <c r="AC125" s="70" t="str">
        <v>J707</v>
      </c>
    </row>
    <row r="126" spans="1:29" x14ac:dyDescent="0.2">
      <c r="A126"/>
      <c r="B126"/>
      <c r="C126"/>
      <c r="D126"/>
      <c r="E126"/>
      <c r="F126" t="str">
        <f>LEFT(AllDaqbookOffsets[[#This Row],[traceability_no]],2)</f>
        <v>J1</v>
      </c>
      <c r="W126" t="s">
        <v>579</v>
      </c>
      <c r="X126" t="s">
        <v>174</v>
      </c>
      <c r="Z126" s="470" t="str">
        <v>J708</v>
      </c>
      <c r="AA126" s="195" t="str">
        <v>J701-J710</v>
      </c>
      <c r="AC126" s="70" t="str">
        <v>J708</v>
      </c>
    </row>
    <row r="127" spans="1:29" x14ac:dyDescent="0.2">
      <c r="A127"/>
      <c r="B127"/>
      <c r="C127"/>
      <c r="D127"/>
      <c r="E127"/>
      <c r="F127" t="str">
        <f>LEFT(AllDaqbookOffsets[[#This Row],[traceability_no]],2)</f>
        <v>J1</v>
      </c>
      <c r="W127" t="s">
        <v>565</v>
      </c>
      <c r="X127" t="s">
        <v>300</v>
      </c>
      <c r="Z127" s="470" t="str">
        <v>J709</v>
      </c>
      <c r="AA127" s="195" t="str">
        <v>J701-J710</v>
      </c>
      <c r="AC127" s="70" t="str">
        <v>J709</v>
      </c>
    </row>
    <row r="128" spans="1:29" x14ac:dyDescent="0.2">
      <c r="A128"/>
      <c r="B128"/>
      <c r="C128"/>
      <c r="D128"/>
      <c r="E128"/>
      <c r="F128" t="str">
        <f>LEFT(AllDaqbookOffsets[[#This Row],[traceability_no]],2)</f>
        <v>J1</v>
      </c>
      <c r="W128" t="s">
        <v>580</v>
      </c>
      <c r="X128" t="s">
        <v>174</v>
      </c>
      <c r="Z128" s="470" t="str">
        <v>J710</v>
      </c>
      <c r="AA128" s="195" t="str">
        <v>J701-J710</v>
      </c>
      <c r="AC128" s="70" t="str">
        <v>J710</v>
      </c>
    </row>
    <row r="129" spans="1:29" x14ac:dyDescent="0.2">
      <c r="A129"/>
      <c r="B129"/>
      <c r="C129"/>
      <c r="D129"/>
      <c r="E129"/>
      <c r="F129" t="str">
        <f>LEFT(AllDaqbookOffsets[[#This Row],[traceability_no]],2)</f>
        <v>J1</v>
      </c>
      <c r="W129" t="s">
        <v>566</v>
      </c>
      <c r="X129" t="s">
        <v>300</v>
      </c>
      <c r="Z129" s="470" t="str">
        <v>K01</v>
      </c>
      <c r="AA129" s="195" t="str">
        <v>K01-K16</v>
      </c>
      <c r="AC129" s="70" t="str">
        <v>K01</v>
      </c>
    </row>
    <row r="130" spans="1:29" x14ac:dyDescent="0.2">
      <c r="A130"/>
      <c r="B130"/>
      <c r="C130"/>
      <c r="D130"/>
      <c r="E130"/>
      <c r="F130" t="str">
        <f>LEFT(AllDaqbookOffsets[[#This Row],[traceability_no]],2)</f>
        <v>J1</v>
      </c>
      <c r="W130" t="s">
        <v>567</v>
      </c>
      <c r="X130" t="s">
        <v>300</v>
      </c>
      <c r="Z130" s="470" t="str">
        <v>K02</v>
      </c>
      <c r="AA130" s="195" t="str">
        <v>K01-K16</v>
      </c>
      <c r="AC130" s="70" t="str">
        <v>K02</v>
      </c>
    </row>
    <row r="131" spans="1:29" x14ac:dyDescent="0.2">
      <c r="A131"/>
      <c r="B131"/>
      <c r="C131"/>
      <c r="D131"/>
      <c r="E131"/>
      <c r="F131" t="str">
        <f>LEFT(AllDaqbookOffsets[[#This Row],[traceability_no]],2)</f>
        <v>J1</v>
      </c>
      <c r="W131" t="s">
        <v>568</v>
      </c>
      <c r="X131" t="s">
        <v>300</v>
      </c>
      <c r="Z131" s="470" t="str">
        <v>K03</v>
      </c>
      <c r="AA131" s="195" t="str">
        <v>K01-K16</v>
      </c>
      <c r="AC131" s="70" t="str">
        <v>K03</v>
      </c>
    </row>
    <row r="132" spans="1:29" x14ac:dyDescent="0.2">
      <c r="A132"/>
      <c r="B132"/>
      <c r="C132"/>
      <c r="D132"/>
      <c r="E132"/>
      <c r="F132" t="str">
        <f>LEFT(AllDaqbookOffsets[[#This Row],[traceability_no]],2)</f>
        <v>J1</v>
      </c>
      <c r="W132" t="s">
        <v>569</v>
      </c>
      <c r="X132" t="s">
        <v>300</v>
      </c>
      <c r="Z132" s="470" t="str">
        <v>K04</v>
      </c>
      <c r="AA132" s="195" t="str">
        <v>K01-K16</v>
      </c>
      <c r="AC132" s="70" t="str">
        <v>K04</v>
      </c>
    </row>
    <row r="133" spans="1:29" x14ac:dyDescent="0.2">
      <c r="A133"/>
      <c r="B133"/>
      <c r="C133"/>
      <c r="D133"/>
      <c r="E133"/>
      <c r="F133" t="str">
        <f>LEFT(AllDaqbookOffsets[[#This Row],[traceability_no]],2)</f>
        <v>J1</v>
      </c>
      <c r="W133" t="s">
        <v>570</v>
      </c>
      <c r="X133" t="s">
        <v>300</v>
      </c>
      <c r="Z133" s="470" t="str">
        <v>K05</v>
      </c>
      <c r="AA133" s="195" t="str">
        <v>K01-K16</v>
      </c>
      <c r="AC133" s="70" t="str">
        <v>K05</v>
      </c>
    </row>
    <row r="134" spans="1:29" x14ac:dyDescent="0.2">
      <c r="A134"/>
      <c r="B134"/>
      <c r="C134"/>
      <c r="D134"/>
      <c r="E134"/>
      <c r="F134" t="str">
        <f>LEFT(AllDaqbookOffsets[[#This Row],[traceability_no]],2)</f>
        <v>J1</v>
      </c>
      <c r="W134" t="s">
        <v>581</v>
      </c>
      <c r="X134" t="s">
        <v>175</v>
      </c>
      <c r="Z134" s="470" t="str">
        <v>K06</v>
      </c>
      <c r="AA134" s="195" t="str">
        <v>K01-K16</v>
      </c>
      <c r="AC134" s="70" t="str">
        <v>K06</v>
      </c>
    </row>
    <row r="135" spans="1:29" x14ac:dyDescent="0.2">
      <c r="A135"/>
      <c r="B135"/>
      <c r="C135"/>
      <c r="D135"/>
      <c r="E135"/>
      <c r="F135" t="str">
        <f>LEFT(AllDaqbookOffsets[[#This Row],[traceability_no]],2)</f>
        <v>J1</v>
      </c>
      <c r="W135" t="s">
        <v>582</v>
      </c>
      <c r="X135" t="s">
        <v>175</v>
      </c>
      <c r="Z135" s="470" t="str">
        <v>K07</v>
      </c>
      <c r="AA135" s="195" t="str">
        <v>K01-K16</v>
      </c>
      <c r="AC135" s="70" t="str">
        <v>K07</v>
      </c>
    </row>
    <row r="136" spans="1:29" x14ac:dyDescent="0.2">
      <c r="A136"/>
      <c r="B136"/>
      <c r="C136"/>
      <c r="D136"/>
      <c r="E136"/>
      <c r="F136" t="str">
        <f>LEFT(AllDaqbookOffsets[[#This Row],[traceability_no]],2)</f>
        <v>J1</v>
      </c>
      <c r="W136" t="s">
        <v>583</v>
      </c>
      <c r="X136" t="s">
        <v>175</v>
      </c>
      <c r="Z136" s="470" t="str">
        <v>K08</v>
      </c>
      <c r="AA136" s="195" t="str">
        <v>K01-K16</v>
      </c>
      <c r="AC136" s="70" t="str">
        <v>K08</v>
      </c>
    </row>
    <row r="137" spans="1:29" x14ac:dyDescent="0.2">
      <c r="A137"/>
      <c r="B137"/>
      <c r="C137"/>
      <c r="D137"/>
      <c r="E137"/>
      <c r="F137" t="str">
        <f>LEFT(AllDaqbookOffsets[[#This Row],[traceability_no]],2)</f>
        <v>J1</v>
      </c>
      <c r="W137" t="s">
        <v>584</v>
      </c>
      <c r="X137" t="s">
        <v>175</v>
      </c>
      <c r="Z137" s="470" t="str">
        <v>K09</v>
      </c>
      <c r="AA137" s="195" t="str">
        <v>K01-K16</v>
      </c>
      <c r="AC137" s="70" t="str">
        <v>K09</v>
      </c>
    </row>
    <row r="138" spans="1:29" x14ac:dyDescent="0.2">
      <c r="A138"/>
      <c r="B138"/>
      <c r="C138"/>
      <c r="D138"/>
      <c r="E138"/>
      <c r="F138" t="str">
        <f>LEFT(AllDaqbookOffsets[[#This Row],[traceability_no]],2)</f>
        <v>J1</v>
      </c>
      <c r="W138" t="s">
        <v>585</v>
      </c>
      <c r="X138" t="s">
        <v>175</v>
      </c>
      <c r="Z138" s="470" t="str">
        <v>K10</v>
      </c>
      <c r="AA138" s="195" t="str">
        <v>K01-K16</v>
      </c>
      <c r="AC138" s="70" t="str">
        <v>K10</v>
      </c>
    </row>
    <row r="139" spans="1:29" x14ac:dyDescent="0.2">
      <c r="A139"/>
      <c r="B139"/>
      <c r="C139"/>
      <c r="D139"/>
      <c r="E139"/>
      <c r="F139" t="str">
        <f>LEFT(AllDaqbookOffsets[[#This Row],[traceability_no]],2)</f>
        <v>J1</v>
      </c>
      <c r="W139" t="s">
        <v>586</v>
      </c>
      <c r="X139" t="s">
        <v>175</v>
      </c>
      <c r="Z139" s="470" t="str">
        <v>K101</v>
      </c>
      <c r="AA139" s="195" t="str">
        <v>K101 - K110</v>
      </c>
      <c r="AC139" s="70" t="str">
        <v>K101</v>
      </c>
    </row>
    <row r="140" spans="1:29" x14ac:dyDescent="0.2">
      <c r="A140"/>
      <c r="B140"/>
      <c r="C140"/>
      <c r="D140"/>
      <c r="E140"/>
      <c r="F140" t="str">
        <f>LEFT(AllDaqbookOffsets[[#This Row],[traceability_no]],2)</f>
        <v>J1</v>
      </c>
      <c r="W140" t="s">
        <v>587</v>
      </c>
      <c r="X140" t="s">
        <v>175</v>
      </c>
      <c r="Z140" s="470" t="str">
        <v>K102</v>
      </c>
      <c r="AA140" s="195" t="str">
        <v>K101 - K110</v>
      </c>
      <c r="AC140" s="70" t="str">
        <v>K102</v>
      </c>
    </row>
    <row r="141" spans="1:29" x14ac:dyDescent="0.2">
      <c r="A141"/>
      <c r="B141"/>
      <c r="C141"/>
      <c r="D141"/>
      <c r="E141"/>
      <c r="F141" t="str">
        <f>LEFT(AllDaqbookOffsets[[#This Row],[traceability_no]],2)</f>
        <v>J1</v>
      </c>
      <c r="W141" t="s">
        <v>588</v>
      </c>
      <c r="X141" t="s">
        <v>175</v>
      </c>
      <c r="Z141" s="470" t="str">
        <v>K103</v>
      </c>
      <c r="AA141" s="195" t="str">
        <v>K101 - K110</v>
      </c>
      <c r="AC141" s="70" t="str">
        <v>K103</v>
      </c>
    </row>
    <row r="142" spans="1:29" x14ac:dyDescent="0.2">
      <c r="A142"/>
      <c r="B142"/>
      <c r="C142"/>
      <c r="D142"/>
      <c r="E142"/>
      <c r="F142" t="str">
        <f>LEFT(AllDaqbookOffsets[[#This Row],[traceability_no]],2)</f>
        <v>J1</v>
      </c>
      <c r="W142" t="s">
        <v>589</v>
      </c>
      <c r="X142" t="s">
        <v>175</v>
      </c>
      <c r="Z142" s="470" t="str">
        <v>K104</v>
      </c>
      <c r="AA142" s="195" t="str">
        <v>K101 - K110</v>
      </c>
      <c r="AC142" s="70" t="str">
        <v>K104</v>
      </c>
    </row>
    <row r="143" spans="1:29" x14ac:dyDescent="0.2">
      <c r="A143"/>
      <c r="B143"/>
      <c r="C143"/>
      <c r="D143"/>
      <c r="E143"/>
      <c r="F143" t="str">
        <f>LEFT(AllDaqbookOffsets[[#This Row],[traceability_no]],2)</f>
        <v>J1</v>
      </c>
      <c r="W143" t="s">
        <v>590</v>
      </c>
      <c r="X143" t="s">
        <v>175</v>
      </c>
      <c r="Z143" s="470" t="str">
        <v>K105</v>
      </c>
      <c r="AA143" s="195" t="str">
        <v>K101 - K110</v>
      </c>
      <c r="AC143" s="70" t="str">
        <v>K105</v>
      </c>
    </row>
    <row r="144" spans="1:29" x14ac:dyDescent="0.2">
      <c r="A144"/>
      <c r="B144"/>
      <c r="C144"/>
      <c r="D144"/>
      <c r="E144"/>
      <c r="F144" t="str">
        <f>LEFT(AllDaqbookOffsets[[#This Row],[traceability_no]],2)</f>
        <v>J1</v>
      </c>
      <c r="W144" t="s">
        <v>591</v>
      </c>
      <c r="X144" t="s">
        <v>175</v>
      </c>
      <c r="Z144" s="470" t="str">
        <v>K106</v>
      </c>
      <c r="AA144" s="195" t="str">
        <v>K101 - K110</v>
      </c>
      <c r="AC144" s="70" t="str">
        <v>K106</v>
      </c>
    </row>
    <row r="145" spans="1:29" x14ac:dyDescent="0.2">
      <c r="A145"/>
      <c r="B145"/>
      <c r="C145"/>
      <c r="D145"/>
      <c r="E145"/>
      <c r="F145" t="str">
        <f>LEFT(AllDaqbookOffsets[[#This Row],[traceability_no]],2)</f>
        <v>J1</v>
      </c>
      <c r="W145" t="s">
        <v>592</v>
      </c>
      <c r="X145" t="s">
        <v>175</v>
      </c>
      <c r="Z145" s="470" t="str">
        <v>K107</v>
      </c>
      <c r="AA145" s="195" t="str">
        <v>K101 - K110</v>
      </c>
      <c r="AC145" s="70" t="str">
        <v>K107</v>
      </c>
    </row>
    <row r="146" spans="1:29" x14ac:dyDescent="0.2">
      <c r="A146"/>
      <c r="B146"/>
      <c r="C146"/>
      <c r="D146"/>
      <c r="E146"/>
      <c r="F146" t="str">
        <f>LEFT(AllDaqbookOffsets[[#This Row],[traceability_no]],2)</f>
        <v>J1</v>
      </c>
      <c r="W146" t="s">
        <v>593</v>
      </c>
      <c r="X146" t="s">
        <v>175</v>
      </c>
      <c r="Z146" s="470" t="str">
        <v>K108</v>
      </c>
      <c r="AA146" s="195" t="str">
        <v>K101 - K110</v>
      </c>
      <c r="AC146" s="70" t="str">
        <v>K108</v>
      </c>
    </row>
    <row r="147" spans="1:29" x14ac:dyDescent="0.2">
      <c r="A147"/>
      <c r="B147"/>
      <c r="C147"/>
      <c r="D147"/>
      <c r="E147"/>
      <c r="F147" t="str">
        <f>LEFT(AllDaqbookOffsets[[#This Row],[traceability_no]],2)</f>
        <v>J1</v>
      </c>
      <c r="W147" t="s">
        <v>594</v>
      </c>
      <c r="X147" t="s">
        <v>175</v>
      </c>
      <c r="Z147" s="470" t="str">
        <v>K109</v>
      </c>
      <c r="AA147" s="195" t="str">
        <v>K101 - K110</v>
      </c>
      <c r="AC147" s="70" t="str">
        <v>K109</v>
      </c>
    </row>
    <row r="148" spans="1:29" x14ac:dyDescent="0.2">
      <c r="A148"/>
      <c r="B148"/>
      <c r="C148"/>
      <c r="D148"/>
      <c r="E148"/>
      <c r="F148" t="str">
        <f>LEFT(AllDaqbookOffsets[[#This Row],[traceability_no]],2)</f>
        <v>J1</v>
      </c>
      <c r="W148" t="s">
        <v>595</v>
      </c>
      <c r="X148" t="s">
        <v>176</v>
      </c>
      <c r="Z148" s="470" t="str">
        <v>K11</v>
      </c>
      <c r="AA148" s="195" t="str">
        <v>K01-K16</v>
      </c>
      <c r="AC148" s="70" t="str">
        <v>K11</v>
      </c>
    </row>
    <row r="149" spans="1:29" x14ac:dyDescent="0.2">
      <c r="A149"/>
      <c r="B149"/>
      <c r="C149"/>
      <c r="D149"/>
      <c r="E149"/>
      <c r="F149" t="str">
        <f>LEFT(AllDaqbookOffsets[[#This Row],[traceability_no]],2)</f>
        <v>J1</v>
      </c>
      <c r="W149" t="s">
        <v>596</v>
      </c>
      <c r="X149" t="s">
        <v>176</v>
      </c>
      <c r="Z149" s="470" t="str">
        <v>K110</v>
      </c>
      <c r="AA149" s="195" t="str">
        <v>K101 - K110</v>
      </c>
      <c r="AC149" s="70" t="str">
        <v>K110</v>
      </c>
    </row>
    <row r="150" spans="1:29" x14ac:dyDescent="0.2">
      <c r="A150"/>
      <c r="B150"/>
      <c r="C150"/>
      <c r="D150"/>
      <c r="E150"/>
      <c r="F150" t="str">
        <f>LEFT(AllDaqbookOffsets[[#This Row],[traceability_no]],2)</f>
        <v>J1</v>
      </c>
      <c r="W150" t="s">
        <v>597</v>
      </c>
      <c r="X150" t="s">
        <v>176</v>
      </c>
      <c r="Z150" s="470" t="str">
        <v>K12</v>
      </c>
      <c r="AA150" s="195" t="str">
        <v>K01-K16</v>
      </c>
      <c r="AC150" s="70" t="str">
        <v>K12</v>
      </c>
    </row>
    <row r="151" spans="1:29" x14ac:dyDescent="0.2">
      <c r="A151"/>
      <c r="B151"/>
      <c r="C151"/>
      <c r="D151"/>
      <c r="E151"/>
      <c r="F151" t="str">
        <f>LEFT(AllDaqbookOffsets[[#This Row],[traceability_no]],2)</f>
        <v>J1</v>
      </c>
      <c r="W151" t="s">
        <v>598</v>
      </c>
      <c r="X151" t="s">
        <v>176</v>
      </c>
      <c r="Z151" s="470" t="str">
        <v>K13</v>
      </c>
      <c r="AA151" s="195" t="str">
        <v>K01-K16</v>
      </c>
      <c r="AC151" s="70" t="str">
        <v>K13</v>
      </c>
    </row>
    <row r="152" spans="1:29" x14ac:dyDescent="0.2">
      <c r="A152"/>
      <c r="B152"/>
      <c r="C152"/>
      <c r="D152"/>
      <c r="E152"/>
      <c r="F152" t="str">
        <f>LEFT(AllDaqbookOffsets[[#This Row],[traceability_no]],2)</f>
        <v>J1</v>
      </c>
      <c r="W152" t="s">
        <v>599</v>
      </c>
      <c r="X152" t="s">
        <v>176</v>
      </c>
      <c r="Z152" s="470" t="str">
        <v>K14</v>
      </c>
      <c r="AA152" s="195" t="str">
        <v>K01-K16</v>
      </c>
      <c r="AC152" s="70" t="str">
        <v>K14</v>
      </c>
    </row>
    <row r="153" spans="1:29" x14ac:dyDescent="0.2">
      <c r="A153"/>
      <c r="B153"/>
      <c r="C153"/>
      <c r="D153"/>
      <c r="E153"/>
      <c r="F153" t="str">
        <f>LEFT(AllDaqbookOffsets[[#This Row],[traceability_no]],2)</f>
        <v>J1</v>
      </c>
      <c r="W153" t="s">
        <v>600</v>
      </c>
      <c r="X153" t="s">
        <v>176</v>
      </c>
      <c r="Z153" s="470" t="str">
        <v>K15</v>
      </c>
      <c r="AA153" s="195" t="str">
        <v>K01-K16</v>
      </c>
      <c r="AC153" s="70" t="str">
        <v>K15</v>
      </c>
    </row>
    <row r="154" spans="1:29" x14ac:dyDescent="0.2">
      <c r="A154"/>
      <c r="B154"/>
      <c r="C154"/>
      <c r="D154"/>
      <c r="E154"/>
      <c r="F154" t="str">
        <f>LEFT(AllDaqbookOffsets[[#This Row],[traceability_no]],2)</f>
        <v>J1</v>
      </c>
      <c r="W154" t="s">
        <v>601</v>
      </c>
      <c r="X154" t="s">
        <v>176</v>
      </c>
      <c r="Z154" s="470" t="str">
        <v>K16</v>
      </c>
      <c r="AA154" s="195" t="str">
        <v>K01-K16</v>
      </c>
      <c r="AC154" s="70" t="str">
        <v>K16</v>
      </c>
    </row>
    <row r="155" spans="1:29" x14ac:dyDescent="0.2">
      <c r="A155"/>
      <c r="B155"/>
      <c r="C155"/>
      <c r="D155"/>
      <c r="E155"/>
      <c r="F155" t="str">
        <f>LEFT(AllDaqbookOffsets[[#This Row],[traceability_no]],2)</f>
        <v>J1</v>
      </c>
      <c r="W155" t="s">
        <v>602</v>
      </c>
      <c r="X155" t="s">
        <v>176</v>
      </c>
      <c r="Z155" s="470" t="str">
        <v>K201</v>
      </c>
      <c r="AA155" s="195" t="str">
        <v>K201-K214</v>
      </c>
      <c r="AC155" s="70" t="str">
        <v>K201</v>
      </c>
    </row>
    <row r="156" spans="1:29" x14ac:dyDescent="0.2">
      <c r="A156"/>
      <c r="B156"/>
      <c r="C156"/>
      <c r="D156"/>
      <c r="E156"/>
      <c r="F156" t="str">
        <f>LEFT(AllDaqbookOffsets[[#This Row],[traceability_no]],2)</f>
        <v>J1</v>
      </c>
      <c r="W156" t="s">
        <v>603</v>
      </c>
      <c r="X156" t="s">
        <v>176</v>
      </c>
      <c r="Z156" s="470" t="str">
        <v>K202</v>
      </c>
      <c r="AA156" s="195" t="str">
        <v>K201-K214</v>
      </c>
      <c r="AC156" s="70" t="str">
        <v>K202</v>
      </c>
    </row>
    <row r="157" spans="1:29" x14ac:dyDescent="0.2">
      <c r="A157"/>
      <c r="B157"/>
      <c r="C157"/>
      <c r="D157"/>
      <c r="E157"/>
      <c r="F157" t="str">
        <f>LEFT(AllDaqbookOffsets[[#This Row],[traceability_no]],2)</f>
        <v>J1</v>
      </c>
      <c r="W157" t="s">
        <v>604</v>
      </c>
      <c r="X157" t="s">
        <v>176</v>
      </c>
      <c r="Z157" s="470" t="str">
        <v>K203</v>
      </c>
      <c r="AA157" s="195" t="str">
        <v>K201-K214</v>
      </c>
      <c r="AC157" s="70" t="str">
        <v>K203</v>
      </c>
    </row>
    <row r="158" spans="1:29" x14ac:dyDescent="0.2">
      <c r="A158"/>
      <c r="B158"/>
      <c r="C158"/>
      <c r="D158"/>
      <c r="E158"/>
      <c r="F158" t="str">
        <f>LEFT(AllDaqbookOffsets[[#This Row],[traceability_no]],2)</f>
        <v>J1</v>
      </c>
      <c r="W158" t="s">
        <v>605</v>
      </c>
      <c r="X158" t="s">
        <v>176</v>
      </c>
      <c r="Z158" s="470" t="str">
        <v>K204</v>
      </c>
      <c r="AA158" s="195" t="str">
        <v>K201-K214</v>
      </c>
      <c r="AC158" s="70" t="str">
        <v>K204</v>
      </c>
    </row>
    <row r="159" spans="1:29" x14ac:dyDescent="0.2">
      <c r="A159"/>
      <c r="B159"/>
      <c r="C159"/>
      <c r="D159"/>
      <c r="E159"/>
      <c r="F159" t="str">
        <f>LEFT(AllDaqbookOffsets[[#This Row],[traceability_no]],2)</f>
        <v>J1</v>
      </c>
      <c r="W159" t="s">
        <v>606</v>
      </c>
      <c r="X159" t="s">
        <v>176</v>
      </c>
      <c r="Z159" s="470" t="str">
        <v>K205</v>
      </c>
      <c r="AA159" s="195" t="str">
        <v>K201-K214</v>
      </c>
      <c r="AC159" s="70" t="str">
        <v>K205</v>
      </c>
    </row>
    <row r="160" spans="1:29" x14ac:dyDescent="0.2">
      <c r="A160"/>
      <c r="B160"/>
      <c r="C160"/>
      <c r="D160"/>
      <c r="E160"/>
      <c r="F160" t="str">
        <f>LEFT(AllDaqbookOffsets[[#This Row],[traceability_no]],2)</f>
        <v>J1</v>
      </c>
      <c r="W160" t="s">
        <v>607</v>
      </c>
      <c r="X160" t="s">
        <v>176</v>
      </c>
      <c r="Z160" s="470" t="str">
        <v>K206</v>
      </c>
      <c r="AA160" s="195" t="str">
        <v>K201-K214</v>
      </c>
      <c r="AC160" s="70" t="str">
        <v>K206</v>
      </c>
    </row>
    <row r="161" spans="1:29" x14ac:dyDescent="0.2">
      <c r="A161"/>
      <c r="B161"/>
      <c r="C161"/>
      <c r="D161"/>
      <c r="E161"/>
      <c r="F161" t="str">
        <f>LEFT(AllDaqbookOffsets[[#This Row],[traceability_no]],2)</f>
        <v>J1</v>
      </c>
      <c r="W161" t="s">
        <v>608</v>
      </c>
      <c r="X161" t="s">
        <v>176</v>
      </c>
      <c r="Z161" s="470" t="str">
        <v>K207</v>
      </c>
      <c r="AA161" s="195" t="str">
        <v>K201-K214</v>
      </c>
      <c r="AC161" s="70" t="str">
        <v>K207</v>
      </c>
    </row>
    <row r="162" spans="1:29" x14ac:dyDescent="0.2">
      <c r="A162"/>
      <c r="B162"/>
      <c r="C162"/>
      <c r="D162"/>
      <c r="E162"/>
      <c r="F162" t="str">
        <f>LEFT(AllDaqbookOffsets[[#This Row],[traceability_no]],2)</f>
        <v>J1</v>
      </c>
      <c r="W162" t="s">
        <v>609</v>
      </c>
      <c r="X162" t="s">
        <v>177</v>
      </c>
      <c r="Z162" s="470" t="str">
        <v>K208</v>
      </c>
      <c r="AA162" s="195" t="str">
        <v>K201-K214</v>
      </c>
      <c r="AC162" s="70" t="str">
        <v>K208</v>
      </c>
    </row>
    <row r="163" spans="1:29" x14ac:dyDescent="0.2">
      <c r="A163"/>
      <c r="B163"/>
      <c r="C163"/>
      <c r="D163"/>
      <c r="E163"/>
      <c r="F163" t="str">
        <f>LEFT(AllDaqbookOffsets[[#This Row],[traceability_no]],2)</f>
        <v>J1</v>
      </c>
      <c r="W163" t="s">
        <v>610</v>
      </c>
      <c r="X163" t="s">
        <v>177</v>
      </c>
      <c r="Z163" s="470" t="str">
        <v>K209</v>
      </c>
      <c r="AA163" s="195" t="str">
        <v>K201-K214</v>
      </c>
      <c r="AC163" s="70" t="str">
        <v>K209</v>
      </c>
    </row>
    <row r="164" spans="1:29" x14ac:dyDescent="0.2">
      <c r="A164"/>
      <c r="B164"/>
      <c r="C164"/>
      <c r="D164"/>
      <c r="E164"/>
      <c r="F164" t="str">
        <f>LEFT(AllDaqbookOffsets[[#This Row],[traceability_no]],2)</f>
        <v>J1</v>
      </c>
      <c r="W164" t="s">
        <v>611</v>
      </c>
      <c r="X164" t="s">
        <v>177</v>
      </c>
      <c r="Z164" s="470" t="str">
        <v>K210</v>
      </c>
      <c r="AA164" s="195" t="str">
        <v>K201-K214</v>
      </c>
      <c r="AC164" s="70" t="str">
        <v>K210</v>
      </c>
    </row>
    <row r="165" spans="1:29" x14ac:dyDescent="0.2">
      <c r="A165"/>
      <c r="B165"/>
      <c r="C165"/>
      <c r="D165"/>
      <c r="E165"/>
      <c r="F165" t="str">
        <f>LEFT(AllDaqbookOffsets[[#This Row],[traceability_no]],2)</f>
        <v>J1</v>
      </c>
      <c r="W165" t="s">
        <v>612</v>
      </c>
      <c r="X165" t="s">
        <v>177</v>
      </c>
      <c r="Z165" s="470" t="str">
        <v>K211</v>
      </c>
      <c r="AA165" s="195" t="str">
        <v>K201-K214</v>
      </c>
      <c r="AC165" s="70" t="str">
        <v>K211</v>
      </c>
    </row>
    <row r="166" spans="1:29" x14ac:dyDescent="0.2">
      <c r="A166"/>
      <c r="B166"/>
      <c r="C166"/>
      <c r="D166"/>
      <c r="E166"/>
      <c r="F166" t="str">
        <f>LEFT(AllDaqbookOffsets[[#This Row],[traceability_no]],2)</f>
        <v>J1</v>
      </c>
      <c r="W166" t="s">
        <v>613</v>
      </c>
      <c r="X166" t="s">
        <v>177</v>
      </c>
      <c r="Z166" s="470" t="str">
        <v>K212</v>
      </c>
      <c r="AA166" s="195" t="str">
        <v>K201-K214</v>
      </c>
      <c r="AC166" s="70" t="str">
        <v>K212</v>
      </c>
    </row>
    <row r="167" spans="1:29" x14ac:dyDescent="0.2">
      <c r="A167"/>
      <c r="B167"/>
      <c r="C167"/>
      <c r="D167"/>
      <c r="E167"/>
      <c r="F167" t="str">
        <f>LEFT(AllDaqbookOffsets[[#This Row],[traceability_no]],2)</f>
        <v>J1</v>
      </c>
      <c r="W167" t="s">
        <v>614</v>
      </c>
      <c r="X167" t="s">
        <v>177</v>
      </c>
      <c r="Z167" s="470" t="str">
        <v>K213</v>
      </c>
      <c r="AA167" s="195" t="str">
        <v>K201-K214</v>
      </c>
      <c r="AC167" s="70" t="str">
        <v>K213</v>
      </c>
    </row>
    <row r="168" spans="1:29" x14ac:dyDescent="0.2">
      <c r="A168"/>
      <c r="B168"/>
      <c r="C168"/>
      <c r="D168"/>
      <c r="E168"/>
      <c r="F168" t="str">
        <f>LEFT(AllDaqbookOffsets[[#This Row],[traceability_no]],2)</f>
        <v>J1</v>
      </c>
      <c r="W168" t="s">
        <v>615</v>
      </c>
      <c r="X168" t="s">
        <v>177</v>
      </c>
      <c r="Z168" s="470" t="str">
        <v>K214</v>
      </c>
      <c r="AA168" s="195" t="str">
        <v>K201-K214</v>
      </c>
      <c r="AC168" s="70" t="str">
        <v>K214</v>
      </c>
    </row>
    <row r="169" spans="1:29" x14ac:dyDescent="0.2">
      <c r="A169"/>
      <c r="B169"/>
      <c r="C169"/>
      <c r="D169"/>
      <c r="E169"/>
      <c r="F169" t="str">
        <f>LEFT(AllDaqbookOffsets[[#This Row],[traceability_no]],2)</f>
        <v>J1</v>
      </c>
      <c r="W169" t="s">
        <v>616</v>
      </c>
      <c r="X169" t="s">
        <v>177</v>
      </c>
      <c r="Z169" s="470" t="str">
        <v>K301</v>
      </c>
      <c r="AA169" s="195" t="str">
        <v>K301-K314</v>
      </c>
      <c r="AC169" s="70" t="str">
        <v>K301</v>
      </c>
    </row>
    <row r="170" spans="1:29" x14ac:dyDescent="0.2">
      <c r="A170"/>
      <c r="B170"/>
      <c r="C170"/>
      <c r="D170"/>
      <c r="E170"/>
      <c r="F170" t="str">
        <f>LEFT(AllDaqbookOffsets[[#This Row],[traceability_no]],2)</f>
        <v>J1</v>
      </c>
      <c r="W170" t="s">
        <v>617</v>
      </c>
      <c r="X170" t="s">
        <v>177</v>
      </c>
      <c r="Z170" s="470" t="str">
        <v>K302</v>
      </c>
      <c r="AA170" s="195" t="str">
        <v>K301-K314</v>
      </c>
      <c r="AC170" s="70" t="str">
        <v>K302</v>
      </c>
    </row>
    <row r="171" spans="1:29" x14ac:dyDescent="0.2">
      <c r="A171"/>
      <c r="B171"/>
      <c r="C171"/>
      <c r="D171"/>
      <c r="E171"/>
      <c r="F171" t="str">
        <f>LEFT(AllDaqbookOffsets[[#This Row],[traceability_no]],2)</f>
        <v>J1</v>
      </c>
      <c r="W171" t="s">
        <v>618</v>
      </c>
      <c r="X171" t="s">
        <v>177</v>
      </c>
      <c r="Z171" s="470" t="str">
        <v>K303</v>
      </c>
      <c r="AA171" s="195" t="str">
        <v>K301-K314</v>
      </c>
      <c r="AC171" s="70" t="str">
        <v>K303</v>
      </c>
    </row>
    <row r="172" spans="1:29" x14ac:dyDescent="0.2">
      <c r="A172"/>
      <c r="B172"/>
      <c r="C172"/>
      <c r="D172"/>
      <c r="E172"/>
      <c r="F172" t="str">
        <f>LEFT(AllDaqbookOffsets[[#This Row],[traceability_no]],2)</f>
        <v>J1</v>
      </c>
      <c r="W172" t="s">
        <v>619</v>
      </c>
      <c r="X172" t="s">
        <v>177</v>
      </c>
      <c r="Z172" s="470" t="str">
        <v>K304</v>
      </c>
      <c r="AA172" s="195" t="str">
        <v>K301-K314</v>
      </c>
      <c r="AC172" s="70" t="str">
        <v>K304</v>
      </c>
    </row>
    <row r="173" spans="1:29" x14ac:dyDescent="0.2">
      <c r="A173"/>
      <c r="B173"/>
      <c r="C173"/>
      <c r="D173"/>
      <c r="E173"/>
      <c r="F173" t="str">
        <f>LEFT(AllDaqbookOffsets[[#This Row],[traceability_no]],2)</f>
        <v>J1</v>
      </c>
      <c r="W173" t="s">
        <v>620</v>
      </c>
      <c r="X173" t="s">
        <v>177</v>
      </c>
      <c r="Z173" s="470" t="str">
        <v>K305</v>
      </c>
      <c r="AA173" s="195" t="str">
        <v>K301-K314</v>
      </c>
      <c r="AC173" s="70" t="str">
        <v>K305</v>
      </c>
    </row>
    <row r="174" spans="1:29" x14ac:dyDescent="0.2">
      <c r="A174"/>
      <c r="B174"/>
      <c r="C174"/>
      <c r="D174"/>
      <c r="E174"/>
      <c r="F174" t="str">
        <f>LEFT(AllDaqbookOffsets[[#This Row],[traceability_no]],2)</f>
        <v>J1</v>
      </c>
      <c r="W174" t="s">
        <v>621</v>
      </c>
      <c r="X174" t="s">
        <v>177</v>
      </c>
      <c r="Z174" s="470" t="str">
        <v>K306</v>
      </c>
      <c r="AA174" s="195" t="str">
        <v>K301-K314</v>
      </c>
      <c r="AC174" s="70" t="str">
        <v>K306</v>
      </c>
    </row>
    <row r="175" spans="1:29" x14ac:dyDescent="0.2">
      <c r="A175"/>
      <c r="B175"/>
      <c r="C175"/>
      <c r="D175"/>
      <c r="E175"/>
      <c r="F175" t="str">
        <f>LEFT(AllDaqbookOffsets[[#This Row],[traceability_no]],2)</f>
        <v>J1</v>
      </c>
      <c r="W175" t="s">
        <v>622</v>
      </c>
      <c r="X175" t="s">
        <v>177</v>
      </c>
      <c r="Z175" s="470" t="str">
        <v>K307</v>
      </c>
      <c r="AA175" s="195" t="str">
        <v>K301-K314</v>
      </c>
      <c r="AC175" s="70" t="str">
        <v>K307</v>
      </c>
    </row>
    <row r="176" spans="1:29" x14ac:dyDescent="0.2">
      <c r="A176"/>
      <c r="B176"/>
      <c r="C176"/>
      <c r="D176"/>
      <c r="E176"/>
      <c r="F176" t="str">
        <f>LEFT(AllDaqbookOffsets[[#This Row],[traceability_no]],2)</f>
        <v>J1</v>
      </c>
      <c r="W176" t="s">
        <v>623</v>
      </c>
      <c r="X176" t="s">
        <v>177</v>
      </c>
      <c r="Z176" s="470" t="str">
        <v>K308</v>
      </c>
      <c r="AA176" s="195" t="str">
        <v>K301-K314</v>
      </c>
      <c r="AC176" s="70" t="str">
        <v>K308</v>
      </c>
    </row>
    <row r="177" spans="1:29" x14ac:dyDescent="0.2">
      <c r="A177"/>
      <c r="B177"/>
      <c r="C177"/>
      <c r="D177"/>
      <c r="E177"/>
      <c r="F177" t="str">
        <f>LEFT(AllDaqbookOffsets[[#This Row],[traceability_no]],2)</f>
        <v>J1</v>
      </c>
      <c r="W177" t="s">
        <v>624</v>
      </c>
      <c r="X177" t="s">
        <v>177</v>
      </c>
      <c r="Z177" s="470" t="str">
        <v>K309</v>
      </c>
      <c r="AA177" s="195" t="str">
        <v>K301-K314</v>
      </c>
      <c r="AC177" s="70" t="str">
        <v>K309</v>
      </c>
    </row>
    <row r="178" spans="1:29" x14ac:dyDescent="0.2">
      <c r="A178"/>
      <c r="B178"/>
      <c r="C178"/>
      <c r="D178"/>
      <c r="E178"/>
      <c r="F178" t="str">
        <f>LEFT(AllDaqbookOffsets[[#This Row],[traceability_no]],2)</f>
        <v>J1</v>
      </c>
      <c r="W178" t="s">
        <v>625</v>
      </c>
      <c r="X178" t="s">
        <v>178</v>
      </c>
      <c r="Z178" s="470" t="str">
        <v>K310</v>
      </c>
      <c r="AA178" s="195" t="str">
        <v>K301-K314</v>
      </c>
      <c r="AC178" s="70" t="str">
        <v>K310</v>
      </c>
    </row>
    <row r="179" spans="1:29" x14ac:dyDescent="0.2">
      <c r="A179"/>
      <c r="B179"/>
      <c r="C179"/>
      <c r="D179"/>
      <c r="E179"/>
      <c r="F179" t="str">
        <f>LEFT(AllDaqbookOffsets[[#This Row],[traceability_no]],2)</f>
        <v>J1</v>
      </c>
      <c r="W179" t="s">
        <v>626</v>
      </c>
      <c r="X179" t="s">
        <v>178</v>
      </c>
      <c r="Z179" s="470" t="str">
        <v>K311</v>
      </c>
      <c r="AA179" s="195" t="str">
        <v>K301-K314</v>
      </c>
      <c r="AC179" s="70" t="str">
        <v>K311</v>
      </c>
    </row>
    <row r="180" spans="1:29" x14ac:dyDescent="0.2">
      <c r="A180"/>
      <c r="B180"/>
      <c r="C180"/>
      <c r="D180"/>
      <c r="E180"/>
      <c r="F180" t="str">
        <f>LEFT(AllDaqbookOffsets[[#This Row],[traceability_no]],2)</f>
        <v>J1</v>
      </c>
      <c r="W180" t="s">
        <v>627</v>
      </c>
      <c r="X180" t="s">
        <v>178</v>
      </c>
      <c r="Z180" s="470" t="str">
        <v>K312</v>
      </c>
      <c r="AA180" s="195" t="str">
        <v>K301-K314</v>
      </c>
      <c r="AC180" s="70" t="str">
        <v>K312</v>
      </c>
    </row>
    <row r="181" spans="1:29" x14ac:dyDescent="0.2">
      <c r="A181"/>
      <c r="B181"/>
      <c r="C181"/>
      <c r="D181"/>
      <c r="E181"/>
      <c r="F181" t="str">
        <f>LEFT(AllDaqbookOffsets[[#This Row],[traceability_no]],2)</f>
        <v>J1</v>
      </c>
      <c r="W181" t="s">
        <v>628</v>
      </c>
      <c r="X181" t="s">
        <v>178</v>
      </c>
      <c r="Z181" s="470" t="str">
        <v>K313</v>
      </c>
      <c r="AA181" s="195" t="str">
        <v>K301-K314</v>
      </c>
      <c r="AC181" s="70" t="str">
        <v>K313</v>
      </c>
    </row>
    <row r="182" spans="1:29" x14ac:dyDescent="0.2">
      <c r="A182"/>
      <c r="B182"/>
      <c r="C182"/>
      <c r="D182"/>
      <c r="E182"/>
      <c r="F182" t="str">
        <f>LEFT(AllDaqbookOffsets[[#This Row],[traceability_no]],2)</f>
        <v>J1</v>
      </c>
      <c r="W182" t="s">
        <v>629</v>
      </c>
      <c r="X182" t="s">
        <v>178</v>
      </c>
      <c r="Z182" s="470" t="str">
        <v>K314</v>
      </c>
      <c r="AA182" s="195" t="str">
        <v>K301-K314</v>
      </c>
      <c r="AC182" s="70" t="str">
        <v>K314</v>
      </c>
    </row>
    <row r="183" spans="1:29" x14ac:dyDescent="0.2">
      <c r="A183"/>
      <c r="B183"/>
      <c r="C183"/>
      <c r="D183"/>
      <c r="E183"/>
      <c r="F183" t="str">
        <f>LEFT(AllDaqbookOffsets[[#This Row],[traceability_no]],2)</f>
        <v>J1</v>
      </c>
      <c r="W183" t="s">
        <v>630</v>
      </c>
      <c r="X183" t="s">
        <v>178</v>
      </c>
      <c r="Z183" s="470" t="str">
        <v>K401</v>
      </c>
      <c r="AA183" s="195" t="str">
        <v>K401-K416</v>
      </c>
      <c r="AC183" s="70" t="str">
        <v>K401</v>
      </c>
    </row>
    <row r="184" spans="1:29" x14ac:dyDescent="0.2">
      <c r="A184"/>
      <c r="B184"/>
      <c r="C184"/>
      <c r="D184"/>
      <c r="E184"/>
      <c r="F184" t="str">
        <f>LEFT(AllDaqbookOffsets[[#This Row],[traceability_no]],2)</f>
        <v>J1</v>
      </c>
      <c r="W184" t="s">
        <v>631</v>
      </c>
      <c r="X184" t="s">
        <v>178</v>
      </c>
      <c r="Z184" s="470" t="str">
        <v>K402</v>
      </c>
      <c r="AA184" s="195" t="str">
        <v>K401-K416</v>
      </c>
      <c r="AC184" s="70" t="str">
        <v>K402</v>
      </c>
    </row>
    <row r="185" spans="1:29" x14ac:dyDescent="0.2">
      <c r="A185"/>
      <c r="B185"/>
      <c r="C185"/>
      <c r="D185"/>
      <c r="E185"/>
      <c r="F185" t="str">
        <f>LEFT(AllDaqbookOffsets[[#This Row],[traceability_no]],2)</f>
        <v>J1</v>
      </c>
      <c r="W185" t="s">
        <v>632</v>
      </c>
      <c r="X185" t="s">
        <v>178</v>
      </c>
      <c r="Z185" s="470" t="str">
        <v>K403</v>
      </c>
      <c r="AA185" s="195" t="str">
        <v>K401-K416</v>
      </c>
      <c r="AC185" s="70" t="str">
        <v>K403</v>
      </c>
    </row>
    <row r="186" spans="1:29" x14ac:dyDescent="0.2">
      <c r="A186"/>
      <c r="B186"/>
      <c r="C186"/>
      <c r="D186"/>
      <c r="E186"/>
      <c r="F186" t="str">
        <f>LEFT(AllDaqbookOffsets[[#This Row],[traceability_no]],2)</f>
        <v>J1</v>
      </c>
      <c r="W186" t="s">
        <v>633</v>
      </c>
      <c r="X186" t="s">
        <v>178</v>
      </c>
      <c r="Z186" s="470" t="str">
        <v>K404</v>
      </c>
      <c r="AA186" s="195" t="str">
        <v>K401-K416</v>
      </c>
      <c r="AC186" s="70" t="str">
        <v>K404</v>
      </c>
    </row>
    <row r="187" spans="1:29" x14ac:dyDescent="0.2">
      <c r="A187"/>
      <c r="B187"/>
      <c r="C187"/>
      <c r="D187"/>
      <c r="E187"/>
      <c r="F187" t="str">
        <f>LEFT(AllDaqbookOffsets[[#This Row],[traceability_no]],2)</f>
        <v>J1</v>
      </c>
      <c r="W187" t="s">
        <v>634</v>
      </c>
      <c r="X187" t="s">
        <v>178</v>
      </c>
      <c r="Z187" s="470" t="str">
        <v>K405</v>
      </c>
      <c r="AA187" s="195" t="str">
        <v>K401-K416</v>
      </c>
      <c r="AC187" s="70" t="str">
        <v>K405</v>
      </c>
    </row>
    <row r="188" spans="1:29" x14ac:dyDescent="0.2">
      <c r="A188"/>
      <c r="B188"/>
      <c r="C188"/>
      <c r="D188"/>
      <c r="E188"/>
      <c r="F188" t="str">
        <f>LEFT(AllDaqbookOffsets[[#This Row],[traceability_no]],2)</f>
        <v>J1</v>
      </c>
      <c r="W188" t="s">
        <v>635</v>
      </c>
      <c r="X188" t="s">
        <v>178</v>
      </c>
      <c r="Z188" s="470" t="str">
        <v>K406</v>
      </c>
      <c r="AA188" s="195" t="str">
        <v>K401-K416</v>
      </c>
      <c r="AC188" s="70" t="str">
        <v>K406</v>
      </c>
    </row>
    <row r="189" spans="1:29" x14ac:dyDescent="0.2">
      <c r="A189"/>
      <c r="B189"/>
      <c r="C189"/>
      <c r="D189"/>
      <c r="E189"/>
      <c r="F189" t="str">
        <f>LEFT(AllDaqbookOffsets[[#This Row],[traceability_no]],2)</f>
        <v>J1</v>
      </c>
      <c r="W189" t="s">
        <v>636</v>
      </c>
      <c r="X189" t="s">
        <v>178</v>
      </c>
      <c r="Z189" s="470" t="str">
        <v>K407</v>
      </c>
      <c r="AA189" s="195" t="str">
        <v>K401-K416</v>
      </c>
      <c r="AC189" s="70" t="str">
        <v>K407</v>
      </c>
    </row>
    <row r="190" spans="1:29" x14ac:dyDescent="0.2">
      <c r="A190"/>
      <c r="B190"/>
      <c r="C190"/>
      <c r="D190"/>
      <c r="E190"/>
      <c r="F190" t="str">
        <f>LEFT(AllDaqbookOffsets[[#This Row],[traceability_no]],2)</f>
        <v>J1</v>
      </c>
      <c r="W190" t="s">
        <v>637</v>
      </c>
      <c r="X190" t="s">
        <v>178</v>
      </c>
      <c r="Z190" s="470" t="str">
        <v>K408</v>
      </c>
      <c r="AA190" s="195" t="str">
        <v>K401-K416</v>
      </c>
      <c r="AC190" s="70" t="str">
        <v>K408</v>
      </c>
    </row>
    <row r="191" spans="1:29" x14ac:dyDescent="0.2">
      <c r="A191"/>
      <c r="B191"/>
      <c r="C191"/>
      <c r="D191"/>
      <c r="E191"/>
      <c r="F191" t="str">
        <f>LEFT(AllDaqbookOffsets[[#This Row],[traceability_no]],2)</f>
        <v>J1</v>
      </c>
      <c r="W191" t="s">
        <v>638</v>
      </c>
      <c r="X191" t="s">
        <v>178</v>
      </c>
      <c r="Z191" s="470" t="str">
        <v>K409</v>
      </c>
      <c r="AA191" s="195" t="str">
        <v>K401-K416</v>
      </c>
      <c r="AC191" s="70" t="str">
        <v>K409</v>
      </c>
    </row>
    <row r="192" spans="1:29" x14ac:dyDescent="0.2">
      <c r="A192"/>
      <c r="B192"/>
      <c r="C192"/>
      <c r="D192"/>
      <c r="E192"/>
      <c r="F192" t="str">
        <f>LEFT(AllDaqbookOffsets[[#This Row],[traceability_no]],2)</f>
        <v>J1</v>
      </c>
      <c r="W192" t="s">
        <v>639</v>
      </c>
      <c r="X192" t="s">
        <v>179</v>
      </c>
      <c r="Z192" s="470" t="str">
        <v>K410</v>
      </c>
      <c r="AA192" s="195" t="str">
        <v>K401-K416</v>
      </c>
      <c r="AC192" s="70" t="str">
        <v>K410</v>
      </c>
    </row>
    <row r="193" spans="1:29" x14ac:dyDescent="0.2">
      <c r="A193"/>
      <c r="B193"/>
      <c r="C193"/>
      <c r="D193"/>
      <c r="E193"/>
      <c r="F193" t="str">
        <f>LEFT(AllDaqbookOffsets[[#This Row],[traceability_no]],2)</f>
        <v>J1</v>
      </c>
      <c r="W193" t="s">
        <v>640</v>
      </c>
      <c r="X193" t="s">
        <v>179</v>
      </c>
      <c r="Z193" s="470" t="str">
        <v>K411</v>
      </c>
      <c r="AA193" s="195" t="str">
        <v>K401-K416</v>
      </c>
      <c r="AC193" s="70" t="str">
        <v>K411</v>
      </c>
    </row>
    <row r="194" spans="1:29" x14ac:dyDescent="0.2">
      <c r="A194"/>
      <c r="B194"/>
      <c r="C194"/>
      <c r="D194"/>
      <c r="E194"/>
      <c r="F194" t="str">
        <f>LEFT(AllDaqbookOffsets[[#This Row],[traceability_no]],2)</f>
        <v>J1</v>
      </c>
      <c r="W194" t="s">
        <v>641</v>
      </c>
      <c r="X194" t="s">
        <v>179</v>
      </c>
      <c r="Z194" s="470" t="str">
        <v>K412</v>
      </c>
      <c r="AA194" s="195" t="str">
        <v>K401-K416</v>
      </c>
      <c r="AC194" s="70" t="str">
        <v>K412</v>
      </c>
    </row>
    <row r="195" spans="1:29" x14ac:dyDescent="0.2">
      <c r="A195"/>
      <c r="B195"/>
      <c r="C195"/>
      <c r="D195"/>
      <c r="E195"/>
      <c r="F195" t="str">
        <f>LEFT(AllDaqbookOffsets[[#This Row],[traceability_no]],2)</f>
        <v>J1</v>
      </c>
      <c r="W195" t="s">
        <v>642</v>
      </c>
      <c r="X195" t="s">
        <v>179</v>
      </c>
      <c r="Z195" s="470" t="str">
        <v>K413</v>
      </c>
      <c r="AA195" s="195" t="str">
        <v>K401-K416</v>
      </c>
      <c r="AC195" s="70" t="str">
        <v>K413</v>
      </c>
    </row>
    <row r="196" spans="1:29" x14ac:dyDescent="0.2">
      <c r="A196"/>
      <c r="B196"/>
      <c r="C196"/>
      <c r="D196"/>
      <c r="E196"/>
      <c r="F196" t="str">
        <f>LEFT(AllDaqbookOffsets[[#This Row],[traceability_no]],2)</f>
        <v>J1</v>
      </c>
      <c r="W196" t="s">
        <v>643</v>
      </c>
      <c r="X196" t="s">
        <v>179</v>
      </c>
      <c r="Z196" s="470" t="str">
        <v>K414</v>
      </c>
      <c r="AA196" s="195" t="str">
        <v>K401-K416</v>
      </c>
      <c r="AC196" s="70" t="str">
        <v>K414</v>
      </c>
    </row>
    <row r="197" spans="1:29" x14ac:dyDescent="0.2">
      <c r="A197"/>
      <c r="B197"/>
      <c r="C197"/>
      <c r="D197"/>
      <c r="E197"/>
      <c r="F197" t="str">
        <f>LEFT(AllDaqbookOffsets[[#This Row],[traceability_no]],2)</f>
        <v>J1</v>
      </c>
      <c r="W197" t="s">
        <v>644</v>
      </c>
      <c r="X197" t="s">
        <v>179</v>
      </c>
      <c r="Z197" s="470" t="str">
        <v>K415</v>
      </c>
      <c r="AA197" s="195" t="str">
        <v>K401-K416</v>
      </c>
      <c r="AC197" s="70" t="str">
        <v>K415</v>
      </c>
    </row>
    <row r="198" spans="1:29" x14ac:dyDescent="0.2">
      <c r="A198"/>
      <c r="B198"/>
      <c r="C198"/>
      <c r="D198"/>
      <c r="E198"/>
      <c r="F198" t="str">
        <f>LEFT(AllDaqbookOffsets[[#This Row],[traceability_no]],2)</f>
        <v>J1</v>
      </c>
      <c r="W198" t="s">
        <v>645</v>
      </c>
      <c r="X198" t="s">
        <v>179</v>
      </c>
      <c r="Z198" s="470" t="str">
        <v>K416</v>
      </c>
      <c r="AA198" s="195" t="str">
        <v>K401-K416</v>
      </c>
      <c r="AC198" s="70" t="str">
        <v>K416</v>
      </c>
    </row>
    <row r="199" spans="1:29" x14ac:dyDescent="0.2">
      <c r="A199"/>
      <c r="B199"/>
      <c r="C199"/>
      <c r="D199"/>
      <c r="E199"/>
      <c r="F199" t="str">
        <f>LEFT(AllDaqbookOffsets[[#This Row],[traceability_no]],2)</f>
        <v>J1</v>
      </c>
      <c r="W199" t="s">
        <v>646</v>
      </c>
      <c r="X199" t="s">
        <v>179</v>
      </c>
      <c r="Z199" s="470" t="str">
        <v>K521</v>
      </c>
      <c r="AA199" s="195" t="str">
        <v>K521-K534</v>
      </c>
      <c r="AC199" s="70" t="str">
        <v>K521</v>
      </c>
    </row>
    <row r="200" spans="1:29" x14ac:dyDescent="0.2">
      <c r="A200"/>
      <c r="B200"/>
      <c r="C200"/>
      <c r="D200"/>
      <c r="E200"/>
      <c r="F200" t="str">
        <f>LEFT(AllDaqbookOffsets[[#This Row],[traceability_no]],2)</f>
        <v>J1</v>
      </c>
      <c r="W200" t="s">
        <v>647</v>
      </c>
      <c r="X200" t="s">
        <v>179</v>
      </c>
      <c r="Z200" s="470" t="str">
        <v>K522</v>
      </c>
      <c r="AA200" s="195" t="str">
        <v>K521-K534</v>
      </c>
      <c r="AC200" s="70" t="str">
        <v>K522</v>
      </c>
    </row>
    <row r="201" spans="1:29" x14ac:dyDescent="0.2">
      <c r="A201"/>
      <c r="B201"/>
      <c r="C201"/>
      <c r="D201"/>
      <c r="E201"/>
      <c r="F201" t="str">
        <f>LEFT(AllDaqbookOffsets[[#This Row],[traceability_no]],2)</f>
        <v>J1</v>
      </c>
      <c r="W201" t="s">
        <v>648</v>
      </c>
      <c r="X201" t="s">
        <v>179</v>
      </c>
      <c r="Z201" s="470" t="str">
        <v>K523</v>
      </c>
      <c r="AA201" s="195" t="str">
        <v>K521-K534</v>
      </c>
      <c r="AC201" s="70" t="str">
        <v>K523</v>
      </c>
    </row>
    <row r="202" spans="1:29" x14ac:dyDescent="0.2">
      <c r="A202"/>
      <c r="B202"/>
      <c r="C202"/>
      <c r="D202"/>
      <c r="E202"/>
      <c r="F202" t="str">
        <f>LEFT(AllDaqbookOffsets[[#This Row],[traceability_no]],2)</f>
        <v>J1</v>
      </c>
      <c r="W202" t="s">
        <v>649</v>
      </c>
      <c r="X202" t="s">
        <v>180</v>
      </c>
      <c r="Z202" s="470" t="str">
        <v>K524</v>
      </c>
      <c r="AA202" s="195" t="str">
        <v>K521-K534</v>
      </c>
      <c r="AC202" s="70" t="str">
        <v>K524</v>
      </c>
    </row>
    <row r="203" spans="1:29" x14ac:dyDescent="0.2">
      <c r="A203"/>
      <c r="B203"/>
      <c r="C203"/>
      <c r="D203"/>
      <c r="E203"/>
      <c r="F203" t="str">
        <f>LEFT(AllDaqbookOffsets[[#This Row],[traceability_no]],2)</f>
        <v>J1</v>
      </c>
      <c r="W203" t="s">
        <v>650</v>
      </c>
      <c r="X203" t="s">
        <v>180</v>
      </c>
      <c r="Z203" s="470" t="str">
        <v>K525</v>
      </c>
      <c r="AA203" s="195" t="str">
        <v>K521-K534</v>
      </c>
      <c r="AC203" s="70" t="str">
        <v>K525</v>
      </c>
    </row>
    <row r="204" spans="1:29" x14ac:dyDescent="0.2">
      <c r="A204"/>
      <c r="B204"/>
      <c r="C204"/>
      <c r="D204"/>
      <c r="E204"/>
      <c r="F204" t="str">
        <f>LEFT(AllDaqbookOffsets[[#This Row],[traceability_no]],2)</f>
        <v>J1</v>
      </c>
      <c r="W204" t="s">
        <v>651</v>
      </c>
      <c r="X204" t="s">
        <v>180</v>
      </c>
      <c r="Z204" s="470" t="str">
        <v>K526</v>
      </c>
      <c r="AA204" s="195" t="str">
        <v>K521-K534</v>
      </c>
      <c r="AC204" s="70" t="str">
        <v>K526</v>
      </c>
    </row>
    <row r="205" spans="1:29" x14ac:dyDescent="0.2">
      <c r="A205"/>
      <c r="B205"/>
      <c r="C205"/>
      <c r="D205"/>
      <c r="E205"/>
      <c r="F205" t="str">
        <f>LEFT(AllDaqbookOffsets[[#This Row],[traceability_no]],2)</f>
        <v>J1</v>
      </c>
      <c r="W205" t="s">
        <v>652</v>
      </c>
      <c r="X205" t="s">
        <v>180</v>
      </c>
      <c r="Z205" s="470" t="str">
        <v>K527</v>
      </c>
      <c r="AA205" s="195" t="str">
        <v>K521-K534</v>
      </c>
      <c r="AC205" s="70" t="str">
        <v>K527</v>
      </c>
    </row>
    <row r="206" spans="1:29" x14ac:dyDescent="0.2">
      <c r="A206"/>
      <c r="B206"/>
      <c r="C206"/>
      <c r="D206"/>
      <c r="E206"/>
      <c r="F206" t="str">
        <f>LEFT(AllDaqbookOffsets[[#This Row],[traceability_no]],2)</f>
        <v>J1</v>
      </c>
      <c r="W206" t="s">
        <v>653</v>
      </c>
      <c r="X206" t="s">
        <v>180</v>
      </c>
      <c r="Z206" s="470" t="str">
        <v>K528</v>
      </c>
      <c r="AA206" s="195" t="str">
        <v>K521-K534</v>
      </c>
      <c r="AC206" s="70" t="str">
        <v>K528</v>
      </c>
    </row>
    <row r="207" spans="1:29" x14ac:dyDescent="0.2">
      <c r="A207"/>
      <c r="B207"/>
      <c r="C207"/>
      <c r="D207"/>
      <c r="E207"/>
      <c r="F207" t="str">
        <f>LEFT(AllDaqbookOffsets[[#This Row],[traceability_no]],2)</f>
        <v>J1</v>
      </c>
      <c r="W207" t="s">
        <v>654</v>
      </c>
      <c r="X207" t="s">
        <v>180</v>
      </c>
      <c r="Z207" s="470" t="str">
        <v>K529</v>
      </c>
      <c r="AA207" s="195" t="str">
        <v>K521-K534</v>
      </c>
      <c r="AC207" s="70" t="str">
        <v>K529</v>
      </c>
    </row>
    <row r="208" spans="1:29" x14ac:dyDescent="0.2">
      <c r="A208"/>
      <c r="B208"/>
      <c r="C208"/>
      <c r="D208"/>
      <c r="E208"/>
      <c r="F208" t="str">
        <f>LEFT(AllDaqbookOffsets[[#This Row],[traceability_no]],2)</f>
        <v>J1</v>
      </c>
      <c r="W208" t="s">
        <v>655</v>
      </c>
      <c r="X208" t="s">
        <v>180</v>
      </c>
      <c r="Z208" s="470" t="str">
        <v>K530</v>
      </c>
      <c r="AA208" s="195" t="str">
        <v>K521-K534</v>
      </c>
      <c r="AC208" s="70" t="str">
        <v>K530</v>
      </c>
    </row>
    <row r="209" spans="1:29" x14ac:dyDescent="0.2">
      <c r="A209"/>
      <c r="B209"/>
      <c r="C209"/>
      <c r="D209"/>
      <c r="E209"/>
      <c r="F209" t="str">
        <f>LEFT(AllDaqbookOffsets[[#This Row],[traceability_no]],2)</f>
        <v>J1</v>
      </c>
      <c r="W209" t="s">
        <v>656</v>
      </c>
      <c r="X209" t="s">
        <v>180</v>
      </c>
      <c r="Z209" s="470" t="str">
        <v>K531</v>
      </c>
      <c r="AA209" s="195" t="str">
        <v>K521-K534</v>
      </c>
      <c r="AC209" s="70" t="str">
        <v>K531</v>
      </c>
    </row>
    <row r="210" spans="1:29" x14ac:dyDescent="0.2">
      <c r="A210"/>
      <c r="B210"/>
      <c r="C210"/>
      <c r="D210"/>
      <c r="E210"/>
      <c r="F210" t="str">
        <f>LEFT(AllDaqbookOffsets[[#This Row],[traceability_no]],2)</f>
        <v>J1</v>
      </c>
      <c r="W210" t="s">
        <v>657</v>
      </c>
      <c r="X210" t="s">
        <v>180</v>
      </c>
      <c r="Z210" s="470" t="str">
        <v>K532</v>
      </c>
      <c r="AA210" s="195" t="str">
        <v>K521-K534</v>
      </c>
      <c r="AC210" s="70" t="str">
        <v>K532</v>
      </c>
    </row>
    <row r="211" spans="1:29" x14ac:dyDescent="0.2">
      <c r="A211"/>
      <c r="B211"/>
      <c r="C211"/>
      <c r="D211"/>
      <c r="E211"/>
      <c r="F211" t="str">
        <f>LEFT(AllDaqbookOffsets[[#This Row],[traceability_no]],2)</f>
        <v>J1</v>
      </c>
      <c r="W211" t="s">
        <v>658</v>
      </c>
      <c r="X211" t="s">
        <v>180</v>
      </c>
      <c r="Z211" s="470" t="str">
        <v>K533</v>
      </c>
      <c r="AA211" s="195" t="str">
        <v>K521-K534</v>
      </c>
      <c r="AC211" s="70" t="str">
        <v>K533</v>
      </c>
    </row>
    <row r="212" spans="1:29" x14ac:dyDescent="0.2">
      <c r="A212"/>
      <c r="B212"/>
      <c r="C212"/>
      <c r="D212"/>
      <c r="E212"/>
      <c r="F212" t="str">
        <f>LEFT(AllDaqbookOffsets[[#This Row],[traceability_no]],2)</f>
        <v>J1</v>
      </c>
      <c r="W212" t="s">
        <v>659</v>
      </c>
      <c r="X212" t="s">
        <v>181</v>
      </c>
      <c r="Z212" s="470" t="str">
        <v>K534</v>
      </c>
      <c r="AA212" s="195" t="str">
        <v>K521-K534</v>
      </c>
      <c r="AC212" s="70" t="str">
        <v>K534</v>
      </c>
    </row>
    <row r="213" spans="1:29" x14ac:dyDescent="0.2">
      <c r="A213"/>
      <c r="B213"/>
      <c r="C213"/>
      <c r="D213"/>
      <c r="E213"/>
      <c r="F213" t="str">
        <f>LEFT(AllDaqbookOffsets[[#This Row],[traceability_no]],2)</f>
        <v>J1</v>
      </c>
      <c r="W213" t="s">
        <v>660</v>
      </c>
      <c r="X213" t="s">
        <v>181</v>
      </c>
      <c r="Z213" s="470" t="str">
        <v>K601</v>
      </c>
      <c r="AA213" s="195" t="str">
        <v>K601-K610</v>
      </c>
      <c r="AC213" s="70" t="str">
        <v>K601</v>
      </c>
    </row>
    <row r="214" spans="1:29" x14ac:dyDescent="0.2">
      <c r="A214"/>
      <c r="B214"/>
      <c r="C214"/>
      <c r="D214"/>
      <c r="E214"/>
      <c r="F214" t="str">
        <f>LEFT(AllDaqbookOffsets[[#This Row],[traceability_no]],2)</f>
        <v>J1</v>
      </c>
      <c r="W214" t="s">
        <v>661</v>
      </c>
      <c r="X214" t="s">
        <v>181</v>
      </c>
      <c r="Z214" s="470" t="str">
        <v>K602</v>
      </c>
      <c r="AA214" s="195" t="str">
        <v>K601-K610</v>
      </c>
      <c r="AC214" s="70" t="str">
        <v>K602</v>
      </c>
    </row>
    <row r="215" spans="1:29" x14ac:dyDescent="0.2">
      <c r="A215"/>
      <c r="B215"/>
      <c r="C215"/>
      <c r="D215"/>
      <c r="E215"/>
      <c r="F215" t="str">
        <f>LEFT(AllDaqbookOffsets[[#This Row],[traceability_no]],2)</f>
        <v>J1</v>
      </c>
      <c r="W215" t="s">
        <v>662</v>
      </c>
      <c r="X215" t="s">
        <v>181</v>
      </c>
      <c r="Z215" s="470" t="str">
        <v>K603</v>
      </c>
      <c r="AA215" s="195" t="str">
        <v>K601-K610</v>
      </c>
      <c r="AC215" s="70" t="str">
        <v>K603</v>
      </c>
    </row>
    <row r="216" spans="1:29" x14ac:dyDescent="0.2">
      <c r="A216"/>
      <c r="B216"/>
      <c r="C216"/>
      <c r="D216"/>
      <c r="E216"/>
      <c r="F216" t="str">
        <f>LEFT(AllDaqbookOffsets[[#This Row],[traceability_no]],2)</f>
        <v>J1</v>
      </c>
      <c r="W216" t="s">
        <v>663</v>
      </c>
      <c r="X216" t="s">
        <v>181</v>
      </c>
      <c r="Z216" s="470" t="str">
        <v>K604</v>
      </c>
      <c r="AA216" s="195" t="str">
        <v>K601-K610</v>
      </c>
      <c r="AC216" s="70" t="str">
        <v>K604</v>
      </c>
    </row>
    <row r="217" spans="1:29" x14ac:dyDescent="0.2">
      <c r="A217"/>
      <c r="B217"/>
      <c r="C217"/>
      <c r="D217"/>
      <c r="E217"/>
      <c r="F217" t="str">
        <f>LEFT(AllDaqbookOffsets[[#This Row],[traceability_no]],2)</f>
        <v>J1</v>
      </c>
      <c r="W217" t="s">
        <v>664</v>
      </c>
      <c r="X217" t="s">
        <v>181</v>
      </c>
      <c r="Z217" s="470" t="str">
        <v>K605</v>
      </c>
      <c r="AA217" s="195" t="str">
        <v>K601-K610</v>
      </c>
      <c r="AC217" s="70" t="str">
        <v>K605</v>
      </c>
    </row>
    <row r="218" spans="1:29" x14ac:dyDescent="0.2">
      <c r="A218"/>
      <c r="B218"/>
      <c r="C218"/>
      <c r="D218"/>
      <c r="E218"/>
      <c r="F218" t="str">
        <f>LEFT(AllDaqbookOffsets[[#This Row],[traceability_no]],2)</f>
        <v>J1</v>
      </c>
      <c r="W218" t="s">
        <v>665</v>
      </c>
      <c r="X218" t="s">
        <v>181</v>
      </c>
      <c r="Z218" s="470" t="str">
        <v>K606</v>
      </c>
      <c r="AA218" s="195" t="str">
        <v>K601-K610</v>
      </c>
      <c r="AC218" s="70" t="str">
        <v>K606</v>
      </c>
    </row>
    <row r="219" spans="1:29" x14ac:dyDescent="0.2">
      <c r="A219"/>
      <c r="B219"/>
      <c r="C219"/>
      <c r="D219"/>
      <c r="E219"/>
      <c r="F219" t="str">
        <f>LEFT(AllDaqbookOffsets[[#This Row],[traceability_no]],2)</f>
        <v>J1</v>
      </c>
      <c r="W219" t="s">
        <v>666</v>
      </c>
      <c r="X219" t="s">
        <v>181</v>
      </c>
      <c r="Z219" s="470" t="str">
        <v>K607</v>
      </c>
      <c r="AA219" s="195" t="str">
        <v>K601-K610</v>
      </c>
      <c r="AC219" s="70" t="str">
        <v>K607</v>
      </c>
    </row>
    <row r="220" spans="1:29" x14ac:dyDescent="0.2">
      <c r="A220"/>
      <c r="B220"/>
      <c r="C220"/>
      <c r="D220"/>
      <c r="E220"/>
      <c r="F220" t="str">
        <f>LEFT(AllDaqbookOffsets[[#This Row],[traceability_no]],2)</f>
        <v>J1</v>
      </c>
      <c r="W220" t="s">
        <v>667</v>
      </c>
      <c r="X220" t="s">
        <v>181</v>
      </c>
      <c r="Z220" s="470" t="str">
        <v>K608</v>
      </c>
      <c r="AA220" s="195" t="str">
        <v>K601-K610</v>
      </c>
      <c r="AC220" s="70" t="str">
        <v>K608</v>
      </c>
    </row>
    <row r="221" spans="1:29" x14ac:dyDescent="0.2">
      <c r="A221"/>
      <c r="B221"/>
      <c r="C221"/>
      <c r="D221"/>
      <c r="E221"/>
      <c r="F221" t="str">
        <f>LEFT(AllDaqbookOffsets[[#This Row],[traceability_no]],2)</f>
        <v>J1</v>
      </c>
      <c r="W221" t="s">
        <v>668</v>
      </c>
      <c r="X221" t="s">
        <v>181</v>
      </c>
      <c r="Z221" s="470" t="str">
        <v>K609</v>
      </c>
      <c r="AA221" s="195" t="str">
        <v>K601-K610</v>
      </c>
      <c r="AC221" s="70" t="str">
        <v>K609</v>
      </c>
    </row>
    <row r="222" spans="1:29" x14ac:dyDescent="0.2">
      <c r="A222"/>
      <c r="B222"/>
      <c r="C222"/>
      <c r="D222"/>
      <c r="E222"/>
      <c r="F222" t="str">
        <f>LEFT(AllDaqbookOffsets[[#This Row],[traceability_no]],2)</f>
        <v>J1</v>
      </c>
      <c r="W222" t="s">
        <v>669</v>
      </c>
      <c r="X222" t="s">
        <v>181</v>
      </c>
      <c r="Z222" s="470" t="str">
        <v>K610</v>
      </c>
      <c r="AA222" s="195" t="str">
        <v>K601-K610</v>
      </c>
      <c r="AC222" s="70" t="str">
        <v>K610</v>
      </c>
    </row>
    <row r="223" spans="1:29" x14ac:dyDescent="0.2">
      <c r="A223"/>
      <c r="B223"/>
      <c r="C223"/>
      <c r="D223"/>
      <c r="E223"/>
      <c r="F223" t="str">
        <f>LEFT(AllDaqbookOffsets[[#This Row],[traceability_no]],2)</f>
        <v>J1</v>
      </c>
      <c r="W223" t="s">
        <v>670</v>
      </c>
      <c r="X223" t="s">
        <v>181</v>
      </c>
      <c r="Z223" s="470" t="str">
        <v>K701</v>
      </c>
      <c r="AA223" s="195" t="str">
        <v>K701-K710</v>
      </c>
      <c r="AC223" s="70" t="str">
        <v>K701</v>
      </c>
    </row>
    <row r="224" spans="1:29" x14ac:dyDescent="0.2">
      <c r="A224"/>
      <c r="B224"/>
      <c r="C224"/>
      <c r="D224"/>
      <c r="E224"/>
      <c r="F224" t="str">
        <f>LEFT(AllDaqbookOffsets[[#This Row],[traceability_no]],2)</f>
        <v>J1</v>
      </c>
      <c r="W224" t="s">
        <v>671</v>
      </c>
      <c r="X224" t="s">
        <v>181</v>
      </c>
      <c r="Z224" s="470" t="str">
        <v>K702</v>
      </c>
      <c r="AA224" s="195" t="str">
        <v>K701-K710</v>
      </c>
      <c r="AC224" s="70" t="str">
        <v>K702</v>
      </c>
    </row>
    <row r="225" spans="1:29" x14ac:dyDescent="0.2">
      <c r="A225"/>
      <c r="B225"/>
      <c r="C225"/>
      <c r="D225"/>
      <c r="E225"/>
      <c r="F225" t="str">
        <f>LEFT(AllDaqbookOffsets[[#This Row],[traceability_no]],2)</f>
        <v>J1</v>
      </c>
      <c r="W225" t="s">
        <v>672</v>
      </c>
      <c r="X225" t="s">
        <v>181</v>
      </c>
      <c r="Z225" s="470" t="str">
        <v>K703</v>
      </c>
      <c r="AA225" s="195" t="str">
        <v>K701-K710</v>
      </c>
      <c r="AC225" s="70" t="str">
        <v>K703</v>
      </c>
    </row>
    <row r="226" spans="1:29" x14ac:dyDescent="0.2">
      <c r="A226"/>
      <c r="B226"/>
      <c r="C226"/>
      <c r="D226"/>
      <c r="E226"/>
      <c r="F226" t="str">
        <f>LEFT(AllDaqbookOffsets[[#This Row],[traceability_no]],2)</f>
        <v>J1</v>
      </c>
      <c r="W226" t="s">
        <v>673</v>
      </c>
      <c r="X226" t="s">
        <v>181</v>
      </c>
      <c r="Z226" s="470" t="str">
        <v>K704</v>
      </c>
      <c r="AA226" s="195" t="str">
        <v>K701-K710</v>
      </c>
      <c r="AC226" s="70" t="str">
        <v>K704</v>
      </c>
    </row>
    <row r="227" spans="1:29" x14ac:dyDescent="0.2">
      <c r="A227"/>
      <c r="B227"/>
      <c r="C227"/>
      <c r="D227"/>
      <c r="E227"/>
      <c r="F227" t="str">
        <f>LEFT(AllDaqbookOffsets[[#This Row],[traceability_no]],2)</f>
        <v>J1</v>
      </c>
      <c r="W227" t="s">
        <v>674</v>
      </c>
      <c r="X227" t="s">
        <v>181</v>
      </c>
      <c r="Z227" s="470" t="str">
        <v>K705</v>
      </c>
      <c r="AA227" s="195" t="str">
        <v>K701-K710</v>
      </c>
      <c r="AC227" s="70" t="str">
        <v>K705</v>
      </c>
    </row>
    <row r="228" spans="1:29" x14ac:dyDescent="0.2">
      <c r="A228"/>
      <c r="B228"/>
      <c r="C228"/>
      <c r="D228"/>
      <c r="E228"/>
      <c r="F228" t="str">
        <f>LEFT(AllDaqbookOffsets[[#This Row],[traceability_no]],2)</f>
        <v>J1</v>
      </c>
      <c r="W228" t="s">
        <v>675</v>
      </c>
      <c r="X228" t="s">
        <v>182</v>
      </c>
      <c r="Z228" s="470" t="str">
        <v>K706</v>
      </c>
      <c r="AA228" s="195" t="str">
        <v>K701-K710</v>
      </c>
      <c r="AC228" s="70" t="str">
        <v>K706</v>
      </c>
    </row>
    <row r="229" spans="1:29" x14ac:dyDescent="0.2">
      <c r="A229"/>
      <c r="B229"/>
      <c r="C229"/>
      <c r="D229"/>
      <c r="E229"/>
      <c r="F229" t="str">
        <f>LEFT(AllDaqbookOffsets[[#This Row],[traceability_no]],2)</f>
        <v>J1</v>
      </c>
      <c r="W229" t="s">
        <v>676</v>
      </c>
      <c r="X229" t="s">
        <v>182</v>
      </c>
      <c r="Z229" s="470" t="str">
        <v>K707</v>
      </c>
      <c r="AA229" s="195" t="str">
        <v>K701-K710</v>
      </c>
      <c r="AC229" s="70" t="str">
        <v>K707</v>
      </c>
    </row>
    <row r="230" spans="1:29" x14ac:dyDescent="0.2">
      <c r="A230"/>
      <c r="B230"/>
      <c r="C230"/>
      <c r="D230"/>
      <c r="E230"/>
      <c r="F230" t="str">
        <f>LEFT(AllDaqbookOffsets[[#This Row],[traceability_no]],2)</f>
        <v>J1</v>
      </c>
      <c r="W230" t="s">
        <v>677</v>
      </c>
      <c r="X230" t="s">
        <v>182</v>
      </c>
      <c r="Z230" s="470" t="str">
        <v>K708</v>
      </c>
      <c r="AA230" s="195" t="str">
        <v>K701-K710</v>
      </c>
      <c r="AC230" s="70" t="str">
        <v>K708</v>
      </c>
    </row>
    <row r="231" spans="1:29" x14ac:dyDescent="0.2">
      <c r="A231"/>
      <c r="B231"/>
      <c r="C231"/>
      <c r="D231"/>
      <c r="E231"/>
      <c r="F231" t="str">
        <f>LEFT(AllDaqbookOffsets[[#This Row],[traceability_no]],2)</f>
        <v>J1</v>
      </c>
      <c r="W231" t="s">
        <v>678</v>
      </c>
      <c r="X231" t="s">
        <v>182</v>
      </c>
      <c r="Z231" s="470" t="str">
        <v>K709</v>
      </c>
      <c r="AA231" s="195" t="str">
        <v>K701-K710</v>
      </c>
      <c r="AC231" s="70" t="str">
        <v>K709</v>
      </c>
    </row>
    <row r="232" spans="1:29" x14ac:dyDescent="0.2">
      <c r="A232"/>
      <c r="B232"/>
      <c r="C232"/>
      <c r="D232"/>
      <c r="E232"/>
      <c r="F232" t="str">
        <f>LEFT(AllDaqbookOffsets[[#This Row],[traceability_no]],2)</f>
        <v>J1</v>
      </c>
      <c r="W232" t="s">
        <v>679</v>
      </c>
      <c r="X232" t="s">
        <v>182</v>
      </c>
      <c r="Z232" s="470" t="str">
        <v>K710</v>
      </c>
      <c r="AA232" s="195" t="str">
        <v>K701-K710</v>
      </c>
      <c r="AC232" s="70" t="str">
        <v>K710</v>
      </c>
    </row>
    <row r="233" spans="1:29" x14ac:dyDescent="0.2">
      <c r="A233"/>
      <c r="B233"/>
      <c r="C233"/>
      <c r="D233"/>
      <c r="E233"/>
      <c r="F233" t="str">
        <f>LEFT(AllDaqbookOffsets[[#This Row],[traceability_no]],2)</f>
        <v>J1</v>
      </c>
      <c r="W233" t="s">
        <v>680</v>
      </c>
      <c r="X233" t="s">
        <v>182</v>
      </c>
      <c r="Z233" s="470" t="str">
        <v>K801</v>
      </c>
      <c r="AA233" s="195" t="str">
        <v>K801-K816</v>
      </c>
      <c r="AC233" s="70" t="str">
        <v>K801</v>
      </c>
    </row>
    <row r="234" spans="1:29" x14ac:dyDescent="0.2">
      <c r="A234"/>
      <c r="B234"/>
      <c r="C234"/>
      <c r="D234"/>
      <c r="E234"/>
      <c r="F234" t="str">
        <f>LEFT(AllDaqbookOffsets[[#This Row],[traceability_no]],2)</f>
        <v>J1</v>
      </c>
      <c r="W234" t="s">
        <v>681</v>
      </c>
      <c r="X234" t="s">
        <v>182</v>
      </c>
      <c r="Z234" s="470" t="str">
        <v>K802</v>
      </c>
      <c r="AA234" s="195" t="str">
        <v>K801-K816</v>
      </c>
      <c r="AC234" s="70" t="str">
        <v>K802</v>
      </c>
    </row>
    <row r="235" spans="1:29" x14ac:dyDescent="0.2">
      <c r="A235"/>
      <c r="B235"/>
      <c r="C235"/>
      <c r="D235"/>
      <c r="E235"/>
      <c r="F235" t="str">
        <f>LEFT(AllDaqbookOffsets[[#This Row],[traceability_no]],2)</f>
        <v>J1</v>
      </c>
      <c r="W235" t="s">
        <v>682</v>
      </c>
      <c r="X235" t="s">
        <v>182</v>
      </c>
      <c r="Z235" s="470" t="str">
        <v>K803</v>
      </c>
      <c r="AA235" s="195" t="str">
        <v>K801-K816</v>
      </c>
      <c r="AC235" s="70" t="str">
        <v>K803</v>
      </c>
    </row>
    <row r="236" spans="1:29" x14ac:dyDescent="0.2">
      <c r="A236"/>
      <c r="B236"/>
      <c r="C236"/>
      <c r="D236"/>
      <c r="E236"/>
      <c r="F236" t="str">
        <f>LEFT(AllDaqbookOffsets[[#This Row],[traceability_no]],2)</f>
        <v>J1</v>
      </c>
      <c r="W236" t="s">
        <v>683</v>
      </c>
      <c r="X236" t="s">
        <v>182</v>
      </c>
      <c r="Z236" s="470" t="str">
        <v>K804</v>
      </c>
      <c r="AA236" s="195" t="str">
        <v>K801-K816</v>
      </c>
      <c r="AC236" s="70" t="str">
        <v>K804</v>
      </c>
    </row>
    <row r="237" spans="1:29" x14ac:dyDescent="0.2">
      <c r="A237"/>
      <c r="B237"/>
      <c r="C237"/>
      <c r="D237"/>
      <c r="E237"/>
      <c r="F237" t="str">
        <f>LEFT(AllDaqbookOffsets[[#This Row],[traceability_no]],2)</f>
        <v>J1</v>
      </c>
      <c r="W237" t="s">
        <v>684</v>
      </c>
      <c r="X237" t="s">
        <v>182</v>
      </c>
      <c r="Z237" s="470" t="str">
        <v>K805</v>
      </c>
      <c r="AA237" s="195" t="str">
        <v>K801-K816</v>
      </c>
      <c r="AC237" s="70" t="str">
        <v>K805</v>
      </c>
    </row>
    <row r="238" spans="1:29" x14ac:dyDescent="0.2">
      <c r="A238"/>
      <c r="B238"/>
      <c r="C238"/>
      <c r="D238"/>
      <c r="E238"/>
      <c r="F238" t="str">
        <f>LEFT(AllDaqbookOffsets[[#This Row],[traceability_no]],2)</f>
        <v>J1</v>
      </c>
      <c r="W238" t="s">
        <v>685</v>
      </c>
      <c r="X238" t="s">
        <v>258</v>
      </c>
      <c r="Z238" s="470" t="str">
        <v>K806</v>
      </c>
      <c r="AA238" s="195" t="str">
        <v>K801-K816</v>
      </c>
      <c r="AC238" s="70" t="str">
        <v>K806</v>
      </c>
    </row>
    <row r="239" spans="1:29" x14ac:dyDescent="0.2">
      <c r="A239"/>
      <c r="B239"/>
      <c r="C239"/>
      <c r="D239"/>
      <c r="E239"/>
      <c r="F239" t="str">
        <f>LEFT(AllDaqbookOffsets[[#This Row],[traceability_no]],2)</f>
        <v>J1</v>
      </c>
      <c r="W239" t="s">
        <v>686</v>
      </c>
      <c r="X239" t="s">
        <v>258</v>
      </c>
      <c r="Z239" s="470" t="str">
        <v>K807</v>
      </c>
      <c r="AA239" s="195" t="str">
        <v>K801-K816</v>
      </c>
      <c r="AC239" s="70" t="str">
        <v>K807</v>
      </c>
    </row>
    <row r="240" spans="1:29" x14ac:dyDescent="0.2">
      <c r="A240"/>
      <c r="B240"/>
      <c r="C240"/>
      <c r="D240"/>
      <c r="E240"/>
      <c r="F240" t="str">
        <f>LEFT(AllDaqbookOffsets[[#This Row],[traceability_no]],2)</f>
        <v>J1</v>
      </c>
      <c r="W240" t="s">
        <v>687</v>
      </c>
      <c r="X240" t="s">
        <v>258</v>
      </c>
      <c r="Z240" s="470" t="str">
        <v>K808</v>
      </c>
      <c r="AA240" s="195" t="str">
        <v>K801-K816</v>
      </c>
      <c r="AC240" s="70" t="str">
        <v>K808</v>
      </c>
    </row>
    <row r="241" spans="1:29" x14ac:dyDescent="0.2">
      <c r="A241"/>
      <c r="B241"/>
      <c r="C241"/>
      <c r="D241"/>
      <c r="E241"/>
      <c r="F241" t="str">
        <f>LEFT(AllDaqbookOffsets[[#This Row],[traceability_no]],2)</f>
        <v>J1</v>
      </c>
      <c r="W241" t="s">
        <v>688</v>
      </c>
      <c r="X241" t="s">
        <v>258</v>
      </c>
      <c r="Z241" s="470" t="str">
        <v>K809</v>
      </c>
      <c r="AA241" s="195" t="str">
        <v>K801-K816</v>
      </c>
      <c r="AC241" s="70" t="str">
        <v>K809</v>
      </c>
    </row>
    <row r="242" spans="1:29" x14ac:dyDescent="0.2">
      <c r="A242"/>
      <c r="B242"/>
      <c r="C242"/>
      <c r="D242"/>
      <c r="E242"/>
      <c r="F242" t="str">
        <f>LEFT(AllDaqbookOffsets[[#This Row],[traceability_no]],2)</f>
        <v>J2</v>
      </c>
      <c r="W242" t="s">
        <v>689</v>
      </c>
      <c r="X242" t="s">
        <v>258</v>
      </c>
      <c r="Z242" s="470" t="str">
        <v>K810</v>
      </c>
      <c r="AA242" s="195" t="str">
        <v>K801-K816</v>
      </c>
      <c r="AC242" s="70" t="str">
        <v>K810</v>
      </c>
    </row>
    <row r="243" spans="1:29" x14ac:dyDescent="0.2">
      <c r="A243"/>
      <c r="B243"/>
      <c r="C243"/>
      <c r="D243"/>
      <c r="E243"/>
      <c r="F243" t="str">
        <f>LEFT(AllDaqbookOffsets[[#This Row],[traceability_no]],2)</f>
        <v>J2</v>
      </c>
      <c r="W243" t="s">
        <v>690</v>
      </c>
      <c r="X243" t="s">
        <v>258</v>
      </c>
      <c r="Z243" s="470" t="str">
        <v>K811</v>
      </c>
      <c r="AA243" s="195" t="str">
        <v>K801-K816</v>
      </c>
      <c r="AC243" s="70" t="str">
        <v>K811</v>
      </c>
    </row>
    <row r="244" spans="1:29" x14ac:dyDescent="0.2">
      <c r="A244"/>
      <c r="B244"/>
      <c r="C244"/>
      <c r="D244"/>
      <c r="E244"/>
      <c r="F244" t="str">
        <f>LEFT(AllDaqbookOffsets[[#This Row],[traceability_no]],2)</f>
        <v>J2</v>
      </c>
      <c r="W244" t="s">
        <v>691</v>
      </c>
      <c r="X244" t="s">
        <v>258</v>
      </c>
      <c r="Z244" s="470" t="str">
        <v>K812</v>
      </c>
      <c r="AA244" s="195" t="str">
        <v>K801-K816</v>
      </c>
      <c r="AC244" s="70" t="str">
        <v>K812</v>
      </c>
    </row>
    <row r="245" spans="1:29" x14ac:dyDescent="0.2">
      <c r="A245"/>
      <c r="B245"/>
      <c r="C245"/>
      <c r="D245"/>
      <c r="E245"/>
      <c r="F245" t="str">
        <f>LEFT(AllDaqbookOffsets[[#This Row],[traceability_no]],2)</f>
        <v>J2</v>
      </c>
      <c r="W245" t="s">
        <v>692</v>
      </c>
      <c r="X245" t="s">
        <v>258</v>
      </c>
      <c r="Z245" s="470" t="str">
        <v>K813</v>
      </c>
      <c r="AA245" s="195" t="str">
        <v>K801-K816</v>
      </c>
      <c r="AC245" s="70" t="str">
        <v>K813</v>
      </c>
    </row>
    <row r="246" spans="1:29" x14ac:dyDescent="0.2">
      <c r="A246"/>
      <c r="B246"/>
      <c r="C246"/>
      <c r="D246"/>
      <c r="E246"/>
      <c r="F246" t="str">
        <f>LEFT(AllDaqbookOffsets[[#This Row],[traceability_no]],2)</f>
        <v>J2</v>
      </c>
      <c r="W246" t="s">
        <v>693</v>
      </c>
      <c r="X246" t="s">
        <v>258</v>
      </c>
      <c r="Z246" s="470" t="str">
        <v>K814</v>
      </c>
      <c r="AA246" s="195" t="str">
        <v>K801-K816</v>
      </c>
      <c r="AC246" s="70" t="str">
        <v>K814</v>
      </c>
    </row>
    <row r="247" spans="1:29" x14ac:dyDescent="0.2">
      <c r="A247"/>
      <c r="B247"/>
      <c r="C247"/>
      <c r="D247"/>
      <c r="E247"/>
      <c r="F247" t="str">
        <f>LEFT(AllDaqbookOffsets[[#This Row],[traceability_no]],2)</f>
        <v>J2</v>
      </c>
      <c r="W247" t="s">
        <v>694</v>
      </c>
      <c r="X247" t="s">
        <v>258</v>
      </c>
      <c r="Z247" s="470" t="str">
        <v>K815</v>
      </c>
      <c r="AA247" s="195" t="str">
        <v>K801-K816</v>
      </c>
      <c r="AC247" s="70" t="str">
        <v>K815</v>
      </c>
    </row>
    <row r="248" spans="1:29" x14ac:dyDescent="0.2">
      <c r="A248"/>
      <c r="B248"/>
      <c r="C248"/>
      <c r="D248"/>
      <c r="E248"/>
      <c r="F248" t="str">
        <f>LEFT(AllDaqbookOffsets[[#This Row],[traceability_no]],2)</f>
        <v>J2</v>
      </c>
      <c r="W248" t="s">
        <v>701</v>
      </c>
      <c r="X248" t="s">
        <v>183</v>
      </c>
      <c r="Z248" s="470" t="str">
        <v>K816</v>
      </c>
      <c r="AA248" s="195" t="str">
        <v>K801-K816</v>
      </c>
      <c r="AC248" s="70" t="str">
        <v>K816</v>
      </c>
    </row>
    <row r="249" spans="1:29" x14ac:dyDescent="0.2">
      <c r="A249"/>
      <c r="B249"/>
      <c r="C249"/>
      <c r="D249"/>
      <c r="E249"/>
      <c r="F249" t="str">
        <f>LEFT(AllDaqbookOffsets[[#This Row],[traceability_no]],2)</f>
        <v>J2</v>
      </c>
      <c r="W249" t="s">
        <v>702</v>
      </c>
      <c r="X249" t="s">
        <v>183</v>
      </c>
      <c r="Z249" s="470" t="str">
        <v>K901</v>
      </c>
      <c r="AA249" s="195" t="str">
        <v>K901-K910</v>
      </c>
      <c r="AC249" s="70" t="str">
        <v>K901</v>
      </c>
    </row>
    <row r="250" spans="1:29" x14ac:dyDescent="0.2">
      <c r="A250"/>
      <c r="B250"/>
      <c r="C250"/>
      <c r="D250"/>
      <c r="E250"/>
      <c r="F250" t="str">
        <f>LEFT(AllDaqbookOffsets[[#This Row],[traceability_no]],2)</f>
        <v>J2</v>
      </c>
      <c r="W250" t="s">
        <v>703</v>
      </c>
      <c r="X250" t="s">
        <v>183</v>
      </c>
      <c r="Z250" s="470" t="str">
        <v>K902</v>
      </c>
      <c r="AA250" s="195" t="str">
        <v>K901-K910</v>
      </c>
      <c r="AC250" s="70" t="str">
        <v>K902</v>
      </c>
    </row>
    <row r="251" spans="1:29" x14ac:dyDescent="0.2">
      <c r="A251"/>
      <c r="B251"/>
      <c r="C251"/>
      <c r="D251"/>
      <c r="E251"/>
      <c r="F251" t="str">
        <f>LEFT(AllDaqbookOffsets[[#This Row],[traceability_no]],2)</f>
        <v>J2</v>
      </c>
      <c r="W251" t="s">
        <v>704</v>
      </c>
      <c r="X251" t="s">
        <v>183</v>
      </c>
      <c r="Z251" s="470" t="str">
        <v>K903</v>
      </c>
      <c r="AA251" s="195" t="str">
        <v>K901-K910</v>
      </c>
      <c r="AC251" s="70" t="str">
        <v>K903</v>
      </c>
    </row>
    <row r="252" spans="1:29" x14ac:dyDescent="0.2">
      <c r="A252"/>
      <c r="B252"/>
      <c r="C252"/>
      <c r="D252"/>
      <c r="E252"/>
      <c r="F252" t="str">
        <f>LEFT(AllDaqbookOffsets[[#This Row],[traceability_no]],2)</f>
        <v>J2</v>
      </c>
      <c r="W252" t="s">
        <v>705</v>
      </c>
      <c r="X252" t="s">
        <v>183</v>
      </c>
      <c r="Z252" s="470" t="str">
        <v>K904</v>
      </c>
      <c r="AA252" s="195" t="str">
        <v>K901-K910</v>
      </c>
      <c r="AC252" s="70" t="str">
        <v>K904</v>
      </c>
    </row>
    <row r="253" spans="1:29" x14ac:dyDescent="0.2">
      <c r="A253"/>
      <c r="B253"/>
      <c r="C253"/>
      <c r="D253"/>
      <c r="E253"/>
      <c r="F253" t="str">
        <f>LEFT(AllDaqbookOffsets[[#This Row],[traceability_no]],2)</f>
        <v>J2</v>
      </c>
      <c r="W253" t="s">
        <v>706</v>
      </c>
      <c r="X253" t="s">
        <v>183</v>
      </c>
      <c r="Z253" s="470" t="str">
        <v>K905</v>
      </c>
      <c r="AA253" s="195" t="str">
        <v>K901-K910</v>
      </c>
      <c r="AC253" s="70" t="str">
        <v>K905</v>
      </c>
    </row>
    <row r="254" spans="1:29" x14ac:dyDescent="0.2">
      <c r="A254"/>
      <c r="B254"/>
      <c r="C254"/>
      <c r="D254"/>
      <c r="E254"/>
      <c r="F254" t="str">
        <f>LEFT(AllDaqbookOffsets[[#This Row],[traceability_no]],2)</f>
        <v>J2</v>
      </c>
      <c r="W254" t="s">
        <v>707</v>
      </c>
      <c r="X254" t="s">
        <v>183</v>
      </c>
      <c r="Z254" s="470" t="str">
        <v>K906</v>
      </c>
      <c r="AA254" s="195" t="str">
        <v>K901-K910</v>
      </c>
      <c r="AC254" s="70" t="str">
        <v>K906</v>
      </c>
    </row>
    <row r="255" spans="1:29" x14ac:dyDescent="0.2">
      <c r="A255"/>
      <c r="B255"/>
      <c r="C255"/>
      <c r="D255"/>
      <c r="E255"/>
      <c r="F255" t="str">
        <f>LEFT(AllDaqbookOffsets[[#This Row],[traceability_no]],2)</f>
        <v>J2</v>
      </c>
      <c r="W255" t="s">
        <v>708</v>
      </c>
      <c r="X255" t="s">
        <v>183</v>
      </c>
      <c r="Z255" s="470" t="str">
        <v>K907</v>
      </c>
      <c r="AA255" s="195" t="str">
        <v>K901-K910</v>
      </c>
      <c r="AC255" s="70" t="str">
        <v>K907</v>
      </c>
    </row>
    <row r="256" spans="1:29" x14ac:dyDescent="0.2">
      <c r="A256"/>
      <c r="B256"/>
      <c r="C256"/>
      <c r="D256"/>
      <c r="E256"/>
      <c r="F256" t="str">
        <f>LEFT(AllDaqbookOffsets[[#This Row],[traceability_no]],2)</f>
        <v>J2</v>
      </c>
      <c r="W256" t="s">
        <v>709</v>
      </c>
      <c r="X256" t="s">
        <v>183</v>
      </c>
      <c r="Z256" s="470" t="str">
        <v>K908</v>
      </c>
      <c r="AA256" s="195" t="str">
        <v>K901-K910</v>
      </c>
      <c r="AC256" s="70" t="str">
        <v>K908</v>
      </c>
    </row>
    <row r="257" spans="1:29" x14ac:dyDescent="0.2">
      <c r="A257"/>
      <c r="B257"/>
      <c r="C257"/>
      <c r="D257"/>
      <c r="E257"/>
      <c r="F257" t="str">
        <f>LEFT(AllDaqbookOffsets[[#This Row],[traceability_no]],2)</f>
        <v>J2</v>
      </c>
      <c r="W257" t="s">
        <v>695</v>
      </c>
      <c r="X257" t="s">
        <v>258</v>
      </c>
      <c r="Z257" s="470" t="str">
        <v>K909</v>
      </c>
      <c r="AA257" s="195" t="str">
        <v>K901-K910</v>
      </c>
      <c r="AC257" s="70" t="str">
        <v>K909</v>
      </c>
    </row>
    <row r="258" spans="1:29" x14ac:dyDescent="0.2">
      <c r="A258"/>
      <c r="B258"/>
      <c r="C258"/>
      <c r="D258"/>
      <c r="E258"/>
      <c r="F258" t="str">
        <f>LEFT(AllDaqbookOffsets[[#This Row],[traceability_no]],2)</f>
        <v>J2</v>
      </c>
      <c r="W258" t="s">
        <v>710</v>
      </c>
      <c r="X258" t="s">
        <v>183</v>
      </c>
      <c r="Z258" s="470" t="str">
        <v>K910</v>
      </c>
      <c r="AA258" s="195" t="str">
        <v>K901-K910</v>
      </c>
      <c r="AC258" s="70" t="str">
        <v>K910</v>
      </c>
    </row>
    <row r="259" spans="1:29" x14ac:dyDescent="0.2">
      <c r="A259"/>
      <c r="B259"/>
      <c r="C259"/>
      <c r="D259"/>
      <c r="E259"/>
      <c r="F259" t="str">
        <f>LEFT(AllDaqbookOffsets[[#This Row],[traceability_no]],2)</f>
        <v>J2</v>
      </c>
      <c r="W259" t="s">
        <v>711</v>
      </c>
      <c r="X259" t="s">
        <v>183</v>
      </c>
      <c r="Z259" s="470" t="str">
        <v>N01</v>
      </c>
      <c r="AA259" s="195" t="str">
        <v>N01-N16</v>
      </c>
      <c r="AC259" s="70" t="str">
        <v>N01</v>
      </c>
    </row>
    <row r="260" spans="1:29" x14ac:dyDescent="0.2">
      <c r="A260"/>
      <c r="B260"/>
      <c r="C260"/>
      <c r="D260"/>
      <c r="E260"/>
      <c r="F260" t="str">
        <f>LEFT(AllDaqbookOffsets[[#This Row],[traceability_no]],2)</f>
        <v>J2</v>
      </c>
      <c r="W260" t="s">
        <v>712</v>
      </c>
      <c r="X260" t="s">
        <v>183</v>
      </c>
      <c r="Z260" s="470" t="str">
        <v>N02</v>
      </c>
      <c r="AA260" s="195" t="str">
        <v>N01-N16</v>
      </c>
      <c r="AC260" s="70" t="str">
        <v>N02</v>
      </c>
    </row>
    <row r="261" spans="1:29" x14ac:dyDescent="0.2">
      <c r="A261"/>
      <c r="B261"/>
      <c r="C261"/>
      <c r="D261"/>
      <c r="E261"/>
      <c r="F261" t="str">
        <f>LEFT(AllDaqbookOffsets[[#This Row],[traceability_no]],2)</f>
        <v>J2</v>
      </c>
      <c r="W261" t="s">
        <v>696</v>
      </c>
      <c r="X261" t="s">
        <v>258</v>
      </c>
      <c r="Z261" s="470" t="str">
        <v>N03</v>
      </c>
      <c r="AA261" s="195" t="str">
        <v>N01-N16</v>
      </c>
      <c r="AC261" s="70" t="str">
        <v>N03</v>
      </c>
    </row>
    <row r="262" spans="1:29" x14ac:dyDescent="0.2">
      <c r="A262"/>
      <c r="B262"/>
      <c r="C262"/>
      <c r="D262"/>
      <c r="E262"/>
      <c r="F262" t="str">
        <f>LEFT(AllDaqbookOffsets[[#This Row],[traceability_no]],2)</f>
        <v>J2</v>
      </c>
      <c r="W262" t="s">
        <v>697</v>
      </c>
      <c r="X262" t="s">
        <v>258</v>
      </c>
      <c r="Z262" s="470" t="str">
        <v>N04</v>
      </c>
      <c r="AA262" s="195" t="str">
        <v>N01-N16</v>
      </c>
      <c r="AC262" s="70" t="str">
        <v>N04</v>
      </c>
    </row>
    <row r="263" spans="1:29" x14ac:dyDescent="0.2">
      <c r="A263"/>
      <c r="B263"/>
      <c r="C263"/>
      <c r="D263"/>
      <c r="E263"/>
      <c r="F263" t="str">
        <f>LEFT(AllDaqbookOffsets[[#This Row],[traceability_no]],2)</f>
        <v>J2</v>
      </c>
      <c r="W263" t="s">
        <v>698</v>
      </c>
      <c r="X263" t="s">
        <v>258</v>
      </c>
      <c r="Z263" s="470" t="str">
        <v>N05</v>
      </c>
      <c r="AA263" s="195" t="str">
        <v>N01-N16</v>
      </c>
      <c r="AC263" s="70" t="str">
        <v>N05</v>
      </c>
    </row>
    <row r="264" spans="1:29" x14ac:dyDescent="0.2">
      <c r="A264"/>
      <c r="B264"/>
      <c r="C264"/>
      <c r="D264"/>
      <c r="E264"/>
      <c r="F264" t="str">
        <f>LEFT(AllDaqbookOffsets[[#This Row],[traceability_no]],2)</f>
        <v>J2</v>
      </c>
      <c r="W264" t="s">
        <v>699</v>
      </c>
      <c r="X264" t="s">
        <v>258</v>
      </c>
      <c r="Z264" s="470" t="str">
        <v>N06</v>
      </c>
      <c r="AA264" s="195" t="str">
        <v>N01-N16</v>
      </c>
      <c r="AC264" s="70" t="str">
        <v>N06</v>
      </c>
    </row>
    <row r="265" spans="1:29" x14ac:dyDescent="0.2">
      <c r="A265"/>
      <c r="B265"/>
      <c r="C265"/>
      <c r="D265"/>
      <c r="E265"/>
      <c r="F265" t="str">
        <f>LEFT(AllDaqbookOffsets[[#This Row],[traceability_no]],2)</f>
        <v>J2</v>
      </c>
      <c r="W265" t="s">
        <v>700</v>
      </c>
      <c r="X265" t="s">
        <v>258</v>
      </c>
      <c r="Z265" s="470" t="str">
        <v>N07</v>
      </c>
      <c r="AA265" s="195" t="str">
        <v>N01-N16</v>
      </c>
      <c r="AC265" s="70" t="str">
        <v>N07</v>
      </c>
    </row>
    <row r="266" spans="1:29" x14ac:dyDescent="0.2">
      <c r="A266"/>
      <c r="B266"/>
      <c r="C266"/>
      <c r="D266"/>
      <c r="E266"/>
      <c r="F266" t="str">
        <f>LEFT(AllDaqbookOffsets[[#This Row],[traceability_no]],2)</f>
        <v>J2</v>
      </c>
      <c r="W266" t="s">
        <v>713</v>
      </c>
      <c r="X266" t="s">
        <v>184</v>
      </c>
      <c r="Z266" s="470" t="str">
        <v>N08</v>
      </c>
      <c r="AA266" s="195" t="str">
        <v>N01-N16</v>
      </c>
      <c r="AC266" s="70" t="str">
        <v>N08</v>
      </c>
    </row>
    <row r="267" spans="1:29" x14ac:dyDescent="0.2">
      <c r="A267"/>
      <c r="B267"/>
      <c r="C267"/>
      <c r="D267"/>
      <c r="E267"/>
      <c r="F267" t="str">
        <f>LEFT(AllDaqbookOffsets[[#This Row],[traceability_no]],2)</f>
        <v>J2</v>
      </c>
      <c r="W267" t="s">
        <v>714</v>
      </c>
      <c r="X267" t="s">
        <v>184</v>
      </c>
      <c r="Z267" s="470" t="str">
        <v>N09</v>
      </c>
      <c r="AA267" s="195" t="str">
        <v>N01-N16</v>
      </c>
      <c r="AC267" s="70" t="str">
        <v>N09</v>
      </c>
    </row>
    <row r="268" spans="1:29" x14ac:dyDescent="0.2">
      <c r="A268"/>
      <c r="B268"/>
      <c r="C268"/>
      <c r="D268"/>
      <c r="E268"/>
      <c r="F268" t="str">
        <f>LEFT(AllDaqbookOffsets[[#This Row],[traceability_no]],2)</f>
        <v>J2</v>
      </c>
      <c r="W268" t="s">
        <v>715</v>
      </c>
      <c r="X268" t="s">
        <v>184</v>
      </c>
      <c r="Z268" s="470" t="str">
        <v>N10</v>
      </c>
      <c r="AA268" s="195" t="str">
        <v>N01-N16</v>
      </c>
      <c r="AC268" s="70" t="str">
        <v>N10</v>
      </c>
    </row>
    <row r="269" spans="1:29" x14ac:dyDescent="0.2">
      <c r="A269"/>
      <c r="B269"/>
      <c r="C269"/>
      <c r="D269"/>
      <c r="E269"/>
      <c r="F269" t="str">
        <f>LEFT(AllDaqbookOffsets[[#This Row],[traceability_no]],2)</f>
        <v>J2</v>
      </c>
      <c r="W269" t="s">
        <v>716</v>
      </c>
      <c r="X269" t="s">
        <v>184</v>
      </c>
      <c r="Z269" s="470" t="str">
        <v>N101</v>
      </c>
      <c r="AA269" s="195" t="str">
        <v>N101-N112</v>
      </c>
      <c r="AC269" s="70" t="str">
        <v>N101</v>
      </c>
    </row>
    <row r="270" spans="1:29" x14ac:dyDescent="0.2">
      <c r="A270"/>
      <c r="B270"/>
      <c r="C270"/>
      <c r="D270"/>
      <c r="E270"/>
      <c r="F270" t="str">
        <f>LEFT(AllDaqbookOffsets[[#This Row],[traceability_no]],2)</f>
        <v>J2</v>
      </c>
      <c r="W270" t="s">
        <v>717</v>
      </c>
      <c r="X270" t="s">
        <v>184</v>
      </c>
      <c r="Z270" s="470" t="str">
        <v>N102</v>
      </c>
      <c r="AA270" s="195" t="str">
        <v>N101-N112</v>
      </c>
      <c r="AC270" s="70" t="str">
        <v>N102</v>
      </c>
    </row>
    <row r="271" spans="1:29" x14ac:dyDescent="0.2">
      <c r="A271"/>
      <c r="B271"/>
      <c r="C271"/>
      <c r="D271"/>
      <c r="E271"/>
      <c r="F271" t="str">
        <f>LEFT(AllDaqbookOffsets[[#This Row],[traceability_no]],2)</f>
        <v>J2</v>
      </c>
      <c r="W271" t="s">
        <v>718</v>
      </c>
      <c r="X271" t="s">
        <v>184</v>
      </c>
      <c r="Z271" s="470" t="str">
        <v>N103</v>
      </c>
      <c r="AA271" s="195" t="str">
        <v>N101-N112</v>
      </c>
      <c r="AC271" s="70" t="str">
        <v>N103</v>
      </c>
    </row>
    <row r="272" spans="1:29" x14ac:dyDescent="0.2">
      <c r="A272"/>
      <c r="B272"/>
      <c r="C272"/>
      <c r="D272"/>
      <c r="E272"/>
      <c r="F272" t="str">
        <f>LEFT(AllDaqbookOffsets[[#This Row],[traceability_no]],2)</f>
        <v>J2</v>
      </c>
      <c r="W272" t="s">
        <v>719</v>
      </c>
      <c r="X272" t="s">
        <v>184</v>
      </c>
      <c r="Z272" s="470" t="str">
        <v>N104</v>
      </c>
      <c r="AA272" s="195" t="str">
        <v>N101-N112</v>
      </c>
      <c r="AC272" s="70" t="str">
        <v>N104</v>
      </c>
    </row>
    <row r="273" spans="1:29" x14ac:dyDescent="0.2">
      <c r="A273"/>
      <c r="B273"/>
      <c r="C273"/>
      <c r="D273"/>
      <c r="E273"/>
      <c r="F273" t="str">
        <f>LEFT(AllDaqbookOffsets[[#This Row],[traceability_no]],2)</f>
        <v>J2</v>
      </c>
      <c r="W273" t="s">
        <v>720</v>
      </c>
      <c r="X273" t="s">
        <v>184</v>
      </c>
      <c r="Z273" s="470" t="str">
        <v>N105</v>
      </c>
      <c r="AA273" s="195" t="str">
        <v>N101-N112</v>
      </c>
      <c r="AC273" s="70" t="str">
        <v>N105</v>
      </c>
    </row>
    <row r="274" spans="1:29" x14ac:dyDescent="0.2">
      <c r="A274"/>
      <c r="B274"/>
      <c r="C274"/>
      <c r="D274"/>
      <c r="E274"/>
      <c r="F274" t="str">
        <f>LEFT(AllDaqbookOffsets[[#This Row],[traceability_no]],2)</f>
        <v>J2</v>
      </c>
      <c r="W274" t="s">
        <v>721</v>
      </c>
      <c r="X274" t="s">
        <v>184</v>
      </c>
      <c r="Z274" s="470" t="str">
        <v>N106</v>
      </c>
      <c r="AA274" s="195" t="str">
        <v>N101-N112</v>
      </c>
      <c r="AC274" s="70" t="str">
        <v>N106</v>
      </c>
    </row>
    <row r="275" spans="1:29" x14ac:dyDescent="0.2">
      <c r="A275"/>
      <c r="B275"/>
      <c r="C275"/>
      <c r="D275"/>
      <c r="E275"/>
      <c r="F275" t="str">
        <f>LEFT(AllDaqbookOffsets[[#This Row],[traceability_no]],2)</f>
        <v>J2</v>
      </c>
      <c r="W275" t="s">
        <v>722</v>
      </c>
      <c r="X275" t="s">
        <v>184</v>
      </c>
      <c r="Z275" s="470" t="str">
        <v>N107</v>
      </c>
      <c r="AA275" s="195" t="str">
        <v>N101-N112</v>
      </c>
      <c r="AC275" s="70" t="str">
        <v>N107</v>
      </c>
    </row>
    <row r="276" spans="1:29" x14ac:dyDescent="0.2">
      <c r="A276"/>
      <c r="B276"/>
      <c r="C276"/>
      <c r="D276"/>
      <c r="E276"/>
      <c r="F276" t="str">
        <f>LEFT(AllDaqbookOffsets[[#This Row],[traceability_no]],2)</f>
        <v>J2</v>
      </c>
      <c r="W276" t="s">
        <v>723</v>
      </c>
      <c r="X276" t="s">
        <v>184</v>
      </c>
      <c r="Z276" s="470" t="str">
        <v>N108</v>
      </c>
      <c r="AA276" s="195" t="str">
        <v>N101-N112</v>
      </c>
      <c r="AC276" s="70" t="str">
        <v>N108</v>
      </c>
    </row>
    <row r="277" spans="1:29" x14ac:dyDescent="0.2">
      <c r="A277"/>
      <c r="B277"/>
      <c r="C277"/>
      <c r="D277"/>
      <c r="E277"/>
      <c r="F277" t="str">
        <f>LEFT(AllDaqbookOffsets[[#This Row],[traceability_no]],2)</f>
        <v>J2</v>
      </c>
      <c r="W277" t="s">
        <v>724</v>
      </c>
      <c r="X277" t="s">
        <v>184</v>
      </c>
      <c r="Z277" s="470" t="str">
        <v>N109</v>
      </c>
      <c r="AA277" s="195" t="str">
        <v>N101-N112</v>
      </c>
      <c r="AC277" s="70" t="str">
        <v>N109</v>
      </c>
    </row>
    <row r="278" spans="1:29" x14ac:dyDescent="0.2">
      <c r="A278"/>
      <c r="B278"/>
      <c r="C278"/>
      <c r="D278"/>
      <c r="E278"/>
      <c r="F278" t="str">
        <f>LEFT(AllDaqbookOffsets[[#This Row],[traceability_no]],2)</f>
        <v>J2</v>
      </c>
      <c r="W278" t="s">
        <v>725</v>
      </c>
      <c r="X278" t="s">
        <v>184</v>
      </c>
      <c r="Z278" s="470" t="str">
        <v>N11</v>
      </c>
      <c r="AA278" s="195" t="str">
        <v>N01-N16</v>
      </c>
      <c r="AC278" s="70" t="str">
        <v>N11</v>
      </c>
    </row>
    <row r="279" spans="1:29" x14ac:dyDescent="0.2">
      <c r="A279"/>
      <c r="B279"/>
      <c r="C279"/>
      <c r="D279"/>
      <c r="E279"/>
      <c r="F279" t="str">
        <f>LEFT(AllDaqbookOffsets[[#This Row],[traceability_no]],2)</f>
        <v>J2</v>
      </c>
      <c r="W279" t="s">
        <v>726</v>
      </c>
      <c r="X279" t="s">
        <v>184</v>
      </c>
      <c r="Z279" s="470" t="str">
        <v>N110</v>
      </c>
      <c r="AA279" s="195" t="str">
        <v>N101-N112</v>
      </c>
      <c r="AC279" s="70" t="str">
        <v>N110</v>
      </c>
    </row>
    <row r="280" spans="1:29" x14ac:dyDescent="0.2">
      <c r="A280"/>
      <c r="B280"/>
      <c r="C280"/>
      <c r="D280"/>
      <c r="E280"/>
      <c r="F280" t="str">
        <f>LEFT(AllDaqbookOffsets[[#This Row],[traceability_no]],2)</f>
        <v>J2</v>
      </c>
      <c r="Z280" s="470" t="str">
        <v>N111</v>
      </c>
      <c r="AA280" s="195" t="str">
        <v>N101-N112</v>
      </c>
      <c r="AC280" s="70" t="str">
        <v>N111</v>
      </c>
    </row>
    <row r="281" spans="1:29" x14ac:dyDescent="0.2">
      <c r="A281"/>
      <c r="B281"/>
      <c r="C281"/>
      <c r="D281"/>
      <c r="E281"/>
      <c r="F281" t="str">
        <f>LEFT(AllDaqbookOffsets[[#This Row],[traceability_no]],2)</f>
        <v>J2</v>
      </c>
      <c r="Z281" s="470" t="str">
        <v>N112</v>
      </c>
      <c r="AA281" s="195" t="str">
        <v>N101-N112</v>
      </c>
      <c r="AC281" s="70" t="str">
        <v>N112</v>
      </c>
    </row>
    <row r="282" spans="1:29" x14ac:dyDescent="0.2">
      <c r="A282"/>
      <c r="B282"/>
      <c r="C282"/>
      <c r="D282"/>
      <c r="E282"/>
      <c r="F282" t="str">
        <f>LEFT(AllDaqbookOffsets[[#This Row],[traceability_no]],2)</f>
        <v>J2</v>
      </c>
      <c r="Z282" s="470" t="str">
        <v>N12</v>
      </c>
      <c r="AA282" s="195" t="str">
        <v>N01-N16</v>
      </c>
      <c r="AC282" s="70" t="str">
        <v>N12</v>
      </c>
    </row>
    <row r="283" spans="1:29" x14ac:dyDescent="0.2">
      <c r="A283"/>
      <c r="B283"/>
      <c r="C283"/>
      <c r="D283"/>
      <c r="E283"/>
      <c r="F283" t="str">
        <f>LEFT(AllDaqbookOffsets[[#This Row],[traceability_no]],2)</f>
        <v>J2</v>
      </c>
      <c r="Z283" s="470" t="str">
        <v>N13</v>
      </c>
      <c r="AA283" s="195" t="str">
        <v>N01-N16</v>
      </c>
      <c r="AC283" s="70" t="str">
        <v>N13</v>
      </c>
    </row>
    <row r="284" spans="1:29" x14ac:dyDescent="0.2">
      <c r="A284"/>
      <c r="B284"/>
      <c r="C284"/>
      <c r="D284"/>
      <c r="E284"/>
      <c r="F284" t="str">
        <f>LEFT(AllDaqbookOffsets[[#This Row],[traceability_no]],2)</f>
        <v>J2</v>
      </c>
      <c r="Z284" s="470" t="str">
        <v>N14</v>
      </c>
      <c r="AA284" s="195" t="str">
        <v>N01-N16</v>
      </c>
      <c r="AC284" s="70" t="str">
        <v>N14</v>
      </c>
    </row>
    <row r="285" spans="1:29" x14ac:dyDescent="0.2">
      <c r="A285"/>
      <c r="B285"/>
      <c r="C285"/>
      <c r="D285"/>
      <c r="E285"/>
      <c r="F285" t="str">
        <f>LEFT(AllDaqbookOffsets[[#This Row],[traceability_no]],2)</f>
        <v>J2</v>
      </c>
      <c r="Z285" s="470" t="str">
        <v>N15</v>
      </c>
      <c r="AA285" s="195" t="str">
        <v>N01-N16</v>
      </c>
      <c r="AC285" s="70" t="str">
        <v>N15</v>
      </c>
    </row>
    <row r="286" spans="1:29" x14ac:dyDescent="0.2">
      <c r="A286"/>
      <c r="B286"/>
      <c r="C286"/>
      <c r="D286"/>
      <c r="E286"/>
      <c r="F286" t="str">
        <f>LEFT(AllDaqbookOffsets[[#This Row],[traceability_no]],2)</f>
        <v>J2</v>
      </c>
      <c r="Z286" s="470" t="str">
        <v>N16</v>
      </c>
      <c r="AA286" s="195" t="str">
        <v>N01-N16</v>
      </c>
      <c r="AC286" s="70" t="str">
        <v>N16</v>
      </c>
    </row>
    <row r="287" spans="1:29" x14ac:dyDescent="0.2">
      <c r="A287"/>
      <c r="B287"/>
      <c r="C287"/>
      <c r="D287"/>
      <c r="E287"/>
      <c r="F287" t="str">
        <f>LEFT(AllDaqbookOffsets[[#This Row],[traceability_no]],2)</f>
        <v>J2</v>
      </c>
      <c r="Z287" s="470" t="str">
        <v>N21</v>
      </c>
      <c r="AA287" s="195" t="str">
        <v>N21-N34</v>
      </c>
      <c r="AC287" s="70" t="str">
        <v>N21</v>
      </c>
    </row>
    <row r="288" spans="1:29" x14ac:dyDescent="0.2">
      <c r="A288"/>
      <c r="B288"/>
      <c r="C288"/>
      <c r="D288"/>
      <c r="E288"/>
      <c r="F288" t="str">
        <f>LEFT(AllDaqbookOffsets[[#This Row],[traceability_no]],2)</f>
        <v>J2</v>
      </c>
      <c r="Z288" s="470" t="str">
        <v>N22</v>
      </c>
      <c r="AA288" s="195" t="str">
        <v>N21-N34</v>
      </c>
      <c r="AC288" s="70" t="str">
        <v>N22</v>
      </c>
    </row>
    <row r="289" spans="1:29" x14ac:dyDescent="0.2">
      <c r="A289"/>
      <c r="B289"/>
      <c r="C289"/>
      <c r="D289"/>
      <c r="E289"/>
      <c r="F289" t="str">
        <f>LEFT(AllDaqbookOffsets[[#This Row],[traceability_no]],2)</f>
        <v>J2</v>
      </c>
      <c r="Z289" s="470" t="str">
        <v>N23</v>
      </c>
      <c r="AA289" s="195" t="str">
        <v>N21-N34</v>
      </c>
      <c r="AC289" s="70" t="str">
        <v>N23</v>
      </c>
    </row>
    <row r="290" spans="1:29" x14ac:dyDescent="0.2">
      <c r="A290"/>
      <c r="B290"/>
      <c r="C290"/>
      <c r="D290"/>
      <c r="E290"/>
      <c r="F290" t="str">
        <f>LEFT(AllDaqbookOffsets[[#This Row],[traceability_no]],2)</f>
        <v>J2</v>
      </c>
      <c r="Z290" s="470" t="str">
        <v>N24</v>
      </c>
      <c r="AA290" s="195" t="str">
        <v>N21-N34</v>
      </c>
      <c r="AC290" s="70" t="str">
        <v>N24</v>
      </c>
    </row>
    <row r="291" spans="1:29" x14ac:dyDescent="0.2">
      <c r="A291"/>
      <c r="B291"/>
      <c r="C291"/>
      <c r="D291"/>
      <c r="E291"/>
      <c r="F291" t="str">
        <f>LEFT(AllDaqbookOffsets[[#This Row],[traceability_no]],2)</f>
        <v>J2</v>
      </c>
      <c r="Z291" s="470" t="str">
        <v>N25</v>
      </c>
      <c r="AA291" s="195" t="str">
        <v>N21-N34</v>
      </c>
      <c r="AC291" s="70" t="str">
        <v>N25</v>
      </c>
    </row>
    <row r="292" spans="1:29" x14ac:dyDescent="0.2">
      <c r="A292"/>
      <c r="B292"/>
      <c r="C292"/>
      <c r="D292"/>
      <c r="E292"/>
      <c r="F292" t="str">
        <f>LEFT(AllDaqbookOffsets[[#This Row],[traceability_no]],2)</f>
        <v>J2</v>
      </c>
      <c r="Z292" s="470" t="str">
        <v>N26</v>
      </c>
      <c r="AA292" s="195" t="str">
        <v>N21-N34</v>
      </c>
      <c r="AC292" s="70" t="str">
        <v>N26</v>
      </c>
    </row>
    <row r="293" spans="1:29" x14ac:dyDescent="0.2">
      <c r="A293"/>
      <c r="B293"/>
      <c r="C293"/>
      <c r="D293"/>
      <c r="E293"/>
      <c r="F293" t="str">
        <f>LEFT(AllDaqbookOffsets[[#This Row],[traceability_no]],2)</f>
        <v>J2</v>
      </c>
      <c r="Z293" s="470" t="str">
        <v>N27</v>
      </c>
      <c r="AA293" s="195" t="str">
        <v>N21-N34</v>
      </c>
      <c r="AC293" s="70" t="str">
        <v>N27</v>
      </c>
    </row>
    <row r="294" spans="1:29" x14ac:dyDescent="0.2">
      <c r="A294"/>
      <c r="B294"/>
      <c r="C294"/>
      <c r="D294"/>
      <c r="E294"/>
      <c r="F294" t="str">
        <f>LEFT(AllDaqbookOffsets[[#This Row],[traceability_no]],2)</f>
        <v>J2</v>
      </c>
      <c r="Z294" s="470" t="str">
        <v>N28</v>
      </c>
      <c r="AA294" s="195" t="str">
        <v>N21-N34</v>
      </c>
      <c r="AC294" s="70" t="str">
        <v>N28</v>
      </c>
    </row>
    <row r="295" spans="1:29" x14ac:dyDescent="0.2">
      <c r="A295"/>
      <c r="B295"/>
      <c r="C295"/>
      <c r="D295"/>
      <c r="E295"/>
      <c r="F295" t="str">
        <f>LEFT(AllDaqbookOffsets[[#This Row],[traceability_no]],2)</f>
        <v>J2</v>
      </c>
      <c r="Z295" s="470" t="str">
        <v>N29</v>
      </c>
      <c r="AA295" s="195" t="str">
        <v>N21-N34</v>
      </c>
      <c r="AC295" s="70" t="str">
        <v>N29</v>
      </c>
    </row>
    <row r="296" spans="1:29" x14ac:dyDescent="0.2">
      <c r="A296"/>
      <c r="B296"/>
      <c r="C296"/>
      <c r="D296"/>
      <c r="E296"/>
      <c r="F296" t="str">
        <f>LEFT(AllDaqbookOffsets[[#This Row],[traceability_no]],2)</f>
        <v>J2</v>
      </c>
      <c r="Z296" s="470" t="str">
        <v>N30</v>
      </c>
      <c r="AA296" s="195" t="str">
        <v>N21-N34</v>
      </c>
      <c r="AC296" s="70" t="str">
        <v>N30</v>
      </c>
    </row>
    <row r="297" spans="1:29" x14ac:dyDescent="0.2">
      <c r="A297"/>
      <c r="B297"/>
      <c r="C297"/>
      <c r="D297"/>
      <c r="E297"/>
      <c r="F297" t="str">
        <f>LEFT(AllDaqbookOffsets[[#This Row],[traceability_no]],2)</f>
        <v>J2</v>
      </c>
      <c r="Z297" s="470" t="str">
        <v>N31</v>
      </c>
      <c r="AA297" s="195" t="str">
        <v>N21-N34</v>
      </c>
      <c r="AC297" s="70" t="str">
        <v>N31</v>
      </c>
    </row>
    <row r="298" spans="1:29" x14ac:dyDescent="0.2">
      <c r="A298"/>
      <c r="B298"/>
      <c r="C298"/>
      <c r="D298"/>
      <c r="E298"/>
      <c r="F298" t="str">
        <f>LEFT(AllDaqbookOffsets[[#This Row],[traceability_no]],2)</f>
        <v>J2</v>
      </c>
      <c r="Z298" s="470" t="str">
        <v>N32</v>
      </c>
      <c r="AA298" s="195" t="str">
        <v>N21-N34</v>
      </c>
      <c r="AC298" s="70" t="str">
        <v>N32</v>
      </c>
    </row>
    <row r="299" spans="1:29" x14ac:dyDescent="0.2">
      <c r="A299"/>
      <c r="B299"/>
      <c r="C299"/>
      <c r="D299"/>
      <c r="E299"/>
      <c r="F299" t="str">
        <f>LEFT(AllDaqbookOffsets[[#This Row],[traceability_no]],2)</f>
        <v>J2</v>
      </c>
      <c r="Z299" s="470" t="str">
        <v>N33</v>
      </c>
      <c r="AA299" s="195" t="str">
        <v>N21-N34</v>
      </c>
      <c r="AC299" s="70" t="str">
        <v>N33</v>
      </c>
    </row>
    <row r="300" spans="1:29" x14ac:dyDescent="0.2">
      <c r="A300"/>
      <c r="B300"/>
      <c r="C300"/>
      <c r="D300"/>
      <c r="E300"/>
      <c r="F300" t="str">
        <f>LEFT(AllDaqbookOffsets[[#This Row],[traceability_no]],2)</f>
        <v>J2</v>
      </c>
      <c r="Z300" s="470" t="str">
        <v>N34</v>
      </c>
      <c r="AA300" s="195" t="str">
        <v>N21-N34</v>
      </c>
      <c r="AC300" s="70" t="str">
        <v>N34</v>
      </c>
    </row>
    <row r="301" spans="1:29" x14ac:dyDescent="0.2">
      <c r="A301"/>
      <c r="B301"/>
      <c r="C301"/>
      <c r="D301"/>
      <c r="E301"/>
      <c r="F301" t="str">
        <f>LEFT(AllDaqbookOffsets[[#This Row],[traceability_no]],2)</f>
        <v>J2</v>
      </c>
    </row>
    <row r="302" spans="1:29" x14ac:dyDescent="0.2">
      <c r="A302"/>
      <c r="B302"/>
      <c r="C302"/>
      <c r="D302"/>
      <c r="E302"/>
      <c r="F302" t="str">
        <f>LEFT(AllDaqbookOffsets[[#This Row],[traceability_no]],2)</f>
        <v>J2</v>
      </c>
    </row>
    <row r="303" spans="1:29" x14ac:dyDescent="0.2">
      <c r="A303"/>
      <c r="B303"/>
      <c r="C303"/>
      <c r="D303"/>
      <c r="E303"/>
      <c r="F303" t="str">
        <f>LEFT(AllDaqbookOffsets[[#This Row],[traceability_no]],2)</f>
        <v>J2</v>
      </c>
    </row>
    <row r="304" spans="1:29"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ArMx6cNs9zqsXqZhIactlVgqJrei5xF2Y21egICG6YUz5qSXk7HlFdWor2lF5uGgT+cSF9Xwnk0XbT3lUKk+6A==" saltValue="MjXWapbd41W0g9S2PRfaX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40">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7" bestFit="1" customWidth="1"/>
    <col min="2" max="2" width="8.42578125" bestFit="1" customWidth="1"/>
    <col min="3" max="3" width="17.85546875" bestFit="1" customWidth="1"/>
  </cols>
  <sheetData>
    <row r="1" spans="1:3" x14ac:dyDescent="0.2">
      <c r="A1"/>
      <c r="B1"/>
      <c r="C1"/>
    </row>
    <row r="2" spans="1:3" x14ac:dyDescent="0.2">
      <c r="A2"/>
      <c r="C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F7" sqref="F7"/>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c r="B2"/>
      <c r="C2"/>
      <c r="D2"/>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6" t="s">
        <v>748</v>
      </c>
      <c r="B1" s="318"/>
      <c r="C1" s="510" t="s">
        <v>49</v>
      </c>
      <c r="D1" s="511"/>
      <c r="E1" s="511"/>
      <c r="F1" s="511"/>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12" t="s">
        <v>99</v>
      </c>
      <c r="K3" s="513"/>
      <c r="L3" s="514"/>
      <c r="M3" s="301"/>
      <c r="N3" s="528" t="s">
        <v>88</v>
      </c>
      <c r="O3" s="528"/>
      <c r="P3" s="528"/>
      <c r="Q3" s="528"/>
      <c r="R3" s="528"/>
      <c r="S3" s="528"/>
    </row>
    <row r="4" spans="1:19" s="278" customFormat="1" x14ac:dyDescent="0.2">
      <c r="A4" s="319"/>
      <c r="B4" s="141"/>
      <c r="C4" s="142" t="s">
        <v>188</v>
      </c>
      <c r="D4" s="285" t="str">
        <f>IF(Condition="","",Condition)</f>
        <v/>
      </c>
      <c r="E4" s="301"/>
      <c r="F4" s="301"/>
      <c r="G4" s="301"/>
      <c r="H4" s="301"/>
      <c r="I4" s="301"/>
      <c r="J4" s="517" t="s">
        <v>1</v>
      </c>
      <c r="K4" s="518"/>
      <c r="L4" s="143">
        <f>MAX(Survey[Deviations])</f>
        <v>0</v>
      </c>
      <c r="M4" s="301"/>
      <c r="N4" s="144" t="s">
        <v>87</v>
      </c>
      <c r="O4" s="145" t="s">
        <v>86</v>
      </c>
      <c r="P4" s="515" t="s">
        <v>97</v>
      </c>
      <c r="Q4" s="516"/>
      <c r="R4" s="144" t="s">
        <v>129</v>
      </c>
      <c r="S4" s="144" t="s">
        <v>133</v>
      </c>
    </row>
    <row r="5" spans="1:19" s="278" customFormat="1" x14ac:dyDescent="0.2">
      <c r="A5" s="319"/>
      <c r="B5" s="141"/>
      <c r="C5" s="142" t="s">
        <v>41</v>
      </c>
      <c r="D5" s="532" t="e">
        <f>companyName</f>
        <v>#N/A</v>
      </c>
      <c r="E5" s="533"/>
      <c r="F5" s="533"/>
      <c r="G5" s="533"/>
      <c r="H5" s="534"/>
      <c r="I5" s="286"/>
      <c r="J5" s="517" t="s">
        <v>2</v>
      </c>
      <c r="K5" s="518"/>
      <c r="L5" s="143">
        <f>MIN(Survey[Deviations])</f>
        <v>0</v>
      </c>
      <c r="M5" s="301"/>
      <c r="N5" s="405">
        <v>1</v>
      </c>
      <c r="O5" s="146"/>
      <c r="P5" s="459" t="str" cm="1">
        <f t="array" ref="P5:P44">Alerts[Alert]</f>
        <v/>
      </c>
      <c r="Q5" s="460"/>
      <c r="R5" s="458" t="e" cm="1">
        <f t="array" ref="R5:R44">Alerts[Temp]</f>
        <v>#VALUE!</v>
      </c>
      <c r="S5" s="147" t="str" cm="1">
        <f t="array" ref="S5:S44">Alerts[Time]</f>
        <v/>
      </c>
    </row>
    <row r="6" spans="1:19" s="278" customFormat="1" x14ac:dyDescent="0.2">
      <c r="A6" s="319"/>
      <c r="B6" s="141"/>
      <c r="C6" s="142" t="s">
        <v>40</v>
      </c>
      <c r="D6" s="529" t="e">
        <f>VLOOKUP("assetName",WorkItemDetails[],2,FALSE)</f>
        <v>#N/A</v>
      </c>
      <c r="E6" s="530"/>
      <c r="F6" s="530"/>
      <c r="G6" s="530"/>
      <c r="H6" s="531"/>
      <c r="J6" s="517" t="s">
        <v>98</v>
      </c>
      <c r="K6" s="518"/>
      <c r="L6" s="143">
        <f>L4-L5</f>
        <v>0</v>
      </c>
      <c r="M6" s="301"/>
      <c r="N6" s="405">
        <v>2</v>
      </c>
      <c r="O6" s="146"/>
      <c r="P6" s="459" t="str">
        <v/>
      </c>
      <c r="Q6" s="460"/>
      <c r="R6" s="458"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9" t="str">
        <v/>
      </c>
      <c r="Q7" s="460"/>
      <c r="R7" s="458"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9" t="str">
        <v/>
      </c>
      <c r="Q8" s="460"/>
      <c r="R8" s="458"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9" t="str">
        <v/>
      </c>
      <c r="Q9" s="460"/>
      <c r="R9" s="458"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9" t="str">
        <v/>
      </c>
      <c r="Q10" s="460"/>
      <c r="R10" s="458" t="e">
        <v>#VALUE!</v>
      </c>
      <c r="S10" s="147" t="str">
        <v/>
      </c>
    </row>
    <row r="11" spans="1:19" s="278" customFormat="1" x14ac:dyDescent="0.2">
      <c r="A11" s="319"/>
      <c r="B11" s="141"/>
      <c r="C11" s="150" t="s">
        <v>52</v>
      </c>
      <c r="D11" s="431" t="e">
        <f>VLOOKUP("serial_number",DaqbookServiceRecord[], 2, FALSE)</f>
        <v>#N/A</v>
      </c>
      <c r="E11" s="301"/>
      <c r="F11" s="301"/>
      <c r="G11" s="302" t="str">
        <f>IF(OR(ISBLANK(D3),ISBLANK(D13)),"",IF(D13&lt;D3,"!!!!! DAQBOOK IS OUT OF CERTIFICATION !!!!!",""))</f>
        <v/>
      </c>
      <c r="H11" s="301"/>
      <c r="I11" s="301"/>
      <c r="J11" s="301"/>
      <c r="K11" s="301"/>
      <c r="L11" s="301"/>
      <c r="M11" s="301"/>
      <c r="N11" s="405">
        <v>7</v>
      </c>
      <c r="O11" s="146"/>
      <c r="P11" s="459" t="str">
        <v/>
      </c>
      <c r="Q11" s="460"/>
      <c r="R11" s="458" t="e">
        <v>#VALUE!</v>
      </c>
      <c r="S11" s="147" t="str">
        <v/>
      </c>
    </row>
    <row r="12" spans="1:19" s="278" customFormat="1" x14ac:dyDescent="0.2">
      <c r="A12" s="319"/>
      <c r="B12" s="141"/>
      <c r="C12" s="150" t="s">
        <v>84</v>
      </c>
      <c r="D12" s="279" t="e">
        <f>VLOOKUP("service_date",DaqbookServiceRecord[], 2, FALSE)</f>
        <v>#N/A</v>
      </c>
      <c r="E12" s="301"/>
      <c r="F12" s="301"/>
      <c r="G12" s="302" t="str">
        <f>IF(IF(COUNTIFS(DataForChannels1to14[],"&gt;"&amp;B2,DataForChannels1to14[],"&lt;"&amp;(B2+200))&gt;0,1,0)=1,"!!!!! OVEN OVERSHOT IN POINTS 1-14 !!!!!","")</f>
        <v/>
      </c>
      <c r="H12" s="301"/>
      <c r="I12" s="301"/>
      <c r="J12" s="322"/>
      <c r="K12" s="305"/>
      <c r="L12" s="322"/>
      <c r="M12" s="305"/>
      <c r="N12" s="405">
        <v>8</v>
      </c>
      <c r="O12" s="146"/>
      <c r="P12" s="459" t="str">
        <v/>
      </c>
      <c r="Q12" s="460"/>
      <c r="R12" s="458" t="e">
        <v>#VALUE!</v>
      </c>
      <c r="S12" s="147" t="str">
        <v/>
      </c>
    </row>
    <row r="13" spans="1:19" s="278" customFormat="1" x14ac:dyDescent="0.2">
      <c r="A13" s="319"/>
      <c r="B13" s="151"/>
      <c r="C13" s="152" t="s">
        <v>83</v>
      </c>
      <c r="D13" s="279" t="e">
        <f>VLOOKUP("next_service_date",DaqbookServiceRecord[], 2, FALSE)</f>
        <v>#N/A</v>
      </c>
      <c r="E13" s="301"/>
      <c r="F13" s="326"/>
      <c r="G13" s="317" t="str">
        <f>IF(IF(COUNTIFS(DataForChannels15to28[],"&gt;"&amp;B2,DataForChannels15to28[],"&lt;"&amp;(B2+200))&gt;0,1,0)=1,"!!!!! OVEN OVERSHOT IN POINTS 15-28 !!!!!","")</f>
        <v/>
      </c>
      <c r="H13" s="301"/>
      <c r="I13" s="301"/>
      <c r="J13" s="240" t="s">
        <v>257</v>
      </c>
      <c r="K13" s="526" t="str">
        <f>IFERROR(VLOOKUP("PoNumber",WorkItemDetails[],2,FALSE),"")</f>
        <v/>
      </c>
      <c r="L13" s="527"/>
      <c r="M13" s="301"/>
      <c r="N13" s="405">
        <v>9</v>
      </c>
      <c r="O13" s="146"/>
      <c r="P13" s="459" t="str">
        <v/>
      </c>
      <c r="Q13" s="460"/>
      <c r="R13" s="458" t="e">
        <v>#VALUE!</v>
      </c>
      <c r="S13" s="147" t="str">
        <v/>
      </c>
    </row>
    <row r="14" spans="1:19" s="278" customFormat="1" x14ac:dyDescent="0.2">
      <c r="A14" s="319"/>
      <c r="B14" s="141"/>
      <c r="C14" s="150" t="s">
        <v>85</v>
      </c>
      <c r="D14" s="431" t="e">
        <f>VLOOKUP("certificate_number",DaqbookServiceRecord[], 2, FALSE)</f>
        <v>#N/A</v>
      </c>
      <c r="E14" s="301"/>
      <c r="F14" s="301"/>
      <c r="G14" s="302" t="str">
        <f>IF(IF(COUNTIFS(DataForChannels29to40[],"&gt;"&amp;B2,DataForChannels29to40[],"&lt;"&amp;(B2+200))&gt;0,1,0)=1,"!!!!! OVEN OVERSHOT IN POINTS 29-40 !!!!!","")</f>
        <v/>
      </c>
      <c r="H14" s="301"/>
      <c r="I14" s="301"/>
      <c r="J14" s="153" t="s">
        <v>128</v>
      </c>
      <c r="K14" s="535"/>
      <c r="L14" s="536"/>
      <c r="M14" s="301"/>
      <c r="N14" s="405">
        <v>10</v>
      </c>
      <c r="O14" s="146"/>
      <c r="P14" s="459" t="str">
        <v/>
      </c>
      <c r="Q14" s="460"/>
      <c r="R14" s="458" t="e">
        <v>#VALUE!</v>
      </c>
      <c r="S14" s="147" t="str">
        <v/>
      </c>
    </row>
    <row r="15" spans="1:19" s="278" customFormat="1" x14ac:dyDescent="0.2">
      <c r="A15" s="319"/>
      <c r="B15" s="188"/>
      <c r="C15" s="186" t="s">
        <v>62</v>
      </c>
      <c r="D15" s="294"/>
      <c r="E15" s="301"/>
      <c r="F15" s="301"/>
      <c r="G15" s="301"/>
      <c r="H15" s="420" t="b">
        <v>1</v>
      </c>
      <c r="I15" s="301"/>
      <c r="J15" s="154" t="s">
        <v>123</v>
      </c>
      <c r="K15" s="521"/>
      <c r="L15" s="522"/>
      <c r="M15" s="301"/>
      <c r="N15" s="405">
        <v>11</v>
      </c>
      <c r="O15" s="146"/>
      <c r="P15" s="459" t="str">
        <v/>
      </c>
      <c r="Q15" s="460"/>
      <c r="R15" s="458" t="e">
        <v>#VALUE!</v>
      </c>
      <c r="S15" s="147" t="str">
        <v/>
      </c>
    </row>
    <row r="16" spans="1:19" s="278" customFormat="1" x14ac:dyDescent="0.2">
      <c r="A16" s="319"/>
      <c r="B16" s="155"/>
      <c r="C16" s="187" t="s">
        <v>199</v>
      </c>
      <c r="D16" s="294"/>
      <c r="E16" s="301"/>
      <c r="F16" s="153" t="s">
        <v>74</v>
      </c>
      <c r="G16" s="393" t="s">
        <v>201</v>
      </c>
      <c r="H16" s="394"/>
      <c r="I16" s="301"/>
      <c r="J16" s="483" t="s">
        <v>151</v>
      </c>
      <c r="K16" s="484"/>
      <c r="L16" s="284"/>
      <c r="M16" s="301"/>
      <c r="N16" s="405">
        <v>12</v>
      </c>
      <c r="O16" s="146"/>
      <c r="P16" s="459" t="str">
        <v/>
      </c>
      <c r="Q16" s="460"/>
      <c r="R16" s="458" t="e">
        <v>#VALUE!</v>
      </c>
      <c r="S16" s="147" t="str">
        <v/>
      </c>
    </row>
    <row r="17" spans="2:22" s="278" customFormat="1" x14ac:dyDescent="0.2">
      <c r="B17" s="141"/>
      <c r="C17" s="142" t="s">
        <v>61</v>
      </c>
      <c r="D17" s="295"/>
      <c r="E17" s="301"/>
      <c r="F17" s="154" t="s">
        <v>93</v>
      </c>
      <c r="G17" s="368" t="str">
        <f>IF(ISBLANK(Load),"",Load)</f>
        <v/>
      </c>
      <c r="H17" s="301"/>
      <c r="I17" s="302"/>
      <c r="J17" s="483" t="s">
        <v>152</v>
      </c>
      <c r="K17" s="484"/>
      <c r="L17" s="157" t="str">
        <f>IF(K15="SIM Load Hot",TEXT(D26,"hh:mm"),"")</f>
        <v/>
      </c>
      <c r="M17" s="301"/>
      <c r="N17" s="405">
        <v>13</v>
      </c>
      <c r="O17" s="146"/>
      <c r="P17" s="459" t="str">
        <v/>
      </c>
      <c r="Q17" s="460"/>
      <c r="R17" s="458" t="e">
        <v>#VALUE!</v>
      </c>
      <c r="S17" s="147" t="str">
        <v/>
      </c>
      <c r="T17" s="432"/>
    </row>
    <row r="18" spans="2:22" s="278" customFormat="1" x14ac:dyDescent="0.2">
      <c r="B18" s="151"/>
      <c r="C18" s="158" t="s">
        <v>64</v>
      </c>
      <c r="D18" s="282"/>
      <c r="E18" s="301"/>
      <c r="F18" s="159" t="s">
        <v>75</v>
      </c>
      <c r="G18" s="537" t="s">
        <v>19</v>
      </c>
      <c r="H18" s="538"/>
      <c r="I18" s="302"/>
      <c r="J18" s="327"/>
      <c r="K18" s="301"/>
      <c r="L18" s="302"/>
      <c r="M18" s="301"/>
      <c r="N18" s="405">
        <v>14</v>
      </c>
      <c r="O18" s="146"/>
      <c r="P18" s="459" t="str">
        <v/>
      </c>
      <c r="Q18" s="460"/>
      <c r="R18" s="458" t="e">
        <v>#VALUE!</v>
      </c>
      <c r="S18" s="147" t="str">
        <v/>
      </c>
      <c r="T18" s="432"/>
    </row>
    <row r="19" spans="2:22" s="278" customFormat="1" x14ac:dyDescent="0.2">
      <c r="B19" s="141"/>
      <c r="C19" s="142" t="s">
        <v>10</v>
      </c>
      <c r="D19" s="439"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19" t="str">
        <f>IF(K15="Salt",0, IF(OR(K15="Hot",K15="SIM Load Hot"),IF(OR(D26="",D28=""),"N/A",IF(ISBLANK(D26),"N/A",D28-D26)),"N/A"))</f>
        <v>N/A</v>
      </c>
      <c r="H19" s="520"/>
      <c r="I19" s="328" t="str">
        <f>IF(G19="N/A","N/A",IF(G19=0,"&lt;2",ROUND(IF(LEN(G19)&gt;3,G19*1440,RIGHT(TEXT(G19,"hh:mm"),2)),0))&amp;" MINUTES")</f>
        <v>N/A</v>
      </c>
      <c r="J19" s="434">
        <f>V21</f>
        <v>40</v>
      </c>
      <c r="K19" s="301"/>
      <c r="L19" s="302"/>
      <c r="M19" s="301"/>
      <c r="N19" s="405">
        <v>15</v>
      </c>
      <c r="O19" s="146"/>
      <c r="P19" s="459" t="str">
        <v/>
      </c>
      <c r="Q19" s="460"/>
      <c r="R19" s="458" t="e">
        <v>#VALUE!</v>
      </c>
      <c r="S19" s="147" t="str">
        <v/>
      </c>
      <c r="T19" s="432"/>
      <c r="U19" s="286" t="s">
        <v>423</v>
      </c>
      <c r="V19" s="286">
        <f>L20</f>
        <v>1</v>
      </c>
    </row>
    <row r="20" spans="2:22" s="278" customFormat="1" ht="13.7" customHeight="1" x14ac:dyDescent="0.2">
      <c r="B20" s="523" t="s">
        <v>441</v>
      </c>
      <c r="C20" s="524"/>
      <c r="D20" s="366">
        <f>G74*MAX(NominalTemp/1000,1)</f>
        <v>0</v>
      </c>
      <c r="E20" s="418"/>
      <c r="F20" s="301"/>
      <c r="G20" s="301"/>
      <c r="H20" s="301"/>
      <c r="I20" s="302"/>
      <c r="J20" s="301"/>
      <c r="K20" s="301"/>
      <c r="L20" s="419">
        <v>1</v>
      </c>
      <c r="M20" s="301"/>
      <c r="N20" s="405">
        <v>16</v>
      </c>
      <c r="O20" s="146"/>
      <c r="P20" s="459" t="str">
        <v/>
      </c>
      <c r="Q20" s="460"/>
      <c r="R20" s="458" t="e">
        <v>#VALUE!</v>
      </c>
      <c r="S20" s="147" t="str">
        <v/>
      </c>
      <c r="T20" s="432"/>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9" t="str">
        <v/>
      </c>
      <c r="Q21" s="460"/>
      <c r="R21" s="458" t="e">
        <v>#VALUE!</v>
      </c>
      <c r="S21" s="147" t="str">
        <v/>
      </c>
      <c r="T21" s="432"/>
      <c r="U21" s="286" t="s">
        <v>421</v>
      </c>
      <c r="V21" s="435">
        <f>IF(D17=0,40,D17)</f>
        <v>40</v>
      </c>
    </row>
    <row r="22" spans="2:22" s="278" customFormat="1" x14ac:dyDescent="0.2">
      <c r="B22" s="155"/>
      <c r="C22" s="156" t="s">
        <v>42</v>
      </c>
      <c r="D22" s="281"/>
      <c r="E22" s="301"/>
      <c r="F22" s="330"/>
      <c r="G22" s="301"/>
      <c r="H22" s="301"/>
      <c r="I22" s="302"/>
      <c r="J22" s="301"/>
      <c r="K22" s="301"/>
      <c r="L22" s="302"/>
      <c r="M22" s="301"/>
      <c r="N22" s="405">
        <v>18</v>
      </c>
      <c r="O22" s="146"/>
      <c r="P22" s="459" t="str">
        <v/>
      </c>
      <c r="Q22" s="460"/>
      <c r="R22" s="458" t="e">
        <v>#VALUE!</v>
      </c>
      <c r="S22" s="147" t="str">
        <v/>
      </c>
      <c r="T22" s="432"/>
      <c r="U22" s="286" t="s">
        <v>420</v>
      </c>
      <c r="V22" s="286">
        <f>V20+1</f>
        <v>1</v>
      </c>
    </row>
    <row r="23" spans="2:22" s="278" customFormat="1" x14ac:dyDescent="0.2">
      <c r="B23" s="141"/>
      <c r="C23" s="396" t="s">
        <v>391</v>
      </c>
      <c r="D23" s="282"/>
      <c r="E23" s="301"/>
      <c r="F23" s="160" t="s">
        <v>94</v>
      </c>
      <c r="G23" s="500" t="s">
        <v>301</v>
      </c>
      <c r="H23" s="501"/>
      <c r="I23" s="501"/>
      <c r="J23" s="501"/>
      <c r="K23" s="502"/>
      <c r="L23" s="302"/>
      <c r="M23" s="301"/>
      <c r="N23" s="405">
        <v>19</v>
      </c>
      <c r="O23" s="146"/>
      <c r="P23" s="459" t="str">
        <v/>
      </c>
      <c r="Q23" s="460"/>
      <c r="R23" s="458" t="e">
        <v>#VALUE!</v>
      </c>
      <c r="S23" s="147" t="str">
        <v/>
      </c>
      <c r="T23" s="432"/>
      <c r="U23" s="286" t="s">
        <v>419</v>
      </c>
      <c r="V23" s="286">
        <f>V20+V21</f>
        <v>40</v>
      </c>
    </row>
    <row r="24" spans="2:22" s="278" customFormat="1" x14ac:dyDescent="0.2">
      <c r="B24" s="523" t="s">
        <v>328</v>
      </c>
      <c r="C24" s="525"/>
      <c r="D24" s="282">
        <v>1</v>
      </c>
      <c r="E24" s="301"/>
      <c r="F24" s="160" t="s">
        <v>95</v>
      </c>
      <c r="G24" s="503"/>
      <c r="H24" s="504"/>
      <c r="I24" s="504"/>
      <c r="J24" s="504"/>
      <c r="K24" s="505"/>
      <c r="L24" s="302"/>
      <c r="M24" s="301"/>
      <c r="N24" s="405">
        <v>20</v>
      </c>
      <c r="O24" s="146"/>
      <c r="P24" s="459" t="str">
        <v/>
      </c>
      <c r="Q24" s="460"/>
      <c r="R24" s="458" t="e">
        <v>#VALUE!</v>
      </c>
      <c r="S24" s="147" t="str">
        <v/>
      </c>
      <c r="T24" s="432"/>
      <c r="U24" s="286" t="s">
        <v>418</v>
      </c>
      <c r="V24" s="286" t="str">
        <f>IF(V19=1,"","DaqBook points "&amp;V22&amp;"-"&amp;V23&amp;" used.")</f>
        <v/>
      </c>
    </row>
    <row r="25" spans="2:22" s="278" customFormat="1" x14ac:dyDescent="0.2">
      <c r="B25" s="316"/>
      <c r="C25" s="317"/>
      <c r="D25" s="324"/>
      <c r="E25" s="301"/>
      <c r="F25" s="160" t="s">
        <v>96</v>
      </c>
      <c r="G25" s="503"/>
      <c r="H25" s="504"/>
      <c r="I25" s="504"/>
      <c r="J25" s="504"/>
      <c r="K25" s="505"/>
      <c r="L25" s="302"/>
      <c r="M25" s="301"/>
      <c r="N25" s="405">
        <v>21</v>
      </c>
      <c r="O25" s="146"/>
      <c r="P25" s="459" t="str">
        <v/>
      </c>
      <c r="Q25" s="460"/>
      <c r="R25" s="458" t="e">
        <v>#VALUE!</v>
      </c>
      <c r="S25" s="147" t="str">
        <v/>
      </c>
      <c r="T25" s="432"/>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9" t="str">
        <v/>
      </c>
      <c r="Q26" s="460"/>
      <c r="R26" s="458" t="e">
        <v>#VALUE!</v>
      </c>
      <c r="S26" s="147" t="str">
        <v/>
      </c>
      <c r="T26" s="432"/>
    </row>
    <row r="27" spans="2:22" s="278" customFormat="1" x14ac:dyDescent="0.2">
      <c r="B27" s="161">
        <v>10</v>
      </c>
      <c r="C27" s="142" t="s">
        <v>58</v>
      </c>
      <c r="D27" s="290"/>
      <c r="E27" s="303"/>
      <c r="F27" s="240" t="s">
        <v>204</v>
      </c>
      <c r="G27" s="239" t="str">
        <f>G28</f>
        <v/>
      </c>
      <c r="H27" s="498" t="str">
        <f>IF(ISBLANK(D6),"",IF(CheckRec="x","CHECK INSTRUMENT CAL DATES!!!!             CHECK INSTRUMENT CAL DATES!!!!",""))</f>
        <v/>
      </c>
      <c r="I27" s="499"/>
      <c r="J27" s="499"/>
      <c r="K27" s="499"/>
      <c r="L27" s="302"/>
      <c r="M27" s="301"/>
      <c r="N27" s="405">
        <v>23</v>
      </c>
      <c r="O27" s="146"/>
      <c r="P27" s="459" t="str">
        <v/>
      </c>
      <c r="Q27" s="460"/>
      <c r="R27" s="458" t="e">
        <v>#VALUE!</v>
      </c>
      <c r="S27" s="147" t="str">
        <v/>
      </c>
      <c r="T27" s="432"/>
    </row>
    <row r="28" spans="2:22" s="278" customFormat="1" x14ac:dyDescent="0.2">
      <c r="B28" s="162">
        <v>30</v>
      </c>
      <c r="C28" s="158" t="s">
        <v>59</v>
      </c>
      <c r="D28" s="290"/>
      <c r="E28" s="303"/>
      <c r="F28" s="240" t="s">
        <v>205</v>
      </c>
      <c r="G28" s="239" t="str">
        <f>IF(CheckRec="y","Cal by Customer",IF(D$3,D$3,""))</f>
        <v/>
      </c>
      <c r="H28" s="498"/>
      <c r="I28" s="499"/>
      <c r="J28" s="499"/>
      <c r="K28" s="499"/>
      <c r="L28" s="302"/>
      <c r="M28" s="301"/>
      <c r="N28" s="405">
        <v>24</v>
      </c>
      <c r="O28" s="146"/>
      <c r="P28" s="459" t="str">
        <v/>
      </c>
      <c r="Q28" s="460"/>
      <c r="R28" s="458" t="e">
        <v>#VALUE!</v>
      </c>
      <c r="S28" s="147" t="str">
        <v/>
      </c>
      <c r="T28" s="432"/>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9" t="str">
        <v/>
      </c>
      <c r="Q29" s="460"/>
      <c r="R29" s="458" t="e">
        <v>#VALUE!</v>
      </c>
      <c r="S29" s="147" t="str">
        <v/>
      </c>
      <c r="T29" s="432"/>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9" t="str">
        <v/>
      </c>
      <c r="Q30" s="460"/>
      <c r="R30" s="458" t="e">
        <v>#VALUE!</v>
      </c>
      <c r="S30" s="147" t="str">
        <v/>
      </c>
      <c r="T30" s="432"/>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9" t="str">
        <v/>
      </c>
      <c r="Q31" s="460"/>
      <c r="R31" s="458" t="e">
        <v>#VALUE!</v>
      </c>
      <c r="S31" s="147" t="str">
        <v/>
      </c>
      <c r="T31" s="432"/>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9" t="str">
        <v/>
      </c>
      <c r="Q32" s="460"/>
      <c r="R32" s="458" t="e">
        <v>#VALUE!</v>
      </c>
      <c r="S32" s="147" t="str">
        <v/>
      </c>
      <c r="T32" s="432"/>
    </row>
    <row r="33" spans="1:24" s="278" customFormat="1" x14ac:dyDescent="0.2">
      <c r="A33" s="319"/>
      <c r="B33" s="316"/>
      <c r="C33" s="338"/>
      <c r="D33" s="140"/>
      <c r="E33" s="140"/>
      <c r="F33" s="140"/>
      <c r="G33" s="140"/>
      <c r="H33" s="140"/>
      <c r="I33" s="140"/>
      <c r="J33" s="140"/>
      <c r="K33" s="140"/>
      <c r="L33" s="140"/>
      <c r="M33" s="301"/>
      <c r="N33" s="405">
        <v>29</v>
      </c>
      <c r="O33" s="146"/>
      <c r="P33" s="459" t="str">
        <v/>
      </c>
      <c r="Q33" s="460"/>
      <c r="R33" s="458" t="e">
        <v>#VALUE!</v>
      </c>
      <c r="S33" s="147" t="str">
        <v/>
      </c>
      <c r="T33" s="432"/>
    </row>
    <row r="34" spans="1:24" s="278" customFormat="1" ht="12.75" customHeight="1" x14ac:dyDescent="0.2">
      <c r="A34" s="319"/>
      <c r="B34" s="512" t="s">
        <v>48</v>
      </c>
      <c r="C34" s="513"/>
      <c r="D34" s="513"/>
      <c r="E34" s="513"/>
      <c r="F34" s="513"/>
      <c r="G34" s="513"/>
      <c r="H34" s="513"/>
      <c r="I34" s="513"/>
      <c r="J34" s="513"/>
      <c r="K34" s="513"/>
      <c r="L34" s="514"/>
      <c r="M34" s="301"/>
      <c r="N34" s="405">
        <v>30</v>
      </c>
      <c r="O34" s="146"/>
      <c r="P34" s="459" t="str">
        <v/>
      </c>
      <c r="Q34" s="460"/>
      <c r="R34" s="458" t="e">
        <v>#VALUE!</v>
      </c>
      <c r="S34" s="147" t="str">
        <v/>
      </c>
      <c r="T34" s="433"/>
    </row>
    <row r="35" spans="1:24" s="278" customFormat="1" ht="12.75" customHeight="1" thickBot="1" x14ac:dyDescent="0.25">
      <c r="A35" s="437"/>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9" t="str">
        <v/>
      </c>
      <c r="Q35" s="460"/>
      <c r="R35" s="458" t="e">
        <v>#VALUE!</v>
      </c>
      <c r="S35" s="147" t="str">
        <v/>
      </c>
      <c r="T35" s="433"/>
    </row>
    <row r="36" spans="1:24" s="278" customFormat="1" ht="13.5" thickBot="1" x14ac:dyDescent="0.25">
      <c r="A36" s="438"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9" t="str">
        <v/>
      </c>
      <c r="Q36" s="460"/>
      <c r="R36" s="458" t="e">
        <v>#VALUE!</v>
      </c>
      <c r="S36" s="147" t="str">
        <v/>
      </c>
      <c r="T36" s="433"/>
    </row>
    <row r="37" spans="1:24" s="278" customFormat="1" x14ac:dyDescent="0.2">
      <c r="A37" s="461" t="str">
        <f t="shared" ref="A37:A44" si="0">IF(B37,1,"")</f>
        <v/>
      </c>
      <c r="B37" s="462"/>
      <c r="C37" s="443"/>
      <c r="D37" s="444"/>
      <c r="E37" s="444"/>
      <c r="F37" s="444"/>
      <c r="G37" s="444"/>
      <c r="H37" s="444"/>
      <c r="I37" s="445"/>
      <c r="J37" s="445"/>
      <c r="K37" s="445"/>
      <c r="L37" s="445"/>
      <c r="M37" s="301"/>
      <c r="N37" s="405">
        <v>33</v>
      </c>
      <c r="O37" s="146"/>
      <c r="P37" s="459" t="str">
        <v/>
      </c>
      <c r="Q37" s="460"/>
      <c r="R37" s="458" t="e">
        <v>#VALUE!</v>
      </c>
      <c r="S37" s="147" t="str">
        <v/>
      </c>
      <c r="T37" s="433"/>
    </row>
    <row r="38" spans="1:24" s="278" customFormat="1" x14ac:dyDescent="0.2">
      <c r="A38" s="461" t="str">
        <f t="shared" si="0"/>
        <v/>
      </c>
      <c r="B38" s="463"/>
      <c r="C38" s="446"/>
      <c r="D38" s="444"/>
      <c r="E38" s="444"/>
      <c r="F38" s="444"/>
      <c r="G38" s="444"/>
      <c r="H38" s="444"/>
      <c r="I38" s="445"/>
      <c r="J38" s="445"/>
      <c r="K38" s="445"/>
      <c r="L38" s="445"/>
      <c r="M38" s="301"/>
      <c r="N38" s="405">
        <v>34</v>
      </c>
      <c r="O38" s="146"/>
      <c r="P38" s="459" t="str">
        <v/>
      </c>
      <c r="Q38" s="460"/>
      <c r="R38" s="458" t="e">
        <v>#VALUE!</v>
      </c>
      <c r="S38" s="147" t="str">
        <v/>
      </c>
      <c r="T38" s="433"/>
    </row>
    <row r="39" spans="1:24" s="278" customFormat="1" x14ac:dyDescent="0.2">
      <c r="A39" s="461" t="str">
        <f t="shared" si="0"/>
        <v/>
      </c>
      <c r="B39" s="463"/>
      <c r="C39" s="446"/>
      <c r="D39" s="444"/>
      <c r="E39" s="444"/>
      <c r="F39" s="444"/>
      <c r="G39" s="444"/>
      <c r="H39" s="445"/>
      <c r="I39" s="445"/>
      <c r="J39" s="445"/>
      <c r="K39" s="445"/>
      <c r="L39" s="445"/>
      <c r="M39" s="301"/>
      <c r="N39" s="405">
        <v>35</v>
      </c>
      <c r="O39" s="146"/>
      <c r="P39" s="459" t="str">
        <v/>
      </c>
      <c r="Q39" s="460"/>
      <c r="R39" s="458" t="e">
        <v>#VALUE!</v>
      </c>
      <c r="S39" s="147" t="str">
        <v/>
      </c>
      <c r="T39" s="433"/>
    </row>
    <row r="40" spans="1:24" s="278" customFormat="1" x14ac:dyDescent="0.2">
      <c r="A40" s="461" t="str">
        <f t="shared" si="0"/>
        <v/>
      </c>
      <c r="B40" s="463"/>
      <c r="C40" s="446"/>
      <c r="D40" s="444"/>
      <c r="E40" s="444"/>
      <c r="F40" s="444"/>
      <c r="G40" s="444"/>
      <c r="H40" s="445"/>
      <c r="I40" s="445"/>
      <c r="J40" s="445"/>
      <c r="K40" s="445"/>
      <c r="L40" s="445"/>
      <c r="M40" s="301"/>
      <c r="N40" s="405">
        <v>36</v>
      </c>
      <c r="O40" s="146"/>
      <c r="P40" s="459" t="str">
        <v/>
      </c>
      <c r="Q40" s="460"/>
      <c r="R40" s="458" t="e">
        <v>#VALUE!</v>
      </c>
      <c r="S40" s="147" t="str">
        <v/>
      </c>
      <c r="T40" s="433"/>
    </row>
    <row r="41" spans="1:24" s="278" customFormat="1" x14ac:dyDescent="0.2">
      <c r="A41" s="461" t="str">
        <f t="shared" si="0"/>
        <v/>
      </c>
      <c r="B41" s="464"/>
      <c r="C41" s="447"/>
      <c r="D41" s="448"/>
      <c r="E41" s="448"/>
      <c r="F41" s="448"/>
      <c r="G41" s="448"/>
      <c r="H41" s="448"/>
      <c r="I41" s="448"/>
      <c r="J41" s="448"/>
      <c r="K41" s="448"/>
      <c r="L41" s="448"/>
      <c r="M41" s="301"/>
      <c r="N41" s="405">
        <v>37</v>
      </c>
      <c r="O41" s="146"/>
      <c r="P41" s="459" t="str">
        <v/>
      </c>
      <c r="Q41" s="460"/>
      <c r="R41" s="458" t="e">
        <v>#VALUE!</v>
      </c>
      <c r="S41" s="147" t="str">
        <v/>
      </c>
      <c r="T41" s="433"/>
    </row>
    <row r="42" spans="1:24" s="278" customFormat="1" x14ac:dyDescent="0.2">
      <c r="A42" s="461" t="str">
        <f t="shared" si="0"/>
        <v/>
      </c>
      <c r="B42" s="464"/>
      <c r="C42" s="447"/>
      <c r="D42" s="448"/>
      <c r="E42" s="448"/>
      <c r="F42" s="448"/>
      <c r="G42" s="448"/>
      <c r="H42" s="448"/>
      <c r="I42" s="448"/>
      <c r="J42" s="448"/>
      <c r="K42" s="448"/>
      <c r="L42" s="448"/>
      <c r="M42" s="301"/>
      <c r="N42" s="405">
        <v>38</v>
      </c>
      <c r="O42" s="146"/>
      <c r="P42" s="459" t="str">
        <v/>
      </c>
      <c r="Q42" s="460"/>
      <c r="R42" s="458" t="e">
        <v>#VALUE!</v>
      </c>
      <c r="S42" s="147" t="str">
        <v/>
      </c>
      <c r="T42" s="433"/>
    </row>
    <row r="43" spans="1:24" s="278" customFormat="1" x14ac:dyDescent="0.2">
      <c r="A43" s="461" t="str">
        <f t="shared" si="0"/>
        <v/>
      </c>
      <c r="B43" s="464"/>
      <c r="C43" s="447"/>
      <c r="D43" s="448"/>
      <c r="E43" s="448"/>
      <c r="F43" s="448"/>
      <c r="G43" s="448"/>
      <c r="H43" s="448"/>
      <c r="I43" s="448"/>
      <c r="J43" s="448"/>
      <c r="K43" s="448"/>
      <c r="L43" s="448"/>
      <c r="M43" s="301"/>
      <c r="N43" s="405">
        <v>39</v>
      </c>
      <c r="O43" s="146"/>
      <c r="P43" s="459" t="str">
        <v/>
      </c>
      <c r="Q43" s="460"/>
      <c r="R43" s="458" t="e">
        <v>#VALUE!</v>
      </c>
      <c r="S43" s="147" t="str">
        <v/>
      </c>
      <c r="T43" s="433"/>
    </row>
    <row r="44" spans="1:24" s="278" customFormat="1" x14ac:dyDescent="0.2">
      <c r="A44" s="461" t="str">
        <f t="shared" si="0"/>
        <v/>
      </c>
      <c r="B44" s="464"/>
      <c r="C44" s="447"/>
      <c r="D44" s="448"/>
      <c r="E44" s="448"/>
      <c r="F44" s="448"/>
      <c r="G44" s="448"/>
      <c r="H44" s="448"/>
      <c r="I44" s="448"/>
      <c r="J44" s="448"/>
      <c r="K44" s="448"/>
      <c r="L44" s="448"/>
      <c r="M44" s="301"/>
      <c r="N44" s="405">
        <v>40</v>
      </c>
      <c r="O44" s="146"/>
      <c r="P44" s="459" t="str">
        <v/>
      </c>
      <c r="Q44" s="460"/>
      <c r="R44" s="458" t="e">
        <v>#VALUE!</v>
      </c>
      <c r="S44" s="147" t="str">
        <v/>
      </c>
      <c r="T44" s="433"/>
    </row>
    <row r="45" spans="1:24" s="305" customFormat="1" x14ac:dyDescent="0.2">
      <c r="A45" s="319"/>
      <c r="B45" s="340"/>
      <c r="C45" s="341"/>
      <c r="D45" s="301"/>
      <c r="E45" s="301"/>
      <c r="F45" s="301"/>
      <c r="G45" s="301"/>
      <c r="H45" s="301"/>
      <c r="I45" s="301"/>
      <c r="J45" s="301"/>
      <c r="K45" s="342"/>
      <c r="L45" s="301"/>
      <c r="M45" s="301"/>
      <c r="N45" s="303"/>
      <c r="P45" s="303"/>
      <c r="Q45" s="303"/>
      <c r="R45" s="303"/>
      <c r="S45" s="453"/>
      <c r="T45" s="303"/>
      <c r="X45" s="453"/>
    </row>
    <row r="46" spans="1:24" x14ac:dyDescent="0.2">
      <c r="A46" s="323"/>
      <c r="B46" s="343"/>
      <c r="C46" s="344"/>
      <c r="D46" s="480" t="s">
        <v>33</v>
      </c>
      <c r="E46" s="481"/>
      <c r="F46" s="481"/>
      <c r="G46" s="481"/>
      <c r="H46" s="481"/>
      <c r="I46" s="482"/>
      <c r="J46" s="345"/>
      <c r="K46" s="345"/>
      <c r="L46" s="345"/>
      <c r="M46" s="506" t="s">
        <v>259</v>
      </c>
      <c r="N46" s="507"/>
      <c r="O46" s="508"/>
      <c r="P46" s="509"/>
      <c r="Q46" s="305"/>
      <c r="S46" s="305"/>
      <c r="T46" s="305"/>
      <c r="U46" s="305"/>
    </row>
    <row r="47" spans="1:24" x14ac:dyDescent="0.2">
      <c r="A47" s="323"/>
      <c r="B47" s="343"/>
      <c r="C47" s="382" t="s">
        <v>56</v>
      </c>
      <c r="D47" s="475" t="str">
        <f>IF(K15="Salt", "SBP", IF(D$48="","",_xlfn.XLOOKUP(D$48,WireSets[serial_number],WireSets[type],"",0)))</f>
        <v/>
      </c>
      <c r="E47" s="475" t="str">
        <f>IF(E$48="","",_xlfn.XLOOKUP(E$48,WireSets[serial_number],WireSets[type],"",0))</f>
        <v/>
      </c>
      <c r="F47" s="475" t="str">
        <f>IF(F$48="","",_xlfn.XLOOKUP(F$48,WireSets[serial_number],WireSets[type],"",0))</f>
        <v/>
      </c>
      <c r="G47" s="475" t="str">
        <f>IF(G$48="","",_xlfn.XLOOKUP(G$48,WireSets[serial_number],WireSets[type],"",0))</f>
        <v/>
      </c>
      <c r="H47" s="475" t="str">
        <f>IF(H$48="","",_xlfn.XLOOKUP(H$48,WireSets[serial_number],WireSets[type],"",0))</f>
        <v/>
      </c>
      <c r="I47" s="475" t="str">
        <f>IF(I$48="","",_xlfn.XLOOKUP(I$48,WireSets[serial_number],WireSets[type],"",0))</f>
        <v/>
      </c>
      <c r="J47" s="345"/>
      <c r="K47" s="345"/>
      <c r="L47" s="301"/>
      <c r="M47" s="240" t="s">
        <v>260</v>
      </c>
      <c r="N47" s="299" t="s">
        <v>261</v>
      </c>
      <c r="O47" s="346"/>
      <c r="P47" s="487" t="s">
        <v>262</v>
      </c>
      <c r="Q47" s="487"/>
      <c r="R47" s="385" t="s">
        <v>263</v>
      </c>
      <c r="T47" s="305"/>
      <c r="U47" s="305"/>
    </row>
    <row r="48" spans="1:24" x14ac:dyDescent="0.2">
      <c r="A48" s="319"/>
      <c r="B48" s="343"/>
      <c r="C48" s="383" t="s">
        <v>34</v>
      </c>
      <c r="D48" s="288"/>
      <c r="E48" s="288"/>
      <c r="F48" s="288"/>
      <c r="G48" s="288"/>
      <c r="H48" s="288"/>
      <c r="I48" s="288"/>
      <c r="J48" s="345"/>
      <c r="K48" s="345"/>
      <c r="L48" s="345"/>
      <c r="M48" s="488" t="s">
        <v>264</v>
      </c>
      <c r="N48" s="488"/>
      <c r="O48" s="347"/>
      <c r="P48" s="489" t="s">
        <v>309</v>
      </c>
      <c r="Q48" s="490"/>
      <c r="R48" s="491"/>
      <c r="S48" s="469" t="b">
        <f>_xlfn.REGEXTEST(TRIM(Class),"^[0-9][AC]",1)</f>
        <v>0</v>
      </c>
      <c r="T48" s="306"/>
      <c r="U48" s="489" t="s">
        <v>312</v>
      </c>
      <c r="V48" s="490"/>
      <c r="W48" s="491"/>
      <c r="X48" s="452"/>
    </row>
    <row r="49" spans="3:24" x14ac:dyDescent="0.2">
      <c r="C49" s="382" t="s">
        <v>35</v>
      </c>
      <c r="D49" s="479" t="str">
        <f>_xlfn.XLOOKUP(D$48,WireSets[serial_number],WireSets[service_date],"",0)</f>
        <v/>
      </c>
      <c r="E49" s="479" t="str">
        <f>_xlfn.XLOOKUP(E$48,WireSets[serial_number],WireSets[service_date],"",0)</f>
        <v/>
      </c>
      <c r="F49" s="479" t="str">
        <f>_xlfn.XLOOKUP(F$48,WireSets[serial_number],WireSets[service_date],"",0)</f>
        <v/>
      </c>
      <c r="G49" s="479" t="str">
        <f>_xlfn.XLOOKUP(G$48,WireSets[serial_number],WireSets[service_date],"",0)</f>
        <v/>
      </c>
      <c r="H49" s="479" t="str">
        <f>_xlfn.XLOOKUP(H$48,WireSets[serial_number],WireSets[service_date],"",0)</f>
        <v/>
      </c>
      <c r="I49" s="479" t="str">
        <f>_xlfn.XLOOKUP(I$48,WireSets[serial_number],WireSets[service_date],"",0)</f>
        <v/>
      </c>
      <c r="J49" s="345"/>
      <c r="K49" s="345" t="s">
        <v>337</v>
      </c>
      <c r="L49" s="345"/>
      <c r="M49" s="240" t="s">
        <v>265</v>
      </c>
      <c r="N49" s="298" t="str">
        <f>IF(PB="","",PB)</f>
        <v/>
      </c>
      <c r="O49" s="315"/>
      <c r="P49" s="492" t="s">
        <v>314</v>
      </c>
      <c r="Q49" s="493"/>
      <c r="R49" s="494"/>
      <c r="S49" s="386" t="str">
        <f>IF($S$48, IF(MAX(Survey[RawTemp])&lt;=HalfTolMax,"Yes","No"), "N/A")</f>
        <v>N/A</v>
      </c>
      <c r="T49" s="307"/>
      <c r="U49" s="492" t="s">
        <v>313</v>
      </c>
      <c r="V49" s="493"/>
      <c r="W49" s="494"/>
      <c r="X49" s="386" t="str">
        <f>IF($S$48, IF(MIN(Survey[RawTemp])&gt;=HalfTolMin,"Yes","No"), "N/A")</f>
        <v>N/A</v>
      </c>
    </row>
    <row r="50" spans="3:24" x14ac:dyDescent="0.2">
      <c r="C50" s="382" t="s">
        <v>36</v>
      </c>
      <c r="D50" s="479" t="str">
        <f>IF(D49="","",EDATE(D49,3))</f>
        <v/>
      </c>
      <c r="E50" s="479" t="str">
        <f t="shared" ref="E50:I50" si="1">IF(E49="","",EDATE(E49,3))</f>
        <v/>
      </c>
      <c r="F50" s="479" t="str">
        <f t="shared" si="1"/>
        <v/>
      </c>
      <c r="G50" s="479" t="str">
        <f t="shared" si="1"/>
        <v/>
      </c>
      <c r="H50" s="479" t="str">
        <f t="shared" si="1"/>
        <v/>
      </c>
      <c r="I50" s="479" t="str">
        <f t="shared" si="1"/>
        <v/>
      </c>
      <c r="J50" s="345"/>
      <c r="K50" s="345"/>
      <c r="L50" s="345"/>
      <c r="M50" s="240" t="s">
        <v>266</v>
      </c>
      <c r="N50" s="298" t="str">
        <f>IF(Integral="","",Integral)</f>
        <v/>
      </c>
      <c r="O50" s="315"/>
      <c r="P50" s="495" t="s">
        <v>267</v>
      </c>
      <c r="Q50" s="496"/>
      <c r="R50" s="497"/>
      <c r="S50" s="348"/>
      <c r="T50" s="308"/>
      <c r="U50" s="495" t="s">
        <v>267</v>
      </c>
      <c r="V50" s="496"/>
      <c r="W50" s="497"/>
      <c r="X50" s="305"/>
    </row>
    <row r="51" spans="3:24" x14ac:dyDescent="0.2">
      <c r="C51" s="382" t="s">
        <v>54</v>
      </c>
      <c r="D51" s="288"/>
      <c r="E51" s="288"/>
      <c r="F51" s="288"/>
      <c r="G51" s="288"/>
      <c r="H51" s="288"/>
      <c r="I51" s="288"/>
      <c r="J51" s="345"/>
      <c r="K51" s="349"/>
      <c r="L51" s="345"/>
      <c r="M51" s="369" t="s">
        <v>268</v>
      </c>
      <c r="N51" s="298" t="str">
        <f>IF(Derivative="","",Derivative)</f>
        <v/>
      </c>
      <c r="O51" s="301"/>
      <c r="P51" s="492" t="s">
        <v>310</v>
      </c>
      <c r="Q51" s="493"/>
      <c r="R51" s="494"/>
      <c r="S51" s="386"/>
      <c r="T51" s="309"/>
      <c r="U51" s="492" t="s">
        <v>315</v>
      </c>
      <c r="V51" s="493"/>
      <c r="W51" s="494"/>
      <c r="X51" s="386"/>
    </row>
    <row r="52" spans="3:24" x14ac:dyDescent="0.2">
      <c r="C52" s="382" t="s">
        <v>274</v>
      </c>
      <c r="D52" s="288"/>
      <c r="E52" s="288"/>
      <c r="F52" s="288"/>
      <c r="G52" s="288"/>
      <c r="H52" s="288"/>
      <c r="I52" s="288"/>
      <c r="J52" s="345"/>
      <c r="K52" s="349"/>
      <c r="L52" s="345"/>
      <c r="M52" s="369" t="s">
        <v>269</v>
      </c>
      <c r="N52" s="298" t="str">
        <f>IF(Other1="","",Other1)</f>
        <v/>
      </c>
      <c r="O52" s="315"/>
      <c r="P52" s="495" t="s">
        <v>267</v>
      </c>
      <c r="Q52" s="496"/>
      <c r="R52" s="497"/>
      <c r="S52" s="348"/>
      <c r="T52" s="310"/>
      <c r="U52" s="495" t="s">
        <v>267</v>
      </c>
      <c r="V52" s="496"/>
      <c r="W52" s="497"/>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539" t="s">
        <v>311</v>
      </c>
      <c r="Q53" s="540"/>
      <c r="R53" s="541"/>
      <c r="S53" s="386"/>
      <c r="T53" s="311"/>
      <c r="U53" s="539" t="s">
        <v>316</v>
      </c>
      <c r="V53" s="540"/>
      <c r="W53" s="541"/>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542"/>
      <c r="Q54" s="543"/>
      <c r="R54" s="544"/>
      <c r="S54" s="352"/>
      <c r="T54" s="312"/>
      <c r="U54" s="542"/>
      <c r="V54" s="543"/>
      <c r="W54" s="544"/>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4" t="b">
        <f>AND(S49="No",S51="No",S53="No")</f>
        <v>0</v>
      </c>
      <c r="T56" s="314"/>
      <c r="U56" s="390" t="str">
        <f>IF($X$56, MIN(Survey[RawTemp]), "")</f>
        <v/>
      </c>
      <c r="V56" s="388" t="str" cm="1">
        <f t="array" ref="V56">IF($X$56, _xlfn.TEXTJOIN(", ",TRUE, _xlfn.UNIQUE(TEXT(Alerts[Low],"h:mm am/pm"))), "")</f>
        <v/>
      </c>
      <c r="W56" s="387"/>
      <c r="X56" s="474" t="b">
        <f>AND(X49="No",X51="No",X53="No")</f>
        <v>0</v>
      </c>
    </row>
    <row r="57" spans="3:24" x14ac:dyDescent="0.2">
      <c r="C57" s="240" t="s">
        <v>275</v>
      </c>
      <c r="D57" s="289"/>
      <c r="E57" s="289"/>
      <c r="F57" s="289"/>
      <c r="G57" s="289"/>
      <c r="H57" s="289"/>
      <c r="I57" s="289"/>
      <c r="J57" s="301"/>
      <c r="K57" s="379"/>
      <c r="L57" s="380"/>
      <c r="M57" s="381" t="s">
        <v>299</v>
      </c>
      <c r="N57" s="297">
        <v>0</v>
      </c>
      <c r="O57" s="303"/>
      <c r="P57" s="301"/>
      <c r="Q57" s="454"/>
      <c r="S57" s="301"/>
      <c r="V57" s="454"/>
    </row>
    <row r="58" spans="3:24" x14ac:dyDescent="0.2">
      <c r="C58" s="480" t="s">
        <v>146</v>
      </c>
      <c r="D58" s="481"/>
      <c r="E58" s="481"/>
      <c r="F58" s="481"/>
      <c r="G58" s="481"/>
      <c r="H58" s="481"/>
      <c r="I58" s="481"/>
      <c r="J58" s="481"/>
      <c r="K58" s="485"/>
      <c r="L58" s="486"/>
      <c r="M58" s="305"/>
      <c r="N58" s="305"/>
      <c r="O58" s="305"/>
      <c r="P58" s="301"/>
      <c r="Q58" s="456"/>
      <c r="S58" s="305"/>
      <c r="T58" s="305"/>
      <c r="U58" s="305"/>
      <c r="V58" s="454"/>
    </row>
    <row r="59" spans="3:24" x14ac:dyDescent="0.2">
      <c r="C59" s="480" t="s">
        <v>149</v>
      </c>
      <c r="D59" s="481"/>
      <c r="E59" s="481"/>
      <c r="F59" s="481"/>
      <c r="G59" s="481"/>
      <c r="H59" s="481"/>
      <c r="I59" s="481"/>
      <c r="J59" s="481"/>
      <c r="K59" s="481"/>
      <c r="L59" s="482"/>
      <c r="M59" s="305"/>
      <c r="N59" s="315" t="str">
        <f>"DOORS OPENED FOR " &amp;L16&amp; " SECONDS TO SIMULATE LOAD ENTRY AT " &amp;L17&amp; "."</f>
        <v>DOORS OPENED FOR  SECONDS TO SIMULATE LOAD ENTRY AT .</v>
      </c>
      <c r="O59" s="315"/>
      <c r="P59" s="315"/>
      <c r="Q59" s="455"/>
      <c r="R59" s="315"/>
      <c r="S59" s="315"/>
      <c r="T59" s="315"/>
      <c r="U59" s="315"/>
      <c r="V59" s="455"/>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5"/>
      <c r="R60" s="315"/>
      <c r="S60" s="315"/>
      <c r="T60" s="315"/>
      <c r="U60" s="315"/>
      <c r="V60" s="455"/>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5"/>
      <c r="R61" s="315"/>
      <c r="S61" s="315"/>
      <c r="T61" s="315"/>
      <c r="U61" s="315"/>
      <c r="V61" s="455"/>
    </row>
    <row r="62" spans="3:24" x14ac:dyDescent="0.2">
      <c r="C62" s="317"/>
      <c r="D62" s="301"/>
      <c r="E62" s="301"/>
      <c r="F62" s="305" t="s">
        <v>294</v>
      </c>
      <c r="G62" s="339"/>
      <c r="H62" s="339"/>
      <c r="I62" s="339"/>
      <c r="J62" s="301"/>
      <c r="K62" s="301"/>
      <c r="L62" s="301"/>
      <c r="M62" s="358"/>
      <c r="N62" s="357"/>
      <c r="O62" s="357"/>
      <c r="P62" s="315"/>
      <c r="Q62" s="455"/>
      <c r="R62" s="315"/>
      <c r="S62" s="315"/>
      <c r="T62" s="315"/>
      <c r="U62" s="315"/>
      <c r="V62" s="455"/>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2" t="b">
        <f>AND(UUTRangeTol!R2+UUTRangeTol!S2=0,UUTRangeTol!S2&gt;0)</f>
        <v>0</v>
      </c>
    </row>
    <row r="74" spans="5:7" x14ac:dyDescent="0.2">
      <c r="E74" s="360"/>
      <c r="F74" s="382" t="s">
        <v>443</v>
      </c>
      <c r="G74" s="441">
        <f>IF(Symmetric_Tol,VLOOKUP(UUTRangeTol!S2,SAT_Tolerance_Lookup[[TUS Tol]:[SAT Multiplier]],2,FALSE),SAT_Tol)</f>
        <v>0</v>
      </c>
    </row>
    <row r="75" spans="5:7" x14ac:dyDescent="0.2">
      <c r="E75" s="359"/>
    </row>
  </sheetData>
  <sheetProtection algorithmName="SHA-512" hashValue="nNIbfYfDUoWnLhHwG+0jdE9ItAxpJmOj1AhegrcZ0YNLabnHx9G7imwI0HFVW94/BlDh1+cLUDiMcjyUHztm/A==" saltValue="iw43iqhAb3YQ17A8gyh7dg=="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1:D14" evalError="1"/>
    <ignoredError sqref="G27:G28 G74 D54:I55 D49:I50 K13 E47:I47 F48:I4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_xlfn.ANCHORARRAY(AllDaqbookOffsets!$AC$2)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I0gj8RVSQ7Xpo//SsE1qz7zmfJBgxafI9Vk0AFvZ5Rmvv/2Y//2SY+q59KOel/+Cf5hnoRFGhHzJSz8kxqdttA==" saltValue="ODoVLTozLCMcH7ojvYlZmw=="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Q22" sqref="Q22"/>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xmj891WL6u46xtfevOwme5r/JxAgR645Qf8GFD79BHmDXosXwEGBxJJJp0kQvvOTsCS3s+ePHisb9aPrPoWxfw==" saltValue="YzYC2i6aHIeNn/rVIJW07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49">
        <f>Main!D3</f>
        <v>0</v>
      </c>
      <c r="E10" s="549"/>
      <c r="F10" s="549"/>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48" t="s">
        <v>303</v>
      </c>
      <c r="F15" s="548"/>
      <c r="G15" s="548"/>
      <c r="H15" s="548"/>
    </row>
    <row r="16" spans="3:8" ht="15" x14ac:dyDescent="0.2">
      <c r="C16" s="130"/>
      <c r="D16" s="73"/>
      <c r="E16" s="287" t="s">
        <v>116</v>
      </c>
      <c r="F16" s="287"/>
      <c r="G16" s="287"/>
      <c r="H16" s="287"/>
    </row>
    <row r="17" spans="3:8" ht="15" x14ac:dyDescent="0.2">
      <c r="C17" s="130"/>
      <c r="D17" s="73"/>
      <c r="E17" s="547" t="s">
        <v>117</v>
      </c>
      <c r="F17" s="547"/>
      <c r="G17" s="547"/>
      <c r="H17" s="547"/>
    </row>
    <row r="18" spans="3:8" ht="15" x14ac:dyDescent="0.2">
      <c r="C18" s="130"/>
      <c r="D18" s="73"/>
      <c r="E18" s="547" t="s">
        <v>6</v>
      </c>
      <c r="F18" s="547"/>
      <c r="G18" s="547"/>
      <c r="H18" s="547"/>
    </row>
    <row r="19" spans="3:8" ht="15" x14ac:dyDescent="0.2">
      <c r="C19" s="130"/>
      <c r="D19" s="73"/>
      <c r="E19" s="547" t="s">
        <v>122</v>
      </c>
      <c r="F19" s="547"/>
      <c r="G19" s="547"/>
      <c r="H19" s="547"/>
    </row>
    <row r="20" spans="3:8" ht="15" x14ac:dyDescent="0.2">
      <c r="C20" s="130"/>
      <c r="D20" s="73"/>
      <c r="E20" s="547" t="s">
        <v>119</v>
      </c>
      <c r="F20" s="547"/>
      <c r="G20" s="547"/>
      <c r="H20" s="547"/>
    </row>
    <row r="21" spans="3:8" ht="15" x14ac:dyDescent="0.2">
      <c r="C21" s="130"/>
      <c r="D21" s="73"/>
      <c r="E21" s="547" t="s">
        <v>120</v>
      </c>
      <c r="F21" s="547"/>
      <c r="G21" s="547"/>
      <c r="H21" s="547"/>
    </row>
    <row r="22" spans="3:8" ht="15" x14ac:dyDescent="0.2">
      <c r="C22" s="130"/>
      <c r="D22" s="73"/>
      <c r="E22" s="547" t="s">
        <v>103</v>
      </c>
      <c r="F22" s="547"/>
      <c r="G22" s="547"/>
      <c r="H22" s="547"/>
    </row>
    <row r="23" spans="3:8" ht="15" x14ac:dyDescent="0.2">
      <c r="C23" s="130"/>
      <c r="D23" s="73"/>
      <c r="E23" s="547" t="s">
        <v>121</v>
      </c>
      <c r="F23" s="547"/>
      <c r="G23" s="547"/>
      <c r="H23" s="547"/>
    </row>
    <row r="24" spans="3:8" ht="15" x14ac:dyDescent="0.2">
      <c r="C24" s="82"/>
      <c r="D24" s="73"/>
      <c r="E24" s="547" t="s">
        <v>139</v>
      </c>
      <c r="F24" s="547"/>
      <c r="G24" s="547"/>
      <c r="H24" s="547"/>
    </row>
    <row r="25" spans="3:8" ht="15" x14ac:dyDescent="0.2">
      <c r="C25" s="82"/>
      <c r="D25" s="73"/>
      <c r="E25" s="547"/>
      <c r="F25" s="547"/>
      <c r="G25" s="547"/>
      <c r="H25" s="547"/>
    </row>
    <row r="26" spans="3:8" ht="15" x14ac:dyDescent="0.2">
      <c r="C26" s="82"/>
      <c r="D26" s="73"/>
      <c r="E26" s="547"/>
      <c r="F26" s="547"/>
      <c r="G26" s="547"/>
      <c r="H26" s="547"/>
    </row>
    <row r="27" spans="3:8" ht="15" x14ac:dyDescent="0.2">
      <c r="C27" s="82"/>
      <c r="D27" s="73"/>
      <c r="E27" s="547"/>
      <c r="F27" s="547"/>
      <c r="G27" s="547"/>
      <c r="H27" s="547"/>
    </row>
    <row r="28" spans="3:8" ht="15" x14ac:dyDescent="0.2">
      <c r="C28" s="82"/>
      <c r="D28" s="73"/>
      <c r="E28" s="547"/>
      <c r="F28" s="547"/>
      <c r="G28" s="547"/>
      <c r="H28" s="547"/>
    </row>
    <row r="29" spans="3:8" ht="15" x14ac:dyDescent="0.2">
      <c r="C29" s="82"/>
      <c r="D29" s="73"/>
      <c r="E29" s="547"/>
      <c r="F29" s="547"/>
      <c r="G29" s="547"/>
      <c r="H29" s="547"/>
    </row>
    <row r="30" spans="3:8" ht="15" x14ac:dyDescent="0.2">
      <c r="C30" s="82"/>
      <c r="D30" s="73"/>
      <c r="E30" s="547"/>
      <c r="F30" s="547"/>
      <c r="G30" s="547"/>
      <c r="H30" s="547"/>
    </row>
    <row r="31" spans="3:8" ht="15" x14ac:dyDescent="0.2">
      <c r="C31" s="248" t="s">
        <v>304</v>
      </c>
      <c r="E31" s="547"/>
      <c r="F31" s="547"/>
      <c r="G31" s="547"/>
      <c r="H31" s="547"/>
    </row>
    <row r="32" spans="3:8" ht="15" x14ac:dyDescent="0.2">
      <c r="C32" s="82"/>
      <c r="D32" s="73"/>
      <c r="E32" s="547"/>
      <c r="F32" s="547"/>
      <c r="G32" s="547"/>
      <c r="H32" s="547"/>
    </row>
    <row r="33" spans="3:8" ht="15" x14ac:dyDescent="0.2">
      <c r="C33" s="82"/>
      <c r="D33" s="73"/>
      <c r="E33" s="547"/>
      <c r="F33" s="547"/>
      <c r="G33" s="547"/>
      <c r="H33" s="547"/>
    </row>
    <row r="34" spans="3:8" ht="15" x14ac:dyDescent="0.2">
      <c r="C34" s="82"/>
      <c r="D34" s="73"/>
      <c r="E34" s="547"/>
      <c r="F34" s="547"/>
      <c r="G34" s="547"/>
      <c r="H34" s="547"/>
    </row>
    <row r="35" spans="3:8" ht="15" x14ac:dyDescent="0.2">
      <c r="C35" s="82"/>
      <c r="D35" s="73"/>
      <c r="E35" s="547"/>
      <c r="F35" s="547"/>
      <c r="G35" s="547"/>
      <c r="H35" s="547"/>
    </row>
    <row r="36" spans="3:8" ht="15" x14ac:dyDescent="0.2">
      <c r="C36" s="73"/>
      <c r="D36" s="73"/>
      <c r="E36" s="547"/>
      <c r="F36" s="547"/>
      <c r="G36" s="547"/>
      <c r="H36" s="547"/>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mlrISGoMWOIDYuj8lwhVP8zQ8RZahmjk89XzBToWo3KQYu41HHu3QUoLr2KKDF0BFX8+0N1xQlui3iqs7CJwPg==" saltValue="5g1BTMLH3uXgRaHBvrM8Z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9" t="s">
        <v>108</v>
      </c>
      <c r="E1" s="569"/>
      <c r="F1" s="569"/>
      <c r="G1" s="569"/>
      <c r="H1" s="569"/>
      <c r="I1" s="569"/>
      <c r="J1" s="569"/>
      <c r="K1" s="569"/>
      <c r="L1" s="569"/>
      <c r="M1" s="569"/>
    </row>
    <row r="2" spans="1:18" ht="23.25" customHeight="1" x14ac:dyDescent="0.3">
      <c r="C2" s="230"/>
      <c r="D2" s="230" t="s">
        <v>255</v>
      </c>
      <c r="E2" s="230"/>
      <c r="F2" s="230"/>
      <c r="G2" s="230"/>
      <c r="H2" s="230"/>
      <c r="I2" s="230"/>
      <c r="J2" s="230"/>
      <c r="K2" s="230"/>
      <c r="L2" s="230"/>
      <c r="M2" s="230"/>
    </row>
    <row r="3" spans="1:18" ht="23.25" x14ac:dyDescent="0.35">
      <c r="C3" s="570"/>
      <c r="D3" s="570"/>
      <c r="E3" s="570"/>
      <c r="F3" s="570"/>
      <c r="G3" s="570"/>
      <c r="H3" s="570"/>
      <c r="I3" s="570"/>
      <c r="J3" s="570"/>
      <c r="K3" s="570"/>
      <c r="L3" s="570"/>
      <c r="M3" s="570"/>
    </row>
    <row r="4" spans="1:18" ht="23.25" x14ac:dyDescent="0.35">
      <c r="C4" s="214"/>
      <c r="D4" s="214"/>
      <c r="E4" s="214"/>
      <c r="F4" s="214"/>
      <c r="G4" s="214"/>
      <c r="H4" s="214"/>
      <c r="I4" s="214"/>
      <c r="J4" s="214"/>
      <c r="K4" s="214"/>
      <c r="L4" s="214"/>
      <c r="M4" s="214"/>
    </row>
    <row r="5" spans="1:18" ht="23.25" x14ac:dyDescent="0.35">
      <c r="C5" s="566" t="s">
        <v>6</v>
      </c>
      <c r="D5" s="566"/>
      <c r="E5" s="566"/>
      <c r="F5" s="566"/>
      <c r="G5" s="566"/>
      <c r="H5" s="566"/>
      <c r="I5" s="566"/>
      <c r="J5" s="566"/>
      <c r="K5" s="566"/>
      <c r="L5" s="566"/>
      <c r="M5" s="566"/>
    </row>
    <row r="6" spans="1:18" ht="23.25" x14ac:dyDescent="0.35">
      <c r="C6" s="215"/>
      <c r="D6" s="215"/>
      <c r="E6" s="586" t="str">
        <f>IFERROR(CONCATENATE("Report Number: ", WorkItemNumber),"")</f>
        <v/>
      </c>
      <c r="F6" s="586"/>
      <c r="G6" s="586"/>
      <c r="H6" s="586"/>
      <c r="I6" s="586"/>
      <c r="J6" s="586"/>
      <c r="K6" s="586"/>
      <c r="L6" s="215"/>
      <c r="M6" s="215"/>
    </row>
    <row r="7" spans="1:18" ht="18.75" customHeight="1" x14ac:dyDescent="0.3">
      <c r="G7" s="567"/>
      <c r="H7" s="567"/>
      <c r="I7" s="192"/>
      <c r="R7" t="str">
        <f>CONCATENATE("Page ",Main!L9," of ",Main!L10)</f>
        <v xml:space="preserve">Page  of </v>
      </c>
    </row>
    <row r="8" spans="1:18" ht="18" customHeight="1" x14ac:dyDescent="0.25">
      <c r="G8" s="579"/>
      <c r="H8" s="579"/>
      <c r="J8" s="79"/>
      <c r="K8" s="216" t="s">
        <v>252</v>
      </c>
      <c r="L8" s="590">
        <f>FormNumber</f>
        <v>0</v>
      </c>
      <c r="M8" s="590"/>
      <c r="N8" s="590"/>
      <c r="O8" s="590"/>
    </row>
    <row r="9" spans="1:18" ht="18" customHeight="1" x14ac:dyDescent="0.25">
      <c r="A9" s="216" t="s">
        <v>209</v>
      </c>
      <c r="B9" s="33" t="e">
        <f>Main!D5</f>
        <v>#N/A</v>
      </c>
      <c r="J9" s="79"/>
      <c r="K9" s="216" t="s">
        <v>253</v>
      </c>
      <c r="L9" s="581" t="str">
        <f>"JGI WP4100, "&amp;CalMethod</f>
        <v xml:space="preserve">JGI WP4100, </v>
      </c>
      <c r="M9" s="581"/>
      <c r="N9" s="581"/>
      <c r="O9" s="581"/>
    </row>
    <row r="10" spans="1:18" ht="18" customHeight="1" x14ac:dyDescent="0.25">
      <c r="A10" s="87"/>
      <c r="B10" s="211" t="str" cm="1">
        <f t="array" ref="B10">IFZERO('Customer Table'!R2,"")</f>
        <v/>
      </c>
      <c r="J10" s="79"/>
      <c r="K10" s="216"/>
      <c r="L10" s="581"/>
      <c r="M10" s="581"/>
      <c r="N10" s="581"/>
      <c r="O10" s="581"/>
    </row>
    <row r="11" spans="1:18" ht="18" customHeight="1" x14ac:dyDescent="0.25">
      <c r="A11" s="87"/>
      <c r="B11" s="211" t="str" cm="1">
        <f t="array" ref="B11">IFZERO('Customer Table'!S2,"")</f>
        <v/>
      </c>
      <c r="J11" s="79"/>
      <c r="K11" s="216" t="s">
        <v>254</v>
      </c>
      <c r="L11" s="590">
        <f>TolSource</f>
        <v>0</v>
      </c>
      <c r="M11" s="590"/>
      <c r="N11" s="590"/>
      <c r="O11" s="590"/>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2">
        <f>SerialNumber</f>
        <v>0</v>
      </c>
      <c r="C16" s="582"/>
      <c r="D16" s="582"/>
      <c r="E16" s="582"/>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3">
        <f>Class</f>
        <v>0</v>
      </c>
      <c r="C18" s="573"/>
      <c r="D18" s="573"/>
      <c r="E18" s="573"/>
      <c r="G18" s="216" t="s">
        <v>219</v>
      </c>
      <c r="H18" s="220">
        <f>CubicFeet</f>
        <v>0</v>
      </c>
      <c r="M18" s="216" t="s">
        <v>223</v>
      </c>
      <c r="N18" s="220" t="str">
        <f>Main!G18</f>
        <v>ACCEPTED</v>
      </c>
      <c r="O18" s="195"/>
    </row>
    <row r="19" spans="1:19" ht="18" customHeight="1" x14ac:dyDescent="0.25">
      <c r="A19" s="206"/>
      <c r="B19" s="574"/>
      <c r="C19" s="574"/>
      <c r="D19" s="574"/>
      <c r="E19" s="574"/>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3">
        <f>Controller</f>
        <v>0</v>
      </c>
      <c r="C21" s="583"/>
      <c r="D21" s="583"/>
      <c r="E21" s="583"/>
      <c r="F21" s="207" t="s">
        <v>226</v>
      </c>
      <c r="G21" s="583">
        <f>ContSN</f>
        <v>0</v>
      </c>
      <c r="H21" s="583"/>
      <c r="I21" s="583"/>
      <c r="J21" s="207" t="s">
        <v>227</v>
      </c>
      <c r="K21" s="219">
        <f>ContTol</f>
        <v>0</v>
      </c>
      <c r="L21" s="193"/>
      <c r="M21" s="207" t="s">
        <v>228</v>
      </c>
      <c r="N21" s="232" t="str">
        <f>Main!G27</f>
        <v/>
      </c>
      <c r="O21" s="194"/>
    </row>
    <row r="22" spans="1:19" ht="18" customHeight="1" x14ac:dyDescent="0.25">
      <c r="A22" s="225" t="s">
        <v>225</v>
      </c>
      <c r="B22" s="584">
        <f>_xlnm.Recorder</f>
        <v>0</v>
      </c>
      <c r="C22" s="584"/>
      <c r="D22" s="584"/>
      <c r="E22" s="584"/>
      <c r="F22" s="208" t="s">
        <v>226</v>
      </c>
      <c r="G22" s="584">
        <f>RecSN</f>
        <v>0</v>
      </c>
      <c r="H22" s="584"/>
      <c r="I22" s="584"/>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0" t="s">
        <v>237</v>
      </c>
      <c r="D27" s="580"/>
      <c r="E27" s="580"/>
      <c r="F27" s="580"/>
      <c r="G27" s="580"/>
      <c r="H27" s="580"/>
      <c r="I27" s="580"/>
      <c r="J27" s="580"/>
      <c r="K27" s="580"/>
      <c r="L27" s="580"/>
      <c r="M27" s="580"/>
      <c r="N27" s="196"/>
      <c r="O27" s="197"/>
    </row>
    <row r="28" spans="1:19" ht="8.1" customHeight="1" x14ac:dyDescent="0.2"/>
    <row r="29" spans="1:19" ht="18" customHeight="1" x14ac:dyDescent="0.2">
      <c r="A29" s="576" t="s">
        <v>207</v>
      </c>
      <c r="B29" s="577"/>
      <c r="C29" s="578"/>
      <c r="D29" s="576" t="s">
        <v>238</v>
      </c>
      <c r="E29" s="577"/>
      <c r="F29" s="577"/>
      <c r="G29" s="578"/>
      <c r="H29" s="576" t="s">
        <v>208</v>
      </c>
      <c r="I29" s="577"/>
      <c r="J29" s="577"/>
      <c r="K29" s="578"/>
      <c r="L29" s="576" t="s">
        <v>194</v>
      </c>
      <c r="M29" s="577"/>
      <c r="N29" s="577"/>
      <c r="O29" s="578"/>
    </row>
    <row r="30" spans="1:19" ht="18" customHeight="1" x14ac:dyDescent="0.2">
      <c r="A30" s="212"/>
      <c r="B30" s="202" t="s">
        <v>435</v>
      </c>
      <c r="C30" s="213"/>
      <c r="D30" s="559" t="str">
        <f>CONCATENATE(Main!D22,Unit," / ",Main!D23,"% RH")</f>
        <v>°F / % RH</v>
      </c>
      <c r="E30" s="560"/>
      <c r="F30" s="560"/>
      <c r="G30" s="561"/>
      <c r="H30" s="559">
        <f>OvenLocation</f>
        <v>0</v>
      </c>
      <c r="I30" s="560"/>
      <c r="J30" s="560"/>
      <c r="K30" s="561"/>
      <c r="L30" s="559">
        <f>Condition</f>
        <v>0</v>
      </c>
      <c r="M30" s="560"/>
      <c r="N30" s="560"/>
      <c r="O30" s="561"/>
    </row>
    <row r="31" spans="1:19" ht="18" customHeight="1" x14ac:dyDescent="0.2"/>
    <row r="32" spans="1:19" ht="18" customHeight="1" x14ac:dyDescent="0.25">
      <c r="A32" s="235" t="s">
        <v>239</v>
      </c>
      <c r="B32" s="568" t="s">
        <v>240</v>
      </c>
      <c r="C32" s="568"/>
      <c r="D32" s="235" t="s">
        <v>203</v>
      </c>
      <c r="E32" s="235" t="s">
        <v>202</v>
      </c>
      <c r="F32" s="235" t="s">
        <v>241</v>
      </c>
      <c r="G32" s="79"/>
      <c r="H32" s="79"/>
      <c r="I32" s="235" t="s">
        <v>239</v>
      </c>
      <c r="J32" s="568" t="s">
        <v>240</v>
      </c>
      <c r="K32" s="568"/>
      <c r="L32" s="235" t="s">
        <v>203</v>
      </c>
      <c r="M32" s="235" t="s">
        <v>202</v>
      </c>
      <c r="N32" s="235" t="s">
        <v>241</v>
      </c>
    </row>
    <row r="33" spans="1:14" ht="18" customHeight="1" x14ac:dyDescent="0.2">
      <c r="A33" s="236" t="str">
        <f>IF(B33="","",1)</f>
        <v/>
      </c>
      <c r="B33" s="567" t="str">
        <f>IF(Main!O5="","",Main!O5)</f>
        <v/>
      </c>
      <c r="C33" s="567"/>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7" t="str">
        <f>IF(Main!O25="","",Main!O25)</f>
        <v/>
      </c>
      <c r="K33" s="567"/>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7" t="str">
        <f>IF(Main!O6="","",Main!O6)</f>
        <v/>
      </c>
      <c r="C34" s="567"/>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7" t="str">
        <f>IF(Main!O26="","",Main!O26)</f>
        <v/>
      </c>
      <c r="K34" s="567"/>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7" t="str">
        <f>IF(Main!O7="","",Main!O7)</f>
        <v/>
      </c>
      <c r="C35" s="567"/>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7" t="str">
        <f>IF(Main!O27="","",Main!O27)</f>
        <v/>
      </c>
      <c r="K35" s="567"/>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7" t="str">
        <f>IF(Main!O8="","",Main!O8)</f>
        <v/>
      </c>
      <c r="C36" s="567"/>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7" t="str">
        <f>IF(Main!O28="","",Main!O28)</f>
        <v/>
      </c>
      <c r="K36" s="567"/>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7" t="str">
        <f>IF(Main!O9="","",Main!O9)</f>
        <v/>
      </c>
      <c r="C37" s="567"/>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7" t="str">
        <f>IF(Main!O29="","",Main!O29)</f>
        <v/>
      </c>
      <c r="K37" s="567"/>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7" t="str">
        <f>IF(Main!O10="","",Main!O10)</f>
        <v/>
      </c>
      <c r="C38" s="567"/>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7" t="str">
        <f>IF(Main!O30="","",Main!O30)</f>
        <v/>
      </c>
      <c r="K38" s="567"/>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7" t="str">
        <f>IF(Main!O11="","",Main!O11)</f>
        <v/>
      </c>
      <c r="C39" s="567"/>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7" t="str">
        <f>IF(Main!O31="","",Main!O31)</f>
        <v/>
      </c>
      <c r="K39" s="567"/>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7" t="str">
        <f>IF(Main!O12="","",Main!O12)</f>
        <v/>
      </c>
      <c r="C40" s="567"/>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7" t="str">
        <f>IF(Main!O32="","",Main!O32)</f>
        <v/>
      </c>
      <c r="K40" s="567"/>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7" t="str">
        <f>IF(Main!O13="","",Main!O13)</f>
        <v/>
      </c>
      <c r="C41" s="567"/>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7" t="str">
        <f>IF(Main!O33="","",Main!O33)</f>
        <v/>
      </c>
      <c r="K41" s="567"/>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7" t="str">
        <f>IF(Main!O14="","",Main!O14)</f>
        <v/>
      </c>
      <c r="C42" s="567"/>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7" t="str">
        <f>IF(Main!O34="","",Main!O34)</f>
        <v/>
      </c>
      <c r="K42" s="567"/>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7" t="str">
        <f>IF(Main!O15="","",Main!O15)</f>
        <v/>
      </c>
      <c r="C43" s="567"/>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7" t="str">
        <f>IF(Main!O35="","",Main!O35)</f>
        <v/>
      </c>
      <c r="K43" s="567"/>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7" t="str">
        <f>IF(Main!O16="","",Main!O16)</f>
        <v/>
      </c>
      <c r="C44" s="567"/>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7" t="str">
        <f>IF(Main!O36="","",Main!O36)</f>
        <v/>
      </c>
      <c r="K44" s="567"/>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7" t="str">
        <f>IF(Main!O17="","",Main!O17)</f>
        <v/>
      </c>
      <c r="C45" s="567"/>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7" t="str">
        <f>IF(Main!O37="","",Main!O37)</f>
        <v/>
      </c>
      <c r="K45" s="567"/>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7" t="str">
        <f>IF(Main!O18="","",Main!O18)</f>
        <v/>
      </c>
      <c r="C46" s="567"/>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7" t="str">
        <f>IF(Main!O38="","",Main!O38)</f>
        <v/>
      </c>
      <c r="K46" s="567"/>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7" t="str">
        <f>IF(Main!O19="","",Main!O19)</f>
        <v/>
      </c>
      <c r="C47" s="567"/>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7" t="str">
        <f>IF(Main!O39="","",Main!O39)</f>
        <v/>
      </c>
      <c r="K47" s="567"/>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7" t="str">
        <f>IF(Main!O20="","",Main!O20)</f>
        <v/>
      </c>
      <c r="C48" s="567"/>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7" t="str">
        <f>IF(Main!O40="","",Main!O40)</f>
        <v/>
      </c>
      <c r="K48" s="567"/>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7" t="str">
        <f>IF(Main!O21="","",Main!O21)</f>
        <v/>
      </c>
      <c r="C49" s="567"/>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7" t="str">
        <f>IF(Main!O41="","",Main!O41)</f>
        <v/>
      </c>
      <c r="K49" s="567"/>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7" t="str">
        <f>IF(Main!O22="","",Main!O22)</f>
        <v/>
      </c>
      <c r="C50" s="567"/>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7" t="str">
        <f>IF(Main!O42="","",Main!O42)</f>
        <v/>
      </c>
      <c r="K50" s="567"/>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7" t="str">
        <f>IF(Main!O23="","",Main!O23)</f>
        <v/>
      </c>
      <c r="C51" s="567"/>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7" t="str">
        <f>IF(Main!O43="","",Main!O43)</f>
        <v/>
      </c>
      <c r="K51" s="567"/>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7" t="str">
        <f>IF(Main!O24="","",Main!O24)</f>
        <v/>
      </c>
      <c r="C52" s="567"/>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7" t="str">
        <f>IF(Main!O44="","",Main!O44)</f>
        <v/>
      </c>
      <c r="K52" s="567"/>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2" t="s">
        <v>242</v>
      </c>
      <c r="C53" s="572"/>
      <c r="D53" s="572"/>
      <c r="E53" s="572"/>
      <c r="F53" s="572"/>
      <c r="G53" s="572"/>
      <c r="H53" s="572"/>
      <c r="I53" s="572"/>
      <c r="J53" s="572"/>
      <c r="K53" s="572"/>
      <c r="L53" s="572"/>
      <c r="M53" s="572"/>
      <c r="N53" s="572"/>
    </row>
    <row r="54" spans="1:21" ht="18" customHeight="1" x14ac:dyDescent="0.25">
      <c r="A54" s="238" t="s">
        <v>243</v>
      </c>
      <c r="B54" s="581" t="str">
        <f>CONCATENATE(Main!G23,"  ",FurnaceSpecificComments,Main!V24)</f>
        <v xml:space="preserve">Found in tolerance.  No adjustment required.  </v>
      </c>
      <c r="C54" s="581"/>
      <c r="D54" s="581"/>
      <c r="E54" s="581"/>
      <c r="F54" s="581"/>
      <c r="G54" s="581"/>
      <c r="H54" s="581"/>
      <c r="I54" s="581"/>
      <c r="J54" s="581"/>
      <c r="K54" s="581"/>
      <c r="L54" s="581"/>
      <c r="M54" s="581"/>
      <c r="N54" s="581"/>
      <c r="O54" s="581"/>
    </row>
    <row r="55" spans="1:21" ht="18" customHeight="1" x14ac:dyDescent="0.25">
      <c r="A55" s="76"/>
      <c r="B55" s="581"/>
      <c r="C55" s="581"/>
      <c r="D55" s="581"/>
      <c r="E55" s="581"/>
      <c r="F55" s="581"/>
      <c r="G55" s="581"/>
      <c r="H55" s="581"/>
      <c r="I55" s="581"/>
      <c r="J55" s="581"/>
      <c r="K55" s="581"/>
      <c r="L55" s="581"/>
      <c r="M55" s="581"/>
      <c r="N55" s="581"/>
      <c r="O55" s="581"/>
    </row>
    <row r="56" spans="1:21" ht="18" customHeight="1" x14ac:dyDescent="0.25">
      <c r="A56" s="76"/>
      <c r="B56" s="581"/>
      <c r="C56" s="581"/>
      <c r="D56" s="581"/>
      <c r="E56" s="581"/>
      <c r="F56" s="581"/>
      <c r="G56" s="581"/>
      <c r="H56" s="581"/>
      <c r="I56" s="581"/>
      <c r="J56" s="581"/>
      <c r="K56" s="581"/>
      <c r="L56" s="581"/>
      <c r="M56" s="581"/>
      <c r="N56" s="581"/>
      <c r="O56" s="581"/>
    </row>
    <row r="57" spans="1:21" ht="18" customHeight="1" x14ac:dyDescent="0.25">
      <c r="A57" s="76"/>
      <c r="B57" s="581"/>
      <c r="C57" s="581"/>
      <c r="D57" s="581"/>
      <c r="E57" s="581"/>
      <c r="F57" s="581"/>
      <c r="G57" s="581"/>
      <c r="H57" s="581"/>
      <c r="I57" s="581"/>
      <c r="J57" s="581"/>
      <c r="K57" s="581"/>
      <c r="L57" s="581"/>
      <c r="M57" s="581"/>
      <c r="N57" s="581"/>
      <c r="O57" s="581"/>
    </row>
    <row r="58" spans="1:21" ht="18" customHeight="1" x14ac:dyDescent="0.25">
      <c r="A58" s="76"/>
      <c r="B58" s="581"/>
      <c r="C58" s="581"/>
      <c r="D58" s="581"/>
      <c r="E58" s="581"/>
      <c r="F58" s="581"/>
      <c r="G58" s="581"/>
      <c r="H58" s="581"/>
      <c r="I58" s="581"/>
      <c r="J58" s="581"/>
      <c r="K58" s="581"/>
      <c r="L58" s="581"/>
      <c r="M58" s="581"/>
      <c r="N58" s="581"/>
      <c r="O58" s="581"/>
    </row>
    <row r="59" spans="1:21" ht="18" customHeight="1" x14ac:dyDescent="0.25">
      <c r="A59" s="76"/>
      <c r="B59" s="581"/>
      <c r="C59" s="581"/>
      <c r="D59" s="581"/>
      <c r="E59" s="581"/>
      <c r="F59" s="581"/>
      <c r="G59" s="581"/>
      <c r="H59" s="581"/>
      <c r="I59" s="581"/>
      <c r="J59" s="581"/>
      <c r="K59" s="581"/>
      <c r="L59" s="581"/>
      <c r="M59" s="581"/>
      <c r="N59" s="581"/>
      <c r="O59" s="581"/>
    </row>
    <row r="60" spans="1:21" ht="18" customHeight="1" x14ac:dyDescent="0.2">
      <c r="A60" s="571" t="s">
        <v>251</v>
      </c>
      <c r="B60" s="571"/>
      <c r="C60" s="571"/>
      <c r="D60" s="571"/>
      <c r="E60" s="571"/>
      <c r="F60" s="571"/>
      <c r="G60" s="571"/>
      <c r="H60" s="571"/>
      <c r="I60" s="571"/>
      <c r="J60" s="571"/>
      <c r="K60" s="571"/>
      <c r="L60" s="571"/>
      <c r="M60" s="571"/>
      <c r="N60" s="571"/>
      <c r="O60" s="571"/>
    </row>
    <row r="61" spans="1:21" ht="18" customHeight="1" x14ac:dyDescent="0.2">
      <c r="A61" s="575" t="s">
        <v>244</v>
      </c>
      <c r="B61" s="575"/>
      <c r="C61" s="575"/>
      <c r="D61" s="575"/>
      <c r="E61" s="575"/>
      <c r="F61" s="589" t="s">
        <v>245</v>
      </c>
      <c r="G61" s="589"/>
      <c r="H61" s="589"/>
      <c r="I61" s="589" t="s">
        <v>246</v>
      </c>
      <c r="J61" s="589"/>
      <c r="K61" s="589" t="s">
        <v>247</v>
      </c>
      <c r="L61" s="589"/>
      <c r="M61" s="589" t="s">
        <v>248</v>
      </c>
      <c r="N61" s="589"/>
      <c r="O61" s="589"/>
      <c r="R61" s="37" t="s">
        <v>335</v>
      </c>
      <c r="T61" s="37" t="s">
        <v>336</v>
      </c>
      <c r="U61" s="37" t="s">
        <v>65</v>
      </c>
    </row>
    <row r="62" spans="1:21" ht="18" customHeight="1" x14ac:dyDescent="0.2">
      <c r="A62" s="556" t="str">
        <f>IF(F62="","",CONCATENATE(T62," - ",R62))</f>
        <v/>
      </c>
      <c r="B62" s="557"/>
      <c r="C62" s="557"/>
      <c r="D62" s="557"/>
      <c r="E62" s="558"/>
      <c r="F62" s="556" t="str" cm="1">
        <f t="array" ref="F62">IFERROR(
  _xlfn.XLOOKUP(
    Main!D9,
    _xlfn._xlws.FILTER(AssetPool[AssetTag], AssetPool[RootCategoryName]= "DAQ Modules"),
    _xlfn._xlws.FILTER(AssetPool[SerialNumber], AssetPool[RootCategoryName]= "DAQ Modules")
  ),
  ""
)</f>
        <v/>
      </c>
      <c r="G62" s="557"/>
      <c r="H62" s="558"/>
      <c r="I62" s="587" t="str">
        <f>IF(F62="","",Main!D12)</f>
        <v/>
      </c>
      <c r="J62" s="588"/>
      <c r="K62" s="587" t="str">
        <f>IF(F62="","",Main!D13)</f>
        <v/>
      </c>
      <c r="L62" s="588"/>
      <c r="M62" s="553" t="str">
        <f>IF(F62="","",Main!D14)</f>
        <v/>
      </c>
      <c r="N62" s="554"/>
      <c r="O62" s="555"/>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0" t="str">
        <f>IF(Q63="","",CONCATENATE("Type """,U63,""" Thermocouple"))</f>
        <v/>
      </c>
      <c r="B63" s="551"/>
      <c r="C63" s="551"/>
      <c r="D63" s="551"/>
      <c r="E63" s="552"/>
      <c r="F63" s="550" t="str">
        <f>IF(Main!D48="","",Main!D48)</f>
        <v/>
      </c>
      <c r="G63" s="551"/>
      <c r="H63" s="552"/>
      <c r="I63" s="564" t="str">
        <f>IF(Q63="","",Main!D49)</f>
        <v/>
      </c>
      <c r="J63" s="565"/>
      <c r="K63" s="564" t="str">
        <f>IF(Q63="","",Main!D50)</f>
        <v/>
      </c>
      <c r="L63" s="565"/>
      <c r="M63" s="550" t="str">
        <f>IF(Q63="","",Main!D54)</f>
        <v/>
      </c>
      <c r="N63" s="551"/>
      <c r="O63" s="552"/>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0" t="str">
        <f t="shared" ref="A64:A69" si="0">IF(Q64="","",CONCATENATE("Type """,U64,""" Thermocouple"))</f>
        <v/>
      </c>
      <c r="B64" s="551"/>
      <c r="C64" s="551"/>
      <c r="D64" s="551"/>
      <c r="E64" s="552"/>
      <c r="F64" s="550" t="str">
        <f>IF(Main!E48="","",Main!E48)</f>
        <v/>
      </c>
      <c r="G64" s="551"/>
      <c r="H64" s="552"/>
      <c r="I64" s="564" t="str">
        <f>IF(Q64="","",Main!E49)</f>
        <v/>
      </c>
      <c r="J64" s="565"/>
      <c r="K64" s="564" t="str">
        <f>IF(Q64="","",Main!E50)</f>
        <v/>
      </c>
      <c r="L64" s="565"/>
      <c r="M64" s="550" t="str">
        <f>IF(Q64="","",Main!E54)</f>
        <v/>
      </c>
      <c r="N64" s="551"/>
      <c r="O64" s="552"/>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0" t="str">
        <f t="shared" si="0"/>
        <v/>
      </c>
      <c r="B65" s="551"/>
      <c r="C65" s="551"/>
      <c r="D65" s="551"/>
      <c r="E65" s="552"/>
      <c r="F65" s="550" t="str">
        <f>IF(Main!F48="","",Main!F48)</f>
        <v/>
      </c>
      <c r="G65" s="551"/>
      <c r="H65" s="552"/>
      <c r="I65" s="564" t="str">
        <f>IF(Q65="","",Main!F49)</f>
        <v/>
      </c>
      <c r="J65" s="565"/>
      <c r="K65" s="564" t="str">
        <f>IF(Q65="","",Main!F50)</f>
        <v/>
      </c>
      <c r="L65" s="565"/>
      <c r="M65" s="550" t="str">
        <f>IF(Q65="","",Main!F54)</f>
        <v/>
      </c>
      <c r="N65" s="551"/>
      <c r="O65" s="552"/>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0" t="str">
        <f t="shared" si="0"/>
        <v/>
      </c>
      <c r="B66" s="551"/>
      <c r="C66" s="551"/>
      <c r="D66" s="551"/>
      <c r="E66" s="552"/>
      <c r="F66" s="550" t="str">
        <f>IF(Main!G48="","",Main!G48)</f>
        <v/>
      </c>
      <c r="G66" s="551"/>
      <c r="H66" s="552"/>
      <c r="I66" s="564" t="str">
        <f>IF(Q66="","",Main!G49)</f>
        <v/>
      </c>
      <c r="J66" s="565"/>
      <c r="K66" s="564" t="str">
        <f>IF(Q66="","",Main!G50)</f>
        <v/>
      </c>
      <c r="L66" s="565"/>
      <c r="M66" s="550" t="str">
        <f>IF(Q66="","",Main!G54)</f>
        <v/>
      </c>
      <c r="N66" s="551"/>
      <c r="O66" s="552"/>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0" t="str">
        <f t="shared" si="0"/>
        <v/>
      </c>
      <c r="B67" s="551"/>
      <c r="C67" s="551"/>
      <c r="D67" s="551"/>
      <c r="E67" s="552"/>
      <c r="F67" s="550" t="str">
        <f>IF(Main!H48="","",Main!H48)</f>
        <v/>
      </c>
      <c r="G67" s="551"/>
      <c r="H67" s="552"/>
      <c r="I67" s="564" t="str">
        <f>IF(Q67="","",Main!H49)</f>
        <v/>
      </c>
      <c r="J67" s="565"/>
      <c r="K67" s="564" t="str">
        <f>IF(Q67="","",Main!H50)</f>
        <v/>
      </c>
      <c r="L67" s="565"/>
      <c r="M67" s="550" t="str">
        <f>IF(Q67="","",Main!H54)</f>
        <v/>
      </c>
      <c r="N67" s="551"/>
      <c r="O67" s="552"/>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0" t="str">
        <f t="shared" si="0"/>
        <v/>
      </c>
      <c r="B68" s="551"/>
      <c r="C68" s="551"/>
      <c r="D68" s="551"/>
      <c r="E68" s="552"/>
      <c r="F68" s="550" t="str">
        <f>IF(Main!I48="","",Main!I48)</f>
        <v/>
      </c>
      <c r="G68" s="551"/>
      <c r="H68" s="552"/>
      <c r="I68" s="564" t="str">
        <f>IF(Q68="","",Main!I49)</f>
        <v/>
      </c>
      <c r="J68" s="565"/>
      <c r="K68" s="564" t="str">
        <f>IF(Q68="","",Main!I50)</f>
        <v/>
      </c>
      <c r="L68" s="565"/>
      <c r="M68" s="550" t="str">
        <f>IF(Q68="","",Main!I54)</f>
        <v/>
      </c>
      <c r="N68" s="551"/>
      <c r="O68" s="552"/>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0" t="str">
        <f t="shared" si="0"/>
        <v/>
      </c>
      <c r="B69" s="551"/>
      <c r="C69" s="551"/>
      <c r="D69" s="551"/>
      <c r="E69" s="552"/>
      <c r="F69" s="559" t="str">
        <f>IF(Main!J48="","",Main!J48)</f>
        <v/>
      </c>
      <c r="G69" s="560"/>
      <c r="H69" s="561"/>
      <c r="I69" s="562" t="str">
        <f>IF(Q69="","",Main!J49)</f>
        <v/>
      </c>
      <c r="J69" s="563"/>
      <c r="K69" s="562" t="str">
        <f>IF(Q69="","",Main!J50)</f>
        <v/>
      </c>
      <c r="L69" s="563"/>
      <c r="M69" s="559" t="str">
        <f>IF(Q69="","",Main!J54)</f>
        <v/>
      </c>
      <c r="N69" s="560"/>
      <c r="O69" s="561"/>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85" t="s">
        <v>439</v>
      </c>
      <c r="B71" s="585"/>
      <c r="C71" s="585"/>
      <c r="D71" s="585"/>
      <c r="E71" s="585"/>
      <c r="F71" s="585"/>
      <c r="G71" s="585"/>
      <c r="H71" s="585"/>
      <c r="I71" s="585"/>
      <c r="J71" s="585"/>
      <c r="K71" s="585"/>
      <c r="L71" s="585"/>
      <c r="M71" s="585"/>
      <c r="N71" s="585"/>
      <c r="O71" s="585"/>
    </row>
    <row r="72" spans="1:21" ht="18" customHeight="1" x14ac:dyDescent="0.2">
      <c r="A72" s="585"/>
      <c r="B72" s="585"/>
      <c r="C72" s="585"/>
      <c r="D72" s="585"/>
      <c r="E72" s="585"/>
      <c r="F72" s="585"/>
      <c r="G72" s="585"/>
      <c r="H72" s="585"/>
      <c r="I72" s="585"/>
      <c r="J72" s="585"/>
      <c r="K72" s="585"/>
      <c r="L72" s="585"/>
      <c r="M72" s="585"/>
      <c r="N72" s="585"/>
      <c r="O72" s="585"/>
    </row>
    <row r="73" spans="1:21" ht="18" customHeight="1" x14ac:dyDescent="0.2">
      <c r="A73" s="585"/>
      <c r="B73" s="585"/>
      <c r="C73" s="585"/>
      <c r="D73" s="585"/>
      <c r="E73" s="585"/>
      <c r="F73" s="585"/>
      <c r="G73" s="585"/>
      <c r="H73" s="585"/>
      <c r="I73" s="585"/>
      <c r="J73" s="585"/>
      <c r="K73" s="585"/>
      <c r="L73" s="585"/>
      <c r="M73" s="585"/>
      <c r="N73" s="585"/>
      <c r="O73" s="585"/>
    </row>
    <row r="74" spans="1:21" ht="18" customHeight="1" x14ac:dyDescent="0.2">
      <c r="A74" s="585"/>
      <c r="B74" s="585"/>
      <c r="C74" s="585"/>
      <c r="D74" s="585"/>
      <c r="E74" s="585"/>
      <c r="F74" s="585"/>
      <c r="G74" s="585"/>
      <c r="H74" s="585"/>
      <c r="I74" s="585"/>
      <c r="J74" s="585"/>
      <c r="K74" s="585"/>
      <c r="L74" s="585"/>
      <c r="M74" s="585"/>
      <c r="N74" s="585"/>
      <c r="O74" s="585"/>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JbO1AFIMcQMa1c8H/5NnrKr13IQd6NxXdmlAK1vWPbPJCcPwWGyYMLxbdYrwtEwTVU3+TeyMsFeYuvWQpQ4mAg==" saltValue="1H/tRxr6uGKWM9ohv4QaZg=="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H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H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H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L240"/>
      <c r="M240"/>
      <c r="N240"/>
      <c r="O240"/>
    </row>
    <row r="241" spans="1:15" x14ac:dyDescent="0.2">
      <c r="A241"/>
      <c r="B241"/>
      <c r="C241"/>
      <c r="F241"/>
      <c r="G241"/>
      <c r="H241"/>
      <c r="L241"/>
      <c r="M241"/>
      <c r="N241"/>
      <c r="O241"/>
    </row>
    <row r="242" spans="1:15" x14ac:dyDescent="0.2">
      <c r="A242"/>
      <c r="B242"/>
      <c r="C242"/>
      <c r="F242"/>
      <c r="G242"/>
      <c r="I242"/>
      <c r="L242"/>
      <c r="M242"/>
      <c r="N242"/>
      <c r="O242"/>
    </row>
    <row r="243" spans="1:15" x14ac:dyDescent="0.2">
      <c r="A243"/>
      <c r="B243"/>
      <c r="C243"/>
      <c r="F243"/>
      <c r="G243"/>
      <c r="H243"/>
      <c r="I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J248"/>
      <c r="K248"/>
      <c r="L248"/>
      <c r="M248"/>
      <c r="N248"/>
      <c r="O248"/>
    </row>
    <row r="249" spans="1:15" x14ac:dyDescent="0.2">
      <c r="A249"/>
      <c r="B249"/>
      <c r="C249"/>
      <c r="F249"/>
      <c r="G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H383"/>
      <c r="I383"/>
      <c r="J383"/>
      <c r="K383"/>
      <c r="L383"/>
      <c r="M383"/>
      <c r="N383"/>
      <c r="O383"/>
    </row>
    <row r="384" spans="1:15" x14ac:dyDescent="0.2">
      <c r="A384"/>
      <c r="B384"/>
      <c r="C384"/>
      <c r="F384"/>
      <c r="G384"/>
      <c r="L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L388"/>
      <c r="M388"/>
      <c r="N388"/>
      <c r="O388"/>
    </row>
    <row r="389" spans="1:15" x14ac:dyDescent="0.2">
      <c r="A389"/>
      <c r="B389"/>
      <c r="C389"/>
      <c r="F389"/>
      <c r="G389"/>
      <c r="J389"/>
      <c r="K389"/>
      <c r="L389"/>
      <c r="M389"/>
      <c r="N389"/>
      <c r="O389"/>
    </row>
    <row r="390" spans="1:15" x14ac:dyDescent="0.2">
      <c r="A390"/>
      <c r="B390"/>
      <c r="C390"/>
      <c r="F390"/>
      <c r="G390"/>
      <c r="H390"/>
      <c r="I390"/>
      <c r="L390"/>
      <c r="M390"/>
      <c r="N390"/>
      <c r="O390"/>
    </row>
    <row r="391" spans="1:15" x14ac:dyDescent="0.2">
      <c r="A391"/>
      <c r="B391"/>
      <c r="C391"/>
      <c r="F391"/>
      <c r="G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M395"/>
      <c r="N395"/>
      <c r="O395"/>
    </row>
    <row r="396" spans="1:15" x14ac:dyDescent="0.2">
      <c r="A396"/>
      <c r="B396"/>
      <c r="C396"/>
      <c r="F396"/>
      <c r="G396"/>
      <c r="J396"/>
      <c r="K396"/>
      <c r="L396"/>
      <c r="M396"/>
      <c r="N396"/>
      <c r="O396"/>
    </row>
    <row r="397" spans="1:15" x14ac:dyDescent="0.2">
      <c r="A397"/>
      <c r="B397"/>
      <c r="C397"/>
      <c r="F397"/>
      <c r="G397"/>
      <c r="H397"/>
      <c r="I397"/>
      <c r="L397"/>
      <c r="M397"/>
      <c r="N397"/>
      <c r="O397"/>
    </row>
    <row r="398" spans="1:15" x14ac:dyDescent="0.2">
      <c r="A398"/>
      <c r="B398"/>
      <c r="C398"/>
      <c r="F398"/>
      <c r="G398"/>
      <c r="I398"/>
      <c r="L398"/>
      <c r="M398"/>
      <c r="N398"/>
      <c r="O398"/>
    </row>
    <row r="399" spans="1:15" x14ac:dyDescent="0.2">
      <c r="A399"/>
      <c r="B399"/>
      <c r="C399"/>
      <c r="F399"/>
      <c r="G399"/>
      <c r="H399"/>
      <c r="I399"/>
      <c r="L399"/>
      <c r="M399"/>
      <c r="N399"/>
      <c r="O399"/>
    </row>
    <row r="400" spans="1:15" x14ac:dyDescent="0.2">
      <c r="A400"/>
      <c r="B400"/>
      <c r="C400"/>
      <c r="F400"/>
      <c r="G400"/>
      <c r="I400"/>
      <c r="L400"/>
      <c r="M400"/>
      <c r="N400"/>
      <c r="O400"/>
    </row>
    <row r="401" spans="1:15" x14ac:dyDescent="0.2">
      <c r="A401"/>
      <c r="B401"/>
      <c r="C401"/>
      <c r="F401"/>
      <c r="G401"/>
      <c r="J401"/>
      <c r="K401"/>
      <c r="L401"/>
      <c r="M401"/>
      <c r="N401"/>
      <c r="O401"/>
    </row>
    <row r="402" spans="1:15" x14ac:dyDescent="0.2">
      <c r="A402"/>
      <c r="B402"/>
      <c r="C402"/>
      <c r="F402"/>
      <c r="G402"/>
      <c r="I402"/>
      <c r="L402"/>
      <c r="M402"/>
      <c r="N402"/>
      <c r="O402"/>
    </row>
    <row r="403" spans="1:15" x14ac:dyDescent="0.2">
      <c r="A403"/>
      <c r="B403"/>
      <c r="C403"/>
      <c r="F403"/>
      <c r="G403"/>
      <c r="H403"/>
      <c r="I403"/>
      <c r="L403"/>
      <c r="N403"/>
      <c r="O403"/>
    </row>
    <row r="404" spans="1:15" x14ac:dyDescent="0.2">
      <c r="A404"/>
      <c r="B404"/>
      <c r="C404"/>
      <c r="F404"/>
      <c r="G404"/>
      <c r="H404"/>
      <c r="I404"/>
      <c r="L404"/>
      <c r="M404"/>
      <c r="N404"/>
      <c r="O404"/>
    </row>
    <row r="405" spans="1:15" x14ac:dyDescent="0.2">
      <c r="A405"/>
      <c r="B405"/>
      <c r="C405"/>
      <c r="F405"/>
      <c r="G405"/>
      <c r="H405"/>
      <c r="I405"/>
      <c r="L405"/>
      <c r="M405"/>
      <c r="N405"/>
      <c r="O405"/>
    </row>
    <row r="406" spans="1:15" x14ac:dyDescent="0.2">
      <c r="A406"/>
      <c r="B406"/>
      <c r="C406"/>
      <c r="F406"/>
      <c r="G406"/>
      <c r="L406"/>
      <c r="M406"/>
      <c r="N406"/>
      <c r="O406"/>
    </row>
    <row r="407" spans="1:15" x14ac:dyDescent="0.2">
      <c r="A407"/>
      <c r="B407"/>
      <c r="C407"/>
      <c r="F407"/>
      <c r="G407"/>
      <c r="I407"/>
      <c r="L407"/>
      <c r="M407"/>
      <c r="N407"/>
      <c r="O407"/>
    </row>
    <row r="408" spans="1:15" x14ac:dyDescent="0.2">
      <c r="A408"/>
      <c r="B408"/>
      <c r="C408"/>
      <c r="F408"/>
      <c r="G408"/>
      <c r="H408"/>
      <c r="I408"/>
      <c r="L408"/>
      <c r="M408"/>
      <c r="N408"/>
      <c r="O408"/>
    </row>
    <row r="409" spans="1:15" x14ac:dyDescent="0.2">
      <c r="A409"/>
      <c r="B409"/>
      <c r="C409"/>
      <c r="F409"/>
      <c r="G409"/>
      <c r="M409"/>
      <c r="N409"/>
      <c r="O409"/>
    </row>
    <row r="410" spans="1:15" x14ac:dyDescent="0.2">
      <c r="A410"/>
      <c r="B410"/>
      <c r="C410"/>
      <c r="F410"/>
      <c r="G410"/>
      <c r="H410"/>
      <c r="J410"/>
      <c r="K410"/>
      <c r="L410"/>
      <c r="M410"/>
      <c r="N410"/>
      <c r="O410"/>
    </row>
    <row r="411" spans="1:15" x14ac:dyDescent="0.2">
      <c r="A411"/>
      <c r="B411"/>
      <c r="C411"/>
      <c r="F411"/>
      <c r="G411"/>
      <c r="H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J414"/>
      <c r="K414"/>
      <c r="L414"/>
      <c r="M414"/>
      <c r="N414"/>
      <c r="O414"/>
    </row>
    <row r="415" spans="1:15" x14ac:dyDescent="0.2">
      <c r="A415"/>
      <c r="B415"/>
      <c r="C415"/>
      <c r="G415"/>
      <c r="M415"/>
      <c r="N415"/>
      <c r="O415"/>
    </row>
    <row r="416" spans="1:15" x14ac:dyDescent="0.2">
      <c r="A416"/>
      <c r="B416"/>
      <c r="C416"/>
      <c r="F416"/>
      <c r="G416"/>
      <c r="H416"/>
      <c r="J416"/>
      <c r="K416"/>
      <c r="L416"/>
      <c r="M416"/>
      <c r="N416"/>
      <c r="O416"/>
    </row>
    <row r="417" spans="1:15" x14ac:dyDescent="0.2">
      <c r="A417"/>
      <c r="B417"/>
      <c r="C417"/>
      <c r="F417"/>
      <c r="G417"/>
      <c r="H417"/>
      <c r="K417"/>
      <c r="L417"/>
      <c r="M417"/>
      <c r="N417"/>
      <c r="O417"/>
    </row>
    <row r="418" spans="1:15" x14ac:dyDescent="0.2">
      <c r="A418"/>
      <c r="B418"/>
      <c r="C418"/>
      <c r="F418"/>
      <c r="G418"/>
      <c r="H418"/>
      <c r="I418"/>
      <c r="L418"/>
      <c r="N418"/>
      <c r="O418"/>
    </row>
    <row r="419" spans="1:15" x14ac:dyDescent="0.2">
      <c r="A419"/>
      <c r="B419"/>
      <c r="C419"/>
      <c r="F419"/>
      <c r="G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L428"/>
      <c r="M428"/>
      <c r="N428"/>
      <c r="O428"/>
    </row>
    <row r="429" spans="1:15" x14ac:dyDescent="0.2">
      <c r="A429"/>
      <c r="B429"/>
      <c r="C429"/>
      <c r="F429"/>
      <c r="G429"/>
      <c r="I429"/>
      <c r="L429"/>
      <c r="M429"/>
      <c r="N429"/>
      <c r="O429"/>
    </row>
    <row r="430" spans="1:15" x14ac:dyDescent="0.2">
      <c r="A430"/>
      <c r="B430"/>
      <c r="C430"/>
      <c r="F430"/>
      <c r="G430"/>
      <c r="H430"/>
      <c r="I430"/>
      <c r="L430"/>
      <c r="N430"/>
      <c r="O430"/>
    </row>
    <row r="431" spans="1:15" x14ac:dyDescent="0.2">
      <c r="A431"/>
      <c r="B431"/>
      <c r="C431"/>
      <c r="F431"/>
      <c r="G431"/>
      <c r="H431"/>
      <c r="I431"/>
      <c r="L431"/>
      <c r="M431"/>
      <c r="N431"/>
      <c r="O431"/>
    </row>
    <row r="432" spans="1:15" x14ac:dyDescent="0.2">
      <c r="A432"/>
      <c r="B432"/>
      <c r="C432"/>
      <c r="F432"/>
      <c r="G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N435"/>
      <c r="O435"/>
    </row>
    <row r="436" spans="1:15" x14ac:dyDescent="0.2">
      <c r="A436"/>
      <c r="B436"/>
      <c r="C436"/>
      <c r="F436"/>
      <c r="G436"/>
      <c r="H436"/>
      <c r="I436"/>
      <c r="L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N444"/>
      <c r="O444"/>
    </row>
    <row r="445" spans="1:15" x14ac:dyDescent="0.2">
      <c r="A445"/>
      <c r="B445"/>
      <c r="C445"/>
      <c r="F445"/>
      <c r="G445"/>
      <c r="I445"/>
      <c r="L445"/>
      <c r="M445"/>
      <c r="N445"/>
      <c r="O445"/>
    </row>
    <row r="446" spans="1:15" x14ac:dyDescent="0.2">
      <c r="A446"/>
      <c r="B446"/>
      <c r="C446"/>
      <c r="F446"/>
      <c r="G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I456"/>
      <c r="L456"/>
      <c r="N456"/>
      <c r="O456"/>
    </row>
    <row r="457" spans="1:15" x14ac:dyDescent="0.2">
      <c r="A457"/>
      <c r="B457"/>
      <c r="C457"/>
      <c r="F457"/>
      <c r="G457"/>
      <c r="H457"/>
      <c r="I457"/>
      <c r="L457"/>
      <c r="M457"/>
      <c r="N457"/>
      <c r="O457"/>
    </row>
    <row r="458" spans="1:15" x14ac:dyDescent="0.2">
      <c r="A458"/>
      <c r="B458"/>
      <c r="C458"/>
      <c r="F458"/>
      <c r="G458"/>
      <c r="H458"/>
      <c r="I458"/>
      <c r="L458"/>
      <c r="M458"/>
      <c r="N458"/>
      <c r="O458"/>
    </row>
    <row r="459" spans="1:15" x14ac:dyDescent="0.2">
      <c r="A459"/>
      <c r="B459"/>
      <c r="C459"/>
      <c r="F459"/>
      <c r="G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I464"/>
      <c r="L464"/>
      <c r="M464"/>
      <c r="N464"/>
      <c r="O464"/>
    </row>
    <row r="465" spans="1:15" x14ac:dyDescent="0.2">
      <c r="A465"/>
      <c r="B465"/>
      <c r="C465"/>
      <c r="F465"/>
      <c r="G465"/>
      <c r="I465"/>
      <c r="L465"/>
      <c r="M465"/>
      <c r="N465"/>
      <c r="O465"/>
    </row>
    <row r="466" spans="1:15" x14ac:dyDescent="0.2">
      <c r="A466"/>
      <c r="B466"/>
      <c r="C466"/>
      <c r="F466"/>
      <c r="G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M469"/>
      <c r="N469"/>
      <c r="O469"/>
    </row>
    <row r="470" spans="1:15" x14ac:dyDescent="0.2">
      <c r="A470"/>
      <c r="B470"/>
      <c r="C470"/>
      <c r="F470"/>
      <c r="G470"/>
      <c r="H470"/>
      <c r="I470"/>
      <c r="J470"/>
      <c r="K470"/>
      <c r="L470"/>
      <c r="M470"/>
      <c r="N470"/>
      <c r="O470"/>
    </row>
    <row r="471" spans="1:15" x14ac:dyDescent="0.2">
      <c r="A471"/>
      <c r="B471"/>
      <c r="C471"/>
      <c r="F471"/>
      <c r="G471"/>
      <c r="I471"/>
      <c r="L471"/>
      <c r="M471"/>
      <c r="N471"/>
      <c r="O471"/>
    </row>
    <row r="472" spans="1:15" x14ac:dyDescent="0.2">
      <c r="A472"/>
      <c r="B472"/>
      <c r="C472"/>
      <c r="F472"/>
      <c r="G472"/>
      <c r="L472"/>
      <c r="M472"/>
      <c r="N472"/>
      <c r="O472"/>
    </row>
    <row r="473" spans="1:15" x14ac:dyDescent="0.2">
      <c r="A473"/>
      <c r="B473"/>
      <c r="C473"/>
      <c r="F473"/>
      <c r="G473"/>
      <c r="H473"/>
      <c r="I473"/>
      <c r="L473"/>
      <c r="M473"/>
      <c r="N473"/>
      <c r="O473"/>
    </row>
    <row r="474" spans="1:15" x14ac:dyDescent="0.2">
      <c r="A474"/>
      <c r="B474"/>
      <c r="C474"/>
      <c r="F474"/>
      <c r="G474"/>
      <c r="I474"/>
      <c r="L474"/>
      <c r="M474"/>
      <c r="N474"/>
      <c r="O474"/>
    </row>
    <row r="475" spans="1:15" x14ac:dyDescent="0.2">
      <c r="A475"/>
      <c r="B475"/>
      <c r="C475"/>
      <c r="F475"/>
      <c r="G475"/>
      <c r="H475"/>
      <c r="I475"/>
      <c r="L475"/>
      <c r="M475"/>
      <c r="N475"/>
      <c r="O475"/>
    </row>
    <row r="476" spans="1:15" x14ac:dyDescent="0.2">
      <c r="A476"/>
      <c r="B476"/>
      <c r="C476"/>
      <c r="F476"/>
      <c r="G476"/>
      <c r="H476"/>
      <c r="I476"/>
      <c r="L476"/>
      <c r="M476"/>
      <c r="N476"/>
      <c r="O476"/>
    </row>
    <row r="477" spans="1:15" x14ac:dyDescent="0.2">
      <c r="A477"/>
      <c r="B477"/>
      <c r="C477"/>
      <c r="F477"/>
      <c r="G477"/>
      <c r="H477"/>
      <c r="L477"/>
      <c r="M477"/>
      <c r="N477"/>
      <c r="O477"/>
    </row>
    <row r="478" spans="1:15" x14ac:dyDescent="0.2">
      <c r="A478"/>
      <c r="B478"/>
      <c r="C478"/>
      <c r="F478"/>
      <c r="G478"/>
      <c r="H478"/>
      <c r="I478"/>
      <c r="L478"/>
      <c r="M478"/>
      <c r="N478"/>
      <c r="O478"/>
    </row>
    <row r="479" spans="1:15" x14ac:dyDescent="0.2">
      <c r="A479"/>
      <c r="B479"/>
      <c r="C479"/>
      <c r="F479"/>
      <c r="G479"/>
      <c r="H479"/>
      <c r="J479"/>
      <c r="K479"/>
      <c r="L479"/>
      <c r="M479"/>
      <c r="N479"/>
      <c r="O479"/>
    </row>
    <row r="480" spans="1:15" x14ac:dyDescent="0.2">
      <c r="A480"/>
      <c r="B480"/>
      <c r="C480"/>
      <c r="F480"/>
      <c r="G480"/>
      <c r="H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H484"/>
      <c r="I484"/>
      <c r="L484"/>
      <c r="N484"/>
      <c r="O484"/>
    </row>
    <row r="485" spans="1:15" x14ac:dyDescent="0.2">
      <c r="A485"/>
      <c r="B485"/>
      <c r="C485"/>
      <c r="F485"/>
      <c r="G485"/>
      <c r="J485"/>
      <c r="K485"/>
      <c r="L485"/>
      <c r="M485"/>
      <c r="N485"/>
      <c r="O485"/>
    </row>
    <row r="486" spans="1:15" x14ac:dyDescent="0.2">
      <c r="A486"/>
      <c r="B486"/>
      <c r="C486"/>
      <c r="F486"/>
      <c r="G486"/>
      <c r="I486"/>
      <c r="L486"/>
      <c r="M486"/>
      <c r="N486"/>
      <c r="O486"/>
    </row>
    <row r="487" spans="1:15" x14ac:dyDescent="0.2">
      <c r="A487"/>
      <c r="B487"/>
      <c r="C487"/>
      <c r="F487"/>
      <c r="G487"/>
      <c r="H487"/>
      <c r="I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J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L507"/>
      <c r="M507"/>
      <c r="N507"/>
      <c r="O507"/>
    </row>
    <row r="508" spans="1:15" x14ac:dyDescent="0.2">
      <c r="A508"/>
      <c r="B508"/>
      <c r="C508"/>
      <c r="F508"/>
      <c r="G508"/>
      <c r="H508"/>
      <c r="I508"/>
      <c r="J508"/>
      <c r="K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J517"/>
      <c r="K517"/>
      <c r="L517"/>
      <c r="M517"/>
      <c r="N517"/>
      <c r="O517"/>
    </row>
    <row r="518" spans="1:15" x14ac:dyDescent="0.2">
      <c r="A518"/>
      <c r="B518"/>
      <c r="C518"/>
      <c r="F518"/>
      <c r="G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H522"/>
      <c r="I522"/>
      <c r="L522"/>
      <c r="M522"/>
      <c r="N522"/>
      <c r="O522"/>
    </row>
    <row r="523" spans="1:15" x14ac:dyDescent="0.2">
      <c r="A523"/>
      <c r="B523"/>
      <c r="C523"/>
      <c r="F523"/>
      <c r="G523"/>
      <c r="H523"/>
      <c r="J523"/>
      <c r="K523"/>
      <c r="L523"/>
      <c r="M523"/>
      <c r="N523"/>
      <c r="O523"/>
    </row>
    <row r="524" spans="1:15" x14ac:dyDescent="0.2">
      <c r="A524"/>
      <c r="B524"/>
      <c r="C524"/>
      <c r="F524"/>
      <c r="G524"/>
      <c r="H524"/>
      <c r="I524"/>
      <c r="L524"/>
      <c r="M524"/>
      <c r="N524"/>
      <c r="O524"/>
    </row>
    <row r="525" spans="1:15" x14ac:dyDescent="0.2">
      <c r="A525"/>
      <c r="B525"/>
      <c r="C525"/>
      <c r="F525"/>
      <c r="G525"/>
      <c r="H525"/>
      <c r="J525"/>
      <c r="K525"/>
      <c r="L525"/>
      <c r="M525"/>
      <c r="N525"/>
      <c r="O525"/>
    </row>
    <row r="526" spans="1:15" x14ac:dyDescent="0.2">
      <c r="A526"/>
      <c r="B526"/>
      <c r="C526"/>
      <c r="F526"/>
      <c r="G526"/>
      <c r="H526"/>
      <c r="I526"/>
      <c r="L526"/>
      <c r="M526"/>
      <c r="N526"/>
      <c r="O526"/>
    </row>
    <row r="527" spans="1:15" x14ac:dyDescent="0.2">
      <c r="A527"/>
      <c r="B527"/>
      <c r="C527"/>
      <c r="F527"/>
      <c r="G527"/>
      <c r="I527"/>
      <c r="L527"/>
      <c r="M527"/>
      <c r="N527"/>
      <c r="O527"/>
    </row>
    <row r="528" spans="1:15" x14ac:dyDescent="0.2">
      <c r="A528"/>
      <c r="B528"/>
      <c r="C528"/>
      <c r="F528"/>
      <c r="G528"/>
      <c r="I528"/>
      <c r="L528"/>
      <c r="M528"/>
      <c r="N528"/>
      <c r="O528"/>
    </row>
    <row r="529" spans="1:15" x14ac:dyDescent="0.2">
      <c r="A529"/>
      <c r="B529"/>
      <c r="C529"/>
      <c r="F529"/>
      <c r="G529"/>
      <c r="H529"/>
      <c r="I529"/>
      <c r="L529"/>
      <c r="M529"/>
      <c r="N529"/>
      <c r="O529"/>
    </row>
    <row r="530" spans="1:15" x14ac:dyDescent="0.2">
      <c r="A530"/>
      <c r="B530"/>
      <c r="C530"/>
      <c r="F530"/>
      <c r="G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J536"/>
      <c r="L536"/>
      <c r="M536"/>
      <c r="N536"/>
      <c r="O536"/>
    </row>
    <row r="537" spans="1:15" x14ac:dyDescent="0.2">
      <c r="A537"/>
      <c r="B537"/>
      <c r="C537"/>
      <c r="F537"/>
      <c r="G537"/>
      <c r="H537"/>
      <c r="L537"/>
      <c r="M537"/>
      <c r="N537"/>
      <c r="O537"/>
    </row>
    <row r="538" spans="1:15" x14ac:dyDescent="0.2">
      <c r="A538"/>
      <c r="B538"/>
      <c r="C538"/>
      <c r="F538"/>
      <c r="G538"/>
      <c r="J538"/>
      <c r="K538"/>
      <c r="L538"/>
      <c r="M538"/>
      <c r="N538"/>
      <c r="O538"/>
    </row>
    <row r="539" spans="1:15" x14ac:dyDescent="0.2">
      <c r="A539"/>
      <c r="B539"/>
      <c r="C539"/>
      <c r="F539"/>
      <c r="G539"/>
      <c r="L539"/>
      <c r="M539"/>
      <c r="N539"/>
      <c r="O539"/>
    </row>
    <row r="540" spans="1:15" x14ac:dyDescent="0.2">
      <c r="A540"/>
      <c r="B540"/>
      <c r="C540"/>
      <c r="F540"/>
      <c r="G540"/>
      <c r="H540"/>
      <c r="J540"/>
      <c r="K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H551"/>
      <c r="I551"/>
      <c r="L551"/>
      <c r="M551"/>
      <c r="N551"/>
      <c r="O551"/>
    </row>
    <row r="552" spans="1:15" x14ac:dyDescent="0.2">
      <c r="A552"/>
      <c r="B552"/>
      <c r="C552"/>
      <c r="F552"/>
      <c r="G552"/>
      <c r="L552"/>
      <c r="M552"/>
      <c r="N552"/>
      <c r="O552"/>
    </row>
    <row r="553" spans="1:15" x14ac:dyDescent="0.2">
      <c r="A553"/>
      <c r="B553"/>
      <c r="C553"/>
      <c r="F553"/>
      <c r="G553"/>
      <c r="L553"/>
      <c r="M553"/>
      <c r="N553"/>
      <c r="O553"/>
    </row>
    <row r="554" spans="1:15" x14ac:dyDescent="0.2">
      <c r="A554"/>
      <c r="B554"/>
      <c r="C554"/>
      <c r="F554"/>
      <c r="G554"/>
      <c r="H554"/>
      <c r="I554"/>
      <c r="L554"/>
      <c r="M554"/>
      <c r="N554"/>
      <c r="O554"/>
    </row>
    <row r="555" spans="1:15" x14ac:dyDescent="0.2">
      <c r="A555"/>
      <c r="B555"/>
      <c r="C555"/>
      <c r="F555"/>
      <c r="G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M558"/>
      <c r="N558"/>
      <c r="O558"/>
    </row>
    <row r="559" spans="1:15" x14ac:dyDescent="0.2">
      <c r="A559"/>
      <c r="B559"/>
      <c r="C559"/>
      <c r="F559"/>
      <c r="G559"/>
      <c r="H559"/>
      <c r="I559"/>
      <c r="L559"/>
      <c r="M559"/>
      <c r="N559"/>
      <c r="O559"/>
    </row>
    <row r="560" spans="1:15" x14ac:dyDescent="0.2">
      <c r="A560"/>
      <c r="B560"/>
      <c r="C560"/>
      <c r="F560"/>
      <c r="G560"/>
      <c r="H560"/>
      <c r="L560"/>
      <c r="M560"/>
      <c r="N560"/>
      <c r="O560"/>
    </row>
    <row r="561" spans="1:15" x14ac:dyDescent="0.2">
      <c r="A561"/>
      <c r="B561"/>
      <c r="C561"/>
      <c r="F561"/>
      <c r="G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L566"/>
      <c r="M566"/>
      <c r="N566"/>
      <c r="O566"/>
    </row>
    <row r="567" spans="1:15" x14ac:dyDescent="0.2">
      <c r="A567"/>
      <c r="B567"/>
      <c r="C567"/>
      <c r="F567"/>
      <c r="G567"/>
      <c r="H567"/>
      <c r="I567"/>
      <c r="L567"/>
      <c r="M567"/>
      <c r="N567"/>
      <c r="O567"/>
    </row>
    <row r="568" spans="1:15" x14ac:dyDescent="0.2">
      <c r="A568"/>
      <c r="B568"/>
      <c r="C568"/>
      <c r="F568"/>
      <c r="G568"/>
      <c r="I568"/>
      <c r="L568"/>
      <c r="M568"/>
      <c r="N568"/>
      <c r="O568"/>
    </row>
    <row r="569" spans="1:15" x14ac:dyDescent="0.2">
      <c r="A569"/>
      <c r="B569"/>
      <c r="C569"/>
      <c r="F569"/>
      <c r="G569"/>
      <c r="L569"/>
      <c r="M569"/>
      <c r="N569"/>
      <c r="O569"/>
    </row>
    <row r="570" spans="1:15" x14ac:dyDescent="0.2">
      <c r="A570"/>
      <c r="B570"/>
      <c r="C570"/>
      <c r="F570"/>
      <c r="G570"/>
      <c r="I570"/>
      <c r="L570"/>
      <c r="M570"/>
      <c r="N570"/>
      <c r="O570"/>
    </row>
    <row r="571" spans="1:15" x14ac:dyDescent="0.2">
      <c r="A571"/>
      <c r="B571"/>
      <c r="C571"/>
      <c r="F571"/>
      <c r="G571"/>
      <c r="H571"/>
      <c r="I571"/>
      <c r="L571"/>
      <c r="N571"/>
      <c r="O571"/>
    </row>
    <row r="572" spans="1:15" x14ac:dyDescent="0.2">
      <c r="A572"/>
      <c r="B572"/>
      <c r="C572"/>
      <c r="F572"/>
      <c r="G572"/>
      <c r="H572"/>
      <c r="I572"/>
      <c r="L572"/>
      <c r="N572"/>
      <c r="O572"/>
    </row>
    <row r="573" spans="1:15" x14ac:dyDescent="0.2">
      <c r="A573"/>
      <c r="B573"/>
      <c r="C573"/>
      <c r="F573"/>
      <c r="G573"/>
      <c r="M573"/>
      <c r="N573"/>
      <c r="O573"/>
    </row>
    <row r="574" spans="1:15" x14ac:dyDescent="0.2">
      <c r="A574"/>
      <c r="B574"/>
      <c r="C574"/>
      <c r="F574"/>
      <c r="G574"/>
      <c r="I574"/>
      <c r="L574"/>
      <c r="M574"/>
      <c r="N574"/>
      <c r="O574"/>
    </row>
    <row r="575" spans="1:15" x14ac:dyDescent="0.2">
      <c r="A575"/>
      <c r="B575"/>
      <c r="C575"/>
      <c r="F575"/>
      <c r="G575"/>
      <c r="H575"/>
      <c r="I575"/>
      <c r="L575"/>
      <c r="M575"/>
      <c r="N575"/>
      <c r="O575"/>
    </row>
    <row r="576" spans="1:15" x14ac:dyDescent="0.2">
      <c r="A576"/>
      <c r="B576"/>
      <c r="C576"/>
      <c r="F576"/>
      <c r="G576"/>
      <c r="L576"/>
      <c r="M576"/>
      <c r="N576"/>
      <c r="O576"/>
    </row>
    <row r="577" spans="1:15" x14ac:dyDescent="0.2">
      <c r="A577"/>
      <c r="B577"/>
      <c r="C577"/>
      <c r="F577"/>
      <c r="G577"/>
      <c r="H577"/>
      <c r="I577"/>
      <c r="L577"/>
      <c r="M577"/>
      <c r="N577"/>
      <c r="O577"/>
    </row>
    <row r="578" spans="1:15" x14ac:dyDescent="0.2">
      <c r="A578"/>
      <c r="B578"/>
      <c r="C578"/>
      <c r="F578"/>
      <c r="G578"/>
      <c r="J578"/>
      <c r="K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J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N586"/>
      <c r="O586"/>
    </row>
    <row r="587" spans="1:15" x14ac:dyDescent="0.2">
      <c r="A587"/>
      <c r="B587"/>
      <c r="C587"/>
      <c r="F587"/>
      <c r="G587"/>
      <c r="H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I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H593"/>
      <c r="I593"/>
      <c r="L593"/>
      <c r="M593"/>
      <c r="N593"/>
      <c r="O593"/>
    </row>
    <row r="594" spans="1:15" x14ac:dyDescent="0.2">
      <c r="A594"/>
      <c r="B594"/>
      <c r="C594"/>
      <c r="F594"/>
      <c r="G594"/>
      <c r="H594"/>
      <c r="I594"/>
      <c r="L594"/>
      <c r="M594"/>
      <c r="N594"/>
      <c r="O594"/>
    </row>
    <row r="595" spans="1:15" x14ac:dyDescent="0.2">
      <c r="A595"/>
      <c r="B595"/>
      <c r="C595"/>
      <c r="F595"/>
      <c r="G595"/>
      <c r="H595"/>
      <c r="J595"/>
      <c r="K595"/>
      <c r="L595"/>
      <c r="M595"/>
      <c r="N595"/>
      <c r="O595"/>
    </row>
    <row r="596" spans="1:15" x14ac:dyDescent="0.2">
      <c r="A596"/>
      <c r="B596"/>
      <c r="C596"/>
      <c r="F596"/>
      <c r="G596"/>
      <c r="H596"/>
      <c r="J596"/>
      <c r="K596"/>
      <c r="L596"/>
      <c r="M596"/>
      <c r="N596"/>
      <c r="O596"/>
    </row>
    <row r="597" spans="1:15" x14ac:dyDescent="0.2">
      <c r="A597"/>
      <c r="B597"/>
      <c r="C597"/>
      <c r="F597"/>
      <c r="G597"/>
      <c r="L597"/>
      <c r="M597"/>
      <c r="N597"/>
      <c r="O597"/>
    </row>
    <row r="598" spans="1:15" x14ac:dyDescent="0.2">
      <c r="A598"/>
      <c r="B598"/>
      <c r="C598"/>
      <c r="F598"/>
      <c r="G598"/>
      <c r="J598"/>
      <c r="K598"/>
      <c r="L598"/>
      <c r="M598"/>
      <c r="N598"/>
      <c r="O598"/>
    </row>
    <row r="599" spans="1:15" x14ac:dyDescent="0.2">
      <c r="A599"/>
      <c r="B599"/>
      <c r="C599"/>
      <c r="F599"/>
      <c r="G599"/>
      <c r="H599"/>
      <c r="I599"/>
      <c r="L599"/>
      <c r="M599"/>
      <c r="N599"/>
      <c r="O599"/>
    </row>
    <row r="600" spans="1:15" x14ac:dyDescent="0.2">
      <c r="A600"/>
      <c r="B600"/>
      <c r="C600"/>
      <c r="F600"/>
      <c r="G600"/>
      <c r="I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J603"/>
      <c r="K603"/>
      <c r="L603"/>
      <c r="M603"/>
      <c r="N603"/>
      <c r="O603"/>
    </row>
    <row r="604" spans="1:15" x14ac:dyDescent="0.2">
      <c r="A604"/>
      <c r="B604"/>
      <c r="C604"/>
      <c r="F604"/>
      <c r="G604"/>
      <c r="M604"/>
      <c r="N604"/>
      <c r="O604"/>
    </row>
    <row r="605" spans="1:15" x14ac:dyDescent="0.2">
      <c r="A605"/>
      <c r="B605"/>
      <c r="C605"/>
      <c r="F605"/>
      <c r="G605"/>
      <c r="L605"/>
      <c r="M605"/>
      <c r="N605"/>
      <c r="O605"/>
    </row>
    <row r="606" spans="1:15" x14ac:dyDescent="0.2">
      <c r="A606"/>
      <c r="B606"/>
      <c r="C606"/>
      <c r="F606"/>
      <c r="G606"/>
      <c r="H606"/>
      <c r="I606"/>
      <c r="L606"/>
      <c r="N606"/>
      <c r="O606"/>
    </row>
    <row r="607" spans="1:15" x14ac:dyDescent="0.2">
      <c r="A607"/>
      <c r="B607"/>
      <c r="C607"/>
      <c r="F607"/>
      <c r="G607"/>
      <c r="H607"/>
      <c r="I607"/>
      <c r="L607"/>
      <c r="M607"/>
      <c r="N607"/>
      <c r="O607"/>
    </row>
    <row r="608" spans="1:15" x14ac:dyDescent="0.2">
      <c r="A608"/>
      <c r="B608"/>
      <c r="C608"/>
      <c r="F608"/>
      <c r="G608"/>
      <c r="L608"/>
      <c r="M608"/>
      <c r="N608"/>
      <c r="O608"/>
    </row>
    <row r="609" spans="1:15" x14ac:dyDescent="0.2">
      <c r="A609"/>
      <c r="B609"/>
      <c r="C609"/>
      <c r="F609"/>
      <c r="G609"/>
      <c r="H609"/>
      <c r="I609"/>
      <c r="L609"/>
      <c r="M609"/>
      <c r="N609"/>
      <c r="O609"/>
    </row>
    <row r="610" spans="1:15" x14ac:dyDescent="0.2">
      <c r="A610"/>
      <c r="B610"/>
      <c r="C610"/>
      <c r="F610"/>
      <c r="G610"/>
      <c r="I610"/>
      <c r="L610"/>
      <c r="M610"/>
      <c r="N610"/>
      <c r="O610"/>
    </row>
    <row r="611" spans="1:15" x14ac:dyDescent="0.2">
      <c r="A611"/>
      <c r="B611"/>
      <c r="C611"/>
      <c r="F611"/>
      <c r="G611"/>
      <c r="I611"/>
      <c r="L611"/>
      <c r="M611"/>
      <c r="N611"/>
      <c r="O611"/>
    </row>
    <row r="612" spans="1:15" x14ac:dyDescent="0.2">
      <c r="A612"/>
      <c r="B612"/>
      <c r="C612"/>
      <c r="F612"/>
      <c r="G612"/>
      <c r="H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M619"/>
      <c r="N619"/>
      <c r="O619"/>
    </row>
    <row r="620" spans="1:15" x14ac:dyDescent="0.2">
      <c r="A620"/>
      <c r="B620"/>
      <c r="C620"/>
      <c r="F620"/>
      <c r="G620"/>
      <c r="I620"/>
      <c r="L620"/>
      <c r="M620"/>
      <c r="N620"/>
      <c r="O620"/>
    </row>
    <row r="621" spans="1:15" x14ac:dyDescent="0.2">
      <c r="A621"/>
      <c r="B621"/>
      <c r="C621"/>
      <c r="F621"/>
      <c r="G621"/>
      <c r="H621"/>
      <c r="I621"/>
      <c r="L621"/>
      <c r="M621"/>
      <c r="N621"/>
      <c r="O621"/>
    </row>
    <row r="622" spans="1:15" x14ac:dyDescent="0.2">
      <c r="A622"/>
      <c r="B622"/>
      <c r="C622"/>
      <c r="F622"/>
      <c r="G622"/>
      <c r="I622"/>
      <c r="L622"/>
      <c r="M622"/>
      <c r="N622"/>
      <c r="O622"/>
    </row>
    <row r="623" spans="1:15" x14ac:dyDescent="0.2">
      <c r="A623"/>
      <c r="B623"/>
      <c r="C623"/>
      <c r="F623"/>
      <c r="G623"/>
      <c r="H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L626"/>
      <c r="M626"/>
      <c r="N626"/>
      <c r="O626"/>
    </row>
    <row r="627" spans="1:15" x14ac:dyDescent="0.2">
      <c r="A627"/>
      <c r="B627"/>
      <c r="C627"/>
      <c r="F627"/>
      <c r="G627"/>
      <c r="I627"/>
      <c r="L627"/>
      <c r="M627"/>
      <c r="N627"/>
      <c r="O627"/>
    </row>
    <row r="628" spans="1:15" x14ac:dyDescent="0.2">
      <c r="A628"/>
      <c r="B628"/>
      <c r="C628"/>
      <c r="F628"/>
      <c r="G628"/>
      <c r="H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H631"/>
      <c r="J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L636"/>
      <c r="M636"/>
      <c r="N636"/>
      <c r="O636"/>
    </row>
    <row r="637" spans="1:15" x14ac:dyDescent="0.2">
      <c r="A637"/>
      <c r="B637"/>
      <c r="C637"/>
      <c r="F637"/>
      <c r="G637"/>
      <c r="J637"/>
      <c r="K637"/>
      <c r="L637"/>
      <c r="M637"/>
      <c r="N637"/>
      <c r="O637"/>
    </row>
    <row r="638" spans="1:15" x14ac:dyDescent="0.2">
      <c r="A638"/>
      <c r="B638"/>
      <c r="C638"/>
      <c r="F638"/>
      <c r="G638"/>
      <c r="L638"/>
      <c r="M638"/>
      <c r="N638"/>
      <c r="O638"/>
    </row>
    <row r="639" spans="1:15" x14ac:dyDescent="0.2">
      <c r="A639"/>
      <c r="B639"/>
      <c r="C639"/>
      <c r="F639"/>
      <c r="G639"/>
      <c r="H639"/>
      <c r="I639"/>
      <c r="L639"/>
      <c r="M639"/>
      <c r="N639"/>
      <c r="O639"/>
    </row>
    <row r="640" spans="1:15" x14ac:dyDescent="0.2">
      <c r="A640"/>
      <c r="B640"/>
      <c r="C640"/>
      <c r="F640"/>
      <c r="G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L643"/>
      <c r="M643"/>
      <c r="N643"/>
      <c r="O643"/>
    </row>
    <row r="644" spans="1:15" x14ac:dyDescent="0.2">
      <c r="A644"/>
      <c r="B644"/>
      <c r="C644"/>
      <c r="F644"/>
      <c r="G644"/>
      <c r="H644"/>
      <c r="I644"/>
      <c r="L644"/>
      <c r="M644"/>
      <c r="N644"/>
      <c r="O644"/>
    </row>
    <row r="645" spans="1:15" x14ac:dyDescent="0.2">
      <c r="A645"/>
      <c r="B645"/>
      <c r="C645"/>
      <c r="F645"/>
      <c r="G645"/>
      <c r="H645"/>
      <c r="I645"/>
      <c r="L645"/>
      <c r="M645"/>
      <c r="N645"/>
      <c r="O645"/>
    </row>
    <row r="646" spans="1:15" x14ac:dyDescent="0.2">
      <c r="A646"/>
      <c r="B646"/>
      <c r="C646"/>
      <c r="F646"/>
      <c r="G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H649"/>
      <c r="J649"/>
      <c r="K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H655"/>
      <c r="I655"/>
      <c r="L655"/>
      <c r="N655"/>
      <c r="O655"/>
    </row>
    <row r="656" spans="1:15" x14ac:dyDescent="0.2">
      <c r="A656"/>
      <c r="B656"/>
      <c r="C656"/>
      <c r="F656"/>
      <c r="G656"/>
      <c r="H656"/>
      <c r="I656"/>
      <c r="L656"/>
      <c r="N656"/>
      <c r="O656"/>
    </row>
    <row r="657" spans="1:15" x14ac:dyDescent="0.2">
      <c r="A657"/>
      <c r="B657"/>
      <c r="C657"/>
      <c r="F657"/>
      <c r="G657"/>
      <c r="H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N670"/>
      <c r="O670"/>
    </row>
    <row r="671" spans="1:15" x14ac:dyDescent="0.2">
      <c r="A671"/>
      <c r="B671"/>
      <c r="C671"/>
      <c r="F671"/>
      <c r="G671"/>
      <c r="H671"/>
      <c r="I671"/>
      <c r="L671"/>
      <c r="M671"/>
      <c r="N671"/>
      <c r="O671"/>
    </row>
    <row r="672" spans="1:15" x14ac:dyDescent="0.2">
      <c r="A672"/>
      <c r="B672"/>
      <c r="C672"/>
      <c r="F672"/>
      <c r="G672"/>
      <c r="J672"/>
      <c r="K672"/>
      <c r="L672"/>
      <c r="M672"/>
      <c r="N672"/>
      <c r="O672"/>
    </row>
    <row r="673" spans="1:15" x14ac:dyDescent="0.2">
      <c r="A673"/>
      <c r="B673"/>
      <c r="C673"/>
      <c r="F673"/>
      <c r="G673"/>
      <c r="H673"/>
      <c r="I673"/>
      <c r="L673"/>
      <c r="M673"/>
      <c r="N673"/>
      <c r="O673"/>
    </row>
    <row r="674" spans="1:15" x14ac:dyDescent="0.2">
      <c r="A674"/>
      <c r="B674"/>
      <c r="C674"/>
      <c r="F674"/>
      <c r="G674"/>
      <c r="H674"/>
      <c r="I674"/>
      <c r="L674"/>
      <c r="M674"/>
      <c r="N674"/>
      <c r="O674"/>
    </row>
    <row r="675" spans="1:15" x14ac:dyDescent="0.2">
      <c r="A675"/>
      <c r="B675"/>
      <c r="C675"/>
      <c r="F675"/>
      <c r="G675"/>
      <c r="I675"/>
      <c r="L675"/>
      <c r="M675"/>
      <c r="N675"/>
      <c r="O675"/>
    </row>
    <row r="676" spans="1:15" x14ac:dyDescent="0.2">
      <c r="A676"/>
      <c r="B676"/>
      <c r="C676"/>
      <c r="F676"/>
      <c r="G676"/>
      <c r="H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L681"/>
      <c r="M681"/>
      <c r="N681"/>
      <c r="O681"/>
    </row>
    <row r="682" spans="1:15" x14ac:dyDescent="0.2">
      <c r="A682"/>
      <c r="B682"/>
      <c r="C682"/>
      <c r="F682"/>
      <c r="G682"/>
      <c r="I682"/>
      <c r="L682"/>
      <c r="M682"/>
      <c r="N682"/>
      <c r="O682"/>
    </row>
    <row r="683" spans="1:15" x14ac:dyDescent="0.2">
      <c r="A683"/>
      <c r="B683"/>
      <c r="C683"/>
      <c r="F683"/>
      <c r="G683"/>
      <c r="H683"/>
      <c r="I683"/>
      <c r="L683"/>
      <c r="M683"/>
      <c r="N683"/>
      <c r="O683"/>
    </row>
    <row r="684" spans="1:15" x14ac:dyDescent="0.2">
      <c r="A684"/>
      <c r="B684"/>
      <c r="C684"/>
      <c r="F684"/>
      <c r="G684"/>
      <c r="H684"/>
      <c r="I684"/>
      <c r="L684"/>
      <c r="N684"/>
      <c r="O684"/>
    </row>
    <row r="685" spans="1:15" x14ac:dyDescent="0.2">
      <c r="A685"/>
      <c r="B685"/>
      <c r="C685"/>
      <c r="F685"/>
      <c r="G685"/>
      <c r="H685"/>
      <c r="I685"/>
      <c r="L685"/>
      <c r="M685"/>
      <c r="N685"/>
      <c r="O685"/>
    </row>
    <row r="686" spans="1:15" x14ac:dyDescent="0.2">
      <c r="A686"/>
      <c r="B686"/>
      <c r="C686"/>
      <c r="F686"/>
      <c r="G686"/>
      <c r="H686"/>
      <c r="J686"/>
      <c r="L686"/>
      <c r="M686"/>
      <c r="N686"/>
      <c r="O686"/>
    </row>
    <row r="687" spans="1:15" x14ac:dyDescent="0.2">
      <c r="A687"/>
      <c r="B687"/>
      <c r="C687"/>
      <c r="F687"/>
      <c r="G687"/>
      <c r="H687"/>
      <c r="I687"/>
      <c r="L687"/>
      <c r="M687"/>
      <c r="N687"/>
      <c r="O687"/>
    </row>
    <row r="688" spans="1:15" x14ac:dyDescent="0.2">
      <c r="A688"/>
      <c r="B688"/>
      <c r="C688"/>
      <c r="F688"/>
      <c r="G688"/>
      <c r="I688"/>
      <c r="L688"/>
      <c r="M688"/>
      <c r="N688"/>
      <c r="O688"/>
    </row>
    <row r="689" spans="1:15" x14ac:dyDescent="0.2">
      <c r="A689"/>
      <c r="B689"/>
      <c r="C689"/>
      <c r="F689"/>
      <c r="G689"/>
      <c r="M689"/>
      <c r="N689"/>
      <c r="O689"/>
    </row>
    <row r="690" spans="1:15" x14ac:dyDescent="0.2">
      <c r="A690"/>
      <c r="B690"/>
      <c r="C690"/>
      <c r="F690"/>
      <c r="G690"/>
      <c r="H690"/>
      <c r="M690"/>
      <c r="N690"/>
      <c r="O690"/>
    </row>
    <row r="691" spans="1:15" x14ac:dyDescent="0.2">
      <c r="A691"/>
      <c r="B691"/>
      <c r="C691"/>
      <c r="F691"/>
      <c r="G691"/>
      <c r="L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H695"/>
      <c r="I695"/>
      <c r="L695"/>
      <c r="M695"/>
      <c r="N695"/>
      <c r="O695"/>
    </row>
    <row r="696" spans="1:15" x14ac:dyDescent="0.2">
      <c r="A696"/>
      <c r="B696"/>
      <c r="C696"/>
      <c r="F696"/>
      <c r="G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M701"/>
      <c r="N701"/>
      <c r="O701"/>
    </row>
    <row r="702" spans="1:15" x14ac:dyDescent="0.2">
      <c r="A702"/>
      <c r="B702"/>
      <c r="C702"/>
      <c r="F702"/>
      <c r="G702"/>
      <c r="L702"/>
      <c r="M702"/>
      <c r="N702"/>
      <c r="O702"/>
    </row>
    <row r="703" spans="1:15" x14ac:dyDescent="0.2">
      <c r="A703"/>
      <c r="B703"/>
      <c r="C703"/>
      <c r="F703"/>
      <c r="G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N708"/>
      <c r="O708"/>
    </row>
    <row r="709" spans="1:15" x14ac:dyDescent="0.2">
      <c r="A709"/>
      <c r="B709"/>
      <c r="C709"/>
      <c r="F709"/>
      <c r="G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L715"/>
      <c r="M715"/>
      <c r="N715"/>
      <c r="O715"/>
    </row>
    <row r="716" spans="1:15" x14ac:dyDescent="0.2">
      <c r="A716"/>
      <c r="B716"/>
      <c r="C716"/>
      <c r="F716"/>
      <c r="G716"/>
      <c r="I716"/>
      <c r="L716"/>
      <c r="M716"/>
      <c r="N716"/>
      <c r="O716"/>
    </row>
    <row r="717" spans="1:15" x14ac:dyDescent="0.2">
      <c r="A717"/>
      <c r="B717"/>
      <c r="C717"/>
      <c r="F717"/>
      <c r="G717"/>
      <c r="L717"/>
      <c r="M717"/>
      <c r="N717"/>
      <c r="O717"/>
    </row>
    <row r="718" spans="1:15" x14ac:dyDescent="0.2">
      <c r="A718"/>
      <c r="B718"/>
      <c r="C718"/>
      <c r="F718"/>
      <c r="G718"/>
      <c r="H718"/>
      <c r="J718"/>
      <c r="K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I721"/>
      <c r="L721"/>
      <c r="M721"/>
      <c r="N721"/>
      <c r="O721"/>
    </row>
    <row r="722" spans="1:15" x14ac:dyDescent="0.2">
      <c r="A722"/>
      <c r="B722"/>
      <c r="C722"/>
      <c r="F722"/>
      <c r="G722"/>
      <c r="I722"/>
      <c r="L722"/>
      <c r="M722"/>
      <c r="N722"/>
      <c r="O722"/>
    </row>
    <row r="723" spans="1:15" x14ac:dyDescent="0.2">
      <c r="A723"/>
      <c r="B723"/>
      <c r="C723"/>
      <c r="F723"/>
      <c r="G723"/>
      <c r="J723"/>
      <c r="K723"/>
      <c r="L723"/>
      <c r="M723"/>
      <c r="N723"/>
      <c r="O723"/>
    </row>
    <row r="724" spans="1:15" x14ac:dyDescent="0.2">
      <c r="A724"/>
      <c r="B724"/>
      <c r="C724"/>
      <c r="F724"/>
      <c r="G724"/>
      <c r="H724"/>
      <c r="I724"/>
      <c r="J724"/>
      <c r="K724"/>
      <c r="L724"/>
      <c r="M724"/>
      <c r="N724"/>
      <c r="O724"/>
    </row>
    <row r="725" spans="1:15" x14ac:dyDescent="0.2">
      <c r="A725"/>
      <c r="B725"/>
      <c r="C725"/>
      <c r="F725"/>
      <c r="G725"/>
      <c r="H725"/>
      <c r="I725"/>
      <c r="L725"/>
      <c r="M725"/>
      <c r="N725"/>
      <c r="O725"/>
    </row>
    <row r="726" spans="1:15" x14ac:dyDescent="0.2">
      <c r="A726"/>
      <c r="B726"/>
      <c r="C726"/>
      <c r="F726"/>
      <c r="G726"/>
      <c r="H726"/>
      <c r="I726"/>
      <c r="J726"/>
      <c r="K726"/>
      <c r="L726"/>
      <c r="M726"/>
      <c r="N726"/>
      <c r="O726"/>
    </row>
    <row r="727" spans="1:15" x14ac:dyDescent="0.2">
      <c r="A727"/>
      <c r="B727"/>
      <c r="C727"/>
      <c r="F727"/>
      <c r="G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I739"/>
      <c r="L739"/>
      <c r="M739"/>
      <c r="N739"/>
      <c r="O739"/>
    </row>
    <row r="740" spans="1:15" x14ac:dyDescent="0.2">
      <c r="A740"/>
      <c r="B740"/>
      <c r="C740"/>
      <c r="F740"/>
      <c r="G740"/>
      <c r="H740"/>
      <c r="L740"/>
      <c r="M740"/>
      <c r="N740"/>
      <c r="O740"/>
    </row>
    <row r="741" spans="1:15" x14ac:dyDescent="0.2">
      <c r="A741"/>
      <c r="B741"/>
      <c r="C741"/>
      <c r="F741"/>
      <c r="G741"/>
      <c r="H741"/>
      <c r="J741"/>
      <c r="K741"/>
      <c r="L741"/>
      <c r="M741"/>
      <c r="N741"/>
      <c r="O741"/>
    </row>
    <row r="742" spans="1:15" x14ac:dyDescent="0.2">
      <c r="A742"/>
      <c r="B742"/>
      <c r="C742"/>
      <c r="F742"/>
      <c r="G742"/>
      <c r="H742"/>
      <c r="I742"/>
      <c r="L742"/>
      <c r="M742"/>
      <c r="N742"/>
      <c r="O742"/>
    </row>
    <row r="743" spans="1:15" x14ac:dyDescent="0.2">
      <c r="A743"/>
      <c r="B743"/>
      <c r="C743"/>
      <c r="F743"/>
      <c r="G743"/>
      <c r="J743"/>
      <c r="K743"/>
      <c r="L743"/>
      <c r="M743"/>
      <c r="N743"/>
      <c r="O743"/>
    </row>
    <row r="744" spans="1:15" x14ac:dyDescent="0.2">
      <c r="A744"/>
      <c r="B744"/>
      <c r="C744"/>
      <c r="F744"/>
      <c r="G744"/>
      <c r="H744"/>
      <c r="I744"/>
      <c r="L744"/>
      <c r="M744"/>
      <c r="N744"/>
      <c r="O744"/>
    </row>
    <row r="745" spans="1:15" x14ac:dyDescent="0.2">
      <c r="A745"/>
      <c r="B745"/>
      <c r="C745"/>
      <c r="F745"/>
      <c r="G745"/>
      <c r="H745"/>
      <c r="I745"/>
      <c r="L745"/>
      <c r="M745"/>
      <c r="N745"/>
      <c r="O745"/>
    </row>
    <row r="746" spans="1:15" x14ac:dyDescent="0.2">
      <c r="A746"/>
      <c r="B746"/>
      <c r="C746"/>
      <c r="F746"/>
      <c r="G746"/>
      <c r="H746"/>
      <c r="I746"/>
      <c r="K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J749"/>
      <c r="L749"/>
      <c r="M749"/>
      <c r="N749"/>
      <c r="O749"/>
    </row>
    <row r="750" spans="1:15" x14ac:dyDescent="0.2">
      <c r="A750"/>
      <c r="B750"/>
      <c r="C750"/>
      <c r="F750"/>
      <c r="G750"/>
      <c r="H750"/>
      <c r="L750"/>
      <c r="M750"/>
      <c r="N750"/>
      <c r="O750"/>
    </row>
    <row r="751" spans="1:15" x14ac:dyDescent="0.2">
      <c r="A751"/>
      <c r="B751"/>
      <c r="C751"/>
      <c r="F751"/>
      <c r="G751"/>
      <c r="H751"/>
      <c r="I751"/>
      <c r="L751"/>
      <c r="M751"/>
      <c r="N751"/>
      <c r="O751"/>
    </row>
    <row r="752" spans="1:15" x14ac:dyDescent="0.2">
      <c r="A752"/>
      <c r="B752"/>
      <c r="C752"/>
      <c r="F752"/>
      <c r="G752"/>
      <c r="L752"/>
      <c r="M752"/>
      <c r="N752"/>
      <c r="O752"/>
    </row>
    <row r="753" spans="1:15" x14ac:dyDescent="0.2">
      <c r="A753"/>
      <c r="B753"/>
      <c r="C753"/>
      <c r="F753"/>
      <c r="G753"/>
      <c r="J753"/>
      <c r="K753"/>
      <c r="L753"/>
      <c r="M753"/>
      <c r="N753"/>
      <c r="O753"/>
    </row>
    <row r="754" spans="1:15" x14ac:dyDescent="0.2">
      <c r="A754"/>
      <c r="B754"/>
      <c r="C754"/>
      <c r="F754"/>
      <c r="G754"/>
      <c r="H754"/>
      <c r="I754"/>
      <c r="L754"/>
      <c r="M754"/>
      <c r="N754"/>
      <c r="O754"/>
    </row>
    <row r="755" spans="1:15" x14ac:dyDescent="0.2">
      <c r="A755"/>
      <c r="B755"/>
      <c r="C755"/>
      <c r="F755"/>
      <c r="G755"/>
      <c r="M755"/>
      <c r="N755"/>
      <c r="O755"/>
    </row>
    <row r="756" spans="1:15" x14ac:dyDescent="0.2">
      <c r="A756"/>
      <c r="B756"/>
      <c r="C756"/>
      <c r="F756"/>
      <c r="G756"/>
      <c r="H756"/>
      <c r="I756"/>
      <c r="L756"/>
      <c r="M756"/>
      <c r="N756"/>
      <c r="O756"/>
    </row>
    <row r="757" spans="1:15" x14ac:dyDescent="0.2">
      <c r="A757"/>
      <c r="B757"/>
      <c r="C757"/>
      <c r="F757"/>
      <c r="G757"/>
      <c r="I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H760"/>
      <c r="I760"/>
      <c r="L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L763"/>
      <c r="M763"/>
      <c r="N763"/>
      <c r="O763"/>
    </row>
    <row r="764" spans="1:15" x14ac:dyDescent="0.2">
      <c r="A764"/>
      <c r="B764"/>
      <c r="C764"/>
      <c r="F764"/>
      <c r="G764"/>
      <c r="H764"/>
      <c r="I764"/>
      <c r="L764"/>
      <c r="M764"/>
      <c r="N764"/>
      <c r="O764"/>
    </row>
    <row r="765" spans="1:15" x14ac:dyDescent="0.2">
      <c r="A765"/>
      <c r="B765"/>
      <c r="C765"/>
      <c r="F765"/>
      <c r="G765"/>
      <c r="H765"/>
      <c r="J765"/>
      <c r="K765"/>
      <c r="L765"/>
      <c r="M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J775"/>
      <c r="K775"/>
      <c r="L775"/>
      <c r="M775"/>
      <c r="N775"/>
      <c r="O775"/>
    </row>
    <row r="776" spans="1:15" x14ac:dyDescent="0.2">
      <c r="A776"/>
      <c r="B776"/>
      <c r="C776"/>
      <c r="F776"/>
      <c r="G776"/>
      <c r="H776"/>
      <c r="L776"/>
      <c r="M776"/>
      <c r="N776"/>
      <c r="O776"/>
    </row>
    <row r="777" spans="1:15" x14ac:dyDescent="0.2">
      <c r="A777"/>
      <c r="B777"/>
      <c r="C777"/>
      <c r="F777"/>
      <c r="G777"/>
      <c r="H777"/>
      <c r="I777"/>
      <c r="L777"/>
      <c r="M777"/>
      <c r="N777"/>
      <c r="O777"/>
    </row>
    <row r="778" spans="1:15" x14ac:dyDescent="0.2">
      <c r="A778"/>
      <c r="B778"/>
      <c r="C778"/>
      <c r="F778"/>
      <c r="G778"/>
      <c r="I778"/>
      <c r="L778"/>
      <c r="M778"/>
      <c r="N778"/>
      <c r="O778"/>
    </row>
    <row r="779" spans="1:15" x14ac:dyDescent="0.2">
      <c r="A779"/>
      <c r="B779"/>
      <c r="C779"/>
      <c r="F779"/>
      <c r="G779"/>
      <c r="H779"/>
      <c r="J779"/>
      <c r="K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M784"/>
      <c r="N784"/>
      <c r="O784"/>
    </row>
    <row r="785" spans="1:15" x14ac:dyDescent="0.2">
      <c r="A785"/>
      <c r="B785"/>
      <c r="C785"/>
      <c r="F785"/>
      <c r="G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L789"/>
      <c r="M789"/>
      <c r="N789"/>
      <c r="O789"/>
    </row>
    <row r="790" spans="1:15" x14ac:dyDescent="0.2">
      <c r="A790"/>
      <c r="B790"/>
      <c r="C790"/>
      <c r="F790"/>
      <c r="G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L793"/>
      <c r="M793"/>
      <c r="N793"/>
      <c r="O793"/>
    </row>
    <row r="794" spans="1:15" x14ac:dyDescent="0.2">
      <c r="A794"/>
      <c r="B794"/>
      <c r="C794"/>
      <c r="F794"/>
      <c r="G794"/>
      <c r="M794"/>
      <c r="N794"/>
      <c r="O794"/>
    </row>
    <row r="795" spans="1:15" x14ac:dyDescent="0.2">
      <c r="A795"/>
      <c r="B795"/>
      <c r="C795"/>
      <c r="F795"/>
      <c r="G795"/>
      <c r="H795"/>
      <c r="I795"/>
      <c r="L795"/>
      <c r="N795"/>
      <c r="O795"/>
    </row>
    <row r="796" spans="1:15" x14ac:dyDescent="0.2">
      <c r="A796"/>
      <c r="B796"/>
      <c r="C796"/>
      <c r="F796"/>
      <c r="G796"/>
      <c r="H796"/>
      <c r="J796"/>
      <c r="K796"/>
      <c r="L796"/>
      <c r="M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J799"/>
      <c r="K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H802"/>
      <c r="J802"/>
      <c r="K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I806"/>
      <c r="L806"/>
      <c r="M806"/>
      <c r="N806"/>
      <c r="O806"/>
    </row>
    <row r="807" spans="1:15" x14ac:dyDescent="0.2">
      <c r="A807"/>
      <c r="B807"/>
      <c r="C807"/>
      <c r="F807"/>
      <c r="G807"/>
      <c r="H807"/>
      <c r="I807"/>
      <c r="L807"/>
      <c r="M807"/>
      <c r="N807"/>
      <c r="O807"/>
    </row>
    <row r="808" spans="1:15" x14ac:dyDescent="0.2">
      <c r="A808"/>
      <c r="B808"/>
      <c r="C808"/>
      <c r="F808"/>
      <c r="G808"/>
      <c r="H808"/>
      <c r="I808"/>
      <c r="L808"/>
      <c r="N808"/>
      <c r="O808"/>
    </row>
    <row r="809" spans="1:15" x14ac:dyDescent="0.2">
      <c r="A809"/>
      <c r="B809"/>
      <c r="C809"/>
      <c r="F809"/>
      <c r="G809"/>
      <c r="H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L812"/>
      <c r="M812"/>
      <c r="N812"/>
      <c r="O812"/>
    </row>
    <row r="813" spans="1:15" x14ac:dyDescent="0.2">
      <c r="A813"/>
      <c r="B813"/>
      <c r="C813"/>
      <c r="F813"/>
      <c r="G813"/>
      <c r="H813"/>
      <c r="I813"/>
      <c r="J813"/>
      <c r="K813"/>
      <c r="L813"/>
      <c r="M813"/>
      <c r="N813"/>
      <c r="O813"/>
    </row>
    <row r="814" spans="1:15" x14ac:dyDescent="0.2">
      <c r="A814"/>
      <c r="B814"/>
      <c r="C814"/>
      <c r="F814"/>
      <c r="G814"/>
      <c r="J814"/>
      <c r="M814"/>
      <c r="N814"/>
      <c r="O814"/>
    </row>
    <row r="815" spans="1:15" x14ac:dyDescent="0.2">
      <c r="A815"/>
      <c r="B815"/>
      <c r="C815"/>
      <c r="F815"/>
      <c r="G815"/>
      <c r="I815"/>
      <c r="L815"/>
      <c r="M815"/>
      <c r="N815"/>
      <c r="O815"/>
    </row>
    <row r="816" spans="1:15" x14ac:dyDescent="0.2">
      <c r="A816"/>
      <c r="B816"/>
      <c r="C816"/>
      <c r="F816"/>
      <c r="G816"/>
      <c r="H816"/>
      <c r="J816"/>
      <c r="K816"/>
      <c r="L816"/>
      <c r="M816"/>
      <c r="N816"/>
      <c r="O816"/>
    </row>
    <row r="817" spans="1:15" x14ac:dyDescent="0.2">
      <c r="A817"/>
      <c r="B817"/>
      <c r="C817"/>
      <c r="F817"/>
      <c r="G817"/>
      <c r="L817"/>
      <c r="M817"/>
      <c r="N817"/>
      <c r="O817"/>
    </row>
    <row r="818" spans="1:15" x14ac:dyDescent="0.2">
      <c r="A818"/>
      <c r="B818"/>
      <c r="C818"/>
      <c r="F818"/>
      <c r="G818"/>
      <c r="L818"/>
      <c r="M818"/>
      <c r="N818"/>
      <c r="O818"/>
    </row>
    <row r="819" spans="1:15" x14ac:dyDescent="0.2">
      <c r="A819"/>
      <c r="B819"/>
      <c r="C819"/>
      <c r="F819"/>
      <c r="G819"/>
      <c r="J819"/>
      <c r="K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H826"/>
      <c r="J826"/>
      <c r="K826"/>
      <c r="L826"/>
      <c r="M826"/>
      <c r="N826"/>
      <c r="O826"/>
    </row>
    <row r="827" spans="1:15" x14ac:dyDescent="0.2">
      <c r="A827"/>
      <c r="B827"/>
      <c r="C827"/>
      <c r="F827"/>
      <c r="G827"/>
      <c r="H827"/>
      <c r="I827"/>
      <c r="L827"/>
      <c r="M827"/>
      <c r="N827"/>
      <c r="O827"/>
    </row>
    <row r="828" spans="1:15" x14ac:dyDescent="0.2">
      <c r="A828"/>
      <c r="B828"/>
      <c r="C828"/>
      <c r="F828"/>
      <c r="G828"/>
      <c r="I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H832"/>
      <c r="I832"/>
      <c r="L832"/>
      <c r="M832"/>
      <c r="N832"/>
      <c r="O832"/>
    </row>
    <row r="833" spans="1:15" x14ac:dyDescent="0.2">
      <c r="A833"/>
      <c r="B833"/>
      <c r="C833"/>
      <c r="F833"/>
      <c r="G833"/>
      <c r="J833"/>
      <c r="K833"/>
      <c r="L833"/>
      <c r="M833"/>
      <c r="N833"/>
      <c r="O833"/>
    </row>
    <row r="834" spans="1:15" x14ac:dyDescent="0.2">
      <c r="A834"/>
      <c r="B834"/>
      <c r="C834"/>
      <c r="F834"/>
      <c r="G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H837"/>
      <c r="L837"/>
      <c r="M837"/>
      <c r="N837"/>
      <c r="O837"/>
    </row>
    <row r="838" spans="1:15" x14ac:dyDescent="0.2">
      <c r="A838"/>
      <c r="B838"/>
      <c r="C838"/>
      <c r="F838"/>
      <c r="G838"/>
      <c r="H838"/>
      <c r="I838"/>
      <c r="L838"/>
      <c r="M838"/>
      <c r="N838"/>
      <c r="O838"/>
    </row>
    <row r="839" spans="1:15" x14ac:dyDescent="0.2">
      <c r="A839"/>
      <c r="B839"/>
      <c r="C839"/>
      <c r="F839"/>
      <c r="G839"/>
      <c r="H839"/>
      <c r="I839"/>
      <c r="L839"/>
      <c r="M839"/>
      <c r="N839"/>
      <c r="O839"/>
    </row>
    <row r="840" spans="1:15" x14ac:dyDescent="0.2">
      <c r="A840"/>
      <c r="B840"/>
      <c r="C840"/>
      <c r="F840"/>
      <c r="G840"/>
      <c r="L840"/>
      <c r="M840"/>
      <c r="N840"/>
      <c r="O840"/>
    </row>
    <row r="841" spans="1:15" x14ac:dyDescent="0.2">
      <c r="A841"/>
      <c r="B841"/>
      <c r="C841"/>
      <c r="F841"/>
      <c r="G841"/>
      <c r="I841"/>
      <c r="L841"/>
      <c r="M841"/>
      <c r="N841"/>
      <c r="O841"/>
    </row>
    <row r="842" spans="1:15" x14ac:dyDescent="0.2">
      <c r="A842"/>
      <c r="B842"/>
      <c r="C842"/>
      <c r="F842"/>
      <c r="G842"/>
      <c r="L842"/>
      <c r="M842"/>
      <c r="N842"/>
      <c r="O842"/>
    </row>
    <row r="843" spans="1:15" x14ac:dyDescent="0.2">
      <c r="A843"/>
      <c r="B843"/>
      <c r="C843"/>
      <c r="F843"/>
      <c r="G843"/>
      <c r="H843"/>
      <c r="I843"/>
      <c r="L843"/>
      <c r="N843"/>
      <c r="O843"/>
    </row>
    <row r="844" spans="1:15" x14ac:dyDescent="0.2">
      <c r="A844"/>
      <c r="B844"/>
      <c r="C844"/>
      <c r="F844"/>
      <c r="G844"/>
      <c r="I844"/>
      <c r="L844"/>
      <c r="M844"/>
      <c r="N844"/>
      <c r="O844"/>
    </row>
    <row r="845" spans="1:15" x14ac:dyDescent="0.2">
      <c r="A845"/>
      <c r="B845"/>
      <c r="C845"/>
      <c r="F845"/>
      <c r="G845"/>
      <c r="H845"/>
      <c r="L845"/>
      <c r="M845"/>
      <c r="N845"/>
      <c r="O845"/>
    </row>
    <row r="846" spans="1:15" x14ac:dyDescent="0.2">
      <c r="A846"/>
      <c r="B846"/>
      <c r="C846"/>
      <c r="F846"/>
      <c r="G846"/>
      <c r="H846"/>
      <c r="I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M849"/>
      <c r="N849"/>
      <c r="O849"/>
    </row>
    <row r="850" spans="1:15" x14ac:dyDescent="0.2">
      <c r="A850"/>
      <c r="B850"/>
      <c r="C850"/>
      <c r="F850"/>
      <c r="G850"/>
      <c r="H850"/>
      <c r="M850"/>
      <c r="N850"/>
      <c r="O850"/>
    </row>
    <row r="851" spans="1:15" x14ac:dyDescent="0.2">
      <c r="A851"/>
      <c r="B851"/>
      <c r="C851"/>
      <c r="F851"/>
      <c r="G851"/>
      <c r="I851"/>
      <c r="L851"/>
      <c r="M851"/>
      <c r="N851"/>
      <c r="O851"/>
    </row>
    <row r="852" spans="1:15" x14ac:dyDescent="0.2">
      <c r="A852"/>
      <c r="B852"/>
      <c r="C852"/>
      <c r="F852"/>
      <c r="G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L856"/>
      <c r="M856"/>
      <c r="N856"/>
      <c r="O856"/>
    </row>
    <row r="857" spans="1:15" x14ac:dyDescent="0.2">
      <c r="A857"/>
      <c r="B857"/>
      <c r="C857"/>
      <c r="F857"/>
      <c r="G857"/>
      <c r="H857"/>
      <c r="I857"/>
      <c r="L857"/>
      <c r="M857"/>
      <c r="N857"/>
      <c r="O857"/>
    </row>
    <row r="858" spans="1:15" x14ac:dyDescent="0.2">
      <c r="A858"/>
      <c r="B858"/>
      <c r="C858"/>
      <c r="F858"/>
      <c r="G858"/>
      <c r="L858"/>
      <c r="M858"/>
      <c r="N858"/>
      <c r="O858"/>
    </row>
    <row r="859" spans="1:15" x14ac:dyDescent="0.2">
      <c r="A859"/>
      <c r="B859"/>
      <c r="C859"/>
      <c r="F859"/>
      <c r="G859"/>
      <c r="L859"/>
      <c r="M859"/>
      <c r="N859"/>
      <c r="O859"/>
    </row>
    <row r="860" spans="1:15" x14ac:dyDescent="0.2">
      <c r="A860"/>
      <c r="B860"/>
      <c r="C860"/>
      <c r="F860"/>
      <c r="G860"/>
      <c r="H860"/>
      <c r="I860"/>
      <c r="J860"/>
      <c r="K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I863"/>
      <c r="L863"/>
      <c r="M863"/>
      <c r="N863"/>
      <c r="O863"/>
    </row>
    <row r="864" spans="1:15" x14ac:dyDescent="0.2">
      <c r="A864"/>
      <c r="B864"/>
      <c r="C864"/>
      <c r="F864"/>
      <c r="G864"/>
      <c r="H864"/>
      <c r="I864"/>
      <c r="L864"/>
      <c r="M864"/>
      <c r="N864"/>
      <c r="O864"/>
    </row>
    <row r="865" spans="1:15" x14ac:dyDescent="0.2">
      <c r="A865"/>
      <c r="B865"/>
      <c r="C865"/>
      <c r="F865"/>
      <c r="G865"/>
      <c r="L865"/>
      <c r="M865"/>
      <c r="N865"/>
      <c r="O865"/>
    </row>
    <row r="866" spans="1:15" x14ac:dyDescent="0.2">
      <c r="A866"/>
      <c r="B866"/>
      <c r="C866"/>
      <c r="F866"/>
      <c r="G866"/>
      <c r="J866"/>
      <c r="K866"/>
      <c r="L866"/>
      <c r="M866"/>
      <c r="N866"/>
      <c r="O866"/>
    </row>
    <row r="867" spans="1:15" x14ac:dyDescent="0.2">
      <c r="A867"/>
      <c r="B867"/>
      <c r="C867"/>
      <c r="F867"/>
      <c r="G867"/>
      <c r="I867"/>
      <c r="L867"/>
      <c r="M867"/>
      <c r="N867"/>
      <c r="O867"/>
    </row>
    <row r="868" spans="1:15" x14ac:dyDescent="0.2">
      <c r="A868"/>
      <c r="B868"/>
      <c r="C868"/>
      <c r="F868"/>
      <c r="G868"/>
      <c r="H868"/>
      <c r="I868"/>
      <c r="L868"/>
      <c r="N868"/>
      <c r="O868"/>
    </row>
    <row r="869" spans="1:15" x14ac:dyDescent="0.2">
      <c r="A869"/>
      <c r="B869"/>
      <c r="C869"/>
      <c r="F869"/>
      <c r="G869"/>
      <c r="H869"/>
      <c r="I869"/>
      <c r="L869"/>
      <c r="M869"/>
      <c r="N869"/>
      <c r="O869"/>
    </row>
    <row r="870" spans="1:15" x14ac:dyDescent="0.2">
      <c r="A870"/>
      <c r="B870"/>
      <c r="C870"/>
      <c r="F870"/>
      <c r="G870"/>
      <c r="J870"/>
      <c r="K870"/>
      <c r="L870"/>
      <c r="M870"/>
      <c r="N870"/>
      <c r="O870"/>
    </row>
    <row r="871" spans="1:15" x14ac:dyDescent="0.2">
      <c r="A871"/>
      <c r="B871"/>
      <c r="C871"/>
      <c r="F871"/>
      <c r="G871"/>
      <c r="H871"/>
      <c r="I871"/>
      <c r="L871"/>
      <c r="M871"/>
      <c r="N871"/>
      <c r="O871"/>
    </row>
    <row r="872" spans="1:15" x14ac:dyDescent="0.2">
      <c r="A872"/>
      <c r="B872"/>
      <c r="C872"/>
      <c r="F872"/>
      <c r="G872"/>
      <c r="H872"/>
      <c r="I872"/>
      <c r="L872"/>
      <c r="M872"/>
      <c r="N872"/>
      <c r="O872"/>
    </row>
    <row r="873" spans="1:15" x14ac:dyDescent="0.2">
      <c r="A873"/>
      <c r="B873"/>
      <c r="C873"/>
      <c r="F873"/>
      <c r="G873"/>
      <c r="L873"/>
      <c r="M873"/>
      <c r="N873"/>
      <c r="O873"/>
    </row>
    <row r="874" spans="1:15" x14ac:dyDescent="0.2">
      <c r="A874"/>
      <c r="B874"/>
      <c r="C874"/>
      <c r="F874"/>
      <c r="G874"/>
      <c r="L874"/>
      <c r="M874"/>
      <c r="N874"/>
      <c r="O874"/>
    </row>
    <row r="875" spans="1:15" x14ac:dyDescent="0.2">
      <c r="A875"/>
      <c r="B875"/>
      <c r="C875"/>
      <c r="F875"/>
      <c r="G875"/>
      <c r="H875"/>
      <c r="L875"/>
      <c r="M875"/>
      <c r="N875"/>
      <c r="O875"/>
    </row>
    <row r="876" spans="1:15" x14ac:dyDescent="0.2">
      <c r="A876"/>
      <c r="B876"/>
      <c r="C876"/>
      <c r="F876"/>
      <c r="G876"/>
      <c r="H876"/>
      <c r="J876"/>
      <c r="K876"/>
      <c r="L876"/>
      <c r="M876"/>
      <c r="N876"/>
      <c r="O876"/>
    </row>
    <row r="877" spans="1:15" x14ac:dyDescent="0.2">
      <c r="A877"/>
      <c r="B877"/>
      <c r="C877"/>
      <c r="F877"/>
      <c r="G877"/>
      <c r="J877"/>
      <c r="K877"/>
      <c r="L877"/>
      <c r="M877"/>
      <c r="N877"/>
      <c r="O877"/>
    </row>
    <row r="878" spans="1:15" x14ac:dyDescent="0.2">
      <c r="A878"/>
      <c r="B878"/>
      <c r="C878"/>
      <c r="F878"/>
      <c r="G878"/>
      <c r="H878"/>
      <c r="J878"/>
      <c r="K878"/>
      <c r="L878"/>
      <c r="M878"/>
      <c r="N878"/>
      <c r="O878"/>
    </row>
    <row r="879" spans="1:15" x14ac:dyDescent="0.2">
      <c r="A879"/>
      <c r="B879"/>
      <c r="C879"/>
      <c r="F879"/>
      <c r="G879"/>
      <c r="H879"/>
      <c r="J879"/>
      <c r="K879"/>
      <c r="L879"/>
      <c r="M879"/>
      <c r="N879"/>
      <c r="O879"/>
    </row>
    <row r="880" spans="1:15" x14ac:dyDescent="0.2">
      <c r="A880"/>
      <c r="B880"/>
      <c r="C880"/>
      <c r="F880"/>
      <c r="G880"/>
      <c r="J880"/>
      <c r="K880"/>
      <c r="L880"/>
      <c r="M880"/>
      <c r="N880"/>
      <c r="O880"/>
    </row>
    <row r="881" spans="1:15" x14ac:dyDescent="0.2">
      <c r="A881"/>
      <c r="B881"/>
      <c r="C881"/>
      <c r="F881"/>
      <c r="G881"/>
      <c r="H881"/>
      <c r="J881"/>
      <c r="K881"/>
      <c r="L881"/>
      <c r="M881"/>
      <c r="N881"/>
      <c r="O881"/>
    </row>
    <row r="882" spans="1:15" x14ac:dyDescent="0.2">
      <c r="A882"/>
      <c r="B882"/>
      <c r="C882"/>
      <c r="F882"/>
      <c r="G882"/>
      <c r="H882"/>
      <c r="I882"/>
      <c r="L882"/>
      <c r="N882"/>
      <c r="O882"/>
    </row>
    <row r="883" spans="1:15" x14ac:dyDescent="0.2">
      <c r="A883"/>
      <c r="B883"/>
      <c r="C883"/>
      <c r="F883"/>
      <c r="G883"/>
      <c r="I883"/>
      <c r="L883"/>
      <c r="M883"/>
      <c r="N883"/>
      <c r="O883"/>
    </row>
    <row r="884" spans="1:15" x14ac:dyDescent="0.2">
      <c r="A884"/>
      <c r="B884"/>
      <c r="C884"/>
      <c r="F884"/>
      <c r="G884"/>
      <c r="L884"/>
      <c r="M884"/>
      <c r="N884"/>
      <c r="O884"/>
    </row>
    <row r="885" spans="1:15" x14ac:dyDescent="0.2">
      <c r="A885"/>
      <c r="B885"/>
      <c r="C885"/>
      <c r="F885"/>
      <c r="G885"/>
      <c r="H885"/>
      <c r="J885"/>
      <c r="K885"/>
      <c r="L885"/>
      <c r="M885"/>
      <c r="N885"/>
      <c r="O885"/>
    </row>
    <row r="886" spans="1:15" x14ac:dyDescent="0.2">
      <c r="A886"/>
      <c r="B886"/>
      <c r="C886"/>
      <c r="F886"/>
      <c r="G886"/>
      <c r="H886"/>
      <c r="I886"/>
      <c r="L886"/>
      <c r="M886"/>
      <c r="N886"/>
      <c r="O886"/>
    </row>
    <row r="887" spans="1:15" x14ac:dyDescent="0.2">
      <c r="A887"/>
      <c r="B887"/>
      <c r="C887"/>
      <c r="F887"/>
      <c r="G887"/>
      <c r="H887"/>
      <c r="I887"/>
      <c r="L887"/>
      <c r="N887"/>
      <c r="O887"/>
    </row>
    <row r="888" spans="1:15" x14ac:dyDescent="0.2">
      <c r="A888"/>
      <c r="B888"/>
      <c r="C888"/>
      <c r="F888"/>
      <c r="G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I892"/>
      <c r="L892"/>
      <c r="M892"/>
      <c r="N892"/>
      <c r="O892"/>
    </row>
    <row r="893" spans="1:15" x14ac:dyDescent="0.2">
      <c r="A893"/>
      <c r="B893"/>
      <c r="C893"/>
      <c r="F893"/>
      <c r="G893"/>
      <c r="L893"/>
      <c r="M893"/>
      <c r="N893"/>
      <c r="O893"/>
    </row>
    <row r="894" spans="1:15" x14ac:dyDescent="0.2">
      <c r="A894"/>
      <c r="B894"/>
      <c r="C894"/>
      <c r="F894"/>
      <c r="G894"/>
      <c r="H894"/>
      <c r="J894"/>
      <c r="K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H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L914"/>
      <c r="M914"/>
      <c r="N914"/>
      <c r="O914"/>
    </row>
    <row r="915" spans="1:15" x14ac:dyDescent="0.2">
      <c r="A915"/>
      <c r="B915"/>
      <c r="C915"/>
      <c r="F915"/>
      <c r="G915"/>
      <c r="I915"/>
      <c r="J915"/>
      <c r="K915"/>
      <c r="L915"/>
      <c r="M915"/>
      <c r="N915"/>
      <c r="O915"/>
    </row>
    <row r="916" spans="1:15" x14ac:dyDescent="0.2">
      <c r="A916"/>
      <c r="B916"/>
      <c r="C916"/>
      <c r="F916"/>
      <c r="G916"/>
      <c r="I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I927"/>
      <c r="L927"/>
      <c r="M927"/>
      <c r="N927"/>
      <c r="O927"/>
    </row>
    <row r="928" spans="1:15" x14ac:dyDescent="0.2">
      <c r="A928"/>
      <c r="B928"/>
      <c r="C928"/>
      <c r="F928"/>
      <c r="G928"/>
      <c r="J928"/>
      <c r="K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J931"/>
      <c r="K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J938"/>
      <c r="K938"/>
      <c r="L938"/>
      <c r="M938"/>
      <c r="N938"/>
      <c r="O938"/>
    </row>
    <row r="939" spans="1:15" x14ac:dyDescent="0.2">
      <c r="A939"/>
      <c r="B939"/>
      <c r="C939"/>
      <c r="F939"/>
      <c r="G939"/>
      <c r="H939"/>
      <c r="J939"/>
      <c r="K939"/>
      <c r="L939"/>
      <c r="M939"/>
      <c r="N939"/>
      <c r="O939"/>
    </row>
    <row r="940" spans="1:15" x14ac:dyDescent="0.2">
      <c r="A940"/>
      <c r="B940"/>
      <c r="C940"/>
      <c r="F940"/>
      <c r="G940"/>
      <c r="L940"/>
      <c r="M940"/>
      <c r="N940"/>
      <c r="O940"/>
    </row>
    <row r="941" spans="1:15" x14ac:dyDescent="0.2">
      <c r="A941"/>
      <c r="B941"/>
      <c r="C941"/>
      <c r="F941"/>
      <c r="G941"/>
      <c r="H941"/>
      <c r="J941"/>
      <c r="K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J946"/>
      <c r="K946"/>
      <c r="L946"/>
      <c r="M946"/>
      <c r="N946"/>
      <c r="O946"/>
    </row>
    <row r="947" spans="1:15" x14ac:dyDescent="0.2">
      <c r="A947"/>
      <c r="B947"/>
      <c r="C947"/>
      <c r="F947"/>
      <c r="G947"/>
      <c r="H947"/>
      <c r="I947"/>
      <c r="L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L950"/>
      <c r="M950"/>
      <c r="N950"/>
      <c r="O950"/>
    </row>
    <row r="951" spans="1:15" x14ac:dyDescent="0.2">
      <c r="A951"/>
      <c r="B951"/>
      <c r="C951"/>
      <c r="F951"/>
      <c r="G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I954"/>
      <c r="L954"/>
      <c r="M954"/>
      <c r="N954"/>
      <c r="O954"/>
    </row>
    <row r="955" spans="1:15" x14ac:dyDescent="0.2">
      <c r="A955"/>
      <c r="B955"/>
      <c r="C955"/>
      <c r="F955"/>
      <c r="G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H970"/>
      <c r="I970"/>
      <c r="J970"/>
      <c r="K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I974"/>
      <c r="L974"/>
      <c r="M974"/>
      <c r="N974"/>
      <c r="O974"/>
    </row>
    <row r="975" spans="1:15" x14ac:dyDescent="0.2">
      <c r="A975"/>
      <c r="B975"/>
      <c r="C975"/>
      <c r="F975"/>
      <c r="G975"/>
      <c r="H975"/>
      <c r="I975"/>
      <c r="L975"/>
      <c r="M975"/>
      <c r="N975"/>
      <c r="O975"/>
    </row>
    <row r="976" spans="1:15" x14ac:dyDescent="0.2">
      <c r="A976"/>
      <c r="B976"/>
      <c r="C976"/>
      <c r="F976"/>
      <c r="G976"/>
      <c r="H976"/>
      <c r="J976"/>
      <c r="K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H984"/>
      <c r="I984"/>
      <c r="L984"/>
      <c r="M984"/>
      <c r="N984"/>
      <c r="O984"/>
    </row>
    <row r="985" spans="1:15" x14ac:dyDescent="0.2">
      <c r="A985"/>
      <c r="B985"/>
      <c r="C985"/>
      <c r="F985"/>
      <c r="G985"/>
      <c r="H985"/>
      <c r="J985"/>
      <c r="K985"/>
      <c r="L985"/>
      <c r="M985"/>
      <c r="N985"/>
      <c r="O985"/>
    </row>
    <row r="986" spans="1:15" x14ac:dyDescent="0.2">
      <c r="A986"/>
      <c r="B986"/>
      <c r="C986"/>
      <c r="F986"/>
      <c r="G986"/>
      <c r="H986"/>
      <c r="J986"/>
      <c r="K986"/>
      <c r="L986"/>
      <c r="M986"/>
      <c r="N986"/>
      <c r="O986"/>
    </row>
    <row r="987" spans="1:15" x14ac:dyDescent="0.2">
      <c r="A987"/>
      <c r="B987"/>
      <c r="C987"/>
      <c r="F987"/>
      <c r="G987"/>
      <c r="H987"/>
      <c r="I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L990"/>
      <c r="M990"/>
      <c r="N990"/>
      <c r="O990"/>
    </row>
    <row r="991" spans="1:15" x14ac:dyDescent="0.2">
      <c r="A991"/>
      <c r="B991"/>
      <c r="C991"/>
      <c r="F991"/>
      <c r="G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L998"/>
      <c r="M998"/>
      <c r="N998"/>
      <c r="O998"/>
    </row>
    <row r="999" spans="1:15" x14ac:dyDescent="0.2">
      <c r="A999"/>
      <c r="B999"/>
      <c r="C999"/>
      <c r="F999"/>
      <c r="G999"/>
      <c r="H999"/>
      <c r="I999"/>
      <c r="L999"/>
      <c r="M999"/>
      <c r="N999"/>
      <c r="O999"/>
    </row>
    <row r="1000" spans="1:15" x14ac:dyDescent="0.2">
      <c r="A1000"/>
      <c r="B1000"/>
      <c r="C1000"/>
      <c r="F1000"/>
      <c r="G1000"/>
      <c r="I1000"/>
      <c r="L1000"/>
      <c r="M1000"/>
      <c r="N1000"/>
      <c r="O1000"/>
    </row>
    <row r="1001" spans="1:15" x14ac:dyDescent="0.2">
      <c r="A1001"/>
      <c r="B1001"/>
      <c r="C1001"/>
      <c r="F1001"/>
      <c r="G1001"/>
      <c r="M1001"/>
      <c r="N1001"/>
      <c r="O1001"/>
    </row>
    <row r="1002" spans="1:15" x14ac:dyDescent="0.2">
      <c r="A1002"/>
      <c r="B1002"/>
      <c r="C1002"/>
      <c r="F1002"/>
      <c r="G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J1010"/>
      <c r="K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H1021"/>
      <c r="I1021"/>
      <c r="L1021"/>
      <c r="M1021"/>
      <c r="N1021"/>
      <c r="O1021"/>
    </row>
    <row r="1022" spans="1:15" x14ac:dyDescent="0.2">
      <c r="A1022"/>
      <c r="B1022"/>
      <c r="C1022"/>
      <c r="F1022"/>
      <c r="G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I1029"/>
      <c r="L1029"/>
      <c r="M1029"/>
      <c r="N1029"/>
      <c r="O1029"/>
    </row>
    <row r="1030" spans="1:15" x14ac:dyDescent="0.2">
      <c r="A1030"/>
      <c r="B1030"/>
      <c r="C1030"/>
      <c r="F1030"/>
      <c r="G1030"/>
      <c r="I1030"/>
      <c r="L1030"/>
      <c r="M1030"/>
      <c r="N1030"/>
      <c r="O1030"/>
    </row>
    <row r="1031" spans="1:15" x14ac:dyDescent="0.2">
      <c r="A1031"/>
      <c r="B1031"/>
      <c r="C1031"/>
      <c r="F1031"/>
      <c r="G1031"/>
      <c r="I1031"/>
      <c r="J1031"/>
      <c r="K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J1041"/>
      <c r="K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I1045"/>
      <c r="L1045"/>
      <c r="M1045"/>
      <c r="N1045"/>
      <c r="O1045"/>
    </row>
    <row r="1046" spans="1:15" x14ac:dyDescent="0.2">
      <c r="A1046"/>
      <c r="B1046"/>
      <c r="C1046"/>
      <c r="F1046"/>
      <c r="G1046"/>
      <c r="H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I1052"/>
      <c r="L1052"/>
      <c r="M1052"/>
      <c r="N1052"/>
      <c r="O1052"/>
    </row>
    <row r="1053" spans="1:15" x14ac:dyDescent="0.2">
      <c r="A1053"/>
      <c r="B1053"/>
      <c r="C1053"/>
      <c r="F1053"/>
      <c r="G1053"/>
      <c r="L1053"/>
      <c r="M1053"/>
      <c r="N1053"/>
      <c r="O1053"/>
    </row>
    <row r="1054" spans="1:15" x14ac:dyDescent="0.2">
      <c r="A1054"/>
      <c r="B1054"/>
      <c r="C1054"/>
      <c r="F1054"/>
      <c r="G1054"/>
      <c r="H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J1057"/>
      <c r="K1057"/>
      <c r="L1057"/>
      <c r="M1057"/>
      <c r="N1057"/>
      <c r="O1057"/>
    </row>
    <row r="1058" spans="1:15" x14ac:dyDescent="0.2">
      <c r="A1058"/>
      <c r="B1058"/>
      <c r="C1058"/>
      <c r="F1058"/>
      <c r="G1058"/>
      <c r="I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J1063"/>
      <c r="K1063"/>
      <c r="L1063"/>
      <c r="M1063"/>
      <c r="N1063"/>
      <c r="O1063"/>
    </row>
    <row r="1064" spans="1:15" x14ac:dyDescent="0.2">
      <c r="A1064"/>
      <c r="B1064"/>
      <c r="C1064"/>
      <c r="F1064"/>
      <c r="G1064"/>
      <c r="H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J1066"/>
      <c r="K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I1068"/>
      <c r="L1068"/>
      <c r="N1068"/>
      <c r="O1068"/>
    </row>
    <row r="1069" spans="1:15" x14ac:dyDescent="0.2">
      <c r="A1069"/>
      <c r="B1069"/>
      <c r="C1069"/>
      <c r="F1069"/>
      <c r="G1069"/>
      <c r="H1069"/>
      <c r="J1069"/>
      <c r="K1069"/>
      <c r="L1069"/>
      <c r="M1069"/>
      <c r="N1069"/>
      <c r="O1069"/>
    </row>
    <row r="1070" spans="1:15" x14ac:dyDescent="0.2">
      <c r="A1070"/>
      <c r="B1070"/>
      <c r="C1070"/>
      <c r="F1070"/>
      <c r="G1070"/>
      <c r="H1070"/>
      <c r="L1070"/>
      <c r="M1070"/>
      <c r="N1070"/>
      <c r="O1070"/>
    </row>
    <row r="1071" spans="1:15" x14ac:dyDescent="0.2">
      <c r="A1071"/>
      <c r="B1071"/>
      <c r="C1071"/>
      <c r="F1071"/>
      <c r="G1071"/>
      <c r="H1071"/>
      <c r="J1071"/>
      <c r="K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I1073"/>
      <c r="L1073"/>
      <c r="M1073"/>
      <c r="N1073"/>
      <c r="O1073"/>
    </row>
    <row r="1074" spans="1:15" x14ac:dyDescent="0.2">
      <c r="A1074"/>
      <c r="B1074"/>
      <c r="C1074"/>
      <c r="F1074"/>
      <c r="G1074"/>
      <c r="H1074"/>
      <c r="J1074"/>
      <c r="K1074"/>
      <c r="L1074"/>
      <c r="M1074"/>
      <c r="N1074"/>
      <c r="O1074"/>
    </row>
    <row r="1075" spans="1:15" x14ac:dyDescent="0.2">
      <c r="A1075"/>
      <c r="B1075"/>
      <c r="C1075"/>
      <c r="G1075"/>
      <c r="J1075"/>
      <c r="K1075"/>
      <c r="L1075"/>
      <c r="M1075"/>
      <c r="N1075"/>
      <c r="O1075"/>
    </row>
    <row r="1076" spans="1:15" x14ac:dyDescent="0.2">
      <c r="A1076"/>
      <c r="B1076"/>
      <c r="C1076"/>
      <c r="F1076"/>
      <c r="G1076"/>
      <c r="H1076"/>
      <c r="I1076"/>
      <c r="L1076"/>
      <c r="N1076"/>
      <c r="O1076"/>
    </row>
    <row r="1077" spans="1:15" x14ac:dyDescent="0.2">
      <c r="A1077"/>
      <c r="B1077"/>
      <c r="C1077"/>
      <c r="F1077"/>
      <c r="G1077"/>
      <c r="L1077"/>
      <c r="M1077"/>
      <c r="N1077"/>
      <c r="O1077"/>
    </row>
    <row r="1078" spans="1:15" x14ac:dyDescent="0.2">
      <c r="A1078"/>
      <c r="B1078"/>
      <c r="C1078"/>
      <c r="F1078"/>
      <c r="G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L1081"/>
      <c r="M1081"/>
      <c r="N1081"/>
      <c r="O1081"/>
    </row>
    <row r="1082" spans="1:15" x14ac:dyDescent="0.2">
      <c r="A1082"/>
      <c r="B1082"/>
      <c r="C1082"/>
      <c r="F1082"/>
      <c r="G1082"/>
      <c r="I1082"/>
      <c r="L1082"/>
      <c r="M1082"/>
      <c r="N1082"/>
      <c r="O1082"/>
    </row>
    <row r="1083" spans="1:15" x14ac:dyDescent="0.2">
      <c r="A1083"/>
      <c r="B1083"/>
      <c r="C1083"/>
      <c r="F1083"/>
      <c r="G1083"/>
      <c r="H1083"/>
      <c r="I1083"/>
      <c r="L1083"/>
      <c r="M1083"/>
      <c r="N1083"/>
      <c r="O1083"/>
    </row>
    <row r="1084" spans="1:15" x14ac:dyDescent="0.2">
      <c r="A1084"/>
      <c r="B1084"/>
      <c r="C1084"/>
      <c r="F1084"/>
      <c r="G1084"/>
      <c r="H1084"/>
      <c r="I1084"/>
      <c r="L1084"/>
      <c r="M1084"/>
      <c r="N1084"/>
      <c r="O1084"/>
    </row>
    <row r="1085" spans="1:15" x14ac:dyDescent="0.2">
      <c r="A1085"/>
      <c r="B1085"/>
      <c r="C1085"/>
      <c r="F1085"/>
      <c r="G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H1088"/>
      <c r="I1088"/>
      <c r="L1088"/>
      <c r="M1088"/>
      <c r="N1088"/>
      <c r="O1088"/>
    </row>
    <row r="1089" spans="1:15" x14ac:dyDescent="0.2">
      <c r="A1089"/>
      <c r="B1089"/>
      <c r="C1089"/>
      <c r="F1089"/>
      <c r="G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N1091"/>
      <c r="O1091"/>
    </row>
    <row r="1092" spans="1:15" x14ac:dyDescent="0.2">
      <c r="A1092"/>
      <c r="B1092"/>
      <c r="C1092"/>
      <c r="F1092"/>
      <c r="G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I1095"/>
      <c r="L1095"/>
      <c r="M1095"/>
      <c r="N1095"/>
      <c r="O1095"/>
    </row>
    <row r="1096" spans="1:15" x14ac:dyDescent="0.2">
      <c r="A1096"/>
      <c r="B1096"/>
      <c r="C1096"/>
      <c r="F1096"/>
      <c r="G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L1099"/>
      <c r="M1099"/>
      <c r="N1099"/>
      <c r="O1099"/>
    </row>
    <row r="1100" spans="1:15" x14ac:dyDescent="0.2">
      <c r="A1100"/>
      <c r="B1100"/>
      <c r="C1100"/>
      <c r="F1100"/>
      <c r="G1100"/>
      <c r="H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I1113"/>
      <c r="L1113"/>
      <c r="M1113"/>
      <c r="N1113"/>
      <c r="O1113"/>
    </row>
    <row r="1114" spans="1:15" x14ac:dyDescent="0.2">
      <c r="A1114"/>
      <c r="B1114"/>
      <c r="C1114"/>
      <c r="F1114"/>
      <c r="G1114"/>
      <c r="J1114"/>
      <c r="K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N1116"/>
      <c r="O1116"/>
    </row>
    <row r="1117" spans="1:15" x14ac:dyDescent="0.2">
      <c r="A1117"/>
      <c r="B1117"/>
      <c r="C1117"/>
      <c r="F1117"/>
      <c r="G1117"/>
      <c r="H1117"/>
      <c r="J1117"/>
      <c r="K1117"/>
      <c r="L1117"/>
      <c r="M1117"/>
      <c r="N1117"/>
      <c r="O1117"/>
    </row>
    <row r="1118" spans="1:15" x14ac:dyDescent="0.2">
      <c r="A1118"/>
      <c r="B1118"/>
      <c r="C1118"/>
      <c r="F1118"/>
      <c r="G1118"/>
      <c r="H1118"/>
      <c r="I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H1127"/>
      <c r="I1127"/>
      <c r="L1127"/>
      <c r="M1127"/>
      <c r="N1127"/>
      <c r="O1127"/>
    </row>
    <row r="1128" spans="1:15" x14ac:dyDescent="0.2">
      <c r="A1128"/>
      <c r="B1128"/>
      <c r="C1128"/>
      <c r="F1128"/>
      <c r="G1128"/>
      <c r="I1128"/>
      <c r="L1128"/>
      <c r="M1128"/>
      <c r="N1128"/>
      <c r="O1128"/>
    </row>
    <row r="1129" spans="1:15" x14ac:dyDescent="0.2">
      <c r="A1129"/>
      <c r="B1129"/>
      <c r="C1129"/>
      <c r="F1129"/>
      <c r="G1129"/>
      <c r="H1129"/>
      <c r="L1129"/>
      <c r="M1129"/>
      <c r="N1129"/>
      <c r="O1129"/>
    </row>
    <row r="1130" spans="1:15" x14ac:dyDescent="0.2">
      <c r="A1130"/>
      <c r="B1130"/>
      <c r="C1130"/>
      <c r="F1130"/>
      <c r="G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I1135"/>
      <c r="L1135"/>
      <c r="M1135"/>
      <c r="N1135"/>
      <c r="O1135"/>
    </row>
    <row r="1136" spans="1:15" x14ac:dyDescent="0.2">
      <c r="A1136"/>
      <c r="B1136"/>
      <c r="C1136"/>
      <c r="F1136"/>
      <c r="G1136"/>
      <c r="J1136"/>
      <c r="K1136"/>
      <c r="L1136"/>
      <c r="M1136"/>
      <c r="N1136"/>
      <c r="O1136"/>
    </row>
    <row r="1137" spans="1:15" x14ac:dyDescent="0.2">
      <c r="A1137"/>
      <c r="B1137"/>
      <c r="C1137"/>
      <c r="F1137"/>
      <c r="G1137"/>
      <c r="J1137"/>
      <c r="K1137"/>
      <c r="L1137"/>
      <c r="M1137"/>
      <c r="N1137"/>
      <c r="O1137"/>
    </row>
    <row r="1138" spans="1:15" x14ac:dyDescent="0.2">
      <c r="A1138"/>
      <c r="B1138"/>
      <c r="C1138"/>
      <c r="F1138"/>
      <c r="G1138"/>
      <c r="I1138"/>
      <c r="L1138"/>
      <c r="M1138"/>
      <c r="N1138"/>
      <c r="O1138"/>
    </row>
    <row r="1139" spans="1:15" x14ac:dyDescent="0.2">
      <c r="A1139"/>
      <c r="B1139"/>
      <c r="C1139"/>
      <c r="F1139"/>
      <c r="G1139"/>
      <c r="I1139"/>
      <c r="L1139"/>
      <c r="M1139"/>
      <c r="N1139"/>
      <c r="O1139"/>
    </row>
    <row r="1140" spans="1:15" x14ac:dyDescent="0.2">
      <c r="A1140"/>
      <c r="B1140"/>
      <c r="C1140"/>
      <c r="F1140"/>
      <c r="G1140"/>
      <c r="M1140"/>
      <c r="N1140"/>
      <c r="O1140"/>
    </row>
    <row r="1141" spans="1:15" x14ac:dyDescent="0.2">
      <c r="A1141"/>
      <c r="B1141"/>
      <c r="C1141"/>
      <c r="F1141"/>
      <c r="G1141"/>
      <c r="H1141"/>
      <c r="L1141"/>
      <c r="M1141"/>
      <c r="N1141"/>
      <c r="O1141"/>
    </row>
    <row r="1142" spans="1:15" x14ac:dyDescent="0.2">
      <c r="A1142"/>
      <c r="B1142"/>
      <c r="C1142"/>
      <c r="F1142"/>
      <c r="G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K1145"/>
      <c r="L1145"/>
      <c r="M1145"/>
      <c r="N1145"/>
      <c r="O1145"/>
    </row>
    <row r="1146" spans="1:15" x14ac:dyDescent="0.2">
      <c r="A1146"/>
      <c r="B1146"/>
      <c r="C1146"/>
      <c r="F1146"/>
      <c r="G1146"/>
      <c r="L1146"/>
      <c r="M1146"/>
      <c r="N1146"/>
      <c r="O1146"/>
    </row>
    <row r="1147" spans="1:15" x14ac:dyDescent="0.2">
      <c r="A1147"/>
      <c r="B1147"/>
      <c r="C1147"/>
      <c r="F1147"/>
      <c r="G1147"/>
      <c r="H1147"/>
      <c r="L1147"/>
      <c r="M1147"/>
      <c r="N1147"/>
      <c r="O1147"/>
    </row>
    <row r="1148" spans="1:15" x14ac:dyDescent="0.2">
      <c r="A1148"/>
      <c r="B1148"/>
      <c r="C1148"/>
      <c r="F1148"/>
      <c r="G1148"/>
      <c r="J1148"/>
      <c r="K1148"/>
      <c r="L1148"/>
      <c r="M1148"/>
      <c r="N1148"/>
      <c r="O1148"/>
    </row>
    <row r="1149" spans="1:15" x14ac:dyDescent="0.2">
      <c r="A1149"/>
      <c r="B1149"/>
      <c r="C1149"/>
      <c r="F1149"/>
      <c r="G1149"/>
      <c r="L1149"/>
      <c r="M1149"/>
      <c r="N1149"/>
      <c r="O1149"/>
    </row>
    <row r="1150" spans="1:15" x14ac:dyDescent="0.2">
      <c r="A1150"/>
      <c r="B1150"/>
      <c r="C1150"/>
      <c r="F1150"/>
      <c r="G1150"/>
      <c r="L1150"/>
      <c r="M1150"/>
      <c r="N1150"/>
      <c r="O1150"/>
    </row>
    <row r="1151" spans="1:15" x14ac:dyDescent="0.2">
      <c r="A1151"/>
      <c r="B1151"/>
      <c r="C1151"/>
      <c r="F1151"/>
      <c r="G1151"/>
      <c r="H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L1154"/>
      <c r="M1154"/>
      <c r="N1154"/>
      <c r="O1154"/>
    </row>
    <row r="1155" spans="1:15" x14ac:dyDescent="0.2">
      <c r="A1155"/>
      <c r="B1155"/>
      <c r="C1155"/>
      <c r="F1155"/>
      <c r="G1155"/>
      <c r="H1155"/>
      <c r="I1155"/>
      <c r="L1155"/>
      <c r="M1155"/>
      <c r="N1155"/>
      <c r="O1155"/>
    </row>
    <row r="1156" spans="1:15" x14ac:dyDescent="0.2">
      <c r="A1156"/>
      <c r="B1156"/>
      <c r="C1156"/>
      <c r="F1156"/>
      <c r="G1156"/>
      <c r="J1156"/>
      <c r="K1156"/>
      <c r="L1156"/>
      <c r="M1156"/>
      <c r="N1156"/>
      <c r="O1156"/>
    </row>
    <row r="1157" spans="1:15" x14ac:dyDescent="0.2">
      <c r="A1157"/>
      <c r="B1157"/>
      <c r="C1157"/>
      <c r="F1157"/>
      <c r="G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J1159"/>
      <c r="K1159"/>
      <c r="L1159"/>
      <c r="M1159"/>
      <c r="N1159"/>
      <c r="O1159"/>
    </row>
    <row r="1160" spans="1:15" x14ac:dyDescent="0.2">
      <c r="A1160"/>
      <c r="B1160"/>
      <c r="C1160"/>
      <c r="F1160"/>
      <c r="G1160"/>
      <c r="H1160"/>
      <c r="J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I1168"/>
      <c r="L1168"/>
      <c r="M1168"/>
      <c r="N1168"/>
      <c r="O1168"/>
    </row>
    <row r="1169" spans="1:15" x14ac:dyDescent="0.2">
      <c r="A1169"/>
      <c r="B1169"/>
      <c r="C1169"/>
      <c r="F1169"/>
      <c r="G1169"/>
      <c r="J1169"/>
      <c r="K1169"/>
      <c r="L1169"/>
      <c r="M1169"/>
      <c r="N1169"/>
      <c r="O1169"/>
    </row>
    <row r="1170" spans="1:15" x14ac:dyDescent="0.2">
      <c r="A1170"/>
      <c r="B1170"/>
      <c r="C1170"/>
      <c r="F1170"/>
      <c r="G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I1176"/>
      <c r="L1176"/>
      <c r="M1176"/>
      <c r="N1176"/>
      <c r="O1176"/>
    </row>
    <row r="1177" spans="1:15" x14ac:dyDescent="0.2">
      <c r="A1177"/>
      <c r="B1177"/>
      <c r="C1177"/>
      <c r="F1177"/>
      <c r="G1177"/>
      <c r="H1177"/>
      <c r="I1177"/>
      <c r="L1177"/>
      <c r="M1177"/>
      <c r="N1177"/>
      <c r="O1177"/>
    </row>
    <row r="1178" spans="1:15" x14ac:dyDescent="0.2">
      <c r="A1178"/>
      <c r="B1178"/>
      <c r="C1178"/>
      <c r="F1178"/>
      <c r="G1178"/>
      <c r="H1178"/>
      <c r="I1178"/>
      <c r="L1178"/>
      <c r="N1178"/>
      <c r="O1178"/>
    </row>
    <row r="1179" spans="1:15" x14ac:dyDescent="0.2">
      <c r="A1179"/>
      <c r="B1179"/>
      <c r="C1179"/>
      <c r="F1179"/>
      <c r="G1179"/>
      <c r="I1179"/>
      <c r="L1179"/>
      <c r="M1179"/>
      <c r="N1179"/>
      <c r="O1179"/>
    </row>
    <row r="1180" spans="1:15" x14ac:dyDescent="0.2">
      <c r="A1180"/>
      <c r="B1180"/>
      <c r="C1180"/>
      <c r="F1180"/>
      <c r="G1180"/>
      <c r="H1180"/>
      <c r="I1180"/>
      <c r="L1180"/>
      <c r="M1180"/>
      <c r="N1180"/>
      <c r="O1180"/>
    </row>
    <row r="1181" spans="1:15" x14ac:dyDescent="0.2">
      <c r="A1181"/>
      <c r="B1181"/>
      <c r="C1181"/>
      <c r="F1181"/>
      <c r="G1181"/>
      <c r="L1181"/>
      <c r="M1181"/>
      <c r="N1181"/>
      <c r="O1181"/>
    </row>
    <row r="1182" spans="1:15" x14ac:dyDescent="0.2">
      <c r="A1182"/>
      <c r="B1182"/>
      <c r="C1182"/>
      <c r="F1182"/>
      <c r="G1182"/>
      <c r="H1182"/>
      <c r="L1182"/>
      <c r="M1182"/>
      <c r="N1182"/>
      <c r="O1182"/>
    </row>
    <row r="1183" spans="1:15" x14ac:dyDescent="0.2">
      <c r="A1183"/>
      <c r="B1183"/>
      <c r="C1183"/>
      <c r="F1183"/>
      <c r="G1183"/>
      <c r="H1183"/>
      <c r="I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L1186"/>
      <c r="M1186"/>
      <c r="N1186"/>
      <c r="O1186"/>
    </row>
    <row r="1187" spans="1:15" x14ac:dyDescent="0.2">
      <c r="A1187"/>
      <c r="B1187"/>
      <c r="C1187"/>
      <c r="F1187"/>
      <c r="G1187"/>
      <c r="H1187"/>
      <c r="I1187"/>
      <c r="L1187"/>
      <c r="M1187"/>
      <c r="N1187"/>
      <c r="O1187"/>
    </row>
    <row r="1188" spans="1:15" x14ac:dyDescent="0.2">
      <c r="A1188"/>
      <c r="B1188"/>
      <c r="C1188"/>
      <c r="F1188"/>
      <c r="G1188"/>
      <c r="M1188"/>
      <c r="N1188"/>
      <c r="O1188"/>
    </row>
    <row r="1189" spans="1:15" x14ac:dyDescent="0.2">
      <c r="A1189"/>
      <c r="B1189"/>
      <c r="C1189"/>
      <c r="F1189"/>
      <c r="G1189"/>
      <c r="H1189"/>
      <c r="L1189"/>
      <c r="M1189"/>
      <c r="N1189"/>
      <c r="O1189"/>
    </row>
    <row r="1190" spans="1:15" x14ac:dyDescent="0.2">
      <c r="A1190"/>
      <c r="B1190"/>
      <c r="C1190"/>
      <c r="F1190"/>
      <c r="G1190"/>
      <c r="H1190"/>
      <c r="I1190"/>
      <c r="L1190"/>
      <c r="M1190"/>
      <c r="N1190"/>
      <c r="O1190"/>
    </row>
    <row r="1191" spans="1:15" x14ac:dyDescent="0.2">
      <c r="A1191"/>
      <c r="B1191"/>
      <c r="C1191"/>
      <c r="F1191"/>
      <c r="G1191"/>
      <c r="L1191"/>
      <c r="M1191"/>
      <c r="N1191"/>
      <c r="O1191"/>
    </row>
    <row r="1192" spans="1:15" x14ac:dyDescent="0.2">
      <c r="A1192"/>
      <c r="B1192"/>
      <c r="C1192"/>
      <c r="F1192"/>
      <c r="G1192"/>
      <c r="I1192"/>
      <c r="L1192"/>
      <c r="M1192"/>
      <c r="N1192"/>
      <c r="O1192"/>
    </row>
    <row r="1193" spans="1:15" x14ac:dyDescent="0.2">
      <c r="A1193"/>
      <c r="B1193"/>
      <c r="C1193"/>
      <c r="F1193"/>
      <c r="G1193"/>
      <c r="H1193"/>
      <c r="J1193"/>
      <c r="K1193"/>
      <c r="L1193"/>
      <c r="M1193"/>
      <c r="N1193"/>
      <c r="O1193"/>
    </row>
    <row r="1194" spans="1:15" x14ac:dyDescent="0.2">
      <c r="A1194"/>
      <c r="B1194"/>
      <c r="C1194"/>
      <c r="F1194"/>
      <c r="G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L1197"/>
      <c r="M1197"/>
      <c r="N1197"/>
      <c r="O1197"/>
    </row>
    <row r="1198" spans="1:15" x14ac:dyDescent="0.2">
      <c r="A1198"/>
      <c r="B1198"/>
      <c r="C1198"/>
      <c r="F1198"/>
      <c r="G1198"/>
      <c r="H1198"/>
      <c r="J1198"/>
      <c r="K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J1204"/>
      <c r="K1204"/>
      <c r="L1204"/>
      <c r="M1204"/>
      <c r="N1204"/>
      <c r="O1204"/>
    </row>
    <row r="1205" spans="1:15" x14ac:dyDescent="0.2">
      <c r="A1205"/>
      <c r="B1205"/>
      <c r="C1205"/>
      <c r="F1205"/>
      <c r="G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N1211"/>
      <c r="O1211"/>
    </row>
    <row r="1212" spans="1:15" x14ac:dyDescent="0.2">
      <c r="A1212"/>
      <c r="B1212"/>
      <c r="C1212"/>
      <c r="F1212"/>
      <c r="G1212"/>
      <c r="J1212"/>
      <c r="K1212"/>
      <c r="L1212"/>
      <c r="M1212"/>
      <c r="N1212"/>
      <c r="O1212"/>
    </row>
    <row r="1213" spans="1:15" x14ac:dyDescent="0.2">
      <c r="A1213"/>
      <c r="B1213"/>
      <c r="C1213"/>
      <c r="F1213"/>
      <c r="G1213"/>
      <c r="H1213"/>
      <c r="I1213"/>
      <c r="L1213"/>
      <c r="M1213"/>
      <c r="N1213"/>
      <c r="O1213"/>
    </row>
    <row r="1214" spans="1:15" x14ac:dyDescent="0.2">
      <c r="A1214"/>
      <c r="B1214"/>
      <c r="C1214"/>
      <c r="F1214"/>
      <c r="G1214"/>
      <c r="I1214"/>
      <c r="L1214"/>
      <c r="M1214"/>
      <c r="N1214"/>
      <c r="O1214"/>
    </row>
    <row r="1215" spans="1:15" x14ac:dyDescent="0.2">
      <c r="A1215"/>
      <c r="B1215"/>
      <c r="C1215"/>
      <c r="F1215"/>
      <c r="G1215"/>
      <c r="J1215"/>
      <c r="K1215"/>
      <c r="L1215"/>
      <c r="M1215"/>
      <c r="N1215"/>
      <c r="O1215"/>
    </row>
    <row r="1216" spans="1:15" x14ac:dyDescent="0.2">
      <c r="A1216"/>
      <c r="B1216"/>
      <c r="C1216"/>
      <c r="F1216"/>
      <c r="G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I1219"/>
      <c r="L1219"/>
      <c r="M1219"/>
      <c r="N1219"/>
      <c r="O1219"/>
    </row>
    <row r="1220" spans="1:15" x14ac:dyDescent="0.2">
      <c r="A1220"/>
      <c r="B1220"/>
      <c r="C1220"/>
      <c r="F1220"/>
      <c r="G1220"/>
      <c r="H1220"/>
      <c r="L1220"/>
      <c r="M1220"/>
      <c r="N1220"/>
      <c r="O1220"/>
    </row>
    <row r="1221" spans="1:15" x14ac:dyDescent="0.2">
      <c r="A1221"/>
      <c r="B1221"/>
      <c r="C1221"/>
      <c r="F1221"/>
      <c r="G1221"/>
      <c r="H1221"/>
      <c r="I1221"/>
      <c r="L1221"/>
      <c r="M1221"/>
      <c r="N1221"/>
      <c r="O1221"/>
    </row>
    <row r="1222" spans="1:15" x14ac:dyDescent="0.2">
      <c r="A1222"/>
      <c r="B1222"/>
      <c r="C1222"/>
      <c r="F1222"/>
      <c r="G1222"/>
      <c r="I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I1224"/>
      <c r="L1224"/>
      <c r="M1224"/>
      <c r="N1224"/>
      <c r="O1224"/>
    </row>
    <row r="1225" spans="1:15" x14ac:dyDescent="0.2">
      <c r="A1225"/>
      <c r="B1225"/>
      <c r="C1225"/>
      <c r="F1225"/>
      <c r="G1225"/>
      <c r="H1225"/>
      <c r="I1225"/>
      <c r="L1225"/>
      <c r="M1225"/>
      <c r="N1225"/>
      <c r="O1225"/>
    </row>
    <row r="1226" spans="1:15" x14ac:dyDescent="0.2">
      <c r="A1226"/>
      <c r="B1226"/>
      <c r="C1226"/>
      <c r="F1226"/>
      <c r="G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I1230"/>
      <c r="L1230"/>
      <c r="M1230"/>
      <c r="N1230"/>
      <c r="O1230"/>
    </row>
    <row r="1231" spans="1:15" x14ac:dyDescent="0.2">
      <c r="A1231"/>
      <c r="B1231"/>
      <c r="C1231"/>
      <c r="F1231"/>
      <c r="G1231"/>
      <c r="H1231"/>
      <c r="I1231"/>
      <c r="L1231"/>
      <c r="M1231"/>
      <c r="N1231"/>
      <c r="O1231"/>
    </row>
    <row r="1232" spans="1:15" x14ac:dyDescent="0.2">
      <c r="A1232"/>
      <c r="B1232"/>
      <c r="C1232"/>
      <c r="F1232"/>
      <c r="G1232"/>
      <c r="I1232"/>
      <c r="L1232"/>
      <c r="M1232"/>
      <c r="N1232"/>
      <c r="O1232"/>
    </row>
    <row r="1233" spans="1:15" x14ac:dyDescent="0.2">
      <c r="A1233"/>
      <c r="B1233"/>
      <c r="C1233"/>
      <c r="F1233"/>
      <c r="G1233"/>
      <c r="H1233"/>
      <c r="L1233"/>
      <c r="M1233"/>
      <c r="N1233"/>
      <c r="O1233"/>
    </row>
    <row r="1234" spans="1:15" x14ac:dyDescent="0.2">
      <c r="A1234"/>
      <c r="B1234"/>
      <c r="C1234"/>
      <c r="F1234"/>
      <c r="G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L1237"/>
      <c r="M1237"/>
      <c r="N1237"/>
      <c r="O1237"/>
    </row>
    <row r="1238" spans="1:15" x14ac:dyDescent="0.2">
      <c r="A1238"/>
      <c r="B1238"/>
      <c r="C1238"/>
      <c r="F1238"/>
      <c r="G1238"/>
      <c r="H1238"/>
      <c r="M1238"/>
      <c r="N1238"/>
      <c r="O1238"/>
    </row>
    <row r="1239" spans="1:15" x14ac:dyDescent="0.2">
      <c r="A1239"/>
      <c r="B1239"/>
      <c r="C1239"/>
      <c r="F1239"/>
      <c r="G1239"/>
      <c r="H1239"/>
      <c r="J1239"/>
      <c r="K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L1242"/>
      <c r="M1242"/>
      <c r="N1242"/>
      <c r="O1242"/>
    </row>
    <row r="1243" spans="1:15" x14ac:dyDescent="0.2">
      <c r="A1243"/>
      <c r="B1243"/>
      <c r="C1243"/>
      <c r="F1243"/>
      <c r="G1243"/>
      <c r="H1243"/>
      <c r="I1243"/>
      <c r="J1243"/>
      <c r="K1243"/>
      <c r="L1243"/>
      <c r="M1243"/>
      <c r="N1243"/>
      <c r="O1243"/>
    </row>
    <row r="1244" spans="1:15" x14ac:dyDescent="0.2">
      <c r="A1244"/>
      <c r="B1244"/>
      <c r="C1244"/>
      <c r="F1244"/>
      <c r="G1244"/>
      <c r="H1244"/>
      <c r="I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J1250"/>
      <c r="K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I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I1257"/>
      <c r="L1257"/>
      <c r="M1257"/>
      <c r="N1257"/>
      <c r="O1257"/>
    </row>
    <row r="1258" spans="1:15" x14ac:dyDescent="0.2">
      <c r="A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L1265"/>
      <c r="M1265"/>
      <c r="N1265"/>
      <c r="O1265"/>
    </row>
    <row r="1266" spans="1:15" x14ac:dyDescent="0.2">
      <c r="A1266"/>
      <c r="B1266"/>
      <c r="C1266"/>
      <c r="F1266"/>
      <c r="G1266"/>
      <c r="H1266"/>
      <c r="I1266"/>
      <c r="L1266"/>
      <c r="M1266"/>
      <c r="N1266"/>
      <c r="O1266"/>
    </row>
    <row r="1267" spans="1:15" x14ac:dyDescent="0.2">
      <c r="A1267"/>
      <c r="B1267"/>
      <c r="C1267"/>
      <c r="F1267"/>
      <c r="G1267"/>
      <c r="L1267"/>
      <c r="M1267"/>
      <c r="N1267"/>
      <c r="O1267"/>
    </row>
    <row r="1268" spans="1:15" x14ac:dyDescent="0.2">
      <c r="A1268"/>
      <c r="B1268"/>
      <c r="C1268"/>
      <c r="F1268"/>
      <c r="G1268"/>
      <c r="I1268"/>
      <c r="L1268"/>
      <c r="M1268"/>
      <c r="N1268"/>
      <c r="O1268"/>
    </row>
    <row r="1269" spans="1:15" x14ac:dyDescent="0.2">
      <c r="A1269"/>
      <c r="B1269"/>
      <c r="C1269"/>
      <c r="F1269"/>
      <c r="G1269"/>
      <c r="J1269"/>
      <c r="K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I1276"/>
      <c r="L1276"/>
      <c r="M1276"/>
      <c r="N1276"/>
      <c r="O1276"/>
    </row>
    <row r="1277" spans="1:15" x14ac:dyDescent="0.2">
      <c r="A1277"/>
      <c r="B1277"/>
      <c r="C1277"/>
      <c r="F1277"/>
      <c r="G1277"/>
      <c r="I1277"/>
      <c r="L1277"/>
      <c r="M1277"/>
      <c r="N1277"/>
      <c r="O1277"/>
    </row>
    <row r="1278" spans="1:15" x14ac:dyDescent="0.2">
      <c r="A1278"/>
      <c r="B1278"/>
      <c r="C1278"/>
      <c r="F1278"/>
      <c r="G1278"/>
      <c r="H1278"/>
      <c r="I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I1281"/>
      <c r="L1281"/>
      <c r="M1281"/>
      <c r="N1281"/>
      <c r="O1281"/>
    </row>
    <row r="1282" spans="1:15" x14ac:dyDescent="0.2">
      <c r="A1282"/>
      <c r="B1282"/>
      <c r="C1282"/>
      <c r="F1282"/>
      <c r="G1282"/>
      <c r="H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J1286"/>
      <c r="K1286"/>
      <c r="L1286"/>
      <c r="M1286"/>
      <c r="N1286"/>
      <c r="O1286"/>
    </row>
    <row r="1287" spans="1:15" x14ac:dyDescent="0.2">
      <c r="A1287"/>
      <c r="B1287"/>
      <c r="C1287"/>
      <c r="F1287"/>
      <c r="G1287"/>
      <c r="H1287"/>
      <c r="J1287"/>
      <c r="K1287"/>
      <c r="L1287"/>
      <c r="M1287"/>
      <c r="N1287"/>
      <c r="O1287"/>
    </row>
    <row r="1288" spans="1:15" x14ac:dyDescent="0.2">
      <c r="A1288"/>
      <c r="B1288"/>
      <c r="C1288"/>
      <c r="F1288"/>
      <c r="G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J1291"/>
      <c r="K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J1294"/>
      <c r="K1294"/>
      <c r="L1294"/>
      <c r="M1294"/>
      <c r="N1294"/>
      <c r="O1294"/>
    </row>
    <row r="1295" spans="1:15" x14ac:dyDescent="0.2">
      <c r="A1295"/>
      <c r="B1295"/>
      <c r="C1295"/>
      <c r="F1295"/>
      <c r="G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J1300"/>
      <c r="K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J1326"/>
      <c r="K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L1330"/>
      <c r="M1330"/>
      <c r="N1330"/>
      <c r="O1330"/>
    </row>
    <row r="1331" spans="1:15" x14ac:dyDescent="0.2">
      <c r="A1331"/>
      <c r="B1331"/>
      <c r="C1331"/>
      <c r="F1331"/>
      <c r="G1331"/>
      <c r="H1331"/>
      <c r="J1331"/>
      <c r="K1331"/>
      <c r="L1331"/>
      <c r="M1331"/>
      <c r="N1331"/>
      <c r="O1331"/>
    </row>
    <row r="1332" spans="1:15" x14ac:dyDescent="0.2">
      <c r="A1332"/>
      <c r="B1332"/>
      <c r="C1332"/>
      <c r="F1332"/>
      <c r="G1332"/>
      <c r="J1332"/>
      <c r="K1332"/>
      <c r="L1332"/>
      <c r="M1332"/>
      <c r="N1332"/>
      <c r="O1332"/>
    </row>
    <row r="1333" spans="1:15" x14ac:dyDescent="0.2">
      <c r="A1333"/>
      <c r="B1333"/>
      <c r="C1333"/>
      <c r="F1333"/>
      <c r="G1333"/>
      <c r="H1333"/>
      <c r="I1333"/>
      <c r="L1333"/>
      <c r="N1333"/>
      <c r="O1333"/>
    </row>
    <row r="1334" spans="1:15" x14ac:dyDescent="0.2">
      <c r="A1334"/>
      <c r="B1334"/>
      <c r="C1334"/>
      <c r="F1334"/>
      <c r="G1334"/>
      <c r="I1334"/>
      <c r="L1334"/>
      <c r="M1334"/>
      <c r="N1334"/>
      <c r="O1334"/>
    </row>
    <row r="1335" spans="1:15" x14ac:dyDescent="0.2">
      <c r="A1335"/>
      <c r="B1335"/>
      <c r="C1335"/>
      <c r="F1335"/>
      <c r="G1335"/>
      <c r="L1335"/>
      <c r="M1335"/>
      <c r="N1335"/>
      <c r="O1335"/>
    </row>
    <row r="1336" spans="1:15" x14ac:dyDescent="0.2">
      <c r="A1336"/>
      <c r="B1336"/>
      <c r="C1336"/>
      <c r="F1336"/>
      <c r="G1336"/>
      <c r="H1336"/>
      <c r="I1336"/>
      <c r="L1336"/>
      <c r="M1336"/>
      <c r="N1336"/>
      <c r="O1336"/>
    </row>
    <row r="1337" spans="1:15" x14ac:dyDescent="0.2">
      <c r="A1337"/>
      <c r="B1337"/>
      <c r="C1337"/>
      <c r="F1337"/>
      <c r="G1337"/>
      <c r="L1337"/>
      <c r="M1337"/>
      <c r="N1337"/>
      <c r="O1337"/>
    </row>
    <row r="1338" spans="1:15" x14ac:dyDescent="0.2">
      <c r="A1338"/>
      <c r="B1338"/>
      <c r="C1338"/>
      <c r="F1338"/>
      <c r="G1338"/>
      <c r="L1338"/>
      <c r="M1338"/>
      <c r="N1338"/>
      <c r="O1338"/>
    </row>
    <row r="1339" spans="1:15" x14ac:dyDescent="0.2">
      <c r="A1339"/>
      <c r="B1339"/>
      <c r="C1339"/>
      <c r="F1339"/>
      <c r="G1339"/>
      <c r="I1339"/>
      <c r="L1339"/>
      <c r="M1339"/>
      <c r="N1339"/>
      <c r="O1339"/>
    </row>
    <row r="1340" spans="1:15" x14ac:dyDescent="0.2">
      <c r="A1340"/>
      <c r="B1340"/>
      <c r="C1340"/>
      <c r="F1340"/>
      <c r="G1340"/>
      <c r="H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H1347"/>
      <c r="I1347"/>
      <c r="L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J1350"/>
      <c r="K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J1355"/>
      <c r="K1355"/>
      <c r="L1355"/>
      <c r="M1355"/>
      <c r="N1355"/>
      <c r="O1355"/>
    </row>
    <row r="1356" spans="1:15" x14ac:dyDescent="0.2">
      <c r="A1356"/>
      <c r="B1356"/>
      <c r="C1356"/>
      <c r="F1356"/>
      <c r="G1356"/>
      <c r="L1356"/>
      <c r="M1356"/>
      <c r="N1356"/>
      <c r="O1356"/>
    </row>
    <row r="1357" spans="1:15" x14ac:dyDescent="0.2">
      <c r="A1357"/>
      <c r="B1357"/>
      <c r="C1357"/>
      <c r="F1357"/>
      <c r="G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J1370"/>
      <c r="K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I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L1405"/>
      <c r="M1405"/>
      <c r="N1405"/>
      <c r="O1405"/>
    </row>
    <row r="1406" spans="1:15" x14ac:dyDescent="0.2">
      <c r="A1406"/>
      <c r="B1406"/>
      <c r="C1406"/>
      <c r="F1406"/>
      <c r="G1406"/>
      <c r="H1406"/>
      <c r="I1406"/>
      <c r="L1406"/>
      <c r="M1406"/>
      <c r="N1406"/>
      <c r="O1406"/>
    </row>
    <row r="1407" spans="1:15" x14ac:dyDescent="0.2">
      <c r="A1407"/>
      <c r="B1407"/>
      <c r="C1407"/>
      <c r="F1407"/>
      <c r="G1407"/>
      <c r="H1407"/>
      <c r="M1407"/>
      <c r="N1407"/>
      <c r="O1407"/>
    </row>
    <row r="1408" spans="1:15" x14ac:dyDescent="0.2">
      <c r="A1408"/>
      <c r="B1408"/>
      <c r="C1408"/>
      <c r="F1408"/>
      <c r="G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L1425"/>
      <c r="M1425"/>
      <c r="N1425"/>
      <c r="O1425"/>
    </row>
    <row r="1426" spans="1:15" x14ac:dyDescent="0.2">
      <c r="A1426"/>
      <c r="B1426"/>
      <c r="C1426"/>
      <c r="F1426"/>
      <c r="G1426"/>
      <c r="J1426"/>
      <c r="K1426"/>
      <c r="L1426"/>
      <c r="M1426"/>
      <c r="N1426"/>
      <c r="O1426"/>
    </row>
    <row r="1427" spans="1:15" x14ac:dyDescent="0.2">
      <c r="A1427"/>
      <c r="B1427"/>
      <c r="C1427"/>
      <c r="F1427"/>
      <c r="G1427"/>
      <c r="L1427"/>
      <c r="M1427"/>
      <c r="N1427"/>
      <c r="O1427"/>
    </row>
    <row r="1428" spans="1:15" x14ac:dyDescent="0.2">
      <c r="A1428"/>
      <c r="B1428"/>
      <c r="C1428"/>
      <c r="F1428"/>
      <c r="G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I1431"/>
      <c r="L1431"/>
      <c r="M1431"/>
      <c r="N1431"/>
      <c r="O1431"/>
    </row>
    <row r="1432" spans="1:15" x14ac:dyDescent="0.2">
      <c r="A1432"/>
      <c r="B1432"/>
      <c r="C1432"/>
      <c r="F1432"/>
      <c r="G1432"/>
      <c r="H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I1437"/>
      <c r="L1437"/>
      <c r="M1437"/>
      <c r="N1437"/>
      <c r="O1437"/>
    </row>
    <row r="1438" spans="1:15" x14ac:dyDescent="0.2">
      <c r="A1438"/>
      <c r="B1438"/>
      <c r="C1438"/>
      <c r="F1438"/>
      <c r="G1438"/>
      <c r="H1438"/>
      <c r="I1438"/>
      <c r="L1438"/>
      <c r="M1438"/>
      <c r="N1438"/>
      <c r="O1438"/>
    </row>
    <row r="1439" spans="1:15" x14ac:dyDescent="0.2">
      <c r="A1439"/>
      <c r="B1439"/>
      <c r="C1439"/>
      <c r="F1439"/>
      <c r="G1439"/>
      <c r="H1439"/>
      <c r="I1439"/>
      <c r="L1439"/>
      <c r="N1439"/>
      <c r="O1439"/>
    </row>
    <row r="1440" spans="1:15" x14ac:dyDescent="0.2">
      <c r="A1440"/>
      <c r="B1440"/>
      <c r="C1440"/>
      <c r="F1440"/>
      <c r="G1440"/>
      <c r="J1440"/>
      <c r="K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J1443"/>
      <c r="K1443"/>
      <c r="L1443"/>
      <c r="M1443"/>
      <c r="N1443"/>
      <c r="O1443"/>
    </row>
    <row r="1444" spans="1:15" x14ac:dyDescent="0.2">
      <c r="A1444"/>
      <c r="B1444"/>
      <c r="C1444"/>
      <c r="F1444"/>
      <c r="G1444"/>
      <c r="H1444"/>
      <c r="J1444"/>
      <c r="K1444"/>
      <c r="M1444"/>
      <c r="N1444"/>
      <c r="O1444"/>
    </row>
    <row r="1445" spans="1:15" x14ac:dyDescent="0.2">
      <c r="A1445"/>
      <c r="B1445"/>
      <c r="C1445"/>
      <c r="F1445"/>
      <c r="G1445"/>
      <c r="H1445"/>
      <c r="J1445"/>
      <c r="K1445"/>
      <c r="L1445"/>
      <c r="M1445"/>
      <c r="N1445"/>
      <c r="O1445"/>
    </row>
    <row r="1446" spans="1:15" x14ac:dyDescent="0.2">
      <c r="A1446"/>
      <c r="B1446"/>
      <c r="C1446"/>
      <c r="F1446"/>
      <c r="G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J1450"/>
      <c r="L1450"/>
      <c r="M1450"/>
      <c r="N1450"/>
      <c r="O1450"/>
    </row>
    <row r="1451" spans="1:15" x14ac:dyDescent="0.2">
      <c r="A1451"/>
      <c r="B1451"/>
      <c r="C1451"/>
      <c r="F1451"/>
      <c r="G1451"/>
      <c r="I1451"/>
      <c r="L1451"/>
      <c r="N1451"/>
      <c r="O1451"/>
    </row>
    <row r="1452" spans="1:15" x14ac:dyDescent="0.2">
      <c r="A1452"/>
      <c r="B1452"/>
      <c r="C1452"/>
      <c r="F1452"/>
      <c r="G1452"/>
      <c r="L1452"/>
      <c r="M1452"/>
      <c r="N1452"/>
      <c r="O1452"/>
    </row>
    <row r="1453" spans="1:15" x14ac:dyDescent="0.2">
      <c r="A1453"/>
      <c r="B1453"/>
      <c r="C1453"/>
      <c r="F1453"/>
      <c r="G1453"/>
      <c r="H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J1455"/>
      <c r="K1455"/>
      <c r="L1455"/>
      <c r="M1455"/>
      <c r="N1455"/>
      <c r="O1455"/>
    </row>
    <row r="1456" spans="1:15" x14ac:dyDescent="0.2">
      <c r="A1456"/>
      <c r="B1456"/>
      <c r="C1456"/>
      <c r="F1456"/>
      <c r="G1456"/>
      <c r="H1456"/>
      <c r="I1456"/>
      <c r="L1456"/>
      <c r="M1456"/>
      <c r="N1456"/>
      <c r="O1456"/>
    </row>
    <row r="1457" spans="1:15" x14ac:dyDescent="0.2">
      <c r="A1457"/>
      <c r="B1457"/>
      <c r="C1457"/>
      <c r="F1457"/>
      <c r="G1457"/>
      <c r="H1457"/>
      <c r="L1457"/>
      <c r="M1457"/>
      <c r="N1457"/>
      <c r="O1457"/>
    </row>
    <row r="1458" spans="1:15" x14ac:dyDescent="0.2">
      <c r="A1458"/>
      <c r="B1458"/>
      <c r="C1458"/>
      <c r="F1458"/>
      <c r="G1458"/>
      <c r="H1458"/>
      <c r="I1458"/>
      <c r="L1458"/>
      <c r="N1458"/>
      <c r="O1458"/>
    </row>
    <row r="1459" spans="1:15" x14ac:dyDescent="0.2">
      <c r="A1459"/>
      <c r="B1459"/>
      <c r="C1459"/>
      <c r="F1459"/>
      <c r="G1459"/>
      <c r="I1459"/>
      <c r="L1459"/>
      <c r="M1459"/>
      <c r="N1459"/>
      <c r="O1459"/>
    </row>
    <row r="1460" spans="1:15" x14ac:dyDescent="0.2">
      <c r="A1460"/>
      <c r="B1460"/>
      <c r="C1460"/>
      <c r="F1460"/>
      <c r="G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L1468"/>
      <c r="M1468"/>
      <c r="N1468"/>
      <c r="O1468"/>
    </row>
    <row r="1469" spans="1:15" x14ac:dyDescent="0.2">
      <c r="A1469"/>
      <c r="B1469"/>
      <c r="C1469"/>
      <c r="F1469"/>
      <c r="G1469"/>
      <c r="H1469"/>
      <c r="I1469"/>
      <c r="L1469"/>
      <c r="M1469"/>
      <c r="N1469"/>
      <c r="O1469"/>
    </row>
    <row r="1470" spans="1:15" x14ac:dyDescent="0.2">
      <c r="A1470"/>
      <c r="B1470"/>
      <c r="C1470"/>
      <c r="F1470"/>
      <c r="G1470"/>
      <c r="H1470"/>
      <c r="I1470"/>
      <c r="L1470"/>
      <c r="M1470"/>
      <c r="N1470"/>
      <c r="O1470"/>
    </row>
    <row r="1471" spans="1:15" x14ac:dyDescent="0.2">
      <c r="A1471"/>
      <c r="B1471"/>
      <c r="C1471"/>
      <c r="F1471"/>
      <c r="G1471"/>
      <c r="J1471"/>
      <c r="K1471"/>
      <c r="L1471"/>
      <c r="M1471"/>
      <c r="N1471"/>
      <c r="O1471"/>
    </row>
    <row r="1472" spans="1:15" x14ac:dyDescent="0.2">
      <c r="A1472"/>
      <c r="B1472"/>
      <c r="C1472"/>
      <c r="F1472"/>
      <c r="G1472"/>
      <c r="H1472"/>
      <c r="I1472"/>
      <c r="L1472"/>
      <c r="M1472"/>
      <c r="N1472"/>
      <c r="O1472"/>
    </row>
    <row r="1473" spans="1:15" x14ac:dyDescent="0.2">
      <c r="A1473"/>
      <c r="B1473"/>
      <c r="C1473"/>
      <c r="F1473"/>
      <c r="G1473"/>
      <c r="I1473"/>
      <c r="L1473"/>
      <c r="M1473"/>
      <c r="N1473"/>
      <c r="O1473"/>
    </row>
    <row r="1474" spans="1:15" x14ac:dyDescent="0.2">
      <c r="A1474"/>
      <c r="B1474"/>
      <c r="C1474"/>
      <c r="F1474"/>
      <c r="G1474"/>
      <c r="H1474"/>
      <c r="I1474"/>
      <c r="J1474"/>
      <c r="K1474"/>
      <c r="L1474"/>
      <c r="M1474"/>
      <c r="N1474"/>
      <c r="O1474"/>
    </row>
    <row r="1475" spans="1:15" x14ac:dyDescent="0.2">
      <c r="A1475"/>
      <c r="B1475"/>
      <c r="C1475"/>
      <c r="F1475"/>
      <c r="G1475"/>
      <c r="I1475"/>
      <c r="L1475"/>
      <c r="M1475"/>
      <c r="N1475"/>
      <c r="O1475"/>
    </row>
    <row r="1476" spans="1:15" x14ac:dyDescent="0.2">
      <c r="A1476"/>
      <c r="B1476"/>
      <c r="C1476"/>
      <c r="F1476"/>
      <c r="G1476"/>
      <c r="L1476"/>
      <c r="M1476"/>
      <c r="N1476"/>
      <c r="O1476"/>
    </row>
    <row r="1477" spans="1:15" x14ac:dyDescent="0.2">
      <c r="A1477"/>
      <c r="B1477"/>
      <c r="C1477"/>
      <c r="F1477"/>
      <c r="G1477"/>
      <c r="H1477"/>
      <c r="I1477"/>
      <c r="L1477"/>
      <c r="M1477"/>
      <c r="N1477"/>
      <c r="O1477"/>
    </row>
    <row r="1478" spans="1:15" x14ac:dyDescent="0.2">
      <c r="A1478"/>
      <c r="B1478"/>
      <c r="C1478"/>
      <c r="F1478"/>
      <c r="G1478"/>
      <c r="H1478"/>
      <c r="I1478"/>
      <c r="L1478"/>
      <c r="N1478"/>
      <c r="O1478"/>
    </row>
    <row r="1479" spans="1:15" x14ac:dyDescent="0.2">
      <c r="A1479"/>
      <c r="B1479"/>
      <c r="C1479"/>
      <c r="F1479"/>
      <c r="G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J1483"/>
      <c r="K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M1485"/>
      <c r="N1485"/>
      <c r="O1485"/>
    </row>
    <row r="1486" spans="1:15" x14ac:dyDescent="0.2">
      <c r="A1486"/>
      <c r="B1486"/>
      <c r="C1486"/>
      <c r="F1486"/>
      <c r="G1486"/>
      <c r="H1486"/>
      <c r="L1486"/>
      <c r="M1486"/>
      <c r="N1486"/>
      <c r="O1486"/>
    </row>
    <row r="1487" spans="1:15" x14ac:dyDescent="0.2">
      <c r="A1487"/>
      <c r="B1487"/>
      <c r="C1487"/>
      <c r="F1487"/>
      <c r="G1487"/>
      <c r="H1487"/>
      <c r="I1487"/>
      <c r="L1487"/>
      <c r="M1487"/>
      <c r="N1487"/>
      <c r="O1487"/>
    </row>
    <row r="1488" spans="1:15" x14ac:dyDescent="0.2">
      <c r="A1488"/>
      <c r="B1488"/>
      <c r="C1488"/>
      <c r="F1488"/>
      <c r="G1488"/>
      <c r="H1488"/>
      <c r="I1488"/>
      <c r="L1488"/>
      <c r="N1488"/>
      <c r="O1488"/>
    </row>
    <row r="1489" spans="1:15" x14ac:dyDescent="0.2">
      <c r="A1489"/>
      <c r="B1489"/>
      <c r="C1489"/>
      <c r="F1489"/>
      <c r="G1489"/>
      <c r="H1489"/>
      <c r="I1489"/>
      <c r="L1489"/>
      <c r="M1489"/>
      <c r="N1489"/>
      <c r="O1489"/>
    </row>
    <row r="1490" spans="1:15" x14ac:dyDescent="0.2">
      <c r="A1490"/>
      <c r="B1490"/>
      <c r="C1490"/>
      <c r="F1490"/>
      <c r="G1490"/>
      <c r="H1490"/>
      <c r="I1490"/>
      <c r="J1490"/>
      <c r="K1490"/>
      <c r="L1490"/>
      <c r="M1490"/>
      <c r="N1490"/>
      <c r="O1490"/>
    </row>
    <row r="1491" spans="1:15" x14ac:dyDescent="0.2">
      <c r="A1491"/>
      <c r="B1491"/>
      <c r="C1491"/>
      <c r="F1491"/>
      <c r="G1491"/>
      <c r="H1491"/>
      <c r="J1491"/>
      <c r="K1491"/>
      <c r="L1491"/>
      <c r="M1491"/>
      <c r="N1491"/>
      <c r="O1491"/>
    </row>
    <row r="1492" spans="1:15" x14ac:dyDescent="0.2">
      <c r="A1492"/>
      <c r="B1492"/>
      <c r="C1492"/>
      <c r="F1492"/>
      <c r="G1492"/>
      <c r="L1492"/>
      <c r="M1492"/>
      <c r="N1492"/>
      <c r="O1492"/>
    </row>
    <row r="1493" spans="1:15" x14ac:dyDescent="0.2">
      <c r="A1493"/>
      <c r="B1493"/>
      <c r="C1493"/>
      <c r="F1493"/>
      <c r="G1493"/>
      <c r="H1493"/>
      <c r="I1493"/>
      <c r="L1493"/>
      <c r="M1493"/>
      <c r="N1493"/>
      <c r="O1493"/>
    </row>
    <row r="1494" spans="1:15" x14ac:dyDescent="0.2">
      <c r="A1494"/>
      <c r="B1494"/>
      <c r="C1494"/>
      <c r="F1494"/>
      <c r="G1494"/>
      <c r="M1494"/>
      <c r="N1494"/>
      <c r="O1494"/>
    </row>
    <row r="1495" spans="1:15" x14ac:dyDescent="0.2">
      <c r="A1495"/>
      <c r="B1495"/>
      <c r="C1495"/>
      <c r="F1495"/>
      <c r="G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J1500"/>
      <c r="K1500"/>
      <c r="L1500"/>
      <c r="M1500"/>
      <c r="N1500"/>
      <c r="O1500"/>
    </row>
    <row r="1501" spans="1:15" x14ac:dyDescent="0.2">
      <c r="A1501"/>
      <c r="B1501"/>
      <c r="C1501"/>
      <c r="F1501"/>
      <c r="G1501"/>
      <c r="H1501"/>
      <c r="I1501"/>
      <c r="L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L1504"/>
      <c r="M1504"/>
      <c r="N1504"/>
      <c r="O1504"/>
    </row>
    <row r="1505" spans="1:15" x14ac:dyDescent="0.2">
      <c r="A1505"/>
      <c r="B1505"/>
      <c r="C1505"/>
      <c r="F1505"/>
      <c r="G1505"/>
      <c r="H1505"/>
      <c r="I1505"/>
      <c r="L1505"/>
      <c r="M1505"/>
      <c r="N1505"/>
      <c r="O1505"/>
    </row>
    <row r="1506" spans="1:15" x14ac:dyDescent="0.2">
      <c r="A1506"/>
      <c r="B1506"/>
      <c r="C1506"/>
      <c r="F1506"/>
      <c r="G1506"/>
      <c r="H1506"/>
      <c r="I1506"/>
      <c r="L1506"/>
      <c r="M1506"/>
      <c r="N1506"/>
      <c r="O1506"/>
    </row>
    <row r="1507" spans="1:15" x14ac:dyDescent="0.2">
      <c r="A1507"/>
      <c r="B1507"/>
      <c r="C1507"/>
      <c r="F1507"/>
      <c r="G1507"/>
      <c r="H1507"/>
      <c r="L1507"/>
      <c r="M1507"/>
      <c r="N1507"/>
      <c r="O1507"/>
    </row>
    <row r="1508" spans="1:15" x14ac:dyDescent="0.2">
      <c r="A1508"/>
      <c r="B1508"/>
      <c r="C1508"/>
      <c r="F1508"/>
      <c r="G1508"/>
      <c r="L1508"/>
      <c r="M1508"/>
      <c r="N1508"/>
      <c r="O1508"/>
    </row>
    <row r="1509" spans="1:15" x14ac:dyDescent="0.2">
      <c r="A1509"/>
      <c r="B1509"/>
      <c r="C1509"/>
      <c r="F1509"/>
      <c r="G1509"/>
      <c r="M1509"/>
      <c r="N1509"/>
      <c r="O1509"/>
    </row>
    <row r="1510" spans="1:15" x14ac:dyDescent="0.2">
      <c r="A1510"/>
      <c r="B1510"/>
      <c r="C1510"/>
      <c r="F1510"/>
      <c r="G1510"/>
      <c r="H1510"/>
      <c r="I1510"/>
      <c r="L1510"/>
      <c r="M1510"/>
      <c r="N1510"/>
      <c r="O1510"/>
    </row>
    <row r="1511" spans="1:15" x14ac:dyDescent="0.2">
      <c r="A1511"/>
      <c r="B1511"/>
      <c r="C1511"/>
      <c r="F1511"/>
      <c r="G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J1513"/>
      <c r="K1513"/>
      <c r="L1513"/>
      <c r="M1513"/>
      <c r="N1513"/>
      <c r="O1513"/>
    </row>
    <row r="1514" spans="1:15" x14ac:dyDescent="0.2">
      <c r="A1514"/>
      <c r="B1514"/>
      <c r="C1514"/>
      <c r="F1514"/>
      <c r="G1514"/>
      <c r="H1514"/>
      <c r="I1514"/>
      <c r="L1514"/>
      <c r="M1514"/>
      <c r="N1514"/>
      <c r="O1514"/>
    </row>
    <row r="1515" spans="1:15" x14ac:dyDescent="0.2">
      <c r="A1515"/>
      <c r="B1515"/>
      <c r="C1515"/>
      <c r="F1515"/>
      <c r="G1515"/>
      <c r="L1515"/>
      <c r="M1515"/>
      <c r="N1515"/>
      <c r="O1515"/>
    </row>
    <row r="1516" spans="1:15" x14ac:dyDescent="0.2">
      <c r="A1516"/>
      <c r="B1516"/>
      <c r="C1516"/>
      <c r="F1516"/>
      <c r="G1516"/>
      <c r="H1516"/>
      <c r="I1516"/>
      <c r="L1516"/>
      <c r="M1516"/>
      <c r="N1516"/>
      <c r="O1516"/>
    </row>
    <row r="1517" spans="1:15" x14ac:dyDescent="0.2">
      <c r="A1517"/>
      <c r="B1517"/>
      <c r="C1517"/>
      <c r="F1517"/>
      <c r="G1517"/>
      <c r="H1517"/>
      <c r="I1517"/>
      <c r="L1517"/>
      <c r="N1517"/>
      <c r="O1517"/>
    </row>
    <row r="1518" spans="1:15" x14ac:dyDescent="0.2">
      <c r="A1518"/>
      <c r="B1518"/>
      <c r="C1518"/>
      <c r="F1518"/>
      <c r="G1518"/>
      <c r="L1518"/>
      <c r="M1518"/>
      <c r="N1518"/>
      <c r="O1518"/>
    </row>
    <row r="1519" spans="1:15" x14ac:dyDescent="0.2">
      <c r="A1519"/>
      <c r="B1519"/>
      <c r="C1519"/>
      <c r="F1519"/>
      <c r="G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I1525"/>
      <c r="L1525"/>
      <c r="M1525"/>
      <c r="N1525"/>
      <c r="O1525"/>
    </row>
    <row r="1526" spans="1:15" x14ac:dyDescent="0.2">
      <c r="A1526"/>
      <c r="B1526"/>
      <c r="C1526"/>
      <c r="F1526"/>
      <c r="G1526"/>
      <c r="I1526"/>
      <c r="L1526"/>
      <c r="M1526"/>
      <c r="N1526"/>
      <c r="O1526"/>
    </row>
    <row r="1527" spans="1:15" x14ac:dyDescent="0.2">
      <c r="A1527"/>
      <c r="B1527"/>
      <c r="C1527"/>
      <c r="F1527"/>
      <c r="G1527"/>
      <c r="L1527"/>
      <c r="M1527"/>
      <c r="N1527"/>
      <c r="O1527"/>
    </row>
    <row r="1528" spans="1:15" x14ac:dyDescent="0.2">
      <c r="A1528"/>
      <c r="B1528"/>
      <c r="C1528"/>
      <c r="F1528"/>
      <c r="G1528"/>
      <c r="H1528"/>
      <c r="I1528"/>
      <c r="L1528"/>
      <c r="M1528"/>
      <c r="N1528"/>
      <c r="O1528"/>
    </row>
    <row r="1529" spans="1:15" x14ac:dyDescent="0.2">
      <c r="A1529"/>
      <c r="B1529"/>
      <c r="C1529"/>
      <c r="F1529"/>
      <c r="G1529"/>
      <c r="J1529"/>
      <c r="K1529"/>
      <c r="L1529"/>
      <c r="M1529"/>
      <c r="N1529"/>
      <c r="O1529"/>
    </row>
    <row r="1530" spans="1:15" x14ac:dyDescent="0.2">
      <c r="A1530"/>
      <c r="B1530"/>
      <c r="C1530"/>
      <c r="F1530"/>
      <c r="G1530"/>
      <c r="M1530"/>
      <c r="N1530"/>
      <c r="O1530"/>
    </row>
    <row r="1531" spans="1:15" x14ac:dyDescent="0.2">
      <c r="A1531"/>
      <c r="B1531"/>
      <c r="C1531"/>
      <c r="F1531"/>
      <c r="G1531"/>
      <c r="L1531"/>
      <c r="M1531"/>
      <c r="N1531"/>
      <c r="O1531"/>
    </row>
    <row r="1532" spans="1:15" x14ac:dyDescent="0.2">
      <c r="A1532"/>
      <c r="B1532"/>
      <c r="C1532"/>
      <c r="F1532"/>
      <c r="G1532"/>
      <c r="L1532"/>
      <c r="M1532"/>
      <c r="N1532"/>
      <c r="O1532"/>
    </row>
    <row r="1533" spans="1:15" x14ac:dyDescent="0.2">
      <c r="A1533"/>
      <c r="B1533"/>
      <c r="C1533"/>
      <c r="F1533"/>
      <c r="G1533"/>
      <c r="H1533"/>
      <c r="I1533"/>
      <c r="J1533"/>
      <c r="K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N1536"/>
      <c r="O1536"/>
    </row>
    <row r="1537" spans="1:15" x14ac:dyDescent="0.2">
      <c r="A1537"/>
      <c r="B1537"/>
      <c r="C1537"/>
      <c r="F1537"/>
      <c r="G1537"/>
      <c r="H1537"/>
      <c r="I1537"/>
      <c r="L1537"/>
      <c r="M1537"/>
      <c r="N1537"/>
      <c r="O1537"/>
    </row>
    <row r="1538" spans="1:15" x14ac:dyDescent="0.2">
      <c r="A1538"/>
      <c r="B1538"/>
      <c r="C1538"/>
      <c r="F1538"/>
      <c r="G1538"/>
      <c r="H1538"/>
      <c r="L1538"/>
      <c r="M1538"/>
      <c r="N1538"/>
      <c r="O1538"/>
    </row>
    <row r="1539" spans="1:15" x14ac:dyDescent="0.2">
      <c r="A1539"/>
      <c r="B1539"/>
      <c r="C1539"/>
      <c r="F1539"/>
      <c r="G1539"/>
      <c r="L1539"/>
      <c r="M1539"/>
      <c r="N1539"/>
      <c r="O1539"/>
    </row>
    <row r="1540" spans="1:15" x14ac:dyDescent="0.2">
      <c r="A1540"/>
      <c r="B1540"/>
      <c r="C1540"/>
      <c r="F1540"/>
      <c r="G1540"/>
      <c r="H1540"/>
      <c r="J1540"/>
      <c r="K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L1548"/>
      <c r="M1548"/>
      <c r="N1548"/>
      <c r="O1548"/>
    </row>
    <row r="1549" spans="1:15" x14ac:dyDescent="0.2">
      <c r="A1549"/>
      <c r="B1549"/>
      <c r="C1549"/>
      <c r="F1549"/>
      <c r="G1549"/>
      <c r="H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M1556"/>
      <c r="N1556"/>
      <c r="O1556"/>
    </row>
    <row r="1557" spans="1:15" x14ac:dyDescent="0.2">
      <c r="A1557"/>
      <c r="B1557"/>
      <c r="C1557"/>
      <c r="F1557"/>
      <c r="G1557"/>
      <c r="L1557"/>
      <c r="M1557"/>
      <c r="N1557"/>
      <c r="O1557"/>
    </row>
    <row r="1558" spans="1:15" x14ac:dyDescent="0.2">
      <c r="A1558"/>
      <c r="B1558"/>
      <c r="C1558"/>
      <c r="F1558"/>
      <c r="G1558"/>
      <c r="H1558"/>
      <c r="I1558"/>
      <c r="J1558"/>
      <c r="K1558"/>
      <c r="L1558"/>
      <c r="M1558"/>
      <c r="N1558"/>
      <c r="O1558"/>
    </row>
    <row r="1559" spans="1:15" x14ac:dyDescent="0.2">
      <c r="A1559"/>
      <c r="B1559"/>
      <c r="C1559"/>
      <c r="F1559"/>
      <c r="G1559"/>
      <c r="H1559"/>
      <c r="I1559"/>
      <c r="L1559"/>
      <c r="M1559"/>
      <c r="N1559"/>
      <c r="O1559"/>
    </row>
    <row r="1560" spans="1:15" x14ac:dyDescent="0.2">
      <c r="A1560"/>
      <c r="B1560"/>
      <c r="C1560"/>
      <c r="F1560"/>
      <c r="G1560"/>
      <c r="L1560"/>
      <c r="M1560"/>
      <c r="N1560"/>
      <c r="O1560"/>
    </row>
    <row r="1561" spans="1:15" x14ac:dyDescent="0.2">
      <c r="A1561"/>
      <c r="B1561"/>
      <c r="C1561"/>
      <c r="F1561"/>
      <c r="G1561"/>
      <c r="J1561"/>
      <c r="K1561"/>
      <c r="L1561"/>
      <c r="M1561"/>
      <c r="N1561"/>
      <c r="O1561"/>
    </row>
    <row r="1562" spans="1:15" x14ac:dyDescent="0.2">
      <c r="A1562"/>
      <c r="B1562"/>
      <c r="C1562"/>
      <c r="F1562"/>
      <c r="G1562"/>
      <c r="H1562"/>
      <c r="J1562"/>
      <c r="K1562"/>
      <c r="L1562"/>
      <c r="M1562"/>
      <c r="N1562"/>
      <c r="O1562"/>
    </row>
    <row r="1563" spans="1:15" x14ac:dyDescent="0.2">
      <c r="A1563"/>
      <c r="B1563"/>
      <c r="C1563"/>
      <c r="F1563"/>
      <c r="G1563"/>
      <c r="H1563"/>
      <c r="L1563"/>
      <c r="M1563"/>
      <c r="N1563"/>
      <c r="O1563"/>
    </row>
    <row r="1564" spans="1:15" x14ac:dyDescent="0.2">
      <c r="A1564"/>
      <c r="B1564"/>
      <c r="C1564"/>
      <c r="F1564"/>
      <c r="G1564"/>
      <c r="H1564"/>
      <c r="I1564"/>
      <c r="J1564"/>
      <c r="K1564"/>
      <c r="L1564"/>
      <c r="M1564"/>
      <c r="N1564"/>
      <c r="O1564"/>
    </row>
    <row r="1565" spans="1:15" x14ac:dyDescent="0.2">
      <c r="A1565"/>
      <c r="B1565"/>
      <c r="C1565"/>
      <c r="F1565"/>
      <c r="G1565"/>
      <c r="H1565"/>
      <c r="J1565"/>
      <c r="K1565"/>
      <c r="L1565"/>
      <c r="M1565"/>
      <c r="N1565"/>
      <c r="O1565"/>
    </row>
    <row r="1566" spans="1:15" x14ac:dyDescent="0.2">
      <c r="A1566"/>
      <c r="B1566"/>
      <c r="C1566"/>
      <c r="F1566"/>
      <c r="G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L1568"/>
      <c r="M1568"/>
      <c r="N1568"/>
      <c r="O1568"/>
    </row>
    <row r="1569" spans="1:15" x14ac:dyDescent="0.2">
      <c r="A1569"/>
      <c r="B1569"/>
      <c r="C1569"/>
      <c r="F1569"/>
      <c r="G1569"/>
      <c r="H1569"/>
      <c r="I1569"/>
      <c r="L1569"/>
      <c r="M1569"/>
      <c r="N1569"/>
      <c r="O1569"/>
    </row>
    <row r="1570" spans="1:15" x14ac:dyDescent="0.2">
      <c r="A1570"/>
      <c r="B1570"/>
      <c r="C1570"/>
      <c r="F1570"/>
      <c r="G1570"/>
      <c r="J1570"/>
      <c r="K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I1576"/>
      <c r="L1576"/>
      <c r="M1576"/>
      <c r="N1576"/>
      <c r="O1576"/>
    </row>
    <row r="1577" spans="1:15" x14ac:dyDescent="0.2">
      <c r="A1577"/>
      <c r="B1577"/>
      <c r="C1577"/>
      <c r="F1577"/>
      <c r="G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H1583"/>
      <c r="I1583"/>
      <c r="L1583"/>
      <c r="M1583"/>
      <c r="N1583"/>
      <c r="O1583"/>
    </row>
    <row r="1584" spans="1:15" x14ac:dyDescent="0.2">
      <c r="A1584"/>
      <c r="B1584"/>
      <c r="C1584"/>
      <c r="F1584"/>
      <c r="G1584"/>
      <c r="J1584"/>
      <c r="K1584"/>
      <c r="L1584"/>
      <c r="M1584"/>
      <c r="N1584"/>
      <c r="O1584"/>
    </row>
    <row r="1585" spans="1:15" x14ac:dyDescent="0.2">
      <c r="A1585"/>
      <c r="B1585"/>
      <c r="C1585"/>
      <c r="F1585"/>
      <c r="G1585"/>
      <c r="H1585"/>
      <c r="I1585"/>
      <c r="L1585"/>
      <c r="M1585"/>
      <c r="N1585"/>
      <c r="O1585"/>
    </row>
    <row r="1586" spans="1:15" x14ac:dyDescent="0.2">
      <c r="A1586"/>
      <c r="B1586"/>
      <c r="C1586"/>
      <c r="F1586"/>
      <c r="G1586"/>
      <c r="L1586"/>
      <c r="M1586"/>
      <c r="N1586"/>
      <c r="O1586"/>
    </row>
    <row r="1587" spans="1:15" x14ac:dyDescent="0.2">
      <c r="A1587"/>
      <c r="B1587"/>
      <c r="C1587"/>
      <c r="F1587"/>
      <c r="G1587"/>
      <c r="H1587"/>
      <c r="I1587"/>
      <c r="L1587"/>
      <c r="M1587"/>
      <c r="N1587"/>
      <c r="O1587"/>
    </row>
    <row r="1588" spans="1:15" x14ac:dyDescent="0.2">
      <c r="A1588"/>
      <c r="B1588"/>
      <c r="C1588"/>
      <c r="F1588"/>
      <c r="G1588"/>
      <c r="H1588"/>
      <c r="J1588"/>
      <c r="K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H1599"/>
      <c r="I1599"/>
      <c r="L1599"/>
      <c r="N1599"/>
      <c r="O1599"/>
    </row>
    <row r="1600" spans="1:15" x14ac:dyDescent="0.2">
      <c r="A1600"/>
      <c r="B1600"/>
      <c r="C1600"/>
      <c r="F1600"/>
      <c r="G1600"/>
      <c r="I1600"/>
      <c r="L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L1606"/>
      <c r="M1606"/>
      <c r="N1606"/>
      <c r="O1606"/>
    </row>
    <row r="1607" spans="1:15" x14ac:dyDescent="0.2">
      <c r="A1607"/>
      <c r="B1607"/>
      <c r="C1607"/>
      <c r="F1607"/>
      <c r="G1607"/>
      <c r="H1607"/>
      <c r="I1607"/>
      <c r="L1607"/>
      <c r="M1607"/>
      <c r="N1607"/>
      <c r="O1607"/>
    </row>
    <row r="1608" spans="1:15" x14ac:dyDescent="0.2">
      <c r="A1608"/>
      <c r="B1608"/>
      <c r="C1608"/>
      <c r="F1608"/>
      <c r="G1608"/>
      <c r="J1608"/>
      <c r="K1608"/>
      <c r="L1608"/>
      <c r="M1608"/>
      <c r="N1608"/>
      <c r="O1608"/>
    </row>
    <row r="1609" spans="1:15" x14ac:dyDescent="0.2">
      <c r="A1609"/>
      <c r="B1609"/>
      <c r="C1609"/>
      <c r="F1609"/>
      <c r="G1609"/>
      <c r="I1609"/>
      <c r="L1609"/>
      <c r="M1609"/>
      <c r="N1609"/>
      <c r="O1609"/>
    </row>
    <row r="1610" spans="1:15" x14ac:dyDescent="0.2">
      <c r="A1610"/>
      <c r="B1610"/>
      <c r="C1610"/>
      <c r="F1610"/>
      <c r="G1610"/>
      <c r="H1610"/>
      <c r="I1610"/>
      <c r="L1610"/>
      <c r="N1610"/>
      <c r="O1610"/>
    </row>
    <row r="1611" spans="1:15" x14ac:dyDescent="0.2">
      <c r="A1611"/>
      <c r="B1611"/>
      <c r="C1611"/>
      <c r="F1611"/>
      <c r="G1611"/>
      <c r="M1611"/>
      <c r="N1611"/>
      <c r="O1611"/>
    </row>
    <row r="1612" spans="1:15" x14ac:dyDescent="0.2">
      <c r="A1612"/>
      <c r="B1612"/>
      <c r="C1612"/>
      <c r="F1612"/>
      <c r="G1612"/>
      <c r="M1612"/>
      <c r="N1612"/>
      <c r="O1612"/>
    </row>
    <row r="1613" spans="1:15" x14ac:dyDescent="0.2">
      <c r="A1613"/>
      <c r="B1613"/>
      <c r="C1613"/>
      <c r="F1613"/>
      <c r="G1613"/>
      <c r="H1613"/>
      <c r="I1613"/>
      <c r="L1613"/>
      <c r="N1613"/>
      <c r="O1613"/>
    </row>
    <row r="1614" spans="1:15" x14ac:dyDescent="0.2">
      <c r="A1614"/>
      <c r="B1614"/>
      <c r="C1614"/>
      <c r="F1614"/>
      <c r="G1614"/>
      <c r="H1614"/>
      <c r="I1614"/>
      <c r="L1614"/>
      <c r="M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H1617"/>
      <c r="I1617"/>
      <c r="L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I1621"/>
      <c r="L1621"/>
      <c r="M1621"/>
      <c r="N1621"/>
      <c r="O1621"/>
    </row>
    <row r="1622" spans="1:15" x14ac:dyDescent="0.2">
      <c r="A1622"/>
      <c r="B1622"/>
      <c r="C1622"/>
      <c r="F1622"/>
      <c r="G1622"/>
      <c r="H1622"/>
      <c r="J1622"/>
      <c r="L1622"/>
      <c r="M1622"/>
      <c r="N1622"/>
      <c r="O1622"/>
    </row>
    <row r="1623" spans="1:15" x14ac:dyDescent="0.2">
      <c r="A1623"/>
      <c r="B1623"/>
      <c r="C1623"/>
      <c r="F1623"/>
      <c r="G1623"/>
      <c r="L1623"/>
      <c r="M1623"/>
      <c r="N1623"/>
      <c r="O1623"/>
    </row>
    <row r="1624" spans="1:15" x14ac:dyDescent="0.2">
      <c r="A1624"/>
      <c r="B1624"/>
      <c r="C1624"/>
      <c r="F1624"/>
      <c r="G1624"/>
      <c r="H1624"/>
      <c r="J1624"/>
      <c r="K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K1632"/>
      <c r="L1632"/>
      <c r="M1632"/>
      <c r="N1632"/>
      <c r="O1632"/>
    </row>
    <row r="1633" spans="1:15" x14ac:dyDescent="0.2">
      <c r="A1633"/>
      <c r="B1633"/>
      <c r="C1633"/>
      <c r="F1633"/>
      <c r="G1633"/>
      <c r="I1633"/>
      <c r="L1633"/>
      <c r="M1633"/>
      <c r="N1633"/>
      <c r="O1633"/>
    </row>
    <row r="1634" spans="1:15" x14ac:dyDescent="0.2">
      <c r="A1634"/>
      <c r="B1634"/>
      <c r="C1634"/>
      <c r="F1634"/>
      <c r="G1634"/>
      <c r="J1634"/>
      <c r="K1634"/>
      <c r="L1634"/>
      <c r="M1634"/>
      <c r="N1634"/>
      <c r="O1634"/>
    </row>
    <row r="1635" spans="1:15" x14ac:dyDescent="0.2">
      <c r="A1635"/>
      <c r="B1635"/>
      <c r="C1635"/>
      <c r="F1635"/>
      <c r="G1635"/>
      <c r="L1635"/>
      <c r="M1635"/>
      <c r="N1635"/>
      <c r="O1635"/>
    </row>
    <row r="1636" spans="1:15" x14ac:dyDescent="0.2">
      <c r="A1636"/>
      <c r="B1636"/>
      <c r="C1636"/>
      <c r="F1636"/>
      <c r="G1636"/>
      <c r="H1636"/>
      <c r="I1636"/>
      <c r="L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J1642"/>
      <c r="K1642"/>
      <c r="M1642"/>
      <c r="N1642"/>
      <c r="O1642"/>
    </row>
    <row r="1643" spans="1:15" x14ac:dyDescent="0.2">
      <c r="A1643"/>
      <c r="B1643"/>
      <c r="C1643"/>
      <c r="F1643"/>
      <c r="G1643"/>
      <c r="H1643"/>
      <c r="I1643"/>
      <c r="L1643"/>
      <c r="M1643"/>
      <c r="N1643"/>
      <c r="O1643"/>
    </row>
    <row r="1644" spans="1:15" x14ac:dyDescent="0.2">
      <c r="A1644"/>
      <c r="B1644"/>
      <c r="C1644"/>
      <c r="F1644"/>
      <c r="G1644"/>
      <c r="I1644"/>
      <c r="L1644"/>
      <c r="M1644"/>
      <c r="N1644"/>
      <c r="O1644"/>
    </row>
    <row r="1645" spans="1:15" x14ac:dyDescent="0.2">
      <c r="A1645"/>
      <c r="B1645"/>
      <c r="C1645"/>
      <c r="F1645"/>
      <c r="G1645"/>
      <c r="I1645"/>
      <c r="L1645"/>
      <c r="M1645"/>
      <c r="N1645"/>
      <c r="O1645"/>
    </row>
    <row r="1646" spans="1:15" x14ac:dyDescent="0.2">
      <c r="A1646"/>
      <c r="B1646"/>
      <c r="C1646"/>
      <c r="F1646"/>
      <c r="G1646"/>
      <c r="H1646"/>
      <c r="I1646"/>
      <c r="L1646"/>
      <c r="N1646"/>
      <c r="O1646"/>
    </row>
    <row r="1647" spans="1:15" x14ac:dyDescent="0.2">
      <c r="A1647"/>
      <c r="B1647"/>
      <c r="C1647"/>
      <c r="F1647"/>
      <c r="G1647"/>
      <c r="H1647"/>
      <c r="I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L1651"/>
      <c r="M1651"/>
      <c r="N1651"/>
      <c r="O1651"/>
    </row>
    <row r="1652" spans="1:15" x14ac:dyDescent="0.2">
      <c r="A1652"/>
      <c r="B1652"/>
      <c r="C1652"/>
      <c r="F1652"/>
      <c r="G1652"/>
      <c r="H1652"/>
      <c r="L1652"/>
      <c r="M1652"/>
      <c r="N1652"/>
      <c r="O1652"/>
    </row>
    <row r="1653" spans="1:15" x14ac:dyDescent="0.2">
      <c r="A1653"/>
      <c r="B1653"/>
      <c r="C1653"/>
      <c r="F1653"/>
      <c r="G1653"/>
      <c r="H1653"/>
      <c r="I1653"/>
      <c r="L1653"/>
      <c r="M1653"/>
      <c r="N1653"/>
      <c r="O1653"/>
    </row>
    <row r="1654" spans="1:15" x14ac:dyDescent="0.2">
      <c r="A1654"/>
      <c r="B1654"/>
      <c r="C1654"/>
      <c r="F1654"/>
      <c r="G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L1657"/>
      <c r="M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H1665"/>
      <c r="I1665"/>
      <c r="L1665"/>
      <c r="M1665"/>
      <c r="N1665"/>
      <c r="O1665"/>
    </row>
    <row r="1666" spans="1:15" x14ac:dyDescent="0.2">
      <c r="A1666"/>
      <c r="B1666"/>
      <c r="C1666"/>
      <c r="F1666"/>
      <c r="G1666"/>
      <c r="L1666"/>
      <c r="M1666"/>
      <c r="N1666"/>
      <c r="O1666"/>
    </row>
    <row r="1667" spans="1:15" x14ac:dyDescent="0.2">
      <c r="A1667"/>
      <c r="B1667"/>
      <c r="C1667"/>
      <c r="F1667"/>
      <c r="G1667"/>
      <c r="I1667"/>
      <c r="L1667"/>
      <c r="M1667"/>
      <c r="N1667"/>
      <c r="O1667"/>
    </row>
    <row r="1668" spans="1:15" x14ac:dyDescent="0.2">
      <c r="A1668"/>
      <c r="B1668"/>
      <c r="C1668"/>
      <c r="F1668"/>
      <c r="G1668"/>
      <c r="H1668"/>
      <c r="I1668"/>
      <c r="L1668"/>
      <c r="M1668"/>
      <c r="N1668"/>
      <c r="O1668"/>
    </row>
    <row r="1669" spans="1:15" x14ac:dyDescent="0.2">
      <c r="A1669"/>
      <c r="B1669"/>
      <c r="C1669"/>
      <c r="F1669"/>
      <c r="G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J1679"/>
      <c r="K1679"/>
      <c r="L1679"/>
      <c r="M1679"/>
      <c r="N1679"/>
      <c r="O1679"/>
    </row>
    <row r="1680" spans="1:15" x14ac:dyDescent="0.2">
      <c r="A1680"/>
      <c r="B1680"/>
      <c r="C1680"/>
      <c r="F1680"/>
      <c r="G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I1690"/>
      <c r="L1690"/>
      <c r="M1690"/>
      <c r="N1690"/>
      <c r="O1690"/>
    </row>
    <row r="1691" spans="1:15" x14ac:dyDescent="0.2">
      <c r="A1691"/>
      <c r="B1691"/>
      <c r="C1691"/>
      <c r="F1691"/>
      <c r="G1691"/>
      <c r="I1691"/>
      <c r="L1691"/>
      <c r="M1691"/>
      <c r="N1691"/>
      <c r="O1691"/>
    </row>
    <row r="1692" spans="1:15" x14ac:dyDescent="0.2">
      <c r="A1692"/>
      <c r="B1692"/>
      <c r="C1692"/>
      <c r="F1692"/>
      <c r="G1692"/>
      <c r="H1692"/>
      <c r="L1692"/>
      <c r="M1692"/>
      <c r="N1692"/>
      <c r="O1692"/>
    </row>
    <row r="1693" spans="1:15" x14ac:dyDescent="0.2">
      <c r="A1693"/>
      <c r="B1693"/>
      <c r="C1693"/>
      <c r="F1693"/>
      <c r="G1693"/>
      <c r="H1693"/>
      <c r="I1693"/>
      <c r="L1693"/>
      <c r="M1693"/>
      <c r="N1693"/>
      <c r="O1693"/>
    </row>
    <row r="1694" spans="1:15" x14ac:dyDescent="0.2">
      <c r="A1694"/>
      <c r="B1694"/>
      <c r="C1694"/>
      <c r="F1694"/>
      <c r="G1694"/>
      <c r="H1694"/>
      <c r="I1694"/>
      <c r="L1694"/>
      <c r="M1694"/>
      <c r="N1694"/>
      <c r="O1694"/>
    </row>
    <row r="1695" spans="1:15" x14ac:dyDescent="0.2">
      <c r="A1695"/>
      <c r="B1695"/>
      <c r="C1695"/>
      <c r="F1695"/>
      <c r="G1695"/>
      <c r="I1695"/>
      <c r="L1695"/>
      <c r="M1695"/>
      <c r="N1695"/>
      <c r="O1695"/>
    </row>
    <row r="1696" spans="1:15" x14ac:dyDescent="0.2">
      <c r="A1696"/>
      <c r="B1696"/>
      <c r="C1696"/>
      <c r="F1696"/>
      <c r="G1696"/>
      <c r="I1696"/>
      <c r="L1696"/>
      <c r="M1696"/>
      <c r="N1696"/>
      <c r="O1696"/>
    </row>
    <row r="1697" spans="1:15" x14ac:dyDescent="0.2">
      <c r="A1697"/>
      <c r="B1697"/>
      <c r="C1697"/>
      <c r="F1697"/>
      <c r="G1697"/>
      <c r="H1697"/>
      <c r="I1697"/>
      <c r="L1697"/>
      <c r="M1697"/>
      <c r="N1697"/>
      <c r="O1697"/>
    </row>
    <row r="1698" spans="1:15" x14ac:dyDescent="0.2">
      <c r="A1698"/>
      <c r="B1698"/>
      <c r="C1698"/>
      <c r="F1698"/>
      <c r="G1698"/>
      <c r="H1698"/>
      <c r="I1698"/>
      <c r="L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L1701"/>
      <c r="M1701"/>
      <c r="N1701"/>
      <c r="O1701"/>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4" t="s">
        <v>100</v>
      </c>
      <c r="N2" s="594"/>
      <c r="O2" s="594"/>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5" t="s">
        <v>101</v>
      </c>
      <c r="N3" s="596"/>
      <c r="O3" s="597"/>
      <c r="P3" s="103"/>
      <c r="Q3" s="103"/>
    </row>
    <row r="4" spans="1:18" ht="15" x14ac:dyDescent="0.25">
      <c r="B4" s="113" t="s">
        <v>25</v>
      </c>
      <c r="C4" s="60"/>
      <c r="D4" s="37"/>
      <c r="E4" s="37"/>
      <c r="F4" s="37"/>
      <c r="G4" s="37"/>
      <c r="H4" s="37"/>
      <c r="I4" s="37"/>
      <c r="J4" s="37"/>
      <c r="K4" s="37"/>
      <c r="L4" s="37"/>
      <c r="M4" s="598" t="s">
        <v>136</v>
      </c>
      <c r="N4" s="599"/>
      <c r="O4" s="600"/>
      <c r="P4" s="85"/>
    </row>
    <row r="5" spans="1:18" x14ac:dyDescent="0.2">
      <c r="B5" s="114" t="s">
        <v>26</v>
      </c>
      <c r="C5" s="54">
        <f>Main!D3</f>
        <v>0</v>
      </c>
      <c r="D5" s="37"/>
      <c r="E5" s="37"/>
      <c r="F5" s="37"/>
      <c r="G5" s="37"/>
      <c r="H5" s="37"/>
      <c r="I5" s="52" t="s">
        <v>4</v>
      </c>
      <c r="J5" s="37" t="e">
        <f>Main!D5</f>
        <v>#N/A</v>
      </c>
      <c r="L5" s="37"/>
      <c r="M5" s="601" t="s">
        <v>135</v>
      </c>
      <c r="N5" s="602"/>
      <c r="O5" s="603"/>
      <c r="P5" s="129"/>
    </row>
    <row r="6" spans="1:18" ht="13.5" thickBot="1" x14ac:dyDescent="0.25">
      <c r="B6" s="114" t="s">
        <v>3</v>
      </c>
      <c r="C6" s="55" t="e">
        <f>Main!D6</f>
        <v>#N/A</v>
      </c>
      <c r="D6" s="37"/>
      <c r="E6" s="37"/>
      <c r="F6" s="37"/>
      <c r="G6" s="37"/>
      <c r="H6" s="37"/>
      <c r="I6" s="52" t="s">
        <v>5</v>
      </c>
      <c r="J6" s="51">
        <f>Main!D16</f>
        <v>0</v>
      </c>
      <c r="L6" s="37"/>
      <c r="M6" s="604" t="str">
        <f>IF(MaxMode,"","In 1/2 Tolerance")</f>
        <v>In 1/2 Tolerance</v>
      </c>
      <c r="N6" s="605"/>
      <c r="O6" s="606"/>
      <c r="P6" s="86"/>
    </row>
    <row r="7" spans="1:18" ht="13.5" thickBot="1" x14ac:dyDescent="0.25">
      <c r="B7" s="114" t="s">
        <v>27</v>
      </c>
      <c r="C7" s="55" t="str">
        <f>Main!D7</f>
        <v>Jeff Hall</v>
      </c>
      <c r="D7" s="37"/>
      <c r="E7" s="37"/>
      <c r="F7" s="37"/>
      <c r="G7" s="37"/>
      <c r="H7" s="37"/>
      <c r="I7" s="57" t="s">
        <v>154</v>
      </c>
      <c r="J7" s="592">
        <f>Main!$D$30</f>
        <v>0</v>
      </c>
      <c r="K7" s="593"/>
      <c r="L7" s="100"/>
      <c r="M7" s="591" t="s">
        <v>134</v>
      </c>
      <c r="N7" s="591"/>
      <c r="O7" s="591"/>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sfLrdSSY4BxfHY2hz9SMFMdyeV4vEWyS2AjavTqAsFr4IqUEXl+dcQq7uLJektl78j1o08i+cnqavzzSkPiE1A==" saltValue="5MeKuEbEmA6ievRu78bbw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2" priority="1">
      <formula>AND(ROW() &gt;= $Q$1, ROW() &lt;= $Q$2)</formula>
    </cfRule>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7" t="s">
        <v>100</v>
      </c>
      <c r="N2" s="607"/>
      <c r="O2" s="607"/>
      <c r="P2" s="291" t="str">
        <f>IF(Main!$E$30="","A10",ADDRESS(13+Standards_Info!W2+(MATCH(Main!$E$30,Data_Sheet!$A$14:$A$903,0)),1,4))</f>
        <v>A10</v>
      </c>
      <c r="Q2" s="291">
        <f>VALUE(MID(P2, 2, LEN(P2)-1))</f>
        <v>10</v>
      </c>
    </row>
    <row r="3" spans="1:17" ht="15" x14ac:dyDescent="0.25">
      <c r="B3" s="126" t="s">
        <v>0</v>
      </c>
      <c r="C3" s="3"/>
      <c r="M3" s="595" t="s">
        <v>101</v>
      </c>
      <c r="N3" s="596"/>
      <c r="O3" s="597"/>
      <c r="P3" s="40"/>
    </row>
    <row r="4" spans="1:17" ht="15" x14ac:dyDescent="0.25">
      <c r="B4" s="113" t="s">
        <v>25</v>
      </c>
      <c r="C4" s="4"/>
      <c r="M4" s="598" t="s">
        <v>136</v>
      </c>
      <c r="N4" s="599"/>
      <c r="O4" s="600"/>
    </row>
    <row r="5" spans="1:17" x14ac:dyDescent="0.2">
      <c r="B5" s="114" t="s">
        <v>26</v>
      </c>
      <c r="C5" s="54">
        <f>Main!D3</f>
        <v>0</v>
      </c>
      <c r="D5" s="37"/>
      <c r="E5" s="37"/>
      <c r="F5" s="37"/>
      <c r="G5" s="37"/>
      <c r="H5" s="37"/>
      <c r="I5" s="52" t="s">
        <v>4</v>
      </c>
      <c r="J5" t="e">
        <f>Main!D5</f>
        <v>#N/A</v>
      </c>
      <c r="M5" s="608" t="s">
        <v>135</v>
      </c>
      <c r="N5" s="609"/>
      <c r="O5" s="610"/>
    </row>
    <row r="6" spans="1:17" ht="13.5" thickBot="1" x14ac:dyDescent="0.25">
      <c r="B6" s="114" t="s">
        <v>3</v>
      </c>
      <c r="C6" s="55" t="e">
        <f>Main!D6</f>
        <v>#N/A</v>
      </c>
      <c r="D6" s="37"/>
      <c r="E6" s="37"/>
      <c r="F6" s="37"/>
      <c r="G6" s="37"/>
      <c r="H6" s="37"/>
      <c r="I6" s="52" t="s">
        <v>5</v>
      </c>
      <c r="J6" s="39">
        <f>Main!D16</f>
        <v>0</v>
      </c>
      <c r="M6" s="604" t="str">
        <f>IF(MaxMode,"","In 1/2 Tolerance")</f>
        <v>In 1/2 Tolerance</v>
      </c>
      <c r="N6" s="605"/>
      <c r="O6" s="606"/>
    </row>
    <row r="7" spans="1:17" ht="13.5" thickBot="1" x14ac:dyDescent="0.25">
      <c r="B7" s="114" t="s">
        <v>27</v>
      </c>
      <c r="C7" s="55" t="str">
        <f>Main!D7</f>
        <v>Jeff Hall</v>
      </c>
      <c r="D7" s="37"/>
      <c r="E7" s="37"/>
      <c r="F7" s="37"/>
      <c r="G7" s="37"/>
      <c r="H7" s="37"/>
      <c r="I7" s="57" t="s">
        <v>154</v>
      </c>
      <c r="J7" s="592">
        <f>Main!$D$30</f>
        <v>0</v>
      </c>
      <c r="K7" s="593"/>
      <c r="L7" s="100"/>
      <c r="M7" s="591" t="s">
        <v>134</v>
      </c>
      <c r="N7" s="591"/>
      <c r="O7" s="591"/>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T493/7MMCdYqhrkEGr/yiZMOX1hwgcMk9/5Wa3h4oKGZF8TdET+/82YujAkaM9q/B4xgcqskEMD3GMMjdhO5Lg==" saltValue="nsW42Qcab/EUS9bofHmhY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5"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7" t="s">
        <v>100</v>
      </c>
      <c r="N2" s="607"/>
      <c r="O2" s="607"/>
      <c r="P2" s="291" t="str">
        <f>IF(Main!$E$30="","A10",ADDRESS(13+Standards_Info!W2+(MATCH(Main!$E$30,Data_Sheet!$A$14:$A$903,0)),1,4))</f>
        <v>A10</v>
      </c>
      <c r="Q2" s="291">
        <f>VALUE(MID(P2, 2, LEN(P2)-1))</f>
        <v>10</v>
      </c>
    </row>
    <row r="3" spans="1:17" ht="15" x14ac:dyDescent="0.25">
      <c r="B3" s="126" t="s">
        <v>0</v>
      </c>
      <c r="C3" s="3"/>
      <c r="M3" s="595" t="s">
        <v>101</v>
      </c>
      <c r="N3" s="596"/>
      <c r="O3" s="597"/>
      <c r="P3" s="40"/>
    </row>
    <row r="4" spans="1:17" ht="15" x14ac:dyDescent="0.25">
      <c r="B4" s="113" t="s">
        <v>25</v>
      </c>
      <c r="C4" s="4"/>
      <c r="M4" s="598" t="s">
        <v>136</v>
      </c>
      <c r="N4" s="599"/>
      <c r="O4" s="600"/>
    </row>
    <row r="5" spans="1:17" x14ac:dyDescent="0.2">
      <c r="B5" s="114" t="s">
        <v>26</v>
      </c>
      <c r="C5" s="54">
        <f>Main!D3</f>
        <v>0</v>
      </c>
      <c r="D5" s="37"/>
      <c r="E5" s="37"/>
      <c r="F5" s="37"/>
      <c r="G5" s="37"/>
      <c r="H5" s="37"/>
      <c r="I5" s="52" t="s">
        <v>4</v>
      </c>
      <c r="J5" s="37" t="e">
        <f>Main!D5</f>
        <v>#N/A</v>
      </c>
      <c r="L5" s="37"/>
      <c r="M5" s="601" t="s">
        <v>135</v>
      </c>
      <c r="N5" s="602"/>
      <c r="O5" s="603"/>
    </row>
    <row r="6" spans="1:17" ht="13.5" thickBot="1" x14ac:dyDescent="0.25">
      <c r="B6" s="114" t="s">
        <v>3</v>
      </c>
      <c r="C6" s="55" t="e">
        <f>Main!D6</f>
        <v>#N/A</v>
      </c>
      <c r="D6" s="37"/>
      <c r="E6" s="37"/>
      <c r="F6" s="37"/>
      <c r="G6" s="37"/>
      <c r="H6" s="37"/>
      <c r="I6" s="52" t="s">
        <v>5</v>
      </c>
      <c r="J6" s="51">
        <f>Main!D16</f>
        <v>0</v>
      </c>
      <c r="L6" s="37"/>
      <c r="M6" s="604" t="str">
        <f>IF(MaxMode,"","In 1/2 Tolerance")</f>
        <v>In 1/2 Tolerance</v>
      </c>
      <c r="N6" s="605"/>
      <c r="O6" s="606"/>
    </row>
    <row r="7" spans="1:17" ht="13.5" thickBot="1" x14ac:dyDescent="0.25">
      <c r="B7" s="114" t="s">
        <v>27</v>
      </c>
      <c r="C7" s="55" t="str">
        <f>Main!D7</f>
        <v>Jeff Hall</v>
      </c>
      <c r="D7" s="37"/>
      <c r="E7" s="37"/>
      <c r="F7" s="37"/>
      <c r="G7" s="37"/>
      <c r="H7" s="37"/>
      <c r="I7" s="57" t="s">
        <v>154</v>
      </c>
      <c r="J7" s="592">
        <f>Main!$D$30</f>
        <v>0</v>
      </c>
      <c r="K7" s="593"/>
      <c r="L7" s="100"/>
      <c r="M7" s="591" t="s">
        <v>134</v>
      </c>
      <c r="N7" s="591"/>
      <c r="O7" s="591"/>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Q+5KAZ8EqnjY62BKsDQ+L79xUYoJAwVfzmv8rhtgMkU4axgeK5uBrLQe3SP7vXw3JjxASxTdbyavPi0+6kvFLg==" saltValue="g8a/Vpv63StAw+Wl765Fl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2" priority="2" stopIfTrue="1" operator="between">
      <formula>HalfTolMin</formula>
      <formula>HalfTolMax</formula>
    </cfRule>
    <cfRule type="cellIs" dxfId="51" priority="3" stopIfTrue="1" operator="greaterThan">
      <formula>TolMax</formula>
    </cfRule>
    <cfRule type="cellIs" dxfId="50" priority="4" stopIfTrue="1" operator="lessThan">
      <formula>TolMin</formula>
    </cfRule>
    <cfRule type="cellIs" dxfId="49" priority="6" stopIfTrue="1" operator="between">
      <formula>TolMin</formula>
      <formula>TolMax</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2" sqref="U22"/>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0" t="s">
        <v>14</v>
      </c>
      <c r="B9" s="16"/>
      <c r="C9" s="451" t="str" cm="1">
        <f t="array" ref="C9">IFERROR(_xlfn._TRO_TRAILING(Main!$B37:$C37),"")</f>
        <v/>
      </c>
      <c r="D9" s="17"/>
      <c r="E9" s="17" t="s">
        <v>15</v>
      </c>
      <c r="F9" s="451" t="str" cm="1">
        <f t="array" ref="F9">IFERROR(_xlfn._TRO_TRAILING(Main!B38:C38),"")</f>
        <v/>
      </c>
      <c r="G9" s="17"/>
      <c r="H9" s="17" t="s">
        <v>15</v>
      </c>
      <c r="I9" s="451" t="str" cm="1">
        <f t="array" ref="I9">IFERROR(_xlfn._TRO_TRAILING(Main!$B39:$C39),"")</f>
        <v/>
      </c>
      <c r="J9" s="17"/>
      <c r="K9" s="17" t="s">
        <v>15</v>
      </c>
      <c r="L9" s="451"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9"/>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9"/>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9"/>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0" t="s">
        <v>14</v>
      </c>
      <c r="B21" s="16"/>
      <c r="C21" s="451" t="str" cm="1">
        <f t="array" ref="C21">IFERROR(_xlfn._TRO_TRAILING(Main!$B41:$C41),"")</f>
        <v/>
      </c>
      <c r="D21" s="17"/>
      <c r="E21" s="17" t="s">
        <v>15</v>
      </c>
      <c r="F21" s="451" t="str" cm="1">
        <f t="array" ref="F21">IFERROR(_xlfn._TRO_TRAILING(Main!$B42:$C42),"")</f>
        <v/>
      </c>
      <c r="G21" s="17"/>
      <c r="H21" s="17" t="s">
        <v>15</v>
      </c>
      <c r="I21" s="451" t="str" cm="1">
        <f t="array" ref="I21">IFERROR(_xlfn._TRO_TRAILING(Main!$B43:$C43),"")</f>
        <v/>
      </c>
      <c r="J21" s="17"/>
      <c r="K21" s="17" t="s">
        <v>15</v>
      </c>
      <c r="L21" s="451"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1" t="s">
        <v>17</v>
      </c>
      <c r="E32" s="611"/>
      <c r="F32" s="611"/>
      <c r="G32" s="611"/>
      <c r="H32" s="611"/>
      <c r="I32" s="611"/>
      <c r="J32" s="611"/>
      <c r="K32" s="611"/>
      <c r="L32" s="611"/>
      <c r="M32" s="611"/>
    </row>
    <row r="33" spans="1:14" ht="15" customHeight="1" x14ac:dyDescent="0.25">
      <c r="D33" s="612"/>
      <c r="E33" s="612"/>
      <c r="F33" s="612"/>
      <c r="G33" s="612"/>
      <c r="H33" s="612"/>
      <c r="I33" s="612"/>
      <c r="J33" s="612"/>
      <c r="K33" s="612"/>
      <c r="L33" s="612"/>
      <c r="M33" s="612"/>
      <c r="N33" s="23"/>
    </row>
    <row r="34" spans="1:14" x14ac:dyDescent="0.25">
      <c r="A34" s="18"/>
      <c r="B34" s="18"/>
      <c r="D34" s="612"/>
      <c r="E34" s="612"/>
      <c r="F34" s="612"/>
      <c r="G34" s="612"/>
      <c r="H34" s="612"/>
      <c r="I34" s="612"/>
      <c r="J34" s="612"/>
      <c r="K34" s="612"/>
      <c r="L34" s="612"/>
      <c r="M34" s="612"/>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3" t="s">
        <v>20</v>
      </c>
      <c r="D37" s="613"/>
      <c r="E37" s="613"/>
      <c r="F37" s="613"/>
      <c r="G37" s="613"/>
      <c r="H37" s="613"/>
      <c r="I37" s="613"/>
      <c r="J37" s="613"/>
      <c r="K37" s="613"/>
      <c r="L37" s="613"/>
      <c r="M37" s="613"/>
    </row>
    <row r="38" spans="1:14" x14ac:dyDescent="0.25">
      <c r="A38" s="18"/>
      <c r="B38" s="18"/>
      <c r="C38" s="613"/>
      <c r="D38" s="613"/>
      <c r="E38" s="613"/>
      <c r="F38" s="613"/>
      <c r="G38" s="613"/>
      <c r="H38" s="613"/>
      <c r="I38" s="613"/>
      <c r="J38" s="613"/>
      <c r="K38" s="613"/>
      <c r="L38" s="613"/>
      <c r="M38" s="613"/>
    </row>
    <row r="39" spans="1:14" x14ac:dyDescent="0.25">
      <c r="A39" s="18"/>
      <c r="B39" s="18"/>
      <c r="C39" s="613"/>
      <c r="D39" s="613"/>
      <c r="E39" s="613"/>
      <c r="F39" s="613"/>
      <c r="G39" s="613"/>
      <c r="H39" s="613"/>
      <c r="I39" s="613"/>
      <c r="J39" s="613"/>
      <c r="K39" s="613"/>
      <c r="L39" s="613"/>
      <c r="M39" s="613"/>
    </row>
    <row r="40" spans="1:14" x14ac:dyDescent="0.25">
      <c r="A40" s="18"/>
      <c r="B40" s="18"/>
      <c r="C40" s="613"/>
      <c r="D40" s="613"/>
      <c r="E40" s="613"/>
      <c r="F40" s="613"/>
      <c r="G40" s="613"/>
      <c r="H40" s="613"/>
      <c r="I40" s="613"/>
      <c r="J40" s="613"/>
      <c r="K40" s="613"/>
      <c r="L40" s="613"/>
      <c r="M40" s="613"/>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E1Mxd4UAxEAzpwOVSf9dvZDZgehWG0SGHznQoEcbdeCWG5Mw+tXFfVn2sRQgpR3ChiV/J1TfQc/slkFN5WPRJw==" saltValue="MGdFkQ0hL1ki9Ro7Kvy8YA==" spinCount="100000" sheet="1" objects="1" scenarios="1" selectLockedCells="1" autoFilter="0"/>
  <mergeCells count="2">
    <mergeCell ref="D32:M34"/>
    <mergeCell ref="C37:M40"/>
  </mergeCells>
  <phoneticPr fontId="20" type="noConversion"/>
  <conditionalFormatting sqref="C45">
    <cfRule type="expression" dxfId="47" priority="65">
      <formula>ISNUMBER(SEARCH(".",C45))</formula>
    </cfRule>
    <cfRule type="expression" dxfId="46" priority="66">
      <formula>ISERROR(SEARCH(".",C45))</formula>
    </cfRule>
  </conditionalFormatting>
  <conditionalFormatting sqref="D14:D18">
    <cfRule type="expression" dxfId="45" priority="63">
      <formula>ISERROR(SEARCH(1,$D$19))</formula>
    </cfRule>
    <cfRule type="expression" dxfId="44" priority="64">
      <formula>ISNUMBER(SEARCH(1,$D$19))</formula>
    </cfRule>
  </conditionalFormatting>
  <conditionalFormatting sqref="G14:G17">
    <cfRule type="expression" dxfId="43" priority="61">
      <formula>ISERROR(SEARCH(1,$G$19))</formula>
    </cfRule>
    <cfRule type="expression" dxfId="42" priority="62">
      <formula>ISNUMBER(SEARCH(1,$G$19))</formula>
    </cfRule>
  </conditionalFormatting>
  <conditionalFormatting sqref="J14:J17">
    <cfRule type="expression" dxfId="41" priority="57">
      <formula>ISERROR(SEARCH(1,$J$19))</formula>
    </cfRule>
    <cfRule type="expression" dxfId="40" priority="58">
      <formula>ISNUMBER(SEARCH(1,$J$19))</formula>
    </cfRule>
  </conditionalFormatting>
  <conditionalFormatting sqref="M14:M17">
    <cfRule type="expression" dxfId="39" priority="53">
      <formula>ISERROR(SEARCH(1,$M$19))</formula>
    </cfRule>
    <cfRule type="expression" dxfId="38" priority="54">
      <formula>ISNUMBER(SEARCH(1,$M$19))</formula>
    </cfRule>
  </conditionalFormatting>
  <conditionalFormatting sqref="G26:G29">
    <cfRule type="expression" dxfId="37" priority="45">
      <formula>ISERROR(SEARCH(1,$G$31))</formula>
    </cfRule>
    <cfRule type="expression" dxfId="36" priority="46">
      <formula>ISNUMBER(SEARCH(1,$G$31))</formula>
    </cfRule>
  </conditionalFormatting>
  <conditionalFormatting sqref="J26:J29">
    <cfRule type="expression" dxfId="35" priority="41">
      <formula>ISERROR(SEARCH(1,$J$31))</formula>
    </cfRule>
    <cfRule type="expression" dxfId="34" priority="42">
      <formula>ISNUMBER(SEARCH(1,$J$31))</formula>
    </cfRule>
  </conditionalFormatting>
  <conditionalFormatting sqref="M26:M29">
    <cfRule type="expression" dxfId="33" priority="37">
      <formula>ISERROR(SEARCH(1,$M$31))</formula>
    </cfRule>
    <cfRule type="expression" dxfId="32" priority="38">
      <formula>ISNUMBER(SEARCH(1,$M$31))</formula>
    </cfRule>
  </conditionalFormatting>
  <conditionalFormatting sqref="D26:D30">
    <cfRule type="expression" dxfId="31" priority="33">
      <formula>ISERROR(SEARCH(1,$D$19))</formula>
    </cfRule>
    <cfRule type="expression" dxfId="30" priority="34">
      <formula>ISNUMBER(SEARCH(1,$D$19))</formula>
    </cfRule>
  </conditionalFormatting>
  <conditionalFormatting sqref="D11:D13">
    <cfRule type="expression" dxfId="29" priority="31">
      <formula>ISERROR(SEARCH(1,$G$19))</formula>
    </cfRule>
    <cfRule type="expression" dxfId="28" priority="32">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D14" sqref="D14"/>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14" t="s">
        <v>276</v>
      </c>
      <c r="I28" s="614"/>
      <c r="J28" s="614"/>
      <c r="K28" s="614"/>
      <c r="L28" s="614"/>
      <c r="M28" s="614"/>
      <c r="N28" s="614"/>
      <c r="O28" s="614"/>
      <c r="P28" s="614"/>
      <c r="Q28" s="614"/>
      <c r="R28" s="614"/>
    </row>
    <row r="29" spans="1:20" x14ac:dyDescent="0.2">
      <c r="A29" s="620" t="s">
        <v>34</v>
      </c>
      <c r="B29" s="621"/>
      <c r="C29" s="47" t="str">
        <f>IF(Main!D48="","",Main!D48)</f>
        <v/>
      </c>
      <c r="D29" s="47" t="str">
        <f>IF(Main!E48="","",Main!E48)</f>
        <v/>
      </c>
      <c r="E29" s="47" t="str">
        <f>IF(Main!F48="","",Main!F48)</f>
        <v/>
      </c>
      <c r="F29" s="47" t="str">
        <f>IF(Main!G48="","",Main!G48)</f>
        <v/>
      </c>
      <c r="G29" s="259"/>
      <c r="H29" s="256" t="s">
        <v>277</v>
      </c>
      <c r="I29" s="112" t="str">
        <f>IF(Main!N47="","",Main!N47)</f>
        <v>Periodic</v>
      </c>
      <c r="J29" s="622" t="s">
        <v>278</v>
      </c>
      <c r="K29" s="623"/>
      <c r="L29" s="112" t="str">
        <f>IF(Main!R47="","",Main!R47)</f>
        <v>Air</v>
      </c>
    </row>
    <row r="30" spans="1:20" x14ac:dyDescent="0.2">
      <c r="A30" s="620" t="s">
        <v>35</v>
      </c>
      <c r="B30" s="621"/>
      <c r="C30" s="48" t="str">
        <f>IF(Main!D49="","",Main!D49)</f>
        <v/>
      </c>
      <c r="D30" s="48" t="str">
        <f>IF(Main!E49="","",Main!E49)</f>
        <v/>
      </c>
      <c r="E30" s="48" t="str">
        <f>IF(Main!F49="","",Main!F49)</f>
        <v/>
      </c>
      <c r="F30" s="48" t="str">
        <f>IF(Main!G49="","",Main!G49)</f>
        <v/>
      </c>
      <c r="G30" s="261"/>
      <c r="H30" s="615" t="s">
        <v>264</v>
      </c>
      <c r="I30" s="615"/>
      <c r="J30" s="624" t="s">
        <v>309</v>
      </c>
      <c r="K30" s="625"/>
      <c r="L30" s="626"/>
      <c r="M30" s="254"/>
      <c r="O30" s="616" t="s">
        <v>312</v>
      </c>
      <c r="P30" s="617"/>
      <c r="Q30" s="618"/>
      <c r="T30" s="37"/>
    </row>
    <row r="31" spans="1:20" x14ac:dyDescent="0.2">
      <c r="A31" s="620" t="s">
        <v>36</v>
      </c>
      <c r="B31" s="621"/>
      <c r="C31" s="48" t="str">
        <f>IF(Main!D50="","",Main!D50)</f>
        <v/>
      </c>
      <c r="D31" s="48" t="str">
        <f>IF(Main!E50="","",Main!E50)</f>
        <v/>
      </c>
      <c r="E31" s="48" t="str">
        <f>IF(Main!F50="","",Main!F50)</f>
        <v/>
      </c>
      <c r="F31" s="48" t="str">
        <f>IF(Main!G50="","",Main!G50)</f>
        <v/>
      </c>
      <c r="G31" s="261"/>
      <c r="H31" s="242" t="s">
        <v>279</v>
      </c>
      <c r="I31" s="244" t="str">
        <f>IF(Main!N49="","",Main!N49)</f>
        <v/>
      </c>
      <c r="J31" s="639" t="s">
        <v>317</v>
      </c>
      <c r="K31" s="640"/>
      <c r="L31" s="641"/>
      <c r="M31" s="255" t="str">
        <f>IF(Main!S49="","",Main!S49)</f>
        <v>N/A</v>
      </c>
      <c r="O31" s="506" t="s">
        <v>319</v>
      </c>
      <c r="P31" s="507"/>
      <c r="Q31" s="619"/>
      <c r="R31" s="56" t="str">
        <f>IF(Main!X49="","",Main!X49)</f>
        <v>N/A</v>
      </c>
      <c r="T31" s="37"/>
    </row>
    <row r="32" spans="1:20" ht="12.75" customHeight="1" x14ac:dyDescent="0.2">
      <c r="A32" s="620" t="s">
        <v>37</v>
      </c>
      <c r="B32" s="621"/>
      <c r="C32" s="47" t="str">
        <f>IF(Main!D51="","",Main!D51)</f>
        <v/>
      </c>
      <c r="D32" s="47" t="str">
        <f>IF(Main!E51="","",Main!E51)</f>
        <v/>
      </c>
      <c r="E32" s="47" t="str">
        <f>IF(Main!F51="","",Main!F51)</f>
        <v/>
      </c>
      <c r="F32" s="47" t="str">
        <f>IF(Main!G51="","",Main!G51)</f>
        <v/>
      </c>
      <c r="G32" s="259"/>
      <c r="H32" s="242" t="s">
        <v>295</v>
      </c>
      <c r="I32" s="244" t="str">
        <f>IF(Main!N50="","",Main!N50)</f>
        <v/>
      </c>
      <c r="J32" s="630" t="s">
        <v>267</v>
      </c>
      <c r="K32" s="631"/>
      <c r="L32" s="632"/>
      <c r="M32" s="250"/>
      <c r="O32" s="630" t="s">
        <v>267</v>
      </c>
      <c r="P32" s="631"/>
      <c r="Q32" s="632"/>
      <c r="T32" s="37"/>
    </row>
    <row r="33" spans="1:20" ht="12.75" customHeight="1" x14ac:dyDescent="0.2">
      <c r="A33" s="620" t="s">
        <v>280</v>
      </c>
      <c r="B33" s="621"/>
      <c r="C33" s="47" t="str">
        <f>IF(Main!D52="","",Main!D52)</f>
        <v/>
      </c>
      <c r="D33" s="47" t="str">
        <f>IF(Main!E52="","",Main!E52)</f>
        <v/>
      </c>
      <c r="E33" s="47" t="str">
        <f>IF(Main!F52="","",Main!F52)</f>
        <v/>
      </c>
      <c r="F33" s="47" t="str">
        <f>IF(Main!G52="","",Main!G52)</f>
        <v/>
      </c>
      <c r="G33" s="259"/>
      <c r="H33" s="242" t="s">
        <v>281</v>
      </c>
      <c r="I33" s="244" t="str">
        <f>IF(Main!N51="","",Main!N51)</f>
        <v/>
      </c>
      <c r="J33" s="627" t="s">
        <v>318</v>
      </c>
      <c r="K33" s="628"/>
      <c r="L33" s="629"/>
      <c r="M33" s="249" t="str">
        <f>IF(Main!S51="","",Main!S51)</f>
        <v/>
      </c>
      <c r="O33" s="627" t="s">
        <v>320</v>
      </c>
      <c r="P33" s="628"/>
      <c r="Q33" s="629"/>
      <c r="R33" s="56" t="str">
        <f>IF(Main!X51="","",Main!X51)</f>
        <v/>
      </c>
      <c r="T33" s="37"/>
    </row>
    <row r="34" spans="1:20" ht="12.75" customHeight="1" x14ac:dyDescent="0.2">
      <c r="A34" s="620" t="s">
        <v>38</v>
      </c>
      <c r="B34" s="621"/>
      <c r="C34" s="49" t="str">
        <f>IF(Main!D53="","",Main!D53)</f>
        <v/>
      </c>
      <c r="D34" s="49" t="str">
        <f>IF(Main!E53="","",Main!E53)</f>
        <v/>
      </c>
      <c r="E34" s="49" t="str">
        <f>IF(Main!F53="","",Main!F53)</f>
        <v/>
      </c>
      <c r="F34" s="49" t="str">
        <f>IF(Main!G53="","",Main!G53)</f>
        <v/>
      </c>
      <c r="G34" s="262"/>
      <c r="H34" s="242" t="s">
        <v>282</v>
      </c>
      <c r="I34" s="241" t="str">
        <f>IF(Main!N52="","",Main!N52)</f>
        <v/>
      </c>
      <c r="J34" s="630" t="s">
        <v>267</v>
      </c>
      <c r="K34" s="631"/>
      <c r="L34" s="632"/>
      <c r="O34" s="630" t="s">
        <v>267</v>
      </c>
      <c r="P34" s="631"/>
      <c r="Q34" s="632"/>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33" t="s">
        <v>321</v>
      </c>
      <c r="K35" s="634"/>
      <c r="L35" s="635"/>
      <c r="M35" s="257" t="str">
        <f>IF(Main!S53="","",Main!S53)</f>
        <v/>
      </c>
      <c r="O35" s="633" t="s">
        <v>322</v>
      </c>
      <c r="P35" s="634"/>
      <c r="Q35" s="635"/>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36"/>
      <c r="K36" s="637"/>
      <c r="L36" s="638"/>
      <c r="M36" s="253"/>
      <c r="O36" s="636"/>
      <c r="P36" s="637"/>
      <c r="Q36" s="638"/>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mVSycM54t+D0qTws8Ou+EGZ0aTkznNklamlGHnlsDsim3RLlmzNgKhXK/EVL63t55OIRAzH7D1SpNU185I7l2Q==" saltValue="05GTOyC02jEuc+sQX44D9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7"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7"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6"/>
    </row>
    <row r="13" spans="1:14" x14ac:dyDescent="0.2">
      <c r="B13" t="str">
        <v/>
      </c>
      <c r="D13" s="467"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7"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7"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7"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7"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7"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7"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7"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7"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7"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7"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7"/>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lP1gJXOT43R3mvTbOwWpmT+XlYISQVMa/TzGfRp1LNOmc+Q8U5YPuE5EcUCXCMqnDWqz6MBubpLKQo0XwoBInw==" saltValue="goqx48QU0UwSAmXQRUNxz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K21" sqref="K2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2" t="s">
        <v>53</v>
      </c>
      <c r="B1" s="579"/>
      <c r="C1" s="579"/>
      <c r="D1" s="579"/>
      <c r="E1" s="34" t="s">
        <v>145</v>
      </c>
      <c r="G1" s="579" t="s">
        <v>65</v>
      </c>
      <c r="H1" s="579"/>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uv3+wCam/GacKjBY25ychjFw+zu3s9aSB7nmPewtRJ7teIa3NMFAH34hniiXGi6v/gauhqr/0kWI1bmCMqbQ3g==" saltValue="qYo5+WX3Qh9AXQEzvrB9A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2026-02-24T22:21:01Z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