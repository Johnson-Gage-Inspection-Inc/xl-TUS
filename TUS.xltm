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3AA71FA-314D-4831-9122-78024270F082}"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70" l="1"/>
  <c r="I6" i="70"/>
  <c r="I7" i="70"/>
  <c r="I8" i="70"/>
  <c r="I9" i="70"/>
  <c r="I10" i="70"/>
  <c r="I11" i="70"/>
  <c r="I12" i="70"/>
  <c r="I13" i="70"/>
  <c r="I14" i="70"/>
  <c r="I15" i="70"/>
  <c r="I16" i="70"/>
  <c r="I17" i="70"/>
  <c r="I18" i="70"/>
  <c r="I19" i="70"/>
  <c r="I20" i="70"/>
  <c r="I21" i="70"/>
  <c r="I22" i="70"/>
  <c r="I23" i="70"/>
  <c r="I24" i="70"/>
  <c r="I25" i="70"/>
  <c r="I26" i="70"/>
  <c r="I27" i="70"/>
  <c r="I28" i="70"/>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K9" i="95" s="1"/>
  <c r="J10" i="95"/>
  <c r="K10" i="95" s="1"/>
  <c r="J11" i="95"/>
  <c r="K11" i="95" s="1"/>
  <c r="J12" i="95"/>
  <c r="K12" i="95" s="1"/>
  <c r="J13" i="95"/>
  <c r="J14" i="95"/>
  <c r="J15" i="95"/>
  <c r="J16" i="95"/>
  <c r="J17" i="95"/>
  <c r="K17" i="95" s="1"/>
  <c r="J18" i="95"/>
  <c r="J19" i="95"/>
  <c r="J20" i="95"/>
  <c r="J21" i="95"/>
  <c r="J22" i="95"/>
  <c r="J23" i="95"/>
  <c r="J24" i="95"/>
  <c r="K24" i="95" s="1"/>
  <c r="J25" i="95"/>
  <c r="J26" i="95"/>
  <c r="K26" i="95" s="1"/>
  <c r="J27" i="95"/>
  <c r="J28" i="95"/>
  <c r="K28" i="95" s="1"/>
  <c r="J29" i="95"/>
  <c r="K29" i="95" s="1"/>
  <c r="J30" i="95"/>
  <c r="K30" i="95" s="1"/>
  <c r="J31" i="95"/>
  <c r="K31" i="95" s="1"/>
  <c r="J32" i="95"/>
  <c r="J33" i="95"/>
  <c r="J34" i="95"/>
  <c r="J35" i="95"/>
  <c r="K35" i="95" s="1"/>
  <c r="J36" i="95"/>
  <c r="K36" i="95" s="1"/>
  <c r="J37" i="95"/>
  <c r="K37" i="95" s="1"/>
  <c r="J38" i="95"/>
  <c r="K38" i="95" s="1"/>
  <c r="J39" i="95"/>
  <c r="K39" i="95" s="1"/>
  <c r="J40" i="95"/>
  <c r="K40" i="95" s="1"/>
  <c r="J41" i="95"/>
  <c r="K41" i="95" s="1"/>
  <c r="J42" i="95"/>
  <c r="K42" i="95" s="1"/>
  <c r="J43" i="95"/>
  <c r="K43" i="95" s="1"/>
  <c r="J44" i="95"/>
  <c r="K44" i="95" s="1"/>
  <c r="J45" i="95"/>
  <c r="J46" i="95"/>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J70" i="95"/>
  <c r="J71" i="95"/>
  <c r="J72" i="95"/>
  <c r="J73" i="95"/>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J99" i="95"/>
  <c r="J100" i="95"/>
  <c r="J101" i="95"/>
  <c r="J102" i="95"/>
  <c r="J103" i="95"/>
  <c r="J104" i="95"/>
  <c r="J105" i="95"/>
  <c r="J106" i="95"/>
  <c r="K106" i="95" s="1"/>
  <c r="J107" i="95"/>
  <c r="K107" i="95" s="1"/>
  <c r="J108" i="95"/>
  <c r="K108" i="95" s="1"/>
  <c r="J109" i="95"/>
  <c r="J110" i="95"/>
  <c r="J111" i="95"/>
  <c r="J112" i="95"/>
  <c r="J113" i="95"/>
  <c r="J114" i="95"/>
  <c r="J115" i="95"/>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K131" i="95" s="1"/>
  <c r="J132" i="95"/>
  <c r="K132" i="95" s="1"/>
  <c r="J133" i="95"/>
  <c r="K133" i="95" s="1"/>
  <c r="J134" i="95"/>
  <c r="K134" i="95" s="1"/>
  <c r="J135" i="95"/>
  <c r="J136" i="95"/>
  <c r="J137" i="95"/>
  <c r="J138" i="95"/>
  <c r="K138" i="95" s="1"/>
  <c r="J139" i="95"/>
  <c r="K139" i="95" s="1"/>
  <c r="J140" i="95"/>
  <c r="K140" i="95" s="1"/>
  <c r="J141" i="95"/>
  <c r="J142" i="95"/>
  <c r="J143" i="95"/>
  <c r="J144" i="95"/>
  <c r="J145" i="95"/>
  <c r="J146" i="95"/>
  <c r="J147" i="95"/>
  <c r="J148" i="95"/>
  <c r="J149" i="95"/>
  <c r="J150" i="95"/>
  <c r="J151" i="95"/>
  <c r="J152" i="95"/>
  <c r="J153" i="95"/>
  <c r="K153" i="95" s="1"/>
  <c r="J154" i="95"/>
  <c r="J155" i="95"/>
  <c r="K155" i="95" s="1"/>
  <c r="J156" i="95"/>
  <c r="K156" i="95" s="1"/>
  <c r="J157" i="95"/>
  <c r="K157" i="95" s="1"/>
  <c r="J158" i="95"/>
  <c r="K158" i="95" s="1"/>
  <c r="J159" i="95"/>
  <c r="K159" i="95" s="1"/>
  <c r="J160" i="95"/>
  <c r="J161" i="95"/>
  <c r="J162" i="95"/>
  <c r="J163" i="95"/>
  <c r="J164" i="95"/>
  <c r="J165" i="95"/>
  <c r="J166" i="95"/>
  <c r="J167" i="95"/>
  <c r="J168" i="95"/>
  <c r="J169" i="95"/>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J222" i="95"/>
  <c r="K222" i="95" s="1"/>
  <c r="J223" i="95"/>
  <c r="K223" i="95" s="1"/>
  <c r="J224" i="95"/>
  <c r="J225" i="95"/>
  <c r="J226" i="95"/>
  <c r="J227" i="95"/>
  <c r="J228" i="95"/>
  <c r="J229" i="95"/>
  <c r="J230" i="95"/>
  <c r="J231" i="95"/>
  <c r="J232" i="95"/>
  <c r="J233" i="95"/>
  <c r="J234" i="95"/>
  <c r="K234" i="95" s="1"/>
  <c r="J235" i="95"/>
  <c r="K235" i="95" s="1"/>
  <c r="J236" i="95"/>
  <c r="K236" i="95" s="1"/>
  <c r="J237" i="95"/>
  <c r="J238" i="95"/>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J264" i="95"/>
  <c r="J265" i="95"/>
  <c r="J266" i="95"/>
  <c r="K266" i="95" s="1"/>
  <c r="J267" i="95"/>
  <c r="K267" i="95" s="1"/>
  <c r="J268" i="95"/>
  <c r="K268" i="95" s="1"/>
  <c r="J269" i="95"/>
  <c r="J270" i="95"/>
  <c r="J271" i="95"/>
  <c r="J272" i="95"/>
  <c r="J273" i="95"/>
  <c r="J274" i="95"/>
  <c r="J275" i="95"/>
  <c r="J276" i="95"/>
  <c r="J277" i="95"/>
  <c r="J278" i="95"/>
  <c r="J279" i="95"/>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J292" i="95"/>
  <c r="J293" i="95"/>
  <c r="J294" i="95"/>
  <c r="J295" i="95"/>
  <c r="K295" i="95" s="1"/>
  <c r="J296" i="95"/>
  <c r="K296" i="95" s="1"/>
  <c r="J297" i="95"/>
  <c r="K297" i="95" s="1"/>
  <c r="J298" i="95"/>
  <c r="K298" i="95" s="1"/>
  <c r="J299" i="95"/>
  <c r="K299" i="95" s="1"/>
  <c r="J300" i="95"/>
  <c r="K300" i="95" s="1"/>
  <c r="J301" i="95"/>
  <c r="J302" i="95"/>
  <c r="J303" i="95"/>
  <c r="J304" i="95"/>
  <c r="K304" i="95" s="1"/>
  <c r="J305" i="95"/>
  <c r="J306" i="95"/>
  <c r="J307" i="95"/>
  <c r="J308" i="95"/>
  <c r="J309" i="95"/>
  <c r="K309" i="95" s="1"/>
  <c r="J310" i="95"/>
  <c r="J311" i="95"/>
  <c r="J312" i="95"/>
  <c r="J313" i="95"/>
  <c r="J314" i="95"/>
  <c r="J315" i="95"/>
  <c r="J316" i="95"/>
  <c r="K316" i="95" s="1"/>
  <c r="J317" i="95"/>
  <c r="K317" i="95" s="1"/>
  <c r="J318" i="95"/>
  <c r="K318" i="95" s="1"/>
  <c r="J319" i="95"/>
  <c r="J320" i="95"/>
  <c r="J321" i="95"/>
  <c r="J322" i="95"/>
  <c r="J323" i="95"/>
  <c r="J324" i="95"/>
  <c r="J325" i="95"/>
  <c r="K325" i="95" s="1"/>
  <c r="J326" i="95"/>
  <c r="K326" i="95" s="1"/>
  <c r="J327" i="95"/>
  <c r="K327" i="95" s="1"/>
  <c r="J328" i="95"/>
  <c r="K328" i="95" s="1"/>
  <c r="J329" i="95"/>
  <c r="K329" i="95" s="1"/>
  <c r="J330" i="95"/>
  <c r="K330" i="95" s="1"/>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K362" i="95" s="1"/>
  <c r="J363" i="95"/>
  <c r="K363" i="95" s="1"/>
  <c r="J364" i="95"/>
  <c r="K364" i="95" s="1"/>
  <c r="J365" i="95"/>
  <c r="J366" i="95"/>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J392" i="95"/>
  <c r="J393" i="95"/>
  <c r="J394" i="95"/>
  <c r="K394" i="95" s="1"/>
  <c r="J395" i="95"/>
  <c r="K395" i="95" s="1"/>
  <c r="J396" i="95"/>
  <c r="K396" i="95" s="1"/>
  <c r="J397" i="95"/>
  <c r="J398" i="95"/>
  <c r="J399" i="95"/>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J420" i="95"/>
  <c r="K2" i="95"/>
  <c r="K3" i="95"/>
  <c r="K4" i="95"/>
  <c r="K5" i="95"/>
  <c r="K6" i="95"/>
  <c r="K13" i="95"/>
  <c r="K14" i="95"/>
  <c r="K15" i="95"/>
  <c r="K16" i="95"/>
  <c r="K18" i="95"/>
  <c r="K19" i="95"/>
  <c r="K20" i="95"/>
  <c r="K21" i="95"/>
  <c r="K22" i="95"/>
  <c r="K23" i="95"/>
  <c r="K25" i="95"/>
  <c r="K27" i="95"/>
  <c r="K32" i="95"/>
  <c r="K33" i="95"/>
  <c r="K34" i="95"/>
  <c r="K45" i="95"/>
  <c r="K46" i="95"/>
  <c r="K64" i="95"/>
  <c r="K65" i="95"/>
  <c r="K66" i="95"/>
  <c r="K67" i="95"/>
  <c r="K68" i="95"/>
  <c r="K69" i="95"/>
  <c r="K70" i="95"/>
  <c r="K71" i="95"/>
  <c r="K72" i="95"/>
  <c r="K73" i="95"/>
  <c r="K96" i="95"/>
  <c r="K97" i="95"/>
  <c r="K98" i="95"/>
  <c r="K99" i="95"/>
  <c r="K100" i="95"/>
  <c r="K101" i="95"/>
  <c r="K102" i="95"/>
  <c r="K103" i="95"/>
  <c r="K104" i="95"/>
  <c r="K105" i="95"/>
  <c r="K109" i="95"/>
  <c r="K110" i="95"/>
  <c r="K111" i="95"/>
  <c r="K112" i="95"/>
  <c r="K113" i="95"/>
  <c r="K114" i="95"/>
  <c r="K115" i="95"/>
  <c r="K128" i="95"/>
  <c r="K129" i="95"/>
  <c r="K130" i="95"/>
  <c r="K135" i="95"/>
  <c r="K136" i="95"/>
  <c r="K137" i="95"/>
  <c r="K141" i="95"/>
  <c r="K142" i="95"/>
  <c r="K143" i="95"/>
  <c r="K144" i="95"/>
  <c r="K145" i="95"/>
  <c r="K146" i="95"/>
  <c r="K147" i="95"/>
  <c r="K148" i="95"/>
  <c r="K149" i="95"/>
  <c r="K150" i="95"/>
  <c r="K151" i="95"/>
  <c r="K152" i="95"/>
  <c r="K154" i="95"/>
  <c r="K160" i="95"/>
  <c r="K161" i="95"/>
  <c r="K162" i="95"/>
  <c r="K163" i="95"/>
  <c r="K164" i="95"/>
  <c r="K165" i="95"/>
  <c r="K166" i="95"/>
  <c r="K167" i="95"/>
  <c r="K168" i="95"/>
  <c r="K169" i="95"/>
  <c r="K192" i="95"/>
  <c r="K193" i="95"/>
  <c r="K194" i="95"/>
  <c r="K195" i="95"/>
  <c r="K196" i="95"/>
  <c r="K197" i="95"/>
  <c r="K224" i="95"/>
  <c r="K225" i="95"/>
  <c r="K226" i="95"/>
  <c r="K227" i="95"/>
  <c r="K228" i="95"/>
  <c r="K229" i="95"/>
  <c r="K230" i="95"/>
  <c r="K231" i="95"/>
  <c r="K232" i="95"/>
  <c r="K233" i="95"/>
  <c r="K237" i="95"/>
  <c r="K238" i="95"/>
  <c r="K239" i="95"/>
  <c r="K257" i="95"/>
  <c r="K258" i="95"/>
  <c r="K259" i="95"/>
  <c r="K260" i="95"/>
  <c r="K261" i="95"/>
  <c r="K262" i="95"/>
  <c r="K263" i="95"/>
  <c r="K264" i="95"/>
  <c r="K265" i="95"/>
  <c r="K269" i="95"/>
  <c r="K270" i="95"/>
  <c r="K271" i="95"/>
  <c r="K272" i="95"/>
  <c r="K273" i="95"/>
  <c r="K274" i="95"/>
  <c r="K275" i="95"/>
  <c r="K276" i="95"/>
  <c r="K277" i="95"/>
  <c r="K278" i="95"/>
  <c r="K279" i="95"/>
  <c r="K289" i="95"/>
  <c r="K290" i="95"/>
  <c r="K291" i="95"/>
  <c r="K292" i="95"/>
  <c r="K293" i="95"/>
  <c r="K294" i="95"/>
  <c r="K301" i="95"/>
  <c r="K302" i="95"/>
  <c r="K303" i="95"/>
  <c r="K305" i="95"/>
  <c r="K306" i="95"/>
  <c r="K307" i="95"/>
  <c r="K308" i="95"/>
  <c r="K310" i="95"/>
  <c r="K311" i="95"/>
  <c r="K312" i="95"/>
  <c r="K313" i="95"/>
  <c r="K314" i="95"/>
  <c r="K315" i="95"/>
  <c r="K322" i="95"/>
  <c r="K323" i="95"/>
  <c r="K324" i="95"/>
  <c r="K352" i="95"/>
  <c r="K353" i="95"/>
  <c r="K354" i="95"/>
  <c r="K355" i="95"/>
  <c r="K356" i="95"/>
  <c r="K357" i="95"/>
  <c r="K358" i="95"/>
  <c r="K359" i="95"/>
  <c r="K360" i="95"/>
  <c r="K361" i="95"/>
  <c r="K365" i="95"/>
  <c r="K366" i="95"/>
  <c r="K384" i="95"/>
  <c r="K385" i="95"/>
  <c r="K386" i="95"/>
  <c r="K387" i="95"/>
  <c r="K388" i="95"/>
  <c r="K389" i="95"/>
  <c r="K390" i="95"/>
  <c r="K391" i="95"/>
  <c r="K392" i="95"/>
  <c r="K393" i="95"/>
  <c r="K397" i="95"/>
  <c r="K398" i="95"/>
  <c r="K399" i="95"/>
  <c r="K400" i="95"/>
  <c r="K401" i="95"/>
  <c r="K402" i="95"/>
  <c r="K403" i="95"/>
  <c r="K404" i="95"/>
  <c r="K405" i="95"/>
  <c r="K416" i="95"/>
  <c r="K417" i="95"/>
  <c r="K418" i="95"/>
  <c r="K419" i="95"/>
  <c r="K420" i="95"/>
  <c r="L2" i="95"/>
  <c r="L3" i="95"/>
  <c r="L4" i="95"/>
  <c r="M4" i="95" s="1"/>
  <c r="L5" i="95"/>
  <c r="M5" i="95" s="1"/>
  <c r="L6" i="95"/>
  <c r="M6" i="95" s="1"/>
  <c r="L7" i="95"/>
  <c r="L8" i="95"/>
  <c r="L9" i="95"/>
  <c r="L10" i="95"/>
  <c r="L11" i="95"/>
  <c r="L12" i="95"/>
  <c r="L13" i="95"/>
  <c r="L14" i="95"/>
  <c r="L15" i="95"/>
  <c r="M15" i="95" s="1"/>
  <c r="L16" i="95"/>
  <c r="L17" i="95"/>
  <c r="L18" i="95"/>
  <c r="L19" i="95"/>
  <c r="L20" i="95"/>
  <c r="L21" i="95"/>
  <c r="L22" i="95"/>
  <c r="M22" i="95" s="1"/>
  <c r="L23" i="95"/>
  <c r="M23" i="95" s="1"/>
  <c r="L24" i="95"/>
  <c r="M24" i="95" s="1"/>
  <c r="L25" i="95"/>
  <c r="M25" i="95" s="1"/>
  <c r="L26" i="95"/>
  <c r="L27" i="95"/>
  <c r="M27" i="95" s="1"/>
  <c r="L28" i="95"/>
  <c r="M28" i="95" s="1"/>
  <c r="L29" i="95"/>
  <c r="M29" i="95" s="1"/>
  <c r="L30" i="95"/>
  <c r="M30" i="95" s="1"/>
  <c r="L31" i="95"/>
  <c r="M31" i="95" s="1"/>
  <c r="L32" i="95"/>
  <c r="M32" i="95" s="1"/>
  <c r="L33" i="95"/>
  <c r="M33" i="95" s="1"/>
  <c r="L34" i="95"/>
  <c r="L35" i="95"/>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L59" i="95"/>
  <c r="L60" i="95"/>
  <c r="L61" i="95"/>
  <c r="L62" i="95"/>
  <c r="L63" i="95"/>
  <c r="L64" i="95"/>
  <c r="L65" i="95"/>
  <c r="L66" i="95"/>
  <c r="M66" i="95" s="1"/>
  <c r="L67" i="95"/>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L91" i="95"/>
  <c r="L92" i="95"/>
  <c r="L93" i="95"/>
  <c r="L94" i="95"/>
  <c r="L95" i="95"/>
  <c r="L96" i="95"/>
  <c r="L97" i="95"/>
  <c r="L98" i="95"/>
  <c r="L99" i="95"/>
  <c r="L100" i="95"/>
  <c r="M100" i="95" s="1"/>
  <c r="L101" i="95"/>
  <c r="M101" i="95" s="1"/>
  <c r="L102" i="95"/>
  <c r="M102" i="95" s="1"/>
  <c r="L103" i="95"/>
  <c r="L104" i="95"/>
  <c r="L105" i="95"/>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L123" i="95"/>
  <c r="M123" i="95" s="1"/>
  <c r="L124" i="95"/>
  <c r="M124" i="95" s="1"/>
  <c r="L125" i="95"/>
  <c r="M125" i="95" s="1"/>
  <c r="L126" i="95"/>
  <c r="M126" i="95" s="1"/>
  <c r="L127" i="95"/>
  <c r="L128" i="95"/>
  <c r="L129" i="95"/>
  <c r="L130" i="95"/>
  <c r="L131" i="95"/>
  <c r="L132" i="95"/>
  <c r="M132" i="95" s="1"/>
  <c r="L133" i="95"/>
  <c r="M133" i="95" s="1"/>
  <c r="L134" i="95"/>
  <c r="M134" i="95" s="1"/>
  <c r="L135" i="95"/>
  <c r="L136" i="95"/>
  <c r="L137" i="95"/>
  <c r="L138" i="95"/>
  <c r="L139" i="95"/>
  <c r="L140" i="95"/>
  <c r="L141" i="95"/>
  <c r="L142" i="95"/>
  <c r="L143" i="95"/>
  <c r="L144" i="95"/>
  <c r="L145" i="95"/>
  <c r="L146" i="95"/>
  <c r="L147" i="95"/>
  <c r="M147" i="95" s="1"/>
  <c r="L148" i="95"/>
  <c r="M148" i="95" s="1"/>
  <c r="L149" i="95"/>
  <c r="M149" i="95" s="1"/>
  <c r="L150" i="95"/>
  <c r="M150" i="95" s="1"/>
  <c r="L151" i="95"/>
  <c r="M151" i="95" s="1"/>
  <c r="L152" i="95"/>
  <c r="M152" i="95" s="1"/>
  <c r="L153" i="95"/>
  <c r="M153" i="95" s="1"/>
  <c r="L154" i="95"/>
  <c r="L155" i="95"/>
  <c r="L156" i="95"/>
  <c r="L157" i="95"/>
  <c r="L158" i="95"/>
  <c r="L159" i="95"/>
  <c r="L160" i="95"/>
  <c r="L161" i="95"/>
  <c r="L162" i="95"/>
  <c r="L163" i="95"/>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L182" i="95"/>
  <c r="M182" i="95" s="1"/>
  <c r="L183" i="95"/>
  <c r="M183" i="95" s="1"/>
  <c r="L184" i="95"/>
  <c r="M184" i="95" s="1"/>
  <c r="L185" i="95"/>
  <c r="M185" i="95" s="1"/>
  <c r="L186" i="95"/>
  <c r="L187" i="95"/>
  <c r="L188" i="95"/>
  <c r="L189" i="95"/>
  <c r="L190" i="95"/>
  <c r="M190" i="95" s="1"/>
  <c r="L191" i="95"/>
  <c r="M191" i="95" s="1"/>
  <c r="L192" i="95"/>
  <c r="M192" i="95" s="1"/>
  <c r="L193" i="95"/>
  <c r="M193" i="95" s="1"/>
  <c r="L194" i="95"/>
  <c r="L195" i="95"/>
  <c r="L196" i="95"/>
  <c r="M196" i="95" s="1"/>
  <c r="L197" i="95"/>
  <c r="M197" i="95" s="1"/>
  <c r="L198" i="95"/>
  <c r="M198" i="95" s="1"/>
  <c r="L199" i="95"/>
  <c r="M199" i="95" s="1"/>
  <c r="L200" i="95"/>
  <c r="M200" i="95" s="1"/>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L219" i="95"/>
  <c r="L220" i="95"/>
  <c r="L221" i="95"/>
  <c r="L222" i="95"/>
  <c r="L223" i="95"/>
  <c r="L224" i="95"/>
  <c r="L225" i="95"/>
  <c r="L226" i="95"/>
  <c r="L227" i="95"/>
  <c r="L228" i="95"/>
  <c r="M228" i="95" s="1"/>
  <c r="L229" i="95"/>
  <c r="M229" i="95" s="1"/>
  <c r="L230" i="95"/>
  <c r="M230" i="95" s="1"/>
  <c r="L231" i="95"/>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L251" i="95"/>
  <c r="L252" i="95"/>
  <c r="L253" i="95"/>
  <c r="L254" i="95"/>
  <c r="L255" i="95"/>
  <c r="L256" i="95"/>
  <c r="L257" i="95"/>
  <c r="L258" i="95"/>
  <c r="L259" i="95"/>
  <c r="L260" i="95"/>
  <c r="M260" i="95" s="1"/>
  <c r="L261" i="95"/>
  <c r="M261" i="95" s="1"/>
  <c r="L262" i="95"/>
  <c r="M262" i="95" s="1"/>
  <c r="L263" i="95"/>
  <c r="L264" i="95"/>
  <c r="L265" i="95"/>
  <c r="L266" i="95"/>
  <c r="L267" i="95"/>
  <c r="L268" i="95"/>
  <c r="L269" i="95"/>
  <c r="L270" i="95"/>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L283" i="95"/>
  <c r="L284" i="95"/>
  <c r="L285" i="95"/>
  <c r="L286" i="95"/>
  <c r="M286" i="95" s="1"/>
  <c r="L287" i="95"/>
  <c r="M287" i="95" s="1"/>
  <c r="L288" i="95"/>
  <c r="M288" i="95" s="1"/>
  <c r="L289" i="95"/>
  <c r="M289" i="95" s="1"/>
  <c r="L290" i="95"/>
  <c r="L291" i="95"/>
  <c r="L292" i="95"/>
  <c r="M292" i="95" s="1"/>
  <c r="L293" i="95"/>
  <c r="M293" i="95" s="1"/>
  <c r="L294" i="95"/>
  <c r="M294" i="95" s="1"/>
  <c r="L295" i="95"/>
  <c r="L296" i="95"/>
  <c r="L297" i="95"/>
  <c r="L298" i="95"/>
  <c r="L299" i="95"/>
  <c r="L300" i="95"/>
  <c r="L301" i="95"/>
  <c r="L302" i="95"/>
  <c r="L303" i="95"/>
  <c r="L304" i="95"/>
  <c r="L305" i="95"/>
  <c r="L306" i="95"/>
  <c r="L307" i="95"/>
  <c r="L308" i="95"/>
  <c r="M308" i="95" s="1"/>
  <c r="L309" i="95"/>
  <c r="L310" i="95"/>
  <c r="M310" i="95" s="1"/>
  <c r="L311" i="95"/>
  <c r="M311" i="95" s="1"/>
  <c r="L312" i="95"/>
  <c r="M312" i="95" s="1"/>
  <c r="L313" i="95"/>
  <c r="M313" i="95" s="1"/>
  <c r="L314" i="95"/>
  <c r="L315" i="95"/>
  <c r="L316" i="95"/>
  <c r="M316" i="95" s="1"/>
  <c r="L317" i="95"/>
  <c r="M317" i="95" s="1"/>
  <c r="L318" i="95"/>
  <c r="M318" i="95" s="1"/>
  <c r="L319" i="95"/>
  <c r="M319" i="95" s="1"/>
  <c r="L320" i="95"/>
  <c r="M320" i="95" s="1"/>
  <c r="L321" i="95"/>
  <c r="M321" i="95" s="1"/>
  <c r="L322" i="95"/>
  <c r="L323" i="95"/>
  <c r="L324" i="95"/>
  <c r="M324" i="95" s="1"/>
  <c r="L325" i="95"/>
  <c r="M325" i="95" s="1"/>
  <c r="L326" i="95"/>
  <c r="M326" i="95" s="1"/>
  <c r="L327" i="95"/>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L347" i="95"/>
  <c r="L348" i="95"/>
  <c r="L349" i="95"/>
  <c r="L350" i="95"/>
  <c r="L351" i="95"/>
  <c r="L352" i="95"/>
  <c r="L353" i="95"/>
  <c r="M353" i="95" s="1"/>
  <c r="L354" i="95"/>
  <c r="L355" i="95"/>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L379" i="95"/>
  <c r="L380" i="95"/>
  <c r="L381" i="95"/>
  <c r="L382" i="95"/>
  <c r="L383" i="95"/>
  <c r="L384" i="95"/>
  <c r="L385" i="95"/>
  <c r="L386" i="95"/>
  <c r="L387" i="95"/>
  <c r="L388" i="95"/>
  <c r="M388" i="95" s="1"/>
  <c r="L389" i="95"/>
  <c r="M389" i="95" s="1"/>
  <c r="L390" i="95"/>
  <c r="M390" i="95" s="1"/>
  <c r="L391" i="95"/>
  <c r="L392" i="95"/>
  <c r="L393" i="95"/>
  <c r="L394" i="95"/>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L411" i="95"/>
  <c r="M411" i="95" s="1"/>
  <c r="L412" i="95"/>
  <c r="L413" i="95"/>
  <c r="L414" i="95"/>
  <c r="L415" i="95"/>
  <c r="L416" i="95"/>
  <c r="L417" i="95"/>
  <c r="L418" i="95"/>
  <c r="L419" i="95"/>
  <c r="L420" i="95"/>
  <c r="M420" i="95" s="1"/>
  <c r="M2" i="95"/>
  <c r="M3" i="95"/>
  <c r="M7" i="95"/>
  <c r="M8" i="95"/>
  <c r="M9" i="95"/>
  <c r="M10" i="95"/>
  <c r="M11" i="95"/>
  <c r="M12" i="95"/>
  <c r="M13" i="95"/>
  <c r="M14" i="95"/>
  <c r="M16" i="95"/>
  <c r="M17" i="95"/>
  <c r="M18" i="95"/>
  <c r="M19" i="95"/>
  <c r="M20" i="95"/>
  <c r="M21" i="95"/>
  <c r="M26" i="95"/>
  <c r="M34" i="95"/>
  <c r="M35" i="95"/>
  <c r="M58" i="95"/>
  <c r="M59" i="95"/>
  <c r="M60" i="95"/>
  <c r="M61" i="95"/>
  <c r="M62" i="95"/>
  <c r="M63" i="95"/>
  <c r="M64" i="95"/>
  <c r="M65" i="95"/>
  <c r="M67" i="95"/>
  <c r="M90" i="95"/>
  <c r="M91" i="95"/>
  <c r="M92" i="95"/>
  <c r="M93" i="95"/>
  <c r="M94" i="95"/>
  <c r="M95" i="95"/>
  <c r="M96" i="95"/>
  <c r="M97" i="95"/>
  <c r="M98" i="95"/>
  <c r="M99" i="95"/>
  <c r="M103" i="95"/>
  <c r="M104" i="95"/>
  <c r="M105" i="95"/>
  <c r="M106" i="95"/>
  <c r="M107" i="95"/>
  <c r="M122" i="95"/>
  <c r="M127" i="95"/>
  <c r="M128" i="95"/>
  <c r="M129" i="95"/>
  <c r="M130" i="95"/>
  <c r="M131" i="95"/>
  <c r="M135" i="95"/>
  <c r="M136" i="95"/>
  <c r="M137" i="95"/>
  <c r="M138" i="95"/>
  <c r="M139" i="95"/>
  <c r="M140" i="95"/>
  <c r="M141" i="95"/>
  <c r="M142" i="95"/>
  <c r="M143" i="95"/>
  <c r="M144" i="95"/>
  <c r="M145" i="95"/>
  <c r="M146" i="95"/>
  <c r="M154" i="95"/>
  <c r="M155" i="95"/>
  <c r="M156" i="95"/>
  <c r="M157" i="95"/>
  <c r="M158" i="95"/>
  <c r="M159" i="95"/>
  <c r="M160" i="95"/>
  <c r="M161" i="95"/>
  <c r="M162" i="95"/>
  <c r="M163" i="95"/>
  <c r="M181" i="95"/>
  <c r="M186" i="95"/>
  <c r="M187" i="95"/>
  <c r="M188" i="95"/>
  <c r="M189" i="95"/>
  <c r="M194" i="95"/>
  <c r="M195" i="95"/>
  <c r="M218" i="95"/>
  <c r="M219" i="95"/>
  <c r="M220" i="95"/>
  <c r="M221" i="95"/>
  <c r="M222" i="95"/>
  <c r="M223" i="95"/>
  <c r="M224" i="95"/>
  <c r="M225" i="95"/>
  <c r="M226" i="95"/>
  <c r="M227" i="95"/>
  <c r="M231" i="95"/>
  <c r="M250" i="95"/>
  <c r="M251" i="95"/>
  <c r="M252" i="95"/>
  <c r="M253" i="95"/>
  <c r="M254" i="95"/>
  <c r="M255" i="95"/>
  <c r="M256" i="95"/>
  <c r="M257" i="95"/>
  <c r="M258" i="95"/>
  <c r="M259" i="95"/>
  <c r="M263" i="95"/>
  <c r="M264" i="95"/>
  <c r="M265" i="95"/>
  <c r="M266" i="95"/>
  <c r="M267" i="95"/>
  <c r="M268" i="95"/>
  <c r="M269" i="95"/>
  <c r="M270" i="95"/>
  <c r="M282" i="95"/>
  <c r="M283" i="95"/>
  <c r="M284" i="95"/>
  <c r="M285" i="95"/>
  <c r="M290" i="95"/>
  <c r="M291" i="95"/>
  <c r="M295" i="95"/>
  <c r="M296" i="95"/>
  <c r="M297" i="95"/>
  <c r="M298" i="95"/>
  <c r="M299" i="95"/>
  <c r="M300" i="95"/>
  <c r="M301" i="95"/>
  <c r="M302" i="95"/>
  <c r="M303" i="95"/>
  <c r="M304" i="95"/>
  <c r="M305" i="95"/>
  <c r="M306" i="95"/>
  <c r="M307" i="95"/>
  <c r="M309" i="95"/>
  <c r="M314" i="95"/>
  <c r="M315" i="95"/>
  <c r="M322" i="95"/>
  <c r="M323" i="95"/>
  <c r="M327" i="95"/>
  <c r="M346" i="95"/>
  <c r="M347" i="95"/>
  <c r="M348" i="95"/>
  <c r="M349" i="95"/>
  <c r="M350" i="95"/>
  <c r="M351" i="95"/>
  <c r="M352" i="95"/>
  <c r="M354" i="95"/>
  <c r="M355" i="95"/>
  <c r="M378" i="95"/>
  <c r="M379" i="95"/>
  <c r="M380" i="95"/>
  <c r="M381" i="95"/>
  <c r="M382" i="95"/>
  <c r="M383" i="95"/>
  <c r="M384" i="95"/>
  <c r="M385" i="95"/>
  <c r="M386" i="95"/>
  <c r="M387" i="95"/>
  <c r="M391" i="95"/>
  <c r="M392" i="95"/>
  <c r="M393" i="95"/>
  <c r="M394" i="95"/>
  <c r="M410" i="95"/>
  <c r="M412" i="95"/>
  <c r="M413" i="95"/>
  <c r="M414" i="95"/>
  <c r="M41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c r="L8" i="70" a="1"/>
  <c r="L8" i="70"/>
  <c r="L9" i="70" a="1"/>
  <c r="L9" i="70"/>
  <c r="L10" i="70" a="1"/>
  <c r="L10" i="70"/>
  <c r="L11" i="70" a="1"/>
  <c r="L11" i="70"/>
  <c r="L12" i="70" a="1"/>
  <c r="L12" i="70"/>
  <c r="L13" i="70" a="1"/>
  <c r="L13" i="70" s="1"/>
  <c r="L14" i="70" a="1"/>
  <c r="L14" i="70" s="1"/>
  <c r="L15" i="70" a="1"/>
  <c r="L15" i="70"/>
  <c r="L16" i="70" a="1"/>
  <c r="L16" i="70"/>
  <c r="L17" i="70" a="1"/>
  <c r="L17" i="70"/>
  <c r="L18" i="70" a="1"/>
  <c r="L18" i="70"/>
  <c r="L19" i="70" a="1"/>
  <c r="L19" i="70" s="1"/>
  <c r="L20" i="70" a="1"/>
  <c r="L20" i="70"/>
  <c r="L21" i="70" a="1"/>
  <c r="L21" i="70" s="1"/>
  <c r="L22" i="70" a="1"/>
  <c r="L22" i="70" s="1"/>
  <c r="L23" i="70" a="1"/>
  <c r="L23" i="70"/>
  <c r="L24" i="70" a="1"/>
  <c r="L24" i="70"/>
  <c r="L25" i="70" a="1"/>
  <c r="L25" i="70"/>
  <c r="L26" i="70" a="1"/>
  <c r="L26" i="70"/>
  <c r="L27" i="70" a="1"/>
  <c r="L27" i="70"/>
  <c r="L28" i="70" a="1"/>
  <c r="L28" i="70"/>
  <c r="M19" i="70" a="1"/>
  <c r="M19" i="70" s="1"/>
  <c r="M20" i="70" a="1"/>
  <c r="M20" i="70" s="1"/>
  <c r="R2" i="74"/>
  <c r="F2" i="74" s="1" a="1"/>
  <c r="F2" i="74" s="1"/>
  <c r="D47" i="8"/>
  <c r="M5" i="70" s="1" a="1"/>
  <c r="M5" i="70" s="1"/>
  <c r="D14" i="8"/>
  <c r="D13" i="8"/>
  <c r="D12" i="8"/>
  <c r="D11" i="8" a="1"/>
  <c r="D11" i="8" s="1"/>
  <c r="K2" i="70"/>
  <c r="I47" i="8"/>
  <c r="H47" i="8"/>
  <c r="G47" i="8"/>
  <c r="F47" i="8"/>
  <c r="E47" i="8"/>
  <c r="G1" i="8" a="1"/>
  <c r="K221" i="95" l="1"/>
  <c r="K319" i="95"/>
  <c r="M7" i="70" a="1"/>
  <c r="M7" i="70" s="1"/>
  <c r="M10" i="70" a="1"/>
  <c r="M10" i="70" s="1"/>
  <c r="M15" i="70" a="1"/>
  <c r="M15" i="70" s="1"/>
  <c r="M14" i="70" a="1"/>
  <c r="M14" i="70" s="1"/>
  <c r="M18" i="70" a="1"/>
  <c r="M18" i="70" s="1"/>
  <c r="M13" i="70" a="1"/>
  <c r="M13" i="70" s="1"/>
  <c r="M28" i="70" a="1"/>
  <c r="M28" i="70" s="1"/>
  <c r="M12" i="70" a="1"/>
  <c r="M12" i="70" s="1"/>
  <c r="M17" i="70" a="1"/>
  <c r="M17" i="70" s="1"/>
  <c r="M16" i="70" a="1"/>
  <c r="M16" i="70" s="1"/>
  <c r="M27" i="70" a="1"/>
  <c r="M27" i="70" s="1"/>
  <c r="M11" i="70" a="1"/>
  <c r="M11" i="70" s="1"/>
  <c r="M23" i="70" a="1"/>
  <c r="M23" i="70" s="1"/>
  <c r="M9" i="70" a="1"/>
  <c r="M9" i="70" s="1"/>
  <c r="M26" i="70" a="1"/>
  <c r="M26" i="70" s="1"/>
  <c r="M25" i="70" a="1"/>
  <c r="M25" i="70" s="1"/>
  <c r="M24" i="70" a="1"/>
  <c r="M24" i="70" s="1"/>
  <c r="M8" i="70" a="1"/>
  <c r="M8" i="70" s="1"/>
  <c r="M22" i="70" a="1"/>
  <c r="M22" i="70" s="1"/>
  <c r="M6" i="70" a="1"/>
  <c r="M6" i="70" s="1"/>
  <c r="M21" i="70" a="1"/>
  <c r="M21" i="70" s="1"/>
  <c r="G2" i="100" a="1"/>
  <c r="G2" i="100" s="1"/>
  <c r="G1" i="8"/>
  <c r="L2" i="70" a="1"/>
  <c r="L2" i="70" s="1"/>
  <c r="M2" i="70" l="1" a="1"/>
  <c r="M2" i="70" s="1"/>
  <c r="N23" i="70" s="1"/>
  <c r="N20" i="70" l="1"/>
  <c r="N7" i="70"/>
  <c r="N19" i="70"/>
  <c r="N10" i="70"/>
  <c r="N5" i="70"/>
  <c r="N13" i="70"/>
  <c r="N26" i="70"/>
  <c r="N21" i="70"/>
  <c r="N9" i="70"/>
  <c r="N6" i="70"/>
  <c r="N14" i="70"/>
  <c r="N17" i="70"/>
  <c r="N8" i="70"/>
  <c r="N15" i="70"/>
  <c r="N18" i="70"/>
  <c r="N12" i="70"/>
  <c r="N11" i="70"/>
  <c r="N25" i="70"/>
  <c r="N16" i="70"/>
  <c r="N28" i="70"/>
  <c r="N24" i="70"/>
  <c r="N27" i="70"/>
  <c r="N22"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<sst xmlns="http://schemas.openxmlformats.org/spreadsheetml/2006/main" count="1283" uniqueCount="751">
  <si>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</si>
  <si>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</si>
  <si>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</si>
  <si>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</si>
  <si>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</si>
  <si>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</si>
  <si>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</si>
  <si>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</si>
  <si>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</si>
  <si>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</si>
  <si>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</si>
  <si>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</si>
  <si>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</si>
  <si>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</si>
  <si>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</si>
  <si>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</si>
  <si>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</si>
  <si>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</si>
  <si>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</si>
  <si>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</si>
  <si>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</si>
  <si>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</si>
  <si>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</si>
  <si>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</si>
  <si>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</si>
  <si>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</si>
  <si>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</si>
  <si>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</si>
  <si>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</si>
  <si>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</si>
  <si>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</si>
  <si>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</si>
  <si>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</si>
  <si>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</si>
  <si>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</si>
  <si>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</si>
  <si>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</si>
  <si>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</si>
  <si>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</si>
  <si>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</si>
  <si>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</si>
  <si>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</si>
  <si>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</si>
  <si>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</si>
  <si>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</si>
  <si>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</si>
  <si>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</si>
  <si>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</si>
  <si>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</si>
  <si>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</si>
  <si>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</si>
  <si>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</si>
  <si>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</si>
  <si>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</si>
  <si>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</si>
  <si>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</si>
  <si>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</si>
  <si>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</si>
  <si>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</si>
  <si>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</si>
  <si>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</si>
  <si>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</si>
  <si>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</si>
  <si>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</si>
  <si>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</si>
  <si>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</si>
  <si>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</si>
  <si>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</si>
  <si>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</si>
  <si>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</si>
  <si>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</si>
  <si>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</si>
  <si>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</si>
  <si>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</si>
  <si>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</si>
  <si>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</si>
  <si>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</si>
  <si>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</si>
  <si>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</si>
  <si>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</si>
  <si>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</si>
  <si>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</si>
  <si>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</si>
  <si>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</si>
  <si>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</si>
  <si>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</si>
  <si>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</si>
  <si>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</si>
  <si>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</si>
  <si>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</si>
  <si>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</si>
  <si>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</si>
  <si>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</si>
  <si>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</si>
  <si>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</si>
  <si>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</si>
  <si>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</si>
  <si>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</si>
  <si>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</si>
  <si>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</si>
  <si>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</si>
  <si>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</si>
  <si>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</si>
  <si>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</si>
  <si>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</si>
  <si>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</si>
  <si>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</si>
  <si>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</si>
  <si>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</si>
  <si>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</si>
  <si>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</si>
  <si>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</si>
  <si>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</si>
  <si>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</si>
  <si>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</si>
  <si>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</si>
  <si>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</si>
  <si>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</si>
  <si>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</si>
  <si>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</si>
  <si>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</si>
  <si>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</si>
  <si>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</si>
  <si>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</si>
  <si>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</si>
  <si>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</si>
  <si>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</si>
  <si>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</si>
  <si>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</si>
  <si>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</si>
  <si>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</si>
  <si>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</si>
  <si>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</si>
  <si>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</si>
  <si>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</si>
  <si>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</si>
  <si>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</si>
  <si>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</si>
  <si>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</si>
  <si>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</si>
  <si>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</si>
  <si>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</si>
  <si>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</si>
  <si>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</si>
  <si>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</si>
  <si>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</si>
  <si>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</si>
  <si>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</si>
  <si>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</si>
  <si>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</si>
  <si>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</si>
  <si>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</si>
  <si>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</si>
  <si>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</si>
  <si>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</si>
  <si>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</si>
  <si>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</si>
  <si>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</si>
  <si>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</si>
  <si>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</si>
  <si>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</si>
  <si>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</si>
  <si>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</si>
  <si>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</si>
  <si>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</si>
  <si>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</si>
  <si>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</si>
  <si>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</si>
  <si>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</si>
  <si>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</si>
  <si>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</si>
  <si>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</si>
  <si>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</si>
  <si>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</si>
  <si>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</si>
  <si>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</si>
  <si>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</si>
  <si>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</si>
  <si>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</si>
  <si>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</si>
  <si>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</si>
  <si>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</si>
  <si>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</si>
  <si>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</si>
  <si>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</si>
  <si>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</si>
  <si>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</si>
  <si>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</si>
  <si>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</si>
  <si>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</si>
  <si>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</si>
  <si>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</si>
  <si>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</si>
  <si>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</si>
  <si>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</si>
  <si>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</si>
  <si>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</si>
  <si>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</si>
  <si>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</si>
  <si>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</si>
  <si>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</si>
  <si>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</si>
  <si>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</si>
  <si>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</si>
  <si>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</si>
  <si>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</si>
  <si>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</si>
  <si>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</si>
  <si>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</si>
  <si>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</si>
  <si>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</si>
  <si>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</si>
  <si>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</si>
  <si>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</si>
  <si>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</si>
  <si>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</si>
  <si>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</si>
  <si>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</si>
  <si>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</si>
  <si>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</si>
  <si>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</si>
  <si>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</si>
  <si>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</si>
  <si>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</si>
  <si>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</si>
  <si>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</si>
  <si>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</si>
  <si>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</si>
  <si>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</si>
  <si>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</si>
  <si>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</si>
  <si>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</si>
  <si>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</si>
  <si>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</si>
  <si>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</si>
  <si>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</si>
  <si>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</si>
  <si>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</si>
  <si>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</si>
  <si>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</si>
  <si>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</si>
  <si>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</si>
  <si>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</si>
  <si>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</si>
  <si>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</si>
  <si>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</si>
  <si>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</si>
  <si>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</si>
  <si>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</si>
  <si>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</si>
  <si>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</si>
  <si>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</si>
  <si>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</si>
  <si>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</si>
  <si>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</si>
  <si>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</si>
  <si>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</si>
  <si>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</si>
  <si>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</si>
  <si>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</si>
  <si>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</si>
  <si>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</si>
  <si>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</si>
  <si>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</si>
  <si>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</si>
  <si>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</si>
  <si>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</si>
  <si>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</si>
  <si>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</si>
  <si>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</si>
  <si>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</si>
  <si>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</si>
  <si>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</si>
  <si>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</si>
  <si>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</si>
  <si>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</si>
  <si>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</si>
  <si>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</si>
  <si>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</si>
  <si>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</si>
  <si>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</si>
  <si>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</si>
  <si>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</si>
  <si>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</si>
  <si>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</si>
  <si>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</si>
  <si>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</si>
  <si>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</si>
  <si>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</si>
  <si>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</si>
  <si>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</si>
  <si>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</si>
  <si>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</si>
  <si>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</si>
  <si>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</si>
  <si>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</si>
  <si>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</si>
  <si>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</si>
  <si>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</si>
  <si>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</si>
  <si>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</si>
  <si>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</si>
  <si>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</si>
  <si>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</si>
  <si>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</si>
  <si>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</si>
  <si>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</si>
  <si>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</si>
  <si>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</si>
  <si>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</si>
  <si>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</si>
  <si>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</si>
  <si>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</si>
  <si>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</si>
  <si>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</si>
  <si>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</si>
  <si>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</si>
  <si>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</si>
  <si>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</si>
  <si>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</si>
  <si>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</si>
  <si>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</si>
  <si>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</si>
  <si>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</si>
  <si>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</si>
  <si>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</si>
  <si>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</si>
  <si>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</si>
  <si>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</si>
  <si>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</si>
  <si>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</si>
  <si>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</si>
  <si>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</si>
  <si>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</si>
  <si>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</si>
  <si>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</si>
  <si>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</si>
  <si>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</si>
  <si>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</si>
  <si>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</si>
  <si>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</si>
  <si>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</si>
  <si>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</si>
  <si>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</si>
  <si>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</si>
  <si>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</si>
  <si>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</si>
  <si>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</si>
  <si>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</si>
  <si>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</si>
  <si>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</si>
  <si>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</si>
  <si>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</si>
  <si>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</si>
  <si>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</si>
  <si>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</si>
  <si>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</si>
  <si>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</si>
  <si>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</si>
  <si>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</si>
  <si>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</si>
  <si>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</si>
  <si>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</si>
  <si>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</si>
  <si>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</si>
  <si>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</si>
  <si>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</si>
  <si>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</si>
  <si>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</si>
  <si>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</si>
  <si>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</si>
  <si>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</si>
  <si>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</si>
  <si>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</si>
  <si>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</si>
  <si>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</si>
  <si>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</si>
  <si>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</si>
  <si>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</si>
  <si>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</si>
  <si>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</si>
  <si>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</si>
  <si>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</si>
  <si>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</si>
  <si>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</si>
  <si>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</si>
  <si>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</si>
  <si>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</si>
  <si>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</si>
  <si>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</si>
  <si>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</si>
  <si>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</si>
  <si>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</si>
  <si>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</si>
  <si>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</si>
  <si>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</si>
  <si>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</si>
  <si>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</si>
  <si>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</si>
  <si>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</si>
  <si>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</si>
  <si>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</si>
  <si>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</si>
  <si>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</si>
  <si>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</si>
  <si>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</si>
  <si>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</si>
  <si>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</si>
  <si>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</si>
  <si>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</si>
  <si>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</si>
  <si>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</si>
  <si>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</si>
  <si>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</si>
  <si>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</si>
  <si>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</si>
  <si>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</si>
  <si>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</si>
  <si>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</si>
  <si>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</si>
  <si>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</si>
  <si>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</si>
  <si>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</si>
  <si>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</si>
  <si>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</si>
  <si>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</si>
  <si>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</si>
  <si>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</si>
  <si>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</si>
  <si>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</si>
  <si>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</si>
  <si>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</si>
  <si>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</si>
  <si>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</si>
  <si>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</si>
  <si>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</si>
  <si>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</si>
  <si>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</si>
  <si>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</si>
  <si>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</si>
  <si>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</si>
  <si>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</si>
  <si>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</si>
  <si>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</si>
  <si>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</si>
  <si>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</si>
  <si>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</si>
  <si>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</si>
  <si>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</si>
  <si>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</si>
  <si>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</si>
  <si>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</si>
  <si>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</si>
  <si>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</si>
  <si>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</si>
  <si>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</si>
  <si>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</si>
  <si>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</si>
  <si>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</si>
  <si>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</si>
  <si>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</si>
  <si>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</si>
  <si>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</si>
  <si>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</si>
  <si>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</si>
  <si>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</si>
  <si>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</si>
  <si>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</si>
  <si>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</si>
  <si>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</si>
  <si>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</si>
  <si>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</si>
  <si>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</si>
  <si>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</si>
  <si>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</si>
  <si>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</si>
  <si>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</si>
  <si>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</si>
  <si>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</si>
  <si>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</si>
  <si>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</si>
  <si>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</si>
  <si>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</si>
  <si>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</si>
  <si>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</si>
  <si>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</si>
  <si>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</si>
  <si>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</si>
  <si>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</si>
  <si>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</si>
  <si>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</si>
  <si>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</si>
  <si>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</si>
  <si>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</si>
  <si>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</si>
  <si>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</si>
  <si>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</si>
  <si>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</si>
  <si>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</si>
  <si>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</si>
  <si>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</si>
  <si>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</si>
  <si>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</si>
  <si>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</si>
  <si>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</si>
  <si>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</si>
  <si>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</si>
  <si>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</si>
  <si>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</si>
  <si>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</si>
  <si>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</si>
  <si>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</si>
  <si>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</si>
  <si>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</si>
  <si>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</si>
  <si>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</si>
  <si>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</si>
  <si>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</si>
  <si>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</si>
  <si>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</si>
  <si>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</si>
  <si>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</si>
  <si>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</si>
  <si>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</si>
  <si>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</si>
  <si>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</si>
  <si>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</si>
  <si>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</si>
  <si>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</si>
  <si>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</si>
  <si>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</si>
  <si>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</si>
  <si>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</si>
  <si>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</si>
  <si>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</si>
  <si>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</si>
  <si>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</si>
  <si>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</si>
  <si>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</si>
  <si>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</si>
  <si>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</si>
  <si>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</si>
  <si>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</si>
  <si>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</si>
  <si>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</si>
  <si>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</si>
  <si>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</si>
  <si>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</si>
  <si>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</si>
  <si>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</si>
  <si>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</si>
  <si>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</si>
  <si>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</si>
  <si>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</si>
  <si>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</si>
  <si>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</si>
  <si>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</si>
  <si>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</si>
  <si>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</si>
  <si>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</si>
  <si>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</si>
  <si>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</si>
  <si>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</si>
  <si>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</si>
  <si>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</si>
  <si>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</si>
  <si>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</si>
  <si>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</si>
  <si>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</si>
  <si>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</si>
  <si>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</si>
  <si>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</si>
  <si>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</si>
  <si>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</si>
  <si>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</si>
  <si>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</si>
  <si>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</si>
  <si>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</si>
  <si>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</si>
  <si>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</si>
  <si>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</si>
  <si>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</si>
  <si>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</si>
  <si>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</si>
  <si>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</si>
  <si>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</si>
  <si>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</si>
  <si>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</si>
  <si>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</si>
  <si>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</si>
  <si>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</si>
  <si>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</si>
  <si>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</si>
  <si>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</si>
  <si>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</si>
  <si>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</si>
  <si>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</si>
  <si>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</si>
  <si>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</si>
  <si>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</si>
  <si>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</si>
  <si>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</si>
  <si>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</si>
  <si>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</si>
  <si>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</si>
  <si>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</si>
  <si>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</si>
  <si>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</si>
  <si>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</si>
  <si>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</si>
  <si>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</si>
  <si>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</si>
  <si>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</si>
  <si>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</si>
  <si>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</si>
  <si>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</si>
  <si>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</si>
  <si>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</si>
  <si>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</si>
  <si>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</si>
  <si>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</si>
  <si>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</si>
  <si>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</si>
  <si>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</si>
  <si>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</si>
  <si>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</si>
  <si>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</si>
  <si>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</si>
  <si>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</si>
  <si>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</si>
  <si>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</si>
  <si>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</si>
  <si>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</si>
  <si>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</si>
  <si>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</si>
  <si>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</si>
  <si>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</si>
  <si>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</si>
  <si>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</si>
  <si>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</si>
  <si>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</si>
  <si>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</si>
  <si>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</si>
  <si>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</si>
  <si>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</si>
  <si>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</si>
  <si>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</si>
  <si>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</si>
  <si>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</si>
  <si>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</si>
  <si>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</si>
  <si>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</si>
  <si>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</si>
  <si>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</si>
  <si>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</si>
  <si>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</si>
  <si>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</si>
  <si>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</si>
  <si>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</si>
  <si>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</si>
  <si>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</si>
  <si>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</si>
  <si>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</si>
  <si>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</si>
  <si>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</si>
  <si>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</si>
  <si>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</si>
  <si>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</si>
  <si>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</si>
  <si>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</si>
  <si>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</si>
  <si>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</si>
  <si>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</si>
  <si>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</si>
  <si>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</si>
  <si>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</si>
  <si>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</si>
  <si>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</si>
  <si>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</si>
  <si>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</si>
  <si>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</si>
  <si>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</si>
  <si>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</si>
  <si>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</si>
  <si>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</si>
  <si>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</si>
  <si>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</si>
  <si>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</si>
  <si>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</si>
  <si>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</si>
  <si>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</si>
  <si>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</si>
  <si>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</si>
  <si>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</si>
  <si>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</si>
  <si>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</si>
  <si>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</si>
  <si>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</si>
  <si>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</si>
  <si>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</si>
  <si>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</si>
  <si>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</si>
  <si>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</si>
  <si>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</si>
  <si>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</si>
  <si>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</si>
  <si>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</si>
  <si>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</si>
  <si>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</si>
  <si>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</si>
  <si>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</si>
  <si>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</si>
  <si>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</si>
  <si>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</si>
  <si>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</si>
  <si>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</si>
  <si>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</si>
  <si>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</si>
  <si>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</si>
  <si>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</si>
  <si>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</si>
  <si>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</si>
  <si>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</si>
  <si>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</si>
  <si>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</si>
  <si>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</si>
  <si>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</si>
  <si>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</si>
  <si>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</si>
  <si>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</si>
  <si>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</si>
  <si>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</si>
  <si>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</si>
  <si>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</si>
  <si>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</si>
  <si>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</si>
  <si>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</si>
  <si>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</si>
  <si>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</si>
  <si>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</si>
  <si>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</si>
  <si>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</si>
  <si>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</si>
  <si>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</si>
  <si>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</si>
  <si>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</si>
  <si>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</si>
  <si>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Ver. 03.01.26</t>
  </si>
  <si>
    <t>sort1</t>
  </si>
  <si>
    <t>sort2</t>
  </si>
  <si>
    <t>Daqbook Compatibility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</si>
</sst>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0" formatCode="General"/>
    </dxf>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5"/>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0">
      <calculatedColumnFormula>_xlfn.XLOOKUP(WireSets[[#This Row],[type]],Table6[TC Type],Table6[Daqbook Type],NA())</calculatedColumnFormula>
    </tableColumn>
    <tableColumn id="9" xr3:uid="{5B17E9FC-0D68-4EA9-9145-B5DC8FAF5A93}" uniqueName="9" name="type" queryTableFieldId="9" dataDxfId="200"/>
    <tableColumn id="11" xr3:uid="{2D3288D5-A49B-43E9-9125-CE335E115BBC}" uniqueName="11" name="daqbook_ok" queryTableFieldId="82" dataDxfId="199">
      <calculatedColumnFormula>IF(ISNA($K$2), TRUE, $K$2=WireSets[[#This Row],[Daqbook Compatibility]])</calculatedColumnFormula>
    </tableColumn>
    <tableColumn id="19" xr3:uid="{D7BFED31-BD3B-42D0-93A4-626A2F893B49}" uniqueName="19" name="sn_ok" queryTableFieldId="79" dataDxfId="198">
      <calculatedColumnFormula array="1">OR(WireSets[[#This Row],[serial_number]]=WireSetSNs)</calculatedColumnFormula>
    </tableColumn>
    <tableColumn id="20" xr3:uid="{705A1FB0-77C3-4452-9B89-35050DBC2A13}" uniqueName="20" name="type_ok" queryTableFieldId="80" dataDxfId="197">
      <calculatedColumnFormula array="1">OR(WireSets[[#This Row],[type]]=types)</calculatedColumnFormula>
    </tableColumn>
    <tableColumn id="18" xr3:uid="{18FA8DFB-3DBF-4BA4-B0A1-320CC710CE67}" uniqueName="18" name="FILTER" queryTableFieldId="78" dataDxfId="196">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5"/>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4"/>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3"/>
    <tableColumn id="6" xr3:uid="{5062893C-BBB1-47DF-8675-99516DA753A8}" uniqueName="6" name="sort1" queryTableFieldId="6" dataDxfId="192">
      <calculatedColumnFormula>LEFT(AllWireRollCerts[[#This Row],[traceability_no]],6)</calculatedColumnFormula>
    </tableColumn>
    <tableColumn id="7" xr3:uid="{2A19E68F-29D7-404E-820F-E990CEF43BD1}" uniqueName="7" name="sort2" queryTableFieldId="7" dataDxfId="191">
      <calculatedColumnFormula>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0">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9">
      <calculatedColumnFormula>IF(Main!O3="","",Main!N3)</calculatedColumnFormula>
    </tableColumn>
    <tableColumn id="3" xr3:uid="{FCE5D856-7234-4CCA-97EE-22B74741E437}" name="Alert" dataDxfId="188">
      <calculatedColumnFormula array="1">_xlfn.TEXTJOIN("; ", TRUE, IF(Alerts[[#This Row],[Dropped]],"DROPPED",""),
    IF(Alerts[[#This Row],[High]:[Out Of Tolerance]] &lt;&gt; "",
        Alerts[[#Headers],[High]:[Out Of Tolerance]],
        "")
)</calculatedColumnFormula>
    </tableColumn>
    <tableColumn id="4" xr3:uid="{8AD94D64-1483-4168-80EC-0F5FF5FBFB54}" name="Temp" dataDxfId="187">
      <calculatedColumnFormula array="1">_xlfn.XLOOKUP(1,
  (Survey[TestPoint]=Alerts[[#This Row],[TestPoint]])*(Survey[Time]=--Alerts[[#This Row],[Time]]),
  Survey[RawTemp],
  "")</calculatedColumnFormula>
    </tableColumn>
    <tableColumn id="5" xr3:uid="{7F528BD7-7CA6-42E2-8288-BF3DEA461539}" name="Time" dataDxfId="186">
      <calculatedColumnFormula>IFERROR(IF(OR(Alerts[[#This Row],[High]],Alerts[[#This Row],[Low]]),VALUE(Alerts[[#This Row],[High]]&amp;Alerts[[#This Row],[Low]]),Alerts[[#This Row],[Out Of Tolerance]]),"")</calculatedColumnFormula>
    </tableColumn>
    <tableColumn id="6" xr3:uid="{C6C3F45B-0C03-4E9C-9412-DBABE4DA80B3}" name="Dropped" dataDxfId="185">
      <calculatedColumnFormula>IF(
  Main!O5 = "",
  FALSE,
  COUNTIF(Survey[TestPoint], Alerts[[#This Row],[TestPoint]]) = 0
)</calculatedColumnFormula>
    </tableColumn>
    <tableColumn id="8" xr3:uid="{96F3D492-9D35-4D95-988A-C7309D2CB11D}" name="High" dataDxfId="184">
      <calculatedColumnFormula array="1">_xlfn.XLOOKUP(1,
  (Survey[TestPoint]=Alerts[[#This Row],[TestPoint]])*Survey[High],
  Survey[Time],
  "")</calculatedColumnFormula>
    </tableColumn>
    <tableColumn id="9" xr3:uid="{FA598A09-68F3-4996-908B-720C01A5CB36}" name="Low" dataDxfId="183">
      <calculatedColumnFormula array="1">_xlfn.XLOOKUP(1,
  (Survey[TestPoint]=Alerts[[#This Row],[TestPoint]])*Survey[Low],
  Survey[Time],
  "")</calculatedColumnFormula>
    </tableColumn>
    <tableColumn id="10" xr3:uid="{8BF38346-ED30-41C4-A7C5-C5AD74EDAE4E}" name="Out Of Tolerance" dataDxfId="182">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1"/>
    <tableColumn id="2" xr3:uid="{80F1DE28-79AD-483F-A7F0-673E715EECBE}" uniqueName="2" name="reading" queryTableFieldId="2" dataDxfId="180"/>
    <tableColumn id="1" xr3:uid="{B4839395-B86E-4AA6-ADFB-57CDD2F7F61D}" uniqueName="1" name="point" queryTableFieldId="1"/>
    <tableColumn id="3" xr3:uid="{2724CA85-C781-4E38-A0DA-097BFEEFE8B1}" uniqueName="3" name="Temp" queryTableFieldId="3" dataDxfId="179"/>
    <tableColumn id="5" xr3:uid="{D8FBA668-C3CE-41DC-B112-B2663A4558F7}" uniqueName="5" name="Offset" queryTableFieldId="5" dataDxfId="178"/>
    <tableColumn id="4" xr3:uid="{3984E3BA-ECF9-4974-BA1B-4E1212BB2A83}" uniqueName="4" name="AssetTag" queryTableFieldId="8" dataDxfId="177">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6" headerRowBorderDxfId="175">
  <autoFilter ref="M1:T41" xr:uid="{26B6A9B0-C535-497C-80B0-B1E532DC9DFD}"/>
  <tableColumns count="8">
    <tableColumn id="2" xr3:uid="{AA763339-65AF-434D-A711-61DA35F163AD}" name="Point"/>
    <tableColumn id="3" xr3:uid="{3B356035-E587-4027-87A0-DE8E0B2FE7E1}" name="DaqbookInterp" dataDxfId="174">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3">
      <calculatedColumnFormula array="1">IF(DaqbookInterp[[#This Row],[Include]],QRound(N2),NA())</calculatedColumnFormula>
    </tableColumn>
    <tableColumn id="5" xr3:uid="{D54F6D03-3723-4E00-912E-150DF9F71E5B}" name="T/C Name" dataDxfId="172">
      <calculatedColumnFormula>IF(DaqbookInterp[[#This Row],[Include]],Main!O5, NA())</calculatedColumnFormula>
    </tableColumn>
    <tableColumn id="6" xr3:uid="{4A823077-65D9-48F8-825F-BAEBD9008EA4}" name="Include" dataDxfId="171">
      <calculatedColumnFormula>NOT(ISBLANK(Main!O5))</calculatedColumnFormula>
    </tableColumn>
    <tableColumn id="7" xr3:uid="{9B0EC045-52DF-4F3C-A037-09C5D494BF52}" name="WireSet" dataDxfId="170">
      <calculatedColumnFormula>LOOKUP(DaqbookInterp[[#This Row],[T/C Name]],_xlfn.ANCHORARRAY($Z$2))</calculatedColumnFormula>
    </tableColumn>
    <tableColumn id="8" xr3:uid="{FEFB3CF3-C3B5-4AEA-A75C-80F9610E9833}" name="Wire Lot #" dataDxfId="169">
      <calculatedColumnFormula>HLOOKUP(DaqbookInterp[[#This Row],[WireSet]],Main!$D$48:$I$55,8,0)</calculatedColumnFormula>
    </tableColumn>
    <tableColumn id="9" xr3:uid="{C4BC88F4-CA08-4EF4-9C53-A23F32164EA9}" name="TC CF" dataDxfId="168">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6"/>
    <tableColumn id="8" xr3:uid="{6A970319-4DB4-4470-AD18-810376DE6248}" uniqueName="8" name="Flags" queryTableFieldId="8" dataDxfId="145"/>
    <tableColumn id="10" xr3:uid="{C036645E-37FD-4D8C-A495-9B7CD74F1924}" uniqueName="10" name="TolMinText" queryTableFieldId="10" dataDxfId="144">
      <calculatedColumnFormula>TEXT(UUTRangeTol[[#This Row],[TolMin]],SUBSTITUTE(UUTRangeTol[[#This Row],[TolResolution]],"1","0"))&amp;UUTRangeTol[[#This Row],[Unit]]</calculatedColumnFormula>
    </tableColumn>
    <tableColumn id="11" xr3:uid="{7185F013-BA2C-4D79-99A0-8DCC297E6118}" uniqueName="11" name="TolMaxText" queryTableFieldId="11" dataDxfId="143">
      <calculatedColumnFormula>TEXT(UUTRangeTol[[#This Row],[TolMax]],SUBSTITUTE(UUTRangeTol[[#This Row],[TolResolution]],"1","0"))&amp;UUTRangeTol[[#This Row],[Unit]]</calculatedColumnFormula>
    </tableColumn>
    <tableColumn id="12" xr3:uid="{EE0701A7-578C-482F-B1ED-DBCB9E95A0C6}" uniqueName="12" name="TolText" queryTableFieldId="12" dataDxfId="142">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1">
      <calculatedColumnFormula>UUTRangeTol[[#This Row],[RangeMax]]&amp;UUTRangeTol[[#This Row],[Unit]]</calculatedColumnFormula>
    </tableColumn>
    <tableColumn id="14" xr3:uid="{EF348E52-D936-44CC-A058-66DD7A780488}" uniqueName="14" name="RangeText" queryTableFieldId="14" dataDxfId="140">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9"/>
    <tableColumn id="2" xr3:uid="{4984B315-F281-4FCE-B730-0C7B248AA955}" uniqueName="2" name="nominal_temp" queryTableFieldId="2" dataDxfId="138"/>
    <tableColumn id="3" xr3:uid="{53D53435-D3FD-453C-A000-9DEF29CF77CD}" uniqueName="3" name="offset" queryTableFieldId="3" dataDxfId="137"/>
    <tableColumn id="4" xr3:uid="{71EBF38C-C2D5-457A-8BC4-1C726B409693}" uniqueName="4" name="probe_serial_number" queryTableFieldId="4" dataDxfId="136"/>
    <tableColumn id="5" xr3:uid="{264E3CB0-FEA8-40F6-AC5D-D574DD8CF263}" uniqueName="5" name="SBP_Set" queryTableFieldId="5" dataDxfId="135">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4" dataDxfId="133" tableBorderDxfId="132">
  <autoFilter ref="AG2:AS3" xr:uid="{B114758F-16E1-4C54-AA0B-E7F64DE85242}"/>
  <tableColumns count="13">
    <tableColumn id="1" xr3:uid="{0D0312AF-C987-4CC8-97F8-A45434AD138A}" name="Time" dataDxfId="131" dataCellStyle="Normal 3"/>
    <tableColumn id="2" xr3:uid="{E5CD88A1-1988-41C9-8D07-30908E60C0B6}" name="29" dataDxfId="130" dataCellStyle="Normal 3"/>
    <tableColumn id="3" xr3:uid="{52334E52-C590-4A01-82BC-CCC9DA2C2817}" name="30" dataDxfId="129" dataCellStyle="Normal 3"/>
    <tableColumn id="4" xr3:uid="{145DAD22-055B-47E2-958D-C0E0B68ECCC8}" name="31" dataDxfId="128" dataCellStyle="Normal 3"/>
    <tableColumn id="5" xr3:uid="{09C3BF4E-C2AE-4497-AAA2-CF5A8A70B030}" name="32" dataDxfId="127" dataCellStyle="Normal 3"/>
    <tableColumn id="6" xr3:uid="{E9F444F5-7F75-4B80-BC2D-E9E92BB7C32D}" name="33" dataDxfId="126" dataCellStyle="Normal 3"/>
    <tableColumn id="7" xr3:uid="{C42F56B6-C38E-41DC-811A-50AF69D04B80}" name="34" dataDxfId="125" dataCellStyle="Normal 3"/>
    <tableColumn id="8" xr3:uid="{1930235F-D2C0-482D-8CC0-6B3AC765E7EA}" name="35" dataDxfId="124" dataCellStyle="Normal 3"/>
    <tableColumn id="9" xr3:uid="{6FCF613B-A86F-4DC6-9CC5-0A1E44E3DFE0}" name="36" dataDxfId="123" dataCellStyle="Normal 3"/>
    <tableColumn id="10" xr3:uid="{19EA3429-FD7E-4BA0-96B7-70F520D9FE0F}" name="37" dataDxfId="122" dataCellStyle="Normal 3"/>
    <tableColumn id="11" xr3:uid="{A5D0DAE1-1017-4DE3-AEA6-1BAF97E0FBDC}" name="38" dataDxfId="121" dataCellStyle="Normal 3"/>
    <tableColumn id="12" xr3:uid="{ABC8E507-1120-436F-9E9F-E3A8852E2E1A}" name="39" dataDxfId="120"/>
    <tableColumn id="13" xr3:uid="{C69AC669-10C2-4E64-9F60-B4AA135FB3DF}" name="40" dataDxfId="11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8" tableBorderDxfId="117">
  <autoFilter ref="Q2:AE3" xr:uid="{6D9D14EA-1966-4240-9028-DABDD72BB7BC}"/>
  <tableColumns count="15">
    <tableColumn id="1" xr3:uid="{F199066A-0899-4173-8784-FC618D5EFA3C}" name="Time" dataDxfId="116" dataCellStyle="Normal 3"/>
    <tableColumn id="2" xr3:uid="{DB040280-BEC7-49AA-A925-A050027B33E3}" name="15" dataDxfId="115" dataCellStyle="Normal 3"/>
    <tableColumn id="3" xr3:uid="{5D74EEBF-1FB4-4DF9-8EDD-C656F929ADA2}" name="16" dataDxfId="114" dataCellStyle="Normal 3"/>
    <tableColumn id="4" xr3:uid="{B1176DF8-22B4-4741-A534-22D0C72EF1F0}" name="17" dataDxfId="113" dataCellStyle="Normal 3"/>
    <tableColumn id="5" xr3:uid="{1E29EA65-5182-4B3E-817F-0D30B2884EC7}" name="18" dataDxfId="112" dataCellStyle="Normal 3"/>
    <tableColumn id="6" xr3:uid="{AF53AEFB-F310-4F08-91BC-82FB0F484ECA}" name="19" dataDxfId="111" dataCellStyle="Normal 3"/>
    <tableColumn id="7" xr3:uid="{EE472F61-D1B5-43CF-A661-FA1D47001C17}" name="20" dataDxfId="110" dataCellStyle="Normal 3"/>
    <tableColumn id="8" xr3:uid="{841D54C1-AB74-4CB1-8C7F-C38D11EFAD3F}" name="21" dataDxfId="109" dataCellStyle="Normal 3"/>
    <tableColumn id="9" xr3:uid="{F1FB485B-DEAA-4958-8C40-80934EA1437F}" name="22" dataDxfId="108" dataCellStyle="Normal 3"/>
    <tableColumn id="10" xr3:uid="{5C552A76-BD54-46C5-93AD-8F25289FA051}" name="23" dataDxfId="107" dataCellStyle="Normal 3"/>
    <tableColumn id="11" xr3:uid="{B20FA5F1-0522-49D0-9B5A-34570A8AE6EA}" name="24" dataDxfId="106" dataCellStyle="Normal 3"/>
    <tableColumn id="12" xr3:uid="{0BC87A98-B9AC-4CD6-9F9B-D04190073E2A}" name="25" dataDxfId="105"/>
    <tableColumn id="13" xr3:uid="{D62EA80B-BBE3-4A29-89AB-EE04C6E03547}" name="26" dataDxfId="104"/>
    <tableColumn id="14" xr3:uid="{6D7DE537-763F-40F1-AC16-33F228CBC8D1}" name="27" dataDxfId="103"/>
    <tableColumn id="15" xr3:uid="{F8FA9620-DB21-4BAE-8D97-FF38B70679C9}" name="28" dataDxfId="10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1" dataDxfId="100" tableBorderDxfId="99">
  <autoFilter ref="A2:O3" xr:uid="{73A9D9BA-FF58-4A3F-98F7-9A835492E25D}"/>
  <tableColumns count="15">
    <tableColumn id="1" xr3:uid="{73B888B4-4146-4E26-9B39-0FC537A113C8}" name="Time" dataDxfId="98" dataCellStyle="Normal 3"/>
    <tableColumn id="2" xr3:uid="{6F1EF879-7C87-4A56-A394-30C6E5BDB32A}" name="1" dataDxfId="97" dataCellStyle="Normal 3"/>
    <tableColumn id="3" xr3:uid="{B2FA8A6A-D50A-41E8-942A-379C757B6A2B}" name="2" dataDxfId="96" dataCellStyle="Normal 3"/>
    <tableColumn id="4" xr3:uid="{F92FE975-D84B-4B73-B49D-3B746FAA3D21}" name="3" dataDxfId="95" dataCellStyle="Normal 3"/>
    <tableColumn id="5" xr3:uid="{7820E0E9-F621-4361-A572-234B3CB7F864}" name="4" dataDxfId="94" dataCellStyle="Normal 3"/>
    <tableColumn id="6" xr3:uid="{A46C0BCA-2139-4CD3-B02F-C4D3F8E65309}" name="5" dataDxfId="93" dataCellStyle="Normal 3"/>
    <tableColumn id="7" xr3:uid="{334BDF50-1D79-41BC-BA09-7B69018332AE}" name="6" dataDxfId="92" dataCellStyle="Normal 3"/>
    <tableColumn id="8" xr3:uid="{6C11BC6A-3E21-4CDE-9CD4-C8EBCF50B6DB}" name="7" dataDxfId="91" dataCellStyle="Normal 3"/>
    <tableColumn id="9" xr3:uid="{1EEEA607-5177-4C19-A1BC-B12D19FF055B}" name="8" dataDxfId="90" dataCellStyle="Normal 3"/>
    <tableColumn id="10" xr3:uid="{ACF909CE-C221-4157-9298-18F2C140C147}" name="9" dataDxfId="89" dataCellStyle="Normal 3"/>
    <tableColumn id="11" xr3:uid="{182688D3-AD0D-4518-A7FE-0C281ABCDF76}" name="10" dataDxfId="88" dataCellStyle="Normal 3"/>
    <tableColumn id="12" xr3:uid="{54AFFA30-00C2-440A-92A2-139F62F751BE}" name="11" dataDxfId="87"/>
    <tableColumn id="13" xr3:uid="{DCF0B43C-F320-4031-91C6-8514285AF6CA}" name="12" dataDxfId="86"/>
    <tableColumn id="14" xr3:uid="{53A56FC8-0536-4D94-A335-FFCBCBEAF45E}" name="13" dataDxfId="85"/>
    <tableColumn id="15" xr3:uid="{F49FEB6E-05C2-4E90-A6CE-A0C9C694642A}" name="14" dataDxfId="84"/>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83" dataDxfId="82">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1"/>
    <tableColumn id="3" xr3:uid="{5F5E8FED-27C7-498A-86F2-8DE1BF0A773A}" uniqueName="3" name="Address2" queryTableFieldId="82" dataDxfId="80"/>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9"/>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8" dataDxfId="77">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6"/>
    <tableColumn id="1" xr3:uid="{5057086F-523D-4F8B-9A42-41FE3C8BBE96}" uniqueName="1" name="asset_id" queryTableFieldId="1"/>
    <tableColumn id="2" xr3:uid="{3726BB7E-1692-4770-A35E-9A744D09DBEF}" uniqueName="2" name="certificate_tn" queryTableFieldId="2" dataDxfId="75"/>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dataDxfId="73"/>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9" dataDxfId="8" headerRowCellStyle="Normal 2" dataCellStyle="Normal 2">
  <autoFilter ref="U11:V25" xr:uid="{DCCFF26E-EC5C-4962-98DB-A7DA1F3C8CE2}"/>
  <tableColumns count="2">
    <tableColumn id="1" xr3:uid="{DFC40837-B092-4826-9847-4A23BE22020F}" name="4" dataDxfId="7" dataCellStyle="Normal 2"/>
    <tableColumn id="2" xr3:uid="{0711DB07-19DA-4D5E-A417-C242A0304453}" name="10" dataDxfId="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750</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I5" sqref="I5"/>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748</v>
      </c>
      <c r="P1" s="37" t="s">
        <v>749</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LEFT(AllWireRollCerts[[#This Row],[traceability_no]],6)</f>
        <v>081197</v>
      </c>
      <c r="P2" t="str">
        <f>SUBSTITUTE(AllWireRollCerts[[#This Row],[traceability_no]],AllWireRollCerts[[#This Row],[sort1]],"")</f>
        <v>C</v>
      </c>
      <c r="R2" t="e">
        <f>IF(DaqbookAssetTag&lt;&gt;"",LEFT(DaqbookAssetTag,1),NA())</f>
        <v>#N/A</v>
      </c>
    </row>
    <row r="3" spans="1:18" x14ac:dyDescent="0.2">
      <c r="A3"/>
      <c r="B3"/>
      <c r="C3"/>
      <c r="D3"/>
      <c r="H3" t="str">
        <v/>
      </c>
      <c r="K3"/>
      <c r="L3"/>
      <c r="M3"/>
      <c r="N3"/>
      <c r="O3" t="str">
        <f>LEFT(AllWireRollCerts[[#This Row],[traceability_no]],6)</f>
        <v>081197</v>
      </c>
      <c r="P3" t="str">
        <f>SUBSTITUTE(AllWireRollCerts[[#This Row],[traceability_no]],AllWireRollCerts[[#This Row],[sort1]],"")</f>
        <v>E</v>
      </c>
    </row>
    <row r="4" spans="1:18" x14ac:dyDescent="0.2">
      <c r="A4"/>
      <c r="B4"/>
      <c r="C4"/>
      <c r="D4"/>
      <c r="H4" t="str">
        <v/>
      </c>
      <c r="K4"/>
      <c r="L4"/>
      <c r="M4"/>
      <c r="N4"/>
      <c r="O4" t="str">
        <f>LEFT(AllWireRollCerts[[#This Row],[traceability_no]],6)</f>
        <v>081197</v>
      </c>
      <c r="P4" t="str">
        <f>SUBSTITUTE(AllWireRollCerts[[#This Row],[traceability_no]],AllWireRollCerts[[#This Row],[sort1]],"")</f>
        <v>F</v>
      </c>
    </row>
    <row r="5" spans="1:18" x14ac:dyDescent="0.2">
      <c r="A5"/>
      <c r="B5"/>
      <c r="C5"/>
      <c r="D5"/>
      <c r="H5" t="str">
        <v/>
      </c>
      <c r="K5"/>
      <c r="L5"/>
      <c r="M5"/>
      <c r="N5"/>
      <c r="O5" t="str">
        <f>LEFT(AllWireRollCerts[[#This Row],[traceability_no]],6)</f>
        <v>081197</v>
      </c>
      <c r="P5" t="str">
        <f>SUBSTITUTE(AllWireRollCerts[[#This Row],[traceability_no]],AllWireRollCerts[[#This Row],[sort1]],"")</f>
        <v>G</v>
      </c>
    </row>
    <row r="6" spans="1:18" x14ac:dyDescent="0.2">
      <c r="A6"/>
      <c r="B6"/>
      <c r="C6"/>
      <c r="D6"/>
      <c r="H6" t="str">
        <v/>
      </c>
      <c r="K6"/>
      <c r="L6"/>
      <c r="M6"/>
      <c r="N6"/>
      <c r="O6" t="str">
        <f>LEFT(AllWireRollCerts[[#This Row],[traceability_no]],6)</f>
        <v>081197</v>
      </c>
      <c r="P6" t="str">
        <f>SUBSTITUTE(AllWireRollCerts[[#This Row],[traceability_no]],AllWireRollCerts[[#This Row],[sort1]],"")</f>
        <v>I</v>
      </c>
    </row>
    <row r="7" spans="1:18" x14ac:dyDescent="0.2">
      <c r="A7"/>
      <c r="B7"/>
      <c r="C7"/>
      <c r="D7"/>
      <c r="H7" t="str">
        <v/>
      </c>
      <c r="K7"/>
      <c r="L7"/>
      <c r="M7"/>
      <c r="N7"/>
      <c r="O7" t="str">
        <f>LEFT(AllWireRollCerts[[#This Row],[traceability_no]],6)</f>
        <v>081197</v>
      </c>
      <c r="P7" t="str">
        <f>SUBSTITUTE(AllWireRollCerts[[#This Row],[traceability_no]],AllWireRollCerts[[#This Row],[sort1]],"")</f>
        <v>J</v>
      </c>
    </row>
    <row r="8" spans="1:18" x14ac:dyDescent="0.2">
      <c r="A8"/>
      <c r="B8"/>
      <c r="C8"/>
      <c r="D8"/>
      <c r="K8"/>
      <c r="L8"/>
      <c r="M8"/>
      <c r="N8"/>
      <c r="O8" t="str">
        <f>LEFT(AllWireRollCerts[[#This Row],[traceability_no]],6)</f>
        <v>081197</v>
      </c>
      <c r="P8" t="str">
        <f>SUBSTITUTE(AllWireRollCerts[[#This Row],[traceability_no]],AllWireRollCerts[[#This Row],[sort1]],"")</f>
        <v>K</v>
      </c>
    </row>
    <row r="9" spans="1:18" x14ac:dyDescent="0.2">
      <c r="A9"/>
      <c r="B9"/>
      <c r="C9"/>
      <c r="D9"/>
      <c r="K9"/>
      <c r="L9"/>
      <c r="M9"/>
      <c r="N9"/>
      <c r="O9" t="str">
        <f>LEFT(AllWireRollCerts[[#This Row],[traceability_no]],6)</f>
        <v>081197</v>
      </c>
      <c r="P9" t="str">
        <f>SUBSTITUTE(AllWireRollCerts[[#This Row],[traceability_no]],AllWireRollCerts[[#This Row],[sort1]],"")</f>
        <v>S</v>
      </c>
    </row>
    <row r="10" spans="1:18" x14ac:dyDescent="0.2">
      <c r="A10"/>
      <c r="B10"/>
      <c r="C10"/>
      <c r="D10"/>
      <c r="K10"/>
      <c r="L10"/>
      <c r="M10"/>
      <c r="N10"/>
      <c r="O10" t="str">
        <f>LEFT(AllWireRollCerts[[#This Row],[traceability_no]],6)</f>
        <v>081197</v>
      </c>
      <c r="P10" t="str">
        <f>SUBSTITUTE(AllWireRollCerts[[#This Row],[traceability_no]],AllWireRollCerts[[#This Row],[sort1]],"")</f>
        <v>T</v>
      </c>
    </row>
    <row r="11" spans="1:18" x14ac:dyDescent="0.2">
      <c r="A11"/>
      <c r="B11"/>
      <c r="C11"/>
      <c r="D11"/>
      <c r="K11"/>
      <c r="L11"/>
      <c r="M11"/>
      <c r="N11"/>
      <c r="O11" t="str">
        <f>LEFT(AllWireRollCerts[[#This Row],[traceability_no]],6)</f>
        <v>074618</v>
      </c>
      <c r="P11" t="str">
        <f>SUBSTITUTE(AllWireRollCerts[[#This Row],[traceability_no]],AllWireRollCerts[[#This Row],[sort1]],"")</f>
        <v>A</v>
      </c>
    </row>
    <row r="12" spans="1:18" x14ac:dyDescent="0.2">
      <c r="A12"/>
      <c r="B12"/>
      <c r="C12"/>
      <c r="D12"/>
      <c r="K12"/>
      <c r="L12"/>
      <c r="M12"/>
      <c r="N12"/>
      <c r="O12" t="str">
        <f>LEFT(AllWireRollCerts[[#This Row],[traceability_no]],6)</f>
        <v>074618</v>
      </c>
      <c r="P12" t="str">
        <f>SUBSTITUTE(AllWireRollCerts[[#This Row],[traceability_no]],AllWireRollCerts[[#This Row],[sort1]],"")</f>
        <v>B</v>
      </c>
    </row>
    <row r="13" spans="1:18" x14ac:dyDescent="0.2">
      <c r="A13"/>
      <c r="B13"/>
      <c r="C13"/>
      <c r="D13"/>
      <c r="K13"/>
      <c r="L13"/>
      <c r="M13"/>
      <c r="N13"/>
      <c r="O13" t="str">
        <f>LEFT(AllWireRollCerts[[#This Row],[traceability_no]],6)</f>
        <v>072513</v>
      </c>
      <c r="P13" t="str">
        <f>SUBSTITUTE(AllWireRollCerts[[#This Row],[traceability_no]],AllWireRollCerts[[#This Row],[sort1]],"")</f>
        <v>C</v>
      </c>
    </row>
    <row r="14" spans="1:18" x14ac:dyDescent="0.2">
      <c r="A14"/>
      <c r="B14"/>
      <c r="C14"/>
      <c r="D14"/>
      <c r="K14"/>
      <c r="L14"/>
      <c r="M14"/>
      <c r="N14"/>
      <c r="O14" t="str">
        <f>LEFT(AllWireRollCerts[[#This Row],[traceability_no]],6)</f>
        <v>072513</v>
      </c>
      <c r="P14" t="str">
        <f>SUBSTITUTE(AllWireRollCerts[[#This Row],[traceability_no]],AllWireRollCerts[[#This Row],[sort1]],"")</f>
        <v>E</v>
      </c>
    </row>
    <row r="15" spans="1:18" x14ac:dyDescent="0.2">
      <c r="A15"/>
      <c r="B15"/>
      <c r="C15"/>
      <c r="D15"/>
      <c r="K15"/>
      <c r="L15"/>
      <c r="M15"/>
      <c r="N15"/>
      <c r="O15" t="str">
        <f>LEFT(AllWireRollCerts[[#This Row],[traceability_no]],6)</f>
        <v>072513</v>
      </c>
      <c r="P15" t="str">
        <f>SUBSTITUTE(AllWireRollCerts[[#This Row],[traceability_no]],AllWireRollCerts[[#This Row],[sort1]],"")</f>
        <v>F</v>
      </c>
    </row>
    <row r="16" spans="1:18" x14ac:dyDescent="0.2">
      <c r="A16"/>
      <c r="B16"/>
      <c r="C16"/>
      <c r="D16"/>
      <c r="H16" s="37"/>
      <c r="K16"/>
      <c r="L16"/>
      <c r="M16"/>
      <c r="N16"/>
      <c r="O16" t="str">
        <f>LEFT(AllWireRollCerts[[#This Row],[traceability_no]],6)</f>
        <v>072513</v>
      </c>
      <c r="P16" t="str">
        <f>SUBSTITUTE(AllWireRollCerts[[#This Row],[traceability_no]],AllWireRollCerts[[#This Row],[sort1]],"")</f>
        <v>G</v>
      </c>
    </row>
    <row r="17" spans="1:16" x14ac:dyDescent="0.2">
      <c r="A17"/>
      <c r="B17"/>
      <c r="C17"/>
      <c r="D17"/>
      <c r="K17"/>
      <c r="L17"/>
      <c r="M17"/>
      <c r="N17"/>
      <c r="O17" t="str">
        <f>LEFT(AllWireRollCerts[[#This Row],[traceability_no]],6)</f>
        <v>072513</v>
      </c>
      <c r="P17" t="str">
        <f>SUBSTITUTE(AllWireRollCerts[[#This Row],[traceability_no]],AllWireRollCerts[[#This Row],[sort1]],"")</f>
        <v>H</v>
      </c>
    </row>
    <row r="18" spans="1:16" x14ac:dyDescent="0.2">
      <c r="A18"/>
      <c r="B18"/>
      <c r="C18"/>
      <c r="D18"/>
      <c r="K18"/>
      <c r="L18"/>
      <c r="M18"/>
      <c r="N18"/>
      <c r="O18" t="str">
        <f>LEFT(AllWireRollCerts[[#This Row],[traceability_no]],6)</f>
        <v>072513</v>
      </c>
      <c r="P18" t="str">
        <f>SUBSTITUTE(AllWireRollCerts[[#This Row],[traceability_no]],AllWireRollCerts[[#This Row],[sort1]],"")</f>
        <v>I</v>
      </c>
    </row>
    <row r="19" spans="1:16" x14ac:dyDescent="0.2">
      <c r="A19"/>
      <c r="B19"/>
      <c r="C19"/>
      <c r="D19"/>
      <c r="K19"/>
      <c r="L19"/>
      <c r="M19"/>
      <c r="N19"/>
      <c r="O19" t="str">
        <f>LEFT(AllWireRollCerts[[#This Row],[traceability_no]],6)</f>
        <v>072513</v>
      </c>
      <c r="P19" t="str">
        <f>SUBSTITUTE(AllWireRollCerts[[#This Row],[traceability_no]],AllWireRollCerts[[#This Row],[sort1]],"")</f>
        <v>K</v>
      </c>
    </row>
    <row r="20" spans="1:16" x14ac:dyDescent="0.2">
      <c r="A20"/>
      <c r="B20"/>
      <c r="C20"/>
      <c r="D20"/>
      <c r="K20"/>
      <c r="L20"/>
      <c r="M20"/>
      <c r="N20"/>
      <c r="O20" t="str">
        <f>LEFT(AllWireRollCerts[[#This Row],[traceability_no]],6)</f>
        <v>072513</v>
      </c>
      <c r="P20" t="str">
        <f>SUBSTITUTE(AllWireRollCerts[[#This Row],[traceability_no]],AllWireRollCerts[[#This Row],[sort1]],"")</f>
        <v>L</v>
      </c>
    </row>
    <row r="21" spans="1:16" x14ac:dyDescent="0.2">
      <c r="A21"/>
      <c r="B21"/>
      <c r="C21"/>
      <c r="D21"/>
      <c r="K21"/>
      <c r="L21"/>
      <c r="M21"/>
      <c r="N21"/>
      <c r="O21" t="str">
        <f>LEFT(AllWireRollCerts[[#This Row],[traceability_no]],6)</f>
        <v>072513</v>
      </c>
      <c r="P21" t="str">
        <f>SUBSTITUTE(AllWireRollCerts[[#This Row],[traceability_no]],AllWireRollCerts[[#This Row],[sort1]],"")</f>
        <v>M</v>
      </c>
    </row>
    <row r="22" spans="1:16" x14ac:dyDescent="0.2">
      <c r="A22"/>
      <c r="B22"/>
      <c r="C22"/>
      <c r="D22"/>
      <c r="K22"/>
      <c r="L22"/>
      <c r="M22"/>
      <c r="N22"/>
      <c r="O22" t="str">
        <f>LEFT(AllWireRollCerts[[#This Row],[traceability_no]],6)</f>
        <v>072513</v>
      </c>
      <c r="P22" t="str">
        <f>SUBSTITUTE(AllWireRollCerts[[#This Row],[traceability_no]],AllWireRollCerts[[#This Row],[sort1]],"")</f>
        <v>N</v>
      </c>
    </row>
    <row r="23" spans="1:16" x14ac:dyDescent="0.2">
      <c r="A23"/>
      <c r="B23"/>
      <c r="C23"/>
      <c r="D23"/>
      <c r="K23"/>
      <c r="L23"/>
      <c r="M23"/>
      <c r="N23"/>
      <c r="O23" t="str">
        <f>LEFT(AllWireRollCerts[[#This Row],[traceability_no]],6)</f>
        <v>065908</v>
      </c>
      <c r="P23" t="str">
        <f>SUBSTITUTE(AllWireRollCerts[[#This Row],[traceability_no]],AllWireRollCerts[[#This Row],[sort1]],"")</f>
        <v>I</v>
      </c>
    </row>
    <row r="24" spans="1:16" x14ac:dyDescent="0.2">
      <c r="A24"/>
      <c r="B24"/>
      <c r="C24"/>
      <c r="D24"/>
      <c r="K24"/>
      <c r="L24"/>
      <c r="M24"/>
      <c r="N24"/>
      <c r="O24" t="str">
        <f>LEFT(AllWireRollCerts[[#This Row],[traceability_no]],6)</f>
        <v>065908</v>
      </c>
      <c r="P24" t="str">
        <f>SUBSTITUTE(AllWireRollCerts[[#This Row],[traceability_no]],AllWireRollCerts[[#This Row],[sort1]],"")</f>
        <v>M</v>
      </c>
    </row>
    <row r="25" spans="1:16" x14ac:dyDescent="0.2">
      <c r="A25"/>
      <c r="B25"/>
      <c r="C25"/>
      <c r="D25"/>
      <c r="K25"/>
      <c r="L25"/>
      <c r="M25"/>
      <c r="N25"/>
      <c r="O25" t="str">
        <f>LEFT(AllWireRollCerts[[#This Row],[traceability_no]],6)</f>
        <v>065908</v>
      </c>
      <c r="P25" t="str">
        <f>SUBSTITUTE(AllWireRollCerts[[#This Row],[traceability_no]],AllWireRollCerts[[#This Row],[sort1]],"")</f>
        <v>N</v>
      </c>
    </row>
    <row r="26" spans="1:16" x14ac:dyDescent="0.2">
      <c r="A26"/>
      <c r="B26"/>
      <c r="C26"/>
      <c r="D26"/>
      <c r="K26"/>
      <c r="L26"/>
      <c r="M26"/>
      <c r="N26"/>
      <c r="O26" t="str">
        <f>LEFT(AllWireRollCerts[[#This Row],[traceability_no]],6)</f>
        <v>065908</v>
      </c>
      <c r="P26" t="str">
        <f>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H/0+iUysYFN+3p/npsZVaFfTTgkx/pQKYgMYBklxUaYd+Oeln8MAtcLnST4PAHpCOoa9kXKX04Mno6+enoriTQ==" saltValue="qHeRvsV+TbZOrvG0ZEsQx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747</v>
      </c>
      <c r="B1" s="318"/>
      <c r="C1" s="499" t="s">
        <v>49</v>
      </c>
      <c r="D1" s="500"/>
      <c r="E1" s="500"/>
      <c r="F1" s="500"/>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01" t="s">
        <v>99</v>
      </c>
      <c r="K3" s="502"/>
      <c r="L3" s="503"/>
      <c r="M3" s="301"/>
      <c r="N3" s="517" t="s">
        <v>88</v>
      </c>
      <c r="O3" s="517"/>
      <c r="P3" s="517"/>
      <c r="Q3" s="517"/>
      <c r="R3" s="517"/>
      <c r="S3" s="517"/>
    </row>
    <row r="4" spans="1:19" s="278" customFormat="1" x14ac:dyDescent="0.2">
      <c r="A4" s="319"/>
      <c r="B4" s="141"/>
      <c r="C4" s="142" t="s">
        <v>188</v>
      </c>
      <c r="D4" s="285" t="str">
        <f>IF(Condition="","",Condition)</f>
        <v/>
      </c>
      <c r="E4" s="301"/>
      <c r="F4" s="301"/>
      <c r="G4" s="301"/>
      <c r="H4" s="301"/>
      <c r="I4" s="301"/>
      <c r="J4" s="506" t="s">
        <v>1</v>
      </c>
      <c r="K4" s="507"/>
      <c r="L4" s="143">
        <f>MAX(Survey[Deviations])</f>
        <v>0</v>
      </c>
      <c r="M4" s="301"/>
      <c r="N4" s="144" t="s">
        <v>87</v>
      </c>
      <c r="O4" s="145" t="s">
        <v>86</v>
      </c>
      <c r="P4" s="504" t="s">
        <v>97</v>
      </c>
      <c r="Q4" s="505"/>
      <c r="R4" s="144" t="s">
        <v>129</v>
      </c>
      <c r="S4" s="144" t="s">
        <v>133</v>
      </c>
    </row>
    <row r="5" spans="1:19" s="278" customFormat="1" x14ac:dyDescent="0.2">
      <c r="A5" s="319"/>
      <c r="B5" s="141"/>
      <c r="C5" s="142" t="s">
        <v>41</v>
      </c>
      <c r="D5" s="521" t="e">
        <f>companyName</f>
        <v>#N/A</v>
      </c>
      <c r="E5" s="522"/>
      <c r="F5" s="522"/>
      <c r="G5" s="522"/>
      <c r="H5" s="523"/>
      <c r="I5" s="286"/>
      <c r="J5" s="506" t="s">
        <v>2</v>
      </c>
      <c r="K5" s="507"/>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18" t="e">
        <f>VLOOKUP("assetName",WorkItemDetails[],2,FALSE)</f>
        <v>#N/A</v>
      </c>
      <c r="E6" s="519"/>
      <c r="F6" s="519"/>
      <c r="G6" s="519"/>
      <c r="H6" s="520"/>
      <c r="J6" s="506" t="s">
        <v>98</v>
      </c>
      <c r="K6" s="507"/>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15" t="str">
        <f>IFERROR(VLOOKUP("PoNumber",WorkItemDetails[],2,FALSE),"")</f>
        <v/>
      </c>
      <c r="L13" s="516"/>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24"/>
      <c r="L14" s="525"/>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10"/>
      <c r="L15" s="511"/>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529" t="s">
        <v>151</v>
      </c>
      <c r="K16" s="530"/>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529" t="s">
        <v>152</v>
      </c>
      <c r="K17" s="530"/>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482" t="s">
        <v>19</v>
      </c>
      <c r="H18" s="483"/>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08" t="str">
        <f>IF(K15="Salt",0, IF(OR(K15="Hot",K15="SIM Load Hot"),IF(OR(D26="",D28=""),"N/A",IF(ISBLANK(D26),"N/A",D28-D26)),"N/A"))</f>
        <v>N/A</v>
      </c>
      <c r="H19" s="509"/>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12" t="s">
        <v>441</v>
      </c>
      <c r="C20" s="513"/>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37" t="s">
        <v>301</v>
      </c>
      <c r="H23" s="538"/>
      <c r="I23" s="538"/>
      <c r="J23" s="538"/>
      <c r="K23" s="539"/>
      <c r="L23" s="302"/>
      <c r="M23" s="301"/>
      <c r="N23" s="405">
        <v>19</v>
      </c>
      <c r="O23" s="146"/>
      <c r="P23" s="458" t="str">
        <v/>
      </c>
      <c r="Q23" s="459"/>
      <c r="R23" s="457" t="e">
        <v>#VALUE!</v>
      </c>
      <c r="S23" s="147" t="str">
        <v/>
      </c>
      <c r="T23" s="431"/>
      <c r="U23" s="286" t="s">
        <v>419</v>
      </c>
      <c r="V23" s="286">
        <f>V20+V21</f>
        <v>40</v>
      </c>
    </row>
    <row r="24" spans="2:22" s="278" customFormat="1" x14ac:dyDescent="0.2">
      <c r="B24" s="512" t="s">
        <v>328</v>
      </c>
      <c r="C24" s="514"/>
      <c r="D24" s="282">
        <v>1</v>
      </c>
      <c r="E24" s="301"/>
      <c r="F24" s="160" t="s">
        <v>95</v>
      </c>
      <c r="G24" s="540"/>
      <c r="H24" s="541"/>
      <c r="I24" s="541"/>
      <c r="J24" s="541"/>
      <c r="K24" s="542"/>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40"/>
      <c r="H25" s="541"/>
      <c r="I25" s="541"/>
      <c r="J25" s="541"/>
      <c r="K25" s="542"/>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35" t="str">
        <f>IF(ISBLANK(D6),"",IF(CheckRec="x","CHECK INSTRUMENT CAL DATES!!!!             CHECK INSTRUMENT CAL DATES!!!!",""))</f>
        <v/>
      </c>
      <c r="I27" s="536"/>
      <c r="J27" s="536"/>
      <c r="K27" s="536"/>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35"/>
      <c r="I28" s="536"/>
      <c r="J28" s="536"/>
      <c r="K28" s="536"/>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01" t="s">
        <v>48</v>
      </c>
      <c r="C34" s="502"/>
      <c r="D34" s="502"/>
      <c r="E34" s="502"/>
      <c r="F34" s="502"/>
      <c r="G34" s="502"/>
      <c r="H34" s="502"/>
      <c r="I34" s="502"/>
      <c r="J34" s="502"/>
      <c r="K34" s="502"/>
      <c r="L34" s="503"/>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526" t="s">
        <v>33</v>
      </c>
      <c r="E46" s="527"/>
      <c r="F46" s="527"/>
      <c r="G46" s="527"/>
      <c r="H46" s="527"/>
      <c r="I46" s="528"/>
      <c r="J46" s="345"/>
      <c r="K46" s="345"/>
      <c r="L46" s="345"/>
      <c r="M46" s="543" t="s">
        <v>259</v>
      </c>
      <c r="N46" s="544"/>
      <c r="O46" s="545"/>
      <c r="P46" s="546"/>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533" t="s">
        <v>262</v>
      </c>
      <c r="Q47" s="533"/>
      <c r="R47" s="385" t="s">
        <v>263</v>
      </c>
      <c r="T47" s="305"/>
      <c r="U47" s="305"/>
    </row>
    <row r="48" spans="1:24" x14ac:dyDescent="0.2">
      <c r="A48" s="319"/>
      <c r="B48" s="343"/>
      <c r="C48" s="383" t="s">
        <v>34</v>
      </c>
      <c r="D48" s="288"/>
      <c r="E48" s="288"/>
      <c r="F48" s="288"/>
      <c r="G48" s="288"/>
      <c r="H48" s="288"/>
      <c r="I48" s="288"/>
      <c r="J48" s="345"/>
      <c r="K48" s="345"/>
      <c r="L48" s="345"/>
      <c r="M48" s="534" t="s">
        <v>264</v>
      </c>
      <c r="N48" s="534"/>
      <c r="O48" s="347"/>
      <c r="P48" s="493" t="s">
        <v>309</v>
      </c>
      <c r="Q48" s="494"/>
      <c r="R48" s="495"/>
      <c r="S48" s="468" t="b">
        <f>_xlfn.REGEXTEST(TRIM(Class),"^[0-9][AC]",1)</f>
        <v>0</v>
      </c>
      <c r="T48" s="306"/>
      <c r="U48" s="493" t="s">
        <v>312</v>
      </c>
      <c r="V48" s="494"/>
      <c r="W48" s="495"/>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6" t="s">
        <v>314</v>
      </c>
      <c r="Q49" s="497"/>
      <c r="R49" s="498"/>
      <c r="S49" s="386" t="str">
        <f>IF($S$48, IF(MAX(Survey[RawTemp])&lt;=HalfTolMax,"Yes","No"), "N/A")</f>
        <v>N/A</v>
      </c>
      <c r="T49" s="307"/>
      <c r="U49" s="496" t="s">
        <v>313</v>
      </c>
      <c r="V49" s="497"/>
      <c r="W49" s="498"/>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84" t="s">
        <v>267</v>
      </c>
      <c r="Q50" s="485"/>
      <c r="R50" s="486"/>
      <c r="S50" s="348"/>
      <c r="T50" s="308"/>
      <c r="U50" s="484" t="s">
        <v>267</v>
      </c>
      <c r="V50" s="485"/>
      <c r="W50" s="486"/>
      <c r="X50" s="305"/>
    </row>
    <row r="51" spans="3:24" x14ac:dyDescent="0.2">
      <c r="C51" s="382" t="s">
        <v>54</v>
      </c>
      <c r="D51" s="288"/>
      <c r="E51" s="288"/>
      <c r="F51" s="288"/>
      <c r="G51" s="288"/>
      <c r="H51" s="288"/>
      <c r="I51" s="288"/>
      <c r="J51" s="345"/>
      <c r="K51" s="349"/>
      <c r="L51" s="345"/>
      <c r="M51" s="369" t="s">
        <v>268</v>
      </c>
      <c r="N51" s="298" t="str">
        <f>IF(Derivative="","",Derivative)</f>
        <v/>
      </c>
      <c r="O51" s="301"/>
      <c r="P51" s="496" t="s">
        <v>310</v>
      </c>
      <c r="Q51" s="497"/>
      <c r="R51" s="498"/>
      <c r="S51" s="386"/>
      <c r="T51" s="309"/>
      <c r="U51" s="496" t="s">
        <v>315</v>
      </c>
      <c r="V51" s="497"/>
      <c r="W51" s="498"/>
      <c r="X51" s="386"/>
    </row>
    <row r="52" spans="3:24" x14ac:dyDescent="0.2">
      <c r="C52" s="382" t="s">
        <v>274</v>
      </c>
      <c r="D52" s="288"/>
      <c r="E52" s="288"/>
      <c r="F52" s="288"/>
      <c r="G52" s="288"/>
      <c r="H52" s="288"/>
      <c r="I52" s="288"/>
      <c r="J52" s="345"/>
      <c r="K52" s="349"/>
      <c r="L52" s="345"/>
      <c r="M52" s="369" t="s">
        <v>269</v>
      </c>
      <c r="N52" s="298" t="str">
        <f>IF(Other1="","",Other1)</f>
        <v/>
      </c>
      <c r="O52" s="315"/>
      <c r="P52" s="484" t="s">
        <v>267</v>
      </c>
      <c r="Q52" s="485"/>
      <c r="R52" s="486"/>
      <c r="S52" s="348"/>
      <c r="T52" s="310"/>
      <c r="U52" s="484" t="s">
        <v>267</v>
      </c>
      <c r="V52" s="485"/>
      <c r="W52" s="486"/>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487" t="s">
        <v>311</v>
      </c>
      <c r="Q53" s="488"/>
      <c r="R53" s="489"/>
      <c r="S53" s="386"/>
      <c r="T53" s="311"/>
      <c r="U53" s="487" t="s">
        <v>316</v>
      </c>
      <c r="V53" s="488"/>
      <c r="W53" s="489"/>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490"/>
      <c r="Q54" s="491"/>
      <c r="R54" s="492"/>
      <c r="S54" s="352"/>
      <c r="T54" s="312"/>
      <c r="U54" s="490"/>
      <c r="V54" s="491"/>
      <c r="W54" s="492"/>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526" t="s">
        <v>146</v>
      </c>
      <c r="D58" s="527"/>
      <c r="E58" s="527"/>
      <c r="F58" s="527"/>
      <c r="G58" s="527"/>
      <c r="H58" s="527"/>
      <c r="I58" s="527"/>
      <c r="J58" s="527"/>
      <c r="K58" s="531"/>
      <c r="L58" s="532"/>
      <c r="M58" s="305"/>
      <c r="N58" s="305"/>
      <c r="O58" s="305"/>
      <c r="P58" s="301"/>
      <c r="Q58" s="455"/>
      <c r="S58" s="305"/>
      <c r="T58" s="305"/>
      <c r="U58" s="305"/>
      <c r="V58" s="453"/>
    </row>
    <row r="59" spans="3:24" x14ac:dyDescent="0.2">
      <c r="C59" s="526" t="s">
        <v>149</v>
      </c>
      <c r="D59" s="527"/>
      <c r="E59" s="527"/>
      <c r="F59" s="527"/>
      <c r="G59" s="527"/>
      <c r="H59" s="527"/>
      <c r="I59" s="527"/>
      <c r="J59" s="527"/>
      <c r="K59" s="527"/>
      <c r="L59" s="528"/>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v2Sb8EQ5y7o/RpeMC4+o3FUE2ayZ3Z4x70aXj2YCdnbA6TuAvjD8EmYyt9R5x0NMbCcd7xsILIwr2lNfyfy6dg==" saltValue="w2QZdj1KTAXiNY+1Yn9ow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EWDmpG8WSl682lu9AQLMks/uvoeVUX3w6LtCdaAc8rN1BC6fHJkX9y7lvizVaLmukyCsAo1Ptr1WmymzCZGi4Q==" saltValue="XR02hJyix4kmHCUqxkZUx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a8Zs5lAck/hOPRqRInQIJpimLjyhi6D1VmMhtYFr/0/2QZAVTLw+enuaE6rfNwBb5W7IT61ZGwr3VcCmv/moA==" saltValue="Co9jzxmzA726WgOBeioTv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5+g+85W1/cuaJrRFKLc7AmPKVjmqrDMX2IsOqa3mon44CCPlHUpwwxaE2YTiZ9QnwpiHCFtVafhJPdSvrW++g==" saltValue="X+j3qQDOA9qcTCmcoeqPQ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87" t="s">
        <v>6</v>
      </c>
      <c r="D5" s="587"/>
      <c r="E5" s="587"/>
      <c r="F5" s="587"/>
      <c r="G5" s="587"/>
      <c r="H5" s="587"/>
      <c r="I5" s="587"/>
      <c r="J5" s="587"/>
      <c r="K5" s="587"/>
      <c r="L5" s="587"/>
      <c r="M5" s="587"/>
    </row>
    <row r="6" spans="1:18" ht="23.25" x14ac:dyDescent="0.35">
      <c r="C6" s="215"/>
      <c r="D6" s="215"/>
      <c r="E6" s="553" t="str">
        <f>IFERROR(CONCATENATE("Report Number: ", WorkItemNumber),"")</f>
        <v/>
      </c>
      <c r="F6" s="553"/>
      <c r="G6" s="553"/>
      <c r="H6" s="553"/>
      <c r="I6" s="553"/>
      <c r="J6" s="553"/>
      <c r="K6" s="553"/>
      <c r="L6" s="215"/>
      <c r="M6" s="215"/>
    </row>
    <row r="7" spans="1:18" ht="18.75" customHeight="1" x14ac:dyDescent="0.3">
      <c r="G7" s="565"/>
      <c r="H7" s="565"/>
      <c r="I7" s="192"/>
      <c r="R7" t="str">
        <f>CONCATENATE("Page ",Main!L9," of ",Main!L10)</f>
        <v xml:space="preserve">Page  of </v>
      </c>
    </row>
    <row r="8" spans="1:18" ht="18" customHeight="1" x14ac:dyDescent="0.25">
      <c r="G8" s="582"/>
      <c r="H8" s="582"/>
      <c r="J8" s="79"/>
      <c r="K8" s="216" t="s">
        <v>252</v>
      </c>
      <c r="L8" s="566">
        <f>FormNumber</f>
        <v>0</v>
      </c>
      <c r="M8" s="566"/>
      <c r="N8" s="566"/>
      <c r="O8" s="566"/>
    </row>
    <row r="9" spans="1:18" ht="18" customHeight="1" x14ac:dyDescent="0.25">
      <c r="A9" s="216" t="s">
        <v>209</v>
      </c>
      <c r="B9" s="33" t="e">
        <f>Main!D5</f>
        <v>#N/A</v>
      </c>
      <c r="J9" s="79"/>
      <c r="K9" s="216" t="s">
        <v>253</v>
      </c>
      <c r="L9" s="567" t="str">
        <f>"JGI WP4100, "&amp;CalMethod</f>
        <v xml:space="preserve">JGI WP4100, </v>
      </c>
      <c r="M9" s="567"/>
      <c r="N9" s="567"/>
      <c r="O9" s="567"/>
    </row>
    <row r="10" spans="1:18" ht="18" customHeight="1" x14ac:dyDescent="0.25">
      <c r="A10" s="87"/>
      <c r="B10" s="211" t="str" cm="1">
        <f t="array" ref="B10">IFZERO('Customer Table'!R2,"")</f>
        <v/>
      </c>
      <c r="J10" s="79"/>
      <c r="K10" s="216"/>
      <c r="L10" s="567"/>
      <c r="M10" s="567"/>
      <c r="N10" s="567"/>
      <c r="O10" s="567"/>
    </row>
    <row r="11" spans="1:18" ht="18" customHeight="1" x14ac:dyDescent="0.25">
      <c r="A11" s="87"/>
      <c r="B11" s="211" t="str" cm="1">
        <f t="array" ref="B11">IFZERO('Customer Table'!S2,"")</f>
        <v/>
      </c>
      <c r="J11" s="79"/>
      <c r="K11" s="216" t="s">
        <v>254</v>
      </c>
      <c r="L11" s="566">
        <f>TolSource</f>
        <v>0</v>
      </c>
      <c r="M11" s="566"/>
      <c r="N11" s="566"/>
      <c r="O11" s="566"/>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3" t="s">
        <v>237</v>
      </c>
      <c r="D27" s="583"/>
      <c r="E27" s="583"/>
      <c r="F27" s="583"/>
      <c r="G27" s="583"/>
      <c r="H27" s="583"/>
      <c r="I27" s="583"/>
      <c r="J27" s="583"/>
      <c r="K27" s="583"/>
      <c r="L27" s="583"/>
      <c r="M27" s="583"/>
      <c r="N27" s="196"/>
      <c r="O27" s="197"/>
    </row>
    <row r="28" spans="1:19" ht="8.1" customHeight="1" x14ac:dyDescent="0.2"/>
    <row r="29" spans="1:19" ht="18" customHeight="1" x14ac:dyDescent="0.2">
      <c r="A29" s="579" t="s">
        <v>207</v>
      </c>
      <c r="B29" s="580"/>
      <c r="C29" s="581"/>
      <c r="D29" s="579" t="s">
        <v>238</v>
      </c>
      <c r="E29" s="580"/>
      <c r="F29" s="580"/>
      <c r="G29" s="581"/>
      <c r="H29" s="579" t="s">
        <v>208</v>
      </c>
      <c r="I29" s="580"/>
      <c r="J29" s="580"/>
      <c r="K29" s="581"/>
      <c r="L29" s="579" t="s">
        <v>194</v>
      </c>
      <c r="M29" s="580"/>
      <c r="N29" s="580"/>
      <c r="O29" s="581"/>
    </row>
    <row r="30" spans="1:19" ht="18" customHeight="1" x14ac:dyDescent="0.2">
      <c r="A30" s="212"/>
      <c r="B30" s="202" t="s">
        <v>435</v>
      </c>
      <c r="C30" s="213"/>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5" t="str">
        <f>IF(Main!O5="","",Main!O5)</f>
        <v/>
      </c>
      <c r="C33" s="565"/>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5" t="str">
        <f>IF(Main!O25="","",Main!O25)</f>
        <v/>
      </c>
      <c r="K33" s="565"/>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5" t="str">
        <f>IF(Main!O6="","",Main!O6)</f>
        <v/>
      </c>
      <c r="C34" s="565"/>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5" t="str">
        <f>IF(Main!O26="","",Main!O26)</f>
        <v/>
      </c>
      <c r="K34" s="565"/>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5" t="str">
        <f>IF(Main!O7="","",Main!O7)</f>
        <v/>
      </c>
      <c r="C35" s="565"/>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5" t="str">
        <f>IF(Main!O27="","",Main!O27)</f>
        <v/>
      </c>
      <c r="K35" s="565"/>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5" t="str">
        <f>IF(Main!O8="","",Main!O8)</f>
        <v/>
      </c>
      <c r="C36" s="565"/>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5" t="str">
        <f>IF(Main!O28="","",Main!O28)</f>
        <v/>
      </c>
      <c r="K36" s="565"/>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5" t="str">
        <f>IF(Main!O9="","",Main!O9)</f>
        <v/>
      </c>
      <c r="C37" s="565"/>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5" t="str">
        <f>IF(Main!O29="","",Main!O29)</f>
        <v/>
      </c>
      <c r="K37" s="565"/>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5" t="str">
        <f>IF(Main!O10="","",Main!O10)</f>
        <v/>
      </c>
      <c r="C38" s="565"/>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5" t="str">
        <f>IF(Main!O30="","",Main!O30)</f>
        <v/>
      </c>
      <c r="K38" s="565"/>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5" t="str">
        <f>IF(Main!O11="","",Main!O11)</f>
        <v/>
      </c>
      <c r="C39" s="565"/>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5" t="str">
        <f>IF(Main!O31="","",Main!O31)</f>
        <v/>
      </c>
      <c r="K39" s="565"/>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5" t="str">
        <f>IF(Main!O12="","",Main!O12)</f>
        <v/>
      </c>
      <c r="C40" s="565"/>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5" t="str">
        <f>IF(Main!O32="","",Main!O32)</f>
        <v/>
      </c>
      <c r="K40" s="565"/>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5" t="str">
        <f>IF(Main!O13="","",Main!O13)</f>
        <v/>
      </c>
      <c r="C41" s="565"/>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5" t="str">
        <f>IF(Main!O33="","",Main!O33)</f>
        <v/>
      </c>
      <c r="K41" s="565"/>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5" t="str">
        <f>IF(Main!O14="","",Main!O14)</f>
        <v/>
      </c>
      <c r="C42" s="565"/>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5" t="str">
        <f>IF(Main!O34="","",Main!O34)</f>
        <v/>
      </c>
      <c r="K42" s="565"/>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5" t="str">
        <f>IF(Main!O15="","",Main!O15)</f>
        <v/>
      </c>
      <c r="C43" s="565"/>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5" t="str">
        <f>IF(Main!O35="","",Main!O35)</f>
        <v/>
      </c>
      <c r="K43" s="565"/>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5" t="str">
        <f>IF(Main!O16="","",Main!O16)</f>
        <v/>
      </c>
      <c r="C44" s="565"/>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5" t="str">
        <f>IF(Main!O36="","",Main!O36)</f>
        <v/>
      </c>
      <c r="K44" s="565"/>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5" t="str">
        <f>IF(Main!O17="","",Main!O17)</f>
        <v/>
      </c>
      <c r="C45" s="565"/>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5" t="str">
        <f>IF(Main!O37="","",Main!O37)</f>
        <v/>
      </c>
      <c r="K45" s="565"/>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5" t="str">
        <f>IF(Main!O18="","",Main!O18)</f>
        <v/>
      </c>
      <c r="C46" s="565"/>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5" t="str">
        <f>IF(Main!O38="","",Main!O38)</f>
        <v/>
      </c>
      <c r="K46" s="565"/>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5" t="str">
        <f>IF(Main!O19="","",Main!O19)</f>
        <v/>
      </c>
      <c r="C47" s="565"/>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5" t="str">
        <f>IF(Main!O39="","",Main!O39)</f>
        <v/>
      </c>
      <c r="K47" s="565"/>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5" t="str">
        <f>IF(Main!O20="","",Main!O20)</f>
        <v/>
      </c>
      <c r="C48" s="565"/>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5" t="str">
        <f>IF(Main!O40="","",Main!O40)</f>
        <v/>
      </c>
      <c r="K48" s="565"/>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5" t="str">
        <f>IF(Main!O21="","",Main!O21)</f>
        <v/>
      </c>
      <c r="C49" s="565"/>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5" t="str">
        <f>IF(Main!O41="","",Main!O41)</f>
        <v/>
      </c>
      <c r="K49" s="565"/>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5" t="str">
        <f>IF(Main!O22="","",Main!O22)</f>
        <v/>
      </c>
      <c r="C50" s="565"/>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5" t="str">
        <f>IF(Main!O42="","",Main!O42)</f>
        <v/>
      </c>
      <c r="K50" s="565"/>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5" t="str">
        <f>IF(Main!O23="","",Main!O23)</f>
        <v/>
      </c>
      <c r="C51" s="565"/>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5" t="str">
        <f>IF(Main!O43="","",Main!O43)</f>
        <v/>
      </c>
      <c r="K51" s="565"/>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5" t="str">
        <f>IF(Main!O24="","",Main!O24)</f>
        <v/>
      </c>
      <c r="C52" s="565"/>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5" t="str">
        <f>IF(Main!O44="","",Main!O44)</f>
        <v/>
      </c>
      <c r="K52" s="565"/>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6"/>
      <c r="B55" s="567"/>
      <c r="C55" s="567"/>
      <c r="D55" s="567"/>
      <c r="E55" s="567"/>
      <c r="F55" s="567"/>
      <c r="G55" s="567"/>
      <c r="H55" s="567"/>
      <c r="I55" s="567"/>
      <c r="J55" s="567"/>
      <c r="K55" s="567"/>
      <c r="L55" s="567"/>
      <c r="M55" s="567"/>
      <c r="N55" s="567"/>
      <c r="O55" s="567"/>
    </row>
    <row r="56" spans="1:21" ht="18" customHeight="1" x14ac:dyDescent="0.25">
      <c r="A56" s="76"/>
      <c r="B56" s="567"/>
      <c r="C56" s="567"/>
      <c r="D56" s="567"/>
      <c r="E56" s="567"/>
      <c r="F56" s="567"/>
      <c r="G56" s="567"/>
      <c r="H56" s="567"/>
      <c r="I56" s="567"/>
      <c r="J56" s="567"/>
      <c r="K56" s="567"/>
      <c r="L56" s="567"/>
      <c r="M56" s="567"/>
      <c r="N56" s="567"/>
      <c r="O56" s="567"/>
    </row>
    <row r="57" spans="1:21" ht="18" customHeight="1" x14ac:dyDescent="0.25">
      <c r="A57" s="76"/>
      <c r="B57" s="567"/>
      <c r="C57" s="567"/>
      <c r="D57" s="567"/>
      <c r="E57" s="567"/>
      <c r="F57" s="567"/>
      <c r="G57" s="567"/>
      <c r="H57" s="567"/>
      <c r="I57" s="567"/>
      <c r="J57" s="567"/>
      <c r="K57" s="567"/>
      <c r="L57" s="567"/>
      <c r="M57" s="567"/>
      <c r="N57" s="567"/>
      <c r="O57" s="567"/>
    </row>
    <row r="58" spans="1:21" ht="18" customHeight="1" x14ac:dyDescent="0.25">
      <c r="A58" s="76"/>
      <c r="B58" s="567"/>
      <c r="C58" s="567"/>
      <c r="D58" s="567"/>
      <c r="E58" s="567"/>
      <c r="F58" s="567"/>
      <c r="G58" s="567"/>
      <c r="H58" s="567"/>
      <c r="I58" s="567"/>
      <c r="J58" s="567"/>
      <c r="K58" s="567"/>
      <c r="L58" s="567"/>
      <c r="M58" s="567"/>
      <c r="N58" s="567"/>
      <c r="O58" s="567"/>
    </row>
    <row r="59" spans="1:21" ht="18" customHeight="1" x14ac:dyDescent="0.25">
      <c r="A59" s="76"/>
      <c r="B59" s="567"/>
      <c r="C59" s="567"/>
      <c r="D59" s="567"/>
      <c r="E59" s="567"/>
      <c r="F59" s="567"/>
      <c r="G59" s="567"/>
      <c r="H59" s="567"/>
      <c r="I59" s="567"/>
      <c r="J59" s="567"/>
      <c r="K59" s="567"/>
      <c r="L59" s="567"/>
      <c r="M59" s="567"/>
      <c r="N59" s="567"/>
      <c r="O59" s="567"/>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64" t="s">
        <v>245</v>
      </c>
      <c r="G61" s="564"/>
      <c r="H61" s="564"/>
      <c r="I61" s="564" t="s">
        <v>246</v>
      </c>
      <c r="J61" s="564"/>
      <c r="K61" s="564" t="s">
        <v>247</v>
      </c>
      <c r="L61" s="564"/>
      <c r="M61" s="564" t="s">
        <v>248</v>
      </c>
      <c r="N61" s="564"/>
      <c r="O61" s="564"/>
      <c r="R61" s="37" t="s">
        <v>335</v>
      </c>
      <c r="T61" s="37" t="s">
        <v>336</v>
      </c>
      <c r="U61" s="37"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52" t="s">
        <v>439</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KwwmpxFWhB3TK11eBsjkLhUJJBluLOhhZne136rvA9eyq+AYBT058pLX+GW9P3tUQLqY8kUAdgP6oD3TNq4YrQ==" saltValue="oZEvGCQ2DsgjuRRZi7Ohhw=="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p4c/eXX+Qij7QhtDhVkTlEZBdbbSeFMJl/JEXFQ7CaKaYSn7i8Z7oSU5ASVqzqPSdL1rukGwHo1DEx9FHurOPw==" saltValue="Grl/lvvL0j478MWT/RkD7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nQPrKCX2HavP2wzJiYQHDyLfmSCd3FDjN3rUs1D8gTT4wnJCt7DFiCIZN03EvICO3Zh5MflX7yG6xGB3trh6XQ==" saltValue="jM4uS/I3XVaDrqMNHOYOV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76sPmk1N5pnqd7ISugRknrnKDuWrUwvv8ch6LN0gPIpH756lGGcMIP5GXY6+yYxBVFrGWlzQFdy1FQAPgCpQxA==" saltValue="GyVmpu8Yva5LQ4rAq86oC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DWvSrUTXK6l/IY2Nfqq+yXksXAmoVDM+IJWMdRHwYZEEFF6tRjKJwV6pUumHpyac6KQ5G2u17Zmx+N6iBXQFxg==" saltValue="he/0Jcr3SEL7z7lItpuzwQ=="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7">
    <cfRule type="expression" dxfId="53" priority="61">
      <formula>ISERROR(SEARCH(1,$G$19))</formula>
    </cfRule>
    <cfRule type="expression" dxfId="52" priority="62">
      <formula>ISNUMBER(SEARCH(1,$G$19))</formula>
    </cfRule>
  </conditionalFormatting>
  <conditionalFormatting sqref="J14:J17">
    <cfRule type="expression" dxfId="51" priority="57">
      <formula>ISERROR(SEARCH(1,$J$19))</formula>
    </cfRule>
    <cfRule type="expression" dxfId="50" priority="58">
      <formula>ISNUMBER(SEARCH(1,$J$19))</formula>
    </cfRule>
  </conditionalFormatting>
  <conditionalFormatting sqref="M14:M17">
    <cfRule type="expression" dxfId="49" priority="53">
      <formula>ISERROR(SEARCH(1,$M$19))</formula>
    </cfRule>
    <cfRule type="expression" dxfId="48" priority="54">
      <formula>ISNUMBER(SEARCH(1,$M$19))</formula>
    </cfRule>
  </conditionalFormatting>
  <conditionalFormatting sqref="G26:G29">
    <cfRule type="expression" dxfId="47" priority="45">
      <formula>ISERROR(SEARCH(1,$G$31))</formula>
    </cfRule>
    <cfRule type="expression" dxfId="46" priority="46">
      <formula>ISNUMBER(SEARCH(1,$G$31))</formula>
    </cfRule>
  </conditionalFormatting>
  <conditionalFormatting sqref="J26:J29">
    <cfRule type="expression" dxfId="45" priority="41">
      <formula>ISERROR(SEARCH(1,$J$31))</formula>
    </cfRule>
    <cfRule type="expression" dxfId="44" priority="42">
      <formula>ISNUMBER(SEARCH(1,$J$31))</formula>
    </cfRule>
  </conditionalFormatting>
  <conditionalFormatting sqref="M26:M29">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3" t="s">
        <v>276</v>
      </c>
      <c r="I28" s="633"/>
      <c r="J28" s="633"/>
      <c r="K28" s="633"/>
      <c r="L28" s="633"/>
      <c r="M28" s="633"/>
      <c r="N28" s="633"/>
      <c r="O28" s="633"/>
      <c r="P28" s="633"/>
      <c r="Q28" s="633"/>
      <c r="R28" s="633"/>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39" t="s">
        <v>278</v>
      </c>
      <c r="K29" s="640"/>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34" t="s">
        <v>264</v>
      </c>
      <c r="I30" s="634"/>
      <c r="J30" s="641" t="s">
        <v>309</v>
      </c>
      <c r="K30" s="642"/>
      <c r="L30" s="643"/>
      <c r="M30" s="254"/>
      <c r="O30" s="635" t="s">
        <v>312</v>
      </c>
      <c r="P30" s="636"/>
      <c r="Q30" s="637"/>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24" t="s">
        <v>317</v>
      </c>
      <c r="K31" s="625"/>
      <c r="L31" s="626"/>
      <c r="M31" s="255" t="str">
        <f>IF(Main!S49="","",Main!S49)</f>
        <v>N/A</v>
      </c>
      <c r="O31" s="543" t="s">
        <v>319</v>
      </c>
      <c r="P31" s="544"/>
      <c r="Q31" s="638"/>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27" t="s">
        <v>267</v>
      </c>
      <c r="K32" s="628"/>
      <c r="L32" s="629"/>
      <c r="M32" s="250"/>
      <c r="O32" s="627" t="s">
        <v>267</v>
      </c>
      <c r="P32" s="628"/>
      <c r="Q32" s="629"/>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30" t="s">
        <v>318</v>
      </c>
      <c r="K33" s="631"/>
      <c r="L33" s="632"/>
      <c r="M33" s="249" t="str">
        <f>IF(Main!S51="","",Main!S51)</f>
        <v/>
      </c>
      <c r="O33" s="630" t="s">
        <v>320</v>
      </c>
      <c r="P33" s="631"/>
      <c r="Q33" s="632"/>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27" t="s">
        <v>267</v>
      </c>
      <c r="K34" s="628"/>
      <c r="L34" s="629"/>
      <c r="O34" s="627" t="s">
        <v>267</v>
      </c>
      <c r="P34" s="628"/>
      <c r="Q34" s="629"/>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16" t="s">
        <v>321</v>
      </c>
      <c r="K35" s="617"/>
      <c r="L35" s="618"/>
      <c r="M35" s="257" t="str">
        <f>IF(Main!S53="","",Main!S53)</f>
        <v/>
      </c>
      <c r="O35" s="616" t="s">
        <v>322</v>
      </c>
      <c r="P35" s="617"/>
      <c r="Q35" s="618"/>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19"/>
      <c r="K36" s="620"/>
      <c r="L36" s="621"/>
      <c r="M36" s="253"/>
      <c r="O36" s="619"/>
      <c r="P36" s="620"/>
      <c r="Q36" s="621"/>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m6WIgZcVHADeNvs7xhxHKVPwc7+gTcTGibNi3tZidqaYLZPxd9mmcXcEaqTf9GGdvGdHsTze+JXISPFWjMFquw==" saltValue="lvRkedQnXxD0q0ad3k5OE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KrGFoQFvBcrIjkhZq5dDhUAKMAFOkv0h/xpzqFRwJeafUEyDS99Qpmgu4FmpmyJN1eyJrU/cOMjkS1v3c+WnA==" saltValue="mx91Qhb3+8TQ/ZaqscgnS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4" t="s">
        <v>145</v>
      </c>
      <c r="G1" s="582" t="s">
        <v>65</v>
      </c>
      <c r="H1" s="582"/>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vN9t33yuyaWFvin9fequ6Puz0O0vB/vGbAesLuHhUTVleJ48155lztlXA9yujBFoU1CaLeW4Ehp223RXN+KipA==" saltValue="GPjSfQXol0yMJIqXVhnSA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2026-03-02T05:16:11Z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