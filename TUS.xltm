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20880BC-E5D8-47ED-8788-6190C54ECC8F}"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K6" i="95" s="1"/>
  <c r="J7" i="95"/>
  <c r="J8" i="95"/>
  <c r="J9" i="95"/>
  <c r="J10" i="95"/>
  <c r="J11" i="95"/>
  <c r="J12" i="95"/>
  <c r="J13" i="95"/>
  <c r="J14" i="95"/>
  <c r="J15" i="95"/>
  <c r="J16" i="95"/>
  <c r="J17" i="95"/>
  <c r="K17" i="95" s="1"/>
  <c r="J18" i="95"/>
  <c r="K18" i="95" s="1"/>
  <c r="J19" i="95"/>
  <c r="K19" i="95" s="1"/>
  <c r="J20" i="95"/>
  <c r="K20" i="95" s="1"/>
  <c r="J21" i="95"/>
  <c r="K21" i="95" s="1"/>
  <c r="J22" i="95"/>
  <c r="K22" i="95" s="1"/>
  <c r="J23" i="95"/>
  <c r="K23" i="95" s="1"/>
  <c r="J24" i="95"/>
  <c r="K24" i="95" s="1"/>
  <c r="J25" i="95"/>
  <c r="J26" i="95"/>
  <c r="J27" i="95"/>
  <c r="J28" i="95"/>
  <c r="J29" i="95"/>
  <c r="J30" i="95"/>
  <c r="J31" i="95"/>
  <c r="J32" i="95"/>
  <c r="J33" i="95"/>
  <c r="J34" i="95"/>
  <c r="J35" i="95"/>
  <c r="J36" i="95"/>
  <c r="J37" i="95"/>
  <c r="J38" i="95"/>
  <c r="J39" i="95"/>
  <c r="J40" i="95"/>
  <c r="J41" i="95"/>
  <c r="J42" i="95"/>
  <c r="J43" i="95"/>
  <c r="J44" i="95"/>
  <c r="J45" i="95"/>
  <c r="J46" i="95"/>
  <c r="J47" i="95"/>
  <c r="J48" i="95"/>
  <c r="J49" i="95"/>
  <c r="K49" i="95" s="1"/>
  <c r="J50" i="95"/>
  <c r="K50" i="95" s="1"/>
  <c r="J51" i="95"/>
  <c r="K51" i="95" s="1"/>
  <c r="J52" i="95"/>
  <c r="K52" i="95" s="1"/>
  <c r="J53" i="95"/>
  <c r="K53" i="95" s="1"/>
  <c r="J54" i="95"/>
  <c r="K54" i="95" s="1"/>
  <c r="J55" i="95"/>
  <c r="K55" i="95" s="1"/>
  <c r="J56" i="95"/>
  <c r="K56" i="95" s="1"/>
  <c r="J57" i="95"/>
  <c r="J58" i="95"/>
  <c r="J59" i="95"/>
  <c r="J60" i="95"/>
  <c r="J61" i="95"/>
  <c r="J62" i="95"/>
  <c r="J63" i="95"/>
  <c r="J64" i="95"/>
  <c r="J65" i="95"/>
  <c r="J66" i="95"/>
  <c r="J67" i="95"/>
  <c r="K67" i="95" s="1"/>
  <c r="J68" i="95"/>
  <c r="K68" i="95" s="1"/>
  <c r="J69" i="95"/>
  <c r="K69" i="95" s="1"/>
  <c r="J70" i="95"/>
  <c r="K70" i="95" s="1"/>
  <c r="J71" i="95"/>
  <c r="J72" i="95"/>
  <c r="J73" i="95"/>
  <c r="J74" i="95"/>
  <c r="J75" i="95"/>
  <c r="J76" i="95"/>
  <c r="J77" i="95"/>
  <c r="J78" i="95"/>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J104" i="95"/>
  <c r="J105" i="95"/>
  <c r="J106" i="95"/>
  <c r="J107" i="95"/>
  <c r="K107" i="95" s="1"/>
  <c r="J108" i="95"/>
  <c r="K108" i="95" s="1"/>
  <c r="J109" i="95"/>
  <c r="K109" i="95" s="1"/>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K134" i="95" s="1"/>
  <c r="J135" i="95"/>
  <c r="J136" i="95"/>
  <c r="J137" i="95"/>
  <c r="J138" i="95"/>
  <c r="J139" i="95"/>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J154" i="95"/>
  <c r="J155" i="95"/>
  <c r="J156" i="95"/>
  <c r="J157" i="95"/>
  <c r="J158" i="95"/>
  <c r="J159" i="95"/>
  <c r="J160" i="95"/>
  <c r="J161" i="95"/>
  <c r="J162" i="95"/>
  <c r="J163" i="95"/>
  <c r="J164" i="95"/>
  <c r="J165" i="95"/>
  <c r="J166" i="95"/>
  <c r="J167" i="95"/>
  <c r="J168" i="95"/>
  <c r="J169" i="95"/>
  <c r="J170" i="95"/>
  <c r="J171" i="95"/>
  <c r="J172" i="95"/>
  <c r="J173" i="95"/>
  <c r="J174" i="95"/>
  <c r="J175" i="95"/>
  <c r="J176" i="95"/>
  <c r="J177" i="95"/>
  <c r="K177" i="95" s="1"/>
  <c r="J178" i="95"/>
  <c r="K178" i="95" s="1"/>
  <c r="J179" i="95"/>
  <c r="K179" i="95" s="1"/>
  <c r="J180" i="95"/>
  <c r="K180" i="95" s="1"/>
  <c r="J181" i="95"/>
  <c r="K181" i="95" s="1"/>
  <c r="J182" i="95"/>
  <c r="K182" i="95" s="1"/>
  <c r="J183" i="95"/>
  <c r="K183" i="95" s="1"/>
  <c r="J184" i="95"/>
  <c r="K184" i="95" s="1"/>
  <c r="J185" i="95"/>
  <c r="J186" i="95"/>
  <c r="J187" i="95"/>
  <c r="J188" i="95"/>
  <c r="J189" i="95"/>
  <c r="J190" i="95"/>
  <c r="J191" i="95"/>
  <c r="J192" i="95"/>
  <c r="J193" i="95"/>
  <c r="J194" i="95"/>
  <c r="J195" i="95"/>
  <c r="K195" i="95" s="1"/>
  <c r="J196" i="95"/>
  <c r="K196" i="95" s="1"/>
  <c r="J197" i="95"/>
  <c r="K197" i="95" s="1"/>
  <c r="J198" i="95"/>
  <c r="K198" i="95" s="1"/>
  <c r="J199" i="95"/>
  <c r="J200" i="95"/>
  <c r="J201" i="95"/>
  <c r="J202" i="95"/>
  <c r="J203" i="95"/>
  <c r="J204" i="95"/>
  <c r="J205" i="95"/>
  <c r="J206" i="95"/>
  <c r="J207" i="95"/>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K230" i="95" s="1"/>
  <c r="J231" i="95"/>
  <c r="J232" i="95"/>
  <c r="J233" i="95"/>
  <c r="J234" i="95"/>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J258" i="95"/>
  <c r="J259" i="95"/>
  <c r="J260" i="95"/>
  <c r="J261" i="95"/>
  <c r="J262" i="95"/>
  <c r="K262" i="95" s="1"/>
  <c r="J263" i="95"/>
  <c r="J264" i="95"/>
  <c r="J265" i="95"/>
  <c r="J266" i="95"/>
  <c r="J267" i="95"/>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J282" i="95"/>
  <c r="J283" i="95"/>
  <c r="J284" i="95"/>
  <c r="J285" i="95"/>
  <c r="J286" i="95"/>
  <c r="K286" i="95" s="1"/>
  <c r="J287" i="95"/>
  <c r="J288" i="95"/>
  <c r="K288" i="95" s="1"/>
  <c r="J289" i="95"/>
  <c r="J290" i="95"/>
  <c r="J291" i="95"/>
  <c r="J292" i="95"/>
  <c r="J293" i="95"/>
  <c r="J294" i="95"/>
  <c r="K294" i="95" s="1"/>
  <c r="J295" i="95"/>
  <c r="J296" i="95"/>
  <c r="J297" i="95"/>
  <c r="J298" i="95"/>
  <c r="J299" i="95"/>
  <c r="J300" i="95"/>
  <c r="J301" i="95"/>
  <c r="J302" i="95"/>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J325" i="95"/>
  <c r="J326" i="95"/>
  <c r="K326" i="95" s="1"/>
  <c r="J327" i="95"/>
  <c r="J328" i="95"/>
  <c r="K328" i="95" s="1"/>
  <c r="J329" i="95"/>
  <c r="K329" i="95" s="1"/>
  <c r="J330" i="95"/>
  <c r="K330" i="95" s="1"/>
  <c r="J331" i="95"/>
  <c r="J332" i="95"/>
  <c r="J333" i="95"/>
  <c r="J334" i="95"/>
  <c r="J335" i="95"/>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J356" i="95"/>
  <c r="J357" i="95"/>
  <c r="J358" i="95"/>
  <c r="K358" i="95" s="1"/>
  <c r="J359" i="95"/>
  <c r="J360" i="95"/>
  <c r="J361" i="95"/>
  <c r="J362" i="95"/>
  <c r="J363" i="95"/>
  <c r="J364" i="95"/>
  <c r="J365" i="95"/>
  <c r="J366" i="95"/>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J387" i="95"/>
  <c r="J388" i="95"/>
  <c r="J389" i="95"/>
  <c r="J390" i="95"/>
  <c r="K390" i="95" s="1"/>
  <c r="J391" i="95"/>
  <c r="J392" i="95"/>
  <c r="J393" i="95"/>
  <c r="J394" i="95"/>
  <c r="J395" i="95"/>
  <c r="J396" i="95"/>
  <c r="J397" i="95"/>
  <c r="J398" i="95"/>
  <c r="J399" i="95"/>
  <c r="K399" i="95" s="1"/>
  <c r="J400" i="95"/>
  <c r="J401" i="95"/>
  <c r="K401" i="95" s="1"/>
  <c r="J402" i="95"/>
  <c r="K402" i="95" s="1"/>
  <c r="J403" i="95"/>
  <c r="K403" i="95" s="1"/>
  <c r="J404" i="95"/>
  <c r="K404" i="95" s="1"/>
  <c r="J405" i="95"/>
  <c r="K405" i="95" s="1"/>
  <c r="J406" i="95"/>
  <c r="K406" i="95" s="1"/>
  <c r="J407" i="95"/>
  <c r="K407" i="95" s="1"/>
  <c r="J408" i="95"/>
  <c r="K408" i="95" s="1"/>
  <c r="J409" i="95"/>
  <c r="J410" i="95"/>
  <c r="J411" i="95"/>
  <c r="J412" i="95"/>
  <c r="J413" i="95"/>
  <c r="J414" i="95"/>
  <c r="J415" i="95"/>
  <c r="J416" i="95"/>
  <c r="J417" i="95"/>
  <c r="K417" i="95" s="1"/>
  <c r="J418" i="95"/>
  <c r="K418" i="95" s="1"/>
  <c r="J419" i="95"/>
  <c r="K419" i="95" s="1"/>
  <c r="J420" i="95"/>
  <c r="K420" i="95" s="1"/>
  <c r="J421" i="95"/>
  <c r="J422" i="95"/>
  <c r="K422" i="95" s="1"/>
  <c r="J423" i="95"/>
  <c r="J424" i="95"/>
  <c r="J425" i="95"/>
  <c r="K2" i="95"/>
  <c r="K3" i="95"/>
  <c r="K4" i="95"/>
  <c r="K5" i="95"/>
  <c r="K7" i="95"/>
  <c r="K8" i="95"/>
  <c r="K9" i="95"/>
  <c r="K10" i="95"/>
  <c r="K11" i="95"/>
  <c r="K12" i="95"/>
  <c r="K13" i="95"/>
  <c r="K14" i="95"/>
  <c r="K15" i="95"/>
  <c r="K16" i="95"/>
  <c r="K25" i="95"/>
  <c r="K26" i="95"/>
  <c r="K27" i="95"/>
  <c r="K28" i="95"/>
  <c r="K29" i="95"/>
  <c r="K30" i="95"/>
  <c r="K31" i="95"/>
  <c r="K32" i="95"/>
  <c r="K33" i="95"/>
  <c r="K34" i="95"/>
  <c r="K35" i="95"/>
  <c r="K36" i="95"/>
  <c r="K37" i="95"/>
  <c r="K38" i="95"/>
  <c r="K39" i="95"/>
  <c r="K40" i="95"/>
  <c r="K41" i="95"/>
  <c r="K42" i="95"/>
  <c r="K43" i="95"/>
  <c r="K44" i="95"/>
  <c r="K45" i="95"/>
  <c r="K46" i="95"/>
  <c r="K47" i="95"/>
  <c r="K48" i="95"/>
  <c r="K57" i="95"/>
  <c r="K58" i="95"/>
  <c r="K59" i="95"/>
  <c r="K60" i="95"/>
  <c r="K61" i="95"/>
  <c r="K62" i="95"/>
  <c r="K63" i="95"/>
  <c r="K64" i="95"/>
  <c r="K65" i="95"/>
  <c r="K66" i="95"/>
  <c r="K71" i="95"/>
  <c r="K72" i="95"/>
  <c r="K73" i="95"/>
  <c r="K74" i="95"/>
  <c r="K75" i="95"/>
  <c r="K76" i="95"/>
  <c r="K77" i="95"/>
  <c r="K78" i="95"/>
  <c r="K79" i="95"/>
  <c r="K90" i="95"/>
  <c r="K91" i="95"/>
  <c r="K92" i="95"/>
  <c r="K93" i="95"/>
  <c r="K94" i="95"/>
  <c r="K95" i="95"/>
  <c r="K96" i="95"/>
  <c r="K97" i="95"/>
  <c r="K98" i="95"/>
  <c r="K99" i="95"/>
  <c r="K100" i="95"/>
  <c r="K101" i="95"/>
  <c r="K102" i="95"/>
  <c r="K103" i="95"/>
  <c r="K104" i="95"/>
  <c r="K105" i="95"/>
  <c r="K106" i="95"/>
  <c r="K110" i="95"/>
  <c r="K111" i="95"/>
  <c r="K122" i="95"/>
  <c r="K123" i="95"/>
  <c r="K124" i="95"/>
  <c r="K125" i="95"/>
  <c r="K126" i="95"/>
  <c r="K127" i="95"/>
  <c r="K128" i="95"/>
  <c r="K129" i="95"/>
  <c r="K130" i="95"/>
  <c r="K131" i="95"/>
  <c r="K132" i="95"/>
  <c r="K133" i="95"/>
  <c r="K135" i="95"/>
  <c r="K136" i="95"/>
  <c r="K137" i="95"/>
  <c r="K138" i="95"/>
  <c r="K139" i="95"/>
  <c r="K140" i="95"/>
  <c r="K141" i="95"/>
  <c r="K142" i="95"/>
  <c r="K143" i="95"/>
  <c r="K144" i="95"/>
  <c r="K153" i="95"/>
  <c r="K154" i="95"/>
  <c r="K155" i="95"/>
  <c r="K156" i="95"/>
  <c r="K157" i="95"/>
  <c r="K158" i="95"/>
  <c r="K159" i="95"/>
  <c r="K160" i="95"/>
  <c r="K161" i="95"/>
  <c r="K162" i="95"/>
  <c r="K163" i="95"/>
  <c r="K164" i="95"/>
  <c r="K165" i="95"/>
  <c r="K166" i="95"/>
  <c r="K167" i="95"/>
  <c r="K168" i="95"/>
  <c r="K169" i="95"/>
  <c r="K170" i="95"/>
  <c r="K171" i="95"/>
  <c r="K172" i="95"/>
  <c r="K173" i="95"/>
  <c r="K174" i="95"/>
  <c r="K175" i="95"/>
  <c r="K176" i="95"/>
  <c r="K185" i="95"/>
  <c r="K186" i="95"/>
  <c r="K187" i="95"/>
  <c r="K188" i="95"/>
  <c r="K189" i="95"/>
  <c r="K190" i="95"/>
  <c r="K191" i="95"/>
  <c r="K192" i="95"/>
  <c r="K193" i="95"/>
  <c r="K194" i="95"/>
  <c r="K199" i="95"/>
  <c r="K200" i="95"/>
  <c r="K201" i="95"/>
  <c r="K202" i="95"/>
  <c r="K203" i="95"/>
  <c r="K204" i="95"/>
  <c r="K205" i="95"/>
  <c r="K206" i="95"/>
  <c r="K207" i="95"/>
  <c r="K218" i="95"/>
  <c r="K220" i="95"/>
  <c r="K223" i="95"/>
  <c r="K224" i="95"/>
  <c r="K225" i="95"/>
  <c r="K226" i="95"/>
  <c r="K227" i="95"/>
  <c r="K228" i="95"/>
  <c r="K229" i="95"/>
  <c r="K231" i="95"/>
  <c r="K232" i="95"/>
  <c r="K233" i="95"/>
  <c r="K234" i="95"/>
  <c r="K235" i="95"/>
  <c r="K236" i="95"/>
  <c r="K237" i="95"/>
  <c r="K250" i="95"/>
  <c r="K251" i="95"/>
  <c r="K252" i="95"/>
  <c r="K253" i="95"/>
  <c r="K254" i="95"/>
  <c r="K255" i="95"/>
  <c r="K256" i="95"/>
  <c r="K257" i="95"/>
  <c r="K258" i="95"/>
  <c r="K259" i="95"/>
  <c r="K260" i="95"/>
  <c r="K261" i="95"/>
  <c r="K263" i="95"/>
  <c r="K264" i="95"/>
  <c r="K265" i="95"/>
  <c r="K266" i="95"/>
  <c r="K267" i="95"/>
  <c r="K268" i="95"/>
  <c r="K269" i="95"/>
  <c r="K270" i="95"/>
  <c r="K271" i="95"/>
  <c r="K272" i="95"/>
  <c r="K281" i="95"/>
  <c r="K282" i="95"/>
  <c r="K283" i="95"/>
  <c r="K284" i="95"/>
  <c r="K285" i="95"/>
  <c r="K287" i="95"/>
  <c r="K289" i="95"/>
  <c r="K290" i="95"/>
  <c r="K291" i="95"/>
  <c r="K292" i="95"/>
  <c r="K293" i="95"/>
  <c r="K295" i="95"/>
  <c r="K296" i="95"/>
  <c r="K297" i="95"/>
  <c r="K298" i="95"/>
  <c r="K299" i="95"/>
  <c r="K300" i="95"/>
  <c r="K301" i="95"/>
  <c r="K302" i="95"/>
  <c r="K314" i="95"/>
  <c r="K315" i="95"/>
  <c r="K316" i="95"/>
  <c r="K317" i="95"/>
  <c r="K319" i="95"/>
  <c r="K320" i="95"/>
  <c r="K321" i="95"/>
  <c r="K322" i="95"/>
  <c r="K323" i="95"/>
  <c r="K324" i="95"/>
  <c r="K325" i="95"/>
  <c r="K327" i="95"/>
  <c r="K331" i="95"/>
  <c r="K332" i="95"/>
  <c r="K333" i="95"/>
  <c r="K334" i="95"/>
  <c r="K335" i="95"/>
  <c r="K346" i="95"/>
  <c r="K347" i="95"/>
  <c r="K348" i="95"/>
  <c r="K349" i="95"/>
  <c r="K350" i="95"/>
  <c r="K351" i="95"/>
  <c r="K352" i="95"/>
  <c r="K353" i="95"/>
  <c r="K354" i="95"/>
  <c r="K355" i="95"/>
  <c r="K356" i="95"/>
  <c r="K357" i="95"/>
  <c r="K359" i="95"/>
  <c r="K360" i="95"/>
  <c r="K361" i="95"/>
  <c r="K362" i="95"/>
  <c r="K363" i="95"/>
  <c r="K364" i="95"/>
  <c r="K365" i="95"/>
  <c r="K366" i="95"/>
  <c r="K378" i="95"/>
  <c r="K379" i="95"/>
  <c r="K380" i="95"/>
  <c r="K381" i="95"/>
  <c r="K382" i="95"/>
  <c r="K383" i="95"/>
  <c r="K384" i="95"/>
  <c r="K385" i="95"/>
  <c r="K386" i="95"/>
  <c r="K387" i="95"/>
  <c r="K388" i="95"/>
  <c r="K389" i="95"/>
  <c r="K391" i="95"/>
  <c r="K392" i="95"/>
  <c r="K393" i="95"/>
  <c r="K394" i="95"/>
  <c r="K395" i="95"/>
  <c r="K396" i="95"/>
  <c r="K397" i="95"/>
  <c r="K398" i="95"/>
  <c r="K400" i="95"/>
  <c r="K409" i="95"/>
  <c r="K410" i="95"/>
  <c r="K411" i="95"/>
  <c r="K412" i="95"/>
  <c r="K413" i="95"/>
  <c r="K414" i="95"/>
  <c r="K415" i="95"/>
  <c r="K416" i="95"/>
  <c r="K421" i="95"/>
  <c r="K423" i="95"/>
  <c r="K424"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L18" i="95"/>
  <c r="L19" i="95"/>
  <c r="M19" i="95" s="1"/>
  <c r="L20" i="95"/>
  <c r="L21" i="95"/>
  <c r="M21" i="95" s="1"/>
  <c r="L22" i="95"/>
  <c r="L23" i="95"/>
  <c r="L24" i="95"/>
  <c r="L25" i="95"/>
  <c r="L26" i="95"/>
  <c r="L27" i="95"/>
  <c r="L28" i="95"/>
  <c r="L29" i="95"/>
  <c r="L30" i="95"/>
  <c r="L31" i="95"/>
  <c r="M31" i="95" s="1"/>
  <c r="L32" i="95"/>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M48" i="95" s="1"/>
  <c r="L49" i="95"/>
  <c r="M49" i="95" s="1"/>
  <c r="L50" i="95"/>
  <c r="L51" i="95"/>
  <c r="M51" i="95" s="1"/>
  <c r="L52" i="95"/>
  <c r="M52" i="95" s="1"/>
  <c r="L53" i="95"/>
  <c r="M53" i="95" s="1"/>
  <c r="L54" i="95"/>
  <c r="M54" i="95" s="1"/>
  <c r="L55" i="95"/>
  <c r="M55" i="95" s="1"/>
  <c r="L56" i="95"/>
  <c r="M56" i="95" s="1"/>
  <c r="L57" i="95"/>
  <c r="L58" i="95"/>
  <c r="L59" i="95"/>
  <c r="L60" i="95"/>
  <c r="L61" i="95"/>
  <c r="L62" i="95"/>
  <c r="L63" i="95"/>
  <c r="L64" i="95"/>
  <c r="L65" i="95"/>
  <c r="M65" i="95" s="1"/>
  <c r="L66" i="95"/>
  <c r="M66" i="95" s="1"/>
  <c r="L67" i="95"/>
  <c r="M67" i="95" s="1"/>
  <c r="L68" i="95"/>
  <c r="M68" i="95" s="1"/>
  <c r="L69" i="95"/>
  <c r="M69" i="95" s="1"/>
  <c r="L70" i="95"/>
  <c r="M70" i="95" s="1"/>
  <c r="L71" i="95"/>
  <c r="M71" i="95" s="1"/>
  <c r="L72" i="95"/>
  <c r="M72" i="95" s="1"/>
  <c r="L73" i="95"/>
  <c r="M73" i="95" s="1"/>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L89" i="95"/>
  <c r="L90" i="95"/>
  <c r="L91" i="95"/>
  <c r="L92" i="95"/>
  <c r="L93" i="95"/>
  <c r="L94" i="95"/>
  <c r="L95" i="95"/>
  <c r="L96" i="95"/>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M115" i="95" s="1"/>
  <c r="L116" i="95"/>
  <c r="M116" i="95" s="1"/>
  <c r="L117" i="95"/>
  <c r="M117" i="95" s="1"/>
  <c r="L118" i="95"/>
  <c r="M118" i="95" s="1"/>
  <c r="L119" i="95"/>
  <c r="M119" i="95" s="1"/>
  <c r="L120" i="95"/>
  <c r="M120" i="95" s="1"/>
  <c r="L121" i="95"/>
  <c r="L122" i="95"/>
  <c r="L123" i="95"/>
  <c r="L124" i="95"/>
  <c r="L125" i="95"/>
  <c r="L126" i="95"/>
  <c r="L127" i="95"/>
  <c r="L128" i="95"/>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M143" i="95" s="1"/>
  <c r="L144" i="95"/>
  <c r="M144" i="95" s="1"/>
  <c r="L145" i="95"/>
  <c r="M145" i="95" s="1"/>
  <c r="L146" i="95"/>
  <c r="M146" i="95" s="1"/>
  <c r="L147" i="95"/>
  <c r="M147" i="95" s="1"/>
  <c r="L148" i="95"/>
  <c r="M148" i="95" s="1"/>
  <c r="L149" i="95"/>
  <c r="M149" i="95" s="1"/>
  <c r="L150" i="95"/>
  <c r="L151" i="95"/>
  <c r="M151" i="95" s="1"/>
  <c r="L152" i="95"/>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L173" i="95"/>
  <c r="L174" i="95"/>
  <c r="M174" i="95" s="1"/>
  <c r="L175" i="95"/>
  <c r="L176" i="95"/>
  <c r="M176" i="95" s="1"/>
  <c r="L177" i="95"/>
  <c r="M177" i="95" s="1"/>
  <c r="L178" i="95"/>
  <c r="L179" i="95"/>
  <c r="M179" i="95" s="1"/>
  <c r="L180" i="95"/>
  <c r="M180" i="95" s="1"/>
  <c r="L181" i="95"/>
  <c r="M181" i="95" s="1"/>
  <c r="L182" i="95"/>
  <c r="M182" i="95" s="1"/>
  <c r="L183" i="95"/>
  <c r="M183" i="95" s="1"/>
  <c r="L184" i="95"/>
  <c r="M184" i="95" s="1"/>
  <c r="L185" i="95"/>
  <c r="L186" i="95"/>
  <c r="L187" i="95"/>
  <c r="L188" i="95"/>
  <c r="L189" i="95"/>
  <c r="L190" i="95"/>
  <c r="L191" i="95"/>
  <c r="M191" i="95" s="1"/>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M208" i="95" s="1"/>
  <c r="L209" i="95"/>
  <c r="M209" i="95" s="1"/>
  <c r="L210" i="95"/>
  <c r="M210" i="95" s="1"/>
  <c r="L211" i="95"/>
  <c r="M211" i="95" s="1"/>
  <c r="L212" i="95"/>
  <c r="M212" i="95" s="1"/>
  <c r="L213" i="95"/>
  <c r="M213" i="95" s="1"/>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M237" i="95" s="1"/>
  <c r="L238" i="95"/>
  <c r="L239" i="95"/>
  <c r="M239" i="95" s="1"/>
  <c r="L240" i="95"/>
  <c r="M240" i="95" s="1"/>
  <c r="L241" i="95"/>
  <c r="M241" i="95" s="1"/>
  <c r="L242" i="95"/>
  <c r="L243" i="95"/>
  <c r="M243" i="95" s="1"/>
  <c r="L244" i="95"/>
  <c r="M244" i="95" s="1"/>
  <c r="L245" i="95"/>
  <c r="M245" i="95" s="1"/>
  <c r="L246" i="95"/>
  <c r="L247" i="95"/>
  <c r="L248" i="95"/>
  <c r="L249" i="95"/>
  <c r="L250" i="95"/>
  <c r="L251" i="95"/>
  <c r="L252" i="95"/>
  <c r="L253" i="95"/>
  <c r="M253" i="95" s="1"/>
  <c r="L254" i="95"/>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M272" i="95" s="1"/>
  <c r="L273" i="95"/>
  <c r="M273" i="95" s="1"/>
  <c r="L274" i="95"/>
  <c r="L275" i="95"/>
  <c r="M275" i="95" s="1"/>
  <c r="L276" i="95"/>
  <c r="M276" i="95" s="1"/>
  <c r="L277" i="95"/>
  <c r="M277" i="95" s="1"/>
  <c r="L278" i="95"/>
  <c r="M278" i="95" s="1"/>
  <c r="L279" i="95"/>
  <c r="M279" i="95" s="1"/>
  <c r="L280" i="95"/>
  <c r="M280" i="95" s="1"/>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L313" i="95"/>
  <c r="L314" i="95"/>
  <c r="L315" i="95"/>
  <c r="L316" i="95"/>
  <c r="L317" i="95"/>
  <c r="L318" i="95"/>
  <c r="L319" i="95"/>
  <c r="L320" i="95"/>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M339" i="95" s="1"/>
  <c r="L340" i="95"/>
  <c r="M340" i="95" s="1"/>
  <c r="L341" i="95"/>
  <c r="M341" i="95" s="1"/>
  <c r="L342" i="95"/>
  <c r="M342" i="95" s="1"/>
  <c r="L343" i="95"/>
  <c r="M343" i="95" s="1"/>
  <c r="L344" i="95"/>
  <c r="M344" i="95" s="1"/>
  <c r="L345" i="95"/>
  <c r="L346" i="95"/>
  <c r="L347" i="95"/>
  <c r="L348" i="95"/>
  <c r="L349" i="95"/>
  <c r="L350" i="95"/>
  <c r="L351" i="95"/>
  <c r="L352" i="95"/>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M367" i="95" s="1"/>
  <c r="L368" i="95"/>
  <c r="M368" i="95" s="1"/>
  <c r="L369" i="95"/>
  <c r="M369" i="95" s="1"/>
  <c r="L370" i="95"/>
  <c r="M370" i="95" s="1"/>
  <c r="L371" i="95"/>
  <c r="M371" i="95" s="1"/>
  <c r="L372" i="95"/>
  <c r="M372" i="95" s="1"/>
  <c r="L373" i="95"/>
  <c r="M373" i="95" s="1"/>
  <c r="L374" i="95"/>
  <c r="L375" i="95"/>
  <c r="M375" i="95" s="1"/>
  <c r="L376" i="95"/>
  <c r="L377" i="95"/>
  <c r="L378" i="95"/>
  <c r="L379" i="95"/>
  <c r="L380" i="95"/>
  <c r="L381" i="95"/>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L397" i="95"/>
  <c r="L398" i="95"/>
  <c r="L399" i="95"/>
  <c r="M399" i="95" s="1"/>
  <c r="L400" i="95"/>
  <c r="M400" i="95" s="1"/>
  <c r="L401" i="95"/>
  <c r="M401" i="95" s="1"/>
  <c r="L402" i="95"/>
  <c r="L403" i="95"/>
  <c r="M403" i="95" s="1"/>
  <c r="L404" i="95"/>
  <c r="M404" i="95" s="1"/>
  <c r="L405" i="95"/>
  <c r="M405" i="95" s="1"/>
  <c r="L406" i="95"/>
  <c r="M406" i="95" s="1"/>
  <c r="L407" i="95"/>
  <c r="M407" i="95" s="1"/>
  <c r="L408" i="95"/>
  <c r="M408" i="95" s="1"/>
  <c r="L409" i="95"/>
  <c r="L410" i="95"/>
  <c r="L411" i="95"/>
  <c r="L412" i="95"/>
  <c r="L413" i="95"/>
  <c r="L414" i="95"/>
  <c r="L415" i="95"/>
  <c r="L416" i="95"/>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17" i="95"/>
  <c r="M18" i="95"/>
  <c r="M20" i="95"/>
  <c r="M22" i="95"/>
  <c r="M23" i="95"/>
  <c r="M24" i="95"/>
  <c r="M25" i="95"/>
  <c r="M26" i="95"/>
  <c r="M27" i="95"/>
  <c r="M28" i="95"/>
  <c r="M29" i="95"/>
  <c r="M30" i="95"/>
  <c r="M32" i="95"/>
  <c r="M42" i="95"/>
  <c r="M43" i="95"/>
  <c r="M44" i="95"/>
  <c r="M45" i="95"/>
  <c r="M46" i="95"/>
  <c r="M47" i="95"/>
  <c r="M50" i="95"/>
  <c r="M57" i="95"/>
  <c r="M58" i="95"/>
  <c r="M59" i="95"/>
  <c r="M60" i="95"/>
  <c r="M61" i="95"/>
  <c r="M62" i="95"/>
  <c r="M63" i="95"/>
  <c r="M64" i="95"/>
  <c r="M74" i="95"/>
  <c r="M75" i="95"/>
  <c r="M88" i="95"/>
  <c r="M89" i="95"/>
  <c r="M90" i="95"/>
  <c r="M91" i="95"/>
  <c r="M92" i="95"/>
  <c r="M93" i="95"/>
  <c r="M94" i="95"/>
  <c r="M95" i="95"/>
  <c r="M96" i="95"/>
  <c r="M106" i="95"/>
  <c r="M107" i="95"/>
  <c r="M108" i="95"/>
  <c r="M109" i="95"/>
  <c r="M110" i="95"/>
  <c r="M111" i="95"/>
  <c r="M112" i="95"/>
  <c r="M113" i="95"/>
  <c r="M114" i="95"/>
  <c r="M121" i="95"/>
  <c r="M122" i="95"/>
  <c r="M123" i="95"/>
  <c r="M124" i="95"/>
  <c r="M125" i="95"/>
  <c r="M126" i="95"/>
  <c r="M127" i="95"/>
  <c r="M128" i="95"/>
  <c r="M138" i="95"/>
  <c r="M139" i="95"/>
  <c r="M140" i="95"/>
  <c r="M141" i="95"/>
  <c r="M142" i="95"/>
  <c r="M150" i="95"/>
  <c r="M152" i="95"/>
  <c r="M153" i="95"/>
  <c r="M154" i="95"/>
  <c r="M155" i="95"/>
  <c r="M156" i="95"/>
  <c r="M157" i="95"/>
  <c r="M172" i="95"/>
  <c r="M173" i="95"/>
  <c r="M175" i="95"/>
  <c r="M178" i="95"/>
  <c r="M185" i="95"/>
  <c r="M186" i="95"/>
  <c r="M187" i="95"/>
  <c r="M188" i="95"/>
  <c r="M189" i="95"/>
  <c r="M190" i="95"/>
  <c r="M192" i="95"/>
  <c r="M202" i="95"/>
  <c r="M203" i="95"/>
  <c r="M204" i="95"/>
  <c r="M205" i="95"/>
  <c r="M206" i="95"/>
  <c r="M207" i="95"/>
  <c r="M217" i="95"/>
  <c r="M218" i="95"/>
  <c r="M219" i="95"/>
  <c r="M220" i="95"/>
  <c r="M221" i="95"/>
  <c r="M222" i="95"/>
  <c r="M223" i="95"/>
  <c r="M224" i="95"/>
  <c r="M234" i="95"/>
  <c r="M235" i="95"/>
  <c r="M236" i="95"/>
  <c r="M238" i="95"/>
  <c r="M242" i="95"/>
  <c r="M246" i="95"/>
  <c r="M247" i="95"/>
  <c r="M248" i="95"/>
  <c r="M249" i="95"/>
  <c r="M250" i="95"/>
  <c r="M251" i="95"/>
  <c r="M252" i="95"/>
  <c r="M254" i="95"/>
  <c r="M255" i="95"/>
  <c r="M256" i="95"/>
  <c r="M266" i="95"/>
  <c r="M267" i="95"/>
  <c r="M268" i="95"/>
  <c r="M269" i="95"/>
  <c r="M270" i="95"/>
  <c r="M271" i="95"/>
  <c r="M274" i="95"/>
  <c r="M281" i="95"/>
  <c r="M282" i="95"/>
  <c r="M283" i="95"/>
  <c r="M284" i="95"/>
  <c r="M285" i="95"/>
  <c r="M286" i="95"/>
  <c r="M287" i="95"/>
  <c r="M288" i="95"/>
  <c r="M298" i="95"/>
  <c r="M299" i="95"/>
  <c r="M312" i="95"/>
  <c r="M313" i="95"/>
  <c r="M314" i="95"/>
  <c r="M315" i="95"/>
  <c r="M316" i="95"/>
  <c r="M317" i="95"/>
  <c r="M318" i="95"/>
  <c r="M319" i="95"/>
  <c r="M320" i="95"/>
  <c r="M330" i="95"/>
  <c r="M331" i="95"/>
  <c r="M332" i="95"/>
  <c r="M333" i="95"/>
  <c r="M334" i="95"/>
  <c r="M335" i="95"/>
  <c r="M336" i="95"/>
  <c r="M337" i="95"/>
  <c r="M338" i="95"/>
  <c r="M345" i="95"/>
  <c r="M346" i="95"/>
  <c r="M347" i="95"/>
  <c r="M348" i="95"/>
  <c r="M349" i="95"/>
  <c r="M350" i="95"/>
  <c r="M351" i="95"/>
  <c r="M352" i="95"/>
  <c r="M362" i="95"/>
  <c r="M363" i="95"/>
  <c r="M364" i="95"/>
  <c r="M365" i="95"/>
  <c r="M366" i="95"/>
  <c r="M374" i="95"/>
  <c r="M376" i="95"/>
  <c r="M377" i="95"/>
  <c r="M378" i="95"/>
  <c r="M379" i="95"/>
  <c r="M380" i="95"/>
  <c r="M381" i="95"/>
  <c r="M396" i="95"/>
  <c r="M397" i="95"/>
  <c r="M398" i="95"/>
  <c r="M402" i="95"/>
  <c r="M409" i="95"/>
  <c r="M410" i="95"/>
  <c r="M411" i="95"/>
  <c r="M412" i="95"/>
  <c r="M413" i="95"/>
  <c r="M414" i="95"/>
  <c r="M415" i="95"/>
  <c r="M416" i="95"/>
  <c r="O32" i="74"/>
  <c r="P32" i="74" s="1"/>
  <c r="O33" i="74"/>
  <c r="O34" i="74"/>
  <c r="P34" i="74" s="1"/>
  <c r="O35" i="74"/>
  <c r="P35" i="74" s="1"/>
  <c r="O23" i="74"/>
  <c r="P23" i="74" s="1"/>
  <c r="O24" i="74"/>
  <c r="P24" i="74" s="1"/>
  <c r="O25" i="74"/>
  <c r="P25" i="74" s="1"/>
  <c r="O26" i="74"/>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5" i="74" s="1"/>
  <c r="P33" i="74"/>
  <c r="P26" i="74"/>
  <c r="C12" i="101" l="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<sst xmlns="http://schemas.openxmlformats.org/spreadsheetml/2006/main" count="1344" uniqueCount="775">
  <si>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</si>
  <si>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</si>
  <si>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</si>
  <si>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</si>
  <si>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</si>
  <si>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</si>
  <si>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</si>
  <si>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</si>
  <si>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</si>
  <si>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</si>
  <si>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</si>
  <si>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</si>
  <si>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</si>
  <si>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</si>
  <si>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</si>
  <si>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</si>
  <si>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</si>
  <si>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</si>
  <si>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</si>
  <si>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</si>
  <si>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</si>
  <si>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</si>
  <si>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</si>
  <si>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</si>
  <si>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</si>
  <si>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</si>
  <si>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</si>
  <si>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</si>
  <si>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</si>
  <si>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</si>
  <si>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</si>
  <si>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</si>
  <si>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</si>
  <si>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</si>
  <si>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</si>
  <si>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</si>
  <si>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</si>
  <si>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</si>
  <si>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</si>
  <si>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</si>
  <si>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</si>
  <si>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</si>
  <si>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</si>
  <si>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</si>
  <si>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</si>
  <si>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</si>
  <si>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</si>
  <si>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</si>
  <si>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</si>
  <si>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</si>
  <si>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</si>
  <si>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</si>
  <si>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</si>
  <si>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</si>
  <si>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</si>
  <si>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</si>
  <si>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</si>
  <si>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</si>
  <si>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</si>
  <si>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</si>
  <si>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</si>
  <si>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</si>
  <si>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</si>
  <si>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</si>
  <si>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</si>
  <si>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</si>
  <si>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</si>
  <si>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</si>
  <si>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</si>
  <si>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</si>
  <si>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</si>
  <si>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</si>
  <si>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</si>
  <si>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</si>
  <si>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</si>
  <si>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</si>
  <si>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</si>
  <si>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</si>
  <si>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</si>
  <si>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</si>
  <si>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</si>
  <si>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</si>
  <si>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</si>
  <si>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</si>
  <si>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</si>
  <si>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</si>
  <si>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</si>
  <si>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</si>
  <si>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</si>
  <si>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</si>
  <si>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</si>
  <si>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</si>
  <si>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</si>
  <si>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</si>
  <si>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</si>
  <si>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</si>
  <si>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</si>
  <si>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</si>
  <si>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</si>
  <si>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</si>
  <si>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</si>
  <si>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</si>
  <si>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</si>
  <si>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</si>
  <si>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</si>
  <si>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</si>
  <si>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</si>
  <si>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</si>
  <si>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</si>
  <si>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</si>
  <si>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</si>
  <si>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</si>
  <si>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</si>
  <si>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</si>
  <si>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</si>
  <si>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</si>
  <si>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</si>
  <si>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</si>
  <si>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</si>
  <si>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</si>
  <si>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</si>
  <si>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</si>
  <si>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</si>
  <si>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</si>
  <si>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</si>
  <si>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</si>
  <si>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</si>
  <si>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</si>
  <si>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</si>
  <si>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</si>
  <si>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</si>
  <si>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</si>
  <si>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</si>
  <si>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</si>
  <si>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</si>
  <si>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</si>
  <si>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</si>
  <si>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</si>
  <si>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</si>
  <si>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</si>
  <si>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</si>
  <si>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</si>
  <si>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</si>
  <si>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</si>
  <si>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</si>
  <si>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</si>
  <si>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</si>
  <si>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</si>
  <si>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</si>
  <si>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</si>
  <si>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</si>
  <si>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</si>
  <si>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</si>
  <si>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</si>
  <si>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</si>
  <si>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</si>
  <si>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</si>
  <si>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</si>
  <si>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</si>
  <si>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</si>
  <si>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</si>
  <si>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</si>
  <si>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</si>
  <si>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</si>
  <si>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</si>
  <si>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</si>
  <si>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</si>
  <si>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</si>
  <si>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</si>
  <si>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</si>
  <si>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</si>
  <si>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</si>
  <si>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</si>
  <si>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</si>
  <si>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</si>
  <si>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</si>
  <si>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</si>
  <si>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</si>
  <si>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</si>
  <si>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</si>
  <si>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</si>
  <si>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</si>
  <si>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</si>
  <si>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</si>
  <si>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</si>
  <si>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</si>
  <si>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</si>
  <si>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</si>
  <si>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</si>
  <si>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</si>
  <si>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</si>
  <si>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</si>
  <si>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</si>
  <si>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</si>
  <si>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</si>
  <si>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</si>
  <si>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</si>
  <si>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</si>
  <si>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</si>
  <si>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</si>
  <si>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</si>
  <si>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</si>
  <si>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</si>
  <si>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</si>
  <si>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</si>
  <si>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</si>
  <si>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</si>
  <si>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</si>
  <si>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</si>
  <si>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</si>
  <si>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</si>
  <si>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</si>
  <si>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</si>
  <si>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</si>
  <si>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</si>
  <si>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</si>
  <si>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</si>
  <si>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</si>
  <si>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</si>
  <si>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</si>
  <si>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</si>
  <si>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</si>
  <si>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</si>
  <si>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</si>
  <si>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</si>
  <si>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</si>
  <si>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</si>
  <si>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</si>
  <si>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</si>
  <si>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</si>
  <si>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</si>
  <si>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</si>
  <si>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</si>
  <si>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</si>
  <si>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</si>
  <si>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</si>
  <si>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</si>
  <si>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</si>
  <si>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</si>
  <si>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</si>
  <si>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</si>
  <si>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</si>
  <si>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</si>
  <si>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</si>
  <si>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</si>
  <si>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</si>
  <si>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</si>
  <si>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</si>
  <si>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</si>
  <si>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</si>
  <si>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</si>
  <si>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</si>
  <si>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</si>
  <si>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</si>
  <si>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</si>
  <si>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</si>
  <si>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</si>
  <si>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</si>
  <si>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</si>
  <si>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</si>
  <si>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</si>
  <si>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</si>
  <si>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</si>
  <si>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</si>
  <si>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</si>
  <si>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</si>
  <si>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</si>
  <si>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</si>
  <si>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</si>
  <si>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</si>
  <si>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</si>
  <si>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</si>
  <si>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</si>
  <si>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</si>
  <si>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</si>
  <si>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</si>
  <si>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</si>
  <si>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</si>
  <si>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</si>
  <si>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</si>
  <si>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</si>
  <si>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</si>
  <si>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</si>
  <si>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</si>
  <si>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</si>
  <si>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</si>
  <si>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</si>
  <si>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</si>
  <si>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</si>
  <si>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</si>
  <si>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</si>
  <si>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</si>
  <si>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</si>
  <si>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</si>
  <si>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</si>
  <si>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</si>
  <si>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</si>
  <si>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</si>
  <si>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</si>
  <si>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</si>
  <si>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</si>
  <si>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</si>
  <si>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</si>
  <si>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</si>
  <si>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</si>
  <si>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</si>
  <si>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</si>
  <si>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</si>
  <si>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</si>
  <si>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</si>
  <si>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</si>
  <si>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</si>
  <si>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</si>
  <si>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</si>
  <si>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</si>
  <si>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</si>
  <si>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</si>
  <si>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</si>
  <si>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</si>
  <si>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</si>
  <si>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</si>
  <si>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</si>
  <si>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</si>
  <si>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</si>
  <si>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</si>
  <si>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</si>
  <si>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</si>
  <si>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</si>
  <si>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</si>
  <si>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</si>
  <si>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</si>
  <si>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</si>
  <si>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</si>
  <si>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</si>
  <si>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</si>
  <si>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</si>
  <si>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</si>
  <si>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</si>
  <si>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</si>
  <si>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</si>
  <si>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</si>
  <si>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</si>
  <si>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</si>
  <si>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</si>
  <si>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</si>
  <si>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</si>
  <si>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</si>
  <si>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</si>
  <si>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</si>
  <si>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</si>
  <si>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</si>
  <si>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</si>
  <si>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</si>
  <si>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</si>
  <si>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</si>
  <si>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</si>
  <si>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</si>
  <si>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</si>
  <si>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</si>
  <si>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</si>
  <si>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</si>
  <si>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</si>
  <si>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</si>
  <si>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</si>
  <si>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</si>
  <si>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</si>
  <si>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</si>
  <si>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</si>
  <si>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</si>
  <si>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</si>
  <si>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</si>
  <si>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</si>
  <si>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</si>
  <si>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</si>
  <si>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</si>
  <si>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</si>
  <si>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</si>
  <si>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</si>
  <si>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</si>
  <si>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</si>
  <si>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</si>
  <si>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</si>
  <si>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</si>
  <si>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</si>
  <si>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</si>
  <si>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</si>
  <si>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</si>
  <si>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</si>
  <si>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</si>
  <si>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</si>
  <si>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</si>
  <si>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</si>
  <si>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</si>
  <si>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</si>
  <si>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</si>
  <si>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</si>
  <si>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</si>
  <si>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</si>
  <si>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</si>
  <si>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</si>
  <si>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</si>
  <si>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</si>
  <si>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</si>
  <si>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</si>
  <si>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</si>
  <si>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</si>
  <si>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</si>
  <si>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</si>
  <si>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</si>
  <si>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</si>
  <si>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</si>
  <si>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</si>
  <si>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</si>
  <si>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</si>
  <si>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</si>
  <si>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</si>
  <si>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</si>
  <si>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</si>
  <si>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</si>
  <si>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</si>
  <si>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</si>
  <si>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</si>
  <si>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</si>
  <si>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</si>
  <si>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</si>
  <si>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</si>
  <si>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</si>
  <si>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</si>
  <si>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</si>
  <si>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</si>
  <si>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</si>
  <si>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</si>
  <si>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</si>
  <si>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</si>
  <si>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</si>
  <si>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</si>
  <si>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</si>
  <si>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</si>
  <si>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</si>
  <si>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</si>
  <si>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</si>
  <si>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</si>
  <si>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</si>
  <si>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</si>
  <si>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</si>
  <si>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</si>
  <si>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</si>
  <si>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</si>
  <si>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</si>
  <si>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</si>
  <si>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</si>
  <si>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</si>
  <si>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</si>
  <si>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</si>
  <si>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</si>
  <si>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</si>
  <si>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</si>
  <si>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</si>
  <si>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</si>
  <si>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</si>
  <si>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</si>
  <si>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</si>
  <si>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</si>
  <si>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</si>
  <si>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</si>
  <si>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</si>
  <si>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</si>
  <si>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</si>
  <si>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</si>
  <si>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</si>
  <si>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</si>
  <si>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</si>
  <si>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</si>
  <si>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</si>
  <si>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</si>
  <si>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</si>
  <si>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</si>
  <si>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</si>
  <si>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</si>
  <si>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</si>
  <si>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</si>
  <si>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</si>
  <si>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</si>
  <si>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</si>
  <si>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</si>
  <si>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</si>
  <si>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</si>
  <si>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</si>
  <si>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</si>
  <si>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</si>
  <si>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</si>
  <si>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</si>
  <si>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</si>
  <si>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</si>
  <si>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</si>
  <si>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</si>
  <si>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</si>
  <si>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</si>
  <si>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</si>
  <si>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</si>
  <si>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</si>
  <si>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</si>
  <si>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</si>
  <si>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</si>
  <si>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</si>
  <si>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</si>
  <si>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</si>
  <si>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</si>
  <si>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</si>
  <si>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</si>
  <si>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</si>
  <si>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</si>
  <si>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</si>
  <si>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</si>
  <si>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</si>
  <si>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</si>
  <si>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</si>
  <si>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</si>
  <si>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</si>
  <si>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</si>
  <si>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</si>
  <si>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</si>
  <si>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</si>
  <si>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</si>
  <si>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</si>
  <si>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</si>
  <si>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</si>
  <si>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</si>
  <si>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</si>
  <si>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</si>
  <si>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</si>
  <si>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</si>
  <si>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</si>
  <si>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</si>
  <si>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</si>
  <si>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</si>
  <si>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</si>
  <si>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</si>
  <si>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</si>
  <si>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</si>
  <si>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</si>
  <si>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</si>
  <si>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</si>
  <si>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</si>
  <si>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</si>
  <si>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</si>
  <si>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</si>
  <si>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</si>
  <si>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</si>
  <si>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</si>
  <si>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</si>
  <si>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</si>
  <si>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</si>
  <si>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</si>
  <si>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</si>
  <si>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</si>
  <si>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</si>
  <si>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</si>
  <si>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</si>
  <si>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</si>
  <si>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</si>
  <si>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</si>
  <si>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</si>
  <si>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</si>
  <si>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</si>
  <si>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</si>
  <si>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</si>
  <si>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</si>
  <si>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</si>
  <si>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</si>
  <si>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</si>
  <si>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</si>
  <si>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</si>
  <si>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</si>
  <si>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</si>
  <si>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</si>
  <si>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</si>
  <si>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</si>
  <si>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</si>
  <si>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</si>
  <si>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</si>
  <si>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</si>
  <si>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</si>
  <si>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</si>
  <si>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</si>
  <si>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</si>
  <si>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</si>
  <si>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</si>
  <si>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</si>
  <si>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</si>
  <si>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</si>
  <si>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</si>
  <si>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</si>
  <si>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</si>
  <si>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</si>
  <si>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</si>
  <si>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</si>
  <si>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</si>
  <si>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</si>
  <si>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</si>
  <si>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</si>
  <si>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</si>
  <si>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</si>
  <si>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</si>
  <si>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</si>
  <si>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</si>
  <si>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</si>
  <si>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</si>
  <si>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</si>
  <si>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</si>
  <si>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</si>
  <si>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</si>
  <si>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</si>
  <si>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</si>
  <si>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</si>
  <si>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</si>
  <si>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</si>
  <si>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</si>
  <si>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</si>
  <si>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</si>
  <si>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</si>
  <si>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</si>
  <si>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</si>
  <si>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</si>
  <si>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</si>
  <si>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</si>
  <si>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</si>
  <si>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</si>
  <si>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</si>
  <si>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</si>
  <si>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</si>
  <si>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</si>
  <si>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</si>
  <si>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</si>
  <si>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</si>
  <si>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</si>
  <si>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</si>
  <si>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</si>
  <si>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</si>
  <si>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</si>
  <si>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</si>
  <si>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</si>
  <si>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</si>
  <si>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</si>
  <si>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</si>
  <si>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</si>
  <si>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</si>
  <si>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</si>
  <si>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</si>
  <si>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</si>
  <si>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</si>
  <si>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</si>
  <si>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</si>
  <si>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</si>
  <si>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</si>
  <si>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</si>
  <si>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</si>
  <si>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</si>
  <si>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</si>
  <si>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</si>
  <si>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</si>
  <si>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</si>
  <si>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</si>
  <si>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</si>
  <si>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</si>
  <si>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</si>
  <si>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</si>
  <si>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</si>
  <si>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</si>
  <si>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</si>
  <si>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</si>
  <si>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</si>
  <si>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</si>
  <si>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</si>
  <si>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</si>
  <si>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</si>
  <si>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</si>
  <si>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</si>
  <si>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</si>
  <si>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</si>
  <si>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</si>
  <si>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</si>
  <si>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</si>
  <si>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</si>
  <si>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</si>
  <si>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</si>
  <si>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</si>
  <si>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</si>
  <si>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</si>
  <si>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</si>
  <si>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</si>
  <si>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</si>
  <si>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</si>
  <si>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</si>
  <si>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</si>
  <si>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</si>
  <si>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</si>
  <si>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</si>
  <si>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</si>
  <si>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</si>
  <si>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</si>
  <si>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</si>
  <si>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</si>
  <si>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</si>
  <si>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</si>
  <si>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</si>
  <si>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</si>
  <si>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</si>
  <si>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</si>
  <si>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</si>
  <si>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</si>
  <si>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</si>
  <si>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</si>
  <si>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</si>
  <si>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</si>
  <si>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</si>
  <si>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</si>
  <si>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</si>
  <si>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</si>
  <si>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</si>
  <si>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</si>
  <si>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</si>
  <si>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</si>
  <si>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</si>
  <si>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</si>
  <si>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</si>
  <si>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</si>
  <si>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</si>
  <si>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</si>
  <si>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</si>
  <si>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</si>
  <si>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</si>
  <si>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</si>
  <si>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</si>
  <si>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</si>
  <si>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</si>
  <si>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</si>
  <si>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</si>
  <si>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</si>
  <si>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</si>
  <si>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</si>
  <si>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</si>
  <si>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</si>
  <si>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</si>
  <si>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</si>
  <si>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</si>
  <si>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</si>
  <si>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</si>
  <si>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</si>
  <si>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</si>
  <si>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</si>
  <si>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</si>
  <si>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</si>
  <si>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</si>
  <si>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</si>
  <si>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</si>
  <si>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</si>
  <si>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</si>
  <si>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</si>
  <si>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</si>
  <si>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password: jgi</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</si>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</sst>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1"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vertical="top" wrapText="1"/>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100" fillId="12" borderId="0" xfId="0" applyFont="1" applyFill="1" applyAlignment="1">
      <alignment horizontal="center"/>
    </xf>
    <xf numFmtId="0" fontId="99"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7" formatCode="m/d/yyyy\ h:mm"/>
    </dxf>
    <dxf>
      <numFmt numFmtId="2" formatCode="0.00"/>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0"/>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ISQwlXXkm+P5AnvUg0zxb6mIpTrmvYzEIoLiTrooCaOBoxaqcu26lIwIGF0cA/crJuHRzD9dawyCWcSXoXDJqg==" saltValue="y031Y0aygmAarilzrWiLK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774</v>
      </c>
      <c r="B1" s="316"/>
      <c r="C1" s="518" t="s">
        <v>49</v>
      </c>
      <c r="D1" s="519"/>
      <c r="E1" s="519"/>
      <c r="F1" s="51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0" t="s">
        <v>98</v>
      </c>
      <c r="K3" s="521"/>
      <c r="L3" s="522"/>
      <c r="M3" s="299"/>
      <c r="N3" s="536" t="s">
        <v>87</v>
      </c>
      <c r="O3" s="536"/>
      <c r="P3" s="536"/>
      <c r="Q3" s="536"/>
      <c r="R3" s="536"/>
      <c r="S3" s="536"/>
    </row>
    <row r="4" spans="1:19" s="277" customFormat="1" x14ac:dyDescent="0.2">
      <c r="A4" s="317"/>
      <c r="B4" s="140"/>
      <c r="C4" s="141" t="s">
        <v>187</v>
      </c>
      <c r="D4" s="284" t="str">
        <f>IF(Condition="","",Condition)</f>
        <v/>
      </c>
      <c r="F4" s="299"/>
      <c r="G4" s="299"/>
      <c r="H4" s="299"/>
      <c r="I4" s="480" t="s">
        <v>757</v>
      </c>
      <c r="J4" s="525" t="s">
        <v>1</v>
      </c>
      <c r="K4" s="526"/>
      <c r="L4" s="142">
        <f>MAX(Survey[Deviations])</f>
        <v>0</v>
      </c>
      <c r="M4" s="299"/>
      <c r="N4" s="143" t="s">
        <v>86</v>
      </c>
      <c r="O4" s="144" t="s">
        <v>85</v>
      </c>
      <c r="P4" s="523" t="s">
        <v>96</v>
      </c>
      <c r="Q4" s="524"/>
      <c r="R4" s="143" t="s">
        <v>128</v>
      </c>
      <c r="S4" s="143" t="s">
        <v>132</v>
      </c>
    </row>
    <row r="5" spans="1:19" s="277" customFormat="1" x14ac:dyDescent="0.2">
      <c r="A5" s="317"/>
      <c r="B5" s="140"/>
      <c r="C5" s="141" t="s">
        <v>41</v>
      </c>
      <c r="D5" s="540" t="e">
        <f>companyName</f>
        <v>#N/A</v>
      </c>
      <c r="E5" s="541"/>
      <c r="F5" s="541"/>
      <c r="G5" s="541"/>
      <c r="H5" s="542"/>
      <c r="I5" s="481" t="e">
        <f>clientCompanyId</f>
        <v>#N/A</v>
      </c>
      <c r="J5" s="525" t="s">
        <v>2</v>
      </c>
      <c r="K5" s="52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7" t="e">
        <f>_xlfn.XLOOKUP(D24,WorkItemsCache[OrderItemNumber],WorkItemsCache[AssetName])</f>
        <v>#N/A</v>
      </c>
      <c r="E6" s="538"/>
      <c r="F6" s="538"/>
      <c r="G6" s="538"/>
      <c r="H6" s="539"/>
      <c r="I6" s="481" t="e">
        <f>AssetId</f>
        <v>#N/A</v>
      </c>
      <c r="J6" s="525" t="s">
        <v>97</v>
      </c>
      <c r="K6" s="52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4"/>
      <c r="L13" s="535"/>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3"/>
      <c r="L14" s="54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9"/>
      <c r="L15" s="530"/>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91" t="s">
        <v>150</v>
      </c>
      <c r="K16" s="492"/>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91" t="s">
        <v>151</v>
      </c>
      <c r="K17" s="492"/>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45" t="s">
        <v>19</v>
      </c>
      <c r="H18" s="546"/>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7" t="str">
        <f>IF(K15="Salt",0, IF(OR(K15="Hot",K15="SIM Load Hot"),IF(OR(D26="",D28=""),"N/A",IF(ISBLANK(D26),"N/A",D28-D26)),"N/A"))</f>
        <v>N/A</v>
      </c>
      <c r="H19" s="52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31" t="s">
        <v>433</v>
      </c>
      <c r="C20" s="532"/>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8" t="s">
        <v>296</v>
      </c>
      <c r="H23" s="509"/>
      <c r="I23" s="509"/>
      <c r="J23" s="509"/>
      <c r="K23" s="510"/>
      <c r="L23" s="300"/>
      <c r="M23" s="299"/>
      <c r="N23" s="398">
        <v>19</v>
      </c>
      <c r="O23" s="145"/>
      <c r="P23" s="450" t="str">
        <v/>
      </c>
      <c r="Q23" s="451"/>
      <c r="R23" s="449" t="e">
        <v>#VALUE!</v>
      </c>
      <c r="S23" s="146" t="str">
        <v/>
      </c>
      <c r="T23" s="424"/>
      <c r="U23" s="285" t="s">
        <v>412</v>
      </c>
      <c r="V23" s="285">
        <f>V20+V21</f>
        <v>40</v>
      </c>
    </row>
    <row r="24" spans="2:22" s="277" customFormat="1" x14ac:dyDescent="0.2">
      <c r="B24" s="531" t="s">
        <v>322</v>
      </c>
      <c r="C24" s="533"/>
      <c r="D24" s="281">
        <v>1</v>
      </c>
      <c r="E24" s="299"/>
      <c r="F24" s="159" t="s">
        <v>94</v>
      </c>
      <c r="G24" s="511"/>
      <c r="H24" s="512"/>
      <c r="I24" s="512"/>
      <c r="J24" s="512"/>
      <c r="K24" s="513"/>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11"/>
      <c r="H25" s="512"/>
      <c r="I25" s="512"/>
      <c r="J25" s="512"/>
      <c r="K25" s="513"/>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6" t="str">
        <f>IF(ISBLANK(D6),"",IF(CheckRec="x","CHECK INSTRUMENT CAL DATES!!!!             CHECK INSTRUMENT CAL DATES!!!!",""))</f>
        <v/>
      </c>
      <c r="I27" s="507"/>
      <c r="J27" s="507"/>
      <c r="K27" s="507"/>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6"/>
      <c r="I28" s="507"/>
      <c r="J28" s="507"/>
      <c r="K28" s="507"/>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20" t="s">
        <v>48</v>
      </c>
      <c r="C34" s="521"/>
      <c r="D34" s="521"/>
      <c r="E34" s="521"/>
      <c r="F34" s="521"/>
      <c r="G34" s="521"/>
      <c r="H34" s="521"/>
      <c r="I34" s="521"/>
      <c r="J34" s="521"/>
      <c r="K34" s="521"/>
      <c r="L34" s="52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8" t="s">
        <v>33</v>
      </c>
      <c r="E46" s="489"/>
      <c r="F46" s="489"/>
      <c r="G46" s="489"/>
      <c r="H46" s="489"/>
      <c r="I46" s="490"/>
      <c r="J46" s="343"/>
      <c r="K46" s="343"/>
      <c r="L46" s="343"/>
      <c r="M46" s="514" t="s">
        <v>258</v>
      </c>
      <c r="N46" s="515"/>
      <c r="O46" s="516"/>
      <c r="P46" s="517"/>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95" t="s">
        <v>261</v>
      </c>
      <c r="Q47" s="495"/>
      <c r="R47" s="378" t="s">
        <v>262</v>
      </c>
      <c r="T47" s="303"/>
      <c r="U47" s="303"/>
    </row>
    <row r="48" spans="1:24" x14ac:dyDescent="0.2">
      <c r="A48" s="317"/>
      <c r="B48" s="341"/>
      <c r="C48" s="376" t="s">
        <v>34</v>
      </c>
      <c r="D48" s="287"/>
      <c r="E48" s="287"/>
      <c r="F48" s="287"/>
      <c r="G48" s="287"/>
      <c r="H48" s="287"/>
      <c r="I48" s="287"/>
      <c r="J48" s="343"/>
      <c r="K48" s="343"/>
      <c r="L48" s="343"/>
      <c r="M48" s="496" t="s">
        <v>263</v>
      </c>
      <c r="N48" s="496"/>
      <c r="O48" s="345"/>
      <c r="P48" s="497" t="s">
        <v>304</v>
      </c>
      <c r="Q48" s="498"/>
      <c r="R48" s="499"/>
      <c r="S48" s="460" t="b">
        <f>_xlfn.REGEXTEST(TRIM(Class),"^[0-9][AC]",1)</f>
        <v>0</v>
      </c>
      <c r="T48" s="304"/>
      <c r="U48" s="497" t="s">
        <v>307</v>
      </c>
      <c r="V48" s="498"/>
      <c r="W48" s="499"/>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0" t="s">
        <v>309</v>
      </c>
      <c r="Q49" s="501"/>
      <c r="R49" s="502"/>
      <c r="S49" s="379" t="str">
        <f>IF($S$48, IF(MAX(Survey[RawTemp])&lt;=HalfTolMax,"Yes","No"), "")</f>
        <v/>
      </c>
      <c r="T49" s="305"/>
      <c r="U49" s="500" t="s">
        <v>308</v>
      </c>
      <c r="V49" s="501"/>
      <c r="W49" s="502"/>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503" t="s">
        <v>266</v>
      </c>
      <c r="Q50" s="504"/>
      <c r="R50" s="505"/>
      <c r="S50" s="346"/>
      <c r="T50" s="306"/>
      <c r="U50" s="503" t="s">
        <v>266</v>
      </c>
      <c r="V50" s="504"/>
      <c r="W50" s="505"/>
      <c r="X50" s="303"/>
    </row>
    <row r="51" spans="3:24" x14ac:dyDescent="0.2">
      <c r="C51" s="375" t="s">
        <v>54</v>
      </c>
      <c r="D51" s="287"/>
      <c r="E51" s="287"/>
      <c r="F51" s="287"/>
      <c r="G51" s="287"/>
      <c r="H51" s="287"/>
      <c r="I51" s="287"/>
      <c r="J51" s="343"/>
      <c r="K51" s="347"/>
      <c r="L51" s="343"/>
      <c r="M51" s="362" t="s">
        <v>267</v>
      </c>
      <c r="N51" s="296" t="str">
        <f>IF(Derivative="","",Derivative)</f>
        <v/>
      </c>
      <c r="O51" s="299"/>
      <c r="P51" s="500" t="s">
        <v>305</v>
      </c>
      <c r="Q51" s="501"/>
      <c r="R51" s="502"/>
      <c r="S51" s="379"/>
      <c r="T51" s="307"/>
      <c r="U51" s="500" t="s">
        <v>310</v>
      </c>
      <c r="V51" s="501"/>
      <c r="W51" s="502"/>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503" t="s">
        <v>266</v>
      </c>
      <c r="Q52" s="504"/>
      <c r="R52" s="505"/>
      <c r="S52" s="346"/>
      <c r="T52" s="308"/>
      <c r="U52" s="503" t="s">
        <v>266</v>
      </c>
      <c r="V52" s="504"/>
      <c r="W52" s="505"/>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7" t="s">
        <v>306</v>
      </c>
      <c r="Q53" s="548"/>
      <c r="R53" s="549"/>
      <c r="S53" s="379"/>
      <c r="T53" s="309"/>
      <c r="U53" s="547" t="s">
        <v>311</v>
      </c>
      <c r="V53" s="548"/>
      <c r="W53" s="549"/>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50"/>
      <c r="Q54" s="551"/>
      <c r="R54" s="552"/>
      <c r="S54" s="350"/>
      <c r="T54" s="310"/>
      <c r="U54" s="550"/>
      <c r="V54" s="551"/>
      <c r="W54" s="552"/>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8" t="s">
        <v>145</v>
      </c>
      <c r="D58" s="489"/>
      <c r="E58" s="489"/>
      <c r="F58" s="489"/>
      <c r="G58" s="489"/>
      <c r="H58" s="489"/>
      <c r="I58" s="489"/>
      <c r="J58" s="489"/>
      <c r="K58" s="493"/>
      <c r="L58" s="494"/>
      <c r="M58" s="303"/>
      <c r="N58" s="303"/>
      <c r="O58" s="303"/>
      <c r="P58" s="299"/>
      <c r="Q58" s="447"/>
      <c r="S58" s="303"/>
      <c r="T58" s="303"/>
      <c r="U58" s="303"/>
      <c r="V58" s="445"/>
    </row>
    <row r="59" spans="3:24" x14ac:dyDescent="0.2">
      <c r="C59" s="488" t="s">
        <v>148</v>
      </c>
      <c r="D59" s="489"/>
      <c r="E59" s="489"/>
      <c r="F59" s="489"/>
      <c r="G59" s="489"/>
      <c r="H59" s="489"/>
      <c r="I59" s="489"/>
      <c r="J59" s="489"/>
      <c r="K59" s="489"/>
      <c r="L59" s="490"/>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dRbZ2IEXQdMwF/zxbBpAGJtj9A5g6C8SX2UshKi9y0ZEXP5G+jo+6BBTJZka8iu/UAJyPvTNFPDzMn1VG9+hHQ==" saltValue="+qyOxqi/i0ci09WKZ/a6k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U/FEBkqq2m5rKXu36DhB3ZNBxC60MaGBymAe+TJXo1eDuKElI7gWxiYzRvE2/mz6NQNzPutgrTyrxEKYJBUEmw==" saltValue="/AzslHQdbKZgs+vCOUTRZ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iIGMfJdT953tive6v4vua3yCb+fdjKU76uk2KSYVgNnF7qPoKeAeBV2GDqECU+o9JnFc0r5BoL4dmaldG2wIxA==" saltValue="VcR2rfEqDteC8AqoHlvnCg=="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xMU6HH8YUezYhc7DUAYT7U/czXyrJ5imeD39MFXwYqoh31xD/nPTA1occ3JRBIjPZ9EXEjW17RnGSM8k1apk2Q==" saltValue="8yD6DvUM2ICaGHS14xogpg=="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7" t="s">
        <v>107</v>
      </c>
      <c r="E1" s="577"/>
      <c r="F1" s="577"/>
      <c r="G1" s="577"/>
      <c r="H1" s="577"/>
      <c r="I1" s="577"/>
      <c r="J1" s="577"/>
      <c r="K1" s="577"/>
      <c r="L1" s="577"/>
      <c r="M1" s="577"/>
    </row>
    <row r="2" spans="1:18" ht="23.25" customHeight="1" x14ac:dyDescent="0.3">
      <c r="C2" s="229"/>
      <c r="D2" s="229" t="s">
        <v>254</v>
      </c>
      <c r="E2" s="229"/>
      <c r="F2" s="229"/>
      <c r="G2" s="229"/>
      <c r="H2" s="229"/>
      <c r="I2" s="229"/>
      <c r="J2" s="229"/>
      <c r="K2" s="229"/>
      <c r="L2" s="229"/>
      <c r="M2" s="229"/>
    </row>
    <row r="3" spans="1:18" ht="23.25" x14ac:dyDescent="0.35">
      <c r="C3" s="578"/>
      <c r="D3" s="578"/>
      <c r="E3" s="578"/>
      <c r="F3" s="578"/>
      <c r="G3" s="578"/>
      <c r="H3" s="578"/>
      <c r="I3" s="578"/>
      <c r="J3" s="578"/>
      <c r="K3" s="578"/>
      <c r="L3" s="578"/>
      <c r="M3" s="578"/>
    </row>
    <row r="4" spans="1:18" ht="23.25" x14ac:dyDescent="0.35">
      <c r="C4" s="213"/>
      <c r="D4" s="213"/>
      <c r="E4" s="213"/>
      <c r="F4" s="213"/>
      <c r="G4" s="213"/>
      <c r="H4" s="213"/>
      <c r="I4" s="213"/>
      <c r="J4" s="213"/>
      <c r="K4" s="213"/>
      <c r="L4" s="213"/>
      <c r="M4" s="213"/>
    </row>
    <row r="5" spans="1:18" ht="23.25" x14ac:dyDescent="0.35">
      <c r="C5" s="574" t="s">
        <v>6</v>
      </c>
      <c r="D5" s="574"/>
      <c r="E5" s="574"/>
      <c r="F5" s="574"/>
      <c r="G5" s="574"/>
      <c r="H5" s="574"/>
      <c r="I5" s="574"/>
      <c r="J5" s="574"/>
      <c r="K5" s="574"/>
      <c r="L5" s="574"/>
      <c r="M5" s="574"/>
    </row>
    <row r="6" spans="1:18" ht="23.25" x14ac:dyDescent="0.35">
      <c r="C6" s="214"/>
      <c r="D6" s="214"/>
      <c r="E6" s="594" t="str">
        <f>IFERROR(CONCATENATE("Report Number: ", WorkItemNumber),"")</f>
        <v/>
      </c>
      <c r="F6" s="594"/>
      <c r="G6" s="594"/>
      <c r="H6" s="594"/>
      <c r="I6" s="594"/>
      <c r="J6" s="594"/>
      <c r="K6" s="594"/>
      <c r="L6" s="214"/>
      <c r="M6" s="214"/>
    </row>
    <row r="7" spans="1:18" ht="18.75" customHeight="1" x14ac:dyDescent="0.3">
      <c r="G7" s="575"/>
      <c r="H7" s="575"/>
      <c r="I7" s="191"/>
      <c r="R7" t="str">
        <f>CONCATENATE("Page ",Main!L9," of ",Main!L10)</f>
        <v xml:space="preserve">Page  of </v>
      </c>
    </row>
    <row r="8" spans="1:18" ht="18" customHeight="1" x14ac:dyDescent="0.25">
      <c r="G8" s="587"/>
      <c r="H8" s="587"/>
      <c r="J8" s="78"/>
      <c r="K8" s="215" t="s">
        <v>251</v>
      </c>
      <c r="L8" s="598">
        <f>FormNumber</f>
        <v>0</v>
      </c>
      <c r="M8" s="598"/>
      <c r="N8" s="598"/>
      <c r="O8" s="598"/>
    </row>
    <row r="9" spans="1:18" ht="18" customHeight="1" x14ac:dyDescent="0.25">
      <c r="A9" s="215" t="s">
        <v>208</v>
      </c>
      <c r="B9" s="32" t="e">
        <f>Main!D5</f>
        <v>#N/A</v>
      </c>
      <c r="J9" s="78"/>
      <c r="K9" s="215" t="s">
        <v>252</v>
      </c>
      <c r="L9" s="589" t="str">
        <f>"JGI WP4100, "&amp;CalMethod</f>
        <v xml:space="preserve">JGI WP4100, </v>
      </c>
      <c r="M9" s="589"/>
      <c r="N9" s="589"/>
      <c r="O9" s="589"/>
    </row>
    <row r="10" spans="1:18" ht="18" customHeight="1" x14ac:dyDescent="0.25">
      <c r="A10" s="86"/>
      <c r="B10" s="210" t="str" cm="1">
        <f t="array" ref="B10">IFZERO('Customer Table'!R2,"")</f>
        <v/>
      </c>
      <c r="J10" s="78"/>
      <c r="K10" s="215"/>
      <c r="L10" s="589"/>
      <c r="M10" s="589"/>
      <c r="N10" s="589"/>
      <c r="O10" s="589"/>
    </row>
    <row r="11" spans="1:18" ht="18" customHeight="1" x14ac:dyDescent="0.25">
      <c r="A11" s="86"/>
      <c r="B11" s="210" t="str" cm="1">
        <f t="array" ref="B11">IFZERO('Customer Table'!S2,"")</f>
        <v/>
      </c>
      <c r="J11" s="78"/>
      <c r="K11" s="215" t="s">
        <v>253</v>
      </c>
      <c r="L11" s="598">
        <f>TolSource</f>
        <v>0</v>
      </c>
      <c r="M11" s="598"/>
      <c r="N11" s="598"/>
      <c r="O11" s="598"/>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1">
        <f>Class</f>
        <v>0</v>
      </c>
      <c r="C18" s="581"/>
      <c r="D18" s="581"/>
      <c r="E18" s="581"/>
      <c r="G18" s="215" t="s">
        <v>218</v>
      </c>
      <c r="H18" s="219">
        <f>CubicFeet</f>
        <v>0</v>
      </c>
      <c r="M18" s="215" t="s">
        <v>222</v>
      </c>
      <c r="N18" s="219" t="str">
        <f>Main!G18</f>
        <v>ACCEPTED</v>
      </c>
      <c r="O18" s="194"/>
    </row>
    <row r="19" spans="1:19" ht="18" customHeight="1" x14ac:dyDescent="0.25">
      <c r="A19" s="205"/>
      <c r="B19" s="582"/>
      <c r="C19" s="582"/>
      <c r="D19" s="582"/>
      <c r="E19" s="582"/>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8" t="s">
        <v>236</v>
      </c>
      <c r="D27" s="588"/>
      <c r="E27" s="588"/>
      <c r="F27" s="588"/>
      <c r="G27" s="588"/>
      <c r="H27" s="588"/>
      <c r="I27" s="588"/>
      <c r="J27" s="588"/>
      <c r="K27" s="588"/>
      <c r="L27" s="588"/>
      <c r="M27" s="588"/>
      <c r="N27" s="195"/>
      <c r="O27" s="196"/>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11"/>
      <c r="B30" s="201" t="s">
        <v>427</v>
      </c>
      <c r="C30" s="212"/>
      <c r="D30" s="567" t="str">
        <f>CONCATENATE(Main!D22,Unit," / ",Main!D23,"% RH")</f>
        <v>°F / % RH</v>
      </c>
      <c r="E30" s="568"/>
      <c r="F30" s="568"/>
      <c r="G30" s="569"/>
      <c r="H30" s="567">
        <f>OvenLocation</f>
        <v>0</v>
      </c>
      <c r="I30" s="568"/>
      <c r="J30" s="568"/>
      <c r="K30" s="569"/>
      <c r="L30" s="567">
        <f>Condition</f>
        <v>0</v>
      </c>
      <c r="M30" s="568"/>
      <c r="N30" s="568"/>
      <c r="O30" s="569"/>
    </row>
    <row r="31" spans="1:19" ht="18" customHeight="1" x14ac:dyDescent="0.2"/>
    <row r="32" spans="1:19" ht="18" customHeight="1" x14ac:dyDescent="0.25">
      <c r="A32" s="234" t="s">
        <v>238</v>
      </c>
      <c r="B32" s="576" t="s">
        <v>239</v>
      </c>
      <c r="C32" s="576"/>
      <c r="D32" s="234" t="s">
        <v>202</v>
      </c>
      <c r="E32" s="234" t="s">
        <v>201</v>
      </c>
      <c r="F32" s="234" t="s">
        <v>240</v>
      </c>
      <c r="G32" s="78"/>
      <c r="H32" s="78"/>
      <c r="I32" s="234" t="s">
        <v>238</v>
      </c>
      <c r="J32" s="576" t="s">
        <v>239</v>
      </c>
      <c r="K32" s="576"/>
      <c r="L32" s="234" t="s">
        <v>202</v>
      </c>
      <c r="M32" s="234" t="s">
        <v>201</v>
      </c>
      <c r="N32" s="234" t="s">
        <v>240</v>
      </c>
    </row>
    <row r="33" spans="1:14" ht="18" customHeight="1" x14ac:dyDescent="0.2">
      <c r="A33" s="235" t="str">
        <f>IF(B33="","",1)</f>
        <v/>
      </c>
      <c r="B33" s="575" t="str">
        <f>IF(Main!O5="","",Main!O5)</f>
        <v/>
      </c>
      <c r="C33" s="57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5" t="str">
        <f>IF(Main!O25="","",Main!O25)</f>
        <v/>
      </c>
      <c r="K33" s="57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5" t="str">
        <f>IF(Main!O6="","",Main!O6)</f>
        <v/>
      </c>
      <c r="C34" s="57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5" t="str">
        <f>IF(Main!O26="","",Main!O26)</f>
        <v/>
      </c>
      <c r="K34" s="57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5" t="str">
        <f>IF(Main!O7="","",Main!O7)</f>
        <v/>
      </c>
      <c r="C35" s="57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5" t="str">
        <f>IF(Main!O27="","",Main!O27)</f>
        <v/>
      </c>
      <c r="K35" s="57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5" t="str">
        <f>IF(Main!O8="","",Main!O8)</f>
        <v/>
      </c>
      <c r="C36" s="57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5" t="str">
        <f>IF(Main!O28="","",Main!O28)</f>
        <v/>
      </c>
      <c r="K36" s="57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5" t="str">
        <f>IF(Main!O9="","",Main!O9)</f>
        <v/>
      </c>
      <c r="C37" s="57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5" t="str">
        <f>IF(Main!O29="","",Main!O29)</f>
        <v/>
      </c>
      <c r="K37" s="57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5" t="str">
        <f>IF(Main!O10="","",Main!O10)</f>
        <v/>
      </c>
      <c r="C38" s="57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5" t="str">
        <f>IF(Main!O30="","",Main!O30)</f>
        <v/>
      </c>
      <c r="K38" s="57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5" t="str">
        <f>IF(Main!O11="","",Main!O11)</f>
        <v/>
      </c>
      <c r="C39" s="57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5" t="str">
        <f>IF(Main!O31="","",Main!O31)</f>
        <v/>
      </c>
      <c r="K39" s="57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5" t="str">
        <f>IF(Main!O12="","",Main!O12)</f>
        <v/>
      </c>
      <c r="C40" s="57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5" t="str">
        <f>IF(Main!O32="","",Main!O32)</f>
        <v/>
      </c>
      <c r="K40" s="57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5" t="str">
        <f>IF(Main!O13="","",Main!O13)</f>
        <v/>
      </c>
      <c r="C41" s="57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5" t="str">
        <f>IF(Main!O33="","",Main!O33)</f>
        <v/>
      </c>
      <c r="K41" s="57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5" t="str">
        <f>IF(Main!O14="","",Main!O14)</f>
        <v/>
      </c>
      <c r="C42" s="57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5" t="str">
        <f>IF(Main!O34="","",Main!O34)</f>
        <v/>
      </c>
      <c r="K42" s="57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5" t="str">
        <f>IF(Main!O15="","",Main!O15)</f>
        <v/>
      </c>
      <c r="C43" s="57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5" t="str">
        <f>IF(Main!O35="","",Main!O35)</f>
        <v/>
      </c>
      <c r="K43" s="57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5" t="str">
        <f>IF(Main!O16="","",Main!O16)</f>
        <v/>
      </c>
      <c r="C44" s="57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5" t="str">
        <f>IF(Main!O36="","",Main!O36)</f>
        <v/>
      </c>
      <c r="K44" s="57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5" t="str">
        <f>IF(Main!O17="","",Main!O17)</f>
        <v/>
      </c>
      <c r="C45" s="57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5" t="str">
        <f>IF(Main!O37="","",Main!O37)</f>
        <v/>
      </c>
      <c r="K45" s="57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5" t="str">
        <f>IF(Main!O18="","",Main!O18)</f>
        <v/>
      </c>
      <c r="C46" s="57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5" t="str">
        <f>IF(Main!O38="","",Main!O38)</f>
        <v/>
      </c>
      <c r="K46" s="57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5" t="str">
        <f>IF(Main!O19="","",Main!O19)</f>
        <v/>
      </c>
      <c r="C47" s="57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5" t="str">
        <f>IF(Main!O39="","",Main!O39)</f>
        <v/>
      </c>
      <c r="K47" s="57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5" t="str">
        <f>IF(Main!O20="","",Main!O20)</f>
        <v/>
      </c>
      <c r="C48" s="57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5" t="str">
        <f>IF(Main!O40="","",Main!O40)</f>
        <v/>
      </c>
      <c r="K48" s="57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5" t="str">
        <f>IF(Main!O21="","",Main!O21)</f>
        <v/>
      </c>
      <c r="C49" s="57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5" t="str">
        <f>IF(Main!O41="","",Main!O41)</f>
        <v/>
      </c>
      <c r="K49" s="57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5" t="str">
        <f>IF(Main!O22="","",Main!O22)</f>
        <v/>
      </c>
      <c r="C50" s="57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5" t="str">
        <f>IF(Main!O42="","",Main!O42)</f>
        <v/>
      </c>
      <c r="K50" s="57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5" t="str">
        <f>IF(Main!O23="","",Main!O23)</f>
        <v/>
      </c>
      <c r="C51" s="57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5" t="str">
        <f>IF(Main!O43="","",Main!O43)</f>
        <v/>
      </c>
      <c r="K51" s="57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5" t="str">
        <f>IF(Main!O24="","",Main!O24)</f>
        <v/>
      </c>
      <c r="C52" s="57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5" t="str">
        <f>IF(Main!O44="","",Main!O44)</f>
        <v/>
      </c>
      <c r="K52" s="57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0" t="s">
        <v>241</v>
      </c>
      <c r="C53" s="580"/>
      <c r="D53" s="580"/>
      <c r="E53" s="580"/>
      <c r="F53" s="580"/>
      <c r="G53" s="580"/>
      <c r="H53" s="580"/>
      <c r="I53" s="580"/>
      <c r="J53" s="580"/>
      <c r="K53" s="580"/>
      <c r="L53" s="580"/>
      <c r="M53" s="580"/>
      <c r="N53" s="580"/>
    </row>
    <row r="54" spans="1:21" ht="18" customHeight="1" x14ac:dyDescent="0.25">
      <c r="A54" s="237" t="s">
        <v>242</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1" ht="18" customHeight="1" x14ac:dyDescent="0.25">
      <c r="A55" s="75"/>
      <c r="B55" s="589"/>
      <c r="C55" s="589"/>
      <c r="D55" s="589"/>
      <c r="E55" s="589"/>
      <c r="F55" s="589"/>
      <c r="G55" s="589"/>
      <c r="H55" s="589"/>
      <c r="I55" s="589"/>
      <c r="J55" s="589"/>
      <c r="K55" s="589"/>
      <c r="L55" s="589"/>
      <c r="M55" s="589"/>
      <c r="N55" s="589"/>
      <c r="O55" s="589"/>
    </row>
    <row r="56" spans="1:21" ht="18" customHeight="1" x14ac:dyDescent="0.25">
      <c r="A56" s="75"/>
      <c r="B56" s="589"/>
      <c r="C56" s="589"/>
      <c r="D56" s="589"/>
      <c r="E56" s="589"/>
      <c r="F56" s="589"/>
      <c r="G56" s="589"/>
      <c r="H56" s="589"/>
      <c r="I56" s="589"/>
      <c r="J56" s="589"/>
      <c r="K56" s="589"/>
      <c r="L56" s="589"/>
      <c r="M56" s="589"/>
      <c r="N56" s="589"/>
      <c r="O56" s="589"/>
    </row>
    <row r="57" spans="1:21" ht="18" customHeight="1" x14ac:dyDescent="0.25">
      <c r="A57" s="75"/>
      <c r="B57" s="589"/>
      <c r="C57" s="589"/>
      <c r="D57" s="589"/>
      <c r="E57" s="589"/>
      <c r="F57" s="589"/>
      <c r="G57" s="589"/>
      <c r="H57" s="589"/>
      <c r="I57" s="589"/>
      <c r="J57" s="589"/>
      <c r="K57" s="589"/>
      <c r="L57" s="589"/>
      <c r="M57" s="589"/>
      <c r="N57" s="589"/>
      <c r="O57" s="589"/>
    </row>
    <row r="58" spans="1:21" ht="18" customHeight="1" x14ac:dyDescent="0.25">
      <c r="A58" s="75"/>
      <c r="B58" s="589"/>
      <c r="C58" s="589"/>
      <c r="D58" s="589"/>
      <c r="E58" s="589"/>
      <c r="F58" s="589"/>
      <c r="G58" s="589"/>
      <c r="H58" s="589"/>
      <c r="I58" s="589"/>
      <c r="J58" s="589"/>
      <c r="K58" s="589"/>
      <c r="L58" s="589"/>
      <c r="M58" s="589"/>
      <c r="N58" s="589"/>
      <c r="O58" s="589"/>
    </row>
    <row r="59" spans="1:21" ht="18" customHeight="1" x14ac:dyDescent="0.25">
      <c r="A59" s="75"/>
      <c r="B59" s="589"/>
      <c r="C59" s="589"/>
      <c r="D59" s="589"/>
      <c r="E59" s="589"/>
      <c r="F59" s="589"/>
      <c r="G59" s="589"/>
      <c r="H59" s="589"/>
      <c r="I59" s="589"/>
      <c r="J59" s="589"/>
      <c r="K59" s="589"/>
      <c r="L59" s="589"/>
      <c r="M59" s="589"/>
      <c r="N59" s="589"/>
      <c r="O59" s="589"/>
    </row>
    <row r="60" spans="1:21" ht="18" customHeight="1" x14ac:dyDescent="0.2">
      <c r="A60" s="579" t="s">
        <v>250</v>
      </c>
      <c r="B60" s="579"/>
      <c r="C60" s="579"/>
      <c r="D60" s="579"/>
      <c r="E60" s="579"/>
      <c r="F60" s="579"/>
      <c r="G60" s="579"/>
      <c r="H60" s="579"/>
      <c r="I60" s="579"/>
      <c r="J60" s="579"/>
      <c r="K60" s="579"/>
      <c r="L60" s="579"/>
      <c r="M60" s="579"/>
      <c r="N60" s="579"/>
      <c r="O60" s="579"/>
    </row>
    <row r="61" spans="1:21" ht="18" customHeight="1" x14ac:dyDescent="0.2">
      <c r="A61" s="583" t="s">
        <v>243</v>
      </c>
      <c r="B61" s="583"/>
      <c r="C61" s="583"/>
      <c r="D61" s="583"/>
      <c r="E61" s="583"/>
      <c r="F61" s="597" t="s">
        <v>244</v>
      </c>
      <c r="G61" s="597"/>
      <c r="H61" s="597"/>
      <c r="I61" s="597" t="s">
        <v>245</v>
      </c>
      <c r="J61" s="597"/>
      <c r="K61" s="597" t="s">
        <v>246</v>
      </c>
      <c r="L61" s="597"/>
      <c r="M61" s="597" t="s">
        <v>247</v>
      </c>
      <c r="N61" s="597"/>
      <c r="O61" s="597"/>
      <c r="R61" s="36" t="s">
        <v>329</v>
      </c>
      <c r="T61" s="36" t="s">
        <v>330</v>
      </c>
      <c r="U61" s="36" t="s">
        <v>65</v>
      </c>
    </row>
    <row r="62" spans="1:21" ht="18" customHeight="1" x14ac:dyDescent="0.2">
      <c r="A62" s="564" t="str">
        <f>IF(F62="","",CONCATENATE(T62," - ",R62))</f>
        <v/>
      </c>
      <c r="B62" s="565"/>
      <c r="C62" s="565"/>
      <c r="D62" s="565"/>
      <c r="E62" s="566"/>
      <c r="F62" s="564" t="str" cm="1">
        <f t="array" ref="F62">IFERROR(
  _xlfn.XLOOKUP(
    Main!D9,
    _xlfn._xlws.FILTER(AssetPool[AssetTag], AssetPool[RootCategoryName]= "DAQ Modules"),
    _xlfn._xlws.FILTER(AssetPool[SerialNumber], AssetPool[RootCategoryName]= "DAQ Modules")
  ),
  ""
)</f>
        <v/>
      </c>
      <c r="G62" s="565"/>
      <c r="H62" s="566"/>
      <c r="I62" s="595" t="str">
        <f>IF(F62="","",Main!D12)</f>
        <v/>
      </c>
      <c r="J62" s="596"/>
      <c r="K62" s="595" t="str">
        <f>IF(F62="","",Main!D13)</f>
        <v/>
      </c>
      <c r="L62" s="596"/>
      <c r="M62" s="561" t="str">
        <f>IF(F62="","",Main!D14)</f>
        <v/>
      </c>
      <c r="N62" s="562"/>
      <c r="O62" s="563"/>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8" t="str">
        <f>IF(Q63="","",CONCATENATE("Type """,U63,""" Thermocouple"))</f>
        <v/>
      </c>
      <c r="B63" s="559"/>
      <c r="C63" s="559"/>
      <c r="D63" s="559"/>
      <c r="E63" s="560"/>
      <c r="F63" s="558" t="str">
        <f>IF(Main!D48="","",Main!D48)</f>
        <v/>
      </c>
      <c r="G63" s="559"/>
      <c r="H63" s="560"/>
      <c r="I63" s="572" t="str">
        <f>IF(Q63="","",Main!D49)</f>
        <v/>
      </c>
      <c r="J63" s="573"/>
      <c r="K63" s="572" t="str">
        <f>IF(Q63="","",Main!D50)</f>
        <v/>
      </c>
      <c r="L63" s="573"/>
      <c r="M63" s="558" t="str">
        <f>IF(Q63="","",Main!D54)</f>
        <v/>
      </c>
      <c r="N63" s="559"/>
      <c r="O63" s="560"/>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8" t="str">
        <f t="shared" ref="A64:A69" si="0">IF(Q64="","",CONCATENATE("Type """,U64,""" Thermocouple"))</f>
        <v/>
      </c>
      <c r="B64" s="559"/>
      <c r="C64" s="559"/>
      <c r="D64" s="559"/>
      <c r="E64" s="560"/>
      <c r="F64" s="558" t="str">
        <f>IF(Main!E48="","",Main!E48)</f>
        <v/>
      </c>
      <c r="G64" s="559"/>
      <c r="H64" s="560"/>
      <c r="I64" s="572" t="str">
        <f>IF(Q64="","",Main!E49)</f>
        <v/>
      </c>
      <c r="J64" s="573"/>
      <c r="K64" s="572" t="str">
        <f>IF(Q64="","",Main!E50)</f>
        <v/>
      </c>
      <c r="L64" s="573"/>
      <c r="M64" s="558" t="str">
        <f>IF(Q64="","",Main!E54)</f>
        <v/>
      </c>
      <c r="N64" s="559"/>
      <c r="O64" s="560"/>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8" t="str">
        <f t="shared" si="0"/>
        <v/>
      </c>
      <c r="B65" s="559"/>
      <c r="C65" s="559"/>
      <c r="D65" s="559"/>
      <c r="E65" s="560"/>
      <c r="F65" s="558" t="str">
        <f>IF(Main!F48="","",Main!F48)</f>
        <v/>
      </c>
      <c r="G65" s="559"/>
      <c r="H65" s="560"/>
      <c r="I65" s="572" t="str">
        <f>IF(Q65="","",Main!F49)</f>
        <v/>
      </c>
      <c r="J65" s="573"/>
      <c r="K65" s="572" t="str">
        <f>IF(Q65="","",Main!F50)</f>
        <v/>
      </c>
      <c r="L65" s="573"/>
      <c r="M65" s="558" t="str">
        <f>IF(Q65="","",Main!F54)</f>
        <v/>
      </c>
      <c r="N65" s="559"/>
      <c r="O65" s="560"/>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8" t="str">
        <f t="shared" si="0"/>
        <v/>
      </c>
      <c r="B66" s="559"/>
      <c r="C66" s="559"/>
      <c r="D66" s="559"/>
      <c r="E66" s="560"/>
      <c r="F66" s="558" t="str">
        <f>IF(Main!G48="","",Main!G48)</f>
        <v/>
      </c>
      <c r="G66" s="559"/>
      <c r="H66" s="560"/>
      <c r="I66" s="572" t="str">
        <f>IF(Q66="","",Main!G49)</f>
        <v/>
      </c>
      <c r="J66" s="573"/>
      <c r="K66" s="572" t="str">
        <f>IF(Q66="","",Main!G50)</f>
        <v/>
      </c>
      <c r="L66" s="573"/>
      <c r="M66" s="558" t="str">
        <f>IF(Q66="","",Main!G54)</f>
        <v/>
      </c>
      <c r="N66" s="559"/>
      <c r="O66" s="560"/>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8" t="str">
        <f t="shared" si="0"/>
        <v/>
      </c>
      <c r="B67" s="559"/>
      <c r="C67" s="559"/>
      <c r="D67" s="559"/>
      <c r="E67" s="560"/>
      <c r="F67" s="558" t="str">
        <f>IF(Main!H48="","",Main!H48)</f>
        <v/>
      </c>
      <c r="G67" s="559"/>
      <c r="H67" s="560"/>
      <c r="I67" s="572" t="str">
        <f>IF(Q67="","",Main!H49)</f>
        <v/>
      </c>
      <c r="J67" s="573"/>
      <c r="K67" s="572" t="str">
        <f>IF(Q67="","",Main!H50)</f>
        <v/>
      </c>
      <c r="L67" s="573"/>
      <c r="M67" s="558" t="str">
        <f>IF(Q67="","",Main!H54)</f>
        <v/>
      </c>
      <c r="N67" s="559"/>
      <c r="O67" s="560"/>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8" t="str">
        <f t="shared" si="0"/>
        <v/>
      </c>
      <c r="B68" s="559"/>
      <c r="C68" s="559"/>
      <c r="D68" s="559"/>
      <c r="E68" s="560"/>
      <c r="F68" s="558" t="str">
        <f>IF(Main!I48="","",Main!I48)</f>
        <v/>
      </c>
      <c r="G68" s="559"/>
      <c r="H68" s="560"/>
      <c r="I68" s="572" t="str">
        <f>IF(Q68="","",Main!I49)</f>
        <v/>
      </c>
      <c r="J68" s="573"/>
      <c r="K68" s="572" t="str">
        <f>IF(Q68="","",Main!I50)</f>
        <v/>
      </c>
      <c r="L68" s="573"/>
      <c r="M68" s="558" t="str">
        <f>IF(Q68="","",Main!I54)</f>
        <v/>
      </c>
      <c r="N68" s="559"/>
      <c r="O68" s="560"/>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8" t="str">
        <f t="shared" si="0"/>
        <v/>
      </c>
      <c r="B69" s="559"/>
      <c r="C69" s="559"/>
      <c r="D69" s="559"/>
      <c r="E69" s="560"/>
      <c r="F69" s="567" t="str">
        <f>IF(Main!J48="","",Main!J48)</f>
        <v/>
      </c>
      <c r="G69" s="568"/>
      <c r="H69" s="569"/>
      <c r="I69" s="570" t="str">
        <f>IF(Q69="","",Main!J49)</f>
        <v/>
      </c>
      <c r="J69" s="571"/>
      <c r="K69" s="570" t="str">
        <f>IF(Q69="","",Main!J50)</f>
        <v/>
      </c>
      <c r="L69" s="571"/>
      <c r="M69" s="567" t="str">
        <f>IF(Q69="","",Main!J54)</f>
        <v/>
      </c>
      <c r="N69" s="568"/>
      <c r="O69" s="569"/>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3" t="s">
        <v>431</v>
      </c>
      <c r="B71" s="593"/>
      <c r="C71" s="593"/>
      <c r="D71" s="593"/>
      <c r="E71" s="593"/>
      <c r="F71" s="593"/>
      <c r="G71" s="593"/>
      <c r="H71" s="593"/>
      <c r="I71" s="593"/>
      <c r="J71" s="593"/>
      <c r="K71" s="593"/>
      <c r="L71" s="593"/>
      <c r="M71" s="593"/>
      <c r="N71" s="593"/>
      <c r="O71" s="593"/>
    </row>
    <row r="72" spans="1:21" ht="18" customHeight="1" x14ac:dyDescent="0.2">
      <c r="A72" s="593"/>
      <c r="B72" s="593"/>
      <c r="C72" s="593"/>
      <c r="D72" s="593"/>
      <c r="E72" s="593"/>
      <c r="F72" s="593"/>
      <c r="G72" s="593"/>
      <c r="H72" s="593"/>
      <c r="I72" s="593"/>
      <c r="J72" s="593"/>
      <c r="K72" s="593"/>
      <c r="L72" s="593"/>
      <c r="M72" s="593"/>
      <c r="N72" s="593"/>
      <c r="O72" s="593"/>
    </row>
    <row r="73" spans="1:21" ht="18" customHeight="1" x14ac:dyDescent="0.2">
      <c r="A73" s="593"/>
      <c r="B73" s="593"/>
      <c r="C73" s="593"/>
      <c r="D73" s="593"/>
      <c r="E73" s="593"/>
      <c r="F73" s="593"/>
      <c r="G73" s="593"/>
      <c r="H73" s="593"/>
      <c r="I73" s="593"/>
      <c r="J73" s="593"/>
      <c r="K73" s="593"/>
      <c r="L73" s="593"/>
      <c r="M73" s="593"/>
      <c r="N73" s="593"/>
      <c r="O73" s="593"/>
    </row>
    <row r="74" spans="1:21" ht="18" customHeight="1" x14ac:dyDescent="0.2">
      <c r="A74" s="593"/>
      <c r="B74" s="593"/>
      <c r="C74" s="593"/>
      <c r="D74" s="593"/>
      <c r="E74" s="593"/>
      <c r="F74" s="593"/>
      <c r="G74" s="593"/>
      <c r="H74" s="593"/>
      <c r="I74" s="593"/>
      <c r="J74" s="593"/>
      <c r="K74" s="593"/>
      <c r="L74" s="593"/>
      <c r="M74" s="593"/>
      <c r="N74" s="593"/>
      <c r="O74" s="593"/>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k++xunN1A8Z/Rf/sDkyqvw/2hPa0aZJ8hwRC4CasVor1HkPItUWiFjnaipcll8JPgfngEH1lj6RarawnnzbG+A==" saltValue="JGb835XyRUzJsuXD3bHpn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mLDT/KucQ5q2CW3BEE076IuI+wUn5dnf1K/AKJIkBeMNuSD9y1AIDsGd1Vc4Qscf3L9fMwwfoMO7r1HMz/76IA==" saltValue="hxbRCqj5aN2BkYxO/KsoIA=="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HP2P77RrvUy14fj0r70t23ZtaGOjNNvKMPD8CPVkvBuXc01PO1xQCFi3AKjOte6I60g+6nGib5GC8GQNBkkD4g==" saltValue="K0KRViad/irMee/9uyXSr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itxUnqx3WoTj6/2OK9dtXrWmOxJpXjl0c1T58F8FgNhLNhQTvTfM2+fUZh9XXHSGO80a3CEciqY7ciizwjSVng==" saltValue="ylybD43KwZiTopZ+PtcCFw=="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kE6eosT6nWPIDP955NAiBoGWFZto1czEYvbC8upnsflVeFLn4WvOVzUfjj2M2KAxEpxcMmt9nmj8438Add/APQ==" saltValue="xHMMuFpLxLoOjecsgLmdkw=="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2" t="s">
        <v>273</v>
      </c>
      <c r="I28" s="622"/>
      <c r="J28" s="622"/>
      <c r="K28" s="622"/>
      <c r="L28" s="622"/>
      <c r="M28" s="622"/>
      <c r="N28" s="622"/>
      <c r="O28" s="622"/>
      <c r="P28" s="622"/>
      <c r="Q28" s="622"/>
      <c r="R28" s="622"/>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30" t="s">
        <v>275</v>
      </c>
      <c r="K29" s="631"/>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23" t="s">
        <v>263</v>
      </c>
      <c r="I30" s="623"/>
      <c r="J30" s="632" t="s">
        <v>304</v>
      </c>
      <c r="K30" s="633"/>
      <c r="L30" s="634"/>
      <c r="M30" s="253"/>
      <c r="O30" s="624" t="s">
        <v>307</v>
      </c>
      <c r="P30" s="625"/>
      <c r="Q30" s="626"/>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47" t="s">
        <v>312</v>
      </c>
      <c r="K31" s="648"/>
      <c r="L31" s="649"/>
      <c r="M31" s="254" t="str">
        <f>IF(Main!S49="","",Main!S49)</f>
        <v/>
      </c>
      <c r="O31" s="514" t="s">
        <v>314</v>
      </c>
      <c r="P31" s="515"/>
      <c r="Q31" s="627"/>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8" t="s">
        <v>266</v>
      </c>
      <c r="K32" s="639"/>
      <c r="L32" s="640"/>
      <c r="M32" s="249"/>
      <c r="O32" s="638" t="s">
        <v>266</v>
      </c>
      <c r="P32" s="639"/>
      <c r="Q32" s="640"/>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5" t="s">
        <v>313</v>
      </c>
      <c r="K33" s="636"/>
      <c r="L33" s="637"/>
      <c r="M33" s="248" t="str">
        <f>IF(Main!S51="","",Main!S51)</f>
        <v/>
      </c>
      <c r="O33" s="635" t="s">
        <v>315</v>
      </c>
      <c r="P33" s="636"/>
      <c r="Q33" s="637"/>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8" t="s">
        <v>266</v>
      </c>
      <c r="K34" s="639"/>
      <c r="L34" s="640"/>
      <c r="O34" s="638" t="s">
        <v>266</v>
      </c>
      <c r="P34" s="639"/>
      <c r="Q34" s="640"/>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1" t="s">
        <v>316</v>
      </c>
      <c r="K35" s="642"/>
      <c r="L35" s="643"/>
      <c r="M35" s="256" t="str">
        <f>IF(Main!S53="","",Main!S53)</f>
        <v/>
      </c>
      <c r="O35" s="641" t="s">
        <v>317</v>
      </c>
      <c r="P35" s="642"/>
      <c r="Q35" s="643"/>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4"/>
      <c r="K36" s="645"/>
      <c r="L36" s="646"/>
      <c r="M36" s="252"/>
      <c r="O36" s="644"/>
      <c r="P36" s="645"/>
      <c r="Q36" s="646"/>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ZkJBtFSPnYAW2DSWnTksqIa4NmXeYXnI+p0ANuCz+I/x4kw1EWtuAWTrCSTGgCxs0hnRXnuffs0fuS2fnR0dHg==" saltValue="ZPPZnC9kDilMF7g2Bk4YcA=="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U7ymJDtz4LtYYD0tADU6vUUbV222A2guS4VIBrv7bqWtX6siGFJSI1A6zWATXIqTUNfK8DaxciKu5orCObKw/g==" saltValue="6rLaOqLlYYCkJ2c0KASN1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J20" sqref="J20"/>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9" x14ac:dyDescent="0.25">
      <c r="B1" s="484" t="s">
        <v>107</v>
      </c>
      <c r="G1" s="484" t="s">
        <v>760</v>
      </c>
    </row>
    <row r="2" spans="2:9" x14ac:dyDescent="0.25">
      <c r="B2" s="484" t="s">
        <v>761</v>
      </c>
    </row>
    <row r="3" spans="2:9" x14ac:dyDescent="0.25">
      <c r="B3" s="484" t="s">
        <v>762</v>
      </c>
    </row>
    <row r="4" spans="2:9" x14ac:dyDescent="0.25">
      <c r="B4" s="650" t="s">
        <v>763</v>
      </c>
      <c r="C4" s="650"/>
      <c r="D4" s="650"/>
      <c r="E4" s="650"/>
      <c r="F4" s="650"/>
      <c r="I4" s="484">
        <v>-50.1</v>
      </c>
    </row>
    <row r="5" spans="2:9" x14ac:dyDescent="0.25">
      <c r="B5" s="484" t="s">
        <v>764</v>
      </c>
      <c r="C5" s="485">
        <v>200</v>
      </c>
      <c r="E5" s="484" t="s">
        <v>765</v>
      </c>
      <c r="F5" s="485">
        <v>450</v>
      </c>
      <c r="I5" s="484">
        <v>-49.6</v>
      </c>
    </row>
    <row r="6" spans="2:9" x14ac:dyDescent="0.25">
      <c r="B6" s="484" t="s">
        <v>766</v>
      </c>
      <c r="C6" s="485">
        <v>-0.5</v>
      </c>
      <c r="E6" s="484" t="s">
        <v>766</v>
      </c>
      <c r="F6" s="485">
        <v>-1.4</v>
      </c>
      <c r="I6" s="484">
        <f>AVERAGE(I4:I5)</f>
        <v>-49.85</v>
      </c>
    </row>
    <row r="8" spans="2:9" x14ac:dyDescent="0.25">
      <c r="B8" s="484" t="s">
        <v>767</v>
      </c>
      <c r="C8" s="485">
        <v>305</v>
      </c>
    </row>
    <row r="9" spans="2:9" x14ac:dyDescent="0.25">
      <c r="B9" s="484" t="s">
        <v>768</v>
      </c>
      <c r="C9" s="486">
        <f>ROUND(C6+(C8-C5)*C13,1)</f>
        <v>-0.9</v>
      </c>
    </row>
    <row r="11" spans="2:9" x14ac:dyDescent="0.25">
      <c r="B11" s="484" t="s">
        <v>769</v>
      </c>
      <c r="C11" s="484">
        <f>F5-C5</f>
        <v>250</v>
      </c>
    </row>
    <row r="12" spans="2:9" x14ac:dyDescent="0.25">
      <c r="B12" s="484" t="s">
        <v>770</v>
      </c>
      <c r="C12" s="484">
        <f>F6-C6</f>
        <v>-0.89999999999999991</v>
      </c>
    </row>
    <row r="13" spans="2:9" x14ac:dyDescent="0.25">
      <c r="B13" s="484" t="s">
        <v>771</v>
      </c>
      <c r="C13" s="484">
        <f>C12/C11</f>
        <v>-3.5999999999999995E-3</v>
      </c>
    </row>
  </sheetData>
  <sheetProtection algorithmName="SHA-512" hashValue="kjk+RLfwtuWQeG9zSs82/3cRrLGQdJ3ONSENlBpJKoGG3OWEP0LgI3m2iHCJSV8B4ZAyF0S8PNOZZITyFcdXLg==" saltValue="jlKND16d/jVGZ+3X5LiMR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773</v>
      </c>
      <c r="C1" s="359" t="s">
        <v>772</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7"/>
      <c r="C1" s="587"/>
      <c r="D1" s="587"/>
      <c r="E1" s="33" t="s">
        <v>144</v>
      </c>
      <c r="G1" s="587" t="s">
        <v>65</v>
      </c>
      <c r="H1" s="587"/>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J+N6qw8vH2kWzNwfHYqQp46krkBACTyqrys1MQEnJ8UNT42NgRjvValZHv6Y4ht7h1dghkeVVax6Rd/QWo78yQ==" saltValue="Z2PUb7Rma1vWp/1qRaKw9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2026-04-01T21:12:27Z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